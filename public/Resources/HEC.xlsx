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defaultThemeVersion="202300"/>
  <mc:AlternateContent xmlns:mc="http://schemas.openxmlformats.org/markup-compatibility/2006">
    <mc:Choice Requires="x15">
      <x15ac:absPath xmlns:x15ac="http://schemas.microsoft.com/office/spreadsheetml/2010/11/ac" url="/Users/pawan/Desktop/Quantwater Tech Investments/Operations/Economic Calendar/"/>
    </mc:Choice>
  </mc:AlternateContent>
  <xr:revisionPtr revIDLastSave="0" documentId="13_ncr:1_{10C98BE9-3F4C-264D-AE48-49F8C900F63C}" xr6:coauthVersionLast="47" xr6:coauthVersionMax="47" xr10:uidLastSave="{00000000-0000-0000-0000-000000000000}"/>
  <bookViews>
    <workbookView xWindow="0" yWindow="0" windowWidth="28800" windowHeight="18000" xr2:uid="{063D4EF7-341C-E54C-A634-559694D7D04D}"/>
  </bookViews>
  <sheets>
    <sheet name="Historical" sheetId="2" r:id="rId1"/>
    <sheet name="HEC" sheetId="1" r:id="rId2"/>
    <sheet name="HEC-U" sheetId="5" r:id="rId3"/>
    <sheet name="EC-Commands" sheetId="3" r:id="rId4"/>
    <sheet name="Sheet2" sheetId="4" state="hidden" r:id="rId5"/>
  </sheets>
  <externalReferences>
    <externalReference r:id="rId6"/>
    <externalReference r:id="rId7"/>
    <externalReference r:id="rId8"/>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78" i="2" l="1"/>
  <c r="J379" i="2"/>
  <c r="C377" i="2"/>
  <c r="B377" i="2"/>
  <c r="C376" i="2"/>
  <c r="C375" i="2"/>
  <c r="C374" i="2"/>
  <c r="B374" i="2"/>
  <c r="C373" i="2"/>
  <c r="C372" i="2"/>
  <c r="C371" i="2"/>
  <c r="C370" i="2"/>
  <c r="C369" i="2"/>
  <c r="C368" i="2"/>
  <c r="J367" i="2"/>
  <c r="C367" i="2"/>
  <c r="C366" i="2"/>
  <c r="C365" i="2"/>
  <c r="C364" i="2"/>
  <c r="C363" i="2"/>
  <c r="J361" i="2"/>
  <c r="C360" i="2"/>
  <c r="C359" i="2"/>
  <c r="C358" i="2"/>
  <c r="C357" i="2"/>
  <c r="C356" i="2"/>
  <c r="C355" i="2"/>
  <c r="B355" i="2"/>
  <c r="B356" i="2" s="1"/>
  <c r="B357" i="2" s="1"/>
  <c r="C354" i="2"/>
  <c r="B354" i="2"/>
  <c r="C353" i="2"/>
  <c r="C352" i="2"/>
  <c r="C351" i="2"/>
  <c r="C350" i="2"/>
  <c r="J348" i="2"/>
  <c r="C347" i="2"/>
  <c r="C346" i="2"/>
  <c r="C345" i="2"/>
  <c r="C344" i="2"/>
  <c r="C343" i="2"/>
  <c r="C342" i="2"/>
  <c r="C341" i="2"/>
  <c r="C340" i="2"/>
  <c r="C339" i="2"/>
  <c r="C338" i="2"/>
  <c r="C337" i="2"/>
  <c r="C336" i="2"/>
  <c r="B336" i="2"/>
  <c r="B337" i="2" s="1"/>
  <c r="B338" i="2" s="1"/>
  <c r="B339" i="2" s="1"/>
  <c r="B340" i="2" s="1"/>
  <c r="B341" i="2" s="1"/>
  <c r="B342" i="2" s="1"/>
  <c r="B343" i="2" s="1"/>
  <c r="B344" i="2" s="1"/>
  <c r="B345" i="2" s="1"/>
  <c r="B346" i="2" s="1"/>
  <c r="B347" i="2" s="1"/>
  <c r="C335" i="2"/>
  <c r="J333" i="2"/>
  <c r="C332" i="2"/>
  <c r="C331" i="2"/>
  <c r="C330" i="2"/>
  <c r="C329" i="2"/>
  <c r="C328" i="2"/>
  <c r="C327" i="2"/>
  <c r="C326" i="2"/>
  <c r="B326" i="2"/>
  <c r="B327" i="2" s="1"/>
  <c r="B328" i="2" s="1"/>
  <c r="B329" i="2" s="1"/>
  <c r="B330" i="2" s="1"/>
  <c r="B331" i="2" s="1"/>
  <c r="B332" i="2" s="1"/>
  <c r="C325" i="2"/>
  <c r="C324" i="2"/>
  <c r="C323" i="2"/>
  <c r="C322" i="2"/>
  <c r="C321" i="2"/>
  <c r="C320" i="2"/>
  <c r="D316" i="2"/>
  <c r="F314" i="2"/>
  <c r="F315" i="2" s="1"/>
  <c r="F316" i="2" s="1"/>
  <c r="F317" i="2" s="1"/>
  <c r="C312" i="2"/>
  <c r="C313" i="2" s="1"/>
  <c r="C314" i="2" s="1"/>
  <c r="C315" i="2" s="1"/>
  <c r="C316" i="2" s="1"/>
  <c r="C317" i="2" s="1"/>
  <c r="D311" i="2"/>
  <c r="C311" i="2"/>
  <c r="C310" i="2"/>
  <c r="E307" i="2"/>
  <c r="E308" i="2" s="1"/>
  <c r="D307" i="2"/>
  <c r="D308" i="2" s="1"/>
  <c r="C303" i="2"/>
  <c r="C304" i="2" s="1"/>
  <c r="C305" i="2" s="1"/>
  <c r="C306" i="2" s="1"/>
  <c r="C307" i="2" s="1"/>
  <c r="C308" i="2" s="1"/>
  <c r="C309" i="2" s="1"/>
  <c r="C302" i="2"/>
  <c r="C301" i="2"/>
  <c r="C294" i="2"/>
  <c r="C296" i="2" s="1"/>
  <c r="C297" i="2" s="1"/>
  <c r="C298" i="2" s="1"/>
  <c r="C299" i="2" s="1"/>
  <c r="C300" i="2" s="1"/>
  <c r="C293" i="2"/>
  <c r="C295" i="2" s="1"/>
  <c r="C292" i="2"/>
  <c r="C291" i="2"/>
  <c r="B291" i="2"/>
  <c r="D290" i="2"/>
  <c r="C290" i="2"/>
  <c r="B290" i="2"/>
  <c r="B294" i="2" s="1"/>
  <c r="B296" i="2" s="1"/>
  <c r="B297" i="2" s="1"/>
  <c r="B298" i="2" s="1"/>
  <c r="B299" i="2" s="1"/>
  <c r="C289" i="2"/>
  <c r="C286" i="2"/>
  <c r="C282" i="2"/>
  <c r="C283" i="2" s="1"/>
  <c r="C284" i="2" s="1"/>
  <c r="C285" i="2" s="1"/>
  <c r="C281" i="2"/>
  <c r="C280" i="2" s="1"/>
  <c r="B281" i="2"/>
  <c r="B280" i="2" s="1"/>
  <c r="D280" i="2"/>
  <c r="C279" i="2"/>
  <c r="B279" i="2"/>
  <c r="B282" i="2" s="1"/>
  <c r="B283" i="2" s="1"/>
  <c r="B284" i="2" s="1"/>
  <c r="B285" i="2" s="1"/>
  <c r="B286" i="2" s="1"/>
  <c r="C278" i="2"/>
  <c r="C277" i="2"/>
  <c r="C274" i="2"/>
  <c r="C273" i="2"/>
  <c r="C272" i="2"/>
  <c r="C271" i="2"/>
  <c r="C270" i="2"/>
  <c r="C269" i="2"/>
  <c r="C268" i="2"/>
  <c r="D267" i="2"/>
  <c r="C267" i="2"/>
  <c r="C266" i="2"/>
  <c r="C265" i="2"/>
  <c r="B265" i="2"/>
  <c r="B266" i="2" s="1"/>
  <c r="B267" i="2" s="1"/>
  <c r="B268" i="2" s="1"/>
  <c r="B269" i="2" s="1"/>
  <c r="B270" i="2" s="1"/>
  <c r="B271" i="2" s="1"/>
  <c r="B272" i="2" s="1"/>
  <c r="B273" i="2" s="1"/>
  <c r="B274" i="2" s="1"/>
  <c r="C264" i="2"/>
  <c r="C263" i="2"/>
  <c r="B263" i="2"/>
  <c r="C262" i="2"/>
  <c r="B262" i="2"/>
  <c r="E257" i="2"/>
  <c r="E258" i="2" s="1"/>
  <c r="E259" i="2" s="1"/>
  <c r="D257" i="2"/>
  <c r="D258" i="2" s="1"/>
  <c r="D259" i="2" s="1"/>
  <c r="B245" i="2"/>
  <c r="B246" i="2" s="1"/>
  <c r="C244" i="2"/>
  <c r="L233" i="1"/>
  <c r="M233" i="1" s="1"/>
  <c r="L221" i="1"/>
  <c r="M221" i="1" s="1"/>
  <c r="L209" i="1"/>
  <c r="M209" i="1" s="1"/>
  <c r="L197" i="1"/>
  <c r="M197" i="1" s="1"/>
  <c r="L173" i="1"/>
  <c r="L185" i="1" s="1"/>
  <c r="M185" i="1" s="1"/>
  <c r="L161" i="1"/>
  <c r="M161" i="1" s="1"/>
  <c r="L149" i="1"/>
  <c r="M149" i="1" s="1"/>
  <c r="L137" i="1"/>
  <c r="M137" i="1" s="1"/>
  <c r="L125" i="1"/>
  <c r="M125" i="1" s="1"/>
  <c r="L113" i="1"/>
  <c r="M113" i="1" s="1"/>
  <c r="L101" i="1"/>
  <c r="M101" i="1" s="1"/>
  <c r="L89" i="1"/>
  <c r="M89" i="1" s="1"/>
  <c r="L77" i="1"/>
  <c r="M77" i="1" s="1"/>
  <c r="L65" i="1"/>
  <c r="M65" i="1" s="1"/>
  <c r="L53" i="1"/>
  <c r="M53" i="1" s="1"/>
  <c r="L41" i="1"/>
  <c r="M41" i="1" s="1"/>
  <c r="L29" i="1"/>
  <c r="M29" i="1" s="1"/>
  <c r="L17" i="1"/>
  <c r="M17" i="1" s="1"/>
  <c r="L5" i="1"/>
  <c r="M5" i="1" s="1"/>
  <c r="B222" i="2"/>
  <c r="B223" i="2" s="1"/>
  <c r="C221" i="2"/>
  <c r="D218" i="2"/>
  <c r="D219" i="2" s="1"/>
  <c r="D217" i="2"/>
  <c r="D216" i="2"/>
  <c r="D215" i="2"/>
  <c r="D213" i="2"/>
  <c r="D212" i="2"/>
  <c r="D211" i="2"/>
  <c r="D210" i="2"/>
  <c r="D208" i="2"/>
  <c r="B208" i="2"/>
  <c r="C208" i="2" s="1"/>
  <c r="D207" i="2"/>
  <c r="C207" i="2"/>
  <c r="C206" i="2"/>
  <c r="C188" i="2"/>
  <c r="B171" i="2"/>
  <c r="C171" i="2" s="1"/>
  <c r="C169" i="2"/>
  <c r="I168" i="2"/>
  <c r="H168" i="2"/>
  <c r="C168" i="2"/>
  <c r="C166" i="2"/>
  <c r="B164" i="2"/>
  <c r="B165" i="2" s="1"/>
  <c r="C165" i="2" s="1"/>
  <c r="C163" i="2"/>
  <c r="B154" i="2"/>
  <c r="C154" i="2" s="1"/>
  <c r="D153" i="2"/>
  <c r="C153" i="2"/>
  <c r="C152" i="2"/>
  <c r="C151" i="2"/>
  <c r="J150" i="2"/>
  <c r="C150" i="2"/>
  <c r="D1" i="2"/>
  <c r="E1" i="2" s="1"/>
  <c r="H137" i="2"/>
  <c r="J137" i="2"/>
  <c r="I137" i="2"/>
  <c r="B137" i="2"/>
  <c r="C137" i="2" s="1"/>
  <c r="C136" i="2"/>
  <c r="B292" i="2" l="1"/>
  <c r="B376" i="2"/>
  <c r="B293" i="2"/>
  <c r="B295" i="2" s="1"/>
  <c r="B301" i="2"/>
  <c r="B300" i="2"/>
  <c r="C246" i="2"/>
  <c r="B247" i="2"/>
  <c r="C245" i="2"/>
  <c r="M173" i="1"/>
  <c r="B209" i="2"/>
  <c r="C209" i="2" s="1"/>
  <c r="B224" i="2"/>
  <c r="C223" i="2"/>
  <c r="C222" i="2"/>
  <c r="B210" i="2"/>
  <c r="B170" i="2"/>
  <c r="C170" i="2" s="1"/>
  <c r="B172" i="2"/>
  <c r="B173" i="2" s="1"/>
  <c r="B174" i="2" s="1"/>
  <c r="B177" i="2"/>
  <c r="B155" i="2"/>
  <c r="C155" i="2" s="1"/>
  <c r="C164" i="2"/>
  <c r="B138" i="2"/>
  <c r="B302" i="2" l="1"/>
  <c r="B303" i="2"/>
  <c r="B304" i="2" s="1"/>
  <c r="B305" i="2" s="1"/>
  <c r="B306" i="2" s="1"/>
  <c r="B307" i="2" s="1"/>
  <c r="B308" i="2" s="1"/>
  <c r="B309" i="2" s="1"/>
  <c r="B312" i="2" s="1"/>
  <c r="B248" i="2"/>
  <c r="C247" i="2"/>
  <c r="C172" i="2"/>
  <c r="C173" i="2"/>
  <c r="C224" i="2"/>
  <c r="B225" i="2"/>
  <c r="C210" i="2"/>
  <c r="B211" i="2"/>
  <c r="C177" i="2"/>
  <c r="B178" i="2"/>
  <c r="C178" i="2" s="1"/>
  <c r="B175" i="2"/>
  <c r="C174" i="2"/>
  <c r="B156" i="2"/>
  <c r="B157" i="2" s="1"/>
  <c r="B139" i="2"/>
  <c r="C138" i="2"/>
  <c r="B313" i="2" l="1"/>
  <c r="B314" i="2" s="1"/>
  <c r="B315" i="2" s="1"/>
  <c r="B316" i="2" s="1"/>
  <c r="B317" i="2" s="1"/>
  <c r="B311" i="2"/>
  <c r="B310" i="2" s="1"/>
  <c r="C156" i="2"/>
  <c r="C248" i="2"/>
  <c r="B249" i="2"/>
  <c r="C225" i="2"/>
  <c r="B226" i="2"/>
  <c r="C211" i="2"/>
  <c r="B212" i="2"/>
  <c r="C175" i="2"/>
  <c r="B176" i="2"/>
  <c r="B158" i="2"/>
  <c r="C157" i="2"/>
  <c r="C139" i="2"/>
  <c r="B140" i="2"/>
  <c r="B250" i="2" l="1"/>
  <c r="C249" i="2"/>
  <c r="B227" i="2"/>
  <c r="C226" i="2"/>
  <c r="B213" i="2"/>
  <c r="C212" i="2"/>
  <c r="B179" i="2"/>
  <c r="C176" i="2"/>
  <c r="C158" i="2"/>
  <c r="B159" i="2"/>
  <c r="B141" i="2"/>
  <c r="C140" i="2"/>
  <c r="C250" i="2" l="1"/>
  <c r="B251" i="2"/>
  <c r="B228" i="2"/>
  <c r="C227" i="2"/>
  <c r="C213" i="2"/>
  <c r="B215" i="2"/>
  <c r="B214" i="2"/>
  <c r="C214" i="2" s="1"/>
  <c r="C179" i="2"/>
  <c r="B184" i="2"/>
  <c r="B180" i="2"/>
  <c r="B160" i="2"/>
  <c r="C159" i="2"/>
  <c r="B142" i="2"/>
  <c r="C141" i="2"/>
  <c r="B252" i="2" l="1"/>
  <c r="C251" i="2"/>
  <c r="C228" i="2"/>
  <c r="B229" i="2"/>
  <c r="C215" i="2"/>
  <c r="B216" i="2"/>
  <c r="B181" i="2"/>
  <c r="C180" i="2"/>
  <c r="B185" i="2"/>
  <c r="C184" i="2"/>
  <c r="B161" i="2"/>
  <c r="C160" i="2"/>
  <c r="B143" i="2"/>
  <c r="C142" i="2"/>
  <c r="C252" i="2" l="1"/>
  <c r="B253" i="2"/>
  <c r="C229" i="2"/>
  <c r="B230" i="2"/>
  <c r="C216" i="2"/>
  <c r="B217" i="2"/>
  <c r="B186" i="2"/>
  <c r="C185" i="2"/>
  <c r="B182" i="2"/>
  <c r="C181" i="2"/>
  <c r="B162" i="2"/>
  <c r="C162" i="2" s="1"/>
  <c r="C161" i="2"/>
  <c r="C143" i="2"/>
  <c r="B144" i="2"/>
  <c r="B254" i="2" l="1"/>
  <c r="C253" i="2"/>
  <c r="B231" i="2"/>
  <c r="C230" i="2"/>
  <c r="B218" i="2"/>
  <c r="C217" i="2"/>
  <c r="B183" i="2"/>
  <c r="C183" i="2" s="1"/>
  <c r="C182" i="2"/>
  <c r="B187" i="2"/>
  <c r="C187" i="2" s="1"/>
  <c r="C186" i="2"/>
  <c r="B145" i="2"/>
  <c r="C144" i="2"/>
  <c r="C254" i="2" l="1"/>
  <c r="B255" i="2"/>
  <c r="B232" i="2"/>
  <c r="C231" i="2"/>
  <c r="C218" i="2"/>
  <c r="B219" i="2"/>
  <c r="C219" i="2" s="1"/>
  <c r="B146" i="2"/>
  <c r="C145" i="2"/>
  <c r="J122" i="2"/>
  <c r="D101" i="2"/>
  <c r="D104" i="2" s="1"/>
  <c r="B93" i="2"/>
  <c r="B94" i="2" s="1"/>
  <c r="C92" i="2"/>
  <c r="B68" i="2"/>
  <c r="B66" i="2"/>
  <c r="C66" i="2" s="1"/>
  <c r="C65" i="2"/>
  <c r="C64" i="2"/>
  <c r="D58" i="2"/>
  <c r="D59" i="2" s="1"/>
  <c r="D60" i="2" s="1"/>
  <c r="D61" i="2" s="1"/>
  <c r="D62" i="2" s="1"/>
  <c r="D63" i="2" s="1"/>
  <c r="D53" i="2"/>
  <c r="D54" i="2" s="1"/>
  <c r="B50" i="2"/>
  <c r="C50" i="2" s="1"/>
  <c r="C47" i="2"/>
  <c r="F45" i="2"/>
  <c r="E45" i="2"/>
  <c r="D45" i="2"/>
  <c r="D43" i="2"/>
  <c r="B37" i="2"/>
  <c r="C37" i="2" s="1"/>
  <c r="C36" i="2"/>
  <c r="C35" i="2"/>
  <c r="B22" i="2"/>
  <c r="C21" i="2"/>
  <c r="D15" i="3"/>
  <c r="D16" i="3" s="1"/>
  <c r="D17" i="3" s="1"/>
  <c r="D18" i="3" s="1"/>
  <c r="D19" i="3" s="1"/>
  <c r="C3" i="2"/>
  <c r="C4" i="2"/>
  <c r="C5" i="2"/>
  <c r="C6" i="2"/>
  <c r="B7" i="2"/>
  <c r="C7" i="2" s="1"/>
  <c r="B256" i="2" l="1"/>
  <c r="C255" i="2"/>
  <c r="C232" i="2"/>
  <c r="B234" i="2"/>
  <c r="C234" i="2" s="1"/>
  <c r="B233" i="2"/>
  <c r="B69" i="2"/>
  <c r="C69" i="2" s="1"/>
  <c r="C93" i="2"/>
  <c r="B147" i="2"/>
  <c r="C146" i="2"/>
  <c r="B8" i="2"/>
  <c r="C8" i="2" s="1"/>
  <c r="C106" i="2"/>
  <c r="C68" i="2"/>
  <c r="C94" i="2"/>
  <c r="B98" i="2"/>
  <c r="B67" i="2"/>
  <c r="B52" i="2"/>
  <c r="C52" i="2" s="1"/>
  <c r="B51" i="2"/>
  <c r="C51" i="2" s="1"/>
  <c r="B53" i="2"/>
  <c r="B54" i="2" s="1"/>
  <c r="C54" i="2" s="1"/>
  <c r="B38" i="2"/>
  <c r="B39" i="2" s="1"/>
  <c r="C39" i="2" s="1"/>
  <c r="B48" i="2"/>
  <c r="C22" i="2"/>
  <c r="B23" i="2"/>
  <c r="C256" i="2" l="1"/>
  <c r="C257" i="2" s="1"/>
  <c r="C258" i="2" s="1"/>
  <c r="C259" i="2" s="1"/>
  <c r="B257" i="2"/>
  <c r="B258" i="2" s="1"/>
  <c r="B259" i="2" s="1"/>
  <c r="C233" i="2"/>
  <c r="B235" i="2"/>
  <c r="B9" i="2"/>
  <c r="C9" i="2" s="1"/>
  <c r="C147" i="2"/>
  <c r="B148" i="2"/>
  <c r="C53" i="2"/>
  <c r="B40" i="2"/>
  <c r="C40" i="2" s="1"/>
  <c r="B55" i="2"/>
  <c r="B56" i="2" s="1"/>
  <c r="C98" i="2"/>
  <c r="B99" i="2"/>
  <c r="B95" i="2"/>
  <c r="C67" i="2"/>
  <c r="B70" i="2"/>
  <c r="C48" i="2"/>
  <c r="B49" i="2"/>
  <c r="C49" i="2" s="1"/>
  <c r="C38" i="2"/>
  <c r="B24" i="2"/>
  <c r="C23" i="2"/>
  <c r="C55" i="2" l="1"/>
  <c r="B236" i="2"/>
  <c r="C235" i="2"/>
  <c r="B10" i="2"/>
  <c r="C10" i="2" s="1"/>
  <c r="B41" i="2"/>
  <c r="B42" i="2" s="1"/>
  <c r="C148" i="2"/>
  <c r="B96" i="2"/>
  <c r="C95" i="2"/>
  <c r="B100" i="2"/>
  <c r="C99" i="2"/>
  <c r="B101" i="2"/>
  <c r="C101" i="2" s="1"/>
  <c r="B71" i="2"/>
  <c r="C70" i="2"/>
  <c r="B57" i="2"/>
  <c r="C56" i="2"/>
  <c r="C41" i="2"/>
  <c r="B25" i="2"/>
  <c r="C24" i="2"/>
  <c r="B11" i="2" l="1"/>
  <c r="C236" i="2"/>
  <c r="B237" i="2"/>
  <c r="B102" i="2"/>
  <c r="C100" i="2"/>
  <c r="B97" i="2"/>
  <c r="C97" i="2" s="1"/>
  <c r="C96" i="2"/>
  <c r="C71" i="2"/>
  <c r="B72" i="2"/>
  <c r="B58" i="2"/>
  <c r="C57" i="2"/>
  <c r="B43" i="2"/>
  <c r="C42" i="2"/>
  <c r="B26" i="2"/>
  <c r="C25" i="2"/>
  <c r="C11" i="2"/>
  <c r="B12" i="2"/>
  <c r="C237" i="2" l="1"/>
  <c r="B238" i="2"/>
  <c r="B103" i="2"/>
  <c r="C102" i="2"/>
  <c r="B73" i="2"/>
  <c r="C72" i="2"/>
  <c r="C58" i="2"/>
  <c r="B59" i="2"/>
  <c r="B44" i="2"/>
  <c r="B45" i="2" s="1"/>
  <c r="B46" i="2" s="1"/>
  <c r="C43" i="2"/>
  <c r="C44" i="2" s="1"/>
  <c r="C45" i="2" s="1"/>
  <c r="C46" i="2" s="1"/>
  <c r="C26" i="2"/>
  <c r="B27" i="2"/>
  <c r="C12" i="2"/>
  <c r="B13" i="2"/>
  <c r="C238" i="2" l="1"/>
  <c r="B239" i="2"/>
  <c r="C103" i="2"/>
  <c r="B104" i="2"/>
  <c r="B74" i="2"/>
  <c r="C73" i="2"/>
  <c r="B60" i="2"/>
  <c r="C59" i="2"/>
  <c r="B28" i="2"/>
  <c r="C27" i="2"/>
  <c r="C13" i="2"/>
  <c r="B14" i="2"/>
  <c r="B240" i="2" l="1"/>
  <c r="C239" i="2"/>
  <c r="B105" i="2"/>
  <c r="C105" i="2" s="1"/>
  <c r="C104" i="2"/>
  <c r="C74" i="2"/>
  <c r="B75" i="2"/>
  <c r="B61" i="2"/>
  <c r="C60" i="2"/>
  <c r="B29" i="2"/>
  <c r="C28" i="2"/>
  <c r="C14" i="2"/>
  <c r="B15" i="2"/>
  <c r="B241" i="2" l="1"/>
  <c r="C241" i="2" s="1"/>
  <c r="C240" i="2"/>
  <c r="C75" i="2"/>
  <c r="B76" i="2"/>
  <c r="B62" i="2"/>
  <c r="C61" i="2"/>
  <c r="B30" i="2"/>
  <c r="C29" i="2"/>
  <c r="C15" i="2"/>
  <c r="B16" i="2"/>
  <c r="B79" i="2" l="1"/>
  <c r="C79" i="2" s="1"/>
  <c r="B77" i="2"/>
  <c r="C76" i="2"/>
  <c r="B63" i="2"/>
  <c r="C63" i="2" s="1"/>
  <c r="C62" i="2"/>
  <c r="C30" i="2"/>
  <c r="B31" i="2"/>
  <c r="C16" i="2"/>
  <c r="B17" i="2"/>
  <c r="C77" i="2" l="1"/>
  <c r="B78" i="2"/>
  <c r="B80" i="2"/>
  <c r="C80" i="2" s="1"/>
  <c r="B32" i="2"/>
  <c r="C31" i="2"/>
  <c r="C17" i="2"/>
  <c r="B18" i="2"/>
  <c r="C78" i="2" l="1"/>
  <c r="B81" i="2"/>
  <c r="B33" i="2"/>
  <c r="C32" i="2"/>
  <c r="C18" i="2"/>
  <c r="B19" i="2"/>
  <c r="B82" i="2" l="1"/>
  <c r="C81" i="2"/>
  <c r="B34" i="2"/>
  <c r="C34" i="2" s="1"/>
  <c r="C33" i="2"/>
  <c r="C19" i="2"/>
  <c r="B20" i="2"/>
  <c r="C20" i="2" s="1"/>
  <c r="C82" i="2" l="1"/>
  <c r="B83" i="2"/>
  <c r="C83" i="2" l="1"/>
  <c r="B86" i="2"/>
  <c r="C86" i="2" s="1"/>
  <c r="B84" i="2"/>
  <c r="B87" i="2" l="1"/>
  <c r="C87" i="2" s="1"/>
  <c r="B85" i="2"/>
  <c r="C84" i="2"/>
  <c r="C85" i="2" l="1"/>
  <c r="B89" i="2"/>
  <c r="B88" i="2"/>
  <c r="C88" i="2" s="1"/>
  <c r="B90" i="2" l="1"/>
  <c r="C89" i="2"/>
  <c r="C90" i="2" l="1"/>
  <c r="B91" i="2"/>
  <c r="C91" i="2" s="1"/>
</calcChain>
</file>

<file path=xl/sharedStrings.xml><?xml version="1.0" encoding="utf-8"?>
<sst xmlns="http://schemas.openxmlformats.org/spreadsheetml/2006/main" count="8660" uniqueCount="1134">
  <si>
    <t>Fed Monetary Policy Report</t>
  </si>
  <si>
    <t>USD</t>
  </si>
  <si>
    <t>Unemployment Rate</t>
  </si>
  <si>
    <t>272K</t>
  </si>
  <si>
    <t>180K</t>
  </si>
  <si>
    <t>Nonfarm Payrolls (Jun)</t>
  </si>
  <si>
    <t>Average Hourly Earnings (MoM) (Jun)</t>
  </si>
  <si>
    <t>FOMC Meeting Minutes</t>
  </si>
  <si>
    <t>3.591M</t>
  </si>
  <si>
    <t>Crude Oil Inventories</t>
  </si>
  <si>
    <t>ISM Non-Manufacturing Prices (Jun)</t>
  </si>
  <si>
    <t>ISM Non-Manufacturing PMI (Jun)</t>
  </si>
  <si>
    <t>S&amp;P Global Services PMI (Jun)</t>
  </si>
  <si>
    <t>233K</t>
  </si>
  <si>
    <t>Initial Jobless Claims</t>
  </si>
  <si>
    <t>152K</t>
  </si>
  <si>
    <t>170K</t>
  </si>
  <si>
    <t>ADP Nonfarm Employment Change (Jun)</t>
  </si>
  <si>
    <t>8.059M</t>
  </si>
  <si>
    <t>JOLTs Job Openings (May)</t>
  </si>
  <si>
    <t>Fed Chair Powell Speaks</t>
  </si>
  <si>
    <t>CPI (YoY) (Jun) P</t>
  </si>
  <si>
    <t>EUR</t>
  </si>
  <si>
    <t>ISM Manufacturing Prices (Jun)</t>
  </si>
  <si>
    <t>ISM Manufacturing PMI (Jun)</t>
  </si>
  <si>
    <t>S&amp;P Global US Manufacturing PMI (Jun)</t>
  </si>
  <si>
    <t>German CPI (MoM) (Jun) P</t>
  </si>
  <si>
    <t>Previous</t>
  </si>
  <si>
    <t>Forecast</t>
  </si>
  <si>
    <t>Actual</t>
  </si>
  <si>
    <t>Event</t>
  </si>
  <si>
    <t>Imp.</t>
  </si>
  <si>
    <t>Cur.</t>
  </si>
  <si>
    <t>Time (IST)</t>
  </si>
  <si>
    <t>Day</t>
  </si>
  <si>
    <t>Date</t>
  </si>
  <si>
    <t>Economic Calendar</t>
  </si>
  <si>
    <t>Sun</t>
  </si>
  <si>
    <t>Sat</t>
  </si>
  <si>
    <t>Fri</t>
  </si>
  <si>
    <t>Thu</t>
  </si>
  <si>
    <t>Wed</t>
  </si>
  <si>
    <t>Tue</t>
  </si>
  <si>
    <t>Mon</t>
  </si>
  <si>
    <t>http://35.246.171.209/ec.csv</t>
  </si>
  <si>
    <t>sudo systemctl restart apache2</t>
  </si>
  <si>
    <t>sudo chmod 644 /var/www/html/ec.csv</t>
  </si>
  <si>
    <t>Commands</t>
  </si>
  <si>
    <t>Fed Chair Powell Testifies</t>
  </si>
  <si>
    <t>NZD</t>
  </si>
  <si>
    <t>RBNZ Interest Rate Decision</t>
  </si>
  <si>
    <t>-12.157M</t>
  </si>
  <si>
    <t>10-Year Note Auction</t>
  </si>
  <si>
    <t>GBP</t>
  </si>
  <si>
    <t>GDP (MoM) (May)</t>
  </si>
  <si>
    <t>German CPI (MoM) (Jun)</t>
  </si>
  <si>
    <t>Core CPI (MoM) (Jun)</t>
  </si>
  <si>
    <t>CPI (YoY) (Jun)</t>
  </si>
  <si>
    <t>CPI (MoM) (Jun)</t>
  </si>
  <si>
    <t>238K</t>
  </si>
  <si>
    <t>30-YearBond Auction</t>
  </si>
  <si>
    <t>PPI (MoM) (Jun)</t>
  </si>
  <si>
    <t>sudo mv ~/ec.csv /var/www/html/</t>
  </si>
  <si>
    <t>sudo python3 generate_html3.py</t>
  </si>
  <si>
    <t>http://35.246.171.209/economic_calendar.html</t>
  </si>
  <si>
    <t>CNY</t>
  </si>
  <si>
    <t>GDP (YoY) (Q2)</t>
  </si>
  <si>
    <t>Core Retail Sales (MoM) (Jun)</t>
  </si>
  <si>
    <t>Retail Sales (MoM) (Jun)</t>
  </si>
  <si>
    <t>-3.443M</t>
  </si>
  <si>
    <t>Deposit Facility Rate (Jul)</t>
  </si>
  <si>
    <t>ECB Interest Rate Decision (Jul)</t>
  </si>
  <si>
    <t>222K</t>
  </si>
  <si>
    <t>Philadelphia Fed Manufacturing Index (Jul)</t>
  </si>
  <si>
    <t>ECB Press Conference</t>
  </si>
  <si>
    <t>Notes</t>
  </si>
  <si>
    <t>Existing Home Sales (Jun)</t>
  </si>
  <si>
    <t>4.00M</t>
  </si>
  <si>
    <t>4.11M</t>
  </si>
  <si>
    <t>Alphabet Q2 Earnings Report</t>
  </si>
  <si>
    <t>R: $84.14B | EPS 1.84 | P $23B</t>
  </si>
  <si>
    <t>After hours</t>
  </si>
  <si>
    <t>Tesla Q2 Earnings Report</t>
  </si>
  <si>
    <t>R: $24.6B | EPS $0.46 | P $1.7B</t>
  </si>
  <si>
    <t>HCOB Germany Services PMI (Jul) P</t>
  </si>
  <si>
    <t>Imp. 2 | EURCAD</t>
  </si>
  <si>
    <t xml:space="preserve">HCOB Eurozone Services PMI (Jul) P </t>
  </si>
  <si>
    <t>S&amp;P Global US Manufacturing PMI (Jul) P</t>
  </si>
  <si>
    <t>S&amp;P Global Services PMI (Jul) P</t>
  </si>
  <si>
    <t>CAD</t>
  </si>
  <si>
    <t>BoC Interest Rate Decision</t>
  </si>
  <si>
    <t>EURCAD</t>
  </si>
  <si>
    <t>New Home Sales (Jun)</t>
  </si>
  <si>
    <t>640K</t>
  </si>
  <si>
    <t>619K</t>
  </si>
  <si>
    <t>0.700M</t>
  </si>
  <si>
    <t>-4.870M</t>
  </si>
  <si>
    <t>Durable Goods Orders (MoM) (Jun)</t>
  </si>
  <si>
    <t>GDP (QoQ) (Q2) P</t>
  </si>
  <si>
    <t>243K</t>
  </si>
  <si>
    <t>Core PCE Price Index (MoM) (Jun)</t>
  </si>
  <si>
    <t>if lower-than-expected, B USD | I Copper</t>
  </si>
  <si>
    <t>Core PCE Price Index (YoY) (Jun)</t>
  </si>
  <si>
    <t>PCE Price Index (MoM) (Jun)</t>
  </si>
  <si>
    <t>PCE Price Index (YoY) (Jun)</t>
  </si>
  <si>
    <t>x</t>
  </si>
  <si>
    <t>German GDP (QoQ) (Q2) P</t>
  </si>
  <si>
    <t>-Slowdown in growth for Germany, Italy, Spain</t>
  </si>
  <si>
    <t>German CPI (MoM) (Jul) P</t>
  </si>
  <si>
    <t>CB Consumer Confidence (Jul)</t>
  </si>
  <si>
    <t>JOLTs Job Openings (Jun)</t>
  </si>
  <si>
    <t>8.140M</t>
  </si>
  <si>
    <t>AMD Earnings Report</t>
  </si>
  <si>
    <t>-Support zone***: 136/134
-Resistance Zone***: 145/148.5</t>
  </si>
  <si>
    <t>Microsoft Earnings Report</t>
  </si>
  <si>
    <t>-Support zone***: 409/406
-Resistance Zone***: 430/432</t>
  </si>
  <si>
    <t>Manufacturing PMI (Jul)</t>
  </si>
  <si>
    <t>JPY</t>
  </si>
  <si>
    <t>BoJ Interest Rate Decision</t>
  </si>
  <si>
    <t>-Forecast: Possible rate hike (30% chance)
-Reducing monthly bond purchases</t>
  </si>
  <si>
    <t>CPI (YoY) (Jul) P</t>
  </si>
  <si>
    <t>ADP Nonfarm Employment Change (Jul)</t>
  </si>
  <si>
    <t>150K</t>
  </si>
  <si>
    <t>Chicago PMI (Jul)</t>
  </si>
  <si>
    <t>-3.741M</t>
  </si>
  <si>
    <t>FOMC Statement</t>
  </si>
  <si>
    <t>-Forecast: Rate cut in Sept
-Fed Chair J. Powell may signal rate cut</t>
  </si>
  <si>
    <t>Fed Interest Rate Decision</t>
  </si>
  <si>
    <t>-Forecast: Rate cut in Sept</t>
  </si>
  <si>
    <t>FOMC Press Conference</t>
  </si>
  <si>
    <t>Meta</t>
  </si>
  <si>
    <t>-Support zone***: 459/454
-Resistance Zone***: 478/487</t>
  </si>
  <si>
    <t>ARM</t>
  </si>
  <si>
    <t>-Support zone***: 140/137
-Resistance Zone***: 164/170</t>
  </si>
  <si>
    <t>BoE Interest Rate Decision (Aug)</t>
  </si>
  <si>
    <t>-Forecast: Possible rate cut (50% chance)
-New inflation &amp; growth forecasts</t>
  </si>
  <si>
    <t>235K</t>
  </si>
  <si>
    <t>S&amp;P Global US Manufacturing PMI (Jul)</t>
  </si>
  <si>
    <t>ISM Manufacturing PMI (Jul)</t>
  </si>
  <si>
    <t>ISM Manufacturing Prices (Jul)</t>
  </si>
  <si>
    <t>Amazon</t>
  </si>
  <si>
    <t>-Support zone***: 178/174
-Resistance Zone***: 186/89</t>
  </si>
  <si>
    <t>Apple</t>
  </si>
  <si>
    <t>-Support zone***: 214/209
-Resistance Zone***: 222/226</t>
  </si>
  <si>
    <t>Intel</t>
  </si>
  <si>
    <t>-Support zone***: 30.25/29.7
-Resistance Zone***: 32.55/33.75</t>
  </si>
  <si>
    <t>Average Hourly Earnings (MoM) (Jul)</t>
  </si>
  <si>
    <t>Nonfarm Payrolls (Jul)</t>
  </si>
  <si>
    <t>185K</t>
  </si>
  <si>
    <t>206K</t>
  </si>
  <si>
    <t>Unemployment Rate (Jul)</t>
  </si>
  <si>
    <t>- Lower-than-expected PMI could indicate a weakening services sector, potentially leading to increased recession fears and rate cuts, impacting US500.</t>
  </si>
  <si>
    <t>ISM Non-Manufacturing PMI (Jul)</t>
  </si>
  <si>
    <t>- A lower PMI may lead to heightened concerns over economic slowdown, further supporting Fed rate cut expectations, impacting US500.</t>
  </si>
  <si>
    <t>ISM Non-Manufacturing Prices (Jul)</t>
  </si>
  <si>
    <t>-Changes in pricing pressure could influence inflation outlook, with higher values leading to inflation concerns, influencing Fed policy and US500.</t>
  </si>
  <si>
    <t>Lucid</t>
  </si>
  <si>
    <t>-Support Zone***: 2.92/2.75
-Reistance Zone***: 3.70/3.88</t>
  </si>
  <si>
    <t>Palantir</t>
  </si>
  <si>
    <t>-Support Zone***: 22.81/222.07
-Reistance Zone***: 26.18/26.33</t>
  </si>
  <si>
    <t>Berkshire H</t>
  </si>
  <si>
    <t>-Support Zone***: 422/416
-Reistance Zone***: 439/444
-Berkshire Hathaway’s reduced equity holdings and increased cash position may signal a bearish outlook on the economy, impacting US500.</t>
  </si>
  <si>
    <t>RBA Interest Rate Decision (Aug)</t>
  </si>
  <si>
    <t>-Holding rates steady may support AUD against USD; however, concerns over global economic slowdown may affect AUD/USD.</t>
  </si>
  <si>
    <t>-3.728M</t>
  </si>
  <si>
    <t>-1.600M</t>
  </si>
  <si>
    <t>-3.436M</t>
  </si>
  <si>
    <t>-Lower inventories could indicate supply constraints, potentially impacting oil prices and market sentiment</t>
  </si>
  <si>
    <t>- Bond yields may be influenced by increased demand for safe assets amid economic uncertainty, impacting USD and equities.</t>
  </si>
  <si>
    <t>Supermicro</t>
  </si>
  <si>
    <t>-Support Zone***: 582/569
-Reistance Zone***: 655/663</t>
  </si>
  <si>
    <t>241K</t>
  </si>
  <si>
    <t>249K</t>
  </si>
  <si>
    <t>- Higher-than-expected claims could signal labor market weakness, increasing recession fears and supporting rate cut expectations, affecting USD and AUD/USD.</t>
  </si>
  <si>
    <t>30-Year Bond Auction</t>
  </si>
  <si>
    <t>- Rising bond yields may reflect increased risk aversion and demand for safe assets amid economic concerns.</t>
  </si>
  <si>
    <t>LILY</t>
  </si>
  <si>
    <t>-Support Zone***: 789/776
-Reistance Zone***: 921/929</t>
  </si>
  <si>
    <t>German CPI (MoM) (Jul)</t>
  </si>
  <si>
    <t>- Higher inflation may lead to reduced ECB rate cuts, supporting EUR against CAD, especially if Canadian data shows economic weakness.</t>
  </si>
  <si>
    <t>Next Scheduled FOMC Meet</t>
  </si>
  <si>
    <t>Source: Bloomberg, ADSS, News Articles, Company Research. Notes as of 5PM, 5th Aug'24</t>
  </si>
  <si>
    <t xml:space="preserve"> Tue </t>
  </si>
  <si>
    <t>PPI (MoM) (Jul)</t>
  </si>
  <si>
    <t>Lower-than-expected PPI coild ease inflation concerns, supporting the case for Fed rate cuts and impacting USD negatively</t>
  </si>
  <si>
    <t xml:space="preserve"> Wed </t>
  </si>
  <si>
    <t>According to Bloomberg, there is 77% probability of a 25-basis point rate cut. Expected rate cut could lead to NZD depreciation; however a strong commitment to lowering inflation may limit losses against USD. RBNZ press conference at 8:30 am.</t>
  </si>
  <si>
    <t>CPI (YoY) (Jul)</t>
  </si>
  <si>
    <t>Lower-than-expected inflation could pressure the BoE to consider rate cuts, impacting GBP negatively and potentially boosting UK100.</t>
  </si>
  <si>
    <t>Core CPI (MoM) (Jul)</t>
  </si>
  <si>
    <t>Lower core CPI could strengthen the case for aggressive Fed rate cuts, weakening USD and impacting commodities like oil.</t>
  </si>
  <si>
    <t>Slight decrease expected; weaker inflation figures could lead to increased expectations for rate cuts, affecting USD.</t>
  </si>
  <si>
    <t>CPI (MoM) (Jul)</t>
  </si>
  <si>
    <t>Continued inventory drawdown may provide temporary support to oil prices, but broader demand concerns, especially from China, could pressure Brent.</t>
  </si>
  <si>
    <t xml:space="preserve"> Thu </t>
  </si>
  <si>
    <t>GDP (YoY) (Q2) P</t>
  </si>
  <si>
    <t>Positive GDP growth could bolster UK100, but any downside surprise may raise concerns over economic stability, impacting GBP negatively.</t>
  </si>
  <si>
    <t>GDP (MoM) (Jun) P</t>
  </si>
  <si>
    <t>Steady growth supports UK100, but volatility may arise if figures deviate significantly.</t>
  </si>
  <si>
    <t>Continued GDP growth could postively impact the UK100 index, boosting investor confidence in the British economy.</t>
  </si>
  <si>
    <t>Core Retail Sales (MoM) (Jul)</t>
  </si>
  <si>
    <t>Weaker retail could signal slowing consumer demand, increasing recession fears and supporting rate cut expectations, affecting USD.</t>
  </si>
  <si>
    <t>Stable jobless claims could maitain current economic outlook, but any significant deviation could impact Fed decisions and USD.</t>
  </si>
  <si>
    <t>Philadelphia Fed Manufacturing Index (Aug)</t>
  </si>
  <si>
    <t>Lower-than-expected manufacturing index may indicate economic slowdown, influencing Fed policy and potentially weakening USD.</t>
  </si>
  <si>
    <t>Retail Sales (MoM) (Jul)</t>
  </si>
  <si>
    <t>Retail sales growth, though modest, could support the case for maintaining current rates;  weak sales may increase rate cut expectations, affecting USD.</t>
  </si>
  <si>
    <t>-1.900M</t>
  </si>
  <si>
    <t>1.3570M</t>
  </si>
  <si>
    <t>227K</t>
  </si>
  <si>
    <t>236K</t>
  </si>
  <si>
    <t>234K</t>
  </si>
  <si>
    <t>Source: Bloomberg, ADSS, News Articles, Company Research. Notes as of 5PM, 18th Aug'24</t>
  </si>
  <si>
    <t>cd /var/www/html/</t>
  </si>
  <si>
    <t>SEK</t>
  </si>
  <si>
    <t>Riksbank Interest Rate Decision</t>
  </si>
  <si>
    <t>Markets are fully pricing in a rate cut by the Riksbank, with the primary debate centered around whether the cut will be 25 or 50 basis points.</t>
  </si>
  <si>
    <t>A lower-than-expected figure could pressure the European Central Bank (ECB) to adopt a more dovish stance, potentially weakening the Euro</t>
  </si>
  <si>
    <t>-4.649M</t>
  </si>
  <si>
    <t>-2.000M</t>
  </si>
  <si>
    <t>1.357M</t>
  </si>
  <si>
    <t>The weekly oil inventory data could influence global oil prices, especially in the context of economic growth concerns. Continued drawdowns may temporarily support prices, but broader economic trends, particularly in China, could limit gains. Investors are watching closely as energy costs remain a significant factor in the inflation outlook.</t>
  </si>
  <si>
    <t>These minutes will provide insight into the Fed’s internal discussions regarding rate cuts. Markets will be looking for signs of how aggressive the Fed might be in reducing rates, especially given the recent data on retail sales and jobless claims suggesting economic resilience. The minutes are likely to play a crucial role in setting market expectations for a potential soft landing.</t>
  </si>
  <si>
    <t>232K</t>
  </si>
  <si>
    <t>Stable jobless claims are essential for maintaining the current economic outlook. Any significant deviation could impact the Fed’s decisions and the USD. Given recent strong labor market data, markets will be sensitive to any signs of weakening, which could support the case for rate cuts and influence USDXXX pairs.</t>
  </si>
  <si>
    <t>S&amp;P Global US Manufacturing PMI (Aug) P</t>
  </si>
  <si>
    <t>The PMI figures are a key indicator of the health of the manufacturing sector. Weak numbers could suggest economic slowing, raising concerns over a potential recession. However, this could also strengthen the case for a Fed rate cut, which is generally supportive of equities, including the Nasdaq.</t>
  </si>
  <si>
    <t>S&amp;P Global Services PMI (Aug) P</t>
  </si>
  <si>
    <t>Existing Home Sales (Jul)</t>
  </si>
  <si>
    <t xml:space="preserve"> 3.95M </t>
  </si>
  <si>
    <t xml:space="preserve"> 3.92M </t>
  </si>
  <si>
    <t xml:space="preserve"> 3.89M </t>
  </si>
  <si>
    <t>The housing market data will be closely watched as an indicator of consumer confidence and economic stability. A strong report could ease concerns about a slowing economy, while weaker-than-expected numbers could add to recession fears and support the case for rate cuts.</t>
  </si>
  <si>
    <t xml:space="preserve"> Fri </t>
  </si>
  <si>
    <t xml:space="preserve">BOJ Gov. Ueda speaks </t>
  </si>
  <si>
    <t xml:space="preserve">BoJ Governor Kazuo Ueda will speak at a lower parliamentary committee from 9:30 a.m. to noon wrt July Hike. BoJ Governor Kazuo Ueda will provide insights into Japan’s economic outlook following the July rate hike. His comments could influence global markets, particularly the JPY and USDXXX pairs. </t>
  </si>
  <si>
    <t>Fed Chair Powell Speaks | Jackson Hole</t>
  </si>
  <si>
    <t>This is one of the most anticipated events of the week. Powell’s remarks will likely shape expectations for future Fed rate cuts. His comments will be crucial for understanding the Fed’s outlook on inflation, employment, and the broader economy, with significant implications for both FX and equity markets, including the Nasdaq. The focus will be on whether Powell signals a potential soft landing for the US economy.</t>
  </si>
  <si>
    <t>New Home Sales (Jul)</t>
  </si>
  <si>
    <t>739K</t>
  </si>
  <si>
    <t>628K</t>
  </si>
  <si>
    <t>617K</t>
  </si>
  <si>
    <t>Durable Goods Orders (MoM) (Jul)</t>
  </si>
  <si>
    <r>
      <t xml:space="preserve">The significant rebound in durable goos orders suggeets stabilization in business investments, which could be a positive signal for the US economy. This data reinforces expectations for a soft landing.
</t>
    </r>
    <r>
      <rPr>
        <i/>
        <sz val="9"/>
        <color theme="1"/>
        <rFont val="Verdana"/>
        <family val="2"/>
      </rPr>
      <t xml:space="preserve">If actual data is better than forecasted, it could strenghthen the USD and positively imapct NASDAQ, as it signals economic resilience. If data is worse than expected, it may weaken the USD and pressure NASDAQ, raising concerns about economic slowdown. </t>
    </r>
  </si>
  <si>
    <t>German GDP (QoQ) (Q2)</t>
  </si>
  <si>
    <r>
      <t xml:space="preserve">The slight contraction in Germany's GDP raises concerns about the broader Eurozone economy. Investors will be watching closely for signals from the ECB regarding potential rate cuts. 
</t>
    </r>
    <r>
      <rPr>
        <i/>
        <sz val="9"/>
        <color theme="1"/>
        <rFont val="Verdana"/>
        <family val="2"/>
      </rPr>
      <t xml:space="preserve">Better-than-expected GDP could support the Euro and ease concerns about a Eurozone recession, while worse-than-expected data could weaken the Euro and increase the likelihood of a soft landing through potential ECB rate cuts. </t>
    </r>
  </si>
  <si>
    <t>CB Consumer Confidence (Aug)</t>
  </si>
  <si>
    <r>
      <t xml:space="preserve">Further declines could prompt the Fed to consider more aggressive rate cuts. 
</t>
    </r>
    <r>
      <rPr>
        <i/>
        <sz val="9"/>
        <color theme="1"/>
        <rFont val="Verdana"/>
        <family val="2"/>
      </rPr>
      <t>Stronger-than-expected consumer confidence could bolster the USD and NASDAQ, supporting the soft landing narrative. If confidence falls short, it may increase expectations for larger rate cuts, potentially weakening the USD.</t>
    </r>
  </si>
  <si>
    <r>
      <t xml:space="preserve">Continued drawdowns in oil inventories could temporarily support oil prices, but broader economic trends, particularly in China, might limit gains.
</t>
    </r>
    <r>
      <rPr>
        <i/>
        <sz val="9"/>
        <color theme="1"/>
        <rFont val="Verdana"/>
        <family val="2"/>
      </rPr>
      <t xml:space="preserve">If inventories drop more than expected, oil prices might rise. Converserly, with smaller-than-expected drawdowns, oil prices might decline.   </t>
    </r>
  </si>
  <si>
    <t>NVIDIA Earnings Report (Q2)</t>
  </si>
  <si>
    <r>
      <t xml:space="preserve">NVIDIA's earnings report is critical for NASDAQ, given its influence on the tech sector. Investors are watching if NVIDIA meets or exceeds projections of $0.64 EPS &amp; $28.65 billion in revenue.
</t>
    </r>
    <r>
      <rPr>
        <i/>
        <sz val="9"/>
        <color theme="1"/>
        <rFont val="Verdana"/>
        <family val="2"/>
      </rPr>
      <t xml:space="preserve">If NVIDIA outperforms expectations, it could drive NASDAQ higer, reinforcing confidence in a soft landing. A miss could trigger a sell-off in tech stocks, potentially impacting broader market sentiment. </t>
    </r>
  </si>
  <si>
    <t>German CPI (MoM) (Aug) P</t>
  </si>
  <si>
    <r>
      <t xml:space="preserve">German CPI will influence ECB's upcoming decisions. A lower-than-expected CPI could increase the likelihood of rate cuts, impacting the Euro. </t>
    </r>
    <r>
      <rPr>
        <i/>
        <sz val="9"/>
        <color theme="1"/>
        <rFont val="Verdana"/>
        <family val="2"/>
      </rPr>
      <t xml:space="preserve">
Higher-than-expected CPI could reduce chances of ECB rate cuts, strengthening the Euro, while lower CPI would likely weaken the Euro, supporting the softlanding narrative by justfying further easing. </t>
    </r>
  </si>
  <si>
    <t>US GDP (QoQ) (Q2) P</t>
  </si>
  <si>
    <r>
      <t xml:space="preserve">The stronger-than-expected GDP growth suggests US economic resilience, reducing the urgency for aggressive rate cuts. 
</t>
    </r>
    <r>
      <rPr>
        <i/>
        <sz val="9"/>
        <color theme="1"/>
        <rFont val="Verdana"/>
        <family val="2"/>
      </rPr>
      <t>Better-than-expected GDP would likely boost the USD and NASDAQ, reinforcing the soft landing scenario. Lower-than-expected GDP might raise concerns about economic slowing, weakening the USD &amp; NASDAQ.</t>
    </r>
  </si>
  <si>
    <t xml:space="preserve">Lower-than-expected claims could strengthen the USD and NASDAQ, signaling a robust labor market supportive of a soft landing. Higher claims could weaken the USD and raise concerns about economic resilience. </t>
  </si>
  <si>
    <t>Europe CPI (YoY) (Aug) P</t>
  </si>
  <si>
    <r>
      <t xml:space="preserve">The European CPI will be a key data point for the ECB's policy decisions. </t>
    </r>
    <r>
      <rPr>
        <i/>
        <sz val="9"/>
        <color theme="1"/>
        <rFont val="Verdana"/>
        <family val="2"/>
      </rPr>
      <t xml:space="preserve">
If CPI is lower than expected, it could pressure the Euro and boost equities like ESTOX, aligning with expectations for ECB rate cuts. Higher CPI might strengthen the Euro but dampen equity markets, impacting the softlanding narrative. </t>
    </r>
  </si>
  <si>
    <t>Core PCE Price Index (YoY) (Jul)</t>
  </si>
  <si>
    <t>Core PCE Price Index (MoM) (Jul)</t>
  </si>
  <si>
    <r>
      <t xml:space="preserve">The Core PCE index is the Fed's preferred inflation measure. </t>
    </r>
    <r>
      <rPr>
        <i/>
        <sz val="9"/>
        <color theme="1"/>
        <rFont val="Verdana"/>
        <family val="2"/>
      </rPr>
      <t xml:space="preserve">
Better-than-expected PCE could reduce expectations for aggressive rate cuts, supporting the USD, potentially impacting the softlanding narrative. </t>
    </r>
  </si>
  <si>
    <t>Chicago PMI (Aug)</t>
  </si>
  <si>
    <t xml:space="preserve">The Chicago PMI will provide insights into the health of the manufacturing sector. A reading below expectations could reinforce concerns about a potential economic slowdown.
Higher-than-expected PMI could boost the USD, signalling economic resilience and supporting the softlanding narrative. Lowe PMI might weaken USD and raise recession fears. </t>
  </si>
  <si>
    <t>Manufacturing PMI (Aug)</t>
  </si>
  <si>
    <r>
      <t>China's PMI data will have global implications, particularly for commodity markets and global growth outlooks.</t>
    </r>
    <r>
      <rPr>
        <i/>
        <sz val="9"/>
        <color theme="1"/>
        <rFont val="Verdana"/>
        <family val="2"/>
      </rPr>
      <t xml:space="preserve">
Better-than-expected PMI could ease global growth concerns, positively impacting commodity prices and global equities. Lower PMI might trigger risk-off sentiment, weakening commodities and equities globally.</t>
    </r>
  </si>
  <si>
    <t>Source: Bloomberg, ADSS, News Articles, Company Research. Notes as of 25th Aug 2024</t>
  </si>
  <si>
    <t>-2.700M</t>
  </si>
  <si>
    <t>-0.846M</t>
  </si>
  <si>
    <t>231K</t>
  </si>
  <si>
    <t>http://35.222.178.176/ec20240901.csv</t>
  </si>
  <si>
    <t>CHF</t>
  </si>
  <si>
    <t>CPI (MoM) (Aug)</t>
  </si>
  <si>
    <t>Swiss inflation data plays a crucial roles in shaping the Swiss National Bank's monetary policy. Notably, the SNB was the first major central bank to initiate interest rate cuts, followed by the Canadian, European, and British central banks. This shift was driven by a decline in Swiss inflation, allowing for a more accomodative monetary stance. The previous Swiss inflaiton reading was -0.2%, so a further decline could prompt the SNB to consider current the interest rate of 1.25%, potentially boosting the performance of the Swiss stock index and strengthening of XXXCHF pairs. 
Probable impact on Assets: EURCHF | USDCHF | AUDCHF</t>
  </si>
  <si>
    <t>Stronger than expected reading supports softlanding narrative. 
A reading that is stronger than forecast is generally suppportive (bullish) for the USD while a weaker than forecast reading is generally negative (bearish) for the USD.
Probable impact on Assets: USDJPY | EURUSD</t>
  </si>
  <si>
    <t>ISM Manufacturing PMI (Aug)</t>
  </si>
  <si>
    <t>ISM Manufacturing Prices (Aug)</t>
  </si>
  <si>
    <t>Markets will monitor the BoC's interest rate decision this week. According to Bloomberg, this is expected to result in a 25-basis point cut from 4.5% to 4.25%.
The decline in Canadian inflation levels, nearing the 2% target, has led markets to anticipate a 25-basis point cut for the BoC's remaining meetings this year. 
Investors will pay close attention to the BoC press conference for further insights into Canadian Monteray Policy. Any hints from the BoC's president about the possibility of halting rate cuts before the year-end could support the Canadian dollar against other major currencies like the euro. 
Probable impact on Asset: EURCAD</t>
  </si>
  <si>
    <t>JOLTs Job Openings (Jul)</t>
  </si>
  <si>
    <t>8.000M</t>
  </si>
  <si>
    <t>8.184M</t>
  </si>
  <si>
    <t>ADP Nonfarm Employment Change (Aug)</t>
  </si>
  <si>
    <t>136K</t>
  </si>
  <si>
    <t>122K</t>
  </si>
  <si>
    <t>Weaker than expected reading supports softlanding narrative. 
A reading that is stronger than forecast is generally negative (bearish) for the USD while a weaker than forecast reading is generally supportive (bullish) for the USD.
Probable impact on Assets: USDJPY | EURUSD</t>
  </si>
  <si>
    <t>Services PMI (Aug)</t>
  </si>
  <si>
    <t>ISM Non-Manufacturing PMI (Aug)</t>
  </si>
  <si>
    <t>ISM Non-Manufacturing Prices (Aug)</t>
  </si>
  <si>
    <t>Crudel Oil Inventories</t>
  </si>
  <si>
    <t>If the increase in crude inventories is more than expected, it implies weaker demand and is bearish for crude prices. The same can be said if a decline in inventories is less than expected.
If the increase in crude is less than expectedm it implies greater demand and is bullish for crude prices. The same can be said if a decline in inventories is more than expected. 
Probable impact on Assets: USOILRoll</t>
  </si>
  <si>
    <t>Average Hourly Earnings (MoM) (Aug)</t>
  </si>
  <si>
    <t>Stronger than expected reading supports softlanding narrative. 
A reading that is stronger than forecast is generally suppportive (bullish) for the USD while a weaker than forecast reading is generally negative (bearish) for the USD.
Probable impact on Asset: US2000 | USDJPY | EURUSD</t>
  </si>
  <si>
    <t>Non Farm Payrolls (Aug)</t>
  </si>
  <si>
    <t>155K</t>
  </si>
  <si>
    <t>114K</t>
  </si>
  <si>
    <t>All eyes will be on the US jobs report for August, which will provide a snapshot of the US labour market. This comes after the July report highlighted a significant weakening in labour market strenght and a rise in unemployment, increasing concerns of a potential recession in the US and trigerring a major sell-off in the stock market.
Bloomberg forecasts that the US economy may add 155,000 jobs in the August, with unemployment levels expected to drop from 4.3% to 4.2%. Any data falling short of expectations could underscore the fragility of the US labour market, increasing the likelihood of a 50-basis point interest rate cut by the Federal Reserve, instead of the 25-basis points currently priced by markets. This could have a positive impact on US stock indices, such as the US2000.
Probable impact on Asset: US2000</t>
  </si>
  <si>
    <t>A strong report, indicating falling unemployment rate, could ease concerns about an economic slowdown and support the narrative of a soft landing.</t>
  </si>
  <si>
    <t>CPI Report</t>
  </si>
  <si>
    <t>A continued easing of inflation could give the Fed more room to implement rate cuts without stoking inflation fears, supporting the case for a soft landing.</t>
  </si>
  <si>
    <t xml:space="preserve">USD </t>
  </si>
  <si>
    <t xml:space="preserve">A continued easing of inflation could give the Fed more room to implement rate cuts without stoking inflation fears, supporting the case for a soft landing. </t>
  </si>
  <si>
    <t>Source: Bloomberg, ADSS, News Articles, Company Research. Notes as of 2nd September 2024, 8PM.</t>
  </si>
  <si>
    <t>German CPI (MoM) (Aug)</t>
  </si>
  <si>
    <t>A higher than expected reading should be taken as positive/bullish for the EUR, while a lower than expected reading should be taken as negative/bearish for the EUR. 
Historical impact on Assets: EURUSD | EURAUD</t>
  </si>
  <si>
    <t>OPEC Monthly Report</t>
  </si>
  <si>
    <t>This report delves into the prominent issues impacting the global oil market, offering an in-depth analysis of pivotal developments influencing the trajectory of global oil demand. It also showcases the trends in supply levels and the balance between them for the current and upcoming years. 
Last week, oil prices tested their lowest levels of the year. This was down to several key factors, inlcuding concerns over declining Chinese demand, an expceted increase in supply following the end of voluntary cuts by OPEC+, and easing geopolitical tensiosn with relative calm in the Middle East. As a result, it fell below the $75 per barrel mark. Any further reduction in the expected demand levels in OPEC's upcoming monthly report could negatively impact Brent cryde prices. 
Historical Impact on Assets: EURUSD | UK Oil (Brent)</t>
  </si>
  <si>
    <t>U.S presidential debate between Donald Trump and Kamala Harris</t>
  </si>
  <si>
    <t>Currency movements are influenced by the candidates’ policy positions.
Historical impact on Assets: EURUSD | USDJPY | AUDUSD</t>
  </si>
  <si>
    <t>GDP (MoM) (Jul)</t>
  </si>
  <si>
    <t>A higher than expected reading should be taken as positive/bullish for the GBP, while a lower reading should be taken as negative/bearish for the GBP
Historical impact on Assets: GBPUSD | EURGBP</t>
  </si>
  <si>
    <t>Core CPI (MoM) (Aug)</t>
  </si>
  <si>
    <t>In July, YoY inflation stabilised at 2.9% and Bloomberg expects it to decline to 2.6% in August because of falling global energy prices. Meanwhile, the MoM core inflation is expected to hold steady at 0.2%
Any higher-than-expected inflation data suggests the Federal Reserve could cut interest rates by just 25 basis points in its upcoming September meeting, providing slight support to the US dollar. On the other hand, lower-than-expected data would increase the likelihood of 50-basis point cut, potentially boosting US stock indices such as the US2000.
Historical impact on Assets: EURUSD | RUSS2000 | AUDUSD</t>
  </si>
  <si>
    <t>CPI (YoY) (Aug)</t>
  </si>
  <si>
    <t>-6.873M</t>
  </si>
  <si>
    <t>If the increase in crude inventories is more than expected, it implies weaker demand and is bearish fo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</si>
  <si>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U.S. Treasury Notes have maturities of two to ten years. Governments issue treasuries to borrow money to cover the gap between the amount they receive in taxes and the amunt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NAS100</t>
  </si>
  <si>
    <t>PPI (MoM) (Aug)</t>
  </si>
  <si>
    <t>A higher than expected reading should be taken as positive/bullish for the JPY, while a lower than expected reading should be taken as negative/bearish for the JPY. 
Historical impact on Assets: USDJPY | AUDJPY</t>
  </si>
  <si>
    <t>PPI (YoY) (Aug)</t>
  </si>
  <si>
    <t>Deposit Facility Rate (Sep)</t>
  </si>
  <si>
    <t>According to Bloomberg, the ECB is expected to cut interest rates by 25 basis points in the September Session.
Investors will also closely follow ECB President Christine Lagarde's press conference for insights into the central bank's future monetary policy direction. Any indication of expected rate cuts this year may postively impact European stock indices such as the French CAC. Conversely, any hint of a potential slowdown in the pace of rate cuts could provide support to the euro.
Historical impact on Assets: FRA40Roll, EURUSD</t>
  </si>
  <si>
    <t>ECB Interest Rate Decision (Sep)</t>
  </si>
  <si>
    <t>229K</t>
  </si>
  <si>
    <t>A higher than expected reading should be taken as negative/bearish for the USD, while a lower than expected reading should be taken as positive/bullish for the USD.
Historical impact on Assets: EURUSD | USDJPY | AUDUSD</t>
  </si>
  <si>
    <t>A higher than expected reading should be taken as positive/bullish for the USD, while a lower than expected reading should be taken as negative/bearish for the USD.
Historical impact on Assets: EURUSD | USDJPY | AUDUSD</t>
  </si>
  <si>
    <t>U.S Treasury Bonds have maturities from ten up to 30 years. Governments issue treasuries to borrow money to cover the gap between the amount they receive in taxes and the amount they spend to refinance exisiting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US30Roll</t>
  </si>
  <si>
    <t>Industrial Production (MoM) (Jul)</t>
  </si>
  <si>
    <t>U. Michigan Consumer Sentiment (Sep) P</t>
  </si>
  <si>
    <t>A higher than expected reading should be taken as positive/bullish for the USD, while a lower than expected reading should be taken as negative/bearish for the USD. 
Historical impact on Assets: EURUSD | AUDUSD | USDJPY</t>
  </si>
  <si>
    <t>-0.833M</t>
  </si>
  <si>
    <t>-0.900M</t>
  </si>
  <si>
    <t>230K</t>
  </si>
  <si>
    <t>Core Retail Sales (MoM) (Aug)</t>
  </si>
  <si>
    <t>US retail sales data for August is set for release this week, and Bloomberg expects the number to decline from July's figure of 1.0% to 0.2%. If it comes in above expectations, it could elevate inflation levels, strengthening the US dollar against other major currencies, and vice versa. At the same time, markets will also look forward to Canadian inflation data for August. Bloomberg forecasts suggest that YoY CPI will decrease from 2.5% in July to 2.1% in August, largely due to falling energy prices. The YoY Core CPI is also expected to drop slightly from 2.7% in July to 2.6% in August. Higher-than-expected readings could prompt the Bank of Canada to consider slowing its rate cuts pace, providing support for the Canadian dollar against major currencies like the US dollar.</t>
  </si>
  <si>
    <t>Retail Sales (MoM) (Aug)</t>
  </si>
  <si>
    <t>Core CPI (YoY) (Aug)</t>
  </si>
  <si>
    <t>A reading that is stronger than forecast is generally supportive (bullish) for the GBP, while a weaker than forecast reading is generally negative (bearish) for the GBP</t>
  </si>
  <si>
    <t>A reading that is stronger than forecast is generally supportive (bullish) for the EUR, while a weaker than forecast reading is generally negative (bearish) for the EUR</t>
  </si>
  <si>
    <t>-1.630M</t>
  </si>
  <si>
    <t>-0.200M</t>
  </si>
  <si>
    <t>0.833M</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</si>
  <si>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t>
  </si>
  <si>
    <t>FOMC Economic Projections</t>
  </si>
  <si>
    <t>Markets will closely watch the Federal Reserve's interest rate decision, the central bank's projections for growth, inflation, and unemployment levels for the upcoming year, as well as the Fed dot plot and the subsequent press conference by Federal Reserve Chairman Jerome Powell. The US Consumer Price Index data for August met expectations, with the headline at 2.5% and the core 3.2%. According to Bloomberg, markets anticipate the Federal Reserve will reduce interest rates by 25 basis points at its September meeting. Investors will play close attention to Chairman Powell's press conference in particular, following the rate decision to gauge the Federal Reserve's assessment of the US economy's performance and whether it is on path towards recession. The conference will also provide insights into the pace of interest rate cuts, as reflected in the Fed dot plot, and whether there may be an increase in rate cuts before the year's end. Any indication of a faster pace could negatively impact the US dollar and positively influence precious metals prices, such as silver.</t>
  </si>
  <si>
    <t>BoE Interest Rate Decision (Sep)</t>
  </si>
  <si>
    <t>Before the end of the week, traders will also focus on the Bank of England's interest rate decision. According to Bloomberg, the central bank is expected to maintain the current rate at 5.00%. Investors will pay close attention to the MPC voting split between those favouring unchanged rates and those advocating for cuts to predict the BoE's next step. Interest rates in the last meeting were notably reduced by 25 basis points with a narrow majority of five votes to four. Markets will also examine the minutes from the Bank of England's Monetary Policy Committee meeting for insights into the committee's views on the British economy and future monetary policy direction.</t>
  </si>
  <si>
    <t>219K</t>
  </si>
  <si>
    <t>A higher than expected reading should be taken as negative/bearish for the USD, while a lower than expected reading should be taken as positive/bullish for the USD.</t>
  </si>
  <si>
    <t>Philadelphia Fed Manufacturing Index (Sep)</t>
  </si>
  <si>
    <t>Existing Home Sales (Aug)</t>
  </si>
  <si>
    <t>3.86M</t>
  </si>
  <si>
    <t>3.92M</t>
  </si>
  <si>
    <t>3.96M</t>
  </si>
  <si>
    <t>As per Bloomberg, BoJ chief Kazuo Ueda is bound to get a lot of attention after the board sets policy on Friday. While economists are unanimous in predicting no change to borrowing costs, how the governor characterizes the trajectory could jolt Japan's currency, which has already spooked yen-carry traders by outperforming its peers so far this month. </t>
  </si>
  <si>
    <t>Manufacturing PMI (Sep) P</t>
  </si>
  <si>
    <t>A reading that is stronger than forecast is generally supportive (bullish) for the USD while a weaker than forecast reading is generally negative (bearish) for the USD.
Historical impact on Assets: EURUSD | USDJPY</t>
  </si>
  <si>
    <t>Services PMI (Sep) P</t>
  </si>
  <si>
    <t>A reading that is stronger than forecast is generally supportive (bullish) for the USD, while a weaker than forecast reading is generally negative (bearish) for the USD.
Historical impact on Assets: EURUSD | USDJPY</t>
  </si>
  <si>
    <t>AUD</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</si>
  <si>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The interest rate decision is followed by the press conference. 
A reading that is stronger than forecast is generally supportive (bullish) for the AUD, while a weaker than forecast reading is generally negative (bearish) for the AUD.
Historical impact on Assets: AUDUSD | AUDJPY</t>
  </si>
  <si>
    <t>RBA Rate Statement</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</si>
  <si>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A more dovish than expected statement could be taken as negative/bearish for the AUD, while a more hawkish than expected statement could be taken as positive/bullish for the AUD.
Historical impact on Assets: AUDUSD | AUDJPY</t>
  </si>
  <si>
    <t xml:space="preserve">
A reading that is stronger than forecast is generally supportive (bullish) for the USD, while a weaker than forecast reading is generally negative (bearish) for the USD.
Historical impact on Assets: EURUSD | USDJPY</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</si>
  <si>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</si>
  <si>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A reading that is stronger than forecast is generally supportive (bullish) for the CHF, while a weaker than forecast reading is generally negative (bearish) for the CHF.
Historical impact on assets: USDCHF | SMI</t>
  </si>
  <si>
    <t>SNB Press Conference</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</si>
  <si>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Historical impact on assets: USDCHF | SMI</t>
  </si>
  <si>
    <t>A reading that is higher than forecast is generally negative (bearish) for the USD, while a lower than forecast reading is generally supportive (bullish) for the USD.
Historical impact on Assets: EURUSD | USDJPY</t>
  </si>
  <si>
    <t xml:space="preserve">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		</t>
  </si>
  <si>
    <t>Traders will eagerly await the release of the US Personal Consumption Expenditures Index data for August, which is the Federal Reserve's preferred gauge of inflation in the US.
Bloomberg forecasts suggest the main index wull decrease annually from 2.5% in July to 2.3% in August, while the core index data on an annual basis could increase from 2.6% to 2.7%.
The Federal Reserve defied market expectations in its meeting last week by cutting US interest rates by 50 basis points instead of the anticipated 25. The Fed dot plot suggests the possibility of an additional 50 basis point cut by the end of the year. As a result, any weaker-than-expected data, particularly in core personal spending, could lead the US central bank to proceed with these cuts, potentialy boosting US stock indices, especially US500 &amp; US2000 index.
A reading that is stronger than forecast is generally supportive (bullish) for the USD, while a weaker than forecast reading is generally negative (bearish) for the USD.
Historical impact on assets: EURUSD | USDJPY | US500 | US2000</t>
  </si>
  <si>
    <t>A continued easing of inflation and robust labour market could give the Fed more room to implement rate cuts without stoking inflation fears, supporting the case for a soft landing.</t>
  </si>
  <si>
    <t>RBA Interest Rate Decision (Sep)</t>
  </si>
  <si>
    <t>CB Consumer Confidence (Sep)</t>
  </si>
  <si>
    <t>New Home Sales (Aug)</t>
  </si>
  <si>
    <t>SNB Interest Rate Decision (Q3)</t>
  </si>
  <si>
    <t>Durable Goods Orders (MoM) (Aug)</t>
  </si>
  <si>
    <t>Core PCE Price Index (MoM) (Aug)</t>
  </si>
  <si>
    <t>Core PCE Price Index (YoY) (Aug)</t>
  </si>
  <si>
    <t>700K</t>
  </si>
  <si>
    <t>716K</t>
  </si>
  <si>
    <t>-1.300M</t>
  </si>
  <si>
    <t>-4.471M</t>
  </si>
  <si>
    <t>224K</t>
  </si>
  <si>
    <t>218K</t>
  </si>
  <si>
    <t>Manufacturing PMI (Sep) (CNY)</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</si>
  <si>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 </t>
  </si>
  <si>
    <t>GDP (QoQ) (Q2) (GBP)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</si>
  <si>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GBPUSD</t>
  </si>
  <si>
    <t>GDP (YoY) (Q2) (GBP)</t>
  </si>
  <si>
    <t>German CPI (MoM) (Sep)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</si>
  <si>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</si>
  <si>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Chicago PMI (Sep)</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</si>
  <si>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</si>
  <si>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t>
  </si>
  <si>
    <t>CPI (YoY) (Sep)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</si>
  <si>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In August, the YoY consumer price index held steady at 2.2%, thanks to a notable drop in energy prices, while the YoY core consumer price index remained significantly above its target, at 2.8%.
It's important to highlight that markets have already priced in more than 60% chance of the ECB cutting interest rates by 25 basis points in its October meeting (according to Bloomberg). A further decline in September inflation, particularly in core CPI, could increase the likelihood of rate cuts even more, which may positively impact the European stock index, ESTOX. 
Historical impact on Assets: EURUSD | USDJPY | ESTOX</t>
  </si>
  <si>
    <t>Manufacturing PMI (Sep)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</si>
  <si>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</si>
  <si>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ISM Manufacturing PMI (Sep)</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</si>
  <si>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</si>
  <si>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ISM Manufacturing Prices (Sep)</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</si>
  <si>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</si>
  <si>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JOLTs Job Openings (Aug)</t>
  </si>
  <si>
    <t>7.640M</t>
  </si>
  <si>
    <t>7.673M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</si>
  <si>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</si>
  <si>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ADP Nonfarm Employment Change</t>
  </si>
  <si>
    <t>124K</t>
  </si>
  <si>
    <t>99K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</si>
  <si>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</si>
  <si>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4.471M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</si>
  <si>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EURUSD | USDJPY</t>
  </si>
  <si>
    <t>CPI (MoM) (Sep)</t>
  </si>
  <si>
    <t>The Swiss CPI hit its lowest level in several months, dropping from 1.3% in July to 1.1% in August (YoY). This decline led the SNB to lower interest rates at its recent meeting, reducing them from 1.25% to 1%.
A continued drop in inflation could lead markets to expect further rate cuts in upcoming SCB sessions. Notably, markets have already priced in a 95% chance of a rate cut at December meeting and over 50% for January 2025. A reduction in interest rates could negatively impact the Swiss franc against major currencies.
Historical impact on Assets: USDCHF | CHFJPY</t>
  </si>
  <si>
    <t>221K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</si>
  <si>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</si>
  <si>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Services PMI (Sep)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</si>
  <si>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</si>
  <si>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ISM Non-Manufacturing PMI (Sep)</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</si>
  <si>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According to Bloomberg, expectations suggest the index may hold steady at 51.5. Any reading below expectations could signal a weakening services sector, potentially reducing inflation, especially core inflation, in the US. This may open the door for further US rate cuts, which could negatively impact the US dollar against major currencies.
Historical impact on Assets: EURUSD | USDJPY | USDCHF</t>
  </si>
  <si>
    <t>ISM Non-Manufacturing Prices (Sep)</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</si>
  <si>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</si>
  <si>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Average Hourly Earnings (MoM) (Sep)</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</si>
  <si>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Historical impact on Assets: EURUSD | USDJPY</t>
  </si>
  <si>
    <t>Nonfarm Payroll</t>
  </si>
  <si>
    <t>144K</t>
  </si>
  <si>
    <t>142K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</si>
  <si>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Bloomberg projects the US economy will have added 120,000 jobs in September, slighlty above the 118,000 added in August, while unemployment rate is expected to remain steady at 4.2%.
The US jobs report has attracted increased investor attention, especially after July's report revealed notable weakness in the labour market, sparking recession concerns and triggering a sharp stock market sell-off. However, markets soon recovered as the immediate risk of recession was reassessed.
As such, labour market data will be closely watched, and any underperformance could reignite fears of recession, potentially pushing the Federal Reserve to accelerate its rate cuts. This could weaken the US dollar and boost appeal of precious metals like silver.
It's also noting that markets have priced in a total rate cut of around 75 basis points by the end of the year, which according to Bloomberg, leaves room for a 50 basis point cut at one of the remaining meetings this year. 
Historical impact on Assets: EURUSD | USDJPY | XAGUSD</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</si>
  <si>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Historical impact on Assets: EURUSD | USDJPY</t>
  </si>
  <si>
    <t>Source: Bloomberg, ADSS, News Articles, Company Research. Notes as of 29th September 2024, 6PM.</t>
  </si>
  <si>
    <t>X</t>
  </si>
  <si>
    <t>IST Time</t>
  </si>
  <si>
    <t>MT5 server time</t>
  </si>
  <si>
    <t>Actual:</t>
  </si>
  <si>
    <t>Forecast:</t>
  </si>
  <si>
    <t>Previous:</t>
  </si>
  <si>
    <t>Time (GMT):</t>
  </si>
  <si>
    <t>Release Date</t>
  </si>
  <si>
    <t>Aug. 31, 2024</t>
  </si>
  <si>
    <t>49.5 </t>
  </si>
  <si>
    <t>Jul. 31, 2024</t>
  </si>
  <si>
    <t>49.4 </t>
  </si>
  <si>
    <t>Jun. 30, 2024</t>
  </si>
  <si>
    <t>May 31, 2024</t>
  </si>
  <si>
    <t>50.5 </t>
  </si>
  <si>
    <t>Apr. 30, 2024</t>
  </si>
  <si>
    <t>50.3 </t>
  </si>
  <si>
    <t>Mar. 31, 2024</t>
  </si>
  <si>
    <t>50.1 </t>
  </si>
  <si>
    <t>Aug. 15, 2024  </t>
  </si>
  <si>
    <t>0.6% </t>
  </si>
  <si>
    <t>Jun. 28, 2024</t>
  </si>
  <si>
    <t>May 10, 2024  </t>
  </si>
  <si>
    <t>0.4% </t>
  </si>
  <si>
    <t>Mar. 28, 2024</t>
  </si>
  <si>
    <t>-0.3% </t>
  </si>
  <si>
    <t>Feb. 15, 2024  </t>
  </si>
  <si>
    <t>-0.1% </t>
  </si>
  <si>
    <t>Dec. 22, 2023</t>
  </si>
  <si>
    <t>0.0% </t>
  </si>
  <si>
    <t>0.9% </t>
  </si>
  <si>
    <t>0.2% </t>
  </si>
  <si>
    <t>-0.2% </t>
  </si>
  <si>
    <t>0.1% </t>
  </si>
  <si>
    <t>German CPI (MoM) (Sep) P</t>
  </si>
  <si>
    <t>Sep. 10, 2024</t>
  </si>
  <si>
    <t>Aug. 29, 2024  </t>
  </si>
  <si>
    <t>Aug. 09, 2024</t>
  </si>
  <si>
    <t>0.3% </t>
  </si>
  <si>
    <t>Jul. 30, 2024  </t>
  </si>
  <si>
    <t>Jul. 11, 2024</t>
  </si>
  <si>
    <t>Jul. 01, 2024  </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</si>
  <si>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</si>
  <si>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Aug. 30, 2024</t>
  </si>
  <si>
    <t>45.0 </t>
  </si>
  <si>
    <t>44.8 </t>
  </si>
  <si>
    <t>39.7 </t>
  </si>
  <si>
    <t>41.1 </t>
  </si>
  <si>
    <t>44.9 </t>
  </si>
  <si>
    <t>45.9 </t>
  </si>
  <si>
    <t>Sep. 26, 2024</t>
  </si>
  <si>
    <t>Aug. 23, 2024</t>
  </si>
  <si>
    <t>Jul. 15, 2024</t>
  </si>
  <si>
    <t>Jul. 02, 2024</t>
  </si>
  <si>
    <t>May 19, 2024</t>
  </si>
  <si>
    <t>May 14, 2024</t>
  </si>
  <si>
    <t>CPI (YoY) (Sep)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</si>
  <si>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USDJPY</t>
  </si>
  <si>
    <t>Time (GMT):real</t>
  </si>
  <si>
    <t>Release Datetain</t>
  </si>
  <si>
    <t>Sep. 18, 2024</t>
  </si>
  <si>
    <t>2.2% </t>
  </si>
  <si>
    <t>Aug. 30, 2024  </t>
  </si>
  <si>
    <t>Aug. 20, 2024</t>
  </si>
  <si>
    <t>2.6% </t>
  </si>
  <si>
    <t>Jul. 31, 2024  </t>
  </si>
  <si>
    <t>2.5% </t>
  </si>
  <si>
    <t>Jul. 17, 2024</t>
  </si>
  <si>
    <t>Jul. 02, 2024  </t>
  </si>
  <si>
    <t>Manufacturing PMI (Sep) (USD)</t>
  </si>
  <si>
    <t>Sep. 23, 2024  </t>
  </si>
  <si>
    <t>48.6 </t>
  </si>
  <si>
    <t>Sep. 03, 2024</t>
  </si>
  <si>
    <t>48.0 </t>
  </si>
  <si>
    <t>Aug. 22, 2024  </t>
  </si>
  <si>
    <t>Aug. 01, 2024</t>
  </si>
  <si>
    <t>Jul. 24, 2024  </t>
  </si>
  <si>
    <t>51.7 </t>
  </si>
  <si>
    <t>Jul. 01, 2024</t>
  </si>
  <si>
    <t>ISM Manufacturing PMI (Sep) (USD)</t>
  </si>
  <si>
    <t>47.5 </t>
  </si>
  <si>
    <t>48.8 </t>
  </si>
  <si>
    <t>49.2 </t>
  </si>
  <si>
    <t>Jun. 03, 2024</t>
  </si>
  <si>
    <t>49.8 </t>
  </si>
  <si>
    <t>May 01, 2024</t>
  </si>
  <si>
    <t>50.0 </t>
  </si>
  <si>
    <t>Apr. 01, 2024</t>
  </si>
  <si>
    <t>48.5 </t>
  </si>
  <si>
    <t>ISM Manufacturing Prices (Sep) (USD)</t>
  </si>
  <si>
    <t>52.1 </t>
  </si>
  <si>
    <t>51.9 </t>
  </si>
  <si>
    <t>55.8 </t>
  </si>
  <si>
    <t>60.0 </t>
  </si>
  <si>
    <t>55.5 </t>
  </si>
  <si>
    <t>53.3 </t>
  </si>
  <si>
    <t>JOLTS Job Openings (Aug) (USD)</t>
  </si>
  <si>
    <t>Sep. 04, 2024</t>
  </si>
  <si>
    <t>8.090M </t>
  </si>
  <si>
    <t>7.910M</t>
  </si>
  <si>
    <t>Jul. 30, 2024</t>
  </si>
  <si>
    <t>8.020M </t>
  </si>
  <si>
    <t>8.230M</t>
  </si>
  <si>
    <t>7.960M </t>
  </si>
  <si>
    <t>7.919M</t>
  </si>
  <si>
    <t>Jun. 04, 2024</t>
  </si>
  <si>
    <t>8.370M </t>
  </si>
  <si>
    <t>8.355M</t>
  </si>
  <si>
    <t>8.488M</t>
  </si>
  <si>
    <t>8.680M </t>
  </si>
  <si>
    <t>8.813M</t>
  </si>
  <si>
    <t>Apr. 02, 2024</t>
  </si>
  <si>
    <t>8.756M</t>
  </si>
  <si>
    <t>8.760M </t>
  </si>
  <si>
    <t>8.748M</t>
  </si>
  <si>
    <t>ADP Nonfarm Employment Change (Sep) (USD)</t>
  </si>
  <si>
    <t>Sep. 05, 2024</t>
  </si>
  <si>
    <t>144K </t>
  </si>
  <si>
    <t>111K</t>
  </si>
  <si>
    <t>147K </t>
  </si>
  <si>
    <t>Jul. 03, 2024</t>
  </si>
  <si>
    <t>163K </t>
  </si>
  <si>
    <t>157K</t>
  </si>
  <si>
    <t>Jun. 05, 2024</t>
  </si>
  <si>
    <t>173K </t>
  </si>
  <si>
    <t>188K</t>
  </si>
  <si>
    <t>192K</t>
  </si>
  <si>
    <t>179K </t>
  </si>
  <si>
    <t>208K</t>
  </si>
  <si>
    <t>Apr. 03, 2024</t>
  </si>
  <si>
    <t>184K</t>
  </si>
  <si>
    <t>148K </t>
  </si>
  <si>
    <t>Crude Oil Inventories (USD)</t>
  </si>
  <si>
    <t>[]</t>
  </si>
  <si>
    <t>Sep. 25, 2024</t>
  </si>
  <si>
    <t>-1.300M </t>
  </si>
  <si>
    <t>-0.200M </t>
  </si>
  <si>
    <t>Sep. 11, 2024</t>
  </si>
  <si>
    <t>0.900M </t>
  </si>
  <si>
    <t>-0.600M </t>
  </si>
  <si>
    <t>Aug. 28, 2024</t>
  </si>
  <si>
    <t>-2.700M </t>
  </si>
  <si>
    <t>Aug. 21, 2024</t>
  </si>
  <si>
    <t>-2.000M </t>
  </si>
  <si>
    <t>Initial Jobless Claims (USD)</t>
  </si>
  <si>
    <t>224K </t>
  </si>
  <si>
    <t>Sep. 19, 2024</t>
  </si>
  <si>
    <t>230K </t>
  </si>
  <si>
    <t>Sep. 12, 2024</t>
  </si>
  <si>
    <t>227K </t>
  </si>
  <si>
    <t>228K</t>
  </si>
  <si>
    <t>231K </t>
  </si>
  <si>
    <t>Aug. 29, 2024</t>
  </si>
  <si>
    <t>232K </t>
  </si>
  <si>
    <t>Aug. 22, 2024</t>
  </si>
  <si>
    <t>Services PMI (Sep) (USD)</t>
  </si>
  <si>
    <t>55.3 </t>
  </si>
  <si>
    <t>55.2 </t>
  </si>
  <si>
    <t>54.0 </t>
  </si>
  <si>
    <t>Aug. 05, 2024</t>
  </si>
  <si>
    <t>56.0 </t>
  </si>
  <si>
    <t>54.7 </t>
  </si>
  <si>
    <t>55.1 </t>
  </si>
  <si>
    <t>ISM Non-Manfucturing PMI (Sep) (USD)</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</si>
  <si>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</si>
  <si>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51.3 </t>
  </si>
  <si>
    <t>51.4 </t>
  </si>
  <si>
    <t>52.6 </t>
  </si>
  <si>
    <t>51.0 </t>
  </si>
  <si>
    <t>May 03, 2024</t>
  </si>
  <si>
    <t>52.0 </t>
  </si>
  <si>
    <t>52.8 </t>
  </si>
  <si>
    <t>ISM Non-Manfucturing Prices (Sep) (USD)</t>
  </si>
  <si>
    <t>56.7 </t>
  </si>
  <si>
    <t>59.0 </t>
  </si>
  <si>
    <t>55.0 </t>
  </si>
  <si>
    <t>58.4 </t>
  </si>
  <si>
    <t>Average Hourly Earnings (MoM) (Sep) (USD)</t>
  </si>
  <si>
    <t>Sep. 06, 2024</t>
  </si>
  <si>
    <t>Aug. 02, 2024</t>
  </si>
  <si>
    <t>Jul. 05, 2024</t>
  </si>
  <si>
    <t>Jun. 07, 2024</t>
  </si>
  <si>
    <t>Apr. 05, 2024</t>
  </si>
  <si>
    <t>Nonfarm Payrolls (Sep) (USD)</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</si>
  <si>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Historical impact on Assets: EURUSD | USDJPY</t>
  </si>
  <si>
    <t>164K </t>
  </si>
  <si>
    <t>89K</t>
  </si>
  <si>
    <t>176K </t>
  </si>
  <si>
    <t>179K</t>
  </si>
  <si>
    <t>191K </t>
  </si>
  <si>
    <t>182K </t>
  </si>
  <si>
    <t>165K</t>
  </si>
  <si>
    <t>175K</t>
  </si>
  <si>
    <t>238K </t>
  </si>
  <si>
    <t>315K</t>
  </si>
  <si>
    <t>303K</t>
  </si>
  <si>
    <t>212K </t>
  </si>
  <si>
    <t>270K</t>
  </si>
  <si>
    <t>Unemployment Rate (Sep)</t>
  </si>
  <si>
    <t>4.2% </t>
  </si>
  <si>
    <t>4.1% </t>
  </si>
  <si>
    <t>4.0% </t>
  </si>
  <si>
    <t>3.9% </t>
  </si>
  <si>
    <t>3.8% </t>
  </si>
  <si>
    <t>Description</t>
  </si>
  <si>
    <t>8.040M</t>
  </si>
  <si>
    <t>143K</t>
  </si>
  <si>
    <t>-1.500M</t>
  </si>
  <si>
    <t>3.889M</t>
  </si>
  <si>
    <t>225K</t>
  </si>
  <si>
    <t>159k</t>
  </si>
  <si>
    <t>147K</t>
  </si>
  <si>
    <t>254K</t>
  </si>
  <si>
    <t xml:space="preserve">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Historical impact on Assets: AUDNZD | USDNZD </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</si>
  <si>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</si>
  <si>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10-Year Auction Note</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</si>
  <si>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</si>
  <si>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t>
  </si>
  <si>
    <t>Core CPI (MoM) (Sep)</t>
  </si>
  <si>
    <t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t>
  </si>
  <si>
    <t>CPI (YoY) (Sep)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</si>
  <si>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t>
  </si>
  <si>
    <t>B</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</si>
  <si>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</si>
  <si>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GDP (MoM) (Aug)</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</si>
  <si>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GBPUSD</t>
  </si>
  <si>
    <t>PPI (MoM) (Sep)</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</si>
  <si>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t>
  </si>
  <si>
    <t>  Michigan 1-Year Inflation Expectations</t>
  </si>
  <si>
    <t>University of Michigan (UoM) Inflation Expectations measures the percentage that consumers expect the price of goods and services to change during the next 12 months. There are two versions of this data released two weeks apart,Preliminary and Revised. The preliminary release is the earliest so tends to have more impact.
A higher than expected reading should be taken as positive/bullish for the USD, while a lower than expected reading should be taken as negative/bearish for the USD.</t>
  </si>
  <si>
    <t>  Michigan 5-Year Inflation Expectations</t>
  </si>
  <si>
    <t xml:space="preserve">
The University of Michigan Inflation Expectations survey of consumers presents the median expected price changes for the next 5 years.
A reading that is stronger than forecast is generally supportive (bullish) for the USD, while a weaker than forecast reading is generally negative (bearish) for the USD.</t>
  </si>
  <si>
    <t xml:space="preserve">  Michigan Consumer Expectations</t>
  </si>
  <si>
    <t>The Michigan sentiment index includes two major components, a "current conditions" component and an "expectations" component. The current conditions component index is based on the answers to two standard questions and the expectations component index is based on three standard questions. This number is the expectations part of the overall index. A higher than expected number should be taken as positive to the USD, while a lower than expected number as negative. This is the final number.</t>
  </si>
  <si>
    <t xml:space="preserve">  Michigan Consumer Sentiment</t>
  </si>
  <si>
    <t>The University of Michigan Consumer Sentiment Index is composed of survey results comparing the relative level of both current and future economic conditions. There are two versions of this data released two weeks apart, preliminary and revised. The preliminary data tends to have a greater impact as it is more timely. The reading is compiled from a survey of around 500 consumers.
A reading that is stronger than forecast is generally supportive (bullish) for the USD, while a weaker than forecast reading is generally negative (bearish) for the USD.</t>
  </si>
  <si>
    <t>2.7% </t>
  </si>
  <si>
    <t>2.8% </t>
  </si>
  <si>
    <t>2.9% </t>
  </si>
  <si>
    <t>3.1% </t>
  </si>
  <si>
    <t>3.0% </t>
  </si>
  <si>
    <t>73.0 </t>
  </si>
  <si>
    <t>71.0 </t>
  </si>
  <si>
    <t>72.1 </t>
  </si>
  <si>
    <t>68.5 </t>
  </si>
  <si>
    <t>67.2 </t>
  </si>
  <si>
    <t>69.8 </t>
  </si>
  <si>
    <t>2.000M</t>
  </si>
  <si>
    <t>5.810M</t>
  </si>
  <si>
    <t>258K</t>
  </si>
  <si>
    <t>Source: Bloomberg, ADSS, News Articles, Company Research. Notes as of 5th October 2024, 8 PM.</t>
  </si>
  <si>
    <t>Investors will follow the release of OPEC's monthly report this week.
This essential report explores the major factors affecting the global oil market, providing an in-depth analysis of key developments influencing global oil demand supply, and price stability for the current and upcoming year.
It's worth noting that oil prices corrected higher by the end of September and then rallied since the beginning of October - recouping some of its previous losses due to renewed geopolitical tensions in the Middle East. However, in the absence of further escalations, prices may fall once more with the return of Libyan oil to the market and the lack of signs of increased Chinese oil demand.
If the OPEC report suggests a potential rise in demand, it could lend support to oil prices, which struggle to remain above the $80 per barrel threshold.
Historical impact on Assets: USOILX4</t>
  </si>
  <si>
    <t>CPI (YoY) (Q3) (NZD)</t>
  </si>
  <si>
    <t>The New Zealand Consumer Price Index dropped from 4% in Q1 of 2024 to 3.3% in Q2 of the same year, prompting the Reserve Bank of New Zealand to lower interest rates by 50 basis points at its last meeting (bringing rates down from 5.25% to 4.75%)
With inflation likely to continue falling, Bloomberg reports that markets have already priced in a 50 basis point rate cut by the New Zealand Central Bank at its November meeting, with an additional 50 basis point cut expected in February next year, with a probability of up to 90%.
If inflation rises or remains stable around 3%, the Reserve Bank of New Zealand may slow the pace of rate cuts, which could strengthen the New Zealand dollar against other major currencies.
Historical impact on Assets: NZDJPY | GBPZND</t>
  </si>
  <si>
    <t>CPI (YoY) (Sep) (GBP)</t>
  </si>
  <si>
    <t>In the UK, YoY CPI held steady in August at 2.2%, while core CPI (excluding food and energy) increased from 3.3% in July to 3.6% in August. As a result, markets expect the Bank of England to cut rates, but more cautiously than its counterparts. Bloomberg suggests that a 25-basis point cut is priced in with over 90% certainity for the November meeting, but only 50% certainity for December. If core inflation remains stable or proves difficult to lower in the September report, investors may delay pricing in a full December rate cut until further data is available, which could strengthen the pound against currencies like the New Zealand dollar. 
Historical impact on Assets: GBPJPY | GBPNZD</t>
  </si>
  <si>
    <t>CPI (YoY) (Sep)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</si>
  <si>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</si>
  <si>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Deposit Facility Rate (Oct)</t>
  </si>
  <si>
    <t>ECB Interest Rate Decision (Oct)</t>
  </si>
  <si>
    <t>Bloomberg anticipates the ECB will lower interest rates by 25 basis points at its upcoming meeting, driven by a significant drop in overall inflation, which has reached its lowest level since April 2021. The consumer price index fell from 2.2% in August to 1.8% in September. 
Bloomberg also reports that markets have priced in a 25-basis point rate cut at the November meeting with about 95% certainity and similar cut in December with over 100% certainty. Any signal from the ECM president suggesting the continuation of this pace into next year could lead investors to expect further cuts, potentially weakening the euro while boosting European stocks like ESTOX
Historical impact on Assets: EURJPY | ESTOX</t>
  </si>
  <si>
    <t>Core Retail Sales (MoM) (Sep)</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</si>
  <si>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t>
  </si>
  <si>
    <t>260K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</si>
  <si>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</si>
  <si>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Philadelphia Fed Manufacturing Index (Oct)</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</si>
  <si>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t>
  </si>
  <si>
    <t>Retail Sales (MoM) (Sep)</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</si>
  <si>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</si>
  <si>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Historical impact on Assets: EURJPY</t>
  </si>
  <si>
    <t>-2.191M</t>
  </si>
  <si>
    <t>1.800M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</si>
  <si>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</si>
  <si>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GDP (YoY) (Q3)</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</si>
  <si>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USDCNY</t>
  </si>
  <si>
    <t>Source: Bloomberg, ADSS, News Articles, Company Research. Notes as of 13th October 2024, 8 PM.</t>
  </si>
  <si>
    <t>The Bank of Canada (BOC) is expected to cut rates by 50bps as price pressures ease.
Headline inflation declined more than expected to 1.6% last month. This combined with signs of a slowing economy, has convinced market participants that the BoC will go for a bigger 50bps cut next week. A reminder that the BoC has already cut rates by a cumulative 75bps since early June.
USDCAD has risen given this relative widening in rate cut expectations, with the pair trading up to 1.3800 from 1.3415 in early October.
Traders can expect significant volatility around and post the BoC release next Wednesday. 
Historical impact on Assets: USDCAD | CADJPY</t>
  </si>
  <si>
    <t>Existing Home Sales (Sep)</t>
  </si>
  <si>
    <t>3.88M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</si>
  <si>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t>
  </si>
  <si>
    <t>Tesla Earnings</t>
  </si>
  <si>
    <t>Earnings result declaration after market close</t>
  </si>
  <si>
    <t>Composite PMI (Oct) P</t>
  </si>
  <si>
    <t>Sterling pairs have seen several weeks of weakness following Fed's 50bps cut in September where GBPUSD traded a high of 1.3433_x000B__x000B_We have seen a slew of robust US data releases including strong payrolls and higher-than-expected CPI casting doubts on the aggressive price cuts priced in for the next 12 months._x000B_In addition to stronger US data, UK rate cut expectations have ramped up with interest rate futures showing a 90% chance of two BOE 25bps cuts by year-end._x000B__x000B_This week has seen GBPUSD test key support around 1.2990, which has been held for now. On Friday we again dropped below 1.30 before stronger-than-expected retail sales which gave GBPUSD a boost and traded up to a high of 1.3070</t>
  </si>
  <si>
    <t>Manufacturing PMI (Oct)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</si>
  <si>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</si>
  <si>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Services PMI (Oct)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</si>
  <si>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t>
  </si>
  <si>
    <t>New Home Sales (Sep)</t>
  </si>
  <si>
    <t>717K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</si>
  <si>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t>
  </si>
  <si>
    <t>Durable Goods Orders (MoM) (Sep)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</si>
  <si>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t>
  </si>
  <si>
    <t>Source: Bloomberg, ADSS, News Articles, Company Research. Notes as of 20th October 2024, 8 PM.</t>
  </si>
  <si>
    <t>4.25% </t>
  </si>
  <si>
    <t>Jul. 24, 2024</t>
  </si>
  <si>
    <t>4.50% </t>
  </si>
  <si>
    <t>4.75% </t>
  </si>
  <si>
    <t>Apr. 10, 2024</t>
  </si>
  <si>
    <t>5.00% </t>
  </si>
  <si>
    <t>Mar. 06, 2024</t>
  </si>
  <si>
    <t>Jan. 24, 2024</t>
  </si>
  <si>
    <t>1.800M </t>
  </si>
  <si>
    <t>2.000M </t>
  </si>
  <si>
    <t>-1.500M </t>
  </si>
  <si>
    <t>222K </t>
  </si>
  <si>
    <t>3.92M </t>
  </si>
  <si>
    <t>3.95M</t>
  </si>
  <si>
    <t>3.94M </t>
  </si>
  <si>
    <t>3.90M</t>
  </si>
  <si>
    <t>Jul. 23, 2024</t>
  </si>
  <si>
    <t>3.89M</t>
  </si>
  <si>
    <t>3.99M </t>
  </si>
  <si>
    <t>Jun. 21, 2024</t>
  </si>
  <si>
    <t>4.08M </t>
  </si>
  <si>
    <t>4.14M</t>
  </si>
  <si>
    <t>May 22, 2024</t>
  </si>
  <si>
    <t>4.21M </t>
  </si>
  <si>
    <t>4.22M</t>
  </si>
  <si>
    <t>Apr. 18, 2024</t>
  </si>
  <si>
    <t>4.19M</t>
  </si>
  <si>
    <t>4.20M </t>
  </si>
  <si>
    <t>4.38M</t>
  </si>
  <si>
    <t>Oct. 03, 2024</t>
  </si>
  <si>
    <t>52.9 </t>
  </si>
  <si>
    <t>  </t>
  </si>
  <si>
    <t>53.4 </t>
  </si>
  <si>
    <t>52.7 </t>
  </si>
  <si>
    <t>Oct. 01, 2024</t>
  </si>
  <si>
    <t>47.0 </t>
  </si>
  <si>
    <t>55.4 </t>
  </si>
  <si>
    <t>699K </t>
  </si>
  <si>
    <t>751K</t>
  </si>
  <si>
    <t>624K </t>
  </si>
  <si>
    <t>668K</t>
  </si>
  <si>
    <t>639K </t>
  </si>
  <si>
    <t>621K</t>
  </si>
  <si>
    <t>Jun. 26, 2024</t>
  </si>
  <si>
    <t>636K </t>
  </si>
  <si>
    <t>698K</t>
  </si>
  <si>
    <t>May 23, 2024</t>
  </si>
  <si>
    <t>634K</t>
  </si>
  <si>
    <t>677K </t>
  </si>
  <si>
    <t>665K</t>
  </si>
  <si>
    <t>Apr. 23, 2024</t>
  </si>
  <si>
    <t>693K</t>
  </si>
  <si>
    <t>668K </t>
  </si>
  <si>
    <t>637K</t>
  </si>
  <si>
    <t>Sep. 26, 2024  </t>
  </si>
  <si>
    <t>-2.8% </t>
  </si>
  <si>
    <t>Aug. 26, 2024</t>
  </si>
  <si>
    <t>Jul. 25, 2024</t>
  </si>
  <si>
    <t>Jun. 27, 2024</t>
  </si>
  <si>
    <t>-0.5% </t>
  </si>
  <si>
    <t>May 24, 2024</t>
  </si>
  <si>
    <t>-0.9% </t>
  </si>
  <si>
    <t>Apr. 24, 2024</t>
  </si>
  <si>
    <t>Tokyo Core CPI (YoY)</t>
  </si>
  <si>
    <t>1.7% </t>
  </si>
  <si>
    <t>2.0% </t>
  </si>
  <si>
    <t>1.9% </t>
  </si>
  <si>
    <t>Asset</t>
  </si>
  <si>
    <t>C:USDCAD</t>
  </si>
  <si>
    <t>USDCAD.sd</t>
  </si>
  <si>
    <t>Time</t>
  </si>
  <si>
    <t>C:USDJPY</t>
  </si>
  <si>
    <t>USDJPY.sd</t>
  </si>
  <si>
    <t>USOILRoll</t>
  </si>
  <si>
    <t>TESLA</t>
  </si>
  <si>
    <t>C:GBPUSD</t>
  </si>
  <si>
    <t>GBPUSD.sd</t>
  </si>
  <si>
    <t>Investment</t>
  </si>
  <si>
    <t>Size</t>
  </si>
  <si>
    <t>atr</t>
  </si>
  <si>
    <t>spread</t>
  </si>
  <si>
    <t>factor</t>
  </si>
  <si>
    <t>VU</t>
  </si>
  <si>
    <t>sl</t>
  </si>
  <si>
    <t>margin</t>
  </si>
  <si>
    <t>RRR</t>
  </si>
  <si>
    <t>R</t>
  </si>
  <si>
    <t>on chart</t>
  </si>
  <si>
    <t>Hist 1</t>
  </si>
  <si>
    <t>Hist 2</t>
  </si>
  <si>
    <t>Placement</t>
  </si>
  <si>
    <t>P</t>
  </si>
  <si>
    <t>$ Strengthens due to differentials</t>
  </si>
  <si>
    <t>Final</t>
  </si>
  <si>
    <t>CB Consumer Confidence (Oct)</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</si>
  <si>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t>
  </si>
  <si>
    <t>JOLTs Job Openings (Sep)</t>
  </si>
  <si>
    <t>7.920M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</si>
  <si>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USDJPY</t>
  </si>
  <si>
    <t>Alphabet Earnings Report</t>
  </si>
  <si>
    <t>Earning report scheduled to be released post market close.</t>
  </si>
  <si>
    <t>CPI (YoY) (Q3) (AUD)</t>
  </si>
  <si>
    <t>Investors are closely monitoring the release of Australia's CPI data for Q3.
During the 2nd quarter, Australian inflation rose to 3.8%, leading markets to dismiss the likelihood the Reserve Bank of Australia would cut interest rates in Q3. As a result, the Australian dollar strengthened, gaining around 2.6% against the euro and 3.6% against the US dollar.
Bloomberg reports that inflation is projected to drop to 3.5% in Q3, which remains above the 2% target. A larger-than-expected decline could prompt Australian policymakers to consider interest rate cuts, potentially weakening the Australian dollar against other major currencies.
Historical impact on Assets: EURAUD | AUDUSD | AUDJPY</t>
  </si>
  <si>
    <t>German GDP (QoQ) (Q3)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</si>
  <si>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t>
  </si>
  <si>
    <t>GDP (YoY) (EUR)</t>
  </si>
  <si>
    <t>Traders await the preliminary Q3 European GDP data on the same day. The European economy grew by 0.6% in Q2. If growth falls short of this figure, it could reinforce market expectations that the European Central Bank may need to stimulate the economy further through rate cuts, potentially weighing on the euro's value against currencues like the Australian dollar.
Historical impact on Assets: EURJPY | EURAUD | EURUSD</t>
  </si>
  <si>
    <t>Autumn Forecast Statement</t>
  </si>
  <si>
    <t>The Autumn Statement of the British Government, also known as the "mini-budget", is one of the two statements HM Treasury makes each year to Parliament upon publication of economic forecasts. It usually involves speeches in the House of Commons by the Chancellor of the Exchequer.
Historical impact on Assets: GBPJPY</t>
  </si>
  <si>
    <t>ADP Nonfarm Employment Change (Oct)</t>
  </si>
  <si>
    <t>101K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</si>
  <si>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USDJPY</t>
  </si>
  <si>
    <t>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</si>
  <si>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t>
  </si>
  <si>
    <t>German CPI (MoM) (Oct)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</si>
  <si>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</si>
  <si>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5.474M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</si>
  <si>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</si>
  <si>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Meta Earnings Report</t>
  </si>
  <si>
    <t>Manufacturing PMI (Oct) (CNY)</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</si>
  <si>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</si>
  <si>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t>
  </si>
  <si>
    <t>CPI (YoY) (Oct)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</si>
  <si>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</si>
  <si>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Core PCE Price Index (YoY) (Sep)</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</si>
  <si>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t>
  </si>
  <si>
    <t>Core PCE Price Index (MoM) (Sep)</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</si>
  <si>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</si>
  <si>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</si>
  <si>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Chicago PMI (Oct)</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</si>
  <si>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t>
  </si>
  <si>
    <t>Amazon earnings report</t>
  </si>
  <si>
    <t>Earnings report scheduled to be released post market close.</t>
  </si>
  <si>
    <t>Apple earnings report</t>
  </si>
  <si>
    <t>The markets will closely watch the release of Apple's Q4 earnings report.
The report may highlight Apple's initiative to incorporate artificial intelligence into its devices, particularly the iPhones launched last September, as well as developers' feedback and the potential of this initiative.
Apple's previous quarter earnings per share surpassed expectations of 1.34, reaching 1.40 with a positive growth of 0.14%. For the current quarter, Bloomberg forecasts EPS of 1.59 and quarterly revenues of $94.33 billion.
Any figures below expectations could negatively impact Apple's stock, which may affect the US500 index, where Apple is a key component, and vice verse.
Historical impact on Assets: UTI100Roll | AAPL | US500</t>
  </si>
  <si>
    <t>Average Hourly Earnings (MoM) (Oct)</t>
  </si>
  <si>
    <t>Before the week concludes, traders will wait for the release oftthe US jobs report for October.
Bloomberg forecasts the US economy may add 135,000 jobs in October, a decrease from September's unexpectedly strong report, which showed the addition of 254,000 jobs and a drop in the unemployment rate to 4.1%
Stronger-than-expected figures could bolster the Federal Reserve's confidence in the resilience of the US economy, potentially slowing the pace of interest rate cuts. This would likely support the US dollar while negatively impacting dollar-related commodities like gold, which recently reached record highs, surpassing $2,700 per ounce.
Historical impact on Assets: USDJPY | XAUUSD</t>
  </si>
  <si>
    <t>Nonfarm Payrolls (Oct)</t>
  </si>
  <si>
    <t>Unemployment Rate (Oct)</t>
  </si>
  <si>
    <t>ISM Manufacturing PMI (Oct)</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</si>
  <si>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USDJPY</t>
  </si>
  <si>
    <t>ISM Manufacturing Prices (Oct)</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</si>
  <si>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USDJPY</t>
  </si>
  <si>
    <t>Manufacturing PMI (Oct)</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</si>
  <si>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</si>
  <si>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Apple's earnings report</t>
  </si>
  <si>
    <t>AMD earnings report</t>
  </si>
  <si>
    <t>Alphabet earnings report</t>
  </si>
  <si>
    <t>Microsoft earnings report</t>
  </si>
  <si>
    <t>Meta earnings report</t>
  </si>
  <si>
    <t>House Price Index</t>
  </si>
  <si>
    <t>103.9 </t>
  </si>
  <si>
    <t>100.9 </t>
  </si>
  <si>
    <t>99.7 </t>
  </si>
  <si>
    <t>100.0 </t>
  </si>
  <si>
    <t>96.0 </t>
  </si>
  <si>
    <t>104.0 </t>
  </si>
  <si>
    <t>7.640M </t>
  </si>
  <si>
    <t>7.711M</t>
  </si>
  <si>
    <t>3.4% </t>
  </si>
  <si>
    <t>4.3% </t>
  </si>
  <si>
    <t>5.3% </t>
  </si>
  <si>
    <t>6.2% </t>
  </si>
  <si>
    <t>6.9% </t>
  </si>
  <si>
    <t>124K </t>
  </si>
  <si>
    <t>103K</t>
  </si>
  <si>
    <t>1.3% </t>
  </si>
  <si>
    <t>1.6% </t>
  </si>
  <si>
    <t>0.800M </t>
  </si>
  <si>
    <t>0.25% </t>
  </si>
  <si>
    <t>0.10% </t>
  </si>
  <si>
    <t>-0.10% </t>
  </si>
  <si>
    <t>1.8% </t>
  </si>
  <si>
    <t>243K </t>
  </si>
  <si>
    <t>242K</t>
  </si>
  <si>
    <t>241K </t>
  </si>
  <si>
    <t>46.1 </t>
  </si>
  <si>
    <t>159K</t>
  </si>
  <si>
    <t>47.6 </t>
  </si>
  <si>
    <t>53.5 </t>
  </si>
  <si>
    <t>0.5% </t>
  </si>
  <si>
    <t>C:AUDJPY</t>
  </si>
  <si>
    <t>AUDJPY.sd</t>
  </si>
  <si>
    <t>C:EURUSD</t>
  </si>
  <si>
    <t>EURUSD.sd</t>
  </si>
  <si>
    <t>GBPJPY.sd</t>
  </si>
  <si>
    <t>C:EURJPY</t>
  </si>
  <si>
    <t>EURJPY.sd</t>
  </si>
  <si>
    <t>C:USDCNH</t>
  </si>
  <si>
    <t>USDCNH.sd</t>
  </si>
  <si>
    <t>UT100Roll</t>
  </si>
  <si>
    <t>multipe of 0.1 | 0.15 not tradable</t>
  </si>
  <si>
    <t>RBA Interest Rate Decision (Nov)</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</si>
  <si>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Historical impact on Assets: AUDPY</t>
  </si>
  <si>
    <t>US Presidential Election</t>
  </si>
  <si>
    <t xml:space="preserve">
Once every four years, U.S. voters cast ballots for a slate of electors of the U.S. Electoral College, who in turn directly elect the President and Vice President. The most recent presidential election occurred on November 3, 2020, with the next one scheduled for November 5, 2024.
Historical impact on Assets: UTI100Roll</t>
  </si>
  <si>
    <t>Services PMI (Oct)</t>
  </si>
  <si>
    <t>ISM Non-Manufacturing PMI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</si>
  <si>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USDJPY</t>
  </si>
  <si>
    <t>ISM Non-Manufacturing Prices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</si>
  <si>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USDJPY</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</si>
  <si>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</si>
  <si>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-0.515M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</si>
  <si>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</si>
  <si>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30-Year Note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</si>
  <si>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</si>
  <si>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BoE Interest Rate Decision (Nov)</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</si>
  <si>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Historical impact on Assets: GBPJPY</t>
  </si>
  <si>
    <t>220K</t>
  </si>
  <si>
    <t>216K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</si>
  <si>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</si>
  <si>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A continued easing of inflation and robust labour market could give the Fed more room to implement rate cuts without stoking inflation fears, supporting the case for a soft landing.
Historical impact on Assets: USDJPY | XAGUSD</t>
  </si>
  <si>
    <t xml:space="preserve">
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Historical impact on Assets: USDJPY | XAGUSD</t>
  </si>
  <si>
    <t>Historical impact on Assets: USDJPY | XAGUSD</t>
  </si>
  <si>
    <t>Source: Bloomberg, ADSS, News Articles, Company Research. Notes as of 4th November 2024, 9 AM.</t>
  </si>
  <si>
    <t>4.35% </t>
  </si>
  <si>
    <t>1.500M </t>
  </si>
  <si>
    <t>5.25% </t>
  </si>
  <si>
    <t>229K </t>
  </si>
  <si>
    <t>5.50% </t>
  </si>
  <si>
    <t>56.3 </t>
  </si>
  <si>
    <t>6th Nov</t>
  </si>
  <si>
    <t>next day</t>
  </si>
  <si>
    <t>same day</t>
  </si>
  <si>
    <t>C:GBPJPY</t>
  </si>
  <si>
    <t>German CPI (MoM) (Oct)</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</si>
  <si>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</si>
  <si>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Core CPI (MoM) (Oct)</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</si>
  <si>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 | EURUSD</t>
  </si>
  <si>
    <t>CPI (YoY) (Oct)</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</si>
  <si>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 | EURUSD</t>
  </si>
  <si>
    <t>CPI (MoM) (Oct)</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</si>
  <si>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</si>
  <si>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PPI (MoM) (Oct)</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</si>
  <si>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</si>
  <si>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2.149M</t>
  </si>
  <si>
    <t>GDP (QoQ) (Q3) P (Japan)</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</si>
  <si>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Historical impact on Assets: USDJPY</t>
  </si>
  <si>
    <t>GDP (YoY) (Q3) P (UK)</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</si>
  <si>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</si>
  <si>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GDP (MoM) (Sep) (UK)</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</si>
  <si>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t>
  </si>
  <si>
    <t>GDP (QoQ) (Q3) P (UK)</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</si>
  <si>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</si>
  <si>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Core Retail Sales (MoM) (Oct)</t>
  </si>
  <si>
    <t>Retail Sales (MoM) (Oct)</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</si>
  <si>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</si>
  <si>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Source: Bloomberg, ADSS, News Articles, Company Research. Notes as of 11th November 2024, 8 AM.</t>
  </si>
  <si>
    <t>2.3% </t>
  </si>
  <si>
    <t>221</t>
  </si>
  <si>
    <t>223</t>
  </si>
  <si>
    <t>218</t>
  </si>
  <si>
    <t>216</t>
  </si>
  <si>
    <t>229</t>
  </si>
  <si>
    <t>228</t>
  </si>
  <si>
    <t>227</t>
  </si>
  <si>
    <t>243</t>
  </si>
  <si>
    <t>242</t>
  </si>
  <si>
    <t>241</t>
  </si>
  <si>
    <t>260</t>
  </si>
  <si>
    <t>258</t>
  </si>
  <si>
    <t>231</t>
  </si>
  <si>
    <t>225</t>
  </si>
  <si>
    <t>222</t>
  </si>
  <si>
    <t>219</t>
  </si>
  <si>
    <t>2.149</t>
  </si>
  <si>
    <t>0.300</t>
  </si>
  <si>
    <t>-0.51</t>
  </si>
  <si>
    <t>1.500</t>
  </si>
  <si>
    <t>5.474</t>
  </si>
  <si>
    <t>0.800</t>
  </si>
  <si>
    <t>-2.19</t>
  </si>
  <si>
    <t>1.800</t>
  </si>
  <si>
    <t>5.810</t>
  </si>
  <si>
    <t>2.000</t>
  </si>
  <si>
    <t>3.889</t>
  </si>
  <si>
    <t>-1.50</t>
  </si>
  <si>
    <t>-4.47</t>
  </si>
  <si>
    <t>0.8% </t>
  </si>
  <si>
    <t>Time ET</t>
  </si>
  <si>
    <t>GMT</t>
  </si>
  <si>
    <t>% of 10K (OL of 100K)</t>
  </si>
  <si>
    <t>EUR CPI (YoY) (Oct)</t>
  </si>
  <si>
    <t>The YoY inflation headline fell to 1.7% in September primarily due to lower energy prices. Markets now anticipate the European Central Bank (ECB) may continue its rate-cutting trajectory through this year, potentially extending into Q1 of next year. 
Bloomberg forecasts suggest that the YoY CPI of October may stabilize at 2.0%, keeping current market expectations intact. A further drop in inflation could prompt markets to factor in additional rate cuts in Q2 2025, which may exert downward presurre on the euro against major currencies. 
It should be noted that over the past two weeks, the euro has lost approximately 2.5% of its value against the US dollar, largely driven by the dollar's stregth following Trump's returm to power, which raises concerns about overshooting inflation rates under his proposed policies. 
Historical impact on Assets: EURJPY | EURUSD | EURCAD</t>
  </si>
  <si>
    <t>CAD CPI (YoY)</t>
  </si>
  <si>
    <t>In September, the YoY inflation headline reached a three-and-a-half-year low of 1.6% prompting the Bank of Canada to cut rates by 50 basis points at its last meeting. Markets expect a further 25 basis-point cut by December, followed by an addiitonal 25 basis points early next year. 
According to Bloomberg, Canadian CPI may increase from 1.6% in September to 1.9% in October. Any data below expectations could reinforce market predictions for further rate cuts next year, potentially weakening the Canadian dollar against major currencies like the euro. 
Historical impact on Assets: EURCAD</t>
  </si>
  <si>
    <t>GBP CPI (YoY) (Oct)</t>
  </si>
  <si>
    <t>The YoY inflation rate dropeed to a three-year low of 1.7% in September, which encouraged the Bank of England's Monetary Policy Committee to lower rates by 25 basis points in its last meeting.
Bloomberg predicts the YoY inlfation rate could rise to 2.1% in October. However, if the data falls below expectations, it could motivate furhter rate cuts by the Bank of England in the coming year, likely boosting stock pices and the UK100 index.
Historical impact on Assets: GBPJPY | GBPUSD | UK100Roll</t>
  </si>
  <si>
    <t>2.089M</t>
  </si>
  <si>
    <t>NVIDIA's Q4 Earnings Report</t>
  </si>
  <si>
    <t>According to Bloomberg, investors expect NVIDIA to report $32.97 billion of revenue with earnings per share of approximately 0.75.
If results fall below these expectations, it may impact Nvidia’s stock performance and, consequently, the US500 index, as NVIDIA is a key component.
Notably, NVIDIA overtook Apple in market capitalization this month, reaching $3.44 trillion compared to Apple’s $3.37 trillion – although Apple’s share price remains higher.
Historical impact on Assets: US500 | UT100</t>
  </si>
  <si>
    <t>215K</t>
  </si>
  <si>
    <t>217K</t>
  </si>
  <si>
    <t>Philadelphia Fed Manufacturing Index (Nov)</t>
  </si>
  <si>
    <t>_x000B_The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district._x000B__x000B_A reading that is stronger than forecast is generally supportive (bullish) for the USD, while a weaker than forecast reading is generally negative (bearish) for the USD._x000B__x000B_Historical impact on Assets: USDJPY | EURUSD 
Historical impact on Assets: USDJPY | EURUSD</t>
  </si>
  <si>
    <t>Existing Home Sales (Oct)</t>
  </si>
  <si>
    <t>3.84M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</si>
  <si>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 EURUSD</t>
  </si>
  <si>
    <t>German GDP (QoQ) (Q3)</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</si>
  <si>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 | EURUSD</t>
  </si>
  <si>
    <t>Manufacturing PMI (Nov)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</si>
  <si>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 EURUSD</t>
  </si>
  <si>
    <t>Services PMI (Nov)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</si>
  <si>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 EURUSD</t>
  </si>
  <si>
    <t>Source: Bloomberg, ADSS, News Articles, Company Research. Notes as of 17th November 2024, 9 PM.</t>
  </si>
  <si>
    <t>2.1% </t>
  </si>
  <si>
    <t>2.089</t>
  </si>
  <si>
    <t>0.400</t>
  </si>
  <si>
    <t>217</t>
  </si>
  <si>
    <t>224</t>
  </si>
  <si>
    <t>4.2 </t>
  </si>
  <si>
    <t>-0.8 </t>
  </si>
  <si>
    <t>5.4 </t>
  </si>
  <si>
    <t>2.7 </t>
  </si>
  <si>
    <t>4.8 </t>
  </si>
  <si>
    <t>7.7 </t>
  </si>
  <si>
    <t>3.84</t>
  </si>
  <si>
    <t>3.88</t>
  </si>
  <si>
    <t>3.86</t>
  </si>
  <si>
    <t>3.92</t>
  </si>
  <si>
    <t>3.96</t>
  </si>
  <si>
    <t>3.95</t>
  </si>
  <si>
    <t>3.94</t>
  </si>
  <si>
    <t>3.90</t>
  </si>
  <si>
    <t>3.89</t>
  </si>
  <si>
    <t>3.99</t>
  </si>
  <si>
    <t>4.11</t>
  </si>
  <si>
    <t>4.08</t>
  </si>
  <si>
    <t>4.14</t>
  </si>
  <si>
    <t>4.21</t>
  </si>
  <si>
    <t>4.22</t>
  </si>
  <si>
    <t>47.8 </t>
  </si>
  <si>
    <t>ECB might continue cutting while Fed pauses</t>
  </si>
  <si>
    <t>C:CADJPY</t>
  </si>
  <si>
    <t>CADJPY.sd</t>
  </si>
  <si>
    <t>UK100Roll</t>
  </si>
  <si>
    <t>NVIDIA</t>
  </si>
  <si>
    <t>CB Consumer Confidence (Nov)</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</si>
  <si>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 EURUSD</t>
  </si>
  <si>
    <t>New Home Sales (Oct)</t>
  </si>
  <si>
    <t>738K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</si>
  <si>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 EURUSD</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</si>
  <si>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 | EURUSD</t>
  </si>
  <si>
    <t>New Zealand's inflation rate has significantly declined, dropping from 3.3% in Q2 to 2.2% in Q3. This sharp reduction has paved the way for the RBNZ to ease monetary policy, potentially lowering rates from restrictive levels to a neutral stance that neither stimulates nor constrains economic growth.
Bloomberg predicts a 50-basis-point rate cut at the upcoming RBNZ meeting. A larger reduction of upto 75 basis points remains possible in response to weaker economic performance. If the RBNZ opts for the larger cut, from 4.75% to 4.00%, it could lead to the depreciation of the New Zealand dollar against major currencies like the US dollar, as markets have already priced in a 50-basis-point cut. 
Historical impact on Assets: AUDNZD | NZDJPY | NZDUSD</t>
  </si>
  <si>
    <t>Durable Goods Orders (MoM) (Oct)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</si>
  <si>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 EURUSD</t>
  </si>
  <si>
    <t>US 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</si>
  <si>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 EURUSD</t>
  </si>
  <si>
    <t>213K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</si>
  <si>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</si>
  <si>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Chicago PMI</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</si>
  <si>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 | EURUSD</t>
  </si>
  <si>
    <t>Core PCE Price Index (YoY) (Oct)</t>
  </si>
  <si>
    <t>The Personal Consumption Expenditure, alongside the US jobs report for November (set to be released for December 6), will be pivotal in determining whether the Federal Reserve opts for a 25-basis-points rate hike at its final meeting of the year.
The upcoming jobs report will shed light on whether the labour market's softening in November, a temporary effect of strikes and adverse weather conditions or a sign of a broader economic slowdown could warrant additional stimulus through rate cuts. 
According to Bloomberg, the YoY PCE is projected to increase from 2.1% in September to 2.3% in October, while the Core Index is expected to edge up from 2.7% to 2.8% during the same period. Any data falling short of these expectations could strengthen the case for rate cuts at the December meeting, potentially weakening the dollar while boosting precious metal prices such as silver. 
Historical impact on Assets: USDJPY | EURUSD | XAGUSD</t>
  </si>
  <si>
    <t>Core PCE Price Index (MoM) (Oct)</t>
  </si>
  <si>
    <t>0.545M</t>
  </si>
  <si>
    <t xml:space="preserve">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 </t>
  </si>
  <si>
    <t>German CPI (MoM) (Nov) P</t>
  </si>
  <si>
    <t xml:space="preserve">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</si>
  <si>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CHF GDP (QoQ) (Q3)</t>
  </si>
  <si>
    <t>Switzerland's economy expanded by 1.8% in the second quarter, but a slowdown in growth could further suppress inflation, which dropped from 0.8% in September to 0.6% in October. This trend could prompt the Swiss National Bank to consider additional interest rate cuts. 
Markets have already priced in a 25-basis-point cut by the Swiss National Bank. However, weak growth may lead to expectations of a more aggresive 50-basis-point reduction, potentially boosting Swiss index prices. 
Historical impact on Assets: Swiss Market Index | CHFJPY</t>
  </si>
  <si>
    <t>EUR CPI (YoY) (Nov) P</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</si>
  <si>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</si>
  <si>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Chicago PMI (Nov)</t>
  </si>
  <si>
    <t>Manufacturing PMI (Nov)</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</si>
  <si>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t>
  </si>
  <si>
    <t>Source: Bloomberg, ADSS, News Articles, Company Research. Notes as of 25th November 2024, 9 AM.</t>
  </si>
  <si>
    <t/>
  </si>
  <si>
    <t>99.5 </t>
  </si>
  <si>
    <t>738</t>
  </si>
  <si>
    <t>719</t>
  </si>
  <si>
    <t>709</t>
  </si>
  <si>
    <t>716</t>
  </si>
  <si>
    <t>699</t>
  </si>
  <si>
    <t>751</t>
  </si>
  <si>
    <t>739</t>
  </si>
  <si>
    <t>624</t>
  </si>
  <si>
    <t>668</t>
  </si>
  <si>
    <t>617</t>
  </si>
  <si>
    <t>639</t>
  </si>
  <si>
    <t>621</t>
  </si>
  <si>
    <t>619</t>
  </si>
  <si>
    <t>636</t>
  </si>
  <si>
    <t>698</t>
  </si>
  <si>
    <t>634</t>
  </si>
  <si>
    <t>677</t>
  </si>
  <si>
    <t>665</t>
  </si>
  <si>
    <t>-1.1% </t>
  </si>
  <si>
    <t>213</t>
  </si>
  <si>
    <t>220</t>
  </si>
  <si>
    <t>41.6</t>
  </si>
  <si>
    <t>46.9</t>
  </si>
  <si>
    <t>46.6</t>
  </si>
  <si>
    <t>46.1</t>
  </si>
  <si>
    <t>45.0</t>
  </si>
  <si>
    <t>45.3</t>
  </si>
  <si>
    <t>44.8</t>
  </si>
  <si>
    <t>47.4</t>
  </si>
  <si>
    <t>39.7</t>
  </si>
  <si>
    <t>35.4</t>
  </si>
  <si>
    <t>41.1</t>
  </si>
  <si>
    <t>37.9</t>
  </si>
  <si>
    <t>0.545</t>
  </si>
  <si>
    <t>46.9 </t>
  </si>
  <si>
    <t>C:NZDUSD</t>
  </si>
  <si>
    <t>NZDUSD.sd</t>
  </si>
  <si>
    <t>XAGUSD.sd</t>
  </si>
  <si>
    <t>C:CHFUSD</t>
  </si>
  <si>
    <t>CHFUSD.sd</t>
  </si>
  <si>
    <t>C:USDCNY</t>
  </si>
  <si>
    <t>USDCNY.sd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</si>
</sst>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0.00_);_(* \(#,##0.00\);_(* &quot;-&quot;??_);_(@_)"/>
    <numFmt numFmtId="164" formatCode="_(* #,##0_);_(* \(#,##0\);_(* &quot;-&quot;??_);_(@_)"/>
    <numFmt numFmtId="165" formatCode="0.000%"/>
    <numFmt numFmtId="166" formatCode="hh:mm\ AM/PM"/>
    <numFmt numFmtId="167" formatCode="_(* #,##0.0_);_(* \(#,##0.0\);_(* &quot;-&quot;??_);_(@_)"/>
    <numFmt numFmtId="168" formatCode="0.0%"/>
    <numFmt numFmtId="169" formatCode="0.0000%"/>
    <numFmt numFmtId="170" formatCode="0.00000000"/>
    <numFmt numFmtId="171" formatCode="0.00000"/>
    <numFmt numFmtId="172" formatCode="0.0000"/>
    <numFmt numFmtId="173" formatCode="0.0"/>
  </numFmts>
  <fonts count="40" x14ac:knownFonts="1">
    <font>
      <sz val="12"/>
      <color theme="1"/>
      <name val="Aptos Narrow"/>
      <family val="2"/>
      <scheme val="minor"/>
    </font>
    <font>
      <sz val="12"/>
      <color theme="1"/>
      <name val="Aptos Narrow"/>
      <family val="2"/>
      <scheme val="minor"/>
    </font>
    <font>
      <b/>
      <sz val="12"/>
      <color theme="0"/>
      <name val="Aptos Narrow"/>
      <scheme val="minor"/>
    </font>
    <font>
      <b/>
      <sz val="12"/>
      <color theme="1"/>
      <name val="Aptos Narrow"/>
      <scheme val="minor"/>
    </font>
    <font>
      <sz val="10"/>
      <color theme="1"/>
      <name val="Verdana"/>
      <family val="2"/>
    </font>
    <font>
      <sz val="9"/>
      <color theme="1"/>
      <name val="Verdana"/>
      <family val="2"/>
    </font>
    <font>
      <sz val="9"/>
      <color rgb="FF333333"/>
      <name val="Verdana"/>
      <family val="2"/>
    </font>
    <font>
      <sz val="8"/>
      <color theme="1"/>
      <name val="Verdana"/>
      <family val="2"/>
    </font>
    <font>
      <sz val="8"/>
      <color theme="1"/>
      <name val="Aptos Narrow"/>
      <family val="2"/>
      <scheme val="minor"/>
    </font>
    <font>
      <sz val="10"/>
      <color rgb="FF000000"/>
      <name val="Verdana"/>
      <family val="2"/>
    </font>
    <font>
      <sz val="9"/>
      <color rgb="FF000000"/>
      <name val="Verdana"/>
      <family val="2"/>
    </font>
    <font>
      <b/>
      <sz val="12"/>
      <color theme="0"/>
      <name val="Verdana"/>
      <family val="2"/>
    </font>
    <font>
      <i/>
      <sz val="9"/>
      <color theme="1"/>
      <name val="Verdana"/>
      <family val="2"/>
    </font>
    <font>
      <b/>
      <sz val="12"/>
      <color theme="1"/>
      <name val="Century Gothic"/>
      <family val="1"/>
    </font>
    <font>
      <b/>
      <sz val="18"/>
      <color rgb="FF000000"/>
      <name val="Century Gothic"/>
      <family val="1"/>
    </font>
    <font>
      <sz val="9"/>
      <color rgb="FF000000"/>
      <name val="Century Gothic"/>
      <family val="1"/>
    </font>
    <font>
      <sz val="12"/>
      <color theme="1"/>
      <name val="Century Gothic"/>
      <family val="1"/>
    </font>
    <font>
      <sz val="18"/>
      <color rgb="FF000000"/>
      <name val="Century Gothic"/>
      <family val="1"/>
    </font>
    <font>
      <b/>
      <sz val="12"/>
      <color theme="1"/>
      <name val="Aptos Narrow"/>
      <family val="2"/>
      <scheme val="minor"/>
    </font>
    <font>
      <b/>
      <sz val="10"/>
      <color rgb="FF000000"/>
      <name val="Century Gothic"/>
      <family val="1"/>
    </font>
    <font>
      <b/>
      <sz val="12"/>
      <color theme="0"/>
      <name val="Century Gothic"/>
      <family val="1"/>
    </font>
    <font>
      <sz val="10"/>
      <color theme="1"/>
      <name val="Century Gothic"/>
      <family val="1"/>
    </font>
    <font>
      <sz val="10"/>
      <color rgb="FF00B0F0"/>
      <name val="Century Gothic"/>
      <family val="1"/>
    </font>
    <font>
      <sz val="12"/>
      <color rgb="FF00B0F0"/>
      <name val="Century Gothic"/>
      <family val="1"/>
    </font>
    <font>
      <sz val="10"/>
      <color rgb="FF000000"/>
      <name val="Century Gothic"/>
      <family val="1"/>
    </font>
    <font>
      <sz val="18"/>
      <color theme="1"/>
      <name val="Century Gothic"/>
      <family val="1"/>
    </font>
    <font>
      <sz val="10"/>
      <color rgb="FF0070C0"/>
      <name val="Century Gothic"/>
      <family val="1"/>
    </font>
    <font>
      <b/>
      <sz val="18"/>
      <color theme="1"/>
      <name val="Century Gothic"/>
      <family val="1"/>
    </font>
    <font>
      <sz val="18"/>
      <color rgb="FF00B0F0"/>
      <name val="Century Gothic"/>
      <family val="1"/>
    </font>
    <font>
      <b/>
      <sz val="18"/>
      <color rgb="FF00B0F0"/>
      <name val="Century Gothic"/>
      <family val="1"/>
    </font>
    <font>
      <sz val="14"/>
      <color theme="1"/>
      <name val="Aptos Narrow"/>
      <family val="2"/>
      <scheme val="minor"/>
    </font>
    <font>
      <b/>
      <sz val="14"/>
      <color rgb="FF000000"/>
      <name val="Century Gothic"/>
      <family val="1"/>
    </font>
    <font>
      <sz val="14"/>
      <color theme="1"/>
      <name val="Century Gothic"/>
      <family val="1"/>
    </font>
    <font>
      <b/>
      <sz val="14"/>
      <color theme="0"/>
      <name val="Century Gothic"/>
      <family val="1"/>
    </font>
    <font>
      <sz val="14"/>
      <color rgb="FF000000"/>
      <name val="Century Gothic"/>
      <family val="1"/>
    </font>
    <font>
      <b/>
      <sz val="14"/>
      <color theme="1"/>
      <name val="Century Gothic"/>
      <family val="1"/>
    </font>
    <font>
      <sz val="14"/>
      <color rgb="FF0070C0"/>
      <name val="Century Gothic"/>
      <family val="1"/>
    </font>
    <font>
      <sz val="14"/>
      <color rgb="FF00B0F0"/>
      <name val="Century Gothic"/>
      <family val="1"/>
    </font>
    <font>
      <b/>
      <sz val="14"/>
      <color rgb="FF00B0F0"/>
      <name val="Century Gothic"/>
      <family val="1"/>
    </font>
    <font>
      <sz val="14"/>
      <color rgb="FF00B0F0"/>
      <name val="Aptos Narrow"/>
      <family val="2"/>
      <scheme val="minor"/>
    </font>
  </fonts>
  <fills count="6">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tint="-4.9989318521683403E-2"/>
        <bgColor indexed="64"/>
      </patternFill>
    </fill>
  </fills>
  <borders count="59">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medium">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714">
    <xf numFmtId="0" fontId="0" fillId="0" borderId="0" xfId="0"/>
    <xf numFmtId="0" fontId="0" fillId="0" borderId="0" xfId="0" applyAlignment="1">
      <alignment horizontal="right"/>
    </xf>
    <xf numFmtId="0" fontId="3" fillId="0" borderId="0" xfId="0" applyFont="1"/>
    <xf numFmtId="0" fontId="0" fillId="0" borderId="0" xfId="0" applyAlignment="1">
      <alignment horizontal="center"/>
    </xf>
    <xf numFmtId="0" fontId="0" fillId="0" borderId="1" xfId="0" applyBorder="1" applyAlignment="1">
      <alignment horizontal="center" vertical="center"/>
    </xf>
    <xf numFmtId="0" fontId="2" fillId="2" borderId="0" xfId="0" applyFont="1" applyFill="1" applyAlignment="1">
      <alignment horizontal="right"/>
    </xf>
    <xf numFmtId="15" fontId="4" fillId="0" borderId="2" xfId="0" applyNumberFormat="1" applyFont="1" applyBorder="1" applyAlignment="1">
      <alignment horizontal="center" vertical="center"/>
    </xf>
    <xf numFmtId="164" fontId="4" fillId="0" borderId="2" xfId="1" applyNumberFormat="1" applyFont="1" applyBorder="1" applyAlignment="1">
      <alignment horizontal="center" vertical="center"/>
    </xf>
    <xf numFmtId="20" fontId="4" fillId="0" borderId="2" xfId="0" applyNumberFormat="1" applyFont="1" applyBorder="1" applyAlignment="1">
      <alignment horizontal="center" vertical="center"/>
    </xf>
    <xf numFmtId="0" fontId="4" fillId="0" borderId="2" xfId="0" applyFont="1" applyBorder="1" applyAlignment="1">
      <alignment horizontal="center" vertical="center"/>
    </xf>
    <xf numFmtId="10" fontId="4" fillId="0" borderId="2" xfId="0" applyNumberFormat="1" applyFont="1" applyBorder="1" applyAlignment="1">
      <alignment horizontal="center" vertical="center"/>
    </xf>
    <xf numFmtId="0" fontId="5" fillId="0" borderId="2" xfId="0" quotePrefix="1" applyFont="1" applyBorder="1" applyAlignment="1">
      <alignment horizontal="left" vertical="center" wrapText="1"/>
    </xf>
    <xf numFmtId="0" fontId="6" fillId="0" borderId="2" xfId="0" quotePrefix="1" applyFont="1" applyBorder="1" applyAlignment="1">
      <alignment wrapText="1"/>
    </xf>
    <xf numFmtId="0" fontId="4" fillId="0" borderId="2" xfId="1" applyNumberFormat="1" applyFont="1" applyBorder="1" applyAlignment="1">
      <alignment horizontal="center" vertical="center"/>
    </xf>
    <xf numFmtId="0" fontId="4" fillId="0" borderId="2" xfId="2" applyNumberFormat="1" applyFont="1" applyBorder="1" applyAlignment="1">
      <alignment horizontal="center" vertical="center"/>
    </xf>
    <xf numFmtId="0" fontId="5" fillId="0" borderId="2" xfId="0" quotePrefix="1" applyFont="1" applyBorder="1" applyAlignment="1">
      <alignment wrapText="1"/>
    </xf>
    <xf numFmtId="0" fontId="4" fillId="0" borderId="2" xfId="2" quotePrefix="1" applyNumberFormat="1" applyFont="1" applyBorder="1" applyAlignment="1">
      <alignment horizontal="center" vertical="center"/>
    </xf>
    <xf numFmtId="10" fontId="4" fillId="0" borderId="2" xfId="2" applyNumberFormat="1" applyFont="1" applyBorder="1" applyAlignment="1">
      <alignment horizontal="center" vertical="center"/>
    </xf>
    <xf numFmtId="0" fontId="7" fillId="0" borderId="2" xfId="0" quotePrefix="1" applyFont="1" applyBorder="1" applyAlignment="1">
      <alignment wrapText="1"/>
    </xf>
    <xf numFmtId="0" fontId="4" fillId="0" borderId="2" xfId="1" applyNumberFormat="1" applyFont="1" applyFill="1" applyBorder="1" applyAlignment="1">
      <alignment horizontal="center" vertical="center"/>
    </xf>
    <xf numFmtId="43" fontId="4" fillId="0" borderId="2" xfId="1" applyFont="1" applyBorder="1" applyAlignment="1">
      <alignment horizontal="right" vertical="center"/>
    </xf>
    <xf numFmtId="10" fontId="4" fillId="0" borderId="2" xfId="0" applyNumberFormat="1" applyFont="1" applyBorder="1" applyAlignment="1">
      <alignment horizontal="right" vertical="center"/>
    </xf>
    <xf numFmtId="10" fontId="4" fillId="0" borderId="2" xfId="2" quotePrefix="1" applyNumberFormat="1" applyFont="1" applyBorder="1" applyAlignment="1">
      <alignment horizontal="right" vertical="center"/>
    </xf>
    <xf numFmtId="10" fontId="4" fillId="0" borderId="2" xfId="2" applyNumberFormat="1" applyFont="1" applyBorder="1" applyAlignment="1">
      <alignment horizontal="right" vertical="center"/>
    </xf>
    <xf numFmtId="165" fontId="4" fillId="0" borderId="2" xfId="2" applyNumberFormat="1" applyFont="1" applyBorder="1" applyAlignment="1">
      <alignment horizontal="right" vertical="center"/>
    </xf>
    <xf numFmtId="0" fontId="4" fillId="0" borderId="2" xfId="0" applyFont="1" applyBorder="1" applyAlignment="1">
      <alignment horizontal="right" vertical="center"/>
    </xf>
    <xf numFmtId="0" fontId="8" fillId="0" borderId="0" xfId="0" applyFont="1"/>
    <xf numFmtId="0" fontId="2" fillId="2" borderId="1" xfId="0" applyFont="1" applyFill="1" applyBorder="1" applyAlignment="1">
      <alignment horizontal="center"/>
    </xf>
    <xf numFmtId="0" fontId="2" fillId="2" borderId="1" xfId="0" applyFont="1" applyFill="1" applyBorder="1"/>
    <xf numFmtId="0" fontId="2" fillId="2" borderId="1" xfId="0" applyFont="1" applyFill="1" applyBorder="1" applyAlignment="1">
      <alignment horizontal="right"/>
    </xf>
    <xf numFmtId="15" fontId="0" fillId="0" borderId="2" xfId="0" applyNumberFormat="1" applyBorder="1" applyAlignment="1">
      <alignment horizontal="center" vertical="center"/>
    </xf>
    <xf numFmtId="164" fontId="1" fillId="0" borderId="2" xfId="1" applyNumberFormat="1" applyFon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center" vertical="center"/>
    </xf>
    <xf numFmtId="0" fontId="0" fillId="0" borderId="2" xfId="0" applyBorder="1"/>
    <xf numFmtId="0" fontId="0" fillId="0" borderId="2" xfId="0" applyBorder="1" applyAlignment="1">
      <alignment horizontal="right"/>
    </xf>
    <xf numFmtId="10" fontId="0" fillId="0" borderId="2" xfId="0" applyNumberFormat="1" applyBorder="1" applyAlignment="1">
      <alignment horizontal="right"/>
    </xf>
    <xf numFmtId="15" fontId="0" fillId="0" borderId="2" xfId="0" applyNumberFormat="1" applyBorder="1" applyAlignment="1">
      <alignment horizontal="center"/>
    </xf>
    <xf numFmtId="0" fontId="0" fillId="0" borderId="2" xfId="0" quotePrefix="1" applyBorder="1" applyAlignment="1">
      <alignment horizontal="right"/>
    </xf>
    <xf numFmtId="165" fontId="0" fillId="0" borderId="2" xfId="0" applyNumberFormat="1" applyBorder="1" applyAlignment="1">
      <alignment horizontal="right"/>
    </xf>
    <xf numFmtId="166" fontId="0" fillId="0" borderId="2" xfId="0" applyNumberFormat="1" applyBorder="1" applyAlignment="1">
      <alignment horizontal="center" vertical="center"/>
    </xf>
    <xf numFmtId="43" fontId="1" fillId="0" borderId="2" xfId="1" quotePrefix="1" applyFont="1" applyBorder="1" applyAlignment="1">
      <alignment horizontal="right"/>
    </xf>
    <xf numFmtId="20" fontId="0" fillId="3" borderId="2" xfId="0" applyNumberFormat="1" applyFill="1" applyBorder="1" applyAlignment="1">
      <alignment horizontal="center" vertical="center"/>
    </xf>
    <xf numFmtId="167" fontId="1" fillId="0" borderId="2" xfId="1" applyNumberFormat="1" applyFont="1" applyBorder="1" applyAlignment="1">
      <alignment horizontal="right"/>
    </xf>
    <xf numFmtId="10" fontId="0" fillId="3" borderId="2" xfId="0" applyNumberFormat="1" applyFill="1" applyBorder="1" applyAlignment="1">
      <alignment horizontal="right"/>
    </xf>
    <xf numFmtId="0" fontId="0" fillId="0" borderId="2" xfId="0" quotePrefix="1" applyBorder="1" applyAlignment="1">
      <alignment horizontal="center" vertical="center"/>
    </xf>
    <xf numFmtId="15" fontId="9" fillId="0" borderId="2" xfId="0" applyNumberFormat="1" applyFont="1" applyBorder="1" applyAlignment="1">
      <alignment horizontal="center" vertical="center"/>
    </xf>
    <xf numFmtId="164" fontId="9" fillId="0" borderId="3" xfId="0" applyNumberFormat="1" applyFont="1" applyBorder="1" applyAlignment="1">
      <alignment horizontal="center" vertical="center"/>
    </xf>
    <xf numFmtId="20" fontId="9" fillId="0" borderId="3" xfId="0" applyNumberFormat="1" applyFont="1" applyBorder="1" applyAlignment="1">
      <alignment horizontal="center" vertical="center"/>
    </xf>
    <xf numFmtId="0" fontId="9" fillId="0" borderId="3" xfId="0" applyFont="1" applyBorder="1" applyAlignment="1">
      <alignment horizontal="center" vertical="center"/>
    </xf>
    <xf numFmtId="10" fontId="9" fillId="0" borderId="3" xfId="0" applyNumberFormat="1" applyFont="1" applyBorder="1" applyAlignment="1">
      <alignment horizontal="right" vertical="center"/>
    </xf>
    <xf numFmtId="0" fontId="6" fillId="0" borderId="3" xfId="0" applyFont="1" applyBorder="1" applyAlignment="1">
      <alignment wrapText="1"/>
    </xf>
    <xf numFmtId="15" fontId="9" fillId="0" borderId="4" xfId="0" applyNumberFormat="1" applyFont="1" applyBorder="1" applyAlignment="1">
      <alignment horizontal="center" vertical="center"/>
    </xf>
    <xf numFmtId="164" fontId="9" fillId="0" borderId="5" xfId="0" applyNumberFormat="1" applyFont="1" applyBorder="1" applyAlignment="1">
      <alignment horizontal="center" vertical="center"/>
    </xf>
    <xf numFmtId="20" fontId="9" fillId="0" borderId="5" xfId="0" applyNumberFormat="1" applyFont="1" applyBorder="1" applyAlignment="1">
      <alignment horizontal="center" vertical="center"/>
    </xf>
    <xf numFmtId="0" fontId="9" fillId="0" borderId="5" xfId="0" applyFont="1" applyBorder="1" applyAlignment="1">
      <alignment horizontal="center" vertical="center"/>
    </xf>
    <xf numFmtId="10" fontId="9" fillId="0" borderId="5" xfId="0" applyNumberFormat="1" applyFont="1" applyBorder="1" applyAlignment="1">
      <alignment horizontal="right" vertical="center"/>
    </xf>
    <xf numFmtId="0" fontId="6" fillId="0" borderId="5" xfId="0" applyFont="1" applyBorder="1" applyAlignment="1">
      <alignment vertical="center" wrapText="1"/>
    </xf>
    <xf numFmtId="0" fontId="6" fillId="0" borderId="5" xfId="0" applyFont="1" applyBorder="1" applyAlignment="1">
      <alignment wrapText="1"/>
    </xf>
    <xf numFmtId="165" fontId="9" fillId="0" borderId="5" xfId="0" applyNumberFormat="1" applyFont="1" applyBorder="1" applyAlignment="1">
      <alignment horizontal="right" vertical="center"/>
    </xf>
    <xf numFmtId="167" fontId="9" fillId="0" borderId="5" xfId="0" applyNumberFormat="1" applyFont="1" applyBorder="1" applyAlignment="1">
      <alignment horizontal="right" vertical="center"/>
    </xf>
    <xf numFmtId="168" fontId="9" fillId="0" borderId="5" xfId="0" applyNumberFormat="1" applyFont="1" applyBorder="1" applyAlignment="1">
      <alignment horizontal="right" vertical="center"/>
    </xf>
    <xf numFmtId="10" fontId="9" fillId="0" borderId="5" xfId="0" quotePrefix="1" applyNumberFormat="1" applyFont="1" applyBorder="1" applyAlignment="1">
      <alignment horizontal="right" vertical="center"/>
    </xf>
    <xf numFmtId="165" fontId="4" fillId="0" borderId="2" xfId="0" applyNumberFormat="1" applyFont="1" applyBorder="1" applyAlignment="1">
      <alignment horizontal="right" vertical="center"/>
    </xf>
    <xf numFmtId="0" fontId="0" fillId="3" borderId="2" xfId="0" applyFill="1" applyBorder="1" applyAlignment="1">
      <alignment horizontal="right"/>
    </xf>
    <xf numFmtId="0" fontId="4" fillId="0" borderId="2" xfId="1" applyNumberFormat="1" applyFont="1" applyBorder="1" applyAlignment="1">
      <alignment horizontal="right" vertical="center"/>
    </xf>
    <xf numFmtId="0" fontId="4" fillId="0" borderId="2" xfId="2" applyNumberFormat="1" applyFont="1" applyBorder="1" applyAlignment="1">
      <alignment horizontal="right" vertical="center"/>
    </xf>
    <xf numFmtId="0" fontId="4" fillId="0" borderId="2" xfId="1" applyNumberFormat="1" applyFont="1" applyFill="1" applyBorder="1" applyAlignment="1">
      <alignment horizontal="right" vertical="center"/>
    </xf>
    <xf numFmtId="0" fontId="10" fillId="0" borderId="3" xfId="0" applyFont="1" applyBorder="1" applyAlignment="1">
      <alignment wrapText="1"/>
    </xf>
    <xf numFmtId="0" fontId="10" fillId="0" borderId="5" xfId="0" applyFont="1" applyBorder="1" applyAlignment="1">
      <alignment wrapText="1"/>
    </xf>
    <xf numFmtId="0" fontId="10" fillId="0" borderId="5" xfId="0" applyFont="1" applyBorder="1" applyAlignment="1">
      <alignment vertical="center" wrapText="1"/>
    </xf>
    <xf numFmtId="10" fontId="9" fillId="0" borderId="5" xfId="0" applyNumberFormat="1" applyFont="1" applyBorder="1" applyAlignment="1">
      <alignment horizontal="center" vertical="center"/>
    </xf>
    <xf numFmtId="0" fontId="11" fillId="2" borderId="2" xfId="0" applyFont="1" applyFill="1" applyBorder="1" applyAlignment="1">
      <alignment horizontal="center" vertical="center"/>
    </xf>
    <xf numFmtId="0" fontId="11" fillId="2" borderId="2" xfId="0" applyFont="1" applyFill="1" applyBorder="1" applyAlignment="1">
      <alignment horizontal="right" vertical="center"/>
    </xf>
    <xf numFmtId="10" fontId="4" fillId="0" borderId="2" xfId="1" applyNumberFormat="1" applyFont="1" applyBorder="1" applyAlignment="1">
      <alignment horizontal="right" vertical="center"/>
    </xf>
    <xf numFmtId="167" fontId="4" fillId="0" borderId="2" xfId="1" applyNumberFormat="1" applyFont="1" applyBorder="1" applyAlignment="1">
      <alignment horizontal="right" vertical="center"/>
    </xf>
    <xf numFmtId="0" fontId="12" fillId="0" borderId="2" xfId="0" quotePrefix="1" applyFont="1" applyBorder="1" applyAlignment="1">
      <alignment wrapText="1"/>
    </xf>
    <xf numFmtId="43" fontId="4" fillId="0" borderId="2" xfId="1" quotePrefix="1" applyFont="1" applyBorder="1" applyAlignment="1">
      <alignment horizontal="right" vertical="center"/>
    </xf>
    <xf numFmtId="0" fontId="4" fillId="0" borderId="2" xfId="0" applyFont="1" applyBorder="1" applyAlignment="1">
      <alignment horizontal="center" vertical="center" wrapText="1"/>
    </xf>
    <xf numFmtId="10" fontId="4" fillId="0" borderId="2" xfId="1" quotePrefix="1" applyNumberFormat="1" applyFont="1" applyBorder="1" applyAlignment="1">
      <alignment horizontal="right" vertical="center"/>
    </xf>
    <xf numFmtId="169" fontId="4" fillId="0" borderId="2" xfId="1" applyNumberFormat="1" applyFont="1" applyBorder="1" applyAlignment="1">
      <alignment horizontal="right" vertical="center"/>
    </xf>
    <xf numFmtId="165" fontId="4" fillId="0" borderId="2" xfId="1" applyNumberFormat="1" applyFont="1" applyBorder="1" applyAlignment="1">
      <alignment horizontal="right" vertical="center"/>
    </xf>
    <xf numFmtId="15" fontId="4" fillId="0" borderId="2" xfId="0" applyNumberFormat="1" applyFont="1" applyBorder="1" applyAlignment="1">
      <alignment horizontal="center" vertical="center" wrapText="1"/>
    </xf>
    <xf numFmtId="164" fontId="4" fillId="0" borderId="2" xfId="1" applyNumberFormat="1" applyFont="1" applyBorder="1" applyAlignment="1">
      <alignment horizontal="center" vertical="center" wrapText="1"/>
    </xf>
    <xf numFmtId="20" fontId="4" fillId="0" borderId="2" xfId="0" applyNumberFormat="1" applyFont="1" applyBorder="1" applyAlignment="1">
      <alignment horizontal="center" vertical="center" wrapText="1"/>
    </xf>
    <xf numFmtId="10" fontId="4" fillId="0" borderId="2" xfId="1" applyNumberFormat="1" applyFont="1" applyBorder="1" applyAlignment="1">
      <alignment horizontal="right" vertical="center" wrapText="1"/>
    </xf>
    <xf numFmtId="10" fontId="4" fillId="0" borderId="2" xfId="1" quotePrefix="1" applyNumberFormat="1" applyFont="1" applyBorder="1" applyAlignment="1">
      <alignment horizontal="right" vertical="center" wrapText="1"/>
    </xf>
    <xf numFmtId="43" fontId="4" fillId="0" borderId="2" xfId="1" applyFont="1" applyBorder="1" applyAlignment="1">
      <alignment horizontal="right" vertical="center" wrapText="1"/>
    </xf>
    <xf numFmtId="0" fontId="4" fillId="0" borderId="2" xfId="0" quotePrefix="1" applyFont="1" applyBorder="1" applyAlignment="1">
      <alignment horizontal="center" vertical="center"/>
    </xf>
    <xf numFmtId="0" fontId="13" fillId="0" borderId="0" xfId="0" applyFont="1" applyAlignment="1">
      <alignment horizontal="center" vertical="center"/>
    </xf>
    <xf numFmtId="0" fontId="14" fillId="4" borderId="6" xfId="0" applyFont="1" applyFill="1" applyBorder="1" applyAlignment="1">
      <alignment horizontal="left" vertical="center" wrapText="1" readingOrder="1"/>
    </xf>
    <xf numFmtId="0" fontId="16" fillId="0" borderId="0" xfId="0" applyFont="1"/>
    <xf numFmtId="0" fontId="14" fillId="0" borderId="13" xfId="0" applyFont="1" applyBorder="1" applyAlignment="1">
      <alignment horizontal="left" vertical="center" wrapText="1" readingOrder="1"/>
    </xf>
    <xf numFmtId="0" fontId="0" fillId="0" borderId="0" xfId="0" applyAlignment="1">
      <alignment horizontal="center" vertical="center"/>
    </xf>
    <xf numFmtId="0" fontId="14" fillId="0" borderId="19" xfId="0" applyFont="1" applyBorder="1" applyAlignment="1">
      <alignment horizontal="left" vertical="center" wrapText="1" readingOrder="1"/>
    </xf>
    <xf numFmtId="20" fontId="0" fillId="0" borderId="0" xfId="0" applyNumberFormat="1" applyAlignment="1">
      <alignment horizontal="center" vertical="center"/>
    </xf>
    <xf numFmtId="0" fontId="14" fillId="0" borderId="20" xfId="0" applyFont="1" applyBorder="1" applyAlignment="1">
      <alignment horizontal="left" vertical="center" wrapText="1" readingOrder="1"/>
    </xf>
    <xf numFmtId="0" fontId="14" fillId="0" borderId="21" xfId="0" applyFont="1" applyBorder="1" applyAlignment="1">
      <alignment horizontal="right" vertical="center" wrapText="1" readingOrder="1"/>
    </xf>
    <xf numFmtId="0" fontId="14" fillId="0" borderId="22" xfId="0" applyFont="1" applyBorder="1" applyAlignment="1">
      <alignment horizontal="right" vertical="center" wrapText="1" readingOrder="1"/>
    </xf>
    <xf numFmtId="15" fontId="14" fillId="0" borderId="23" xfId="0" applyNumberFormat="1" applyFont="1" applyBorder="1" applyAlignment="1">
      <alignment horizontal="left" vertical="center" wrapText="1" readingOrder="1"/>
    </xf>
    <xf numFmtId="43" fontId="17" fillId="0" borderId="4" xfId="1" quotePrefix="1" applyFont="1" applyBorder="1" applyAlignment="1">
      <alignment horizontal="right" vertical="center" wrapText="1" readingOrder="1"/>
    </xf>
    <xf numFmtId="43" fontId="17" fillId="0" borderId="24" xfId="1" quotePrefix="1" applyFont="1" applyBorder="1" applyAlignment="1">
      <alignment horizontal="right" vertical="center" wrapText="1" readingOrder="1"/>
    </xf>
    <xf numFmtId="15" fontId="14" fillId="0" borderId="25" xfId="0" applyNumberFormat="1" applyFont="1" applyBorder="1" applyAlignment="1">
      <alignment horizontal="left" vertical="center" wrapText="1" readingOrder="1"/>
    </xf>
    <xf numFmtId="43" fontId="17" fillId="0" borderId="26" xfId="1" applyFont="1" applyBorder="1" applyAlignment="1">
      <alignment horizontal="right" vertical="center" wrapText="1" readingOrder="1"/>
    </xf>
    <xf numFmtId="43" fontId="17" fillId="0" borderId="27" xfId="1" applyFont="1" applyBorder="1" applyAlignment="1">
      <alignment horizontal="right" vertical="center" wrapText="1" readingOrder="1"/>
    </xf>
    <xf numFmtId="168" fontId="17" fillId="0" borderId="4" xfId="2" quotePrefix="1" applyNumberFormat="1" applyFont="1" applyBorder="1" applyAlignment="1">
      <alignment horizontal="right" vertical="center" wrapText="1" readingOrder="1"/>
    </xf>
    <xf numFmtId="168" fontId="17" fillId="0" borderId="24" xfId="2" quotePrefix="1" applyNumberFormat="1" applyFont="1" applyBorder="1" applyAlignment="1">
      <alignment horizontal="right" vertical="center" wrapText="1" readingOrder="1"/>
    </xf>
    <xf numFmtId="168" fontId="17" fillId="0" borderId="26" xfId="2" applyNumberFormat="1" applyFont="1" applyBorder="1" applyAlignment="1">
      <alignment horizontal="right" vertical="center" wrapText="1" readingOrder="1"/>
    </xf>
    <xf numFmtId="168" fontId="17" fillId="0" borderId="27" xfId="2" applyNumberFormat="1" applyFont="1" applyBorder="1" applyAlignment="1">
      <alignment horizontal="right" vertical="center" wrapText="1" readingOrder="1"/>
    </xf>
    <xf numFmtId="167" fontId="17" fillId="0" borderId="4" xfId="1" quotePrefix="1" applyNumberFormat="1" applyFont="1" applyBorder="1" applyAlignment="1">
      <alignment horizontal="right" vertical="center" wrapText="1" readingOrder="1"/>
    </xf>
    <xf numFmtId="167" fontId="17" fillId="0" borderId="24" xfId="1" quotePrefix="1" applyNumberFormat="1" applyFont="1" applyBorder="1" applyAlignment="1">
      <alignment horizontal="right" vertical="center" wrapText="1" readingOrder="1"/>
    </xf>
    <xf numFmtId="167" fontId="17" fillId="0" borderId="26" xfId="1" applyNumberFormat="1" applyFont="1" applyBorder="1" applyAlignment="1">
      <alignment horizontal="right" vertical="center" wrapText="1" readingOrder="1"/>
    </xf>
    <xf numFmtId="167" fontId="17" fillId="0" borderId="27" xfId="1" applyNumberFormat="1" applyFont="1" applyBorder="1" applyAlignment="1">
      <alignment horizontal="right" vertical="center" wrapText="1" readingOrder="1"/>
    </xf>
    <xf numFmtId="10" fontId="17" fillId="0" borderId="4" xfId="2" quotePrefix="1" applyNumberFormat="1" applyFont="1" applyBorder="1" applyAlignment="1">
      <alignment horizontal="right" vertical="center" wrapText="1" readingOrder="1"/>
    </xf>
    <xf numFmtId="10" fontId="17" fillId="0" borderId="24" xfId="2" quotePrefix="1" applyNumberFormat="1" applyFont="1" applyBorder="1" applyAlignment="1">
      <alignment horizontal="right" vertical="center" wrapText="1" readingOrder="1"/>
    </xf>
    <xf numFmtId="10" fontId="17" fillId="0" borderId="26" xfId="2" applyNumberFormat="1" applyFont="1" applyBorder="1" applyAlignment="1">
      <alignment horizontal="right" vertical="center" wrapText="1" readingOrder="1"/>
    </xf>
    <xf numFmtId="10" fontId="17" fillId="0" borderId="27" xfId="2" applyNumberFormat="1" applyFont="1" applyBorder="1" applyAlignment="1">
      <alignment horizontal="right" vertical="center" wrapText="1" readingOrder="1"/>
    </xf>
    <xf numFmtId="0" fontId="0" fillId="0" borderId="17" xfId="0" applyBorder="1" applyAlignment="1">
      <alignment horizontal="center" vertical="center"/>
    </xf>
    <xf numFmtId="0" fontId="0" fillId="0" borderId="18" xfId="0" applyBorder="1" applyAlignment="1">
      <alignment horizontal="center" vertical="center"/>
    </xf>
    <xf numFmtId="0" fontId="3" fillId="0" borderId="17" xfId="0" applyFont="1" applyBorder="1" applyAlignment="1">
      <alignment horizontal="center" vertical="center"/>
    </xf>
    <xf numFmtId="0" fontId="0" fillId="0" borderId="28" xfId="0" applyBorder="1" applyAlignment="1">
      <alignment horizontal="center" vertical="center"/>
    </xf>
    <xf numFmtId="0" fontId="0" fillId="0" borderId="30" xfId="0" applyBorder="1" applyAlignment="1">
      <alignment horizontal="center" vertical="center"/>
    </xf>
    <xf numFmtId="0" fontId="14" fillId="0" borderId="23" xfId="0" applyFont="1" applyBorder="1" applyAlignment="1">
      <alignment horizontal="left" vertical="center" wrapText="1" readingOrder="1"/>
    </xf>
    <xf numFmtId="0" fontId="14" fillId="4" borderId="20" xfId="0" applyFont="1" applyFill="1" applyBorder="1" applyAlignment="1">
      <alignment horizontal="left" vertical="center" wrapText="1" readingOrder="1"/>
    </xf>
    <xf numFmtId="0" fontId="14" fillId="4" borderId="38" xfId="0" applyFont="1" applyFill="1" applyBorder="1" applyAlignment="1">
      <alignment vertical="center" wrapText="1" readingOrder="1"/>
    </xf>
    <xf numFmtId="0" fontId="14" fillId="4" borderId="40" xfId="0" applyFont="1" applyFill="1" applyBorder="1" applyAlignment="1">
      <alignment vertical="center" wrapText="1" readingOrder="1"/>
    </xf>
    <xf numFmtId="20" fontId="3" fillId="0" borderId="34" xfId="0" applyNumberFormat="1" applyFont="1" applyBorder="1" applyAlignment="1">
      <alignment horizontal="center" vertical="center"/>
    </xf>
    <xf numFmtId="20" fontId="3" fillId="0" borderId="40" xfId="0" applyNumberFormat="1" applyFont="1" applyBorder="1" applyAlignment="1">
      <alignment horizontal="center" vertical="center"/>
    </xf>
    <xf numFmtId="165" fontId="17" fillId="0" borderId="4" xfId="2" quotePrefix="1" applyNumberFormat="1" applyFont="1" applyBorder="1" applyAlignment="1">
      <alignment horizontal="right" vertical="center" wrapText="1" readingOrder="1"/>
    </xf>
    <xf numFmtId="20" fontId="4" fillId="3" borderId="2" xfId="0" applyNumberFormat="1" applyFont="1" applyFill="1" applyBorder="1" applyAlignment="1">
      <alignment horizontal="center" vertical="center"/>
    </xf>
    <xf numFmtId="168" fontId="4" fillId="0" borderId="2" xfId="1" applyNumberFormat="1" applyFont="1" applyBorder="1" applyAlignment="1">
      <alignment horizontal="right" vertical="center"/>
    </xf>
    <xf numFmtId="15" fontId="14" fillId="3" borderId="23" xfId="0" applyNumberFormat="1" applyFont="1" applyFill="1" applyBorder="1" applyAlignment="1">
      <alignment horizontal="left" vertical="center" wrapText="1" readingOrder="1"/>
    </xf>
    <xf numFmtId="15" fontId="14" fillId="3" borderId="42" xfId="0" applyNumberFormat="1" applyFont="1" applyFill="1" applyBorder="1" applyAlignment="1">
      <alignment horizontal="left" vertical="center" wrapText="1" readingOrder="1"/>
    </xf>
    <xf numFmtId="168" fontId="17" fillId="0" borderId="43" xfId="2" quotePrefix="1" applyNumberFormat="1" applyFont="1" applyBorder="1" applyAlignment="1">
      <alignment horizontal="right" vertical="center" wrapText="1" readingOrder="1"/>
    </xf>
    <xf numFmtId="0" fontId="19" fillId="0" borderId="13" xfId="0" applyFont="1" applyBorder="1" applyAlignment="1">
      <alignment horizontal="left" vertical="center" wrapText="1" readingOrder="1"/>
    </xf>
    <xf numFmtId="0" fontId="16" fillId="0" borderId="17" xfId="0" applyFont="1" applyBorder="1" applyAlignment="1">
      <alignment horizontal="center" vertical="center"/>
    </xf>
    <xf numFmtId="0" fontId="16" fillId="0" borderId="18" xfId="0" applyFont="1" applyBorder="1" applyAlignment="1">
      <alignment horizontal="center" vertical="center"/>
    </xf>
    <xf numFmtId="20" fontId="13" fillId="0" borderId="34" xfId="0" applyNumberFormat="1" applyFont="1" applyBorder="1" applyAlignment="1">
      <alignment horizontal="center" vertical="center"/>
    </xf>
    <xf numFmtId="20" fontId="17" fillId="0" borderId="13" xfId="0" applyNumberFormat="1" applyFont="1" applyBorder="1" applyAlignment="1">
      <alignment horizontal="right" vertical="center" wrapText="1" readingOrder="1"/>
    </xf>
    <xf numFmtId="20" fontId="16" fillId="0" borderId="17" xfId="0" applyNumberFormat="1" applyFont="1" applyBorder="1" applyAlignment="1">
      <alignment horizontal="center" vertical="center"/>
    </xf>
    <xf numFmtId="0" fontId="16" fillId="0" borderId="30" xfId="0" applyFont="1" applyBorder="1" applyAlignment="1">
      <alignment horizontal="center" vertical="center"/>
    </xf>
    <xf numFmtId="0" fontId="13" fillId="0" borderId="17" xfId="0" applyFont="1" applyBorder="1" applyAlignment="1">
      <alignment horizontal="center" vertical="center"/>
    </xf>
    <xf numFmtId="0" fontId="16" fillId="0" borderId="28" xfId="0" applyFont="1" applyBorder="1" applyAlignment="1">
      <alignment horizontal="center" vertical="center"/>
    </xf>
    <xf numFmtId="15" fontId="14" fillId="0" borderId="42" xfId="0" applyNumberFormat="1" applyFont="1" applyBorder="1" applyAlignment="1">
      <alignment horizontal="left" vertical="center" wrapText="1" readingOrder="1"/>
    </xf>
    <xf numFmtId="20" fontId="17" fillId="0" borderId="25" xfId="0" applyNumberFormat="1" applyFont="1" applyBorder="1" applyAlignment="1">
      <alignment horizontal="right" vertical="center" wrapText="1" readingOrder="1"/>
    </xf>
    <xf numFmtId="0" fontId="20" fillId="2" borderId="36" xfId="0" applyFont="1" applyFill="1" applyBorder="1" applyAlignment="1">
      <alignment horizontal="center" vertical="center"/>
    </xf>
    <xf numFmtId="0" fontId="21" fillId="0" borderId="15" xfId="0" applyFont="1" applyBorder="1" applyAlignment="1">
      <alignment horizontal="center" vertical="center"/>
    </xf>
    <xf numFmtId="0" fontId="22" fillId="0" borderId="15" xfId="0" applyFont="1" applyBorder="1" applyAlignment="1">
      <alignment horizontal="center" vertical="center"/>
    </xf>
    <xf numFmtId="0" fontId="22" fillId="0" borderId="15" xfId="0" applyFont="1" applyBorder="1" applyAlignment="1">
      <alignment horizontal="center" vertical="center" wrapText="1" readingOrder="1"/>
    </xf>
    <xf numFmtId="170" fontId="22" fillId="0" borderId="15" xfId="0" applyNumberFormat="1" applyFont="1" applyBorder="1" applyAlignment="1">
      <alignment horizontal="center" vertical="center"/>
    </xf>
    <xf numFmtId="0" fontId="21" fillId="0" borderId="15" xfId="0" applyFont="1" applyBorder="1" applyAlignment="1">
      <alignment vertical="center"/>
    </xf>
    <xf numFmtId="0" fontId="16" fillId="0" borderId="15" xfId="0" applyFont="1" applyBorder="1" applyAlignment="1">
      <alignment vertical="center"/>
    </xf>
    <xf numFmtId="0" fontId="21" fillId="0" borderId="0" xfId="0" applyFont="1" applyAlignment="1">
      <alignment horizontal="center" vertical="center"/>
    </xf>
    <xf numFmtId="170" fontId="21" fillId="0" borderId="0" xfId="0" applyNumberFormat="1" applyFont="1" applyAlignment="1">
      <alignment horizontal="center" vertical="center"/>
    </xf>
    <xf numFmtId="0" fontId="21" fillId="0" borderId="0" xfId="0" applyFont="1" applyAlignment="1">
      <alignment vertical="center"/>
    </xf>
    <xf numFmtId="0" fontId="23" fillId="0" borderId="0" xfId="0" applyFont="1" applyAlignment="1">
      <alignment vertical="center"/>
    </xf>
    <xf numFmtId="0" fontId="21" fillId="0" borderId="1" xfId="0" applyFont="1" applyBorder="1" applyAlignment="1">
      <alignment horizontal="center" vertical="center"/>
    </xf>
    <xf numFmtId="0" fontId="22" fillId="0" borderId="1" xfId="0" applyFont="1" applyBorder="1" applyAlignment="1">
      <alignment horizontal="center" vertical="center"/>
    </xf>
    <xf numFmtId="171" fontId="22" fillId="0" borderId="1" xfId="0" applyNumberFormat="1" applyFont="1" applyBorder="1" applyAlignment="1">
      <alignment horizontal="center" vertical="center" wrapText="1" readingOrder="1"/>
    </xf>
    <xf numFmtId="170" fontId="22" fillId="0" borderId="1" xfId="0" applyNumberFormat="1" applyFont="1" applyBorder="1" applyAlignment="1">
      <alignment horizontal="center" vertical="center"/>
    </xf>
    <xf numFmtId="0" fontId="21" fillId="0" borderId="1" xfId="0" applyFont="1" applyBorder="1" applyAlignment="1">
      <alignment vertical="center"/>
    </xf>
    <xf numFmtId="164" fontId="21" fillId="0" borderId="1" xfId="1" applyNumberFormat="1" applyFont="1" applyBorder="1" applyAlignment="1">
      <alignment horizontal="center" vertical="center"/>
    </xf>
    <xf numFmtId="1" fontId="21" fillId="0" borderId="1" xfId="0" applyNumberFormat="1" applyFont="1" applyBorder="1" applyAlignment="1">
      <alignment horizontal="center" vertical="center"/>
    </xf>
    <xf numFmtId="0" fontId="22" fillId="0" borderId="1" xfId="0" applyFont="1" applyBorder="1" applyAlignment="1">
      <alignment vertical="center"/>
    </xf>
    <xf numFmtId="164" fontId="21" fillId="0" borderId="1" xfId="0" applyNumberFormat="1" applyFont="1" applyBorder="1" applyAlignment="1">
      <alignment vertical="center"/>
    </xf>
    <xf numFmtId="0" fontId="23" fillId="0" borderId="1" xfId="0" applyFont="1" applyBorder="1" applyAlignment="1">
      <alignment vertical="center"/>
    </xf>
    <xf numFmtId="0" fontId="21" fillId="0" borderId="36" xfId="0" applyFont="1" applyBorder="1" applyAlignment="1">
      <alignment horizontal="center" vertical="center"/>
    </xf>
    <xf numFmtId="0" fontId="22" fillId="0" borderId="36" xfId="0" applyFont="1" applyBorder="1" applyAlignment="1">
      <alignment horizontal="center" vertical="center"/>
    </xf>
    <xf numFmtId="171" fontId="22" fillId="0" borderId="36" xfId="0" applyNumberFormat="1" applyFont="1" applyBorder="1" applyAlignment="1">
      <alignment horizontal="center" vertical="center" wrapText="1" readingOrder="1"/>
    </xf>
    <xf numFmtId="170" fontId="22" fillId="0" borderId="36" xfId="0" applyNumberFormat="1" applyFont="1" applyBorder="1" applyAlignment="1">
      <alignment horizontal="center" vertical="center"/>
    </xf>
    <xf numFmtId="0" fontId="21" fillId="0" borderId="36" xfId="0" applyFont="1" applyBorder="1" applyAlignment="1">
      <alignment vertical="center"/>
    </xf>
    <xf numFmtId="164" fontId="21" fillId="0" borderId="36" xfId="1" applyNumberFormat="1" applyFont="1" applyBorder="1" applyAlignment="1">
      <alignment horizontal="center" vertical="center"/>
    </xf>
    <xf numFmtId="1" fontId="21" fillId="0" borderId="36" xfId="0" applyNumberFormat="1" applyFont="1" applyBorder="1" applyAlignment="1">
      <alignment horizontal="center" vertical="center"/>
    </xf>
    <xf numFmtId="0" fontId="22" fillId="0" borderId="36" xfId="0" applyFont="1" applyBorder="1" applyAlignment="1">
      <alignment vertical="center"/>
    </xf>
    <xf numFmtId="164" fontId="21" fillId="0" borderId="36" xfId="0" applyNumberFormat="1" applyFont="1" applyBorder="1" applyAlignment="1">
      <alignment vertical="center"/>
    </xf>
    <xf numFmtId="0" fontId="23" fillId="0" borderId="36" xfId="0" applyFont="1" applyBorder="1" applyAlignment="1">
      <alignment vertical="center"/>
    </xf>
    <xf numFmtId="0" fontId="22" fillId="0" borderId="0" xfId="0" applyFont="1" applyAlignment="1">
      <alignment vertical="center"/>
    </xf>
    <xf numFmtId="164" fontId="21" fillId="0" borderId="0" xfId="0" applyNumberFormat="1" applyFont="1" applyAlignment="1">
      <alignment vertical="center"/>
    </xf>
    <xf numFmtId="1" fontId="21" fillId="0" borderId="0" xfId="0" applyNumberFormat="1" applyFont="1" applyAlignment="1">
      <alignment horizontal="center" vertical="center"/>
    </xf>
    <xf numFmtId="0" fontId="16" fillId="0" borderId="0" xfId="0" applyFont="1" applyAlignment="1">
      <alignment vertical="center"/>
    </xf>
    <xf numFmtId="172" fontId="24" fillId="0" borderId="15" xfId="0" applyNumberFormat="1" applyFont="1" applyBorder="1" applyAlignment="1">
      <alignment horizontal="center" vertical="center" wrapText="1" readingOrder="1"/>
    </xf>
    <xf numFmtId="170" fontId="21" fillId="0" borderId="15" xfId="0" applyNumberFormat="1" applyFont="1" applyBorder="1" applyAlignment="1">
      <alignment horizontal="center" vertical="center"/>
    </xf>
    <xf numFmtId="164" fontId="21" fillId="0" borderId="15" xfId="1" applyNumberFormat="1" applyFont="1" applyBorder="1" applyAlignment="1">
      <alignment horizontal="center" vertical="center"/>
    </xf>
    <xf numFmtId="1" fontId="21" fillId="0" borderId="15" xfId="0" applyNumberFormat="1" applyFont="1" applyBorder="1" applyAlignment="1">
      <alignment horizontal="center" vertical="center"/>
    </xf>
    <xf numFmtId="164" fontId="21" fillId="0" borderId="15" xfId="0" applyNumberFormat="1" applyFont="1" applyBorder="1" applyAlignment="1">
      <alignment vertical="center"/>
    </xf>
    <xf numFmtId="0" fontId="23" fillId="0" borderId="15" xfId="0" applyFont="1" applyBorder="1" applyAlignment="1">
      <alignment vertical="center"/>
    </xf>
    <xf numFmtId="164" fontId="16" fillId="0" borderId="0" xfId="0" applyNumberFormat="1" applyFont="1"/>
    <xf numFmtId="171" fontId="21" fillId="0" borderId="36" xfId="0" applyNumberFormat="1" applyFont="1" applyBorder="1" applyAlignment="1">
      <alignment horizontal="center" vertical="center" wrapText="1" readingOrder="1"/>
    </xf>
    <xf numFmtId="0" fontId="18" fillId="0" borderId="0" xfId="0" applyFont="1" applyAlignment="1">
      <alignment horizontal="center" vertical="center"/>
    </xf>
    <xf numFmtId="0" fontId="14" fillId="4" borderId="41" xfId="0" applyFont="1" applyFill="1" applyBorder="1" applyAlignment="1">
      <alignment vertical="center" wrapText="1" readingOrder="1"/>
    </xf>
    <xf numFmtId="168" fontId="17" fillId="0" borderId="4" xfId="2" quotePrefix="1" applyNumberFormat="1" applyFont="1" applyFill="1" applyBorder="1" applyAlignment="1">
      <alignment horizontal="right" vertical="center" wrapText="1" readingOrder="1"/>
    </xf>
    <xf numFmtId="167" fontId="17" fillId="0" borderId="43" xfId="1" quotePrefix="1" applyNumberFormat="1" applyFont="1" applyBorder="1" applyAlignment="1">
      <alignment horizontal="right" vertical="center" wrapText="1" readingOrder="1"/>
    </xf>
    <xf numFmtId="43" fontId="17" fillId="0" borderId="43" xfId="1" quotePrefix="1" applyFont="1" applyBorder="1" applyAlignment="1">
      <alignment horizontal="right" vertical="center" wrapText="1" readingOrder="1"/>
    </xf>
    <xf numFmtId="0" fontId="14" fillId="4" borderId="2" xfId="0" applyFont="1" applyFill="1" applyBorder="1" applyAlignment="1">
      <alignment horizontal="left" vertical="center" wrapText="1" readingOrder="1"/>
    </xf>
    <xf numFmtId="0" fontId="14" fillId="4" borderId="2" xfId="0" applyFont="1" applyFill="1" applyBorder="1" applyAlignment="1">
      <alignment horizontal="center" vertical="center" wrapText="1" readingOrder="1"/>
    </xf>
    <xf numFmtId="0" fontId="16" fillId="0" borderId="0" xfId="0" applyFont="1" applyAlignment="1">
      <alignment horizontal="center" vertical="center"/>
    </xf>
    <xf numFmtId="0" fontId="14" fillId="0" borderId="2" xfId="0" applyFont="1" applyBorder="1" applyAlignment="1">
      <alignment horizontal="left" vertical="center" wrapText="1" readingOrder="1"/>
    </xf>
    <xf numFmtId="0" fontId="19" fillId="0" borderId="2" xfId="0" applyFont="1" applyBorder="1" applyAlignment="1">
      <alignment horizontal="center" vertical="center" wrapText="1" readingOrder="1"/>
    </xf>
    <xf numFmtId="0" fontId="25" fillId="0" borderId="2" xfId="0" applyFont="1" applyBorder="1" applyAlignment="1">
      <alignment horizontal="center" vertical="center"/>
    </xf>
    <xf numFmtId="0" fontId="26" fillId="0" borderId="15" xfId="0" applyFont="1" applyBorder="1" applyAlignment="1">
      <alignment horizontal="center" vertical="center"/>
    </xf>
    <xf numFmtId="0" fontId="26" fillId="0" borderId="15" xfId="0" applyFont="1" applyBorder="1" applyAlignment="1">
      <alignment horizontal="center" vertical="center" wrapText="1" readingOrder="1"/>
    </xf>
    <xf numFmtId="170" fontId="26" fillId="0" borderId="15" xfId="0" applyNumberFormat="1" applyFont="1" applyBorder="1" applyAlignment="1">
      <alignment horizontal="center" vertical="center"/>
    </xf>
    <xf numFmtId="0" fontId="26" fillId="0" borderId="15" xfId="0" applyFont="1" applyBorder="1" applyAlignment="1">
      <alignment vertical="center"/>
    </xf>
    <xf numFmtId="0" fontId="14" fillId="0" borderId="2" xfId="0" applyFont="1" applyBorder="1" applyAlignment="1">
      <alignment horizontal="center" vertical="center" wrapText="1" readingOrder="1"/>
    </xf>
    <xf numFmtId="0" fontId="26" fillId="0" borderId="1" xfId="0" applyFont="1" applyBorder="1" applyAlignment="1">
      <alignment horizontal="center" vertical="center"/>
    </xf>
    <xf numFmtId="171" fontId="26" fillId="0" borderId="1" xfId="0" applyNumberFormat="1" applyFont="1" applyBorder="1" applyAlignment="1">
      <alignment horizontal="center" vertical="center" wrapText="1" readingOrder="1"/>
    </xf>
    <xf numFmtId="170" fontId="26" fillId="0" borderId="1" xfId="0" applyNumberFormat="1" applyFont="1" applyBorder="1" applyAlignment="1">
      <alignment horizontal="center" vertical="center"/>
    </xf>
    <xf numFmtId="0" fontId="26" fillId="0" borderId="1" xfId="0" applyFont="1" applyBorder="1" applyAlignment="1">
      <alignment vertical="center"/>
    </xf>
    <xf numFmtId="20" fontId="27" fillId="0" borderId="2" xfId="0" applyNumberFormat="1" applyFont="1" applyBorder="1" applyAlignment="1">
      <alignment horizontal="center" vertical="center"/>
    </xf>
    <xf numFmtId="0" fontId="26" fillId="0" borderId="36" xfId="0" applyFont="1" applyBorder="1" applyAlignment="1">
      <alignment horizontal="center" vertical="center"/>
    </xf>
    <xf numFmtId="170" fontId="26" fillId="0" borderId="36" xfId="0" applyNumberFormat="1" applyFont="1" applyBorder="1" applyAlignment="1">
      <alignment horizontal="center" vertical="center"/>
    </xf>
    <xf numFmtId="172" fontId="26" fillId="0" borderId="36" xfId="0" applyNumberFormat="1" applyFont="1" applyBorder="1" applyAlignment="1">
      <alignment horizontal="center" vertical="center"/>
    </xf>
    <xf numFmtId="0" fontId="26" fillId="0" borderId="36" xfId="0" applyFont="1" applyBorder="1" applyAlignment="1">
      <alignment vertical="center"/>
    </xf>
    <xf numFmtId="0" fontId="14" fillId="0" borderId="2" xfId="0" applyFont="1" applyBorder="1" applyAlignment="1">
      <alignment horizontal="right" vertical="center" wrapText="1" readingOrder="1"/>
    </xf>
    <xf numFmtId="15" fontId="14" fillId="0" borderId="2" xfId="0" applyNumberFormat="1" applyFont="1" applyBorder="1" applyAlignment="1">
      <alignment horizontal="left" vertical="center" wrapText="1" readingOrder="1"/>
    </xf>
    <xf numFmtId="43" fontId="17" fillId="0" borderId="2" xfId="1" quotePrefix="1" applyFont="1" applyBorder="1" applyAlignment="1">
      <alignment horizontal="right" vertical="center" wrapText="1" readingOrder="1"/>
    </xf>
    <xf numFmtId="20" fontId="17" fillId="0" borderId="2" xfId="0" applyNumberFormat="1" applyFont="1" applyBorder="1" applyAlignment="1">
      <alignment horizontal="center" vertical="center" wrapText="1" readingOrder="1"/>
    </xf>
    <xf numFmtId="0" fontId="26" fillId="3" borderId="15" xfId="0" applyFont="1" applyFill="1" applyBorder="1" applyAlignment="1">
      <alignment horizontal="center" vertical="center"/>
    </xf>
    <xf numFmtId="0" fontId="27" fillId="0" borderId="2" xfId="0" applyFont="1" applyBorder="1" applyAlignment="1">
      <alignment horizontal="center" vertical="center"/>
    </xf>
    <xf numFmtId="168" fontId="17" fillId="0" borderId="2" xfId="2" quotePrefix="1" applyNumberFormat="1" applyFont="1" applyBorder="1" applyAlignment="1">
      <alignment horizontal="right" vertical="center" wrapText="1" readingOrder="1"/>
    </xf>
    <xf numFmtId="173" fontId="26" fillId="0" borderId="1" xfId="0" applyNumberFormat="1" applyFont="1" applyBorder="1" applyAlignment="1">
      <alignment horizontal="center" vertical="center"/>
    </xf>
    <xf numFmtId="0" fontId="26" fillId="0" borderId="1" xfId="0" applyFont="1" applyBorder="1" applyAlignment="1">
      <alignment horizontal="right" vertical="center"/>
    </xf>
    <xf numFmtId="173" fontId="26" fillId="0" borderId="36" xfId="0" applyNumberFormat="1" applyFont="1" applyBorder="1" applyAlignment="1">
      <alignment horizontal="center" vertical="center"/>
    </xf>
    <xf numFmtId="167" fontId="26" fillId="0" borderId="36" xfId="1" applyNumberFormat="1" applyFont="1" applyBorder="1" applyAlignment="1">
      <alignment horizontal="right" vertical="center"/>
    </xf>
    <xf numFmtId="173" fontId="22" fillId="0" borderId="0" xfId="0" applyNumberFormat="1" applyFont="1" applyAlignment="1">
      <alignment horizontal="center" vertical="center"/>
    </xf>
    <xf numFmtId="0" fontId="21" fillId="0" borderId="0" xfId="0" applyFont="1" applyAlignment="1">
      <alignment horizontal="right" vertical="center"/>
    </xf>
    <xf numFmtId="168" fontId="17" fillId="0" borderId="2" xfId="2" quotePrefix="1" applyNumberFormat="1" applyFont="1" applyFill="1" applyBorder="1" applyAlignment="1">
      <alignment horizontal="right" vertical="center" wrapText="1" readingOrder="1"/>
    </xf>
    <xf numFmtId="0" fontId="16" fillId="0" borderId="0" xfId="0" applyFont="1" applyAlignment="1">
      <alignment horizontal="right" vertical="center"/>
    </xf>
    <xf numFmtId="173" fontId="26" fillId="0" borderId="15" xfId="0" applyNumberFormat="1" applyFont="1" applyBorder="1" applyAlignment="1">
      <alignment horizontal="center" vertical="center"/>
    </xf>
    <xf numFmtId="172" fontId="26" fillId="0" borderId="15" xfId="0" applyNumberFormat="1" applyFont="1" applyBorder="1" applyAlignment="1">
      <alignment horizontal="center" vertical="center"/>
    </xf>
    <xf numFmtId="173" fontId="26" fillId="0" borderId="15" xfId="0" applyNumberFormat="1" applyFont="1" applyBorder="1" applyAlignment="1">
      <alignment horizontal="right" vertical="center"/>
    </xf>
    <xf numFmtId="20" fontId="25" fillId="0" borderId="2" xfId="0" applyNumberFormat="1" applyFont="1" applyBorder="1" applyAlignment="1">
      <alignment horizontal="center" vertical="center"/>
    </xf>
    <xf numFmtId="167" fontId="17" fillId="0" borderId="2" xfId="1" quotePrefix="1" applyNumberFormat="1" applyFont="1" applyBorder="1" applyAlignment="1">
      <alignment horizontal="right" vertical="center" wrapText="1" readingOrder="1"/>
    </xf>
    <xf numFmtId="2" fontId="26" fillId="0" borderId="15" xfId="0" applyNumberFormat="1" applyFont="1" applyBorder="1" applyAlignment="1">
      <alignment horizontal="center" vertical="center"/>
    </xf>
    <xf numFmtId="20" fontId="21" fillId="0" borderId="0" xfId="0" applyNumberFormat="1" applyFont="1" applyAlignment="1">
      <alignment vertical="center"/>
    </xf>
    <xf numFmtId="10" fontId="17" fillId="0" borderId="2" xfId="2" quotePrefix="1" applyNumberFormat="1" applyFont="1" applyBorder="1" applyAlignment="1">
      <alignment horizontal="right" vertical="center" wrapText="1" readingOrder="1"/>
    </xf>
    <xf numFmtId="165" fontId="17" fillId="0" borderId="2" xfId="2" quotePrefix="1" applyNumberFormat="1" applyFont="1" applyBorder="1" applyAlignment="1">
      <alignment horizontal="right" vertical="center" wrapText="1" readingOrder="1"/>
    </xf>
    <xf numFmtId="0" fontId="0" fillId="0" borderId="0" xfId="0" applyAlignment="1">
      <alignment horizontal="left" indent="1"/>
    </xf>
    <xf numFmtId="0" fontId="14" fillId="0" borderId="0" xfId="0" applyFont="1" applyAlignment="1">
      <alignment horizontal="center" vertical="center" wrapText="1" readingOrder="1"/>
    </xf>
    <xf numFmtId="0" fontId="25" fillId="0" borderId="0" xfId="0" applyFont="1" applyAlignment="1">
      <alignment horizontal="left" indent="5"/>
    </xf>
    <xf numFmtId="0" fontId="25" fillId="0" borderId="0" xfId="0" applyFont="1" applyAlignment="1">
      <alignment horizontal="center" vertical="center"/>
    </xf>
    <xf numFmtId="20" fontId="14" fillId="0" borderId="2" xfId="0" applyNumberFormat="1" applyFont="1" applyBorder="1" applyAlignment="1">
      <alignment horizontal="center" vertical="center" wrapText="1" readingOrder="1"/>
    </xf>
    <xf numFmtId="167" fontId="17" fillId="0" borderId="2" xfId="1" quotePrefix="1" applyNumberFormat="1" applyFont="1" applyBorder="1" applyAlignment="1">
      <alignment horizontal="center" vertical="center" wrapText="1" readingOrder="1"/>
    </xf>
    <xf numFmtId="20" fontId="16" fillId="0" borderId="0" xfId="0" applyNumberFormat="1" applyFont="1" applyAlignment="1">
      <alignment vertical="center"/>
    </xf>
    <xf numFmtId="43" fontId="21" fillId="0" borderId="0" xfId="0" applyNumberFormat="1" applyFont="1" applyAlignment="1">
      <alignment vertical="center"/>
    </xf>
    <xf numFmtId="165" fontId="4" fillId="0" borderId="2" xfId="1" applyNumberFormat="1" applyFont="1" applyBorder="1" applyAlignment="1">
      <alignment horizontal="right" vertical="center" wrapText="1"/>
    </xf>
    <xf numFmtId="167" fontId="4" fillId="0" borderId="2" xfId="1" quotePrefix="1" applyNumberFormat="1" applyFont="1" applyBorder="1" applyAlignment="1">
      <alignment horizontal="right" vertical="center"/>
    </xf>
    <xf numFmtId="10" fontId="4" fillId="0" borderId="2" xfId="1" applyNumberFormat="1" applyFont="1" applyFill="1" applyBorder="1" applyAlignment="1">
      <alignment horizontal="right" vertical="center" wrapText="1"/>
    </xf>
    <xf numFmtId="0" fontId="14" fillId="0" borderId="23" xfId="0" applyFont="1" applyBorder="1" applyAlignment="1">
      <alignment horizontal="left" vertical="center" wrapText="1" indent="1" readingOrder="1"/>
    </xf>
    <xf numFmtId="0" fontId="14" fillId="0" borderId="20" xfId="0" applyFont="1" applyBorder="1" applyAlignment="1">
      <alignment horizontal="left" vertical="center" wrapText="1" indent="1" readingOrder="1"/>
    </xf>
    <xf numFmtId="15" fontId="14" fillId="0" borderId="23" xfId="0" applyNumberFormat="1" applyFont="1" applyBorder="1" applyAlignment="1">
      <alignment horizontal="left" vertical="center" wrapText="1" indent="1" readingOrder="1"/>
    </xf>
    <xf numFmtId="15" fontId="14" fillId="0" borderId="42" xfId="0" applyNumberFormat="1" applyFont="1" applyBorder="1" applyAlignment="1">
      <alignment horizontal="left" vertical="center" wrapText="1" indent="1" readingOrder="1"/>
    </xf>
    <xf numFmtId="0" fontId="14" fillId="4" borderId="20" xfId="0" applyFont="1" applyFill="1" applyBorder="1" applyAlignment="1">
      <alignment horizontal="left" vertical="center" wrapText="1" indent="1" readingOrder="1"/>
    </xf>
    <xf numFmtId="0" fontId="14" fillId="0" borderId="13" xfId="0" applyFont="1" applyBorder="1" applyAlignment="1">
      <alignment horizontal="left" vertical="center" wrapText="1" indent="1" readingOrder="1"/>
    </xf>
    <xf numFmtId="0" fontId="14" fillId="0" borderId="19" xfId="0" applyFont="1" applyBorder="1" applyAlignment="1">
      <alignment horizontal="left" vertical="center" wrapText="1" indent="1" readingOrder="1"/>
    </xf>
    <xf numFmtId="0" fontId="14" fillId="0" borderId="21" xfId="0" applyFont="1" applyBorder="1" applyAlignment="1">
      <alignment horizontal="right" vertical="center" wrapText="1" indent="2" readingOrder="1"/>
    </xf>
    <xf numFmtId="0" fontId="14" fillId="0" borderId="22" xfId="0" applyFont="1" applyBorder="1" applyAlignment="1">
      <alignment horizontal="right" vertical="center" wrapText="1" indent="2" readingOrder="1"/>
    </xf>
    <xf numFmtId="10" fontId="17" fillId="0" borderId="4" xfId="2" quotePrefix="1" applyNumberFormat="1" applyFont="1" applyBorder="1" applyAlignment="1">
      <alignment horizontal="right" vertical="center" wrapText="1" indent="2" readingOrder="1"/>
    </xf>
    <xf numFmtId="168" fontId="17" fillId="0" borderId="4" xfId="2" quotePrefix="1" applyNumberFormat="1" applyFont="1" applyBorder="1" applyAlignment="1">
      <alignment horizontal="right" vertical="center" wrapText="1" indent="2" readingOrder="1"/>
    </xf>
    <xf numFmtId="43" fontId="17" fillId="0" borderId="4" xfId="1" quotePrefix="1" applyFont="1" applyFill="1" applyBorder="1" applyAlignment="1">
      <alignment horizontal="right" vertical="center" wrapText="1" indent="2" readingOrder="1"/>
    </xf>
    <xf numFmtId="165" fontId="17" fillId="0" borderId="4" xfId="2" quotePrefix="1" applyNumberFormat="1" applyFont="1" applyBorder="1" applyAlignment="1">
      <alignment horizontal="right" vertical="center" wrapText="1" indent="2" readingOrder="1"/>
    </xf>
    <xf numFmtId="168" fontId="17" fillId="0" borderId="4" xfId="2" quotePrefix="1" applyNumberFormat="1" applyFont="1" applyFill="1" applyBorder="1" applyAlignment="1">
      <alignment horizontal="right" vertical="center" wrapText="1" indent="2" readingOrder="1"/>
    </xf>
    <xf numFmtId="20" fontId="0" fillId="0" borderId="18" xfId="0" applyNumberFormat="1" applyBorder="1" applyAlignment="1">
      <alignment horizontal="center" vertical="center"/>
    </xf>
    <xf numFmtId="167" fontId="17" fillId="0" borderId="4" xfId="1" quotePrefix="1" applyNumberFormat="1" applyFont="1" applyBorder="1" applyAlignment="1">
      <alignment horizontal="right" vertical="center" wrapText="1" indent="2" readingOrder="1"/>
    </xf>
    <xf numFmtId="167" fontId="17" fillId="0" borderId="43" xfId="1" quotePrefix="1" applyNumberFormat="1" applyFont="1" applyBorder="1" applyAlignment="1">
      <alignment horizontal="right" vertical="center" wrapText="1" indent="2" readingOrder="1"/>
    </xf>
    <xf numFmtId="0" fontId="14" fillId="4" borderId="6" xfId="0" applyFont="1" applyFill="1" applyBorder="1" applyAlignment="1">
      <alignment horizontal="center" vertical="center" wrapText="1" readingOrder="1"/>
    </xf>
    <xf numFmtId="0" fontId="14" fillId="4" borderId="50" xfId="0" applyFont="1" applyFill="1" applyBorder="1" applyAlignment="1">
      <alignment horizontal="center" vertical="center" wrapText="1" readingOrder="1"/>
    </xf>
    <xf numFmtId="0" fontId="14" fillId="4" borderId="51" xfId="0" applyFont="1" applyFill="1" applyBorder="1" applyAlignment="1">
      <alignment horizontal="center" vertical="center" wrapText="1" readingOrder="1"/>
    </xf>
    <xf numFmtId="0" fontId="19" fillId="0" borderId="13" xfId="0" applyFont="1" applyBorder="1" applyAlignment="1">
      <alignment horizontal="center" vertical="center" wrapText="1" readingOrder="1"/>
    </xf>
    <xf numFmtId="0" fontId="25" fillId="0" borderId="52" xfId="0" applyFont="1" applyBorder="1" applyAlignment="1">
      <alignment horizontal="center" vertical="center"/>
    </xf>
    <xf numFmtId="0" fontId="14" fillId="0" borderId="13" xfId="0" applyFont="1" applyBorder="1" applyAlignment="1">
      <alignment horizontal="center" vertical="center" wrapText="1" readingOrder="1"/>
    </xf>
    <xf numFmtId="20" fontId="27" fillId="0" borderId="52" xfId="0" applyNumberFormat="1" applyFont="1" applyBorder="1" applyAlignment="1">
      <alignment horizontal="center" vertical="center"/>
    </xf>
    <xf numFmtId="20" fontId="28" fillId="0" borderId="13" xfId="0" applyNumberFormat="1" applyFont="1" applyBorder="1" applyAlignment="1">
      <alignment horizontal="center" vertical="center" wrapText="1" readingOrder="1"/>
    </xf>
    <xf numFmtId="0" fontId="14" fillId="4" borderId="13" xfId="0" applyFont="1" applyFill="1" applyBorder="1" applyAlignment="1">
      <alignment horizontal="center" vertical="center" wrapText="1" readingOrder="1"/>
    </xf>
    <xf numFmtId="0" fontId="14" fillId="4" borderId="52" xfId="0" applyFont="1" applyFill="1" applyBorder="1" applyAlignment="1">
      <alignment horizontal="center" vertical="center" wrapText="1" readingOrder="1"/>
    </xf>
    <xf numFmtId="20" fontId="22" fillId="0" borderId="13" xfId="0" applyNumberFormat="1" applyFont="1" applyBorder="1" applyAlignment="1">
      <alignment horizontal="center" vertical="center" wrapText="1" readingOrder="1"/>
    </xf>
    <xf numFmtId="43" fontId="17" fillId="0" borderId="4" xfId="1" quotePrefix="1" applyFont="1" applyFill="1" applyBorder="1" applyAlignment="1">
      <alignment horizontal="right" vertical="center" wrapText="1" readingOrder="1"/>
    </xf>
    <xf numFmtId="20" fontId="25" fillId="0" borderId="13" xfId="0" applyNumberFormat="1" applyFont="1" applyBorder="1" applyAlignment="1">
      <alignment horizontal="center" vertical="center" wrapText="1" readingOrder="1"/>
    </xf>
    <xf numFmtId="20" fontId="17" fillId="0" borderId="13" xfId="0" applyNumberFormat="1" applyFont="1" applyBorder="1" applyAlignment="1">
      <alignment horizontal="center" vertical="center" wrapText="1" readingOrder="1"/>
    </xf>
    <xf numFmtId="0" fontId="25" fillId="0" borderId="26" xfId="0" applyFont="1" applyBorder="1" applyAlignment="1">
      <alignment horizontal="center" vertical="center"/>
    </xf>
    <xf numFmtId="0" fontId="25" fillId="0" borderId="27" xfId="0" applyFont="1" applyBorder="1" applyAlignment="1">
      <alignment horizontal="center" vertical="center"/>
    </xf>
    <xf numFmtId="0" fontId="14" fillId="4" borderId="5" xfId="0" applyFont="1" applyFill="1" applyBorder="1" applyAlignment="1">
      <alignment horizontal="center" vertical="center" wrapText="1" readingOrder="1"/>
    </xf>
    <xf numFmtId="0" fontId="14" fillId="4" borderId="4" xfId="0" applyFont="1" applyFill="1" applyBorder="1" applyAlignment="1">
      <alignment horizontal="center" vertical="center" wrapText="1" readingOrder="1"/>
    </xf>
    <xf numFmtId="0" fontId="14" fillId="0" borderId="3" xfId="0" applyFont="1" applyBorder="1" applyAlignment="1">
      <alignment horizontal="center" vertical="center" wrapText="1" readingOrder="1"/>
    </xf>
    <xf numFmtId="167" fontId="17" fillId="0" borderId="54" xfId="1" quotePrefix="1" applyNumberFormat="1" applyFont="1" applyBorder="1" applyAlignment="1">
      <alignment horizontal="right" vertical="center" wrapText="1" readingOrder="1"/>
    </xf>
    <xf numFmtId="168" fontId="17" fillId="0" borderId="43" xfId="2" quotePrefix="1" applyNumberFormat="1" applyFont="1" applyBorder="1" applyAlignment="1">
      <alignment horizontal="right" vertical="center" wrapText="1" indent="2" readingOrder="1"/>
    </xf>
    <xf numFmtId="0" fontId="3" fillId="0" borderId="0" xfId="0" applyFont="1" applyAlignment="1">
      <alignment horizontal="center" vertical="center"/>
    </xf>
    <xf numFmtId="0" fontId="14" fillId="0" borderId="20" xfId="0" applyFont="1" applyBorder="1" applyAlignment="1">
      <alignment horizontal="center" vertical="center" wrapText="1" readingOrder="1"/>
    </xf>
    <xf numFmtId="0" fontId="14" fillId="0" borderId="34" xfId="0" applyFont="1" applyBorder="1" applyAlignment="1">
      <alignment horizontal="center" vertical="center" wrapText="1" readingOrder="1"/>
    </xf>
    <xf numFmtId="0" fontId="25" fillId="0" borderId="24" xfId="0" applyFont="1" applyBorder="1" applyAlignment="1">
      <alignment horizontal="center" vertical="center"/>
    </xf>
    <xf numFmtId="20" fontId="25" fillId="0" borderId="52" xfId="0" applyNumberFormat="1" applyFont="1" applyBorder="1" applyAlignment="1">
      <alignment horizontal="center" vertical="center"/>
    </xf>
    <xf numFmtId="20" fontId="25" fillId="0" borderId="25" xfId="0" applyNumberFormat="1" applyFont="1" applyBorder="1" applyAlignment="1">
      <alignment horizontal="center" vertical="center" wrapText="1" readingOrder="1"/>
    </xf>
    <xf numFmtId="20" fontId="28" fillId="0" borderId="25" xfId="0" applyNumberFormat="1" applyFont="1" applyBorder="1" applyAlignment="1">
      <alignment horizontal="center" vertical="center" wrapText="1" readingOrder="1"/>
    </xf>
    <xf numFmtId="167" fontId="26" fillId="0" borderId="36" xfId="1" applyNumberFormat="1" applyFont="1" applyBorder="1" applyAlignment="1">
      <alignment vertical="center"/>
    </xf>
    <xf numFmtId="20" fontId="14" fillId="0" borderId="13" xfId="0" applyNumberFormat="1" applyFont="1" applyBorder="1" applyAlignment="1">
      <alignment horizontal="center" vertical="center" wrapText="1" readingOrder="1"/>
    </xf>
    <xf numFmtId="20" fontId="25" fillId="0" borderId="24" xfId="0" applyNumberFormat="1" applyFont="1" applyBorder="1" applyAlignment="1">
      <alignment horizontal="center" vertical="center"/>
    </xf>
    <xf numFmtId="168" fontId="21" fillId="0" borderId="15" xfId="2" applyNumberFormat="1" applyFont="1" applyBorder="1" applyAlignment="1">
      <alignment horizontal="center" vertical="center"/>
    </xf>
    <xf numFmtId="173" fontId="26" fillId="0" borderId="15" xfId="0" applyNumberFormat="1" applyFont="1" applyBorder="1" applyAlignment="1">
      <alignment horizontal="left" vertical="center"/>
    </xf>
    <xf numFmtId="10" fontId="17" fillId="0" borderId="43" xfId="2" quotePrefix="1" applyNumberFormat="1" applyFont="1" applyBorder="1" applyAlignment="1">
      <alignment horizontal="right" vertical="center" wrapText="1" readingOrder="1"/>
    </xf>
    <xf numFmtId="20" fontId="16" fillId="0" borderId="0" xfId="0" applyNumberFormat="1" applyFont="1"/>
    <xf numFmtId="167" fontId="26" fillId="0" borderId="1" xfId="1" applyNumberFormat="1" applyFont="1" applyBorder="1" applyAlignment="1">
      <alignment vertical="center"/>
    </xf>
    <xf numFmtId="167" fontId="21" fillId="0" borderId="15" xfId="0" applyNumberFormat="1" applyFont="1" applyBorder="1" applyAlignment="1">
      <alignment vertical="center"/>
    </xf>
    <xf numFmtId="43" fontId="17" fillId="0" borderId="4" xfId="1" quotePrefix="1" applyFont="1" applyBorder="1" applyAlignment="1">
      <alignment horizontal="right" vertical="center" wrapText="1" indent="2" readingOrder="1"/>
    </xf>
    <xf numFmtId="43" fontId="17" fillId="0" borderId="43" xfId="1" quotePrefix="1" applyFont="1" applyBorder="1" applyAlignment="1">
      <alignment horizontal="right" vertical="center" wrapText="1" indent="2" readingOrder="1"/>
    </xf>
    <xf numFmtId="10" fontId="14" fillId="0" borderId="35" xfId="0" applyNumberFormat="1" applyFont="1" applyBorder="1" applyAlignment="1">
      <alignment horizontal="right" vertical="center" wrapText="1" indent="2" readingOrder="1"/>
    </xf>
    <xf numFmtId="10" fontId="14" fillId="0" borderId="36" xfId="0" applyNumberFormat="1" applyFont="1" applyBorder="1" applyAlignment="1">
      <alignment horizontal="right" vertical="center" wrapText="1" indent="2" readingOrder="1"/>
    </xf>
    <xf numFmtId="10" fontId="14" fillId="0" borderId="37" xfId="0" applyNumberFormat="1" applyFont="1" applyBorder="1" applyAlignment="1">
      <alignment horizontal="right" vertical="center" wrapText="1" indent="2" readingOrder="1"/>
    </xf>
    <xf numFmtId="0" fontId="15" fillId="0" borderId="17" xfId="0" quotePrefix="1" applyFont="1" applyBorder="1" applyAlignment="1">
      <alignment horizontal="center" vertical="center" wrapText="1" readingOrder="1"/>
    </xf>
    <xf numFmtId="0" fontId="15" fillId="0" borderId="0" xfId="0" quotePrefix="1" applyFont="1" applyAlignment="1">
      <alignment horizontal="center" vertical="center" wrapText="1" readingOrder="1"/>
    </xf>
    <xf numFmtId="0" fontId="15" fillId="0" borderId="18" xfId="0" quotePrefix="1" applyFont="1" applyBorder="1" applyAlignment="1">
      <alignment horizontal="center" vertical="center" wrapText="1" readingOrder="1"/>
    </xf>
    <xf numFmtId="0" fontId="15" fillId="0" borderId="28" xfId="0" quotePrefix="1" applyFont="1" applyBorder="1" applyAlignment="1">
      <alignment horizontal="center" vertical="center" wrapText="1" readingOrder="1"/>
    </xf>
    <xf numFmtId="0" fontId="15" fillId="0" borderId="29" xfId="0" quotePrefix="1" applyFont="1" applyBorder="1" applyAlignment="1">
      <alignment horizontal="center" vertical="center" wrapText="1" readingOrder="1"/>
    </xf>
    <xf numFmtId="0" fontId="15" fillId="0" borderId="30" xfId="0" quotePrefix="1" applyFont="1" applyBorder="1" applyAlignment="1">
      <alignment horizontal="center" vertical="center" wrapText="1" readingOrder="1"/>
    </xf>
    <xf numFmtId="10" fontId="14" fillId="0" borderId="14" xfId="2" applyNumberFormat="1" applyFont="1" applyBorder="1" applyAlignment="1">
      <alignment horizontal="right" vertical="center" wrapText="1" indent="2" readingOrder="1"/>
    </xf>
    <xf numFmtId="10" fontId="14" fillId="0" borderId="15" xfId="2" applyNumberFormat="1" applyFont="1" applyBorder="1" applyAlignment="1">
      <alignment horizontal="right" vertical="center" wrapText="1" indent="2" readingOrder="1"/>
    </xf>
    <xf numFmtId="10" fontId="14" fillId="0" borderId="16" xfId="2" applyNumberFormat="1" applyFont="1" applyBorder="1" applyAlignment="1">
      <alignment horizontal="right" vertical="center" wrapText="1" indent="2" readingOrder="1"/>
    </xf>
    <xf numFmtId="167" fontId="14" fillId="0" borderId="14" xfId="1" applyNumberFormat="1" applyFont="1" applyBorder="1" applyAlignment="1">
      <alignment horizontal="right" vertical="center" wrapText="1" indent="2" readingOrder="1"/>
    </xf>
    <xf numFmtId="167" fontId="14" fillId="0" borderId="15" xfId="1" applyNumberFormat="1" applyFont="1" applyBorder="1" applyAlignment="1">
      <alignment horizontal="right" vertical="center" wrapText="1" indent="2" readingOrder="1"/>
    </xf>
    <xf numFmtId="167" fontId="14" fillId="0" borderId="16" xfId="1" applyNumberFormat="1" applyFont="1" applyBorder="1" applyAlignment="1">
      <alignment horizontal="right" vertical="center" wrapText="1" indent="2" readingOrder="1"/>
    </xf>
    <xf numFmtId="20" fontId="14" fillId="0" borderId="31" xfId="0" applyNumberFormat="1" applyFont="1" applyBorder="1" applyAlignment="1">
      <alignment horizontal="right" vertical="center" wrapText="1" indent="2" readingOrder="1"/>
    </xf>
    <xf numFmtId="20" fontId="14" fillId="0" borderId="32" xfId="0" applyNumberFormat="1" applyFont="1" applyBorder="1" applyAlignment="1">
      <alignment horizontal="right" vertical="center" wrapText="1" indent="2" readingOrder="1"/>
    </xf>
    <xf numFmtId="20" fontId="14" fillId="0" borderId="33" xfId="0" applyNumberFormat="1" applyFont="1" applyBorder="1" applyAlignment="1">
      <alignment horizontal="right" vertical="center" wrapText="1" indent="2" readingOrder="1"/>
    </xf>
    <xf numFmtId="0" fontId="14" fillId="4" borderId="38" xfId="0" applyFont="1" applyFill="1" applyBorder="1" applyAlignment="1">
      <alignment horizontal="right" vertical="center" wrapText="1" indent="2" readingOrder="1"/>
    </xf>
    <xf numFmtId="0" fontId="14" fillId="4" borderId="39" xfId="0" applyFont="1" applyFill="1" applyBorder="1" applyAlignment="1">
      <alignment horizontal="right" vertical="center" wrapText="1" indent="2" readingOrder="1"/>
    </xf>
    <xf numFmtId="0" fontId="14" fillId="4" borderId="40" xfId="0" applyFont="1" applyFill="1" applyBorder="1" applyAlignment="1">
      <alignment horizontal="right" vertical="center" wrapText="1" indent="2" readingOrder="1"/>
    </xf>
    <xf numFmtId="0" fontId="14" fillId="4" borderId="38" xfId="0" applyFont="1" applyFill="1" applyBorder="1" applyAlignment="1">
      <alignment horizontal="center" vertical="center" wrapText="1" readingOrder="1"/>
    </xf>
    <xf numFmtId="0" fontId="14" fillId="4" borderId="39" xfId="0" applyFont="1" applyFill="1" applyBorder="1" applyAlignment="1">
      <alignment horizontal="center" vertical="center" wrapText="1" readingOrder="1"/>
    </xf>
    <xf numFmtId="0" fontId="14" fillId="4" borderId="40" xfId="0" applyFont="1" applyFill="1" applyBorder="1" applyAlignment="1">
      <alignment horizontal="center" vertical="center" wrapText="1" readingOrder="1"/>
    </xf>
    <xf numFmtId="165" fontId="14" fillId="0" borderId="14" xfId="2" applyNumberFormat="1" applyFont="1" applyBorder="1" applyAlignment="1">
      <alignment horizontal="right" vertical="center" wrapText="1" indent="2" readingOrder="1"/>
    </xf>
    <xf numFmtId="165" fontId="14" fillId="0" borderId="15" xfId="2" applyNumberFormat="1" applyFont="1" applyBorder="1" applyAlignment="1">
      <alignment horizontal="right" vertical="center" wrapText="1" indent="2" readingOrder="1"/>
    </xf>
    <xf numFmtId="165" fontId="14" fillId="0" borderId="16" xfId="2" applyNumberFormat="1" applyFont="1" applyBorder="1" applyAlignment="1">
      <alignment horizontal="right" vertical="center" wrapText="1" indent="2" readingOrder="1"/>
    </xf>
    <xf numFmtId="43" fontId="14" fillId="0" borderId="14" xfId="1" applyFont="1" applyBorder="1" applyAlignment="1">
      <alignment horizontal="right" vertical="center" wrapText="1" indent="2" readingOrder="1"/>
    </xf>
    <xf numFmtId="43" fontId="14" fillId="0" borderId="15" xfId="1" applyFont="1" applyBorder="1" applyAlignment="1">
      <alignment horizontal="right" vertical="center" wrapText="1" indent="2" readingOrder="1"/>
    </xf>
    <xf numFmtId="43" fontId="14" fillId="0" borderId="16" xfId="1" applyFont="1" applyBorder="1" applyAlignment="1">
      <alignment horizontal="right" vertical="center" wrapText="1" indent="2" readingOrder="1"/>
    </xf>
    <xf numFmtId="0" fontId="14" fillId="4" borderId="41" xfId="0" applyFont="1" applyFill="1" applyBorder="1" applyAlignment="1">
      <alignment horizontal="center" vertical="center" wrapText="1" readingOrder="1"/>
    </xf>
    <xf numFmtId="43" fontId="14" fillId="0" borderId="14" xfId="2" applyNumberFormat="1" applyFont="1" applyBorder="1" applyAlignment="1">
      <alignment horizontal="right" vertical="center" wrapText="1" indent="2" readingOrder="1"/>
    </xf>
    <xf numFmtId="20" fontId="29" fillId="0" borderId="31" xfId="0" applyNumberFormat="1" applyFont="1" applyBorder="1" applyAlignment="1">
      <alignment horizontal="right" vertical="center" wrapText="1" indent="2" readingOrder="1"/>
    </xf>
    <xf numFmtId="20" fontId="29" fillId="0" borderId="32" xfId="0" applyNumberFormat="1" applyFont="1" applyBorder="1" applyAlignment="1">
      <alignment horizontal="right" vertical="center" wrapText="1" indent="2" readingOrder="1"/>
    </xf>
    <xf numFmtId="20" fontId="29" fillId="0" borderId="33" xfId="0" applyNumberFormat="1" applyFont="1" applyBorder="1" applyAlignment="1">
      <alignment horizontal="right" vertical="center" wrapText="1" indent="2" readingOrder="1"/>
    </xf>
    <xf numFmtId="10" fontId="14" fillId="0" borderId="7" xfId="0" applyNumberFormat="1" applyFont="1" applyBorder="1" applyAlignment="1">
      <alignment horizontal="right" vertical="center" wrapText="1" indent="2" readingOrder="1"/>
    </xf>
    <xf numFmtId="10" fontId="14" fillId="0" borderId="8" xfId="0" applyNumberFormat="1" applyFont="1" applyBorder="1" applyAlignment="1">
      <alignment horizontal="right" vertical="center" wrapText="1" indent="2" readingOrder="1"/>
    </xf>
    <xf numFmtId="10" fontId="14" fillId="0" borderId="9" xfId="0" applyNumberFormat="1" applyFont="1" applyBorder="1" applyAlignment="1">
      <alignment horizontal="right" vertical="center" wrapText="1" indent="2" readingOrder="1"/>
    </xf>
    <xf numFmtId="10" fontId="14" fillId="0" borderId="35" xfId="0" applyNumberFormat="1" applyFont="1" applyBorder="1" applyAlignment="1">
      <alignment horizontal="right" vertical="center" wrapText="1" readingOrder="1"/>
    </xf>
    <xf numFmtId="10" fontId="14" fillId="0" borderId="36" xfId="0" applyNumberFormat="1" applyFont="1" applyBorder="1" applyAlignment="1">
      <alignment horizontal="right" vertical="center" wrapText="1" readingOrder="1"/>
    </xf>
    <xf numFmtId="10" fontId="14" fillId="0" borderId="37" xfId="0" applyNumberFormat="1" applyFont="1" applyBorder="1" applyAlignment="1">
      <alignment horizontal="right" vertical="center" wrapText="1" readingOrder="1"/>
    </xf>
    <xf numFmtId="168" fontId="14" fillId="0" borderId="14" xfId="2" applyNumberFormat="1" applyFont="1" applyBorder="1" applyAlignment="1">
      <alignment horizontal="right" vertical="center" wrapText="1" readingOrder="1"/>
    </xf>
    <xf numFmtId="168" fontId="14" fillId="0" borderId="15" xfId="2" applyNumberFormat="1" applyFont="1" applyBorder="1" applyAlignment="1">
      <alignment horizontal="right" vertical="center" wrapText="1" readingOrder="1"/>
    </xf>
    <xf numFmtId="168" fontId="14" fillId="0" borderId="16" xfId="2" applyNumberFormat="1" applyFont="1" applyBorder="1" applyAlignment="1">
      <alignment horizontal="right" vertical="center" wrapText="1" readingOrder="1"/>
    </xf>
    <xf numFmtId="20" fontId="14" fillId="3" borderId="31" xfId="0" applyNumberFormat="1" applyFont="1" applyFill="1" applyBorder="1" applyAlignment="1">
      <alignment horizontal="right" vertical="center" wrapText="1" readingOrder="1"/>
    </xf>
    <xf numFmtId="20" fontId="14" fillId="3" borderId="32" xfId="0" applyNumberFormat="1" applyFont="1" applyFill="1" applyBorder="1" applyAlignment="1">
      <alignment horizontal="right" vertical="center" wrapText="1" readingOrder="1"/>
    </xf>
    <xf numFmtId="20" fontId="14" fillId="3" borderId="33" xfId="0" applyNumberFormat="1" applyFont="1" applyFill="1" applyBorder="1" applyAlignment="1">
      <alignment horizontal="right" vertical="center" wrapText="1" readingOrder="1"/>
    </xf>
    <xf numFmtId="0" fontId="15" fillId="3" borderId="17" xfId="0" quotePrefix="1" applyFont="1" applyFill="1" applyBorder="1" applyAlignment="1">
      <alignment horizontal="center" vertical="center" wrapText="1" readingOrder="1"/>
    </xf>
    <xf numFmtId="0" fontId="15" fillId="3" borderId="0" xfId="0" quotePrefix="1" applyFont="1" applyFill="1" applyAlignment="1">
      <alignment horizontal="center" vertical="center" wrapText="1" readingOrder="1"/>
    </xf>
    <xf numFmtId="0" fontId="15" fillId="3" borderId="18" xfId="0" quotePrefix="1" applyFont="1" applyFill="1" applyBorder="1" applyAlignment="1">
      <alignment horizontal="center" vertical="center" wrapText="1" readingOrder="1"/>
    </xf>
    <xf numFmtId="0" fontId="15" fillId="3" borderId="28" xfId="0" quotePrefix="1" applyFont="1" applyFill="1" applyBorder="1" applyAlignment="1">
      <alignment horizontal="center" vertical="center" wrapText="1" readingOrder="1"/>
    </xf>
    <xf numFmtId="0" fontId="15" fillId="3" borderId="29" xfId="0" quotePrefix="1" applyFont="1" applyFill="1" applyBorder="1" applyAlignment="1">
      <alignment horizontal="center" vertical="center" wrapText="1" readingOrder="1"/>
    </xf>
    <xf numFmtId="0" fontId="15" fillId="3" borderId="30" xfId="0" quotePrefix="1" applyFont="1" applyFill="1" applyBorder="1" applyAlignment="1">
      <alignment horizontal="center" vertical="center" wrapText="1" readingOrder="1"/>
    </xf>
    <xf numFmtId="10" fontId="14" fillId="0" borderId="14" xfId="2" applyNumberFormat="1" applyFont="1" applyBorder="1" applyAlignment="1">
      <alignment horizontal="right" vertical="center" wrapText="1" readingOrder="1"/>
    </xf>
    <xf numFmtId="10" fontId="14" fillId="0" borderId="15" xfId="2" applyNumberFormat="1" applyFont="1" applyBorder="1" applyAlignment="1">
      <alignment horizontal="right" vertical="center" wrapText="1" readingOrder="1"/>
    </xf>
    <xf numFmtId="10" fontId="14" fillId="0" borderId="16" xfId="2" applyNumberFormat="1" applyFont="1" applyBorder="1" applyAlignment="1">
      <alignment horizontal="right" vertical="center" wrapText="1" readingOrder="1"/>
    </xf>
    <xf numFmtId="20" fontId="14" fillId="0" borderId="31" xfId="0" applyNumberFormat="1" applyFont="1" applyBorder="1" applyAlignment="1">
      <alignment horizontal="right" vertical="center" wrapText="1" readingOrder="1"/>
    </xf>
    <xf numFmtId="20" fontId="14" fillId="0" borderId="32" xfId="0" applyNumberFormat="1" applyFont="1" applyBorder="1" applyAlignment="1">
      <alignment horizontal="right" vertical="center" wrapText="1" readingOrder="1"/>
    </xf>
    <xf numFmtId="20" fontId="14" fillId="0" borderId="33" xfId="0" applyNumberFormat="1" applyFont="1" applyBorder="1" applyAlignment="1">
      <alignment horizontal="right" vertical="center" wrapText="1" readingOrder="1"/>
    </xf>
    <xf numFmtId="0" fontId="14" fillId="4" borderId="38" xfId="0" applyFont="1" applyFill="1" applyBorder="1" applyAlignment="1">
      <alignment horizontal="right" vertical="center" wrapText="1" readingOrder="1"/>
    </xf>
    <xf numFmtId="0" fontId="14" fillId="4" borderId="39" xfId="0" applyFont="1" applyFill="1" applyBorder="1" applyAlignment="1">
      <alignment horizontal="right" vertical="center" wrapText="1" readingOrder="1"/>
    </xf>
    <xf numFmtId="0" fontId="14" fillId="4" borderId="40" xfId="0" applyFont="1" applyFill="1" applyBorder="1" applyAlignment="1">
      <alignment horizontal="right" vertical="center" wrapText="1" readingOrder="1"/>
    </xf>
    <xf numFmtId="167" fontId="14" fillId="0" borderId="14" xfId="1" applyNumberFormat="1" applyFont="1" applyBorder="1" applyAlignment="1">
      <alignment horizontal="right" vertical="center" wrapText="1" readingOrder="1"/>
    </xf>
    <xf numFmtId="167" fontId="14" fillId="0" borderId="15" xfId="1" applyNumberFormat="1" applyFont="1" applyBorder="1" applyAlignment="1">
      <alignment horizontal="right" vertical="center" wrapText="1" readingOrder="1"/>
    </xf>
    <xf numFmtId="167" fontId="14" fillId="0" borderId="16" xfId="1" applyNumberFormat="1" applyFont="1" applyBorder="1" applyAlignment="1">
      <alignment horizontal="right" vertical="center" wrapText="1" readingOrder="1"/>
    </xf>
    <xf numFmtId="10" fontId="14" fillId="0" borderId="7" xfId="0" applyNumberFormat="1" applyFont="1" applyBorder="1" applyAlignment="1">
      <alignment horizontal="right" vertical="center" wrapText="1" readingOrder="1"/>
    </xf>
    <xf numFmtId="10" fontId="14" fillId="0" borderId="8" xfId="0" applyNumberFormat="1" applyFont="1" applyBorder="1" applyAlignment="1">
      <alignment horizontal="right" vertical="center" wrapText="1" readingOrder="1"/>
    </xf>
    <xf numFmtId="10" fontId="14" fillId="0" borderId="9" xfId="0" applyNumberFormat="1" applyFont="1" applyBorder="1" applyAlignment="1">
      <alignment horizontal="right" vertical="center" wrapText="1" readingOrder="1"/>
    </xf>
    <xf numFmtId="43" fontId="14" fillId="0" borderId="14" xfId="1" applyFont="1" applyBorder="1" applyAlignment="1">
      <alignment horizontal="right" vertical="center" wrapText="1" readingOrder="1"/>
    </xf>
    <xf numFmtId="43" fontId="14" fillId="0" borderId="15" xfId="1" applyFont="1" applyBorder="1" applyAlignment="1">
      <alignment horizontal="right" vertical="center" wrapText="1" readingOrder="1"/>
    </xf>
    <xf numFmtId="43" fontId="14" fillId="0" borderId="16" xfId="1" applyFont="1" applyBorder="1" applyAlignment="1">
      <alignment horizontal="right" vertical="center" wrapText="1" readingOrder="1"/>
    </xf>
    <xf numFmtId="165" fontId="14" fillId="0" borderId="14" xfId="2" applyNumberFormat="1" applyFont="1" applyBorder="1" applyAlignment="1">
      <alignment horizontal="right" vertical="center" wrapText="1" readingOrder="1"/>
    </xf>
    <xf numFmtId="165" fontId="14" fillId="0" borderId="15" xfId="2" applyNumberFormat="1" applyFont="1" applyBorder="1" applyAlignment="1">
      <alignment horizontal="right" vertical="center" wrapText="1" readingOrder="1"/>
    </xf>
    <xf numFmtId="165" fontId="14" fillId="0" borderId="16" xfId="2" applyNumberFormat="1" applyFont="1" applyBorder="1" applyAlignment="1">
      <alignment horizontal="right" vertical="center" wrapText="1" readingOrder="1"/>
    </xf>
    <xf numFmtId="0" fontId="14" fillId="4" borderId="7" xfId="0" applyFont="1" applyFill="1" applyBorder="1" applyAlignment="1">
      <alignment horizontal="right" vertical="center" wrapText="1" readingOrder="1"/>
    </xf>
    <xf numFmtId="0" fontId="14" fillId="4" borderId="8" xfId="0" applyFont="1" applyFill="1" applyBorder="1" applyAlignment="1">
      <alignment horizontal="right" vertical="center" wrapText="1" readingOrder="1"/>
    </xf>
    <xf numFmtId="0" fontId="14" fillId="4" borderId="9" xfId="0" applyFont="1" applyFill="1" applyBorder="1" applyAlignment="1">
      <alignment horizontal="right" vertical="center" wrapText="1" readingOrder="1"/>
    </xf>
    <xf numFmtId="0" fontId="15" fillId="0" borderId="10" xfId="0" quotePrefix="1" applyFont="1" applyBorder="1" applyAlignment="1">
      <alignment horizontal="center" vertical="center" wrapText="1" readingOrder="1"/>
    </xf>
    <xf numFmtId="0" fontId="15" fillId="0" borderId="11" xfId="0" quotePrefix="1" applyFont="1" applyBorder="1" applyAlignment="1">
      <alignment horizontal="center" vertical="center" wrapText="1" readingOrder="1"/>
    </xf>
    <xf numFmtId="0" fontId="15" fillId="0" borderId="12" xfId="0" quotePrefix="1" applyFont="1" applyBorder="1" applyAlignment="1">
      <alignment horizontal="center" vertical="center" wrapText="1" readingOrder="1"/>
    </xf>
    <xf numFmtId="10" fontId="14" fillId="0" borderId="14" xfId="0" applyNumberFormat="1" applyFont="1" applyBorder="1" applyAlignment="1">
      <alignment horizontal="right" vertical="center" wrapText="1" readingOrder="1"/>
    </xf>
    <xf numFmtId="10" fontId="14" fillId="0" borderId="15" xfId="0" applyNumberFormat="1" applyFont="1" applyBorder="1" applyAlignment="1">
      <alignment horizontal="right" vertical="center" wrapText="1" readingOrder="1"/>
    </xf>
    <xf numFmtId="10" fontId="14" fillId="0" borderId="16" xfId="0" applyNumberFormat="1" applyFont="1" applyBorder="1" applyAlignment="1">
      <alignment horizontal="right" vertical="center" wrapText="1" readingOrder="1"/>
    </xf>
    <xf numFmtId="168" fontId="14" fillId="0" borderId="14" xfId="1" applyNumberFormat="1" applyFont="1" applyBorder="1" applyAlignment="1">
      <alignment horizontal="right" vertical="center" wrapText="1" readingOrder="1"/>
    </xf>
    <xf numFmtId="168" fontId="14" fillId="0" borderId="15" xfId="1" applyNumberFormat="1" applyFont="1" applyBorder="1" applyAlignment="1">
      <alignment horizontal="right" vertical="center" wrapText="1" readingOrder="1"/>
    </xf>
    <xf numFmtId="168" fontId="14" fillId="0" borderId="16" xfId="1" applyNumberFormat="1" applyFont="1" applyBorder="1" applyAlignment="1">
      <alignment horizontal="right" vertical="center" wrapText="1" readingOrder="1"/>
    </xf>
    <xf numFmtId="0" fontId="14" fillId="0" borderId="38" xfId="0" applyFont="1" applyBorder="1" applyAlignment="1">
      <alignment horizontal="right" vertical="center" wrapText="1" readingOrder="1"/>
    </xf>
    <xf numFmtId="0" fontId="14" fillId="0" borderId="39" xfId="0" applyFont="1" applyBorder="1" applyAlignment="1">
      <alignment horizontal="right" vertical="center" wrapText="1" readingOrder="1"/>
    </xf>
    <xf numFmtId="0" fontId="14" fillId="0" borderId="40" xfId="0" applyFont="1" applyBorder="1" applyAlignment="1">
      <alignment horizontal="right" vertical="center" wrapText="1" readingOrder="1"/>
    </xf>
    <xf numFmtId="168" fontId="14" fillId="0" borderId="14" xfId="2" applyNumberFormat="1" applyFont="1" applyFill="1" applyBorder="1" applyAlignment="1">
      <alignment horizontal="right" vertical="center" wrapText="1" readingOrder="1"/>
    </xf>
    <xf numFmtId="168" fontId="14" fillId="0" borderId="15" xfId="2" applyNumberFormat="1" applyFont="1" applyFill="1" applyBorder="1" applyAlignment="1">
      <alignment horizontal="right" vertical="center" wrapText="1" readingOrder="1"/>
    </xf>
    <xf numFmtId="168" fontId="14" fillId="0" borderId="16" xfId="2" applyNumberFormat="1" applyFont="1" applyFill="1" applyBorder="1" applyAlignment="1">
      <alignment horizontal="right" vertical="center" wrapText="1" readingOrder="1"/>
    </xf>
    <xf numFmtId="10" fontId="14" fillId="0" borderId="14" xfId="1" applyNumberFormat="1" applyFont="1" applyBorder="1" applyAlignment="1">
      <alignment horizontal="right" vertical="center" wrapText="1" readingOrder="1"/>
    </xf>
    <xf numFmtId="0" fontId="24" fillId="0" borderId="44" xfId="0" quotePrefix="1" applyFont="1" applyBorder="1" applyAlignment="1">
      <alignment horizontal="left" vertical="center" wrapText="1" indent="5" readingOrder="1"/>
    </xf>
    <xf numFmtId="0" fontId="24" fillId="0" borderId="1" xfId="0" quotePrefix="1" applyFont="1" applyBorder="1" applyAlignment="1">
      <alignment horizontal="left" vertical="center" wrapText="1" indent="5" readingOrder="1"/>
    </xf>
    <xf numFmtId="0" fontId="24" fillId="0" borderId="45" xfId="0" quotePrefix="1" applyFont="1" applyBorder="1" applyAlignment="1">
      <alignment horizontal="left" vertical="center" wrapText="1" indent="5" readingOrder="1"/>
    </xf>
    <xf numFmtId="0" fontId="24" fillId="0" borderId="46" xfId="0" quotePrefix="1" applyFont="1" applyBorder="1" applyAlignment="1">
      <alignment horizontal="left" vertical="center" wrapText="1" indent="5" readingOrder="1"/>
    </xf>
    <xf numFmtId="0" fontId="24" fillId="0" borderId="0" xfId="0" quotePrefix="1" applyFont="1" applyAlignment="1">
      <alignment horizontal="left" vertical="center" wrapText="1" indent="5" readingOrder="1"/>
    </xf>
    <xf numFmtId="0" fontId="24" fillId="0" borderId="47" xfId="0" quotePrefix="1" applyFont="1" applyBorder="1" applyAlignment="1">
      <alignment horizontal="left" vertical="center" wrapText="1" indent="5" readingOrder="1"/>
    </xf>
    <xf numFmtId="0" fontId="24" fillId="0" borderId="53" xfId="0" quotePrefix="1" applyFont="1" applyBorder="1" applyAlignment="1">
      <alignment horizontal="left" vertical="center" wrapText="1" indent="5" readingOrder="1"/>
    </xf>
    <xf numFmtId="0" fontId="24" fillId="0" borderId="29" xfId="0" quotePrefix="1" applyFont="1" applyBorder="1" applyAlignment="1">
      <alignment horizontal="left" vertical="center" wrapText="1" indent="5" readingOrder="1"/>
    </xf>
    <xf numFmtId="0" fontId="24" fillId="0" borderId="48" xfId="0" quotePrefix="1" applyFont="1" applyBorder="1" applyAlignment="1">
      <alignment horizontal="left" vertical="center" wrapText="1" indent="5" readingOrder="1"/>
    </xf>
    <xf numFmtId="0" fontId="14" fillId="4" borderId="7" xfId="0" applyFont="1" applyFill="1" applyBorder="1" applyAlignment="1">
      <alignment horizontal="center" vertical="center" wrapText="1" readingOrder="1"/>
    </xf>
    <xf numFmtId="0" fontId="14" fillId="4" borderId="8" xfId="0" applyFont="1" applyFill="1" applyBorder="1" applyAlignment="1">
      <alignment horizontal="center" vertical="center" wrapText="1" readingOrder="1"/>
    </xf>
    <xf numFmtId="0" fontId="14" fillId="4" borderId="49" xfId="0" applyFont="1" applyFill="1" applyBorder="1" applyAlignment="1">
      <alignment horizontal="center" vertical="center" wrapText="1" readingOrder="1"/>
    </xf>
    <xf numFmtId="0" fontId="14" fillId="4" borderId="35" xfId="0" applyFont="1" applyFill="1" applyBorder="1" applyAlignment="1">
      <alignment horizontal="left" vertical="center" wrapText="1" indent="5" readingOrder="1"/>
    </xf>
    <xf numFmtId="0" fontId="14" fillId="4" borderId="36" xfId="0" applyFont="1" applyFill="1" applyBorder="1" applyAlignment="1">
      <alignment horizontal="left" vertical="center" wrapText="1" indent="5" readingOrder="1"/>
    </xf>
    <xf numFmtId="0" fontId="14" fillId="4" borderId="5" xfId="0" applyFont="1" applyFill="1" applyBorder="1" applyAlignment="1">
      <alignment horizontal="left" vertical="center" wrapText="1" indent="5" readingOrder="1"/>
    </xf>
    <xf numFmtId="0" fontId="17" fillId="0" borderId="44" xfId="0" quotePrefix="1" applyFont="1" applyBorder="1" applyAlignment="1">
      <alignment horizontal="left" vertical="center" wrapText="1" indent="5" readingOrder="1"/>
    </xf>
    <xf numFmtId="0" fontId="17" fillId="0" borderId="1" xfId="0" quotePrefix="1" applyFont="1" applyBorder="1" applyAlignment="1">
      <alignment horizontal="left" vertical="center" wrapText="1" indent="5" readingOrder="1"/>
    </xf>
    <xf numFmtId="0" fontId="17" fillId="0" borderId="45" xfId="0" quotePrefix="1" applyFont="1" applyBorder="1" applyAlignment="1">
      <alignment horizontal="left" vertical="center" wrapText="1" indent="5" readingOrder="1"/>
    </xf>
    <xf numFmtId="0" fontId="17" fillId="0" borderId="46" xfId="0" quotePrefix="1" applyFont="1" applyBorder="1" applyAlignment="1">
      <alignment horizontal="left" vertical="center" wrapText="1" indent="5" readingOrder="1"/>
    </xf>
    <xf numFmtId="0" fontId="17" fillId="0" borderId="0" xfId="0" quotePrefix="1" applyFont="1" applyAlignment="1">
      <alignment horizontal="left" vertical="center" wrapText="1" indent="5" readingOrder="1"/>
    </xf>
    <xf numFmtId="0" fontId="17" fillId="0" borderId="47" xfId="0" quotePrefix="1" applyFont="1" applyBorder="1" applyAlignment="1">
      <alignment horizontal="left" vertical="center" wrapText="1" indent="5" readingOrder="1"/>
    </xf>
    <xf numFmtId="0" fontId="17" fillId="0" borderId="35" xfId="0" quotePrefix="1" applyFont="1" applyBorder="1" applyAlignment="1">
      <alignment horizontal="left" vertical="center" wrapText="1" indent="5" readingOrder="1"/>
    </xf>
    <xf numFmtId="0" fontId="17" fillId="0" borderId="36" xfId="0" quotePrefix="1" applyFont="1" applyBorder="1" applyAlignment="1">
      <alignment horizontal="left" vertical="center" wrapText="1" indent="5" readingOrder="1"/>
    </xf>
    <xf numFmtId="0" fontId="17" fillId="0" borderId="5" xfId="0" quotePrefix="1" applyFont="1" applyBorder="1" applyAlignment="1">
      <alignment horizontal="left" vertical="center" wrapText="1" indent="5" readingOrder="1"/>
    </xf>
    <xf numFmtId="0" fontId="14" fillId="4" borderId="14" xfId="0" applyFont="1" applyFill="1" applyBorder="1" applyAlignment="1">
      <alignment horizontal="center" vertical="center" wrapText="1" readingOrder="1"/>
    </xf>
    <xf numFmtId="0" fontId="14" fillId="4" borderId="15" xfId="0" applyFont="1" applyFill="1" applyBorder="1" applyAlignment="1">
      <alignment horizontal="center" vertical="center" wrapText="1" readingOrder="1"/>
    </xf>
    <xf numFmtId="0" fontId="14" fillId="4" borderId="3" xfId="0" applyFont="1" applyFill="1" applyBorder="1" applyAlignment="1">
      <alignment horizontal="center" vertical="center" wrapText="1" readingOrder="1"/>
    </xf>
    <xf numFmtId="0" fontId="24" fillId="0" borderId="35" xfId="0" quotePrefix="1" applyFont="1" applyBorder="1" applyAlignment="1">
      <alignment horizontal="left" vertical="center" wrapText="1" indent="5" readingOrder="1"/>
    </xf>
    <xf numFmtId="0" fontId="24" fillId="0" borderId="36" xfId="0" quotePrefix="1" applyFont="1" applyBorder="1" applyAlignment="1">
      <alignment horizontal="left" vertical="center" wrapText="1" indent="5" readingOrder="1"/>
    </xf>
    <xf numFmtId="0" fontId="24" fillId="0" borderId="5" xfId="0" quotePrefix="1" applyFont="1" applyBorder="1" applyAlignment="1">
      <alignment horizontal="left" vertical="center" wrapText="1" indent="5" readingOrder="1"/>
    </xf>
    <xf numFmtId="20" fontId="14" fillId="5" borderId="31" xfId="0" applyNumberFormat="1" applyFont="1" applyFill="1" applyBorder="1" applyAlignment="1">
      <alignment horizontal="right" vertical="center" wrapText="1" readingOrder="1"/>
    </xf>
    <xf numFmtId="20" fontId="14" fillId="5" borderId="32" xfId="0" applyNumberFormat="1" applyFont="1" applyFill="1" applyBorder="1" applyAlignment="1">
      <alignment horizontal="right" vertical="center" wrapText="1" readingOrder="1"/>
    </xf>
    <xf numFmtId="20" fontId="14" fillId="5" borderId="33" xfId="0" applyNumberFormat="1" applyFont="1" applyFill="1" applyBorder="1" applyAlignment="1">
      <alignment horizontal="right" vertical="center" wrapText="1" readingOrder="1"/>
    </xf>
    <xf numFmtId="0" fontId="14" fillId="4" borderId="2" xfId="0" applyFont="1" applyFill="1" applyBorder="1" applyAlignment="1">
      <alignment horizontal="right" vertical="center" wrapText="1" readingOrder="1"/>
    </xf>
    <xf numFmtId="0" fontId="14" fillId="4" borderId="14" xfId="0" applyFont="1" applyFill="1" applyBorder="1" applyAlignment="1">
      <alignment horizontal="left" vertical="center" wrapText="1" indent="5" readingOrder="1"/>
    </xf>
    <xf numFmtId="0" fontId="14" fillId="4" borderId="15" xfId="0" applyFont="1" applyFill="1" applyBorder="1" applyAlignment="1">
      <alignment horizontal="left" vertical="center" wrapText="1" indent="5" readingOrder="1"/>
    </xf>
    <xf numFmtId="0" fontId="14" fillId="4" borderId="3" xfId="0" applyFont="1" applyFill="1" applyBorder="1" applyAlignment="1">
      <alignment horizontal="left" vertical="center" wrapText="1" indent="5" readingOrder="1"/>
    </xf>
    <xf numFmtId="10" fontId="14" fillId="0" borderId="2" xfId="0" applyNumberFormat="1" applyFont="1" applyBorder="1" applyAlignment="1">
      <alignment horizontal="right" vertical="center" wrapText="1" readingOrder="1"/>
    </xf>
    <xf numFmtId="10" fontId="14" fillId="0" borderId="2" xfId="2" applyNumberFormat="1" applyFont="1" applyBorder="1" applyAlignment="1">
      <alignment horizontal="right" vertical="center" wrapText="1" readingOrder="1"/>
    </xf>
    <xf numFmtId="20" fontId="14" fillId="0" borderId="2" xfId="0" applyNumberFormat="1" applyFont="1" applyBorder="1" applyAlignment="1">
      <alignment horizontal="right" vertical="center" wrapText="1" readingOrder="1"/>
    </xf>
    <xf numFmtId="0" fontId="14" fillId="4" borderId="14" xfId="0" applyFont="1" applyFill="1" applyBorder="1" applyAlignment="1">
      <alignment horizontal="left" vertical="center" wrapText="1" readingOrder="1"/>
    </xf>
    <xf numFmtId="0" fontId="14" fillId="4" borderId="15" xfId="0" applyFont="1" applyFill="1" applyBorder="1" applyAlignment="1">
      <alignment horizontal="left" vertical="center" wrapText="1" readingOrder="1"/>
    </xf>
    <xf numFmtId="0" fontId="14" fillId="4" borderId="3" xfId="0" applyFont="1" applyFill="1" applyBorder="1" applyAlignment="1">
      <alignment horizontal="left" vertical="center" wrapText="1" readingOrder="1"/>
    </xf>
    <xf numFmtId="43" fontId="14" fillId="0" borderId="2" xfId="1" applyFont="1" applyBorder="1" applyAlignment="1">
      <alignment horizontal="right" vertical="center" wrapText="1" readingOrder="1"/>
    </xf>
    <xf numFmtId="20" fontId="14" fillId="3" borderId="2" xfId="0" applyNumberFormat="1" applyFont="1" applyFill="1" applyBorder="1" applyAlignment="1">
      <alignment horizontal="right" vertical="center" wrapText="1" readingOrder="1"/>
    </xf>
    <xf numFmtId="167" fontId="14" fillId="0" borderId="2" xfId="1" applyNumberFormat="1" applyFont="1" applyBorder="1" applyAlignment="1">
      <alignment horizontal="right" vertical="center" wrapText="1" readingOrder="1"/>
    </xf>
    <xf numFmtId="168" fontId="14" fillId="0" borderId="2" xfId="2" applyNumberFormat="1" applyFont="1" applyBorder="1" applyAlignment="1">
      <alignment horizontal="right" vertical="center" wrapText="1" readingOrder="1"/>
    </xf>
    <xf numFmtId="168" fontId="14" fillId="0" borderId="2" xfId="2" applyNumberFormat="1" applyFont="1" applyFill="1" applyBorder="1" applyAlignment="1">
      <alignment horizontal="right" vertical="center" wrapText="1" readingOrder="1"/>
    </xf>
    <xf numFmtId="165" fontId="14" fillId="0" borderId="2" xfId="2" applyNumberFormat="1" applyFont="1" applyBorder="1" applyAlignment="1">
      <alignment horizontal="right" vertical="center" wrapText="1" readingOrder="1"/>
    </xf>
    <xf numFmtId="10" fontId="14" fillId="0" borderId="2" xfId="1" applyNumberFormat="1" applyFont="1" applyBorder="1" applyAlignment="1">
      <alignment horizontal="right" vertical="center" wrapText="1" readingOrder="1"/>
    </xf>
    <xf numFmtId="43" fontId="14" fillId="0" borderId="3" xfId="1" applyFont="1" applyBorder="1" applyAlignment="1">
      <alignment horizontal="right" vertical="center" wrapText="1" readingOrder="1"/>
    </xf>
    <xf numFmtId="0" fontId="14" fillId="4" borderId="14" xfId="0" applyFont="1" applyFill="1" applyBorder="1" applyAlignment="1">
      <alignment horizontal="right" vertical="center" wrapText="1" readingOrder="1"/>
    </xf>
    <xf numFmtId="0" fontId="14" fillId="4" borderId="15" xfId="0" applyFont="1" applyFill="1" applyBorder="1" applyAlignment="1">
      <alignment horizontal="right" vertical="center" wrapText="1" readingOrder="1"/>
    </xf>
    <xf numFmtId="0" fontId="14" fillId="4" borderId="3" xfId="0" applyFont="1" applyFill="1" applyBorder="1" applyAlignment="1">
      <alignment horizontal="right" vertical="center" wrapText="1" readingOrder="1"/>
    </xf>
    <xf numFmtId="10" fontId="14" fillId="0" borderId="3" xfId="0" applyNumberFormat="1" applyFont="1" applyBorder="1" applyAlignment="1">
      <alignment horizontal="right" vertical="center" wrapText="1" readingOrder="1"/>
    </xf>
    <xf numFmtId="0" fontId="30" fillId="0" borderId="0" xfId="0" applyFont="1" applyAlignment="1">
      <alignment horizontal="center" vertical="center"/>
    </xf>
    <xf numFmtId="0" fontId="31" fillId="4" borderId="20" xfId="0" applyFont="1" applyFill="1" applyBorder="1" applyAlignment="1">
      <alignment horizontal="left" vertical="center" wrapText="1" readingOrder="1"/>
    </xf>
    <xf numFmtId="0" fontId="31" fillId="4" borderId="38" xfId="0" applyFont="1" applyFill="1" applyBorder="1" applyAlignment="1">
      <alignment horizontal="right" vertical="center" wrapText="1" readingOrder="1"/>
    </xf>
    <xf numFmtId="0" fontId="31" fillId="4" borderId="39" xfId="0" applyFont="1" applyFill="1" applyBorder="1" applyAlignment="1">
      <alignment horizontal="right" vertical="center" wrapText="1" readingOrder="1"/>
    </xf>
    <xf numFmtId="0" fontId="31" fillId="4" borderId="40" xfId="0" applyFont="1" applyFill="1" applyBorder="1" applyAlignment="1">
      <alignment horizontal="right" vertical="center" wrapText="1" readingOrder="1"/>
    </xf>
    <xf numFmtId="0" fontId="31" fillId="4" borderId="55" xfId="0" applyFont="1" applyFill="1" applyBorder="1" applyAlignment="1">
      <alignment horizontal="center" vertical="center" wrapText="1" readingOrder="1"/>
    </xf>
    <xf numFmtId="0" fontId="31" fillId="4" borderId="8" xfId="0" applyFont="1" applyFill="1" applyBorder="1" applyAlignment="1">
      <alignment horizontal="center" vertical="center" wrapText="1" readingOrder="1"/>
    </xf>
    <xf numFmtId="0" fontId="31" fillId="4" borderId="49" xfId="0" applyFont="1" applyFill="1" applyBorder="1" applyAlignment="1">
      <alignment horizontal="center" vertical="center" wrapText="1" readingOrder="1"/>
    </xf>
    <xf numFmtId="0" fontId="31" fillId="4" borderId="50" xfId="0" applyFont="1" applyFill="1" applyBorder="1" applyAlignment="1">
      <alignment horizontal="center" vertical="center" wrapText="1" readingOrder="1"/>
    </xf>
    <xf numFmtId="0" fontId="31" fillId="4" borderId="51" xfId="0" applyFont="1" applyFill="1" applyBorder="1" applyAlignment="1">
      <alignment horizontal="center" vertical="center" wrapText="1" readingOrder="1"/>
    </xf>
    <xf numFmtId="0" fontId="32" fillId="0" borderId="0" xfId="0" applyFont="1" applyAlignment="1">
      <alignment horizontal="center" vertical="center"/>
    </xf>
    <xf numFmtId="0" fontId="33" fillId="2" borderId="36" xfId="0" applyFont="1" applyFill="1" applyBorder="1" applyAlignment="1">
      <alignment horizontal="center" vertical="center"/>
    </xf>
    <xf numFmtId="0" fontId="31" fillId="0" borderId="23" xfId="0" applyFont="1" applyBorder="1" applyAlignment="1">
      <alignment horizontal="left" vertical="center" wrapText="1" indent="1" readingOrder="1"/>
    </xf>
    <xf numFmtId="10" fontId="31" fillId="0" borderId="35" xfId="0" applyNumberFormat="1" applyFont="1" applyBorder="1" applyAlignment="1">
      <alignment horizontal="right" vertical="center" wrapText="1" indent="2" readingOrder="1"/>
    </xf>
    <xf numFmtId="10" fontId="31" fillId="0" borderId="36" xfId="0" applyNumberFormat="1" applyFont="1" applyBorder="1" applyAlignment="1">
      <alignment horizontal="right" vertical="center" wrapText="1" indent="2" readingOrder="1"/>
    </xf>
    <xf numFmtId="10" fontId="31" fillId="0" borderId="37" xfId="0" applyNumberFormat="1" applyFont="1" applyBorder="1" applyAlignment="1">
      <alignment horizontal="right" vertical="center" wrapText="1" indent="2" readingOrder="1"/>
    </xf>
    <xf numFmtId="0" fontId="31" fillId="0" borderId="56" xfId="0" applyFont="1" applyBorder="1" applyAlignment="1">
      <alignment horizontal="center" vertical="center" wrapText="1" readingOrder="1"/>
    </xf>
    <xf numFmtId="0" fontId="34" fillId="0" borderId="1" xfId="0" quotePrefix="1" applyFont="1" applyBorder="1" applyAlignment="1">
      <alignment horizontal="left" vertical="center" wrapText="1" indent="5" readingOrder="1"/>
    </xf>
    <xf numFmtId="0" fontId="34" fillId="0" borderId="45" xfId="0" quotePrefix="1" applyFont="1" applyBorder="1" applyAlignment="1">
      <alignment horizontal="left" vertical="center" wrapText="1" indent="5" readingOrder="1"/>
    </xf>
    <xf numFmtId="0" fontId="32" fillId="0" borderId="2" xfId="0" applyFont="1" applyBorder="1" applyAlignment="1">
      <alignment horizontal="center" vertical="center"/>
    </xf>
    <xf numFmtId="0" fontId="35" fillId="0" borderId="52" xfId="0" applyFont="1" applyBorder="1" applyAlignment="1">
      <alignment horizontal="center" vertical="center"/>
    </xf>
    <xf numFmtId="0" fontId="32" fillId="0" borderId="15" xfId="0" applyFont="1" applyBorder="1" applyAlignment="1">
      <alignment horizontal="center" vertical="center"/>
    </xf>
    <xf numFmtId="0" fontId="36" fillId="0" borderId="15" xfId="0" applyFont="1" applyBorder="1" applyAlignment="1">
      <alignment horizontal="center" vertical="center"/>
    </xf>
    <xf numFmtId="0" fontId="36" fillId="0" borderId="15" xfId="0" applyFont="1" applyBorder="1" applyAlignment="1">
      <alignment horizontal="center" vertical="center" wrapText="1" readingOrder="1"/>
    </xf>
    <xf numFmtId="170" fontId="36" fillId="0" borderId="15" xfId="0" applyNumberFormat="1" applyFont="1" applyBorder="1" applyAlignment="1">
      <alignment horizontal="center" vertical="center"/>
    </xf>
    <xf numFmtId="0" fontId="32" fillId="0" borderId="15" xfId="0" applyFont="1" applyBorder="1" applyAlignment="1">
      <alignment vertical="center"/>
    </xf>
    <xf numFmtId="0" fontId="36" fillId="0" borderId="15" xfId="0" applyFont="1" applyBorder="1" applyAlignment="1">
      <alignment vertical="center"/>
    </xf>
    <xf numFmtId="164" fontId="32" fillId="0" borderId="15" xfId="0" applyNumberFormat="1" applyFont="1" applyBorder="1" applyAlignment="1">
      <alignment vertical="center"/>
    </xf>
    <xf numFmtId="0" fontId="31" fillId="0" borderId="13" xfId="0" applyFont="1" applyBorder="1" applyAlignment="1">
      <alignment horizontal="left" vertical="center" wrapText="1" indent="1" readingOrder="1"/>
    </xf>
    <xf numFmtId="43" fontId="31" fillId="0" borderId="14" xfId="1" applyFont="1" applyBorder="1" applyAlignment="1">
      <alignment horizontal="right" vertical="center" wrapText="1" indent="2" readingOrder="1"/>
    </xf>
    <xf numFmtId="43" fontId="31" fillId="0" borderId="15" xfId="1" applyFont="1" applyBorder="1" applyAlignment="1">
      <alignment horizontal="right" vertical="center" wrapText="1" indent="2" readingOrder="1"/>
    </xf>
    <xf numFmtId="43" fontId="31" fillId="0" borderId="16" xfId="1" applyFont="1" applyBorder="1" applyAlignment="1">
      <alignment horizontal="right" vertical="center" wrapText="1" indent="2" readingOrder="1"/>
    </xf>
    <xf numFmtId="0" fontId="34" fillId="0" borderId="0" xfId="0" quotePrefix="1" applyFont="1" applyAlignment="1">
      <alignment horizontal="left" vertical="center" wrapText="1" indent="5" readingOrder="1"/>
    </xf>
    <xf numFmtId="0" fontId="34" fillId="0" borderId="47" xfId="0" quotePrefix="1" applyFont="1" applyBorder="1" applyAlignment="1">
      <alignment horizontal="left" vertical="center" wrapText="1" indent="5" readingOrder="1"/>
    </xf>
    <xf numFmtId="0" fontId="32" fillId="0" borderId="52" xfId="0" applyFont="1" applyBorder="1" applyAlignment="1">
      <alignment horizontal="center" vertical="center"/>
    </xf>
    <xf numFmtId="170" fontId="32" fillId="0" borderId="0" xfId="0" applyNumberFormat="1" applyFont="1" applyAlignment="1">
      <alignment horizontal="center" vertical="center"/>
    </xf>
    <xf numFmtId="0" fontId="32" fillId="0" borderId="0" xfId="0" applyFont="1" applyAlignment="1">
      <alignment vertical="center"/>
    </xf>
    <xf numFmtId="0" fontId="37" fillId="0" borderId="0" xfId="0" applyFont="1" applyAlignment="1">
      <alignment vertical="center"/>
    </xf>
    <xf numFmtId="0" fontId="32" fillId="0" borderId="1" xfId="0" applyFont="1" applyBorder="1" applyAlignment="1">
      <alignment horizontal="center" vertical="center"/>
    </xf>
    <xf numFmtId="0" fontId="36" fillId="0" borderId="1" xfId="0" applyFont="1" applyBorder="1" applyAlignment="1">
      <alignment horizontal="center" vertical="center"/>
    </xf>
    <xf numFmtId="171" fontId="36" fillId="0" borderId="1" xfId="0" applyNumberFormat="1" applyFont="1" applyBorder="1" applyAlignment="1">
      <alignment horizontal="center" vertical="center" wrapText="1" readingOrder="1"/>
    </xf>
    <xf numFmtId="170" fontId="36" fillId="0" borderId="1" xfId="0" applyNumberFormat="1" applyFont="1" applyBorder="1" applyAlignment="1">
      <alignment horizontal="center" vertical="center"/>
    </xf>
    <xf numFmtId="0" fontId="32" fillId="0" borderId="1" xfId="0" applyFont="1" applyBorder="1" applyAlignment="1">
      <alignment vertical="center"/>
    </xf>
    <xf numFmtId="164" fontId="32" fillId="0" borderId="1" xfId="1" applyNumberFormat="1" applyFont="1" applyBorder="1" applyAlignment="1">
      <alignment horizontal="center" vertical="center"/>
    </xf>
    <xf numFmtId="1" fontId="32" fillId="0" borderId="1" xfId="0" applyNumberFormat="1" applyFont="1" applyBorder="1" applyAlignment="1">
      <alignment horizontal="center" vertical="center"/>
    </xf>
    <xf numFmtId="0" fontId="36" fillId="0" borderId="1" xfId="0" applyFont="1" applyBorder="1" applyAlignment="1">
      <alignment vertical="center"/>
    </xf>
    <xf numFmtId="164" fontId="32" fillId="0" borderId="1" xfId="0" applyNumberFormat="1" applyFont="1" applyBorder="1" applyAlignment="1">
      <alignment vertical="center"/>
    </xf>
    <xf numFmtId="0" fontId="37" fillId="0" borderId="1" xfId="0" applyFont="1" applyBorder="1" applyAlignment="1">
      <alignment vertical="center"/>
    </xf>
    <xf numFmtId="0" fontId="31" fillId="0" borderId="19" xfId="0" applyFont="1" applyBorder="1" applyAlignment="1">
      <alignment horizontal="left" vertical="center" wrapText="1" indent="1" readingOrder="1"/>
    </xf>
    <xf numFmtId="20" fontId="31" fillId="0" borderId="31" xfId="0" applyNumberFormat="1" applyFont="1" applyBorder="1" applyAlignment="1">
      <alignment horizontal="right" vertical="center" wrapText="1" indent="2" readingOrder="1"/>
    </xf>
    <xf numFmtId="20" fontId="31" fillId="0" borderId="32" xfId="0" applyNumberFormat="1" applyFont="1" applyBorder="1" applyAlignment="1">
      <alignment horizontal="right" vertical="center" wrapText="1" indent="2" readingOrder="1"/>
    </xf>
    <xf numFmtId="20" fontId="31" fillId="0" borderId="33" xfId="0" applyNumberFormat="1" applyFont="1" applyBorder="1" applyAlignment="1">
      <alignment horizontal="right" vertical="center" wrapText="1" indent="2" readingOrder="1"/>
    </xf>
    <xf numFmtId="20" fontId="31" fillId="0" borderId="56" xfId="0" applyNumberFormat="1" applyFont="1" applyBorder="1" applyAlignment="1">
      <alignment horizontal="center" vertical="center" wrapText="1" readingOrder="1"/>
    </xf>
    <xf numFmtId="20" fontId="35" fillId="0" borderId="2" xfId="0" applyNumberFormat="1" applyFont="1" applyBorder="1" applyAlignment="1">
      <alignment horizontal="center" vertical="center"/>
    </xf>
    <xf numFmtId="20" fontId="35" fillId="0" borderId="52" xfId="0" applyNumberFormat="1" applyFont="1" applyBorder="1" applyAlignment="1">
      <alignment horizontal="center" vertical="center"/>
    </xf>
    <xf numFmtId="0" fontId="32" fillId="0" borderId="36" xfId="0" applyFont="1" applyBorder="1" applyAlignment="1">
      <alignment horizontal="center" vertical="center"/>
    </xf>
    <xf numFmtId="0" fontId="36" fillId="0" borderId="36" xfId="0" applyFont="1" applyBorder="1" applyAlignment="1">
      <alignment horizontal="center" vertical="center"/>
    </xf>
    <xf numFmtId="171" fontId="32" fillId="0" borderId="36" xfId="0" applyNumberFormat="1" applyFont="1" applyBorder="1" applyAlignment="1">
      <alignment horizontal="center" vertical="center" wrapText="1" readingOrder="1"/>
    </xf>
    <xf numFmtId="170" fontId="36" fillId="0" borderId="36" xfId="0" applyNumberFormat="1" applyFont="1" applyBorder="1" applyAlignment="1">
      <alignment horizontal="center" vertical="center"/>
    </xf>
    <xf numFmtId="0" fontId="32" fillId="0" borderId="36" xfId="0" applyFont="1" applyBorder="1" applyAlignment="1">
      <alignment vertical="center"/>
    </xf>
    <xf numFmtId="172" fontId="36" fillId="0" borderId="36" xfId="0" applyNumberFormat="1" applyFont="1" applyBorder="1" applyAlignment="1">
      <alignment horizontal="center" vertical="center"/>
    </xf>
    <xf numFmtId="164" fontId="32" fillId="0" borderId="36" xfId="1" applyNumberFormat="1" applyFont="1" applyBorder="1" applyAlignment="1">
      <alignment horizontal="center" vertical="center"/>
    </xf>
    <xf numFmtId="1" fontId="32" fillId="0" borderId="36" xfId="0" applyNumberFormat="1" applyFont="1" applyBorder="1" applyAlignment="1">
      <alignment horizontal="center" vertical="center"/>
    </xf>
    <xf numFmtId="0" fontId="36" fillId="0" borderId="36" xfId="0" applyFont="1" applyBorder="1" applyAlignment="1">
      <alignment vertical="center"/>
    </xf>
    <xf numFmtId="164" fontId="32" fillId="0" borderId="36" xfId="0" applyNumberFormat="1" applyFont="1" applyBorder="1" applyAlignment="1">
      <alignment vertical="center"/>
    </xf>
    <xf numFmtId="0" fontId="37" fillId="0" borderId="36" xfId="0" applyFont="1" applyBorder="1" applyAlignment="1">
      <alignment vertical="center"/>
    </xf>
    <xf numFmtId="0" fontId="31" fillId="0" borderId="20" xfId="0" applyFont="1" applyBorder="1" applyAlignment="1">
      <alignment horizontal="left" vertical="center" wrapText="1" indent="1" readingOrder="1"/>
    </xf>
    <xf numFmtId="0" fontId="31" fillId="0" borderId="21" xfId="0" applyFont="1" applyBorder="1" applyAlignment="1">
      <alignment horizontal="right" vertical="center" wrapText="1" indent="2" readingOrder="1"/>
    </xf>
    <xf numFmtId="0" fontId="31" fillId="0" borderId="22" xfId="0" applyFont="1" applyBorder="1" applyAlignment="1">
      <alignment horizontal="right" vertical="center" wrapText="1" indent="2" readingOrder="1"/>
    </xf>
    <xf numFmtId="0" fontId="31" fillId="0" borderId="34" xfId="0" applyFont="1" applyBorder="1" applyAlignment="1">
      <alignment horizontal="center" vertical="center" wrapText="1" readingOrder="1"/>
    </xf>
    <xf numFmtId="0" fontId="31" fillId="0" borderId="20" xfId="0" applyFont="1" applyBorder="1" applyAlignment="1">
      <alignment horizontal="center" vertical="center" wrapText="1" readingOrder="1"/>
    </xf>
    <xf numFmtId="164" fontId="32" fillId="0" borderId="0" xfId="0" applyNumberFormat="1" applyFont="1" applyAlignment="1">
      <alignment vertical="center"/>
    </xf>
    <xf numFmtId="1" fontId="32" fillId="0" borderId="0" xfId="0" applyNumberFormat="1" applyFont="1" applyAlignment="1">
      <alignment horizontal="center" vertical="center"/>
    </xf>
    <xf numFmtId="15" fontId="31" fillId="0" borderId="23" xfId="0" applyNumberFormat="1" applyFont="1" applyBorder="1" applyAlignment="1">
      <alignment horizontal="left" vertical="center" wrapText="1" indent="1" readingOrder="1"/>
    </xf>
    <xf numFmtId="167" fontId="34" fillId="0" borderId="4" xfId="1" quotePrefix="1" applyNumberFormat="1" applyFont="1" applyBorder="1" applyAlignment="1">
      <alignment horizontal="right" vertical="center" wrapText="1" indent="2" readingOrder="1"/>
    </xf>
    <xf numFmtId="20" fontId="32" fillId="0" borderId="56" xfId="0" applyNumberFormat="1" applyFont="1" applyBorder="1" applyAlignment="1">
      <alignment horizontal="center" vertical="center" wrapText="1" readingOrder="1"/>
    </xf>
    <xf numFmtId="0" fontId="32" fillId="0" borderId="24" xfId="0" applyFont="1" applyBorder="1" applyAlignment="1">
      <alignment horizontal="center" vertical="center"/>
    </xf>
    <xf numFmtId="20" fontId="32" fillId="0" borderId="52" xfId="0" applyNumberFormat="1" applyFont="1" applyBorder="1" applyAlignment="1">
      <alignment horizontal="center" vertical="center"/>
    </xf>
    <xf numFmtId="172" fontId="34" fillId="0" borderId="15" xfId="0" applyNumberFormat="1" applyFont="1" applyBorder="1" applyAlignment="1">
      <alignment horizontal="center" vertical="center" wrapText="1" readingOrder="1"/>
    </xf>
    <xf numFmtId="170" fontId="32" fillId="0" borderId="15" xfId="0" applyNumberFormat="1" applyFont="1" applyBorder="1" applyAlignment="1">
      <alignment horizontal="center" vertical="center"/>
    </xf>
    <xf numFmtId="164" fontId="32" fillId="0" borderId="15" xfId="1" applyNumberFormat="1" applyFont="1" applyBorder="1" applyAlignment="1">
      <alignment horizontal="center" vertical="center"/>
    </xf>
    <xf numFmtId="1" fontId="32" fillId="0" borderId="15" xfId="0" applyNumberFormat="1" applyFont="1" applyBorder="1" applyAlignment="1">
      <alignment horizontal="center" vertical="center"/>
    </xf>
    <xf numFmtId="0" fontId="37" fillId="0" borderId="15" xfId="0" applyFont="1" applyBorder="1" applyAlignment="1">
      <alignment vertical="center"/>
    </xf>
    <xf numFmtId="0" fontId="37" fillId="0" borderId="15" xfId="0" applyFont="1" applyBorder="1" applyAlignment="1">
      <alignment horizontal="center" vertical="center"/>
    </xf>
    <xf numFmtId="0" fontId="32" fillId="0" borderId="0" xfId="0" applyFont="1"/>
    <xf numFmtId="0" fontId="34" fillId="0" borderId="29" xfId="0" quotePrefix="1" applyFont="1" applyBorder="1" applyAlignment="1">
      <alignment horizontal="left" vertical="center" wrapText="1" indent="5" readingOrder="1"/>
    </xf>
    <xf numFmtId="0" fontId="34" fillId="0" borderId="48" xfId="0" quotePrefix="1" applyFont="1" applyBorder="1" applyAlignment="1">
      <alignment horizontal="left" vertical="center" wrapText="1" indent="5" readingOrder="1"/>
    </xf>
    <xf numFmtId="20" fontId="32" fillId="0" borderId="57" xfId="0" applyNumberFormat="1" applyFont="1" applyBorder="1" applyAlignment="1">
      <alignment horizontal="center" vertical="center" wrapText="1" readingOrder="1"/>
    </xf>
    <xf numFmtId="0" fontId="32" fillId="0" borderId="27" xfId="0" applyFont="1" applyBorder="1" applyAlignment="1">
      <alignment horizontal="center" vertical="center"/>
    </xf>
    <xf numFmtId="0" fontId="31" fillId="0" borderId="23" xfId="0" applyFont="1" applyBorder="1" applyAlignment="1">
      <alignment horizontal="left" vertical="center" wrapText="1" readingOrder="1"/>
    </xf>
    <xf numFmtId="10" fontId="31" fillId="0" borderId="35" xfId="0" applyNumberFormat="1" applyFont="1" applyBorder="1" applyAlignment="1">
      <alignment horizontal="right" vertical="center" wrapText="1" readingOrder="1"/>
    </xf>
    <xf numFmtId="10" fontId="31" fillId="0" borderId="36" xfId="0" applyNumberFormat="1" applyFont="1" applyBorder="1" applyAlignment="1">
      <alignment horizontal="right" vertical="center" wrapText="1" readingOrder="1"/>
    </xf>
    <xf numFmtId="10" fontId="31" fillId="0" borderId="37" xfId="0" applyNumberFormat="1" applyFont="1" applyBorder="1" applyAlignment="1">
      <alignment horizontal="right" vertical="center" wrapText="1" readingOrder="1"/>
    </xf>
    <xf numFmtId="0" fontId="31" fillId="0" borderId="13" xfId="0" applyFont="1" applyBorder="1" applyAlignment="1">
      <alignment horizontal="left" vertical="center" wrapText="1" readingOrder="1"/>
    </xf>
    <xf numFmtId="10" fontId="31" fillId="0" borderId="14" xfId="2" applyNumberFormat="1" applyFont="1" applyBorder="1" applyAlignment="1">
      <alignment horizontal="right" vertical="center" wrapText="1" readingOrder="1"/>
    </xf>
    <xf numFmtId="10" fontId="31" fillId="0" borderId="15" xfId="2" applyNumberFormat="1" applyFont="1" applyBorder="1" applyAlignment="1">
      <alignment horizontal="right" vertical="center" wrapText="1" readingOrder="1"/>
    </xf>
    <xf numFmtId="10" fontId="31" fillId="0" borderId="16" xfId="2" applyNumberFormat="1" applyFont="1" applyBorder="1" applyAlignment="1">
      <alignment horizontal="right" vertical="center" wrapText="1" readingOrder="1"/>
    </xf>
    <xf numFmtId="0" fontId="31" fillId="0" borderId="19" xfId="0" applyFont="1" applyBorder="1" applyAlignment="1">
      <alignment horizontal="left" vertical="center" wrapText="1" readingOrder="1"/>
    </xf>
    <xf numFmtId="20" fontId="31" fillId="0" borderId="31" xfId="0" applyNumberFormat="1" applyFont="1" applyBorder="1" applyAlignment="1">
      <alignment horizontal="right" vertical="center" wrapText="1" readingOrder="1"/>
    </xf>
    <xf numFmtId="20" fontId="31" fillId="0" borderId="32" xfId="0" applyNumberFormat="1" applyFont="1" applyBorder="1" applyAlignment="1">
      <alignment horizontal="right" vertical="center" wrapText="1" readingOrder="1"/>
    </xf>
    <xf numFmtId="20" fontId="31" fillId="0" borderId="33" xfId="0" applyNumberFormat="1" applyFont="1" applyBorder="1" applyAlignment="1">
      <alignment horizontal="right" vertical="center" wrapText="1" readingOrder="1"/>
    </xf>
    <xf numFmtId="0" fontId="31" fillId="0" borderId="20" xfId="0" applyFont="1" applyBorder="1" applyAlignment="1">
      <alignment horizontal="left" vertical="center" wrapText="1" readingOrder="1"/>
    </xf>
    <xf numFmtId="0" fontId="31" fillId="0" borderId="21" xfId="0" applyFont="1" applyBorder="1" applyAlignment="1">
      <alignment horizontal="right" vertical="center" wrapText="1" readingOrder="1"/>
    </xf>
    <xf numFmtId="0" fontId="31" fillId="0" borderId="22" xfId="0" applyFont="1" applyBorder="1" applyAlignment="1">
      <alignment horizontal="right" vertical="center" wrapText="1" readingOrder="1"/>
    </xf>
    <xf numFmtId="15" fontId="31" fillId="0" borderId="23" xfId="0" applyNumberFormat="1" applyFont="1" applyBorder="1" applyAlignment="1">
      <alignment horizontal="left" vertical="center" wrapText="1" readingOrder="1"/>
    </xf>
    <xf numFmtId="10" fontId="34" fillId="0" borderId="4" xfId="2" quotePrefix="1" applyNumberFormat="1" applyFont="1" applyBorder="1" applyAlignment="1">
      <alignment horizontal="right" vertical="center" wrapText="1" readingOrder="1"/>
    </xf>
    <xf numFmtId="0" fontId="34" fillId="0" borderId="0" xfId="0" applyFont="1"/>
    <xf numFmtId="0" fontId="35" fillId="4" borderId="20" xfId="0" applyFont="1" applyFill="1" applyBorder="1" applyAlignment="1">
      <alignment horizontal="left" vertical="center" wrapText="1" readingOrder="1"/>
    </xf>
    <xf numFmtId="0" fontId="35" fillId="4" borderId="38" xfId="0" applyFont="1" applyFill="1" applyBorder="1" applyAlignment="1">
      <alignment horizontal="right" vertical="center" wrapText="1" readingOrder="1"/>
    </xf>
    <xf numFmtId="0" fontId="35" fillId="4" borderId="39" xfId="0" applyFont="1" applyFill="1" applyBorder="1" applyAlignment="1">
      <alignment horizontal="right" vertical="center" wrapText="1" readingOrder="1"/>
    </xf>
    <xf numFmtId="0" fontId="35" fillId="4" borderId="40" xfId="0" applyFont="1" applyFill="1" applyBorder="1" applyAlignment="1">
      <alignment horizontal="right" vertical="center" wrapText="1" readingOrder="1"/>
    </xf>
    <xf numFmtId="0" fontId="35" fillId="4" borderId="55" xfId="0" applyFont="1" applyFill="1" applyBorder="1" applyAlignment="1">
      <alignment horizontal="center" vertical="center" wrapText="1" readingOrder="1"/>
    </xf>
    <xf numFmtId="0" fontId="35" fillId="4" borderId="8" xfId="0" applyFont="1" applyFill="1" applyBorder="1" applyAlignment="1">
      <alignment horizontal="center" vertical="center" wrapText="1" readingOrder="1"/>
    </xf>
    <xf numFmtId="0" fontId="35" fillId="4" borderId="49" xfId="0" applyFont="1" applyFill="1" applyBorder="1" applyAlignment="1">
      <alignment horizontal="center" vertical="center" wrapText="1" readingOrder="1"/>
    </xf>
    <xf numFmtId="0" fontId="35" fillId="4" borderId="50" xfId="0" applyFont="1" applyFill="1" applyBorder="1" applyAlignment="1">
      <alignment horizontal="center" vertical="center" wrapText="1" readingOrder="1"/>
    </xf>
    <xf numFmtId="0" fontId="35" fillId="4" borderId="51" xfId="0" applyFont="1" applyFill="1" applyBorder="1" applyAlignment="1">
      <alignment horizontal="center" vertical="center" wrapText="1" readingOrder="1"/>
    </xf>
    <xf numFmtId="168" fontId="31" fillId="0" borderId="14" xfId="2" applyNumberFormat="1" applyFont="1" applyBorder="1" applyAlignment="1">
      <alignment horizontal="right" vertical="center" wrapText="1" readingOrder="1"/>
    </xf>
    <xf numFmtId="168" fontId="31" fillId="0" borderId="15" xfId="2" applyNumberFormat="1" applyFont="1" applyBorder="1" applyAlignment="1">
      <alignment horizontal="right" vertical="center" wrapText="1" readingOrder="1"/>
    </xf>
    <xf numFmtId="168" fontId="31" fillId="0" borderId="16" xfId="2" applyNumberFormat="1" applyFont="1" applyBorder="1" applyAlignment="1">
      <alignment horizontal="right" vertical="center" wrapText="1" readingOrder="1"/>
    </xf>
    <xf numFmtId="10" fontId="31" fillId="0" borderId="7" xfId="0" applyNumberFormat="1" applyFont="1" applyBorder="1" applyAlignment="1">
      <alignment horizontal="right" vertical="center" wrapText="1" readingOrder="1"/>
    </xf>
    <xf numFmtId="10" fontId="31" fillId="0" borderId="8" xfId="0" applyNumberFormat="1" applyFont="1" applyBorder="1" applyAlignment="1">
      <alignment horizontal="right" vertical="center" wrapText="1" readingOrder="1"/>
    </xf>
    <xf numFmtId="10" fontId="31" fillId="0" borderId="9" xfId="0" applyNumberFormat="1" applyFont="1" applyBorder="1" applyAlignment="1">
      <alignment horizontal="right" vertical="center" wrapText="1" readingOrder="1"/>
    </xf>
    <xf numFmtId="15" fontId="38" fillId="0" borderId="23" xfId="0" applyNumberFormat="1" applyFont="1" applyBorder="1" applyAlignment="1">
      <alignment horizontal="left" vertical="center" wrapText="1" readingOrder="1"/>
    </xf>
    <xf numFmtId="0" fontId="31" fillId="0" borderId="58" xfId="0" applyFont="1" applyBorder="1" applyAlignment="1">
      <alignment horizontal="center" vertical="center" wrapText="1" readingOrder="1"/>
    </xf>
    <xf numFmtId="43" fontId="31" fillId="0" borderId="14" xfId="1" applyFont="1" applyBorder="1" applyAlignment="1">
      <alignment horizontal="right" vertical="center" wrapText="1" readingOrder="1"/>
    </xf>
    <xf numFmtId="43" fontId="31" fillId="0" borderId="15" xfId="1" applyFont="1" applyBorder="1" applyAlignment="1">
      <alignment horizontal="right" vertical="center" wrapText="1" readingOrder="1"/>
    </xf>
    <xf numFmtId="43" fontId="31" fillId="0" borderId="16" xfId="1" applyFont="1" applyBorder="1" applyAlignment="1">
      <alignment horizontal="right" vertical="center" wrapText="1" readingOrder="1"/>
    </xf>
    <xf numFmtId="173" fontId="36" fillId="0" borderId="1" xfId="0" applyNumberFormat="1" applyFont="1" applyBorder="1" applyAlignment="1">
      <alignment horizontal="center" vertical="center"/>
    </xf>
    <xf numFmtId="0" fontId="36" fillId="0" borderId="1" xfId="0" applyFont="1" applyBorder="1" applyAlignment="1">
      <alignment horizontal="right" vertical="center"/>
    </xf>
    <xf numFmtId="173" fontId="36" fillId="0" borderId="36" xfId="0" applyNumberFormat="1" applyFont="1" applyBorder="1" applyAlignment="1">
      <alignment horizontal="center" vertical="center"/>
    </xf>
    <xf numFmtId="167" fontId="36" fillId="0" borderId="36" xfId="1" applyNumberFormat="1" applyFont="1" applyBorder="1" applyAlignment="1">
      <alignment horizontal="right" vertical="center"/>
    </xf>
    <xf numFmtId="173" fontId="37" fillId="0" borderId="0" xfId="0" applyNumberFormat="1" applyFont="1" applyAlignment="1">
      <alignment horizontal="center" vertical="center"/>
    </xf>
    <xf numFmtId="0" fontId="32" fillId="0" borderId="0" xfId="0" applyFont="1" applyAlignment="1">
      <alignment horizontal="right" vertical="center"/>
    </xf>
    <xf numFmtId="173" fontId="36" fillId="0" borderId="15" xfId="0" applyNumberFormat="1" applyFont="1" applyBorder="1" applyAlignment="1">
      <alignment horizontal="center" vertical="center"/>
    </xf>
    <xf numFmtId="172" fontId="36" fillId="0" borderId="15" xfId="0" applyNumberFormat="1" applyFont="1" applyBorder="1" applyAlignment="1">
      <alignment horizontal="center" vertical="center"/>
    </xf>
    <xf numFmtId="173" fontId="36" fillId="0" borderId="15" xfId="0" applyNumberFormat="1" applyFont="1" applyBorder="1" applyAlignment="1">
      <alignment horizontal="right" vertical="center"/>
    </xf>
    <xf numFmtId="20" fontId="32" fillId="0" borderId="24" xfId="0" applyNumberFormat="1" applyFont="1" applyBorder="1" applyAlignment="1">
      <alignment horizontal="center" vertical="center"/>
    </xf>
    <xf numFmtId="167" fontId="36" fillId="0" borderId="36" xfId="1" applyNumberFormat="1" applyFont="1" applyBorder="1" applyAlignment="1">
      <alignment vertical="center"/>
    </xf>
    <xf numFmtId="0" fontId="39" fillId="0" borderId="0" xfId="0" applyFont="1" applyAlignment="1">
      <alignment horizontal="center" vertical="center"/>
    </xf>
    <xf numFmtId="0" fontId="38" fillId="4" borderId="20" xfId="0" applyFont="1" applyFill="1" applyBorder="1" applyAlignment="1">
      <alignment horizontal="left" vertical="center" wrapText="1" readingOrder="1"/>
    </xf>
    <xf numFmtId="0" fontId="38" fillId="4" borderId="38" xfId="0" applyFont="1" applyFill="1" applyBorder="1" applyAlignment="1">
      <alignment horizontal="right" vertical="center" wrapText="1" readingOrder="1"/>
    </xf>
    <xf numFmtId="0" fontId="38" fillId="4" borderId="39" xfId="0" applyFont="1" applyFill="1" applyBorder="1" applyAlignment="1">
      <alignment horizontal="right" vertical="center" wrapText="1" readingOrder="1"/>
    </xf>
    <xf numFmtId="0" fontId="38" fillId="4" borderId="40" xfId="0" applyFont="1" applyFill="1" applyBorder="1" applyAlignment="1">
      <alignment horizontal="right" vertical="center" wrapText="1" readingOrder="1"/>
    </xf>
    <xf numFmtId="0" fontId="38" fillId="4" borderId="55" xfId="0" applyFont="1" applyFill="1" applyBorder="1" applyAlignment="1">
      <alignment horizontal="center" vertical="center" wrapText="1" readingOrder="1"/>
    </xf>
    <xf numFmtId="0" fontId="38" fillId="4" borderId="8" xfId="0" applyFont="1" applyFill="1" applyBorder="1" applyAlignment="1">
      <alignment horizontal="center" vertical="center" wrapText="1" readingOrder="1"/>
    </xf>
    <xf numFmtId="0" fontId="38" fillId="4" borderId="49" xfId="0" applyFont="1" applyFill="1" applyBorder="1" applyAlignment="1">
      <alignment horizontal="center" vertical="center" wrapText="1" readingOrder="1"/>
    </xf>
    <xf numFmtId="0" fontId="38" fillId="4" borderId="50" xfId="0" applyFont="1" applyFill="1" applyBorder="1" applyAlignment="1">
      <alignment horizontal="center" vertical="center" wrapText="1" readingOrder="1"/>
    </xf>
    <xf numFmtId="0" fontId="38" fillId="4" borderId="51" xfId="0" applyFont="1" applyFill="1" applyBorder="1" applyAlignment="1">
      <alignment horizontal="center" vertical="center" wrapText="1" readingOrder="1"/>
    </xf>
    <xf numFmtId="0" fontId="37" fillId="0" borderId="0" xfId="0" applyFont="1" applyAlignment="1">
      <alignment horizontal="center" vertical="center"/>
    </xf>
    <xf numFmtId="0" fontId="38" fillId="2" borderId="36" xfId="0" applyFont="1" applyFill="1" applyBorder="1" applyAlignment="1">
      <alignment horizontal="center" vertical="center"/>
    </xf>
    <xf numFmtId="0" fontId="38" fillId="0" borderId="23" xfId="0" applyFont="1" applyBorder="1" applyAlignment="1">
      <alignment horizontal="left" vertical="center" wrapText="1" readingOrder="1"/>
    </xf>
    <xf numFmtId="10" fontId="38" fillId="0" borderId="35" xfId="0" applyNumberFormat="1" applyFont="1" applyBorder="1" applyAlignment="1">
      <alignment horizontal="right" vertical="center" wrapText="1" readingOrder="1"/>
    </xf>
    <xf numFmtId="10" fontId="38" fillId="0" borderId="36" xfId="0" applyNumberFormat="1" applyFont="1" applyBorder="1" applyAlignment="1">
      <alignment horizontal="right" vertical="center" wrapText="1" readingOrder="1"/>
    </xf>
    <xf numFmtId="10" fontId="38" fillId="0" borderId="37" xfId="0" applyNumberFormat="1" applyFont="1" applyBorder="1" applyAlignment="1">
      <alignment horizontal="right" vertical="center" wrapText="1" readingOrder="1"/>
    </xf>
    <xf numFmtId="0" fontId="38" fillId="0" borderId="56" xfId="0" applyFont="1" applyBorder="1" applyAlignment="1">
      <alignment horizontal="center" vertical="center" wrapText="1" readingOrder="1"/>
    </xf>
    <xf numFmtId="0" fontId="37" fillId="0" borderId="1" xfId="0" quotePrefix="1" applyFont="1" applyBorder="1" applyAlignment="1">
      <alignment horizontal="left" vertical="center" wrapText="1" indent="5" readingOrder="1"/>
    </xf>
    <xf numFmtId="0" fontId="37" fillId="0" borderId="45" xfId="0" quotePrefix="1" applyFont="1" applyBorder="1" applyAlignment="1">
      <alignment horizontal="left" vertical="center" wrapText="1" indent="5" readingOrder="1"/>
    </xf>
    <xf numFmtId="0" fontId="37" fillId="0" borderId="2" xfId="0" applyFont="1" applyBorder="1" applyAlignment="1">
      <alignment horizontal="center" vertical="center"/>
    </xf>
    <xf numFmtId="0" fontId="37" fillId="0" borderId="15" xfId="0" applyFont="1" applyBorder="1" applyAlignment="1">
      <alignment horizontal="center" vertical="center" wrapText="1" readingOrder="1"/>
    </xf>
    <xf numFmtId="170" fontId="37" fillId="0" borderId="15" xfId="0" applyNumberFormat="1" applyFont="1" applyBorder="1" applyAlignment="1">
      <alignment horizontal="center" vertical="center"/>
    </xf>
    <xf numFmtId="164" fontId="37" fillId="0" borderId="15" xfId="0" applyNumberFormat="1" applyFont="1" applyBorder="1" applyAlignment="1">
      <alignment vertical="center"/>
    </xf>
    <xf numFmtId="0" fontId="38" fillId="0" borderId="13" xfId="0" applyFont="1" applyBorder="1" applyAlignment="1">
      <alignment horizontal="left" vertical="center" wrapText="1" readingOrder="1"/>
    </xf>
    <xf numFmtId="10" fontId="38" fillId="0" borderId="14" xfId="2" applyNumberFormat="1" applyFont="1" applyBorder="1" applyAlignment="1">
      <alignment horizontal="right" vertical="center" wrapText="1" readingOrder="1"/>
    </xf>
    <xf numFmtId="10" fontId="38" fillId="0" borderId="15" xfId="2" applyNumberFormat="1" applyFont="1" applyBorder="1" applyAlignment="1">
      <alignment horizontal="right" vertical="center" wrapText="1" readingOrder="1"/>
    </xf>
    <xf numFmtId="10" fontId="38" fillId="0" borderId="16" xfId="2" applyNumberFormat="1" applyFont="1" applyBorder="1" applyAlignment="1">
      <alignment horizontal="right" vertical="center" wrapText="1" readingOrder="1"/>
    </xf>
    <xf numFmtId="0" fontId="37" fillId="0" borderId="0" xfId="0" quotePrefix="1" applyFont="1" applyAlignment="1">
      <alignment horizontal="left" vertical="center" wrapText="1" indent="5" readingOrder="1"/>
    </xf>
    <xf numFmtId="0" fontId="37" fillId="0" borderId="47" xfId="0" quotePrefix="1" applyFont="1" applyBorder="1" applyAlignment="1">
      <alignment horizontal="left" vertical="center" wrapText="1" indent="5" readingOrder="1"/>
    </xf>
    <xf numFmtId="0" fontId="37" fillId="0" borderId="52" xfId="0" applyFont="1" applyBorder="1" applyAlignment="1">
      <alignment horizontal="center" vertical="center"/>
    </xf>
    <xf numFmtId="170" fontId="37" fillId="0" borderId="0" xfId="0" applyNumberFormat="1" applyFont="1" applyAlignment="1">
      <alignment horizontal="center" vertical="center"/>
    </xf>
    <xf numFmtId="43" fontId="38" fillId="0" borderId="14" xfId="1" applyFont="1" applyBorder="1" applyAlignment="1">
      <alignment horizontal="right" vertical="center" wrapText="1" readingOrder="1"/>
    </xf>
    <xf numFmtId="43" fontId="38" fillId="0" borderId="15" xfId="1" applyFont="1" applyBorder="1" applyAlignment="1">
      <alignment horizontal="right" vertical="center" wrapText="1" readingOrder="1"/>
    </xf>
    <xf numFmtId="43" fontId="38" fillId="0" borderId="16" xfId="1" applyFont="1" applyBorder="1" applyAlignment="1">
      <alignment horizontal="right" vertical="center" wrapText="1" readingOrder="1"/>
    </xf>
    <xf numFmtId="0" fontId="37" fillId="0" borderId="1" xfId="0" applyFont="1" applyBorder="1" applyAlignment="1">
      <alignment horizontal="center" vertical="center"/>
    </xf>
    <xf numFmtId="171" fontId="37" fillId="0" borderId="1" xfId="0" applyNumberFormat="1" applyFont="1" applyBorder="1" applyAlignment="1">
      <alignment horizontal="center" vertical="center" wrapText="1" readingOrder="1"/>
    </xf>
    <xf numFmtId="170" fontId="37" fillId="0" borderId="1" xfId="0" applyNumberFormat="1" applyFont="1" applyBorder="1" applyAlignment="1">
      <alignment horizontal="center" vertical="center"/>
    </xf>
    <xf numFmtId="173" fontId="37" fillId="0" borderId="1" xfId="0" applyNumberFormat="1" applyFont="1" applyBorder="1" applyAlignment="1">
      <alignment horizontal="center" vertical="center"/>
    </xf>
    <xf numFmtId="164" fontId="37" fillId="0" borderId="1" xfId="1" applyNumberFormat="1" applyFont="1" applyBorder="1" applyAlignment="1">
      <alignment horizontal="center" vertical="center"/>
    </xf>
    <xf numFmtId="1" fontId="37" fillId="0" borderId="1" xfId="0" applyNumberFormat="1" applyFont="1" applyBorder="1" applyAlignment="1">
      <alignment horizontal="center" vertical="center"/>
    </xf>
    <xf numFmtId="0" fontId="37" fillId="0" borderId="1" xfId="0" applyFont="1" applyBorder="1" applyAlignment="1">
      <alignment horizontal="right" vertical="center"/>
    </xf>
    <xf numFmtId="164" fontId="37" fillId="0" borderId="1" xfId="0" applyNumberFormat="1" applyFont="1" applyBorder="1" applyAlignment="1">
      <alignment vertical="center"/>
    </xf>
    <xf numFmtId="0" fontId="38" fillId="0" borderId="19" xfId="0" applyFont="1" applyBorder="1" applyAlignment="1">
      <alignment horizontal="left" vertical="center" wrapText="1" readingOrder="1"/>
    </xf>
    <xf numFmtId="20" fontId="38" fillId="0" borderId="31" xfId="0" applyNumberFormat="1" applyFont="1" applyBorder="1" applyAlignment="1">
      <alignment horizontal="right" vertical="center" wrapText="1" readingOrder="1"/>
    </xf>
    <xf numFmtId="20" fontId="38" fillId="0" borderId="32" xfId="0" applyNumberFormat="1" applyFont="1" applyBorder="1" applyAlignment="1">
      <alignment horizontal="right" vertical="center" wrapText="1" readingOrder="1"/>
    </xf>
    <xf numFmtId="20" fontId="38" fillId="0" borderId="33" xfId="0" applyNumberFormat="1" applyFont="1" applyBorder="1" applyAlignment="1">
      <alignment horizontal="right" vertical="center" wrapText="1" readingOrder="1"/>
    </xf>
    <xf numFmtId="20" fontId="38" fillId="0" borderId="56" xfId="0" applyNumberFormat="1" applyFont="1" applyBorder="1" applyAlignment="1">
      <alignment horizontal="center" vertical="center" wrapText="1" readingOrder="1"/>
    </xf>
    <xf numFmtId="20" fontId="38" fillId="0" borderId="2" xfId="0" applyNumberFormat="1" applyFont="1" applyBorder="1" applyAlignment="1">
      <alignment horizontal="center" vertical="center"/>
    </xf>
    <xf numFmtId="20" fontId="38" fillId="0" borderId="52" xfId="0" applyNumberFormat="1" applyFont="1" applyBorder="1" applyAlignment="1">
      <alignment horizontal="center" vertical="center"/>
    </xf>
    <xf numFmtId="0" fontId="37" fillId="0" borderId="36" xfId="0" applyFont="1" applyBorder="1" applyAlignment="1">
      <alignment horizontal="center" vertical="center"/>
    </xf>
    <xf numFmtId="171" fontId="37" fillId="0" borderId="36" xfId="0" applyNumberFormat="1" applyFont="1" applyBorder="1" applyAlignment="1">
      <alignment horizontal="center" vertical="center" wrapText="1" readingOrder="1"/>
    </xf>
    <xf numFmtId="170" fontId="37" fillId="0" borderId="36" xfId="0" applyNumberFormat="1" applyFont="1" applyBorder="1" applyAlignment="1">
      <alignment horizontal="center" vertical="center"/>
    </xf>
    <xf numFmtId="173" fontId="37" fillId="0" borderId="36" xfId="0" applyNumberFormat="1" applyFont="1" applyBorder="1" applyAlignment="1">
      <alignment horizontal="center" vertical="center"/>
    </xf>
    <xf numFmtId="172" fontId="37" fillId="0" borderId="36" xfId="0" applyNumberFormat="1" applyFont="1" applyBorder="1" applyAlignment="1">
      <alignment horizontal="center" vertical="center"/>
    </xf>
    <xf numFmtId="164" fontId="37" fillId="0" borderId="36" xfId="1" applyNumberFormat="1" applyFont="1" applyBorder="1" applyAlignment="1">
      <alignment horizontal="center" vertical="center"/>
    </xf>
    <xf numFmtId="1" fontId="37" fillId="0" borderId="36" xfId="0" applyNumberFormat="1" applyFont="1" applyBorder="1" applyAlignment="1">
      <alignment horizontal="center" vertical="center"/>
    </xf>
    <xf numFmtId="167" fontId="37" fillId="0" borderId="36" xfId="1" applyNumberFormat="1" applyFont="1" applyBorder="1" applyAlignment="1">
      <alignment horizontal="right" vertical="center"/>
    </xf>
    <xf numFmtId="164" fontId="37" fillId="0" borderId="36" xfId="0" applyNumberFormat="1" applyFont="1" applyBorder="1" applyAlignment="1">
      <alignment vertical="center"/>
    </xf>
    <xf numFmtId="0" fontId="38" fillId="0" borderId="20" xfId="0" applyFont="1" applyBorder="1" applyAlignment="1">
      <alignment horizontal="left" vertical="center" wrapText="1" readingOrder="1"/>
    </xf>
    <xf numFmtId="0" fontId="38" fillId="0" borderId="21" xfId="0" applyFont="1" applyBorder="1" applyAlignment="1">
      <alignment horizontal="right" vertical="center" wrapText="1" readingOrder="1"/>
    </xf>
    <xf numFmtId="0" fontId="38" fillId="0" borderId="22" xfId="0" applyFont="1" applyBorder="1" applyAlignment="1">
      <alignment horizontal="right" vertical="center" wrapText="1" readingOrder="1"/>
    </xf>
    <xf numFmtId="0" fontId="38" fillId="0" borderId="34" xfId="0" applyFont="1" applyBorder="1" applyAlignment="1">
      <alignment horizontal="center" vertical="center" wrapText="1" readingOrder="1"/>
    </xf>
    <xf numFmtId="0" fontId="38" fillId="0" borderId="20" xfId="0" applyFont="1" applyBorder="1" applyAlignment="1">
      <alignment horizontal="center" vertical="center" wrapText="1" readingOrder="1"/>
    </xf>
    <xf numFmtId="164" fontId="37" fillId="0" borderId="0" xfId="0" applyNumberFormat="1" applyFont="1" applyAlignment="1">
      <alignment vertical="center"/>
    </xf>
    <xf numFmtId="1" fontId="37" fillId="0" borderId="0" xfId="0" applyNumberFormat="1" applyFont="1" applyAlignment="1">
      <alignment horizontal="center" vertical="center"/>
    </xf>
    <xf numFmtId="0" fontId="37" fillId="0" borderId="0" xfId="0" applyFont="1" applyAlignment="1">
      <alignment horizontal="right" vertical="center"/>
    </xf>
    <xf numFmtId="43" fontId="37" fillId="0" borderId="4" xfId="1" quotePrefix="1" applyFont="1" applyBorder="1" applyAlignment="1">
      <alignment horizontal="right" vertical="center" wrapText="1" readingOrder="1"/>
    </xf>
    <xf numFmtId="20" fontId="37" fillId="0" borderId="56" xfId="0" applyNumberFormat="1" applyFont="1" applyBorder="1" applyAlignment="1">
      <alignment horizontal="center" vertical="center" wrapText="1" readingOrder="1"/>
    </xf>
    <xf numFmtId="0" fontId="37" fillId="0" borderId="24" xfId="0" applyFont="1" applyBorder="1" applyAlignment="1">
      <alignment horizontal="center" vertical="center"/>
    </xf>
    <xf numFmtId="20" fontId="37" fillId="0" borderId="52" xfId="0" applyNumberFormat="1" applyFont="1" applyBorder="1" applyAlignment="1">
      <alignment horizontal="center" vertical="center"/>
    </xf>
    <xf numFmtId="2" fontId="37" fillId="0" borderId="15" xfId="0" applyNumberFormat="1" applyFont="1" applyBorder="1" applyAlignment="1">
      <alignment horizontal="center" vertical="center"/>
    </xf>
    <xf numFmtId="172" fontId="37" fillId="0" borderId="15" xfId="0" applyNumberFormat="1" applyFont="1" applyBorder="1" applyAlignment="1">
      <alignment horizontal="center" vertical="center" wrapText="1" readingOrder="1"/>
    </xf>
    <xf numFmtId="173" fontId="37" fillId="0" borderId="15" xfId="0" applyNumberFormat="1" applyFont="1" applyBorder="1" applyAlignment="1">
      <alignment horizontal="center" vertical="center"/>
    </xf>
    <xf numFmtId="164" fontId="37" fillId="0" borderId="15" xfId="1" applyNumberFormat="1" applyFont="1" applyBorder="1" applyAlignment="1">
      <alignment horizontal="center" vertical="center"/>
    </xf>
    <xf numFmtId="1" fontId="37" fillId="0" borderId="15" xfId="0" applyNumberFormat="1" applyFont="1" applyBorder="1" applyAlignment="1">
      <alignment horizontal="center" vertical="center"/>
    </xf>
    <xf numFmtId="173" fontId="37" fillId="0" borderId="15" xfId="0" applyNumberFormat="1" applyFont="1" applyBorder="1" applyAlignment="1">
      <alignment horizontal="right" vertical="center"/>
    </xf>
    <xf numFmtId="0" fontId="37" fillId="0" borderId="0" xfId="0" applyFont="1"/>
    <xf numFmtId="15" fontId="38" fillId="0" borderId="42" xfId="0" applyNumberFormat="1" applyFont="1" applyBorder="1" applyAlignment="1">
      <alignment horizontal="left" vertical="center" wrapText="1" readingOrder="1"/>
    </xf>
    <xf numFmtId="43" fontId="37" fillId="0" borderId="43" xfId="1" quotePrefix="1" applyFont="1" applyBorder="1" applyAlignment="1">
      <alignment horizontal="right" vertical="center" wrapText="1" readingOrder="1"/>
    </xf>
    <xf numFmtId="0" fontId="37" fillId="0" borderId="29" xfId="0" quotePrefix="1" applyFont="1" applyBorder="1" applyAlignment="1">
      <alignment horizontal="left" vertical="center" wrapText="1" indent="5" readingOrder="1"/>
    </xf>
    <xf numFmtId="0" fontId="37" fillId="0" borderId="48" xfId="0" quotePrefix="1" applyFont="1" applyBorder="1" applyAlignment="1">
      <alignment horizontal="left" vertical="center" wrapText="1" indent="5" readingOrder="1"/>
    </xf>
    <xf numFmtId="20" fontId="37" fillId="0" borderId="57" xfId="0" applyNumberFormat="1" applyFont="1" applyBorder="1" applyAlignment="1">
      <alignment horizontal="center" vertical="center" wrapText="1" readingOrder="1"/>
    </xf>
    <xf numFmtId="0" fontId="37" fillId="0" borderId="27" xfId="0" applyFont="1" applyBorder="1" applyAlignment="1">
      <alignment horizontal="center" vertical="center"/>
    </xf>
    <xf numFmtId="20" fontId="37" fillId="0" borderId="13" xfId="0" applyNumberFormat="1" applyFont="1" applyBorder="1" applyAlignment="1">
      <alignment horizontal="center" vertical="center" wrapText="1" readingOrder="1"/>
    </xf>
    <xf numFmtId="168" fontId="34" fillId="0" borderId="4" xfId="2" quotePrefix="1" applyNumberFormat="1" applyFont="1" applyBorder="1" applyAlignment="1">
      <alignment horizontal="right" vertical="center" wrapText="1" readingOrder="1"/>
    </xf>
    <xf numFmtId="2" fontId="36" fillId="0" borderId="15" xfId="0" applyNumberFormat="1" applyFont="1" applyBorder="1" applyAlignment="1">
      <alignment horizontal="center" vertical="center"/>
    </xf>
    <xf numFmtId="15" fontId="31" fillId="0" borderId="42" xfId="0" applyNumberFormat="1" applyFont="1" applyBorder="1" applyAlignment="1">
      <alignment horizontal="left" vertical="center" wrapText="1" readingOrder="1"/>
    </xf>
    <xf numFmtId="168" fontId="34" fillId="0" borderId="43" xfId="2" quotePrefix="1" applyNumberFormat="1" applyFont="1" applyBorder="1" applyAlignment="1">
      <alignment horizontal="right" vertical="center" wrapText="1" readingOrder="1"/>
    </xf>
    <xf numFmtId="20" fontId="37" fillId="0" borderId="25" xfId="0" applyNumberFormat="1" applyFont="1" applyBorder="1" applyAlignment="1">
      <alignment horizontal="center" vertical="center" wrapText="1" readingOrder="1"/>
    </xf>
    <xf numFmtId="10" fontId="34" fillId="0" borderId="43" xfId="2" quotePrefix="1" applyNumberFormat="1" applyFont="1" applyBorder="1" applyAlignment="1">
      <alignment horizontal="right" vertical="center" wrapText="1" readingOrder="1"/>
    </xf>
    <xf numFmtId="0" fontId="35" fillId="0" borderId="23" xfId="0" applyFont="1" applyBorder="1" applyAlignment="1">
      <alignment horizontal="left" vertical="center" wrapText="1" readingOrder="1"/>
    </xf>
    <xf numFmtId="10" fontId="35" fillId="0" borderId="35" xfId="0" applyNumberFormat="1" applyFont="1" applyBorder="1" applyAlignment="1">
      <alignment horizontal="right" vertical="center" wrapText="1" readingOrder="1"/>
    </xf>
    <xf numFmtId="10" fontId="35" fillId="0" borderId="36" xfId="0" applyNumberFormat="1" applyFont="1" applyBorder="1" applyAlignment="1">
      <alignment horizontal="right" vertical="center" wrapText="1" readingOrder="1"/>
    </xf>
    <xf numFmtId="10" fontId="35" fillId="0" borderId="37" xfId="0" applyNumberFormat="1" applyFont="1" applyBorder="1" applyAlignment="1">
      <alignment horizontal="right" vertical="center" wrapText="1" readingOrder="1"/>
    </xf>
    <xf numFmtId="0" fontId="32" fillId="0" borderId="1" xfId="0" quotePrefix="1" applyFont="1" applyBorder="1" applyAlignment="1">
      <alignment horizontal="left" vertical="center" wrapText="1" indent="5" readingOrder="1"/>
    </xf>
    <xf numFmtId="0" fontId="32" fillId="0" borderId="45" xfId="0" quotePrefix="1" applyFont="1" applyBorder="1" applyAlignment="1">
      <alignment horizontal="left" vertical="center" wrapText="1" indent="5" readingOrder="1"/>
    </xf>
    <xf numFmtId="0" fontId="35" fillId="0" borderId="13" xfId="0" applyFont="1" applyBorder="1" applyAlignment="1">
      <alignment horizontal="left" vertical="center" wrapText="1" readingOrder="1"/>
    </xf>
    <xf numFmtId="10" fontId="35" fillId="0" borderId="14" xfId="2" applyNumberFormat="1" applyFont="1" applyBorder="1" applyAlignment="1">
      <alignment horizontal="right" vertical="center" wrapText="1" readingOrder="1"/>
    </xf>
    <xf numFmtId="10" fontId="35" fillId="0" borderId="15" xfId="2" applyNumberFormat="1" applyFont="1" applyBorder="1" applyAlignment="1">
      <alignment horizontal="right" vertical="center" wrapText="1" readingOrder="1"/>
    </xf>
    <xf numFmtId="10" fontId="35" fillId="0" borderId="16" xfId="2" applyNumberFormat="1" applyFont="1" applyBorder="1" applyAlignment="1">
      <alignment horizontal="right" vertical="center" wrapText="1" readingOrder="1"/>
    </xf>
    <xf numFmtId="0" fontId="32" fillId="0" borderId="0" xfId="0" quotePrefix="1" applyFont="1" applyAlignment="1">
      <alignment horizontal="left" vertical="center" wrapText="1" indent="5" readingOrder="1"/>
    </xf>
    <xf numFmtId="0" fontId="32" fillId="0" borderId="47" xfId="0" quotePrefix="1" applyFont="1" applyBorder="1" applyAlignment="1">
      <alignment horizontal="left" vertical="center" wrapText="1" indent="5" readingOrder="1"/>
    </xf>
    <xf numFmtId="0" fontId="35" fillId="0" borderId="56" xfId="0" applyFont="1" applyBorder="1" applyAlignment="1">
      <alignment horizontal="center" vertical="center" wrapText="1" readingOrder="1"/>
    </xf>
    <xf numFmtId="0" fontId="35" fillId="0" borderId="19" xfId="0" applyFont="1" applyBorder="1" applyAlignment="1">
      <alignment horizontal="left" vertical="center" wrapText="1" readingOrder="1"/>
    </xf>
    <xf numFmtId="20" fontId="35" fillId="0" borderId="31" xfId="0" applyNumberFormat="1" applyFont="1" applyBorder="1" applyAlignment="1">
      <alignment horizontal="right" vertical="center" wrapText="1" readingOrder="1"/>
    </xf>
    <xf numFmtId="20" fontId="35" fillId="0" borderId="32" xfId="0" applyNumberFormat="1" applyFont="1" applyBorder="1" applyAlignment="1">
      <alignment horizontal="right" vertical="center" wrapText="1" readingOrder="1"/>
    </xf>
    <xf numFmtId="20" fontId="35" fillId="0" borderId="33" xfId="0" applyNumberFormat="1" applyFont="1" applyBorder="1" applyAlignment="1">
      <alignment horizontal="right" vertical="center" wrapText="1" readingOrder="1"/>
    </xf>
    <xf numFmtId="0" fontId="35" fillId="0" borderId="20" xfId="0" applyFont="1" applyBorder="1" applyAlignment="1">
      <alignment horizontal="left" vertical="center" wrapText="1" readingOrder="1"/>
    </xf>
    <xf numFmtId="0" fontId="35" fillId="0" borderId="21" xfId="0" applyFont="1" applyBorder="1" applyAlignment="1">
      <alignment horizontal="right" vertical="center" wrapText="1" readingOrder="1"/>
    </xf>
    <xf numFmtId="0" fontId="35" fillId="0" borderId="22" xfId="0" applyFont="1" applyBorder="1" applyAlignment="1">
      <alignment horizontal="right" vertical="center" wrapText="1" readingOrder="1"/>
    </xf>
    <xf numFmtId="0" fontId="35" fillId="0" borderId="34" xfId="0" applyFont="1" applyBorder="1" applyAlignment="1">
      <alignment horizontal="center" vertical="center" wrapText="1" readingOrder="1"/>
    </xf>
    <xf numFmtId="0" fontId="35" fillId="0" borderId="20" xfId="0" applyFont="1" applyBorder="1" applyAlignment="1">
      <alignment horizontal="center" vertical="center" wrapText="1" readingOrder="1"/>
    </xf>
    <xf numFmtId="15" fontId="35" fillId="0" borderId="23" xfId="0" applyNumberFormat="1" applyFont="1" applyBorder="1" applyAlignment="1">
      <alignment horizontal="left" vertical="center" wrapText="1" readingOrder="1"/>
    </xf>
    <xf numFmtId="20" fontId="32" fillId="0" borderId="13" xfId="0" applyNumberFormat="1" applyFont="1" applyBorder="1" applyAlignment="1">
      <alignment horizontal="center" vertical="center" wrapText="1" readingOrder="1"/>
    </xf>
    <xf numFmtId="15" fontId="35" fillId="0" borderId="42" xfId="0" applyNumberFormat="1" applyFont="1" applyBorder="1" applyAlignment="1">
      <alignment horizontal="left" vertical="center" wrapText="1" readingOrder="1"/>
    </xf>
    <xf numFmtId="0" fontId="32" fillId="0" borderId="29" xfId="0" quotePrefix="1" applyFont="1" applyBorder="1" applyAlignment="1">
      <alignment horizontal="left" vertical="center" wrapText="1" indent="5" readingOrder="1"/>
    </xf>
    <xf numFmtId="0" fontId="32" fillId="0" borderId="48" xfId="0" quotePrefix="1" applyFont="1" applyBorder="1" applyAlignment="1">
      <alignment horizontal="left" vertical="center" wrapText="1" indent="5" readingOrder="1"/>
    </xf>
    <xf numFmtId="167" fontId="31" fillId="0" borderId="14" xfId="1" applyNumberFormat="1" applyFont="1" applyBorder="1" applyAlignment="1">
      <alignment horizontal="right" vertical="center" wrapText="1" readingOrder="1"/>
    </xf>
    <xf numFmtId="167" fontId="31" fillId="0" borderId="15" xfId="1" applyNumberFormat="1" applyFont="1" applyBorder="1" applyAlignment="1">
      <alignment horizontal="right" vertical="center" wrapText="1" readingOrder="1"/>
    </xf>
    <xf numFmtId="167" fontId="31" fillId="0" borderId="16" xfId="1" applyNumberFormat="1" applyFont="1" applyBorder="1" applyAlignment="1">
      <alignment horizontal="right" vertical="center" wrapText="1" readingOrder="1"/>
    </xf>
    <xf numFmtId="167" fontId="36" fillId="0" borderId="1" xfId="1" applyNumberFormat="1" applyFont="1" applyBorder="1" applyAlignment="1">
      <alignment vertical="center"/>
    </xf>
    <xf numFmtId="167" fontId="34" fillId="0" borderId="4" xfId="1" quotePrefix="1" applyNumberFormat="1" applyFont="1" applyBorder="1" applyAlignment="1">
      <alignment horizontal="right" vertical="center" wrapText="1" readingOrder="1"/>
    </xf>
    <xf numFmtId="167" fontId="32" fillId="0" borderId="15" xfId="0" applyNumberFormat="1" applyFont="1" applyBorder="1" applyAlignment="1">
      <alignment vertical="center"/>
    </xf>
    <xf numFmtId="167" fontId="34" fillId="0" borderId="43" xfId="1" quotePrefix="1" applyNumberFormat="1" applyFont="1" applyBorder="1" applyAlignment="1">
      <alignment horizontal="right" vertical="center" wrapText="1" readingOrder="1"/>
    </xf>
  </cellXfs>
  <cellStyles count="3">
    <cellStyle name="Comma" xfId="1" builtinId="3"/>
    <cellStyle name="Normal" xfId="0" builtinId="0"/>
    <cellStyle name="Percent" xfId="2" builtinId="5"/>
  </cellStyles>
  <dxfs count="21">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externalLink" Target="externalLinks/externalLink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pawan/Desktop/Quantwater%20Tech%20Investments/Operations/Economic%20Calendar/Economic%20Calendar.xls" TargetMode="External"/><Relationship Id="rId1" Type="http://schemas.openxmlformats.org/officeDocument/2006/relationships/externalLinkPath" Target="Economic%20Calendar.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EC.csv"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pawan/Desktop/Quantwater%20Tech%20Investments/Operations/Economic%20Calendar/Economic%20Calendar.xlsx" TargetMode="External"/><Relationship Id="rId1" Type="http://schemas.openxmlformats.org/officeDocument/2006/relationships/externalLinkPath" Target="Economic%20Calenda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
      <sheetName val="History "/>
      <sheetName val="History  (2)"/>
      <sheetName val="Sheet1"/>
      <sheetName val="Sheet3"/>
      <sheetName val="Sheet2"/>
    </sheetNames>
    <sheetDataSet>
      <sheetData sheetId="0"/>
      <sheetData sheetId="1"/>
      <sheetData sheetId="2"/>
      <sheetData sheetId="3"/>
      <sheetData sheetId="4"/>
      <sheetData sheetId="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EC"/>
      <sheetName val="Economic-Calendar"/>
      <sheetName val="Sheet1"/>
      <sheetName val="Sheet2"/>
    </sheetNames>
    <sheetDataSet>
      <sheetData sheetId="0" refreshError="1"/>
      <sheetData sheetId="1" refreshError="1">
        <row r="11">
          <cell r="E11" t="str">
            <v>http://35.246.171.209/economic_calendar.html</v>
          </cell>
        </row>
        <row r="12">
          <cell r="D12" t="str">
            <v>Day</v>
          </cell>
        </row>
        <row r="13">
          <cell r="D13">
            <v>1</v>
          </cell>
          <cell r="E13" t="str">
            <v>Mon</v>
          </cell>
        </row>
        <row r="14">
          <cell r="D14">
            <v>2</v>
          </cell>
          <cell r="E14" t="str">
            <v>Tue</v>
          </cell>
        </row>
        <row r="15">
          <cell r="D15">
            <v>3</v>
          </cell>
          <cell r="E15" t="str">
            <v>Wed</v>
          </cell>
        </row>
        <row r="16">
          <cell r="D16">
            <v>4</v>
          </cell>
          <cell r="E16" t="str">
            <v>Thu</v>
          </cell>
        </row>
        <row r="17">
          <cell r="D17">
            <v>5</v>
          </cell>
          <cell r="E17" t="str">
            <v>Fri</v>
          </cell>
        </row>
        <row r="18">
          <cell r="D18">
            <v>6</v>
          </cell>
          <cell r="E18" t="str">
            <v>Sat</v>
          </cell>
        </row>
        <row r="19">
          <cell r="D19">
            <v>7</v>
          </cell>
          <cell r="E19" t="str">
            <v>Sun</v>
          </cell>
        </row>
      </sheetData>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
      <sheetName val="History "/>
      <sheetName val="History-U"/>
      <sheetName val="Markets"/>
      <sheetName val="Notes"/>
      <sheetName val="Sheet1"/>
      <sheetName val="table"/>
      <sheetName val="Calc"/>
      <sheetName val="Sheet3"/>
    </sheetNames>
    <sheetDataSet>
      <sheetData sheetId="0"/>
      <sheetData sheetId="1"/>
      <sheetData sheetId="2"/>
      <sheetData sheetId="3"/>
      <sheetData sheetId="4"/>
      <sheetData sheetId="5"/>
      <sheetData sheetId="6">
        <row r="9">
          <cell r="E9">
            <v>1</v>
          </cell>
          <cell r="F9" t="str">
            <v>Sun</v>
          </cell>
        </row>
        <row r="10">
          <cell r="E10">
            <v>2</v>
          </cell>
          <cell r="F10" t="str">
            <v>Mon</v>
          </cell>
        </row>
        <row r="11">
          <cell r="E11">
            <v>3</v>
          </cell>
          <cell r="F11" t="str">
            <v>Tue</v>
          </cell>
        </row>
        <row r="12">
          <cell r="E12">
            <v>4</v>
          </cell>
          <cell r="F12" t="str">
            <v>Wed</v>
          </cell>
        </row>
        <row r="13">
          <cell r="E13">
            <v>5</v>
          </cell>
          <cell r="F13" t="str">
            <v>Thu</v>
          </cell>
        </row>
        <row r="14">
          <cell r="E14">
            <v>6</v>
          </cell>
          <cell r="F14" t="str">
            <v>Fri</v>
          </cell>
        </row>
        <row r="15">
          <cell r="E15">
            <v>7</v>
          </cell>
          <cell r="F15" t="str">
            <v>Sat</v>
          </cell>
        </row>
      </sheetData>
      <sheetData sheetId="7"/>
      <sheetData sheetId="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22@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3DCB9-5E74-874B-8432-3513A5C20642}">
  <dimension ref="A1:K380"/>
  <sheetViews>
    <sheetView tabSelected="1" zoomScale="70" zoomScaleNormal="70" workbookViewId="0">
      <pane xSplit="1" ySplit="2" topLeftCell="B371" activePane="bottomRight" state="frozen"/>
      <selection pane="topRight" activeCell="B1" sqref="B1"/>
      <selection pane="bottomLeft" activeCell="A3" sqref="A3"/>
      <selection pane="bottomRight" activeCell="B376" sqref="B376"/>
    </sheetView>
  </sheetViews>
  <sheetFormatPr baseColWidth="10" defaultRowHeight="16" x14ac:dyDescent="0.2"/>
  <cols>
    <col min="1" max="1" width="2" customWidth="1"/>
    <col min="7" max="7" width="38.83203125" bestFit="1" customWidth="1"/>
    <col min="8" max="8" width="10.5" style="1" bestFit="1" customWidth="1"/>
    <col min="9" max="9" width="28" style="1" bestFit="1" customWidth="1"/>
    <col min="11" max="11" width="92.1640625" customWidth="1"/>
  </cols>
  <sheetData>
    <row r="1" spans="1:11" x14ac:dyDescent="0.2">
      <c r="A1" s="4" t="s">
        <v>105</v>
      </c>
      <c r="B1" s="2" t="s">
        <v>36</v>
      </c>
      <c r="D1">
        <f>24*30</f>
        <v>720</v>
      </c>
      <c r="E1">
        <f>D1*4</f>
        <v>2880</v>
      </c>
      <c r="J1" s="1"/>
    </row>
    <row r="2" spans="1:11" x14ac:dyDescent="0.2">
      <c r="A2" t="s">
        <v>105</v>
      </c>
      <c r="B2" s="27" t="s">
        <v>35</v>
      </c>
      <c r="C2" s="27" t="s">
        <v>34</v>
      </c>
      <c r="D2" s="27" t="s">
        <v>33</v>
      </c>
      <c r="E2" s="27" t="s">
        <v>32</v>
      </c>
      <c r="F2" s="27" t="s">
        <v>31</v>
      </c>
      <c r="G2" s="28" t="s">
        <v>30</v>
      </c>
      <c r="H2" s="29" t="s">
        <v>29</v>
      </c>
      <c r="I2" s="29" t="s">
        <v>28</v>
      </c>
      <c r="J2" s="29" t="s">
        <v>27</v>
      </c>
      <c r="K2" s="5" t="s">
        <v>75</v>
      </c>
    </row>
    <row r="3" spans="1:11" x14ac:dyDescent="0.2">
      <c r="A3" s="4" t="s">
        <v>105</v>
      </c>
      <c r="B3" s="30">
        <v>45474</v>
      </c>
      <c r="C3" s="31" t="str">
        <f>VLOOKUP(WEEKDAY(B3,2),'EC-Commands'!$D$13:$E$19,2,FALSE)</f>
        <v>Mon</v>
      </c>
      <c r="D3" s="32">
        <v>0.72916666666666663</v>
      </c>
      <c r="E3" s="33" t="s">
        <v>22</v>
      </c>
      <c r="F3" s="33">
        <v>3</v>
      </c>
      <c r="G3" s="33" t="s">
        <v>26</v>
      </c>
      <c r="H3" s="35"/>
      <c r="I3" s="36">
        <v>2E-3</v>
      </c>
      <c r="J3" s="36">
        <v>1E-3</v>
      </c>
      <c r="K3" s="34"/>
    </row>
    <row r="4" spans="1:11" x14ac:dyDescent="0.2">
      <c r="B4" s="30">
        <v>45474</v>
      </c>
      <c r="C4" s="31" t="str">
        <f>VLOOKUP(WEEKDAY(B4,2),'EC-Commands'!$D$13:$E$19,2,FALSE)</f>
        <v>Mon</v>
      </c>
      <c r="D4" s="32">
        <v>0.80208333333333337</v>
      </c>
      <c r="E4" s="33" t="s">
        <v>1</v>
      </c>
      <c r="F4" s="33">
        <v>3</v>
      </c>
      <c r="G4" s="33" t="s">
        <v>25</v>
      </c>
      <c r="H4" s="35"/>
      <c r="I4" s="35">
        <v>51.7</v>
      </c>
      <c r="J4" s="35">
        <v>51.3</v>
      </c>
      <c r="K4" s="34"/>
    </row>
    <row r="5" spans="1:11" x14ac:dyDescent="0.2">
      <c r="B5" s="30">
        <v>45474</v>
      </c>
      <c r="C5" s="31" t="str">
        <f>VLOOKUP(WEEKDAY(B5,2),'EC-Commands'!$D$13:$E$19,2,FALSE)</f>
        <v>Mon</v>
      </c>
      <c r="D5" s="32">
        <v>0.8125</v>
      </c>
      <c r="E5" s="33" t="s">
        <v>1</v>
      </c>
      <c r="F5" s="33">
        <v>3</v>
      </c>
      <c r="G5" s="33" t="s">
        <v>24</v>
      </c>
      <c r="H5" s="35"/>
      <c r="I5" s="35">
        <v>49.2</v>
      </c>
      <c r="J5" s="35">
        <v>48.7</v>
      </c>
      <c r="K5" s="34"/>
    </row>
    <row r="6" spans="1:11" x14ac:dyDescent="0.2">
      <c r="B6" s="30">
        <v>45474</v>
      </c>
      <c r="C6" s="31" t="str">
        <f>VLOOKUP(WEEKDAY(B6,2),'EC-Commands'!$D$13:$E$19,2,FALSE)</f>
        <v>Mon</v>
      </c>
      <c r="D6" s="32">
        <v>0.8125</v>
      </c>
      <c r="E6" s="33" t="s">
        <v>1</v>
      </c>
      <c r="F6" s="33">
        <v>3</v>
      </c>
      <c r="G6" s="33" t="s">
        <v>23</v>
      </c>
      <c r="H6" s="35"/>
      <c r="I6" s="35">
        <v>55.8</v>
      </c>
      <c r="J6" s="35">
        <v>57</v>
      </c>
      <c r="K6" s="34"/>
    </row>
    <row r="7" spans="1:11" x14ac:dyDescent="0.2">
      <c r="B7" s="37">
        <f>B6+1</f>
        <v>45475</v>
      </c>
      <c r="C7" s="31" t="str">
        <f>VLOOKUP(WEEKDAY(B7,2),'EC-Commands'!$D$13:$E$19,2,FALSE)</f>
        <v>Tue</v>
      </c>
      <c r="D7" s="32">
        <v>0.60416666666666663</v>
      </c>
      <c r="E7" s="33" t="s">
        <v>22</v>
      </c>
      <c r="F7" s="33">
        <v>3</v>
      </c>
      <c r="G7" s="33" t="s">
        <v>21</v>
      </c>
      <c r="H7" s="35"/>
      <c r="I7" s="36">
        <v>2.5000000000000001E-2</v>
      </c>
      <c r="J7" s="36">
        <v>2.5999999999999999E-2</v>
      </c>
      <c r="K7" s="34"/>
    </row>
    <row r="8" spans="1:11" x14ac:dyDescent="0.2">
      <c r="B8" s="37">
        <f>B7</f>
        <v>45475</v>
      </c>
      <c r="C8" s="31" t="str">
        <f>VLOOKUP(WEEKDAY(B8,2),'EC-Commands'!$D$13:$E$19,2,FALSE)</f>
        <v>Tue</v>
      </c>
      <c r="D8" s="32">
        <v>0.79166666666666663</v>
      </c>
      <c r="E8" s="33" t="s">
        <v>1</v>
      </c>
      <c r="F8" s="33">
        <v>3</v>
      </c>
      <c r="G8" s="33" t="s">
        <v>20</v>
      </c>
      <c r="H8" s="35"/>
      <c r="I8" s="35"/>
      <c r="J8" s="35"/>
      <c r="K8" s="34"/>
    </row>
    <row r="9" spans="1:11" x14ac:dyDescent="0.2">
      <c r="B9" s="37">
        <f>B8</f>
        <v>45475</v>
      </c>
      <c r="C9" s="31" t="str">
        <f>VLOOKUP(WEEKDAY(B9,2),'EC-Commands'!$D$13:$E$19,2,FALSE)</f>
        <v>Tue</v>
      </c>
      <c r="D9" s="32">
        <v>0.8125</v>
      </c>
      <c r="E9" s="33" t="s">
        <v>1</v>
      </c>
      <c r="F9" s="33">
        <v>3</v>
      </c>
      <c r="G9" s="33" t="s">
        <v>19</v>
      </c>
      <c r="H9" s="35"/>
      <c r="I9" s="35"/>
      <c r="J9" s="35" t="s">
        <v>18</v>
      </c>
      <c r="K9" s="34"/>
    </row>
    <row r="10" spans="1:11" x14ac:dyDescent="0.2">
      <c r="B10" s="37">
        <f>B9+1</f>
        <v>45476</v>
      </c>
      <c r="C10" s="31" t="str">
        <f>VLOOKUP(WEEKDAY(B10,2),'EC-Commands'!$D$13:$E$19,2,FALSE)</f>
        <v>Wed</v>
      </c>
      <c r="D10" s="32">
        <v>0.73958333333333337</v>
      </c>
      <c r="E10" s="33" t="s">
        <v>1</v>
      </c>
      <c r="F10" s="33">
        <v>3</v>
      </c>
      <c r="G10" s="33" t="s">
        <v>17</v>
      </c>
      <c r="H10" s="35"/>
      <c r="I10" s="35" t="s">
        <v>16</v>
      </c>
      <c r="J10" s="35" t="s">
        <v>15</v>
      </c>
      <c r="K10" s="34"/>
    </row>
    <row r="11" spans="1:11" x14ac:dyDescent="0.2">
      <c r="B11" s="37">
        <f t="shared" ref="B11:B16" si="0">B10</f>
        <v>45476</v>
      </c>
      <c r="C11" s="31" t="str">
        <f>VLOOKUP(WEEKDAY(B11,2),'EC-Commands'!$D$13:$E$19,2,FALSE)</f>
        <v>Wed</v>
      </c>
      <c r="D11" s="32">
        <v>0.75</v>
      </c>
      <c r="E11" s="33" t="s">
        <v>1</v>
      </c>
      <c r="F11" s="33">
        <v>3</v>
      </c>
      <c r="G11" s="33" t="s">
        <v>14</v>
      </c>
      <c r="H11" s="35"/>
      <c r="I11" s="35"/>
      <c r="J11" s="35" t="s">
        <v>13</v>
      </c>
      <c r="K11" s="34"/>
    </row>
    <row r="12" spans="1:11" x14ac:dyDescent="0.2">
      <c r="B12" s="37">
        <f t="shared" si="0"/>
        <v>45476</v>
      </c>
      <c r="C12" s="31" t="str">
        <f>VLOOKUP(WEEKDAY(B12,2),'EC-Commands'!$D$13:$E$19,2,FALSE)</f>
        <v>Wed</v>
      </c>
      <c r="D12" s="32">
        <v>0.80208333333333337</v>
      </c>
      <c r="E12" s="33" t="s">
        <v>1</v>
      </c>
      <c r="F12" s="33">
        <v>3</v>
      </c>
      <c r="G12" s="33" t="s">
        <v>12</v>
      </c>
      <c r="H12" s="35"/>
      <c r="I12" s="35">
        <v>55.1</v>
      </c>
      <c r="J12" s="35">
        <v>54.8</v>
      </c>
      <c r="K12" s="34"/>
    </row>
    <row r="13" spans="1:11" x14ac:dyDescent="0.2">
      <c r="B13" s="37">
        <f t="shared" si="0"/>
        <v>45476</v>
      </c>
      <c r="C13" s="31" t="str">
        <f>VLOOKUP(WEEKDAY(B13,2),'EC-Commands'!$D$13:$E$19,2,FALSE)</f>
        <v>Wed</v>
      </c>
      <c r="D13" s="32">
        <v>0.8125</v>
      </c>
      <c r="E13" s="33" t="s">
        <v>1</v>
      </c>
      <c r="F13" s="33">
        <v>3</v>
      </c>
      <c r="G13" s="33" t="s">
        <v>11</v>
      </c>
      <c r="H13" s="35"/>
      <c r="I13" s="35">
        <v>52.5</v>
      </c>
      <c r="J13" s="35">
        <v>53.8</v>
      </c>
      <c r="K13" s="34"/>
    </row>
    <row r="14" spans="1:11" x14ac:dyDescent="0.2">
      <c r="B14" s="37">
        <f t="shared" si="0"/>
        <v>45476</v>
      </c>
      <c r="C14" s="31" t="str">
        <f>VLOOKUP(WEEKDAY(B14,2),'EC-Commands'!$D$13:$E$19,2,FALSE)</f>
        <v>Wed</v>
      </c>
      <c r="D14" s="32">
        <v>0.8125</v>
      </c>
      <c r="E14" s="33" t="s">
        <v>1</v>
      </c>
      <c r="F14" s="33">
        <v>3</v>
      </c>
      <c r="G14" s="33" t="s">
        <v>10</v>
      </c>
      <c r="H14" s="35"/>
      <c r="I14" s="35"/>
      <c r="J14" s="35">
        <v>58.1</v>
      </c>
      <c r="K14" s="34"/>
    </row>
    <row r="15" spans="1:11" x14ac:dyDescent="0.2">
      <c r="B15" s="37">
        <f t="shared" si="0"/>
        <v>45476</v>
      </c>
      <c r="C15" s="31" t="str">
        <f>VLOOKUP(WEEKDAY(B15,2),'EC-Commands'!$D$13:$E$19,2,FALSE)</f>
        <v>Wed</v>
      </c>
      <c r="D15" s="32">
        <v>0.83333333333333337</v>
      </c>
      <c r="E15" s="33" t="s">
        <v>1</v>
      </c>
      <c r="F15" s="33">
        <v>3</v>
      </c>
      <c r="G15" s="33" t="s">
        <v>9</v>
      </c>
      <c r="H15" s="35"/>
      <c r="I15" s="35"/>
      <c r="J15" s="35" t="s">
        <v>8</v>
      </c>
      <c r="K15" s="34"/>
    </row>
    <row r="16" spans="1:11" x14ac:dyDescent="0.2">
      <c r="B16" s="37">
        <f t="shared" si="0"/>
        <v>45476</v>
      </c>
      <c r="C16" s="31" t="str">
        <f>VLOOKUP(WEEKDAY(B16,2),'EC-Commands'!$D$13:$E$19,2,FALSE)</f>
        <v>Wed</v>
      </c>
      <c r="D16" s="32">
        <v>0.97916666666666663</v>
      </c>
      <c r="E16" s="33" t="s">
        <v>1</v>
      </c>
      <c r="F16" s="33">
        <v>3</v>
      </c>
      <c r="G16" s="33" t="s">
        <v>7</v>
      </c>
      <c r="H16" s="35"/>
      <c r="I16" s="35"/>
      <c r="J16" s="35"/>
      <c r="K16" s="34"/>
    </row>
    <row r="17" spans="1:11" x14ac:dyDescent="0.2">
      <c r="B17" s="37">
        <f>B16+2</f>
        <v>45478</v>
      </c>
      <c r="C17" s="31" t="str">
        <f>VLOOKUP(WEEKDAY(B17,2),'EC-Commands'!$D$13:$E$19,2,FALSE)</f>
        <v>Fri</v>
      </c>
      <c r="D17" s="32">
        <v>0.75</v>
      </c>
      <c r="E17" s="33" t="s">
        <v>1</v>
      </c>
      <c r="F17" s="33">
        <v>3</v>
      </c>
      <c r="G17" s="33" t="s">
        <v>6</v>
      </c>
      <c r="H17" s="35"/>
      <c r="I17" s="36">
        <v>3.0000000000000001E-3</v>
      </c>
      <c r="J17" s="36">
        <v>4.0000000000000001E-3</v>
      </c>
      <c r="K17" s="34"/>
    </row>
    <row r="18" spans="1:11" x14ac:dyDescent="0.2">
      <c r="B18" s="37">
        <f>B17</f>
        <v>45478</v>
      </c>
      <c r="C18" s="31" t="str">
        <f>VLOOKUP(WEEKDAY(B18,2),'EC-Commands'!$D$13:$E$19,2,FALSE)</f>
        <v>Fri</v>
      </c>
      <c r="D18" s="32">
        <v>0.75</v>
      </c>
      <c r="E18" s="33" t="s">
        <v>1</v>
      </c>
      <c r="F18" s="33">
        <v>3</v>
      </c>
      <c r="G18" s="33" t="s">
        <v>5</v>
      </c>
      <c r="H18" s="35"/>
      <c r="I18" s="36" t="s">
        <v>4</v>
      </c>
      <c r="J18" s="36" t="s">
        <v>3</v>
      </c>
      <c r="K18" s="34"/>
    </row>
    <row r="19" spans="1:11" x14ac:dyDescent="0.2">
      <c r="B19" s="37">
        <f>B18</f>
        <v>45478</v>
      </c>
      <c r="C19" s="31" t="str">
        <f>VLOOKUP(WEEKDAY(B19,2),'EC-Commands'!$D$13:$E$19,2,FALSE)</f>
        <v>Fri</v>
      </c>
      <c r="D19" s="32">
        <v>0.75</v>
      </c>
      <c r="E19" s="33" t="s">
        <v>1</v>
      </c>
      <c r="F19" s="33">
        <v>3</v>
      </c>
      <c r="G19" s="33" t="s">
        <v>2</v>
      </c>
      <c r="H19" s="35"/>
      <c r="I19" s="36">
        <v>0.04</v>
      </c>
      <c r="J19" s="36">
        <v>0.04</v>
      </c>
      <c r="K19" s="34"/>
    </row>
    <row r="20" spans="1:11" x14ac:dyDescent="0.2">
      <c r="B20" s="37">
        <f>B19</f>
        <v>45478</v>
      </c>
      <c r="C20" s="31" t="str">
        <f>VLOOKUP(WEEKDAY(B20,2),'EC-Commands'!$D$13:$E$19,2,FALSE)</f>
        <v>Fri</v>
      </c>
      <c r="D20" s="32">
        <v>0.85416666666666663</v>
      </c>
      <c r="E20" s="33" t="s">
        <v>1</v>
      </c>
      <c r="F20" s="33">
        <v>3</v>
      </c>
      <c r="G20" s="33" t="s">
        <v>0</v>
      </c>
      <c r="H20" s="35"/>
      <c r="I20" s="36"/>
      <c r="J20" s="36"/>
      <c r="K20" s="34"/>
    </row>
    <row r="21" spans="1:11" x14ac:dyDescent="0.2">
      <c r="A21" s="4" t="s">
        <v>105</v>
      </c>
      <c r="B21" s="30">
        <v>45482</v>
      </c>
      <c r="C21" s="31" t="str">
        <f>VLOOKUP(WEEKDAY(B21,2),'EC-Commands'!$D$13:$E$19,2,FALSE)</f>
        <v>Tue</v>
      </c>
      <c r="D21" s="32">
        <v>0.8125</v>
      </c>
      <c r="E21" s="33" t="s">
        <v>1</v>
      </c>
      <c r="F21" s="33">
        <v>3</v>
      </c>
      <c r="G21" s="45" t="s">
        <v>48</v>
      </c>
      <c r="H21" s="35"/>
      <c r="I21" s="36"/>
      <c r="J21" s="36"/>
      <c r="K21" s="36"/>
    </row>
    <row r="22" spans="1:11" x14ac:dyDescent="0.2">
      <c r="B22" s="30">
        <f>B21+1</f>
        <v>45483</v>
      </c>
      <c r="C22" s="31" t="str">
        <f>VLOOKUP(WEEKDAY(B22,2),'EC-Commands'!$D$13:$E$19,2,FALSE)</f>
        <v>Wed</v>
      </c>
      <c r="D22" s="32">
        <v>0.3125</v>
      </c>
      <c r="E22" s="33" t="s">
        <v>49</v>
      </c>
      <c r="F22" s="33">
        <v>3</v>
      </c>
      <c r="G22" s="33" t="s">
        <v>50</v>
      </c>
      <c r="H22" s="35"/>
      <c r="I22" s="35"/>
      <c r="J22" s="36">
        <v>5.5E-2</v>
      </c>
      <c r="K22" s="34"/>
    </row>
    <row r="23" spans="1:11" x14ac:dyDescent="0.2">
      <c r="B23" s="30">
        <f>B22</f>
        <v>45483</v>
      </c>
      <c r="C23" s="31" t="str">
        <f>VLOOKUP(WEEKDAY(B23,2),'EC-Commands'!$D$13:$E$19,2,FALSE)</f>
        <v>Wed</v>
      </c>
      <c r="D23" s="32">
        <v>0.8125</v>
      </c>
      <c r="E23" s="33" t="s">
        <v>1</v>
      </c>
      <c r="F23" s="33">
        <v>3</v>
      </c>
      <c r="G23" s="33" t="s">
        <v>48</v>
      </c>
      <c r="H23" s="35"/>
      <c r="I23" s="35"/>
      <c r="J23" s="35"/>
      <c r="K23" s="34"/>
    </row>
    <row r="24" spans="1:11" x14ac:dyDescent="0.2">
      <c r="B24" s="30">
        <f>B23</f>
        <v>45483</v>
      </c>
      <c r="C24" s="31" t="str">
        <f>VLOOKUP(WEEKDAY(B24,2),'EC-Commands'!$D$13:$E$19,2,FALSE)</f>
        <v>Wed</v>
      </c>
      <c r="D24" s="32">
        <v>0.83333333333333337</v>
      </c>
      <c r="E24" s="33" t="s">
        <v>1</v>
      </c>
      <c r="F24" s="33">
        <v>3</v>
      </c>
      <c r="G24" s="33" t="s">
        <v>9</v>
      </c>
      <c r="H24" s="35"/>
      <c r="I24" s="35"/>
      <c r="J24" s="38" t="s">
        <v>51</v>
      </c>
      <c r="K24" s="34"/>
    </row>
    <row r="25" spans="1:11" x14ac:dyDescent="0.2">
      <c r="B25" s="30">
        <f>B24</f>
        <v>45483</v>
      </c>
      <c r="C25" s="31" t="str">
        <f>VLOOKUP(WEEKDAY(B25,2),'EC-Commands'!$D$13:$E$19,2,FALSE)</f>
        <v>Wed</v>
      </c>
      <c r="D25" s="32">
        <v>0.9375</v>
      </c>
      <c r="E25" s="33" t="s">
        <v>1</v>
      </c>
      <c r="F25" s="33">
        <v>3</v>
      </c>
      <c r="G25" s="33" t="s">
        <v>52</v>
      </c>
      <c r="H25" s="35"/>
      <c r="I25" s="36"/>
      <c r="J25" s="39">
        <v>4.4380000000000003E-2</v>
      </c>
      <c r="K25" s="34"/>
    </row>
    <row r="26" spans="1:11" x14ac:dyDescent="0.2">
      <c r="B26" s="30">
        <f>B25+1</f>
        <v>45484</v>
      </c>
      <c r="C26" s="31" t="str">
        <f>VLOOKUP(WEEKDAY(B26,2),'EC-Commands'!$D$13:$E$19,2,FALSE)</f>
        <v>Thu</v>
      </c>
      <c r="D26" s="32">
        <v>0.47916666666666669</v>
      </c>
      <c r="E26" s="33" t="s">
        <v>53</v>
      </c>
      <c r="F26" s="33">
        <v>3</v>
      </c>
      <c r="G26" s="33" t="s">
        <v>54</v>
      </c>
      <c r="H26" s="35"/>
      <c r="I26" s="35"/>
      <c r="J26" s="36">
        <v>0</v>
      </c>
      <c r="K26" s="34"/>
    </row>
    <row r="27" spans="1:11" x14ac:dyDescent="0.2">
      <c r="B27" s="30">
        <f t="shared" ref="B27:B32" si="1">B26</f>
        <v>45484</v>
      </c>
      <c r="C27" s="31" t="str">
        <f>VLOOKUP(WEEKDAY(B27,2),'EC-Commands'!$D$13:$E$19,2,FALSE)</f>
        <v>Thu</v>
      </c>
      <c r="D27" s="32">
        <v>0.47916666666666669</v>
      </c>
      <c r="E27" s="33" t="s">
        <v>22</v>
      </c>
      <c r="F27" s="33">
        <v>3</v>
      </c>
      <c r="G27" s="33" t="s">
        <v>55</v>
      </c>
      <c r="H27" s="35"/>
      <c r="I27" s="36">
        <v>1E-3</v>
      </c>
      <c r="J27" s="36">
        <v>1E-3</v>
      </c>
      <c r="K27" s="34"/>
    </row>
    <row r="28" spans="1:11" x14ac:dyDescent="0.2">
      <c r="B28" s="30">
        <f t="shared" si="1"/>
        <v>45484</v>
      </c>
      <c r="C28" s="31" t="str">
        <f>VLOOKUP(WEEKDAY(B28,2),'EC-Commands'!$D$13:$E$19,2,FALSE)</f>
        <v>Thu</v>
      </c>
      <c r="D28" s="32">
        <v>0.75</v>
      </c>
      <c r="E28" s="33" t="s">
        <v>1</v>
      </c>
      <c r="F28" s="33">
        <v>3</v>
      </c>
      <c r="G28" s="33" t="s">
        <v>56</v>
      </c>
      <c r="H28" s="35"/>
      <c r="I28" s="36">
        <v>2E-3</v>
      </c>
      <c r="J28" s="36">
        <v>2E-3</v>
      </c>
      <c r="K28" s="34"/>
    </row>
    <row r="29" spans="1:11" x14ac:dyDescent="0.2">
      <c r="B29" s="30">
        <f t="shared" si="1"/>
        <v>45484</v>
      </c>
      <c r="C29" s="31" t="str">
        <f>VLOOKUP(WEEKDAY(B29,2),'EC-Commands'!$D$13:$E$19,2,FALSE)</f>
        <v>Thu</v>
      </c>
      <c r="D29" s="32">
        <v>0.75</v>
      </c>
      <c r="E29" s="33" t="s">
        <v>1</v>
      </c>
      <c r="F29" s="33">
        <v>3</v>
      </c>
      <c r="G29" s="33" t="s">
        <v>57</v>
      </c>
      <c r="H29" s="35"/>
      <c r="I29" s="35"/>
      <c r="J29" s="36">
        <v>3.3000000000000002E-2</v>
      </c>
      <c r="K29" s="34"/>
    </row>
    <row r="30" spans="1:11" x14ac:dyDescent="0.2">
      <c r="B30" s="30">
        <f t="shared" si="1"/>
        <v>45484</v>
      </c>
      <c r="C30" s="31" t="str">
        <f>VLOOKUP(WEEKDAY(B30,2),'EC-Commands'!$D$13:$E$19,2,FALSE)</f>
        <v>Thu</v>
      </c>
      <c r="D30" s="32">
        <v>0.75</v>
      </c>
      <c r="E30" s="33" t="s">
        <v>1</v>
      </c>
      <c r="F30" s="33">
        <v>3</v>
      </c>
      <c r="G30" s="33" t="s">
        <v>58</v>
      </c>
      <c r="H30" s="35"/>
      <c r="I30" s="36">
        <v>1E-3</v>
      </c>
      <c r="J30" s="36">
        <v>0</v>
      </c>
      <c r="K30" s="34"/>
    </row>
    <row r="31" spans="1:11" x14ac:dyDescent="0.2">
      <c r="B31" s="30">
        <f t="shared" si="1"/>
        <v>45484</v>
      </c>
      <c r="C31" s="31" t="str">
        <f>VLOOKUP(WEEKDAY(B31,2),'EC-Commands'!$D$13:$E$19,2,FALSE)</f>
        <v>Thu</v>
      </c>
      <c r="D31" s="32">
        <v>0.75</v>
      </c>
      <c r="E31" s="33" t="s">
        <v>1</v>
      </c>
      <c r="F31" s="33">
        <v>3</v>
      </c>
      <c r="G31" s="33" t="s">
        <v>14</v>
      </c>
      <c r="H31" s="35"/>
      <c r="I31" s="35"/>
      <c r="J31" s="35" t="s">
        <v>59</v>
      </c>
      <c r="K31" s="34"/>
    </row>
    <row r="32" spans="1:11" x14ac:dyDescent="0.2">
      <c r="B32" s="30">
        <f t="shared" si="1"/>
        <v>45484</v>
      </c>
      <c r="C32" s="31" t="str">
        <f>VLOOKUP(WEEKDAY(B32,2),'EC-Commands'!$D$13:$E$19,2,FALSE)</f>
        <v>Thu</v>
      </c>
      <c r="D32" s="32">
        <v>0.9375</v>
      </c>
      <c r="E32" s="33" t="s">
        <v>1</v>
      </c>
      <c r="F32" s="33">
        <v>3</v>
      </c>
      <c r="G32" s="33" t="s">
        <v>60</v>
      </c>
      <c r="H32" s="35"/>
      <c r="I32" s="35"/>
      <c r="J32" s="39">
        <v>4.403E-2</v>
      </c>
      <c r="K32" s="34"/>
    </row>
    <row r="33" spans="1:11" x14ac:dyDescent="0.2">
      <c r="B33" s="30">
        <f>B32+1</f>
        <v>45485</v>
      </c>
      <c r="C33" s="31" t="str">
        <f>VLOOKUP(WEEKDAY(B33,2),'EC-Commands'!$D$13:$E$19,2,FALSE)</f>
        <v>Fri</v>
      </c>
      <c r="D33" s="32">
        <v>0.83333333333333337</v>
      </c>
      <c r="E33" s="33" t="s">
        <v>1</v>
      </c>
      <c r="F33" s="33">
        <v>3</v>
      </c>
      <c r="G33" s="33" t="s">
        <v>9</v>
      </c>
      <c r="H33" s="35"/>
      <c r="I33" s="35"/>
      <c r="J33" s="35" t="s">
        <v>8</v>
      </c>
      <c r="K33" s="34"/>
    </row>
    <row r="34" spans="1:11" x14ac:dyDescent="0.2">
      <c r="B34" s="30">
        <f>B33</f>
        <v>45485</v>
      </c>
      <c r="C34" s="31" t="str">
        <f>VLOOKUP(WEEKDAY(B34,2),'EC-Commands'!$D$13:$E$19,2,FALSE)</f>
        <v>Fri</v>
      </c>
      <c r="D34" s="32">
        <v>0.75</v>
      </c>
      <c r="E34" s="33" t="s">
        <v>1</v>
      </c>
      <c r="F34" s="33">
        <v>3</v>
      </c>
      <c r="G34" s="33" t="s">
        <v>61</v>
      </c>
      <c r="H34" s="35"/>
      <c r="I34" s="36">
        <v>1E-3</v>
      </c>
      <c r="J34" s="36">
        <v>-2E-3</v>
      </c>
      <c r="K34" s="34"/>
    </row>
    <row r="35" spans="1:11" x14ac:dyDescent="0.2">
      <c r="A35" s="4" t="s">
        <v>105</v>
      </c>
      <c r="B35" s="30">
        <v>45488</v>
      </c>
      <c r="C35" s="31" t="str">
        <f>VLOOKUP(WEEKDAY(B35,2),'EC-Commands'!$D$12:$E$18,2,FALSE)</f>
        <v>Mon</v>
      </c>
      <c r="D35" s="40">
        <v>0.3125</v>
      </c>
      <c r="E35" s="33" t="s">
        <v>65</v>
      </c>
      <c r="F35" s="33">
        <v>3</v>
      </c>
      <c r="G35" s="45" t="s">
        <v>66</v>
      </c>
      <c r="H35" s="35"/>
      <c r="I35" s="36">
        <v>5.0999999999999997E-2</v>
      </c>
      <c r="J35" s="36">
        <v>5.2999999999999999E-2</v>
      </c>
      <c r="K35" s="36"/>
    </row>
    <row r="36" spans="1:11" x14ac:dyDescent="0.2">
      <c r="B36" s="30">
        <v>45488</v>
      </c>
      <c r="C36" s="31" t="str">
        <f>VLOOKUP(WEEKDAY(B36,2),'EC-Commands'!$D$12:$E$18,2,FALSE)</f>
        <v>Mon</v>
      </c>
      <c r="D36" s="40">
        <v>0.89583333333333337</v>
      </c>
      <c r="E36" s="33" t="s">
        <v>1</v>
      </c>
      <c r="F36" s="33">
        <v>3</v>
      </c>
      <c r="G36" s="33" t="s">
        <v>20</v>
      </c>
      <c r="H36" s="35"/>
      <c r="I36" s="35"/>
      <c r="J36" s="36"/>
      <c r="K36" s="34"/>
    </row>
    <row r="37" spans="1:11" x14ac:dyDescent="0.2">
      <c r="B37" s="30">
        <f>B36+1</f>
        <v>45489</v>
      </c>
      <c r="C37" s="31" t="str">
        <f>VLOOKUP(WEEKDAY(B37,2),'EC-Commands'!$D$12:$E$18,2,FALSE)</f>
        <v>Tue</v>
      </c>
      <c r="D37" s="40">
        <v>0.75</v>
      </c>
      <c r="E37" s="33" t="s">
        <v>1</v>
      </c>
      <c r="F37" s="33">
        <v>3</v>
      </c>
      <c r="G37" s="33" t="s">
        <v>67</v>
      </c>
      <c r="H37" s="35"/>
      <c r="I37" s="36">
        <v>1E-3</v>
      </c>
      <c r="J37" s="36">
        <v>-1E-3</v>
      </c>
      <c r="K37" s="34"/>
    </row>
    <row r="38" spans="1:11" x14ac:dyDescent="0.2">
      <c r="B38" s="30">
        <f>B37</f>
        <v>45489</v>
      </c>
      <c r="C38" s="31" t="str">
        <f>VLOOKUP(WEEKDAY(B38,2),'EC-Commands'!$D$12:$E$18,2,FALSE)</f>
        <v>Tue</v>
      </c>
      <c r="D38" s="40">
        <v>0.75</v>
      </c>
      <c r="E38" s="33" t="s">
        <v>1</v>
      </c>
      <c r="F38" s="33">
        <v>3</v>
      </c>
      <c r="G38" s="33" t="s">
        <v>68</v>
      </c>
      <c r="H38" s="35"/>
      <c r="I38" s="36">
        <v>0</v>
      </c>
      <c r="J38" s="36">
        <v>1E-3</v>
      </c>
      <c r="K38" s="34"/>
    </row>
    <row r="39" spans="1:11" x14ac:dyDescent="0.2">
      <c r="B39" s="30">
        <f>B38+1</f>
        <v>45490</v>
      </c>
      <c r="C39" s="31" t="str">
        <f>VLOOKUP(WEEKDAY(B39,2),'EC-Commands'!$D$12:$E$18,2,FALSE)</f>
        <v>Wed</v>
      </c>
      <c r="D39" s="40">
        <v>0.47916666666666669</v>
      </c>
      <c r="E39" s="33" t="s">
        <v>53</v>
      </c>
      <c r="F39" s="33">
        <v>3</v>
      </c>
      <c r="G39" s="33" t="s">
        <v>57</v>
      </c>
      <c r="H39" s="35"/>
      <c r="I39" s="36"/>
      <c r="J39" s="36">
        <v>0.02</v>
      </c>
      <c r="K39" s="34"/>
    </row>
    <row r="40" spans="1:11" x14ac:dyDescent="0.2">
      <c r="B40" s="30">
        <f>B39</f>
        <v>45490</v>
      </c>
      <c r="C40" s="31" t="str">
        <f>VLOOKUP(WEEKDAY(B40,2),'EC-Commands'!$D$12:$E$18,2,FALSE)</f>
        <v>Wed</v>
      </c>
      <c r="D40" s="40">
        <v>0.60416666666666663</v>
      </c>
      <c r="E40" s="33" t="s">
        <v>22</v>
      </c>
      <c r="F40" s="33">
        <v>3</v>
      </c>
      <c r="G40" s="33" t="s">
        <v>57</v>
      </c>
      <c r="H40" s="35"/>
      <c r="I40" s="36">
        <v>2.5000000000000001E-2</v>
      </c>
      <c r="J40" s="36">
        <v>2.5000000000000001E-2</v>
      </c>
      <c r="K40" s="34"/>
    </row>
    <row r="41" spans="1:11" x14ac:dyDescent="0.2">
      <c r="B41" s="30">
        <f>B40</f>
        <v>45490</v>
      </c>
      <c r="C41" s="31" t="str">
        <f>VLOOKUP(WEEKDAY(B41,2),'EC-Commands'!$D$12:$E$18,2,FALSE)</f>
        <v>Wed</v>
      </c>
      <c r="D41" s="40">
        <v>0.83333333333333337</v>
      </c>
      <c r="E41" s="33" t="s">
        <v>1</v>
      </c>
      <c r="F41" s="33">
        <v>3</v>
      </c>
      <c r="G41" s="33" t="s">
        <v>9</v>
      </c>
      <c r="H41" s="35"/>
      <c r="I41" s="36"/>
      <c r="J41" s="41" t="s">
        <v>69</v>
      </c>
      <c r="K41" s="34"/>
    </row>
    <row r="42" spans="1:11" x14ac:dyDescent="0.2">
      <c r="B42" s="30">
        <f>B41+1</f>
        <v>45491</v>
      </c>
      <c r="C42" s="31" t="str">
        <f>VLOOKUP(WEEKDAY(B42,2),'EC-Commands'!$D$12:$E$18,2,FALSE)</f>
        <v>Thu</v>
      </c>
      <c r="D42" s="40">
        <v>0.73958333333333337</v>
      </c>
      <c r="E42" s="33" t="s">
        <v>22</v>
      </c>
      <c r="F42" s="33">
        <v>3</v>
      </c>
      <c r="G42" s="33" t="s">
        <v>70</v>
      </c>
      <c r="H42" s="35"/>
      <c r="I42" s="36"/>
      <c r="J42" s="36">
        <v>3.7499999999999999E-2</v>
      </c>
      <c r="K42" s="34"/>
    </row>
    <row r="43" spans="1:11" x14ac:dyDescent="0.2">
      <c r="B43" s="30">
        <f>B42</f>
        <v>45491</v>
      </c>
      <c r="C43" s="31" t="str">
        <f>VLOOKUP(WEEKDAY(B43,2),'EC-Commands'!$D$12:$E$18,2,FALSE)</f>
        <v>Thu</v>
      </c>
      <c r="D43" s="40">
        <f>D42</f>
        <v>0.73958333333333337</v>
      </c>
      <c r="E43" s="33" t="s">
        <v>22</v>
      </c>
      <c r="F43" s="33">
        <v>3</v>
      </c>
      <c r="G43" s="33" t="s">
        <v>71</v>
      </c>
      <c r="H43" s="35"/>
      <c r="I43" s="35"/>
      <c r="J43" s="36">
        <v>4.2500000000000003E-2</v>
      </c>
      <c r="K43" s="34"/>
    </row>
    <row r="44" spans="1:11" x14ac:dyDescent="0.2">
      <c r="B44" s="30">
        <f>B43</f>
        <v>45491</v>
      </c>
      <c r="C44" s="31" t="str">
        <f>C43</f>
        <v>Thu</v>
      </c>
      <c r="D44" s="40">
        <v>0.75</v>
      </c>
      <c r="E44" s="33" t="s">
        <v>1</v>
      </c>
      <c r="F44" s="33">
        <v>3</v>
      </c>
      <c r="G44" s="33" t="s">
        <v>14</v>
      </c>
      <c r="H44" s="35"/>
      <c r="I44" s="36"/>
      <c r="J44" s="36" t="s">
        <v>72</v>
      </c>
      <c r="K44" s="34"/>
    </row>
    <row r="45" spans="1:11" x14ac:dyDescent="0.2">
      <c r="B45" s="30">
        <f>B44</f>
        <v>45491</v>
      </c>
      <c r="C45" s="31" t="str">
        <f>C44</f>
        <v>Thu</v>
      </c>
      <c r="D45" s="40">
        <f>D44</f>
        <v>0.75</v>
      </c>
      <c r="E45" s="33" t="str">
        <f>E44</f>
        <v>USD</v>
      </c>
      <c r="F45" s="33">
        <f>F44</f>
        <v>3</v>
      </c>
      <c r="G45" s="33" t="s">
        <v>73</v>
      </c>
      <c r="H45" s="35"/>
      <c r="I45" s="35">
        <v>2.9</v>
      </c>
      <c r="J45" s="35">
        <v>1.3</v>
      </c>
      <c r="K45" s="34"/>
    </row>
    <row r="46" spans="1:11" x14ac:dyDescent="0.2">
      <c r="B46" s="30">
        <f>B45</f>
        <v>45491</v>
      </c>
      <c r="C46" s="31" t="str">
        <f>C45</f>
        <v>Thu</v>
      </c>
      <c r="D46" s="40">
        <v>0.76041666666666663</v>
      </c>
      <c r="E46" s="33" t="s">
        <v>1</v>
      </c>
      <c r="F46" s="33">
        <v>3</v>
      </c>
      <c r="G46" s="33" t="s">
        <v>74</v>
      </c>
      <c r="H46" s="35"/>
      <c r="I46" s="35"/>
      <c r="J46" s="39"/>
      <c r="K46" s="34"/>
    </row>
    <row r="47" spans="1:11" x14ac:dyDescent="0.2">
      <c r="A47" s="4" t="s">
        <v>105</v>
      </c>
      <c r="B47" s="30">
        <v>45496</v>
      </c>
      <c r="C47" s="31" t="str">
        <f>VLOOKUP(WEEKDAY(B47,2),'EC-Commands'!$D$12:$E$18,2,FALSE)</f>
        <v>Tue</v>
      </c>
      <c r="D47" s="32">
        <v>0.8125</v>
      </c>
      <c r="E47" s="33" t="s">
        <v>1</v>
      </c>
      <c r="F47" s="33">
        <v>3</v>
      </c>
      <c r="G47" s="33" t="s">
        <v>76</v>
      </c>
      <c r="H47" s="35"/>
      <c r="I47" s="35" t="s">
        <v>77</v>
      </c>
      <c r="J47" s="36" t="s">
        <v>78</v>
      </c>
      <c r="K47" s="34"/>
    </row>
    <row r="48" spans="1:11" x14ac:dyDescent="0.2">
      <c r="B48" s="30">
        <f>B50</f>
        <v>45497</v>
      </c>
      <c r="C48" s="31" t="str">
        <f>VLOOKUP(WEEKDAY(B48,2),'EC-Commands'!$D$12:$E$18,2,FALSE)</f>
        <v>Wed</v>
      </c>
      <c r="D48" s="42">
        <v>6.25E-2</v>
      </c>
      <c r="E48" s="33" t="s">
        <v>1</v>
      </c>
      <c r="F48" s="33">
        <v>3</v>
      </c>
      <c r="G48" s="33" t="s">
        <v>79</v>
      </c>
      <c r="H48" s="35"/>
      <c r="I48" s="64" t="s">
        <v>80</v>
      </c>
      <c r="J48" s="36"/>
      <c r="K48" s="34" t="s">
        <v>81</v>
      </c>
    </row>
    <row r="49" spans="1:11" x14ac:dyDescent="0.2">
      <c r="B49" s="30">
        <f>B48</f>
        <v>45497</v>
      </c>
      <c r="C49" s="31" t="str">
        <f>VLOOKUP(WEEKDAY(B49,2),'EC-Commands'!$D$12:$E$18,2,FALSE)</f>
        <v>Wed</v>
      </c>
      <c r="D49" s="42">
        <v>6.25E-2</v>
      </c>
      <c r="E49" s="33" t="s">
        <v>1</v>
      </c>
      <c r="F49" s="33">
        <v>3</v>
      </c>
      <c r="G49" s="33" t="s">
        <v>82</v>
      </c>
      <c r="H49" s="35"/>
      <c r="I49" s="35" t="s">
        <v>83</v>
      </c>
      <c r="J49" s="36"/>
      <c r="K49" s="34" t="s">
        <v>81</v>
      </c>
    </row>
    <row r="50" spans="1:11" x14ac:dyDescent="0.2">
      <c r="B50" s="30">
        <f>B47+1</f>
        <v>45497</v>
      </c>
      <c r="C50" s="31" t="str">
        <f>VLOOKUP(WEEKDAY(B50,2),'EC-Commands'!$D$12:$E$18,2,FALSE)</f>
        <v>Wed</v>
      </c>
      <c r="D50" s="32">
        <v>0.54166666666666663</v>
      </c>
      <c r="E50" s="33" t="s">
        <v>22</v>
      </c>
      <c r="F50" s="33">
        <v>3</v>
      </c>
      <c r="G50" s="33" t="s">
        <v>84</v>
      </c>
      <c r="H50" s="35"/>
      <c r="I50" s="43">
        <v>53.3</v>
      </c>
      <c r="J50" s="43">
        <v>53.1</v>
      </c>
      <c r="K50" s="34" t="s">
        <v>85</v>
      </c>
    </row>
    <row r="51" spans="1:11" x14ac:dyDescent="0.2">
      <c r="B51" s="30">
        <f>B50</f>
        <v>45497</v>
      </c>
      <c r="C51" s="31" t="str">
        <f>VLOOKUP(WEEKDAY(B51,2),'EC-Commands'!$D$12:$E$18,2,FALSE)</f>
        <v>Wed</v>
      </c>
      <c r="D51" s="32">
        <v>0.5625</v>
      </c>
      <c r="E51" s="33" t="s">
        <v>22</v>
      </c>
      <c r="F51" s="33">
        <v>3</v>
      </c>
      <c r="G51" s="33" t="s">
        <v>86</v>
      </c>
      <c r="H51" s="35"/>
      <c r="I51" s="43">
        <v>52.9</v>
      </c>
      <c r="J51" s="43">
        <v>52.8</v>
      </c>
      <c r="K51" s="34" t="s">
        <v>85</v>
      </c>
    </row>
    <row r="52" spans="1:11" x14ac:dyDescent="0.2">
      <c r="B52" s="30">
        <f>B50</f>
        <v>45497</v>
      </c>
      <c r="C52" s="31" t="str">
        <f>VLOOKUP(WEEKDAY(B52,2),'EC-Commands'!$D$12:$E$18,2,FALSE)</f>
        <v>Wed</v>
      </c>
      <c r="D52" s="32">
        <v>0.80208333333333337</v>
      </c>
      <c r="E52" s="33" t="s">
        <v>1</v>
      </c>
      <c r="F52" s="33">
        <v>3</v>
      </c>
      <c r="G52" s="33" t="s">
        <v>87</v>
      </c>
      <c r="H52" s="35"/>
      <c r="I52" s="43">
        <v>53.3</v>
      </c>
      <c r="J52" s="43">
        <v>53.1</v>
      </c>
      <c r="K52" s="34"/>
    </row>
    <row r="53" spans="1:11" x14ac:dyDescent="0.2">
      <c r="B53" s="30">
        <f>B50</f>
        <v>45497</v>
      </c>
      <c r="C53" s="31" t="str">
        <f>VLOOKUP(WEEKDAY(B53,2),'EC-Commands'!$D$12:$E$18,2,FALSE)</f>
        <v>Wed</v>
      </c>
      <c r="D53" s="32">
        <f>D50</f>
        <v>0.54166666666666663</v>
      </c>
      <c r="E53" s="33" t="s">
        <v>1</v>
      </c>
      <c r="F53" s="33">
        <v>3</v>
      </c>
      <c r="G53" s="33" t="s">
        <v>88</v>
      </c>
      <c r="H53" s="35"/>
      <c r="I53" s="36"/>
      <c r="J53" s="43">
        <v>55.3</v>
      </c>
      <c r="K53" s="34"/>
    </row>
    <row r="54" spans="1:11" x14ac:dyDescent="0.2">
      <c r="B54" s="30">
        <f>B53</f>
        <v>45497</v>
      </c>
      <c r="C54" s="31" t="str">
        <f>VLOOKUP(WEEKDAY(B54,2),'EC-Commands'!$D$12:$E$18,2,FALSE)</f>
        <v>Wed</v>
      </c>
      <c r="D54" s="32">
        <f>D53</f>
        <v>0.54166666666666663</v>
      </c>
      <c r="E54" s="33" t="s">
        <v>89</v>
      </c>
      <c r="F54" s="33">
        <v>3</v>
      </c>
      <c r="G54" s="33" t="s">
        <v>90</v>
      </c>
      <c r="H54" s="35"/>
      <c r="I54" s="36">
        <v>4.7500000000000001E-2</v>
      </c>
      <c r="J54" s="36">
        <v>4.7500000000000001E-2</v>
      </c>
      <c r="K54" s="34" t="s">
        <v>91</v>
      </c>
    </row>
    <row r="55" spans="1:11" x14ac:dyDescent="0.2">
      <c r="B55" s="30">
        <f>B54</f>
        <v>45497</v>
      </c>
      <c r="C55" s="31" t="str">
        <f>VLOOKUP(WEEKDAY(B55,2),'EC-Commands'!$D$12:$E$18,2,FALSE)</f>
        <v>Wed</v>
      </c>
      <c r="D55" s="32">
        <v>0.8125</v>
      </c>
      <c r="E55" s="33" t="s">
        <v>1</v>
      </c>
      <c r="F55" s="33">
        <v>3</v>
      </c>
      <c r="G55" s="33" t="s">
        <v>92</v>
      </c>
      <c r="H55" s="35"/>
      <c r="I55" s="36" t="s">
        <v>93</v>
      </c>
      <c r="J55" s="36" t="s">
        <v>94</v>
      </c>
      <c r="K55" s="34"/>
    </row>
    <row r="56" spans="1:11" x14ac:dyDescent="0.2">
      <c r="B56" s="30">
        <f>B55</f>
        <v>45497</v>
      </c>
      <c r="C56" s="31" t="str">
        <f>VLOOKUP(WEEKDAY(B56,2),'EC-Commands'!$D$12:$E$18,2,FALSE)</f>
        <v>Wed</v>
      </c>
      <c r="D56" s="32">
        <v>0.83333333333333337</v>
      </c>
      <c r="E56" s="33" t="s">
        <v>1</v>
      </c>
      <c r="F56" s="33">
        <v>3</v>
      </c>
      <c r="G56" s="33" t="s">
        <v>9</v>
      </c>
      <c r="H56" s="35"/>
      <c r="I56" s="36" t="s">
        <v>95</v>
      </c>
      <c r="J56" s="41" t="s">
        <v>96</v>
      </c>
      <c r="K56" s="34"/>
    </row>
    <row r="57" spans="1:11" x14ac:dyDescent="0.2">
      <c r="B57" s="30">
        <f>B56+1</f>
        <v>45498</v>
      </c>
      <c r="C57" s="31" t="str">
        <f>VLOOKUP(WEEKDAY(B57,2),'EC-Commands'!$D$12:$E$18,2,FALSE)</f>
        <v>Thu</v>
      </c>
      <c r="D57" s="32">
        <v>0.75</v>
      </c>
      <c r="E57" s="33" t="s">
        <v>1</v>
      </c>
      <c r="F57" s="33">
        <v>3</v>
      </c>
      <c r="G57" s="33" t="s">
        <v>97</v>
      </c>
      <c r="H57" s="35"/>
      <c r="I57" s="36">
        <v>3.0000000000000001E-3</v>
      </c>
      <c r="J57" s="36">
        <v>1E-3</v>
      </c>
      <c r="K57" s="34"/>
    </row>
    <row r="58" spans="1:11" x14ac:dyDescent="0.2">
      <c r="B58" s="30">
        <f>B57</f>
        <v>45498</v>
      </c>
      <c r="C58" s="31" t="str">
        <f>VLOOKUP(WEEKDAY(B58,2),'EC-Commands'!$D$12:$E$18,2,FALSE)</f>
        <v>Thu</v>
      </c>
      <c r="D58" s="32">
        <f t="shared" ref="D58:D63" si="2">D57</f>
        <v>0.75</v>
      </c>
      <c r="E58" s="33" t="s">
        <v>1</v>
      </c>
      <c r="F58" s="33">
        <v>3</v>
      </c>
      <c r="G58" s="33" t="s">
        <v>98</v>
      </c>
      <c r="H58" s="35"/>
      <c r="I58" s="36">
        <v>0.02</v>
      </c>
      <c r="J58" s="36">
        <v>1.4E-2</v>
      </c>
      <c r="K58" s="34"/>
    </row>
    <row r="59" spans="1:11" x14ac:dyDescent="0.2">
      <c r="B59" s="30">
        <f>B58</f>
        <v>45498</v>
      </c>
      <c r="C59" s="31" t="str">
        <f>VLOOKUP(WEEKDAY(B59,2),'EC-Commands'!$D$12:$E$18,2,FALSE)</f>
        <v>Thu</v>
      </c>
      <c r="D59" s="32">
        <f t="shared" si="2"/>
        <v>0.75</v>
      </c>
      <c r="E59" s="33" t="s">
        <v>1</v>
      </c>
      <c r="F59" s="33">
        <v>3</v>
      </c>
      <c r="G59" s="33" t="s">
        <v>14</v>
      </c>
      <c r="H59" s="35"/>
      <c r="I59" s="36"/>
      <c r="J59" s="36" t="s">
        <v>99</v>
      </c>
      <c r="K59" s="34"/>
    </row>
    <row r="60" spans="1:11" x14ac:dyDescent="0.2">
      <c r="B60" s="30">
        <f>B59+1</f>
        <v>45499</v>
      </c>
      <c r="C60" s="31" t="str">
        <f>VLOOKUP(WEEKDAY(B60,2),'EC-Commands'!$D$12:$E$18,2,FALSE)</f>
        <v>Fri</v>
      </c>
      <c r="D60" s="32">
        <f t="shared" si="2"/>
        <v>0.75</v>
      </c>
      <c r="E60" s="33" t="s">
        <v>1</v>
      </c>
      <c r="F60" s="33">
        <v>3</v>
      </c>
      <c r="G60" s="33" t="s">
        <v>100</v>
      </c>
      <c r="H60" s="35"/>
      <c r="I60" s="36">
        <v>2E-3</v>
      </c>
      <c r="J60" s="36">
        <v>1E-3</v>
      </c>
      <c r="K60" s="34" t="s">
        <v>101</v>
      </c>
    </row>
    <row r="61" spans="1:11" x14ac:dyDescent="0.2">
      <c r="B61" s="30">
        <f>B60</f>
        <v>45499</v>
      </c>
      <c r="C61" s="31" t="str">
        <f>VLOOKUP(WEEKDAY(B61,2),'EC-Commands'!$D$12:$E$18,2,FALSE)</f>
        <v>Fri</v>
      </c>
      <c r="D61" s="32">
        <f t="shared" si="2"/>
        <v>0.75</v>
      </c>
      <c r="E61" s="33" t="s">
        <v>1</v>
      </c>
      <c r="F61" s="33">
        <v>3</v>
      </c>
      <c r="G61" s="33" t="s">
        <v>102</v>
      </c>
      <c r="H61" s="35"/>
      <c r="I61" s="44">
        <v>2.5999999999999999E-2</v>
      </c>
      <c r="J61" s="36">
        <v>2.5999999999999999E-2</v>
      </c>
      <c r="K61" s="34" t="s">
        <v>101</v>
      </c>
    </row>
    <row r="62" spans="1:11" x14ac:dyDescent="0.2">
      <c r="B62" s="30">
        <f>B61</f>
        <v>45499</v>
      </c>
      <c r="C62" s="31" t="str">
        <f>VLOOKUP(WEEKDAY(B62,2),'EC-Commands'!$D$12:$E$18,2,FALSE)</f>
        <v>Fri</v>
      </c>
      <c r="D62" s="32">
        <f t="shared" si="2"/>
        <v>0.75</v>
      </c>
      <c r="E62" s="33" t="s">
        <v>1</v>
      </c>
      <c r="F62" s="33">
        <v>3</v>
      </c>
      <c r="G62" s="33" t="s">
        <v>103</v>
      </c>
      <c r="H62" s="35"/>
      <c r="I62" s="36">
        <v>1E-3</v>
      </c>
      <c r="J62" s="36">
        <v>0</v>
      </c>
      <c r="K62" s="34" t="s">
        <v>101</v>
      </c>
    </row>
    <row r="63" spans="1:11" x14ac:dyDescent="0.2">
      <c r="B63" s="30">
        <f>B62</f>
        <v>45499</v>
      </c>
      <c r="C63" s="31" t="str">
        <f>VLOOKUP(WEEKDAY(B63,2),'EC-Commands'!$D$12:$E$18,2,FALSE)</f>
        <v>Fri</v>
      </c>
      <c r="D63" s="32">
        <f t="shared" si="2"/>
        <v>0.75</v>
      </c>
      <c r="E63" s="33" t="s">
        <v>1</v>
      </c>
      <c r="F63" s="33">
        <v>3</v>
      </c>
      <c r="G63" s="33" t="s">
        <v>104</v>
      </c>
      <c r="H63" s="35"/>
      <c r="I63" s="44">
        <v>2.5000000000000001E-2</v>
      </c>
      <c r="J63" s="36">
        <v>2.5999999999999999E-2</v>
      </c>
      <c r="K63" s="34" t="s">
        <v>101</v>
      </c>
    </row>
    <row r="64" spans="1:11" x14ac:dyDescent="0.2">
      <c r="A64" s="4" t="s">
        <v>105</v>
      </c>
      <c r="B64" s="6">
        <v>45503</v>
      </c>
      <c r="C64" s="7" t="str">
        <f>VLOOKUP(WEEKDAY(B64,2),'EC-Commands'!$D$12:$E$18,2,FALSE)</f>
        <v>Tue</v>
      </c>
      <c r="D64" s="8">
        <v>0.5625</v>
      </c>
      <c r="E64" s="9" t="s">
        <v>22</v>
      </c>
      <c r="F64" s="9">
        <v>3</v>
      </c>
      <c r="G64" s="9" t="s">
        <v>106</v>
      </c>
      <c r="H64" s="25"/>
      <c r="I64" s="21">
        <v>2E-3</v>
      </c>
      <c r="J64" s="10">
        <v>2E-3</v>
      </c>
      <c r="K64" s="11" t="s">
        <v>107</v>
      </c>
    </row>
    <row r="65" spans="2:11" x14ac:dyDescent="0.2">
      <c r="B65" s="6">
        <v>45503</v>
      </c>
      <c r="C65" s="7" t="str">
        <f>VLOOKUP(WEEKDAY(B65,2),'EC-Commands'!$D$12:$E$18,2,FALSE)</f>
        <v>Tue</v>
      </c>
      <c r="D65" s="8">
        <v>0.72916666666666663</v>
      </c>
      <c r="E65" s="9" t="s">
        <v>22</v>
      </c>
      <c r="F65" s="9">
        <v>3</v>
      </c>
      <c r="G65" s="9" t="s">
        <v>108</v>
      </c>
      <c r="H65" s="25"/>
      <c r="I65" s="21"/>
      <c r="J65" s="10">
        <v>1E-3</v>
      </c>
      <c r="K65" s="12"/>
    </row>
    <row r="66" spans="2:11" x14ac:dyDescent="0.2">
      <c r="B66" s="6">
        <f>B65</f>
        <v>45503</v>
      </c>
      <c r="C66" s="7" t="str">
        <f>VLOOKUP(WEEKDAY(B66,2),'EC-Commands'!$D$12:$E$18,2,FALSE)</f>
        <v>Tue</v>
      </c>
      <c r="D66" s="8">
        <v>0.8125</v>
      </c>
      <c r="E66" s="9" t="s">
        <v>1</v>
      </c>
      <c r="F66" s="9">
        <v>3</v>
      </c>
      <c r="G66" s="9" t="s">
        <v>109</v>
      </c>
      <c r="H66" s="25"/>
      <c r="I66" s="65">
        <v>99.9</v>
      </c>
      <c r="J66" s="13">
        <v>100.4</v>
      </c>
      <c r="K66" s="12"/>
    </row>
    <row r="67" spans="2:11" x14ac:dyDescent="0.2">
      <c r="B67" s="6">
        <f>B66</f>
        <v>45503</v>
      </c>
      <c r="C67" s="7" t="str">
        <f>VLOOKUP(WEEKDAY(B67,2),'EC-Commands'!$D$12:$E$18,2,FALSE)</f>
        <v>Tue</v>
      </c>
      <c r="D67" s="8">
        <v>0.8125</v>
      </c>
      <c r="E67" s="9" t="s">
        <v>1</v>
      </c>
      <c r="F67" s="9">
        <v>3</v>
      </c>
      <c r="G67" s="9" t="s">
        <v>110</v>
      </c>
      <c r="H67" s="25"/>
      <c r="I67" s="65"/>
      <c r="J67" s="13" t="s">
        <v>111</v>
      </c>
      <c r="K67" s="12"/>
    </row>
    <row r="68" spans="2:11" ht="27" x14ac:dyDescent="0.2">
      <c r="B68" s="6">
        <f>B65+1</f>
        <v>45504</v>
      </c>
      <c r="C68" s="7" t="str">
        <f>VLOOKUP(WEEKDAY(B68,2),'EC-Commands'!$D$12:$E$18,2,FALSE)</f>
        <v>Wed</v>
      </c>
      <c r="D68" s="8">
        <v>6.25E-2</v>
      </c>
      <c r="E68" s="9" t="s">
        <v>1</v>
      </c>
      <c r="F68" s="9">
        <v>3</v>
      </c>
      <c r="G68" s="9" t="s">
        <v>112</v>
      </c>
      <c r="H68" s="25"/>
      <c r="I68" s="25"/>
      <c r="J68" s="13"/>
      <c r="K68" s="12" t="s">
        <v>113</v>
      </c>
    </row>
    <row r="69" spans="2:11" ht="27" x14ac:dyDescent="0.2">
      <c r="B69" s="6">
        <f>B66+1</f>
        <v>45504</v>
      </c>
      <c r="C69" s="7" t="str">
        <f>VLOOKUP(WEEKDAY(B69,2),'EC-Commands'!$D$12:$E$18,2,FALSE)</f>
        <v>Wed</v>
      </c>
      <c r="D69" s="8">
        <v>6.25E-2</v>
      </c>
      <c r="E69" s="9" t="s">
        <v>1</v>
      </c>
      <c r="F69" s="9">
        <v>3</v>
      </c>
      <c r="G69" s="9" t="s">
        <v>114</v>
      </c>
      <c r="H69" s="25"/>
      <c r="I69" s="25"/>
      <c r="J69" s="13"/>
      <c r="K69" s="12" t="s">
        <v>115</v>
      </c>
    </row>
    <row r="70" spans="2:11" x14ac:dyDescent="0.2">
      <c r="B70" s="6">
        <f>B67+1</f>
        <v>45504</v>
      </c>
      <c r="C70" s="7" t="str">
        <f>VLOOKUP(WEEKDAY(B70,2),'EC-Commands'!$D$12:$E$18,2,FALSE)</f>
        <v>Wed</v>
      </c>
      <c r="D70" s="8">
        <v>0.29166666666666669</v>
      </c>
      <c r="E70" s="9" t="s">
        <v>65</v>
      </c>
      <c r="F70" s="9">
        <v>3</v>
      </c>
      <c r="G70" s="9" t="s">
        <v>116</v>
      </c>
      <c r="H70" s="25"/>
      <c r="I70" s="25"/>
      <c r="J70" s="13">
        <v>49.5</v>
      </c>
      <c r="K70" s="12"/>
    </row>
    <row r="71" spans="2:11" ht="26" x14ac:dyDescent="0.2">
      <c r="B71" s="6">
        <f t="shared" ref="B71:B78" si="3">B70</f>
        <v>45504</v>
      </c>
      <c r="C71" s="7" t="str">
        <f>VLOOKUP(WEEKDAY(B71,2),'EC-Commands'!$D$12:$E$18,2,FALSE)</f>
        <v>Wed</v>
      </c>
      <c r="D71" s="8">
        <v>0.35416666666666669</v>
      </c>
      <c r="E71" s="9" t="s">
        <v>117</v>
      </c>
      <c r="F71" s="9">
        <v>3</v>
      </c>
      <c r="G71" s="9" t="s">
        <v>118</v>
      </c>
      <c r="H71" s="25"/>
      <c r="I71" s="21">
        <v>1E-3</v>
      </c>
      <c r="J71" s="10">
        <v>1E-3</v>
      </c>
      <c r="K71" s="11" t="s">
        <v>119</v>
      </c>
    </row>
    <row r="72" spans="2:11" x14ac:dyDescent="0.2">
      <c r="B72" s="6">
        <f t="shared" si="3"/>
        <v>45504</v>
      </c>
      <c r="C72" s="7" t="str">
        <f>VLOOKUP(WEEKDAY(B72,2),'EC-Commands'!$D$12:$E$18,2,FALSE)</f>
        <v>Wed</v>
      </c>
      <c r="D72" s="8">
        <v>0.60416666666666663</v>
      </c>
      <c r="E72" s="9" t="s">
        <v>22</v>
      </c>
      <c r="F72" s="9">
        <v>3</v>
      </c>
      <c r="G72" s="9" t="s">
        <v>120</v>
      </c>
      <c r="H72" s="25"/>
      <c r="I72" s="66"/>
      <c r="J72" s="14">
        <v>2.5000000000000001E-2</v>
      </c>
      <c r="K72" s="15"/>
    </row>
    <row r="73" spans="2:11" x14ac:dyDescent="0.2">
      <c r="B73" s="6">
        <f t="shared" si="3"/>
        <v>45504</v>
      </c>
      <c r="C73" s="7" t="str">
        <f>VLOOKUP(WEEKDAY(B73,2),'EC-Commands'!$D$12:$E$18,2,FALSE)</f>
        <v>Wed</v>
      </c>
      <c r="D73" s="8">
        <v>0.73958333333333337</v>
      </c>
      <c r="E73" s="9" t="s">
        <v>1</v>
      </c>
      <c r="F73" s="9">
        <v>3</v>
      </c>
      <c r="G73" s="9" t="s">
        <v>121</v>
      </c>
      <c r="H73" s="25"/>
      <c r="I73" s="25"/>
      <c r="J73" s="14" t="s">
        <v>122</v>
      </c>
      <c r="K73" s="15"/>
    </row>
    <row r="74" spans="2:11" x14ac:dyDescent="0.2">
      <c r="B74" s="6">
        <f t="shared" si="3"/>
        <v>45504</v>
      </c>
      <c r="C74" s="7" t="str">
        <f>VLOOKUP(WEEKDAY(B74,2),'EC-Commands'!$D$12:$E$18,2,FALSE)</f>
        <v>Wed</v>
      </c>
      <c r="D74" s="8">
        <v>0.80208333333333337</v>
      </c>
      <c r="E74" s="9" t="s">
        <v>1</v>
      </c>
      <c r="F74" s="9">
        <v>3</v>
      </c>
      <c r="G74" s="9" t="s">
        <v>123</v>
      </c>
      <c r="H74" s="25"/>
      <c r="I74" s="25"/>
      <c r="J74" s="13">
        <v>47.4</v>
      </c>
      <c r="K74" s="15"/>
    </row>
    <row r="75" spans="2:11" x14ac:dyDescent="0.2">
      <c r="B75" s="6">
        <f t="shared" si="3"/>
        <v>45504</v>
      </c>
      <c r="C75" s="7" t="str">
        <f>VLOOKUP(WEEKDAY(B75,2),'EC-Commands'!$D$12:$E$18,2,FALSE)</f>
        <v>Wed</v>
      </c>
      <c r="D75" s="8">
        <v>0.83333333333333337</v>
      </c>
      <c r="E75" s="9" t="s">
        <v>1</v>
      </c>
      <c r="F75" s="9">
        <v>3</v>
      </c>
      <c r="G75" s="9" t="s">
        <v>9</v>
      </c>
      <c r="H75" s="25"/>
      <c r="I75" s="25"/>
      <c r="J75" s="16" t="s">
        <v>124</v>
      </c>
      <c r="K75" s="15"/>
    </row>
    <row r="76" spans="2:11" ht="26" x14ac:dyDescent="0.2">
      <c r="B76" s="6">
        <f t="shared" si="3"/>
        <v>45504</v>
      </c>
      <c r="C76" s="7" t="str">
        <f>VLOOKUP(WEEKDAY(B76,2),'EC-Commands'!$D$12:$E$18,2,FALSE)</f>
        <v>Wed</v>
      </c>
      <c r="D76" s="8">
        <v>0.97916666666666663</v>
      </c>
      <c r="E76" s="9" t="s">
        <v>1</v>
      </c>
      <c r="F76" s="9">
        <v>3</v>
      </c>
      <c r="G76" s="9" t="s">
        <v>125</v>
      </c>
      <c r="H76" s="25"/>
      <c r="I76" s="25"/>
      <c r="J76" s="9"/>
      <c r="K76" s="11" t="s">
        <v>126</v>
      </c>
    </row>
    <row r="77" spans="2:11" x14ac:dyDescent="0.2">
      <c r="B77" s="6">
        <f t="shared" si="3"/>
        <v>45504</v>
      </c>
      <c r="C77" s="7" t="str">
        <f>VLOOKUP(WEEKDAY(B77,2),'EC-Commands'!$D$12:$E$18,2,FALSE)</f>
        <v>Wed</v>
      </c>
      <c r="D77" s="8">
        <v>0.97916666666666663</v>
      </c>
      <c r="E77" s="9" t="s">
        <v>1</v>
      </c>
      <c r="F77" s="9">
        <v>3</v>
      </c>
      <c r="G77" s="9" t="s">
        <v>127</v>
      </c>
      <c r="H77" s="25"/>
      <c r="I77" s="23">
        <v>5.5E-2</v>
      </c>
      <c r="J77" s="17">
        <v>5.5E-2</v>
      </c>
      <c r="K77" s="11" t="s">
        <v>128</v>
      </c>
    </row>
    <row r="78" spans="2:11" ht="26" x14ac:dyDescent="0.2">
      <c r="B78" s="6">
        <f t="shared" si="3"/>
        <v>45504</v>
      </c>
      <c r="C78" s="7" t="str">
        <f>VLOOKUP(WEEKDAY(B78,2),'EC-Commands'!$D$12:$E$18,2,FALSE)</f>
        <v>Wed</v>
      </c>
      <c r="D78" s="8">
        <v>0.97916666666666663</v>
      </c>
      <c r="E78" s="9" t="s">
        <v>1</v>
      </c>
      <c r="F78" s="9">
        <v>3</v>
      </c>
      <c r="G78" s="9" t="s">
        <v>129</v>
      </c>
      <c r="H78" s="25"/>
      <c r="I78" s="25"/>
      <c r="J78" s="9"/>
      <c r="K78" s="11" t="s">
        <v>126</v>
      </c>
    </row>
    <row r="79" spans="2:11" ht="27" x14ac:dyDescent="0.2">
      <c r="B79" s="6">
        <f>B76+1</f>
        <v>45505</v>
      </c>
      <c r="C79" s="7" t="str">
        <f>VLOOKUP(WEEKDAY(B79,2),'EC-Commands'!$D$12:$E$18,2,FALSE)</f>
        <v>Thu</v>
      </c>
      <c r="D79" s="8">
        <v>6.25E-2</v>
      </c>
      <c r="E79" s="9" t="s">
        <v>1</v>
      </c>
      <c r="F79" s="9">
        <v>3</v>
      </c>
      <c r="G79" s="9" t="s">
        <v>130</v>
      </c>
      <c r="H79" s="25"/>
      <c r="I79" s="25"/>
      <c r="J79" s="13"/>
      <c r="K79" s="12" t="s">
        <v>131</v>
      </c>
    </row>
    <row r="80" spans="2:11" ht="27" x14ac:dyDescent="0.2">
      <c r="B80" s="6">
        <f>B77+1</f>
        <v>45505</v>
      </c>
      <c r="C80" s="7" t="str">
        <f>VLOOKUP(WEEKDAY(B80,2),'EC-Commands'!$D$12:$E$18,2,FALSE)</f>
        <v>Thu</v>
      </c>
      <c r="D80" s="8">
        <v>6.25E-2</v>
      </c>
      <c r="E80" s="9" t="s">
        <v>1</v>
      </c>
      <c r="F80" s="9">
        <v>3</v>
      </c>
      <c r="G80" s="9" t="s">
        <v>132</v>
      </c>
      <c r="H80" s="25"/>
      <c r="I80" s="25"/>
      <c r="J80" s="13"/>
      <c r="K80" s="12" t="s">
        <v>133</v>
      </c>
    </row>
    <row r="81" spans="1:11" ht="26" x14ac:dyDescent="0.2">
      <c r="B81" s="6">
        <f>B78+1</f>
        <v>45505</v>
      </c>
      <c r="C81" s="7" t="str">
        <f>VLOOKUP(WEEKDAY(B81,2),'EC-Commands'!$D$12:$E$18,2,FALSE)</f>
        <v>Thu</v>
      </c>
      <c r="D81" s="8">
        <v>0.6875</v>
      </c>
      <c r="E81" s="9" t="s">
        <v>53</v>
      </c>
      <c r="F81" s="9">
        <v>3</v>
      </c>
      <c r="G81" s="9" t="s">
        <v>134</v>
      </c>
      <c r="H81" s="25"/>
      <c r="I81" s="23">
        <v>0.05</v>
      </c>
      <c r="J81" s="17">
        <v>5.2499999999999998E-2</v>
      </c>
      <c r="K81" s="11" t="s">
        <v>135</v>
      </c>
    </row>
    <row r="82" spans="1:11" x14ac:dyDescent="0.2">
      <c r="B82" s="6">
        <f>B81</f>
        <v>45505</v>
      </c>
      <c r="C82" s="7" t="str">
        <f>VLOOKUP(WEEKDAY(B82,2),'EC-Commands'!$D$12:$E$18,2,FALSE)</f>
        <v>Thu</v>
      </c>
      <c r="D82" s="8">
        <v>0.75</v>
      </c>
      <c r="E82" s="9" t="s">
        <v>1</v>
      </c>
      <c r="F82" s="9">
        <v>3</v>
      </c>
      <c r="G82" s="9" t="s">
        <v>14</v>
      </c>
      <c r="H82" s="25"/>
      <c r="I82" s="25"/>
      <c r="J82" s="9" t="s">
        <v>136</v>
      </c>
      <c r="K82" s="18"/>
    </row>
    <row r="83" spans="1:11" x14ac:dyDescent="0.2">
      <c r="B83" s="6">
        <f>B82</f>
        <v>45505</v>
      </c>
      <c r="C83" s="7" t="str">
        <f>VLOOKUP(WEEKDAY(B83,2),'EC-Commands'!$D$12:$E$18,2,FALSE)</f>
        <v>Thu</v>
      </c>
      <c r="D83" s="8">
        <v>0.80208333333333337</v>
      </c>
      <c r="E83" s="9" t="s">
        <v>1</v>
      </c>
      <c r="F83" s="9">
        <v>3</v>
      </c>
      <c r="G83" s="9" t="s">
        <v>137</v>
      </c>
      <c r="H83" s="25"/>
      <c r="I83" s="67">
        <v>49.5</v>
      </c>
      <c r="J83" s="19">
        <v>51.6</v>
      </c>
      <c r="K83" s="18"/>
    </row>
    <row r="84" spans="1:11" x14ac:dyDescent="0.2">
      <c r="B84" s="6">
        <f>B83</f>
        <v>45505</v>
      </c>
      <c r="C84" s="7" t="str">
        <f>VLOOKUP(WEEKDAY(B84,2),'EC-Commands'!$D$12:$E$18,2,FALSE)</f>
        <v>Thu</v>
      </c>
      <c r="D84" s="8">
        <v>0.8125</v>
      </c>
      <c r="E84" s="9" t="s">
        <v>1</v>
      </c>
      <c r="F84" s="9">
        <v>3</v>
      </c>
      <c r="G84" s="9" t="s">
        <v>138</v>
      </c>
      <c r="H84" s="25"/>
      <c r="I84" s="67">
        <v>48.8</v>
      </c>
      <c r="J84" s="19">
        <v>48.5</v>
      </c>
      <c r="K84" s="18"/>
    </row>
    <row r="85" spans="1:11" x14ac:dyDescent="0.2">
      <c r="B85" s="6">
        <f>B84</f>
        <v>45505</v>
      </c>
      <c r="C85" s="7" t="str">
        <f>VLOOKUP(WEEKDAY(B85,2),'EC-Commands'!$D$12:$E$18,2,FALSE)</f>
        <v>Thu</v>
      </c>
      <c r="D85" s="8">
        <v>0.8125</v>
      </c>
      <c r="E85" s="9" t="s">
        <v>1</v>
      </c>
      <c r="F85" s="9">
        <v>3</v>
      </c>
      <c r="G85" s="9" t="s">
        <v>139</v>
      </c>
      <c r="H85" s="25"/>
      <c r="I85" s="67"/>
      <c r="J85" s="19">
        <v>52.1</v>
      </c>
      <c r="K85" s="18"/>
    </row>
    <row r="86" spans="1:11" ht="27" x14ac:dyDescent="0.2">
      <c r="B86" s="6">
        <f>B83+1</f>
        <v>45506</v>
      </c>
      <c r="C86" s="7" t="str">
        <f>VLOOKUP(WEEKDAY(B86,2),'EC-Commands'!$D$12:$E$18,2,FALSE)</f>
        <v>Fri</v>
      </c>
      <c r="D86" s="8">
        <v>6.25E-2</v>
      </c>
      <c r="E86" s="9" t="s">
        <v>1</v>
      </c>
      <c r="F86" s="9">
        <v>3</v>
      </c>
      <c r="G86" s="9" t="s">
        <v>140</v>
      </c>
      <c r="H86" s="25"/>
      <c r="I86" s="25"/>
      <c r="J86" s="13"/>
      <c r="K86" s="12" t="s">
        <v>141</v>
      </c>
    </row>
    <row r="87" spans="1:11" ht="27" x14ac:dyDescent="0.2">
      <c r="B87" s="6">
        <f>B84+1</f>
        <v>45506</v>
      </c>
      <c r="C87" s="7" t="str">
        <f>VLOOKUP(WEEKDAY(B87,2),'EC-Commands'!$D$12:$E$18,2,FALSE)</f>
        <v>Fri</v>
      </c>
      <c r="D87" s="8">
        <v>6.25E-2</v>
      </c>
      <c r="E87" s="9" t="s">
        <v>1</v>
      </c>
      <c r="F87" s="9">
        <v>3</v>
      </c>
      <c r="G87" s="9" t="s">
        <v>142</v>
      </c>
      <c r="H87" s="25"/>
      <c r="I87" s="25"/>
      <c r="J87" s="13"/>
      <c r="K87" s="12" t="s">
        <v>143</v>
      </c>
    </row>
    <row r="88" spans="1:11" ht="27" x14ac:dyDescent="0.2">
      <c r="B88" s="6">
        <f>B85+1</f>
        <v>45506</v>
      </c>
      <c r="C88" s="7" t="str">
        <f>VLOOKUP(WEEKDAY(B88,2),'EC-Commands'!$D$12:$E$18,2,FALSE)</f>
        <v>Fri</v>
      </c>
      <c r="D88" s="8">
        <v>6.25E-2</v>
      </c>
      <c r="E88" s="9" t="s">
        <v>1</v>
      </c>
      <c r="F88" s="9">
        <v>3</v>
      </c>
      <c r="G88" s="9" t="s">
        <v>144</v>
      </c>
      <c r="H88" s="25"/>
      <c r="I88" s="25"/>
      <c r="J88" s="13"/>
      <c r="K88" s="12" t="s">
        <v>145</v>
      </c>
    </row>
    <row r="89" spans="1:11" x14ac:dyDescent="0.2">
      <c r="B89" s="6">
        <f>B85+1</f>
        <v>45506</v>
      </c>
      <c r="C89" s="7" t="str">
        <f>VLOOKUP(WEEKDAY(B89,2),'EC-Commands'!$D$12:$E$18,2,FALSE)</f>
        <v>Fri</v>
      </c>
      <c r="D89" s="8">
        <v>0.75</v>
      </c>
      <c r="E89" s="9" t="s">
        <v>1</v>
      </c>
      <c r="F89" s="9">
        <v>3</v>
      </c>
      <c r="G89" s="9" t="s">
        <v>146</v>
      </c>
      <c r="H89" s="25"/>
      <c r="I89" s="23">
        <v>3.0000000000000001E-3</v>
      </c>
      <c r="J89" s="17">
        <v>3.0000000000000001E-3</v>
      </c>
      <c r="K89" s="18"/>
    </row>
    <row r="90" spans="1:11" x14ac:dyDescent="0.2">
      <c r="B90" s="6">
        <f>B89</f>
        <v>45506</v>
      </c>
      <c r="C90" s="7" t="str">
        <f>VLOOKUP(WEEKDAY(B90,2),'EC-Commands'!$D$12:$E$18,2,FALSE)</f>
        <v>Fri</v>
      </c>
      <c r="D90" s="8">
        <v>0.75</v>
      </c>
      <c r="E90" s="9" t="s">
        <v>1</v>
      </c>
      <c r="F90" s="9">
        <v>3</v>
      </c>
      <c r="G90" s="9" t="s">
        <v>147</v>
      </c>
      <c r="H90" s="25"/>
      <c r="I90" s="25" t="s">
        <v>148</v>
      </c>
      <c r="J90" s="9" t="s">
        <v>149</v>
      </c>
      <c r="K90" s="18"/>
    </row>
    <row r="91" spans="1:11" x14ac:dyDescent="0.2">
      <c r="B91" s="6">
        <f>B90</f>
        <v>45506</v>
      </c>
      <c r="C91" s="7" t="str">
        <f>VLOOKUP(WEEKDAY(B91,2),'EC-Commands'!$D$12:$E$18,2,FALSE)</f>
        <v>Fri</v>
      </c>
      <c r="D91" s="8">
        <v>0.75</v>
      </c>
      <c r="E91" s="9" t="s">
        <v>1</v>
      </c>
      <c r="F91" s="9">
        <v>3</v>
      </c>
      <c r="G91" s="9" t="s">
        <v>150</v>
      </c>
      <c r="H91" s="25"/>
      <c r="I91" s="23">
        <v>4.1000000000000002E-2</v>
      </c>
      <c r="J91" s="17">
        <v>4.1000000000000002E-2</v>
      </c>
      <c r="K91" s="18"/>
    </row>
    <row r="92" spans="1:11" ht="27" x14ac:dyDescent="0.2">
      <c r="A92" s="4" t="s">
        <v>105</v>
      </c>
      <c r="B92" s="6">
        <v>45509</v>
      </c>
      <c r="C92" s="7" t="str">
        <f>VLOOKUP(WEEKDAY(B92,2),'EC-Commands'!$D$12:$E$18,2,FALSE)</f>
        <v>Mon</v>
      </c>
      <c r="D92" s="8">
        <v>0.80208333333333337</v>
      </c>
      <c r="E92" s="9" t="s">
        <v>1</v>
      </c>
      <c r="F92" s="9">
        <v>3</v>
      </c>
      <c r="G92" s="9" t="s">
        <v>12</v>
      </c>
      <c r="H92" s="20">
        <v>55</v>
      </c>
      <c r="I92" s="20">
        <v>56</v>
      </c>
      <c r="J92" s="20">
        <v>56</v>
      </c>
      <c r="K92" s="12" t="s">
        <v>151</v>
      </c>
    </row>
    <row r="93" spans="1:11" ht="27" x14ac:dyDescent="0.2">
      <c r="B93" s="6">
        <f>B92</f>
        <v>45509</v>
      </c>
      <c r="C93" s="7" t="str">
        <f>VLOOKUP(WEEKDAY(B93,2),'EC-Commands'!$D$12:$E$18,2,FALSE)</f>
        <v>Mon</v>
      </c>
      <c r="D93" s="8">
        <v>0.8125</v>
      </c>
      <c r="E93" s="9" t="s">
        <v>1</v>
      </c>
      <c r="F93" s="9">
        <v>3</v>
      </c>
      <c r="G93" s="9" t="s">
        <v>152</v>
      </c>
      <c r="H93" s="25">
        <v>51.4</v>
      </c>
      <c r="I93" s="20">
        <v>51</v>
      </c>
      <c r="J93" s="20">
        <v>48.8</v>
      </c>
      <c r="K93" s="12" t="s">
        <v>153</v>
      </c>
    </row>
    <row r="94" spans="1:11" ht="27" x14ac:dyDescent="0.2">
      <c r="B94" s="6">
        <f>B93</f>
        <v>45509</v>
      </c>
      <c r="C94" s="7" t="str">
        <f>VLOOKUP(WEEKDAY(B94,2),'EC-Commands'!$D$12:$E$18,2,FALSE)</f>
        <v>Mon</v>
      </c>
      <c r="D94" s="8">
        <v>0.8125</v>
      </c>
      <c r="E94" s="9" t="s">
        <v>1</v>
      </c>
      <c r="F94" s="9">
        <v>3</v>
      </c>
      <c r="G94" s="9" t="s">
        <v>154</v>
      </c>
      <c r="H94" s="25">
        <v>57</v>
      </c>
      <c r="I94" s="20">
        <v>56</v>
      </c>
      <c r="J94" s="20">
        <v>56.3</v>
      </c>
      <c r="K94" s="12" t="s">
        <v>155</v>
      </c>
    </row>
    <row r="95" spans="1:11" ht="27" x14ac:dyDescent="0.2">
      <c r="B95" s="6">
        <f>B98</f>
        <v>45510</v>
      </c>
      <c r="C95" s="7" t="str">
        <f>VLOOKUP(WEEKDAY(B95,2),'EC-Commands'!$D$12:$E$18,2,FALSE)</f>
        <v>Tue</v>
      </c>
      <c r="D95" s="8">
        <v>6.25E-2</v>
      </c>
      <c r="E95" s="9" t="s">
        <v>1</v>
      </c>
      <c r="F95" s="9">
        <v>3</v>
      </c>
      <c r="G95" s="9" t="s">
        <v>156</v>
      </c>
      <c r="H95" s="25"/>
      <c r="I95" s="20"/>
      <c r="J95" s="20"/>
      <c r="K95" s="12" t="s">
        <v>157</v>
      </c>
    </row>
    <row r="96" spans="1:11" ht="27" x14ac:dyDescent="0.2">
      <c r="B96" s="6">
        <f>B95</f>
        <v>45510</v>
      </c>
      <c r="C96" s="7" t="str">
        <f>VLOOKUP(WEEKDAY(B96,2),'EC-Commands'!$D$12:$E$18,2,FALSE)</f>
        <v>Tue</v>
      </c>
      <c r="D96" s="8">
        <v>6.25E-2</v>
      </c>
      <c r="E96" s="9" t="s">
        <v>1</v>
      </c>
      <c r="F96" s="9">
        <v>3</v>
      </c>
      <c r="G96" s="9" t="s">
        <v>158</v>
      </c>
      <c r="H96" s="25"/>
      <c r="I96" s="20"/>
      <c r="J96" s="20"/>
      <c r="K96" s="12" t="s">
        <v>159</v>
      </c>
    </row>
    <row r="97" spans="1:11" ht="53" x14ac:dyDescent="0.2">
      <c r="B97" s="6">
        <f>B96</f>
        <v>45510</v>
      </c>
      <c r="C97" s="7" t="str">
        <f>VLOOKUP(WEEKDAY(B97,2),'EC-Commands'!$D$12:$E$18,2,FALSE)</f>
        <v>Tue</v>
      </c>
      <c r="D97" s="8">
        <v>6.25E-2</v>
      </c>
      <c r="E97" s="9" t="s">
        <v>1</v>
      </c>
      <c r="F97" s="9">
        <v>3</v>
      </c>
      <c r="G97" s="9" t="s">
        <v>160</v>
      </c>
      <c r="H97" s="25"/>
      <c r="I97" s="20"/>
      <c r="J97" s="20"/>
      <c r="K97" s="12" t="s">
        <v>161</v>
      </c>
    </row>
    <row r="98" spans="1:11" ht="27" x14ac:dyDescent="0.2">
      <c r="B98" s="6">
        <f>B94+1</f>
        <v>45510</v>
      </c>
      <c r="C98" s="7" t="str">
        <f>VLOOKUP(WEEKDAY(B98,2),'EC-Commands'!$D$12:$E$18,2,FALSE)</f>
        <v>Tue</v>
      </c>
      <c r="D98" s="8">
        <v>0.41666666666666669</v>
      </c>
      <c r="E98" s="9" t="s">
        <v>1</v>
      </c>
      <c r="F98" s="9">
        <v>3</v>
      </c>
      <c r="G98" s="9" t="s">
        <v>162</v>
      </c>
      <c r="H98" s="21">
        <v>4.3499999999999997E-2</v>
      </c>
      <c r="I98" s="21">
        <v>4.3499999999999997E-2</v>
      </c>
      <c r="J98" s="21">
        <v>4.3499999999999997E-2</v>
      </c>
      <c r="K98" s="12" t="s">
        <v>163</v>
      </c>
    </row>
    <row r="99" spans="1:11" x14ac:dyDescent="0.2">
      <c r="B99" s="6">
        <f>B98+1</f>
        <v>45511</v>
      </c>
      <c r="C99" s="7" t="str">
        <f>VLOOKUP(WEEKDAY(B99,2),'EC-Commands'!$D$12:$E$18,2,FALSE)</f>
        <v>Wed</v>
      </c>
      <c r="D99" s="8">
        <v>0.83333333333333337</v>
      </c>
      <c r="E99" s="9" t="s">
        <v>1</v>
      </c>
      <c r="F99" s="9">
        <v>3</v>
      </c>
      <c r="G99" s="9" t="s">
        <v>9</v>
      </c>
      <c r="H99" s="22" t="s">
        <v>164</v>
      </c>
      <c r="I99" s="22" t="s">
        <v>165</v>
      </c>
      <c r="J99" s="22" t="s">
        <v>166</v>
      </c>
      <c r="K99" s="11" t="s">
        <v>167</v>
      </c>
    </row>
    <row r="100" spans="1:11" ht="27" x14ac:dyDescent="0.2">
      <c r="B100" s="6">
        <f>B99</f>
        <v>45511</v>
      </c>
      <c r="C100" s="7" t="str">
        <f>VLOOKUP(WEEKDAY(B100,2),'EC-Commands'!$D$12:$E$18,2,FALSE)</f>
        <v>Wed</v>
      </c>
      <c r="D100" s="8">
        <v>0.9375</v>
      </c>
      <c r="E100" s="9" t="s">
        <v>1</v>
      </c>
      <c r="F100" s="9">
        <v>3</v>
      </c>
      <c r="G100" s="9" t="s">
        <v>52</v>
      </c>
      <c r="H100" s="21">
        <v>3.9600000000000003E-2</v>
      </c>
      <c r="I100" s="23"/>
      <c r="J100" s="24">
        <v>4.2759999999999999E-2</v>
      </c>
      <c r="K100" s="15" t="s">
        <v>168</v>
      </c>
    </row>
    <row r="101" spans="1:11" ht="27" x14ac:dyDescent="0.2">
      <c r="B101" s="6">
        <f>B99+1</f>
        <v>45512</v>
      </c>
      <c r="C101" s="7" t="str">
        <f>VLOOKUP(WEEKDAY(B101,2),'EC-Commands'!$D$12:$E$18,2,FALSE)</f>
        <v>Thu</v>
      </c>
      <c r="D101" s="8">
        <f>D97</f>
        <v>6.25E-2</v>
      </c>
      <c r="E101" s="9" t="s">
        <v>1</v>
      </c>
      <c r="F101" s="9">
        <v>3</v>
      </c>
      <c r="G101" s="9" t="s">
        <v>169</v>
      </c>
      <c r="H101" s="25"/>
      <c r="I101" s="25"/>
      <c r="J101" s="23"/>
      <c r="K101" s="12" t="s">
        <v>170</v>
      </c>
    </row>
    <row r="102" spans="1:11" ht="27" x14ac:dyDescent="0.2">
      <c r="B102" s="6">
        <f>B100+1</f>
        <v>45512</v>
      </c>
      <c r="C102" s="7" t="str">
        <f>VLOOKUP(WEEKDAY(B102,2),'EC-Commands'!$D$12:$E$18,2,FALSE)</f>
        <v>Thu</v>
      </c>
      <c r="D102" s="8">
        <v>0.75</v>
      </c>
      <c r="E102" s="9" t="s">
        <v>1</v>
      </c>
      <c r="F102" s="9">
        <v>3</v>
      </c>
      <c r="G102" s="9" t="s">
        <v>14</v>
      </c>
      <c r="H102" s="25" t="s">
        <v>13</v>
      </c>
      <c r="I102" s="25" t="s">
        <v>171</v>
      </c>
      <c r="J102" s="23" t="s">
        <v>172</v>
      </c>
      <c r="K102" s="15" t="s">
        <v>173</v>
      </c>
    </row>
    <row r="103" spans="1:11" x14ac:dyDescent="0.2">
      <c r="B103" s="6">
        <f>B102</f>
        <v>45512</v>
      </c>
      <c r="C103" s="7" t="str">
        <f>VLOOKUP(WEEKDAY(B103,2),'EC-Commands'!$D$12:$E$18,2,FALSE)</f>
        <v>Thu</v>
      </c>
      <c r="D103" s="8">
        <v>0.93819444444444444</v>
      </c>
      <c r="E103" s="9" t="s">
        <v>1</v>
      </c>
      <c r="F103" s="9">
        <v>3</v>
      </c>
      <c r="G103" s="9" t="s">
        <v>174</v>
      </c>
      <c r="H103" s="63">
        <v>4.3139999999999998E-2</v>
      </c>
      <c r="I103" s="25"/>
      <c r="J103" s="24">
        <v>4.4049999999999999E-2</v>
      </c>
      <c r="K103" s="15" t="s">
        <v>175</v>
      </c>
    </row>
    <row r="104" spans="1:11" ht="27" x14ac:dyDescent="0.2">
      <c r="B104" s="6">
        <f>B103+1</f>
        <v>45513</v>
      </c>
      <c r="C104" s="7" t="str">
        <f>VLOOKUP(WEEKDAY(B104,2),'EC-Commands'!$D$12:$E$18,2,FALSE)</f>
        <v>Fri</v>
      </c>
      <c r="D104" s="8">
        <f>D101</f>
        <v>6.25E-2</v>
      </c>
      <c r="E104" s="9" t="s">
        <v>1</v>
      </c>
      <c r="F104" s="9">
        <v>3</v>
      </c>
      <c r="G104" s="9" t="s">
        <v>176</v>
      </c>
      <c r="H104" s="25"/>
      <c r="I104" s="21"/>
      <c r="J104" s="21"/>
      <c r="K104" s="12" t="s">
        <v>177</v>
      </c>
    </row>
    <row r="105" spans="1:11" ht="27" x14ac:dyDescent="0.2">
      <c r="B105" s="6">
        <f>B104</f>
        <v>45513</v>
      </c>
      <c r="C105" s="7" t="str">
        <f>VLOOKUP(WEEKDAY(B105,2),'EC-Commands'!$D$12:$E$18,2,FALSE)</f>
        <v>Fri</v>
      </c>
      <c r="D105" s="8">
        <v>0.47916666666666669</v>
      </c>
      <c r="E105" s="9" t="s">
        <v>1</v>
      </c>
      <c r="F105" s="9">
        <v>3</v>
      </c>
      <c r="G105" s="9" t="s">
        <v>178</v>
      </c>
      <c r="H105" s="25"/>
      <c r="I105" s="21">
        <v>3.0000000000000001E-3</v>
      </c>
      <c r="J105" s="21">
        <v>3.0000000000000001E-3</v>
      </c>
      <c r="K105" s="15" t="s">
        <v>179</v>
      </c>
    </row>
    <row r="106" spans="1:11" x14ac:dyDescent="0.2">
      <c r="B106" s="6">
        <v>45553</v>
      </c>
      <c r="C106" s="7" t="str">
        <f>VLOOKUP(WEEKDAY(B106,2),'EC-Commands'!$D$12:$E$18,2,FALSE)</f>
        <v>Wed</v>
      </c>
      <c r="D106" s="8">
        <v>0.91666666666666663</v>
      </c>
      <c r="E106" s="9" t="s">
        <v>1</v>
      </c>
      <c r="F106" s="9">
        <v>3</v>
      </c>
      <c r="G106" s="9" t="s">
        <v>180</v>
      </c>
      <c r="H106" s="25"/>
      <c r="I106" s="25"/>
      <c r="J106" s="21"/>
      <c r="K106" s="11"/>
    </row>
    <row r="107" spans="1:11" x14ac:dyDescent="0.2">
      <c r="C107" t="s">
        <v>181</v>
      </c>
      <c r="J107" s="1"/>
      <c r="K107" s="26"/>
    </row>
    <row r="108" spans="1:11" ht="27" x14ac:dyDescent="0.2">
      <c r="A108" t="s">
        <v>105</v>
      </c>
      <c r="B108" s="46">
        <v>45517</v>
      </c>
      <c r="C108" s="47" t="s">
        <v>182</v>
      </c>
      <c r="D108" s="48">
        <v>0.75</v>
      </c>
      <c r="E108" s="49" t="s">
        <v>1</v>
      </c>
      <c r="F108" s="49">
        <v>3</v>
      </c>
      <c r="G108" s="49" t="s">
        <v>183</v>
      </c>
      <c r="H108" s="50">
        <v>1E-3</v>
      </c>
      <c r="I108" s="50">
        <v>2E-3</v>
      </c>
      <c r="J108" s="50">
        <v>2E-3</v>
      </c>
      <c r="K108" s="51" t="s">
        <v>184</v>
      </c>
    </row>
    <row r="109" spans="1:11" ht="39" x14ac:dyDescent="0.2">
      <c r="B109" s="52">
        <v>45518</v>
      </c>
      <c r="C109" s="53" t="s">
        <v>185</v>
      </c>
      <c r="D109" s="54">
        <v>0.3125</v>
      </c>
      <c r="E109" s="55" t="s">
        <v>49</v>
      </c>
      <c r="F109" s="55">
        <v>3</v>
      </c>
      <c r="G109" s="55" t="s">
        <v>50</v>
      </c>
      <c r="H109" s="56">
        <v>5.2499999999999998E-2</v>
      </c>
      <c r="I109" s="56">
        <v>5.5E-2</v>
      </c>
      <c r="J109" s="56">
        <v>5.5E-2</v>
      </c>
      <c r="K109" s="57" t="s">
        <v>186</v>
      </c>
    </row>
    <row r="110" spans="1:11" ht="26" x14ac:dyDescent="0.2">
      <c r="B110" s="52">
        <v>45518</v>
      </c>
      <c r="C110" s="53" t="s">
        <v>185</v>
      </c>
      <c r="D110" s="54">
        <v>0.47916666666666669</v>
      </c>
      <c r="E110" s="55" t="s">
        <v>53</v>
      </c>
      <c r="F110" s="55">
        <v>3</v>
      </c>
      <c r="G110" s="55" t="s">
        <v>187</v>
      </c>
      <c r="H110" s="56">
        <v>2.1999999999999999E-2</v>
      </c>
      <c r="I110" s="56">
        <v>2.3E-2</v>
      </c>
      <c r="J110" s="56">
        <v>0.02</v>
      </c>
      <c r="K110" s="57" t="s">
        <v>188</v>
      </c>
    </row>
    <row r="111" spans="1:11" ht="26" x14ac:dyDescent="0.2">
      <c r="B111" s="52">
        <v>45518</v>
      </c>
      <c r="C111" s="53" t="s">
        <v>185</v>
      </c>
      <c r="D111" s="54">
        <v>0.75</v>
      </c>
      <c r="E111" s="55" t="s">
        <v>1</v>
      </c>
      <c r="F111" s="55">
        <v>3</v>
      </c>
      <c r="G111" s="55" t="s">
        <v>189</v>
      </c>
      <c r="H111" s="56">
        <v>2E-3</v>
      </c>
      <c r="I111" s="56">
        <v>2E-3</v>
      </c>
      <c r="J111" s="56">
        <v>1E-3</v>
      </c>
      <c r="K111" s="57" t="s">
        <v>190</v>
      </c>
    </row>
    <row r="112" spans="1:11" x14ac:dyDescent="0.2">
      <c r="B112" s="52">
        <v>45518</v>
      </c>
      <c r="C112" s="53" t="s">
        <v>185</v>
      </c>
      <c r="D112" s="54">
        <v>0.75</v>
      </c>
      <c r="E112" s="55" t="s">
        <v>1</v>
      </c>
      <c r="F112" s="55">
        <v>3</v>
      </c>
      <c r="G112" s="55" t="s">
        <v>187</v>
      </c>
      <c r="H112" s="56">
        <v>2.9000000000000001E-2</v>
      </c>
      <c r="I112" s="56">
        <v>0.03</v>
      </c>
      <c r="J112" s="56">
        <v>0.03</v>
      </c>
      <c r="K112" s="57" t="s">
        <v>191</v>
      </c>
    </row>
    <row r="113" spans="1:11" x14ac:dyDescent="0.2">
      <c r="B113" s="52">
        <v>45518</v>
      </c>
      <c r="C113" s="53" t="s">
        <v>185</v>
      </c>
      <c r="D113" s="54">
        <v>0.75</v>
      </c>
      <c r="E113" s="55" t="s">
        <v>1</v>
      </c>
      <c r="F113" s="55">
        <v>3</v>
      </c>
      <c r="G113" s="55" t="s">
        <v>192</v>
      </c>
      <c r="H113" s="56">
        <v>2E-3</v>
      </c>
      <c r="I113" s="56">
        <v>2E-3</v>
      </c>
      <c r="J113" s="56">
        <v>-1E-3</v>
      </c>
      <c r="K113" s="57"/>
    </row>
    <row r="114" spans="1:11" ht="26" x14ac:dyDescent="0.2">
      <c r="B114" s="52">
        <v>45518</v>
      </c>
      <c r="C114" s="53" t="s">
        <v>185</v>
      </c>
      <c r="D114" s="54">
        <v>0.83333333333333337</v>
      </c>
      <c r="E114" s="55" t="s">
        <v>1</v>
      </c>
      <c r="F114" s="55">
        <v>3</v>
      </c>
      <c r="G114" s="55" t="s">
        <v>9</v>
      </c>
      <c r="H114" s="62" t="s">
        <v>208</v>
      </c>
      <c r="I114" s="62" t="s">
        <v>207</v>
      </c>
      <c r="J114" s="56" t="s">
        <v>164</v>
      </c>
      <c r="K114" s="57" t="s">
        <v>193</v>
      </c>
    </row>
    <row r="115" spans="1:11" x14ac:dyDescent="0.2">
      <c r="B115" s="52">
        <v>45519</v>
      </c>
      <c r="C115" s="53" t="s">
        <v>194</v>
      </c>
      <c r="D115" s="54">
        <v>0.22222222222222221</v>
      </c>
      <c r="E115" s="55" t="s">
        <v>117</v>
      </c>
      <c r="F115" s="55">
        <v>3</v>
      </c>
      <c r="G115" s="55" t="s">
        <v>98</v>
      </c>
      <c r="H115" s="56">
        <v>8.0000000000000002E-3</v>
      </c>
      <c r="I115" s="56">
        <v>6.0000000000000001E-3</v>
      </c>
      <c r="J115" s="56">
        <v>-6.0000000000000001E-3</v>
      </c>
      <c r="K115" s="58"/>
    </row>
    <row r="116" spans="1:11" ht="27" x14ac:dyDescent="0.2">
      <c r="B116" s="52">
        <v>45519</v>
      </c>
      <c r="C116" s="53" t="s">
        <v>194</v>
      </c>
      <c r="D116" s="54">
        <v>0.47916666666666669</v>
      </c>
      <c r="E116" s="55" t="s">
        <v>53</v>
      </c>
      <c r="F116" s="55">
        <v>3</v>
      </c>
      <c r="G116" s="55" t="s">
        <v>195</v>
      </c>
      <c r="H116" s="56">
        <v>8.9999999999999993E-3</v>
      </c>
      <c r="I116" s="56">
        <v>8.9999999999999993E-3</v>
      </c>
      <c r="J116" s="59">
        <v>3.0000000000000001E-3</v>
      </c>
      <c r="K116" s="58" t="s">
        <v>196</v>
      </c>
    </row>
    <row r="117" spans="1:11" x14ac:dyDescent="0.2">
      <c r="B117" s="52">
        <v>45519</v>
      </c>
      <c r="C117" s="53" t="s">
        <v>194</v>
      </c>
      <c r="D117" s="54">
        <v>0.47916666666666669</v>
      </c>
      <c r="E117" s="55" t="s">
        <v>53</v>
      </c>
      <c r="F117" s="55">
        <v>3</v>
      </c>
      <c r="G117" s="55" t="s">
        <v>197</v>
      </c>
      <c r="H117" s="56">
        <v>0</v>
      </c>
      <c r="I117" s="56">
        <v>0</v>
      </c>
      <c r="J117" s="56">
        <v>4.0000000000000001E-3</v>
      </c>
      <c r="K117" s="58" t="s">
        <v>198</v>
      </c>
    </row>
    <row r="118" spans="1:11" ht="27" x14ac:dyDescent="0.2">
      <c r="B118" s="52">
        <v>45519</v>
      </c>
      <c r="C118" s="53" t="s">
        <v>194</v>
      </c>
      <c r="D118" s="54">
        <v>0.47916666666666669</v>
      </c>
      <c r="E118" s="55" t="s">
        <v>53</v>
      </c>
      <c r="F118" s="55">
        <v>3</v>
      </c>
      <c r="G118" s="55" t="s">
        <v>98</v>
      </c>
      <c r="H118" s="56">
        <v>6.0000000000000001E-3</v>
      </c>
      <c r="I118" s="56">
        <v>6.0000000000000001E-3</v>
      </c>
      <c r="J118" s="56">
        <v>7.0000000000000001E-3</v>
      </c>
      <c r="K118" s="58" t="s">
        <v>199</v>
      </c>
    </row>
    <row r="119" spans="1:11" ht="27" x14ac:dyDescent="0.2">
      <c r="B119" s="52">
        <v>45519</v>
      </c>
      <c r="C119" s="53" t="s">
        <v>194</v>
      </c>
      <c r="D119" s="54">
        <v>0.75</v>
      </c>
      <c r="E119" s="55" t="s">
        <v>1</v>
      </c>
      <c r="F119" s="55">
        <v>3</v>
      </c>
      <c r="G119" s="55" t="s">
        <v>200</v>
      </c>
      <c r="H119" s="59">
        <v>4.0000000000000001E-3</v>
      </c>
      <c r="I119" s="56">
        <v>1E-3</v>
      </c>
      <c r="J119" s="56">
        <v>4.0000000000000001E-3</v>
      </c>
      <c r="K119" s="58" t="s">
        <v>201</v>
      </c>
    </row>
    <row r="120" spans="1:11" ht="27" x14ac:dyDescent="0.2">
      <c r="B120" s="52">
        <v>45519</v>
      </c>
      <c r="C120" s="53" t="s">
        <v>194</v>
      </c>
      <c r="D120" s="54">
        <v>0.75</v>
      </c>
      <c r="E120" s="55" t="s">
        <v>1</v>
      </c>
      <c r="F120" s="55">
        <v>3</v>
      </c>
      <c r="G120" s="55" t="s">
        <v>14</v>
      </c>
      <c r="H120" s="59" t="s">
        <v>209</v>
      </c>
      <c r="I120" s="56" t="s">
        <v>210</v>
      </c>
      <c r="J120" s="56" t="s">
        <v>211</v>
      </c>
      <c r="K120" s="58" t="s">
        <v>202</v>
      </c>
    </row>
    <row r="121" spans="1:11" ht="27" x14ac:dyDescent="0.2">
      <c r="B121" s="52">
        <v>45519</v>
      </c>
      <c r="C121" s="53" t="s">
        <v>194</v>
      </c>
      <c r="D121" s="54">
        <v>0.75</v>
      </c>
      <c r="E121" s="55" t="s">
        <v>1</v>
      </c>
      <c r="F121" s="55">
        <v>3</v>
      </c>
      <c r="G121" s="55" t="s">
        <v>203</v>
      </c>
      <c r="H121" s="60">
        <v>-7</v>
      </c>
      <c r="I121" s="60">
        <v>5.4</v>
      </c>
      <c r="J121" s="60">
        <v>13.9</v>
      </c>
      <c r="K121" s="58" t="s">
        <v>204</v>
      </c>
    </row>
    <row r="122" spans="1:11" ht="27" x14ac:dyDescent="0.2">
      <c r="B122" s="52">
        <v>45519</v>
      </c>
      <c r="C122" s="53" t="s">
        <v>194</v>
      </c>
      <c r="D122" s="54">
        <v>0.75</v>
      </c>
      <c r="E122" s="55" t="s">
        <v>1</v>
      </c>
      <c r="F122" s="55">
        <v>3</v>
      </c>
      <c r="G122" s="55" t="s">
        <v>205</v>
      </c>
      <c r="H122" s="56">
        <v>0.01</v>
      </c>
      <c r="I122" s="61">
        <v>4.0000000000000001E-3</v>
      </c>
      <c r="J122" s="61">
        <f>-0.2%</f>
        <v>-2E-3</v>
      </c>
      <c r="K122" s="58" t="s">
        <v>206</v>
      </c>
    </row>
    <row r="123" spans="1:11" ht="27" x14ac:dyDescent="0.2">
      <c r="A123" t="s">
        <v>105</v>
      </c>
      <c r="B123" s="46">
        <v>45524</v>
      </c>
      <c r="C123" s="47" t="s">
        <v>182</v>
      </c>
      <c r="D123" s="48">
        <v>0.54166666666666663</v>
      </c>
      <c r="E123" s="49" t="s">
        <v>214</v>
      </c>
      <c r="F123" s="49">
        <v>3</v>
      </c>
      <c r="G123" s="49" t="s">
        <v>215</v>
      </c>
      <c r="H123" s="50">
        <v>3.5000000000000003E-2</v>
      </c>
      <c r="I123" s="50"/>
      <c r="J123" s="50">
        <v>3.7499999999999999E-2</v>
      </c>
      <c r="K123" s="68" t="s">
        <v>216</v>
      </c>
    </row>
    <row r="124" spans="1:11" ht="27" x14ac:dyDescent="0.2">
      <c r="B124" s="52">
        <v>45524</v>
      </c>
      <c r="C124" s="53" t="s">
        <v>182</v>
      </c>
      <c r="D124" s="54">
        <v>0.60416666666666663</v>
      </c>
      <c r="E124" s="55" t="s">
        <v>22</v>
      </c>
      <c r="F124" s="55">
        <v>3</v>
      </c>
      <c r="G124" s="55" t="s">
        <v>187</v>
      </c>
      <c r="H124" s="56">
        <v>2.5999999999999999E-2</v>
      </c>
      <c r="I124" s="56">
        <v>2.5999999999999999E-2</v>
      </c>
      <c r="J124" s="56">
        <v>2.5000000000000001E-2</v>
      </c>
      <c r="K124" s="69" t="s">
        <v>217</v>
      </c>
    </row>
    <row r="125" spans="1:11" ht="39" x14ac:dyDescent="0.2">
      <c r="B125" s="52">
        <v>45525</v>
      </c>
      <c r="C125" s="53" t="s">
        <v>185</v>
      </c>
      <c r="D125" s="54">
        <v>0.83333333333333337</v>
      </c>
      <c r="E125" s="55" t="s">
        <v>1</v>
      </c>
      <c r="F125" s="55">
        <v>3</v>
      </c>
      <c r="G125" s="55" t="s">
        <v>9</v>
      </c>
      <c r="H125" s="56" t="s">
        <v>218</v>
      </c>
      <c r="I125" s="56" t="s">
        <v>219</v>
      </c>
      <c r="J125" s="56" t="s">
        <v>220</v>
      </c>
      <c r="K125" s="70" t="s">
        <v>221</v>
      </c>
    </row>
    <row r="126" spans="1:11" ht="52" x14ac:dyDescent="0.2">
      <c r="B126" s="52">
        <v>45525</v>
      </c>
      <c r="C126" s="53" t="s">
        <v>185</v>
      </c>
      <c r="D126" s="54">
        <v>0.97916666666666663</v>
      </c>
      <c r="E126" s="55" t="s">
        <v>1</v>
      </c>
      <c r="F126" s="55">
        <v>3</v>
      </c>
      <c r="G126" s="55" t="s">
        <v>7</v>
      </c>
      <c r="H126" s="55"/>
      <c r="I126" s="56"/>
      <c r="J126" s="56"/>
      <c r="K126" s="70" t="s">
        <v>222</v>
      </c>
    </row>
    <row r="127" spans="1:11" ht="39" x14ac:dyDescent="0.2">
      <c r="B127" s="52">
        <v>45526</v>
      </c>
      <c r="C127" s="53" t="s">
        <v>194</v>
      </c>
      <c r="D127" s="54">
        <v>0.75</v>
      </c>
      <c r="E127" s="55" t="s">
        <v>1</v>
      </c>
      <c r="F127" s="55">
        <v>3</v>
      </c>
      <c r="G127" s="55" t="s">
        <v>14</v>
      </c>
      <c r="H127" s="55" t="s">
        <v>223</v>
      </c>
      <c r="I127" s="56" t="s">
        <v>223</v>
      </c>
      <c r="J127" s="56" t="s">
        <v>209</v>
      </c>
      <c r="K127" s="70" t="s">
        <v>224</v>
      </c>
    </row>
    <row r="128" spans="1:11" ht="39" x14ac:dyDescent="0.2">
      <c r="B128" s="52">
        <v>45526</v>
      </c>
      <c r="C128" s="53" t="s">
        <v>194</v>
      </c>
      <c r="D128" s="54">
        <v>0.80208333333333337</v>
      </c>
      <c r="E128" s="55" t="s">
        <v>1</v>
      </c>
      <c r="F128" s="55">
        <v>3</v>
      </c>
      <c r="G128" s="55" t="s">
        <v>225</v>
      </c>
      <c r="H128" s="55">
        <v>48</v>
      </c>
      <c r="I128" s="60">
        <v>49.8</v>
      </c>
      <c r="J128" s="60">
        <v>49.6</v>
      </c>
      <c r="K128" s="70" t="s">
        <v>226</v>
      </c>
    </row>
    <row r="129" spans="1:11" x14ac:dyDescent="0.2">
      <c r="B129" s="52">
        <v>45526</v>
      </c>
      <c r="C129" s="53" t="s">
        <v>194</v>
      </c>
      <c r="D129" s="54">
        <v>0.80208333333333337</v>
      </c>
      <c r="E129" s="55" t="s">
        <v>1</v>
      </c>
      <c r="F129" s="55">
        <v>3</v>
      </c>
      <c r="G129" s="55" t="s">
        <v>227</v>
      </c>
      <c r="H129" s="55">
        <v>55.2</v>
      </c>
      <c r="I129" s="60">
        <v>54</v>
      </c>
      <c r="J129" s="60">
        <v>55</v>
      </c>
      <c r="K129" s="70"/>
    </row>
    <row r="130" spans="1:11" ht="39" x14ac:dyDescent="0.2">
      <c r="B130" s="52">
        <v>45526</v>
      </c>
      <c r="C130" s="53" t="s">
        <v>194</v>
      </c>
      <c r="D130" s="54">
        <v>0.8125</v>
      </c>
      <c r="E130" s="55" t="s">
        <v>1</v>
      </c>
      <c r="F130" s="55">
        <v>3</v>
      </c>
      <c r="G130" s="55" t="s">
        <v>228</v>
      </c>
      <c r="H130" s="60" t="s">
        <v>229</v>
      </c>
      <c r="I130" s="60" t="s">
        <v>230</v>
      </c>
      <c r="J130" s="60" t="s">
        <v>231</v>
      </c>
      <c r="K130" s="70" t="s">
        <v>232</v>
      </c>
    </row>
    <row r="131" spans="1:11" ht="39" x14ac:dyDescent="0.2">
      <c r="B131" s="52">
        <v>45527</v>
      </c>
      <c r="C131" s="53" t="s">
        <v>233</v>
      </c>
      <c r="D131" s="54">
        <v>0.25</v>
      </c>
      <c r="E131" s="55" t="s">
        <v>117</v>
      </c>
      <c r="F131" s="55">
        <v>3</v>
      </c>
      <c r="G131" s="55" t="s">
        <v>234</v>
      </c>
      <c r="H131" s="56"/>
      <c r="I131" s="56"/>
      <c r="J131" s="56"/>
      <c r="K131" s="70" t="s">
        <v>235</v>
      </c>
    </row>
    <row r="132" spans="1:11" ht="53" x14ac:dyDescent="0.2">
      <c r="B132" s="52">
        <v>45527</v>
      </c>
      <c r="C132" s="53" t="s">
        <v>233</v>
      </c>
      <c r="D132" s="54">
        <v>0.8125</v>
      </c>
      <c r="E132" s="55" t="s">
        <v>1</v>
      </c>
      <c r="F132" s="55">
        <v>3</v>
      </c>
      <c r="G132" s="55" t="s">
        <v>236</v>
      </c>
      <c r="H132" s="56"/>
      <c r="I132" s="56"/>
      <c r="J132" s="56"/>
      <c r="K132" s="69" t="s">
        <v>237</v>
      </c>
    </row>
    <row r="133" spans="1:11" x14ac:dyDescent="0.2">
      <c r="B133" s="52">
        <v>45527</v>
      </c>
      <c r="C133" s="53" t="s">
        <v>233</v>
      </c>
      <c r="D133" s="54">
        <v>0.8125</v>
      </c>
      <c r="E133" s="55" t="s">
        <v>1</v>
      </c>
      <c r="F133" s="55">
        <v>3</v>
      </c>
      <c r="G133" s="55" t="s">
        <v>238</v>
      </c>
      <c r="H133" s="71" t="s">
        <v>239</v>
      </c>
      <c r="I133" s="56" t="s">
        <v>240</v>
      </c>
      <c r="J133" s="56" t="s">
        <v>241</v>
      </c>
      <c r="K133" s="69"/>
    </row>
    <row r="134" spans="1:11" x14ac:dyDescent="0.2">
      <c r="C134" t="s">
        <v>212</v>
      </c>
    </row>
    <row r="135" spans="1:11" x14ac:dyDescent="0.2">
      <c r="A135" t="s">
        <v>105</v>
      </c>
      <c r="B135" s="72" t="s">
        <v>35</v>
      </c>
      <c r="C135" s="72" t="s">
        <v>34</v>
      </c>
      <c r="D135" s="72" t="s">
        <v>33</v>
      </c>
      <c r="E135" s="72" t="s">
        <v>32</v>
      </c>
      <c r="F135" s="72" t="s">
        <v>31</v>
      </c>
      <c r="G135" s="72" t="s">
        <v>30</v>
      </c>
      <c r="H135" s="72" t="s">
        <v>29</v>
      </c>
      <c r="I135" s="73" t="s">
        <v>28</v>
      </c>
      <c r="J135" s="73" t="s">
        <v>27</v>
      </c>
      <c r="K135" s="72" t="s">
        <v>75</v>
      </c>
    </row>
    <row r="136" spans="1:11" ht="66" x14ac:dyDescent="0.2">
      <c r="B136" s="6">
        <v>45530</v>
      </c>
      <c r="C136" s="7" t="str">
        <f>VLOOKUP(WEEKDAY(B136,2),'EC-Commands'!$D$11:$E$17,2,FALSE)</f>
        <v>Mon</v>
      </c>
      <c r="D136" s="8">
        <v>0.75</v>
      </c>
      <c r="E136" s="9" t="s">
        <v>1</v>
      </c>
      <c r="F136" s="9">
        <v>3</v>
      </c>
      <c r="G136" s="9" t="s">
        <v>242</v>
      </c>
      <c r="H136" s="74">
        <v>9.9000000000000005E-2</v>
      </c>
      <c r="I136" s="74">
        <v>0.04</v>
      </c>
      <c r="J136" s="74">
        <v>-6.6000000000000003E-2</v>
      </c>
      <c r="K136" s="15" t="s">
        <v>243</v>
      </c>
    </row>
    <row r="137" spans="1:11" ht="66" x14ac:dyDescent="0.2">
      <c r="B137" s="6">
        <f>B136+1</f>
        <v>45531</v>
      </c>
      <c r="C137" s="7" t="str">
        <f>VLOOKUP(WEEKDAY(B137,2),'EC-Commands'!$D$11:$E$17,2,FALSE)</f>
        <v>Tue</v>
      </c>
      <c r="D137" s="8">
        <v>0.47916666666666669</v>
      </c>
      <c r="E137" s="9" t="s">
        <v>22</v>
      </c>
      <c r="F137" s="9">
        <v>3</v>
      </c>
      <c r="G137" s="9" t="s">
        <v>244</v>
      </c>
      <c r="H137" s="23">
        <f>-0.1%</f>
        <v>-1E-3</v>
      </c>
      <c r="I137" s="23">
        <f>-0.1%</f>
        <v>-1E-3</v>
      </c>
      <c r="J137" s="23">
        <f>0.2%</f>
        <v>2E-3</v>
      </c>
      <c r="K137" s="15" t="s">
        <v>245</v>
      </c>
    </row>
    <row r="138" spans="1:11" ht="40" x14ac:dyDescent="0.2">
      <c r="B138" s="6">
        <f>B137</f>
        <v>45531</v>
      </c>
      <c r="C138" s="7" t="str">
        <f>VLOOKUP(WEEKDAY(B138,2),'EC-Commands'!$D$11:$E$17,2,FALSE)</f>
        <v>Tue</v>
      </c>
      <c r="D138" s="8">
        <v>0.8125</v>
      </c>
      <c r="E138" s="9" t="s">
        <v>1</v>
      </c>
      <c r="F138" s="9">
        <v>3</v>
      </c>
      <c r="G138" s="9" t="s">
        <v>246</v>
      </c>
      <c r="H138" s="75">
        <v>103.3</v>
      </c>
      <c r="I138" s="75">
        <v>100.1</v>
      </c>
      <c r="J138" s="75">
        <v>100.3</v>
      </c>
      <c r="K138" s="15" t="s">
        <v>247</v>
      </c>
    </row>
    <row r="139" spans="1:11" ht="53" x14ac:dyDescent="0.2">
      <c r="B139" s="6">
        <f>B138+1</f>
        <v>45532</v>
      </c>
      <c r="C139" s="7" t="str">
        <f>VLOOKUP(WEEKDAY(B139,2),'EC-Commands'!$D$11:$E$17,2,FALSE)</f>
        <v>Wed</v>
      </c>
      <c r="D139" s="8">
        <v>0.83333333333333337</v>
      </c>
      <c r="E139" s="9" t="s">
        <v>1</v>
      </c>
      <c r="F139" s="9">
        <v>3</v>
      </c>
      <c r="G139" s="9" t="s">
        <v>9</v>
      </c>
      <c r="H139" s="22" t="s">
        <v>267</v>
      </c>
      <c r="I139" s="22" t="s">
        <v>266</v>
      </c>
      <c r="J139" s="22" t="s">
        <v>218</v>
      </c>
      <c r="K139" s="15" t="s">
        <v>248</v>
      </c>
    </row>
    <row r="140" spans="1:11" ht="53" x14ac:dyDescent="0.2">
      <c r="B140" s="6">
        <f>B139+1</f>
        <v>45533</v>
      </c>
      <c r="C140" s="7" t="str">
        <f>VLOOKUP(WEEKDAY(B140,2),'EC-Commands'!$D$11:$E$17,2,FALSE)</f>
        <v>Thu</v>
      </c>
      <c r="D140" s="8">
        <v>6.25E-2</v>
      </c>
      <c r="E140" s="9" t="s">
        <v>1</v>
      </c>
      <c r="F140" s="9">
        <v>3</v>
      </c>
      <c r="G140" s="9" t="s">
        <v>249</v>
      </c>
      <c r="H140" s="10"/>
      <c r="I140" s="23"/>
      <c r="J140" s="23"/>
      <c r="K140" s="15" t="s">
        <v>250</v>
      </c>
    </row>
    <row r="141" spans="1:11" ht="53" x14ac:dyDescent="0.2">
      <c r="B141" s="6">
        <f>B140</f>
        <v>45533</v>
      </c>
      <c r="C141" s="7" t="str">
        <f>VLOOKUP(WEEKDAY(B141,2),'EC-Commands'!$D$11:$E$17,2,FALSE)</f>
        <v>Thu</v>
      </c>
      <c r="D141" s="8">
        <v>0.72916666666666663</v>
      </c>
      <c r="E141" s="9" t="s">
        <v>22</v>
      </c>
      <c r="F141" s="9">
        <v>3</v>
      </c>
      <c r="G141" s="9" t="s">
        <v>251</v>
      </c>
      <c r="H141" s="23">
        <v>-1E-3</v>
      </c>
      <c r="I141" s="23">
        <v>0</v>
      </c>
      <c r="J141" s="23">
        <v>3.0000000000000001E-3</v>
      </c>
      <c r="K141" s="15" t="s">
        <v>252</v>
      </c>
    </row>
    <row r="142" spans="1:11" ht="53" x14ac:dyDescent="0.2">
      <c r="B142" s="6">
        <f>B141</f>
        <v>45533</v>
      </c>
      <c r="C142" s="7" t="str">
        <f>VLOOKUP(WEEKDAY(B142,2),'EC-Commands'!$D$11:$E$17,2,FALSE)</f>
        <v>Thu</v>
      </c>
      <c r="D142" s="8">
        <v>0.75</v>
      </c>
      <c r="E142" s="9" t="s">
        <v>1</v>
      </c>
      <c r="F142" s="9">
        <v>3</v>
      </c>
      <c r="G142" s="9" t="s">
        <v>253</v>
      </c>
      <c r="H142" s="23">
        <v>0.03</v>
      </c>
      <c r="I142" s="23">
        <v>2.8000000000000001E-2</v>
      </c>
      <c r="J142" s="23">
        <v>1.4E-2</v>
      </c>
      <c r="K142" s="15" t="s">
        <v>254</v>
      </c>
    </row>
    <row r="143" spans="1:11" ht="27" x14ac:dyDescent="0.2">
      <c r="B143" s="6">
        <f>B142</f>
        <v>45533</v>
      </c>
      <c r="C143" s="7" t="str">
        <f>VLOOKUP(WEEKDAY(B143,2),'EC-Commands'!$D$11:$E$17,2,FALSE)</f>
        <v>Thu</v>
      </c>
      <c r="D143" s="8">
        <v>0.75</v>
      </c>
      <c r="E143" s="9" t="s">
        <v>1</v>
      </c>
      <c r="F143" s="9">
        <v>3</v>
      </c>
      <c r="G143" s="9" t="s">
        <v>14</v>
      </c>
      <c r="H143" s="23" t="s">
        <v>268</v>
      </c>
      <c r="I143" s="23" t="s">
        <v>223</v>
      </c>
      <c r="J143" s="23" t="s">
        <v>13</v>
      </c>
      <c r="K143" s="76" t="s">
        <v>255</v>
      </c>
    </row>
    <row r="144" spans="1:11" ht="53" x14ac:dyDescent="0.2">
      <c r="B144" s="6">
        <f>B143+1</f>
        <v>45534</v>
      </c>
      <c r="C144" s="7" t="str">
        <f>VLOOKUP(WEEKDAY(B144,2),'EC-Commands'!$D$11:$E$17,2,FALSE)</f>
        <v>Fri</v>
      </c>
      <c r="D144" s="8">
        <v>0.75</v>
      </c>
      <c r="E144" s="9" t="s">
        <v>22</v>
      </c>
      <c r="F144" s="9">
        <v>3</v>
      </c>
      <c r="G144" s="9" t="s">
        <v>256</v>
      </c>
      <c r="H144" s="23">
        <v>2.1999999999999999E-2</v>
      </c>
      <c r="I144" s="23">
        <v>2.1999999999999999E-2</v>
      </c>
      <c r="J144" s="23">
        <v>2.5999999999999999E-2</v>
      </c>
      <c r="K144" s="15" t="s">
        <v>257</v>
      </c>
    </row>
    <row r="145" spans="1:11" x14ac:dyDescent="0.2">
      <c r="B145" s="6">
        <f>B144</f>
        <v>45534</v>
      </c>
      <c r="C145" s="7" t="str">
        <f>VLOOKUP(WEEKDAY(B145,2),'EC-Commands'!$D$11:$E$17,2,FALSE)</f>
        <v>Fri</v>
      </c>
      <c r="D145" s="8">
        <v>0.75</v>
      </c>
      <c r="E145" s="9" t="s">
        <v>1</v>
      </c>
      <c r="F145" s="9">
        <v>3</v>
      </c>
      <c r="G145" s="9" t="s">
        <v>258</v>
      </c>
      <c r="H145" s="23">
        <v>2.1999999999999999E-2</v>
      </c>
      <c r="I145" s="23">
        <v>2.1999999999999999E-2</v>
      </c>
      <c r="J145" s="23">
        <v>2.5999999999999999E-2</v>
      </c>
      <c r="K145" s="15"/>
    </row>
    <row r="146" spans="1:11" ht="40" x14ac:dyDescent="0.2">
      <c r="B146" s="6">
        <f>B145</f>
        <v>45534</v>
      </c>
      <c r="C146" s="7" t="str">
        <f>VLOOKUP(WEEKDAY(B146,2),'EC-Commands'!$D$11:$E$17,2,FALSE)</f>
        <v>Fri</v>
      </c>
      <c r="D146" s="8">
        <v>0.75</v>
      </c>
      <c r="E146" s="9" t="s">
        <v>1</v>
      </c>
      <c r="F146" s="9">
        <v>3</v>
      </c>
      <c r="G146" s="9" t="s">
        <v>259</v>
      </c>
      <c r="H146" s="23">
        <v>2E-3</v>
      </c>
      <c r="I146" s="23">
        <v>2E-3</v>
      </c>
      <c r="J146" s="23">
        <v>2E-3</v>
      </c>
      <c r="K146" s="15" t="s">
        <v>260</v>
      </c>
    </row>
    <row r="147" spans="1:11" ht="53" x14ac:dyDescent="0.2">
      <c r="B147" s="6">
        <f>B146</f>
        <v>45534</v>
      </c>
      <c r="C147" s="7" t="str">
        <f>VLOOKUP(WEEKDAY(B147,2),'EC-Commands'!$D$11:$E$17,2,FALSE)</f>
        <v>Fri</v>
      </c>
      <c r="D147" s="8">
        <v>0.80208333333333337</v>
      </c>
      <c r="E147" s="9" t="s">
        <v>1</v>
      </c>
      <c r="F147" s="9">
        <v>3</v>
      </c>
      <c r="G147" s="9" t="s">
        <v>261</v>
      </c>
      <c r="H147" s="20">
        <v>46.1</v>
      </c>
      <c r="I147" s="20">
        <v>45</v>
      </c>
      <c r="J147" s="20">
        <v>45.3</v>
      </c>
      <c r="K147" s="15" t="s">
        <v>262</v>
      </c>
    </row>
    <row r="148" spans="1:11" ht="40" x14ac:dyDescent="0.2">
      <c r="B148" s="6">
        <f>B147+1</f>
        <v>45535</v>
      </c>
      <c r="C148" s="7" t="str">
        <f>VLOOKUP(WEEKDAY(B148,2),'EC-Commands'!$D$11:$E$19,2,FALSE)</f>
        <v>Sat</v>
      </c>
      <c r="D148" s="8">
        <v>0.29166666666666669</v>
      </c>
      <c r="E148" s="9" t="s">
        <v>65</v>
      </c>
      <c r="F148" s="9">
        <v>3</v>
      </c>
      <c r="G148" s="9" t="s">
        <v>263</v>
      </c>
      <c r="H148" s="20">
        <v>49.1</v>
      </c>
      <c r="I148" s="20">
        <v>49.5</v>
      </c>
      <c r="J148" s="20">
        <v>49.4</v>
      </c>
      <c r="K148" s="15" t="s">
        <v>264</v>
      </c>
    </row>
    <row r="149" spans="1:11" x14ac:dyDescent="0.2">
      <c r="C149" t="s">
        <v>265</v>
      </c>
      <c r="H149"/>
      <c r="J149" s="1"/>
      <c r="K149" s="26"/>
    </row>
    <row r="150" spans="1:11" ht="105" x14ac:dyDescent="0.2">
      <c r="A150" t="s">
        <v>105</v>
      </c>
      <c r="B150" s="6">
        <v>45538</v>
      </c>
      <c r="C150" s="7" t="str">
        <f>VLOOKUP(WEEKDAY(B150,2),'EC-Commands'!$D$11:$E$19,2,FALSE)</f>
        <v>Tue</v>
      </c>
      <c r="D150" s="8">
        <v>0.5</v>
      </c>
      <c r="E150" s="9" t="s">
        <v>270</v>
      </c>
      <c r="F150" s="9">
        <v>2</v>
      </c>
      <c r="G150" s="9" t="s">
        <v>271</v>
      </c>
      <c r="H150" s="74"/>
      <c r="I150" s="74">
        <v>1E-3</v>
      </c>
      <c r="J150" s="74">
        <f>-0.2%</f>
        <v>-2E-3</v>
      </c>
      <c r="K150" s="15" t="s">
        <v>272</v>
      </c>
    </row>
    <row r="151" spans="1:11" ht="66" x14ac:dyDescent="0.2">
      <c r="B151" s="6">
        <v>45538</v>
      </c>
      <c r="C151" s="7" t="str">
        <f>VLOOKUP(WEEKDAY(B151,2),'EC-Commands'!$D$11:$E$19,2,FALSE)</f>
        <v>Tue</v>
      </c>
      <c r="D151" s="8">
        <v>0.80208333333333337</v>
      </c>
      <c r="E151" s="9" t="s">
        <v>1</v>
      </c>
      <c r="F151" s="9">
        <v>3</v>
      </c>
      <c r="G151" s="9" t="s">
        <v>263</v>
      </c>
      <c r="H151" s="74"/>
      <c r="I151" s="20">
        <v>48.1</v>
      </c>
      <c r="J151" s="20">
        <v>48</v>
      </c>
      <c r="K151" s="15" t="s">
        <v>273</v>
      </c>
    </row>
    <row r="152" spans="1:11" ht="66" x14ac:dyDescent="0.2">
      <c r="B152" s="6">
        <v>45538</v>
      </c>
      <c r="C152" s="7" t="str">
        <f>VLOOKUP(WEEKDAY(B152,2),'EC-Commands'!$D$11:$E$19,2,FALSE)</f>
        <v>Tue</v>
      </c>
      <c r="D152" s="8">
        <v>0.8125</v>
      </c>
      <c r="E152" s="9" t="s">
        <v>1</v>
      </c>
      <c r="F152" s="9">
        <v>3</v>
      </c>
      <c r="G152" s="9" t="s">
        <v>274</v>
      </c>
      <c r="H152" s="74"/>
      <c r="I152" s="20">
        <v>47.5</v>
      </c>
      <c r="J152" s="20">
        <v>46.8</v>
      </c>
      <c r="K152" s="15" t="s">
        <v>273</v>
      </c>
    </row>
    <row r="153" spans="1:11" ht="66" x14ac:dyDescent="0.2">
      <c r="B153" s="6">
        <v>45538</v>
      </c>
      <c r="C153" s="7" t="str">
        <f>VLOOKUP(WEEKDAY(B153,2),'EC-Commands'!$D$11:$E$19,2,FALSE)</f>
        <v>Tue</v>
      </c>
      <c r="D153" s="8">
        <f>D152</f>
        <v>0.8125</v>
      </c>
      <c r="E153" s="9" t="s">
        <v>1</v>
      </c>
      <c r="F153" s="9">
        <v>3</v>
      </c>
      <c r="G153" s="9" t="s">
        <v>275</v>
      </c>
      <c r="H153" s="74"/>
      <c r="I153" s="20">
        <v>52.5</v>
      </c>
      <c r="J153" s="20">
        <v>52.9</v>
      </c>
      <c r="K153" s="15" t="s">
        <v>273</v>
      </c>
    </row>
    <row r="154" spans="1:11" ht="144" x14ac:dyDescent="0.2">
      <c r="B154" s="6">
        <f>B153+1</f>
        <v>45539</v>
      </c>
      <c r="C154" s="7" t="str">
        <f>VLOOKUP(WEEKDAY(B154,2),'EC-Commands'!$D$11:$E$19,2,FALSE)</f>
        <v>Wed</v>
      </c>
      <c r="D154" s="8">
        <v>0.80208333333333337</v>
      </c>
      <c r="E154" s="9" t="s">
        <v>89</v>
      </c>
      <c r="F154" s="9">
        <v>3</v>
      </c>
      <c r="G154" s="9" t="s">
        <v>90</v>
      </c>
      <c r="H154" s="74"/>
      <c r="I154" s="74">
        <v>4.2500000000000003E-2</v>
      </c>
      <c r="J154" s="74">
        <v>4.4999999999999998E-2</v>
      </c>
      <c r="K154" s="15" t="s">
        <v>276</v>
      </c>
    </row>
    <row r="155" spans="1:11" ht="66" x14ac:dyDescent="0.2">
      <c r="B155" s="6">
        <f>B154</f>
        <v>45539</v>
      </c>
      <c r="C155" s="7" t="str">
        <f>VLOOKUP(WEEKDAY(B155,2),'EC-Commands'!$D$11:$E$19,2,FALSE)</f>
        <v>Wed</v>
      </c>
      <c r="D155" s="8">
        <v>0.83333333333333337</v>
      </c>
      <c r="E155" s="9" t="s">
        <v>1</v>
      </c>
      <c r="F155" s="9">
        <v>3</v>
      </c>
      <c r="G155" s="9" t="s">
        <v>277</v>
      </c>
      <c r="H155" s="74"/>
      <c r="I155" s="77" t="s">
        <v>278</v>
      </c>
      <c r="J155" s="77" t="s">
        <v>279</v>
      </c>
      <c r="K155" s="15" t="s">
        <v>273</v>
      </c>
    </row>
    <row r="156" spans="1:11" ht="66" x14ac:dyDescent="0.2">
      <c r="B156" s="6">
        <f>B155+1</f>
        <v>45540</v>
      </c>
      <c r="C156" s="7" t="str">
        <f>VLOOKUP(WEEKDAY(B156,2),'EC-Commands'!$D$11:$E$19,2,FALSE)</f>
        <v>Thu</v>
      </c>
      <c r="D156" s="8">
        <v>0.73958333333333337</v>
      </c>
      <c r="E156" s="9" t="s">
        <v>1</v>
      </c>
      <c r="F156" s="9">
        <v>3</v>
      </c>
      <c r="G156" s="9" t="s">
        <v>280</v>
      </c>
      <c r="H156" s="74"/>
      <c r="I156" s="20" t="s">
        <v>281</v>
      </c>
      <c r="J156" s="20" t="s">
        <v>282</v>
      </c>
      <c r="K156" s="15" t="s">
        <v>273</v>
      </c>
    </row>
    <row r="157" spans="1:11" ht="66" x14ac:dyDescent="0.2">
      <c r="B157" s="6">
        <f>B156</f>
        <v>45540</v>
      </c>
      <c r="C157" s="7" t="str">
        <f>VLOOKUP(WEEKDAY(B157,2),'EC-Commands'!$D$11:$E$19,2,FALSE)</f>
        <v>Thu</v>
      </c>
      <c r="D157" s="8">
        <v>0.75</v>
      </c>
      <c r="E157" s="9" t="s">
        <v>1</v>
      </c>
      <c r="F157" s="9">
        <v>3</v>
      </c>
      <c r="G157" s="9" t="s">
        <v>14</v>
      </c>
      <c r="H157" s="74"/>
      <c r="I157" s="20"/>
      <c r="J157" s="20" t="s">
        <v>268</v>
      </c>
      <c r="K157" s="15" t="s">
        <v>283</v>
      </c>
    </row>
    <row r="158" spans="1:11" ht="66" x14ac:dyDescent="0.2">
      <c r="B158" s="6">
        <f>B157</f>
        <v>45540</v>
      </c>
      <c r="C158" s="7" t="str">
        <f>VLOOKUP(WEEKDAY(B158,2),'EC-Commands'!$D$11:$E$19,2,FALSE)</f>
        <v>Thu</v>
      </c>
      <c r="D158" s="8">
        <v>0.80208333333333337</v>
      </c>
      <c r="E158" s="9" t="s">
        <v>1</v>
      </c>
      <c r="F158" s="9">
        <v>3</v>
      </c>
      <c r="G158" s="9" t="s">
        <v>284</v>
      </c>
      <c r="H158" s="74"/>
      <c r="I158" s="20">
        <v>55.2</v>
      </c>
      <c r="J158" s="20">
        <v>55.2</v>
      </c>
      <c r="K158" s="15" t="s">
        <v>273</v>
      </c>
    </row>
    <row r="159" spans="1:11" ht="66" x14ac:dyDescent="0.2">
      <c r="B159" s="6">
        <f>B158</f>
        <v>45540</v>
      </c>
      <c r="C159" s="7" t="str">
        <f>VLOOKUP(WEEKDAY(B159,2),'EC-Commands'!$D$11:$E$19,2,FALSE)</f>
        <v>Thu</v>
      </c>
      <c r="D159" s="8">
        <v>0.8125</v>
      </c>
      <c r="E159" s="9" t="s">
        <v>1</v>
      </c>
      <c r="F159" s="9">
        <v>3</v>
      </c>
      <c r="G159" s="9" t="s">
        <v>285</v>
      </c>
      <c r="H159" s="10"/>
      <c r="I159" s="20">
        <v>50.9</v>
      </c>
      <c r="J159" s="20">
        <v>51.4</v>
      </c>
      <c r="K159" s="15" t="s">
        <v>273</v>
      </c>
    </row>
    <row r="160" spans="1:11" ht="66" x14ac:dyDescent="0.2">
      <c r="B160" s="6">
        <f>B159</f>
        <v>45540</v>
      </c>
      <c r="C160" s="7" t="str">
        <f>VLOOKUP(WEEKDAY(B160,2),'EC-Commands'!$D$11:$E$19,2,FALSE)</f>
        <v>Thu</v>
      </c>
      <c r="D160" s="8">
        <v>0.8125</v>
      </c>
      <c r="E160" s="9" t="s">
        <v>1</v>
      </c>
      <c r="F160" s="9">
        <v>3</v>
      </c>
      <c r="G160" s="9" t="s">
        <v>286</v>
      </c>
      <c r="H160" s="10"/>
      <c r="I160" s="20"/>
      <c r="J160" s="20">
        <v>57</v>
      </c>
      <c r="K160" s="15" t="s">
        <v>273</v>
      </c>
    </row>
    <row r="161" spans="1:11" ht="79" x14ac:dyDescent="0.2">
      <c r="B161" s="6">
        <f>B160</f>
        <v>45540</v>
      </c>
      <c r="C161" s="7" t="str">
        <f>VLOOKUP(WEEKDAY(B161,2),'EC-Commands'!$D$11:$E$19,2,FALSE)</f>
        <v>Thu</v>
      </c>
      <c r="D161" s="8">
        <v>0.85416666666666663</v>
      </c>
      <c r="E161" s="9" t="s">
        <v>1</v>
      </c>
      <c r="F161" s="9">
        <v>3</v>
      </c>
      <c r="G161" s="9" t="s">
        <v>287</v>
      </c>
      <c r="H161" s="10"/>
      <c r="I161" s="20"/>
      <c r="J161" s="77" t="s">
        <v>267</v>
      </c>
      <c r="K161" s="15" t="s">
        <v>288</v>
      </c>
    </row>
    <row r="162" spans="1:11" ht="66" x14ac:dyDescent="0.2">
      <c r="B162" s="6">
        <f>B161+1</f>
        <v>45541</v>
      </c>
      <c r="C162" s="7" t="str">
        <f>VLOOKUP(WEEKDAY(B162,2),'EC-Commands'!$D$11:$E$19,2,FALSE)</f>
        <v>Fri</v>
      </c>
      <c r="D162" s="8">
        <v>0.75</v>
      </c>
      <c r="E162" s="9" t="s">
        <v>1</v>
      </c>
      <c r="F162" s="9">
        <v>3</v>
      </c>
      <c r="G162" s="9" t="s">
        <v>289</v>
      </c>
      <c r="H162" s="10"/>
      <c r="I162" s="23"/>
      <c r="J162" s="74">
        <v>2E-3</v>
      </c>
      <c r="K162" s="15" t="s">
        <v>290</v>
      </c>
    </row>
    <row r="163" spans="1:11" ht="144" x14ac:dyDescent="0.2">
      <c r="B163" s="6">
        <v>45541</v>
      </c>
      <c r="C163" s="7" t="str">
        <f>VLOOKUP(WEEKDAY(B163,2),'EC-Commands'!$D$11:$E$19,2,FALSE)</f>
        <v>Fri</v>
      </c>
      <c r="D163" s="8">
        <v>0.75</v>
      </c>
      <c r="E163" s="9" t="s">
        <v>1</v>
      </c>
      <c r="F163" s="9">
        <v>3</v>
      </c>
      <c r="G163" s="9" t="s">
        <v>291</v>
      </c>
      <c r="H163" s="10"/>
      <c r="I163" s="23" t="s">
        <v>292</v>
      </c>
      <c r="J163" s="20" t="s">
        <v>293</v>
      </c>
      <c r="K163" s="15" t="s">
        <v>294</v>
      </c>
    </row>
    <row r="164" spans="1:11" ht="27" x14ac:dyDescent="0.2">
      <c r="B164" s="6">
        <f>B163</f>
        <v>45541</v>
      </c>
      <c r="C164" s="7" t="str">
        <f>VLOOKUP(WEEKDAY(B164,2),'EC-Commands'!$D$11:$E$19,2,FALSE)</f>
        <v>Fri</v>
      </c>
      <c r="D164" s="8">
        <v>0.75</v>
      </c>
      <c r="E164" s="9" t="s">
        <v>1</v>
      </c>
      <c r="F164" s="9">
        <v>3</v>
      </c>
      <c r="G164" s="9" t="s">
        <v>2</v>
      </c>
      <c r="H164" s="10"/>
      <c r="I164" s="23">
        <v>4.2000000000000003E-2</v>
      </c>
      <c r="J164" s="74">
        <v>4.2999999999999997E-2</v>
      </c>
      <c r="K164" s="15" t="s">
        <v>295</v>
      </c>
    </row>
    <row r="165" spans="1:11" ht="27" x14ac:dyDescent="0.2">
      <c r="B165" s="6">
        <f>B164+5</f>
        <v>45546</v>
      </c>
      <c r="C165" s="7" t="str">
        <f>VLOOKUP(WEEKDAY(B165,2),'EC-Commands'!$D$11:$E$19,2,FALSE)</f>
        <v>Wed</v>
      </c>
      <c r="D165" s="8">
        <v>0.75</v>
      </c>
      <c r="E165" s="9" t="s">
        <v>1</v>
      </c>
      <c r="F165" s="9">
        <v>3</v>
      </c>
      <c r="G165" s="9" t="s">
        <v>296</v>
      </c>
      <c r="H165" s="10"/>
      <c r="I165" s="23"/>
      <c r="J165" s="20">
        <v>49.4</v>
      </c>
      <c r="K165" s="15" t="s">
        <v>297</v>
      </c>
    </row>
    <row r="166" spans="1:11" ht="27" x14ac:dyDescent="0.2">
      <c r="B166" s="6">
        <v>45553</v>
      </c>
      <c r="C166" s="7" t="str">
        <f>VLOOKUP(WEEKDAY(B166,2),'EC-Commands'!$D$11:$E$17,2,FALSE)</f>
        <v>Wed</v>
      </c>
      <c r="D166" s="8">
        <v>0.97916666666666663</v>
      </c>
      <c r="E166" s="9" t="s">
        <v>298</v>
      </c>
      <c r="F166" s="9">
        <v>3</v>
      </c>
      <c r="G166" s="9" t="s">
        <v>127</v>
      </c>
      <c r="H166" s="10"/>
      <c r="I166" s="23"/>
      <c r="J166" s="23">
        <v>5.5E-2</v>
      </c>
      <c r="K166" s="15" t="s">
        <v>299</v>
      </c>
    </row>
    <row r="167" spans="1:11" x14ac:dyDescent="0.2">
      <c r="C167" t="s">
        <v>300</v>
      </c>
      <c r="H167"/>
      <c r="J167" s="1"/>
      <c r="K167" s="26"/>
    </row>
    <row r="168" spans="1:11" ht="53" x14ac:dyDescent="0.2">
      <c r="A168" t="s">
        <v>105</v>
      </c>
      <c r="B168" s="6">
        <v>45545</v>
      </c>
      <c r="C168" s="7" t="str">
        <f>VLOOKUP(WEEKDAY(B168,2),'EC-Commands'!$D$11:$E$19,2,FALSE)</f>
        <v>Tue</v>
      </c>
      <c r="D168" s="8">
        <v>0.47916666666666669</v>
      </c>
      <c r="E168" s="9" t="s">
        <v>22</v>
      </c>
      <c r="F168" s="9">
        <v>3</v>
      </c>
      <c r="G168" s="9" t="s">
        <v>301</v>
      </c>
      <c r="H168" s="74">
        <f>-0.1%</f>
        <v>-1E-3</v>
      </c>
      <c r="I168" s="74">
        <f>-0.1%</f>
        <v>-1E-3</v>
      </c>
      <c r="J168" s="74">
        <v>3.0000000000000001E-3</v>
      </c>
      <c r="K168" s="15" t="s">
        <v>302</v>
      </c>
    </row>
    <row r="169" spans="1:11" ht="144" x14ac:dyDescent="0.2">
      <c r="B169" s="6">
        <v>45545</v>
      </c>
      <c r="C169" s="7" t="str">
        <f>VLOOKUP(WEEKDAY(B169,2),'EC-Commands'!$D$11:$E$19,2,FALSE)</f>
        <v>Tue</v>
      </c>
      <c r="D169" s="8">
        <v>0.6875</v>
      </c>
      <c r="E169" s="9" t="s">
        <v>1</v>
      </c>
      <c r="F169" s="9">
        <v>2</v>
      </c>
      <c r="G169" s="9" t="s">
        <v>303</v>
      </c>
      <c r="H169" s="74"/>
      <c r="I169" s="74"/>
      <c r="J169" s="74"/>
      <c r="K169" s="15" t="s">
        <v>304</v>
      </c>
    </row>
    <row r="170" spans="1:11" ht="40" x14ac:dyDescent="0.2">
      <c r="B170" s="6">
        <f>B171</f>
        <v>45546</v>
      </c>
      <c r="C170" s="7" t="str">
        <f>VLOOKUP(WEEKDAY(B170,2),'EC-Commands'!$D$11:$E$19,2,FALSE)</f>
        <v>Wed</v>
      </c>
      <c r="D170" s="8">
        <v>0.27083333333333331</v>
      </c>
      <c r="E170" s="9" t="s">
        <v>1</v>
      </c>
      <c r="F170" s="9">
        <v>3</v>
      </c>
      <c r="G170" s="78" t="s">
        <v>305</v>
      </c>
      <c r="H170" s="74"/>
      <c r="I170" s="74"/>
      <c r="J170" s="74"/>
      <c r="K170" s="15" t="s">
        <v>306</v>
      </c>
    </row>
    <row r="171" spans="1:11" ht="53" x14ac:dyDescent="0.2">
      <c r="B171" s="6">
        <f>B168+1</f>
        <v>45546</v>
      </c>
      <c r="C171" s="7" t="str">
        <f>VLOOKUP(WEEKDAY(B171,2),'EC-Commands'!$D$11:$E$19,2,FALSE)</f>
        <v>Wed</v>
      </c>
      <c r="D171" s="8">
        <v>0.47916666666666669</v>
      </c>
      <c r="E171" s="9" t="s">
        <v>53</v>
      </c>
      <c r="F171" s="9">
        <v>3</v>
      </c>
      <c r="G171" s="9" t="s">
        <v>307</v>
      </c>
      <c r="H171" s="74">
        <v>0</v>
      </c>
      <c r="I171" s="74">
        <v>2E-3</v>
      </c>
      <c r="J171" s="74">
        <v>0</v>
      </c>
      <c r="K171" s="15" t="s">
        <v>308</v>
      </c>
    </row>
    <row r="172" spans="1:11" ht="118" x14ac:dyDescent="0.2">
      <c r="B172" s="6">
        <f>B171</f>
        <v>45546</v>
      </c>
      <c r="C172" s="7" t="str">
        <f>VLOOKUP(WEEKDAY(B172,2),'EC-Commands'!$D$11:$E$19,2,FALSE)</f>
        <v>Wed</v>
      </c>
      <c r="D172" s="8">
        <v>0.75</v>
      </c>
      <c r="E172" s="9" t="s">
        <v>1</v>
      </c>
      <c r="F172" s="9">
        <v>3</v>
      </c>
      <c r="G172" s="9" t="s">
        <v>309</v>
      </c>
      <c r="H172" s="74">
        <v>3.0000000000000001E-3</v>
      </c>
      <c r="I172" s="74">
        <v>2E-3</v>
      </c>
      <c r="J172" s="74">
        <v>2E-3</v>
      </c>
      <c r="K172" s="15" t="s">
        <v>310</v>
      </c>
    </row>
    <row r="173" spans="1:11" ht="118" x14ac:dyDescent="0.2">
      <c r="B173" s="6">
        <f>B172</f>
        <v>45546</v>
      </c>
      <c r="C173" s="7" t="str">
        <f>VLOOKUP(WEEKDAY(B173,2),'EC-Commands'!$D$11:$E$19,2,FALSE)</f>
        <v>Wed</v>
      </c>
      <c r="D173" s="8">
        <v>0.75</v>
      </c>
      <c r="E173" s="9" t="s">
        <v>1</v>
      </c>
      <c r="F173" s="9">
        <v>3</v>
      </c>
      <c r="G173" s="9" t="s">
        <v>311</v>
      </c>
      <c r="H173" s="74">
        <v>2.5000000000000001E-2</v>
      </c>
      <c r="I173" s="74">
        <v>2.5999999999999999E-2</v>
      </c>
      <c r="J173" s="74">
        <v>2.9000000000000001E-2</v>
      </c>
      <c r="K173" s="15" t="s">
        <v>310</v>
      </c>
    </row>
    <row r="174" spans="1:11" ht="118" x14ac:dyDescent="0.2">
      <c r="B174" s="6">
        <f>B173</f>
        <v>45546</v>
      </c>
      <c r="C174" s="7" t="str">
        <f>VLOOKUP(WEEKDAY(B174,2),'EC-Commands'!$D$11:$E$19,2,FALSE)</f>
        <v>Wed</v>
      </c>
      <c r="D174" s="8">
        <v>0.75</v>
      </c>
      <c r="E174" s="9" t="s">
        <v>1</v>
      </c>
      <c r="F174" s="9">
        <v>3</v>
      </c>
      <c r="G174" s="9" t="s">
        <v>271</v>
      </c>
      <c r="H174" s="74">
        <v>2E-3</v>
      </c>
      <c r="I174" s="74">
        <v>2E-3</v>
      </c>
      <c r="J174" s="74">
        <v>2E-3</v>
      </c>
      <c r="K174" s="15" t="s">
        <v>310</v>
      </c>
    </row>
    <row r="175" spans="1:11" ht="79" x14ac:dyDescent="0.2">
      <c r="B175" s="6">
        <f>B174</f>
        <v>45546</v>
      </c>
      <c r="C175" s="7" t="str">
        <f>VLOOKUP(WEEKDAY(B175,2),'EC-Commands'!$D$11:$E$19,2,FALSE)</f>
        <v>Wed</v>
      </c>
      <c r="D175" s="8">
        <v>0.83333333333333337</v>
      </c>
      <c r="E175" s="9" t="s">
        <v>1</v>
      </c>
      <c r="F175" s="9">
        <v>3</v>
      </c>
      <c r="G175" s="9" t="s">
        <v>9</v>
      </c>
      <c r="H175" s="79" t="s">
        <v>328</v>
      </c>
      <c r="I175" s="79" t="s">
        <v>329</v>
      </c>
      <c r="J175" s="79" t="s">
        <v>312</v>
      </c>
      <c r="K175" s="15" t="s">
        <v>313</v>
      </c>
    </row>
    <row r="176" spans="1:11" ht="118" x14ac:dyDescent="0.2">
      <c r="B176" s="6">
        <f>B175</f>
        <v>45546</v>
      </c>
      <c r="C176" s="7" t="str">
        <f>VLOOKUP(WEEKDAY(B176,2),'EC-Commands'!$D$11:$E$19,2,FALSE)</f>
        <v>Wed</v>
      </c>
      <c r="D176" s="8">
        <v>0.9375</v>
      </c>
      <c r="E176" s="9" t="s">
        <v>1</v>
      </c>
      <c r="F176" s="9">
        <v>3</v>
      </c>
      <c r="G176" s="9" t="s">
        <v>52</v>
      </c>
      <c r="H176" s="74">
        <v>3.6479999999999999E-2</v>
      </c>
      <c r="I176" s="74"/>
      <c r="J176" s="79">
        <v>3.9600000000000003E-2</v>
      </c>
      <c r="K176" s="15" t="s">
        <v>314</v>
      </c>
    </row>
    <row r="177" spans="2:11" ht="53" x14ac:dyDescent="0.2">
      <c r="B177" s="6">
        <f>B171+1</f>
        <v>45547</v>
      </c>
      <c r="C177" s="7" t="str">
        <f>VLOOKUP(WEEKDAY(B177,2),'EC-Commands'!$D$11:$E$19,2,FALSE)</f>
        <v>Thu</v>
      </c>
      <c r="D177" s="8">
        <v>0.22222222222222221</v>
      </c>
      <c r="E177" s="9" t="s">
        <v>117</v>
      </c>
      <c r="F177" s="9">
        <v>1</v>
      </c>
      <c r="G177" s="9" t="s">
        <v>315</v>
      </c>
      <c r="H177" s="74">
        <v>-2E-3</v>
      </c>
      <c r="I177" s="74">
        <v>0</v>
      </c>
      <c r="J177" s="74">
        <v>3.0000000000000001E-3</v>
      </c>
      <c r="K177" s="15" t="s">
        <v>316</v>
      </c>
    </row>
    <row r="178" spans="2:11" ht="53" x14ac:dyDescent="0.2">
      <c r="B178" s="6">
        <f>B177</f>
        <v>45547</v>
      </c>
      <c r="C178" s="7" t="str">
        <f>VLOOKUP(WEEKDAY(B178,2),'EC-Commands'!$D$11:$E$19,2,FALSE)</f>
        <v>Thu</v>
      </c>
      <c r="D178" s="8">
        <v>0.22222222222222221</v>
      </c>
      <c r="E178" s="9" t="s">
        <v>117</v>
      </c>
      <c r="F178" s="9">
        <v>1</v>
      </c>
      <c r="G178" s="9" t="s">
        <v>317</v>
      </c>
      <c r="H178" s="74">
        <v>2.5000000000000001E-2</v>
      </c>
      <c r="I178" s="74">
        <v>2.8000000000000001E-2</v>
      </c>
      <c r="J178" s="74">
        <v>0.03</v>
      </c>
      <c r="K178" s="15" t="s">
        <v>316</v>
      </c>
    </row>
    <row r="179" spans="2:11" ht="105" x14ac:dyDescent="0.2">
      <c r="B179" s="6">
        <f>B176+1</f>
        <v>45547</v>
      </c>
      <c r="C179" s="7" t="str">
        <f>VLOOKUP(WEEKDAY(B179,2),'EC-Commands'!$D$11:$E$19,2,FALSE)</f>
        <v>Thu</v>
      </c>
      <c r="D179" s="8">
        <v>0.73958333333333337</v>
      </c>
      <c r="E179" s="9" t="s">
        <v>22</v>
      </c>
      <c r="F179" s="9">
        <v>3</v>
      </c>
      <c r="G179" s="9" t="s">
        <v>318</v>
      </c>
      <c r="H179" s="74">
        <v>3.5000000000000003E-2</v>
      </c>
      <c r="I179" s="74">
        <v>3.5000000000000003E-2</v>
      </c>
      <c r="J179" s="79">
        <v>3.7499999999999999E-2</v>
      </c>
      <c r="K179" s="15" t="s">
        <v>319</v>
      </c>
    </row>
    <row r="180" spans="2:11" ht="105" x14ac:dyDescent="0.2">
      <c r="B180" s="6">
        <f>B179</f>
        <v>45547</v>
      </c>
      <c r="C180" s="7" t="str">
        <f>VLOOKUP(WEEKDAY(B180,2),'EC-Commands'!$D$11:$E$19,2,FALSE)</f>
        <v>Thu</v>
      </c>
      <c r="D180" s="8">
        <v>0.73958333333333337</v>
      </c>
      <c r="E180" s="9" t="s">
        <v>22</v>
      </c>
      <c r="F180" s="9">
        <v>3</v>
      </c>
      <c r="G180" s="9" t="s">
        <v>320</v>
      </c>
      <c r="H180" s="74">
        <v>3.6499999999999998E-2</v>
      </c>
      <c r="I180" s="74">
        <v>3.6499999999999998E-2</v>
      </c>
      <c r="J180" s="79">
        <v>4.2500000000000003E-2</v>
      </c>
      <c r="K180" s="15" t="s">
        <v>319</v>
      </c>
    </row>
    <row r="181" spans="2:11" ht="53" x14ac:dyDescent="0.2">
      <c r="B181" s="6">
        <f>B180</f>
        <v>45547</v>
      </c>
      <c r="C181" s="7" t="str">
        <f>VLOOKUP(WEEKDAY(B181,2),'EC-Commands'!$D$11:$E$19,2,FALSE)</f>
        <v>Thu</v>
      </c>
      <c r="D181" s="8">
        <v>0.75</v>
      </c>
      <c r="E181" s="9" t="s">
        <v>1</v>
      </c>
      <c r="F181" s="9">
        <v>3</v>
      </c>
      <c r="G181" s="9" t="s">
        <v>14</v>
      </c>
      <c r="H181" s="79" t="s">
        <v>330</v>
      </c>
      <c r="I181" s="74" t="s">
        <v>321</v>
      </c>
      <c r="J181" s="79" t="s">
        <v>209</v>
      </c>
      <c r="K181" s="15" t="s">
        <v>322</v>
      </c>
    </row>
    <row r="182" spans="2:11" ht="53" x14ac:dyDescent="0.2">
      <c r="B182" s="6">
        <f>B181</f>
        <v>45547</v>
      </c>
      <c r="C182" s="7" t="str">
        <f>VLOOKUP(WEEKDAY(B182,2),'EC-Commands'!$D$11:$E$19,2,FALSE)</f>
        <v>Thu</v>
      </c>
      <c r="D182" s="8">
        <v>0.75</v>
      </c>
      <c r="E182" s="9" t="s">
        <v>1</v>
      </c>
      <c r="F182" s="9">
        <v>3</v>
      </c>
      <c r="G182" s="9" t="s">
        <v>315</v>
      </c>
      <c r="H182" s="74">
        <v>2E-3</v>
      </c>
      <c r="I182" s="74">
        <v>1E-3</v>
      </c>
      <c r="J182" s="74">
        <v>1E-3</v>
      </c>
      <c r="K182" s="15" t="s">
        <v>323</v>
      </c>
    </row>
    <row r="183" spans="2:11" ht="105" x14ac:dyDescent="0.2">
      <c r="B183" s="6">
        <f>B182</f>
        <v>45547</v>
      </c>
      <c r="C183" s="7" t="str">
        <f>VLOOKUP(WEEKDAY(B183,2),'EC-Commands'!$D$11:$E$19,2,FALSE)</f>
        <v>Thu</v>
      </c>
      <c r="D183" s="8">
        <v>0.76041666666666663</v>
      </c>
      <c r="E183" s="9" t="s">
        <v>22</v>
      </c>
      <c r="F183" s="9">
        <v>3</v>
      </c>
      <c r="G183" s="9" t="s">
        <v>74</v>
      </c>
      <c r="H183" s="74"/>
      <c r="I183" s="74"/>
      <c r="J183" s="74"/>
      <c r="K183" s="15" t="s">
        <v>319</v>
      </c>
    </row>
    <row r="184" spans="2:11" ht="118" x14ac:dyDescent="0.2">
      <c r="B184" s="6">
        <f>B179</f>
        <v>45547</v>
      </c>
      <c r="C184" s="7" t="str">
        <f>VLOOKUP(WEEKDAY(B184,2),'EC-Commands'!$D$11:$E$19,2,FALSE)</f>
        <v>Thu</v>
      </c>
      <c r="D184" s="8">
        <v>0.9375</v>
      </c>
      <c r="E184" s="9" t="s">
        <v>1</v>
      </c>
      <c r="F184" s="9">
        <v>3</v>
      </c>
      <c r="G184" s="9" t="s">
        <v>174</v>
      </c>
      <c r="H184" s="80">
        <v>4.0149999999999998E-2</v>
      </c>
      <c r="I184" s="74"/>
      <c r="J184" s="81">
        <v>4.3139999999999998E-2</v>
      </c>
      <c r="K184" s="15" t="s">
        <v>324</v>
      </c>
    </row>
    <row r="185" spans="2:11" ht="53" x14ac:dyDescent="0.2">
      <c r="B185" s="6">
        <f>B184+1</f>
        <v>45548</v>
      </c>
      <c r="C185" s="7" t="str">
        <f>VLOOKUP(WEEKDAY(B185,2),'EC-Commands'!$D$11:$E$19,2,FALSE)</f>
        <v>Fri</v>
      </c>
      <c r="D185" s="8">
        <v>0.41666666666666669</v>
      </c>
      <c r="E185" s="9" t="s">
        <v>117</v>
      </c>
      <c r="F185" s="9">
        <v>2</v>
      </c>
      <c r="G185" s="9" t="s">
        <v>325</v>
      </c>
      <c r="H185" s="74">
        <v>3.1E-2</v>
      </c>
      <c r="I185" s="74">
        <v>2.8000000000000001E-2</v>
      </c>
      <c r="J185" s="81">
        <v>-4.2000000000000003E-2</v>
      </c>
      <c r="K185" s="15" t="s">
        <v>316</v>
      </c>
    </row>
    <row r="186" spans="2:11" ht="53" x14ac:dyDescent="0.2">
      <c r="B186" s="6">
        <f>B185</f>
        <v>45548</v>
      </c>
      <c r="C186" s="7" t="str">
        <f>VLOOKUP(WEEKDAY(B186,2),'EC-Commands'!$D$11:$E$19,2,FALSE)</f>
        <v>Fri</v>
      </c>
      <c r="D186" s="8">
        <v>0.60416666666666663</v>
      </c>
      <c r="E186" s="9" t="s">
        <v>22</v>
      </c>
      <c r="F186" s="9">
        <v>2</v>
      </c>
      <c r="G186" s="9" t="s">
        <v>325</v>
      </c>
      <c r="H186" s="74">
        <v>-3.0000000000000001E-3</v>
      </c>
      <c r="I186" s="74">
        <v>-3.0000000000000001E-3</v>
      </c>
      <c r="J186" s="81">
        <v>-1E-3</v>
      </c>
      <c r="K186" s="15" t="s">
        <v>302</v>
      </c>
    </row>
    <row r="187" spans="2:11" ht="53" x14ac:dyDescent="0.2">
      <c r="B187" s="6">
        <f>B186</f>
        <v>45548</v>
      </c>
      <c r="C187" s="7" t="str">
        <f>VLOOKUP(WEEKDAY(B187,2),'EC-Commands'!$D$11:$E$19,2,FALSE)</f>
        <v>Fri</v>
      </c>
      <c r="D187" s="8">
        <v>0.8125</v>
      </c>
      <c r="E187" s="9" t="s">
        <v>1</v>
      </c>
      <c r="F187" s="9">
        <v>2</v>
      </c>
      <c r="G187" s="9" t="s">
        <v>326</v>
      </c>
      <c r="H187" s="74">
        <v>0.69</v>
      </c>
      <c r="I187" s="75">
        <v>68.400000000000006</v>
      </c>
      <c r="J187" s="75">
        <v>67.900000000000006</v>
      </c>
      <c r="K187" s="15" t="s">
        <v>327</v>
      </c>
    </row>
    <row r="188" spans="2:11" ht="27" x14ac:dyDescent="0.2">
      <c r="B188" s="6">
        <v>45553</v>
      </c>
      <c r="C188" s="7" t="str">
        <f>VLOOKUP(WEEKDAY(B188,2),'EC-Commands'!$D$11:$E$17,2,FALSE)</f>
        <v>Wed</v>
      </c>
      <c r="D188" s="8">
        <v>0.97916666666666663</v>
      </c>
      <c r="E188" s="9" t="s">
        <v>298</v>
      </c>
      <c r="F188" s="9">
        <v>3</v>
      </c>
      <c r="G188" s="9" t="s">
        <v>127</v>
      </c>
      <c r="H188" s="10"/>
      <c r="I188" s="23"/>
      <c r="J188" s="23">
        <v>5.5E-2</v>
      </c>
      <c r="K188" s="15" t="s">
        <v>299</v>
      </c>
    </row>
    <row r="189" spans="2:11" ht="92" x14ac:dyDescent="0.2">
      <c r="B189" s="82">
        <v>45552</v>
      </c>
      <c r="C189" s="83" t="s">
        <v>42</v>
      </c>
      <c r="D189" s="84">
        <v>0.75</v>
      </c>
      <c r="E189" s="78" t="s">
        <v>1</v>
      </c>
      <c r="F189" s="78">
        <v>3</v>
      </c>
      <c r="G189" s="78" t="s">
        <v>331</v>
      </c>
      <c r="H189" s="85">
        <v>1E-3</v>
      </c>
      <c r="I189" s="85">
        <v>2E-3</v>
      </c>
      <c r="J189" s="85">
        <v>4.0000000000000001E-3</v>
      </c>
      <c r="K189" s="15" t="s">
        <v>332</v>
      </c>
    </row>
    <row r="190" spans="2:11" ht="92" x14ac:dyDescent="0.2">
      <c r="B190" s="82">
        <v>45552</v>
      </c>
      <c r="C190" s="83" t="s">
        <v>42</v>
      </c>
      <c r="D190" s="84">
        <v>0.75</v>
      </c>
      <c r="E190" s="78" t="s">
        <v>1</v>
      </c>
      <c r="F190" s="78">
        <v>3</v>
      </c>
      <c r="G190" s="78" t="s">
        <v>333</v>
      </c>
      <c r="H190" s="85">
        <v>1E-3</v>
      </c>
      <c r="I190" s="85">
        <v>-2E-3</v>
      </c>
      <c r="J190" s="85">
        <v>1.0999999999999999E-2</v>
      </c>
      <c r="K190" s="15" t="s">
        <v>332</v>
      </c>
    </row>
    <row r="191" spans="2:11" ht="92" x14ac:dyDescent="0.2">
      <c r="B191" s="82">
        <v>45552</v>
      </c>
      <c r="C191" s="83" t="s">
        <v>42</v>
      </c>
      <c r="D191" s="84">
        <v>0.75</v>
      </c>
      <c r="E191" s="78" t="s">
        <v>89</v>
      </c>
      <c r="F191" s="78">
        <v>2</v>
      </c>
      <c r="G191" s="78" t="s">
        <v>334</v>
      </c>
      <c r="H191" s="85">
        <v>1.4999999999999999E-2</v>
      </c>
      <c r="I191" s="85"/>
      <c r="J191" s="85">
        <v>1.7000000000000001E-2</v>
      </c>
      <c r="K191" s="15" t="s">
        <v>332</v>
      </c>
    </row>
    <row r="192" spans="2:11" ht="92" x14ac:dyDescent="0.2">
      <c r="B192" s="82">
        <v>45552</v>
      </c>
      <c r="C192" s="83" t="s">
        <v>42</v>
      </c>
      <c r="D192" s="84">
        <v>0.75</v>
      </c>
      <c r="E192" s="78" t="s">
        <v>89</v>
      </c>
      <c r="F192" s="78">
        <v>2</v>
      </c>
      <c r="G192" s="78" t="s">
        <v>309</v>
      </c>
      <c r="H192" s="85">
        <v>-1E-3</v>
      </c>
      <c r="I192" s="85"/>
      <c r="J192" s="85">
        <v>3.0000000000000001E-3</v>
      </c>
      <c r="K192" s="15" t="s">
        <v>332</v>
      </c>
    </row>
    <row r="193" spans="1:11" ht="92" x14ac:dyDescent="0.2">
      <c r="B193" s="82">
        <v>45552</v>
      </c>
      <c r="C193" s="83" t="s">
        <v>42</v>
      </c>
      <c r="D193" s="84">
        <v>0.75</v>
      </c>
      <c r="E193" s="78" t="s">
        <v>89</v>
      </c>
      <c r="F193" s="78">
        <v>2</v>
      </c>
      <c r="G193" s="78" t="s">
        <v>271</v>
      </c>
      <c r="H193" s="85">
        <v>-2E-3</v>
      </c>
      <c r="I193" s="85">
        <v>0</v>
      </c>
      <c r="J193" s="85">
        <v>4.0000000000000001E-3</v>
      </c>
      <c r="K193" s="15" t="s">
        <v>332</v>
      </c>
    </row>
    <row r="194" spans="1:11" ht="27" x14ac:dyDescent="0.2">
      <c r="B194" s="82">
        <v>45553</v>
      </c>
      <c r="C194" s="83" t="s">
        <v>41</v>
      </c>
      <c r="D194" s="84">
        <v>0.47916666666666669</v>
      </c>
      <c r="E194" s="78" t="s">
        <v>53</v>
      </c>
      <c r="F194" s="78">
        <v>3</v>
      </c>
      <c r="G194" s="78" t="s">
        <v>311</v>
      </c>
      <c r="H194" s="85">
        <v>2.1999999999999999E-2</v>
      </c>
      <c r="I194" s="85">
        <v>2.1999999999999999E-2</v>
      </c>
      <c r="J194" s="85">
        <v>2.1999999999999999E-2</v>
      </c>
      <c r="K194" s="15" t="s">
        <v>335</v>
      </c>
    </row>
    <row r="195" spans="1:11" ht="27" x14ac:dyDescent="0.2">
      <c r="B195" s="82">
        <v>45553</v>
      </c>
      <c r="C195" s="83" t="s">
        <v>41</v>
      </c>
      <c r="D195" s="84">
        <v>0.60416666666666663</v>
      </c>
      <c r="E195" s="78" t="s">
        <v>22</v>
      </c>
      <c r="F195" s="78">
        <v>3</v>
      </c>
      <c r="G195" s="78" t="s">
        <v>311</v>
      </c>
      <c r="H195" s="85">
        <v>2.1999999999999999E-2</v>
      </c>
      <c r="I195" s="85">
        <v>2.1999999999999999E-2</v>
      </c>
      <c r="J195" s="85">
        <v>2.5999999999999999E-2</v>
      </c>
      <c r="K195" s="15" t="s">
        <v>336</v>
      </c>
    </row>
    <row r="196" spans="1:11" ht="53" x14ac:dyDescent="0.2">
      <c r="B196" s="82">
        <v>45553</v>
      </c>
      <c r="C196" s="83" t="s">
        <v>41</v>
      </c>
      <c r="D196" s="84">
        <v>0.60416666666666663</v>
      </c>
      <c r="E196" s="78" t="s">
        <v>1</v>
      </c>
      <c r="F196" s="78">
        <v>3</v>
      </c>
      <c r="G196" s="78" t="s">
        <v>9</v>
      </c>
      <c r="H196" s="86" t="s">
        <v>337</v>
      </c>
      <c r="I196" s="86" t="s">
        <v>338</v>
      </c>
      <c r="J196" s="85" t="s">
        <v>339</v>
      </c>
      <c r="K196" s="15" t="s">
        <v>340</v>
      </c>
    </row>
    <row r="197" spans="1:11" ht="131" x14ac:dyDescent="0.2">
      <c r="B197" s="82">
        <v>45553</v>
      </c>
      <c r="C197" s="83" t="s">
        <v>41</v>
      </c>
      <c r="D197" s="84">
        <v>0.97916666666666663</v>
      </c>
      <c r="E197" s="78" t="s">
        <v>1</v>
      </c>
      <c r="F197" s="78">
        <v>3</v>
      </c>
      <c r="G197" s="78" t="s">
        <v>341</v>
      </c>
      <c r="H197" s="85"/>
      <c r="I197" s="85"/>
      <c r="J197" s="85"/>
      <c r="K197" s="15" t="s">
        <v>342</v>
      </c>
    </row>
    <row r="198" spans="1:11" ht="131" x14ac:dyDescent="0.2">
      <c r="B198" s="82">
        <v>45553</v>
      </c>
      <c r="C198" s="83" t="s">
        <v>41</v>
      </c>
      <c r="D198" s="84">
        <v>0.97916666666666663</v>
      </c>
      <c r="E198" s="78" t="s">
        <v>1</v>
      </c>
      <c r="F198" s="78">
        <v>3</v>
      </c>
      <c r="G198" s="78" t="s">
        <v>125</v>
      </c>
      <c r="H198" s="85"/>
      <c r="I198" s="85"/>
      <c r="J198" s="85"/>
      <c r="K198" s="15" t="s">
        <v>342</v>
      </c>
    </row>
    <row r="199" spans="1:11" ht="131" x14ac:dyDescent="0.2">
      <c r="B199" s="82">
        <v>45553</v>
      </c>
      <c r="C199" s="83" t="s">
        <v>41</v>
      </c>
      <c r="D199" s="84">
        <v>0.97916666666666663</v>
      </c>
      <c r="E199" s="78" t="s">
        <v>1</v>
      </c>
      <c r="F199" s="78">
        <v>3</v>
      </c>
      <c r="G199" s="78" t="s">
        <v>127</v>
      </c>
      <c r="H199" s="85">
        <v>0.05</v>
      </c>
      <c r="I199" s="85">
        <v>5.2499999999999998E-2</v>
      </c>
      <c r="J199" s="85">
        <v>5.5E-2</v>
      </c>
      <c r="K199" s="15" t="s">
        <v>342</v>
      </c>
    </row>
    <row r="200" spans="1:11" ht="131" x14ac:dyDescent="0.2">
      <c r="B200" s="82">
        <v>45554</v>
      </c>
      <c r="C200" s="83" t="s">
        <v>40</v>
      </c>
      <c r="D200" s="84">
        <v>0</v>
      </c>
      <c r="E200" s="78" t="s">
        <v>1</v>
      </c>
      <c r="F200" s="78">
        <v>3</v>
      </c>
      <c r="G200" s="78" t="s">
        <v>129</v>
      </c>
      <c r="H200" s="85"/>
      <c r="I200" s="85"/>
      <c r="J200" s="85"/>
      <c r="K200" s="15" t="s">
        <v>342</v>
      </c>
    </row>
    <row r="201" spans="1:11" ht="79" x14ac:dyDescent="0.2">
      <c r="B201" s="82">
        <v>45554</v>
      </c>
      <c r="C201" s="83" t="s">
        <v>40</v>
      </c>
      <c r="D201" s="84">
        <v>0.6875</v>
      </c>
      <c r="E201" s="78" t="s">
        <v>53</v>
      </c>
      <c r="F201" s="78">
        <v>3</v>
      </c>
      <c r="G201" s="78" t="s">
        <v>343</v>
      </c>
      <c r="H201" s="85">
        <v>0.05</v>
      </c>
      <c r="I201" s="85">
        <v>0.05</v>
      </c>
      <c r="J201" s="85">
        <v>0.05</v>
      </c>
      <c r="K201" s="15" t="s">
        <v>344</v>
      </c>
    </row>
    <row r="202" spans="1:11" ht="27" x14ac:dyDescent="0.2">
      <c r="B202" s="82">
        <v>45554</v>
      </c>
      <c r="C202" s="83" t="s">
        <v>40</v>
      </c>
      <c r="D202" s="84">
        <v>0.75</v>
      </c>
      <c r="E202" s="78" t="s">
        <v>1</v>
      </c>
      <c r="F202" s="78">
        <v>3</v>
      </c>
      <c r="G202" s="78" t="s">
        <v>14</v>
      </c>
      <c r="H202" s="85" t="s">
        <v>345</v>
      </c>
      <c r="I202" s="85" t="s">
        <v>223</v>
      </c>
      <c r="J202" s="85" t="s">
        <v>330</v>
      </c>
      <c r="K202" s="15" t="s">
        <v>346</v>
      </c>
    </row>
    <row r="203" spans="1:11" ht="28" x14ac:dyDescent="0.2">
      <c r="B203" s="82">
        <v>45554</v>
      </c>
      <c r="C203" s="83" t="s">
        <v>40</v>
      </c>
      <c r="D203" s="84">
        <v>0.75</v>
      </c>
      <c r="E203" s="78" t="s">
        <v>1</v>
      </c>
      <c r="F203" s="78">
        <v>3</v>
      </c>
      <c r="G203" s="78" t="s">
        <v>347</v>
      </c>
      <c r="H203" s="87">
        <v>1.7</v>
      </c>
      <c r="I203" s="87">
        <v>-0.8</v>
      </c>
      <c r="J203" s="87">
        <v>-7</v>
      </c>
      <c r="K203" s="15" t="s">
        <v>204</v>
      </c>
    </row>
    <row r="204" spans="1:11" ht="40" x14ac:dyDescent="0.2">
      <c r="B204" s="82">
        <v>45554</v>
      </c>
      <c r="C204" s="83" t="s">
        <v>40</v>
      </c>
      <c r="D204" s="84">
        <v>0.8125</v>
      </c>
      <c r="E204" s="78" t="s">
        <v>1</v>
      </c>
      <c r="F204" s="78">
        <v>3</v>
      </c>
      <c r="G204" s="78" t="s">
        <v>348</v>
      </c>
      <c r="H204" s="85" t="s">
        <v>349</v>
      </c>
      <c r="I204" s="85" t="s">
        <v>350</v>
      </c>
      <c r="J204" s="85" t="s">
        <v>351</v>
      </c>
      <c r="K204" s="15" t="s">
        <v>232</v>
      </c>
    </row>
    <row r="205" spans="1:11" ht="53" x14ac:dyDescent="0.2">
      <c r="B205" s="82">
        <v>45555</v>
      </c>
      <c r="C205" s="83" t="s">
        <v>39</v>
      </c>
      <c r="D205" s="84">
        <v>0.35416666666666669</v>
      </c>
      <c r="E205" s="78" t="s">
        <v>117</v>
      </c>
      <c r="F205" s="78">
        <v>3</v>
      </c>
      <c r="G205" s="78" t="s">
        <v>118</v>
      </c>
      <c r="H205" s="85">
        <v>2.5000000000000001E-3</v>
      </c>
      <c r="I205" s="85">
        <v>2.5000000000000001E-3</v>
      </c>
      <c r="J205" s="85">
        <v>2.5000000000000001E-3</v>
      </c>
      <c r="K205" s="15" t="s">
        <v>352</v>
      </c>
    </row>
    <row r="206" spans="1:11" ht="53" x14ac:dyDescent="0.2">
      <c r="A206" t="s">
        <v>105</v>
      </c>
      <c r="B206" s="6">
        <v>45558</v>
      </c>
      <c r="C206" s="7" t="str">
        <f>VLOOKUP(WEEKDAY(B206,2),'EC-Commands'!$D$11:$E$19,2,FALSE)</f>
        <v>Mon</v>
      </c>
      <c r="D206" s="8">
        <v>0.80208333333333337</v>
      </c>
      <c r="E206" s="9" t="s">
        <v>1</v>
      </c>
      <c r="F206" s="9">
        <v>3</v>
      </c>
      <c r="G206" s="9" t="s">
        <v>353</v>
      </c>
      <c r="H206" s="20">
        <v>47</v>
      </c>
      <c r="I206" s="20">
        <v>48.6</v>
      </c>
      <c r="J206" s="20">
        <v>47.9</v>
      </c>
      <c r="K206" s="15" t="s">
        <v>354</v>
      </c>
    </row>
    <row r="207" spans="1:11" ht="53" x14ac:dyDescent="0.2">
      <c r="B207" s="6">
        <v>45558</v>
      </c>
      <c r="C207" s="7" t="str">
        <f>VLOOKUP(WEEKDAY(B207,2),'EC-Commands'!$D$11:$E$19,2,FALSE)</f>
        <v>Mon</v>
      </c>
      <c r="D207" s="8">
        <f>'[1]History '!K221</f>
        <v>0</v>
      </c>
      <c r="E207" s="9" t="s">
        <v>1</v>
      </c>
      <c r="F207" s="9">
        <v>3</v>
      </c>
      <c r="G207" s="88" t="s">
        <v>355</v>
      </c>
      <c r="H207" s="20">
        <v>55.4</v>
      </c>
      <c r="I207" s="20">
        <v>55.3</v>
      </c>
      <c r="J207" s="20">
        <v>55.7</v>
      </c>
      <c r="K207" s="15" t="s">
        <v>356</v>
      </c>
    </row>
    <row r="208" spans="1:11" ht="222" x14ac:dyDescent="0.2">
      <c r="B208" s="6">
        <f>B207+1</f>
        <v>45559</v>
      </c>
      <c r="C208" s="7" t="str">
        <f>VLOOKUP(WEEKDAY(B208,2),'EC-Commands'!$D$11:$E$19,2,FALSE)</f>
        <v>Tue</v>
      </c>
      <c r="D208" s="8">
        <f>'[1]History '!E233+TIME(5,30,0)</f>
        <v>0.22916666666666666</v>
      </c>
      <c r="E208" s="9" t="s">
        <v>357</v>
      </c>
      <c r="F208" s="9">
        <v>3</v>
      </c>
      <c r="G208" s="78" t="s">
        <v>370</v>
      </c>
      <c r="H208" s="74">
        <v>4.3499999999999997E-2</v>
      </c>
      <c r="I208" s="74">
        <v>4.3499999999999997E-2</v>
      </c>
      <c r="J208" s="74">
        <v>4.3499999999999997E-2</v>
      </c>
      <c r="K208" s="15" t="s">
        <v>358</v>
      </c>
    </row>
    <row r="209" spans="1:11" ht="209" x14ac:dyDescent="0.2">
      <c r="B209" s="6">
        <f>B208</f>
        <v>45559</v>
      </c>
      <c r="C209" s="7" t="str">
        <f>VLOOKUP(WEEKDAY(B209,2),'EC-Commands'!$D$11:$E$19,2,FALSE)</f>
        <v>Tue</v>
      </c>
      <c r="D209" s="8">
        <v>0.45833333333333331</v>
      </c>
      <c r="E209" s="9" t="s">
        <v>357</v>
      </c>
      <c r="F209" s="9">
        <v>2</v>
      </c>
      <c r="G209" s="78" t="s">
        <v>359</v>
      </c>
      <c r="H209" s="74"/>
      <c r="I209" s="74"/>
      <c r="J209" s="74"/>
      <c r="K209" s="15" t="s">
        <v>360</v>
      </c>
    </row>
    <row r="210" spans="1:11" ht="66" x14ac:dyDescent="0.2">
      <c r="B210" s="6">
        <f>B208</f>
        <v>45559</v>
      </c>
      <c r="C210" s="7" t="str">
        <f>VLOOKUP(WEEKDAY(B210,2),'EC-Commands'!$D$11:$E$19,2,FALSE)</f>
        <v>Tue</v>
      </c>
      <c r="D210" s="8">
        <f>'[1]History '!E245+TIME(5,30,0)</f>
        <v>0.22916666666666666</v>
      </c>
      <c r="E210" s="9" t="s">
        <v>1</v>
      </c>
      <c r="F210" s="9">
        <v>3</v>
      </c>
      <c r="G210" s="9" t="s">
        <v>371</v>
      </c>
      <c r="H210" s="20">
        <v>98.7</v>
      </c>
      <c r="I210" s="20">
        <v>103.5</v>
      </c>
      <c r="J210" s="20">
        <v>103.3</v>
      </c>
      <c r="K210" s="15" t="s">
        <v>361</v>
      </c>
    </row>
    <row r="211" spans="1:11" ht="66" x14ac:dyDescent="0.2">
      <c r="B211" s="6">
        <f>B210+1</f>
        <v>45560</v>
      </c>
      <c r="C211" s="7" t="str">
        <f>VLOOKUP(WEEKDAY(B211,2),'EC-Commands'!$D$11:$E$19,2,FALSE)</f>
        <v>Wed</v>
      </c>
      <c r="D211" s="8">
        <f>'[1]History '!K257</f>
        <v>0</v>
      </c>
      <c r="E211" s="9" t="s">
        <v>1</v>
      </c>
      <c r="F211" s="9">
        <v>3</v>
      </c>
      <c r="G211" s="9" t="s">
        <v>372</v>
      </c>
      <c r="H211" s="20" t="s">
        <v>378</v>
      </c>
      <c r="I211" s="20" t="s">
        <v>377</v>
      </c>
      <c r="J211" s="20" t="s">
        <v>239</v>
      </c>
      <c r="K211" s="15" t="s">
        <v>361</v>
      </c>
    </row>
    <row r="212" spans="1:11" ht="53" x14ac:dyDescent="0.2">
      <c r="B212" s="6">
        <f>B211</f>
        <v>45560</v>
      </c>
      <c r="C212" s="7" t="str">
        <f>VLOOKUP(WEEKDAY(B212,2),'EC-Commands'!$D$11:$E$19,2,FALSE)</f>
        <v>Wed</v>
      </c>
      <c r="D212" s="8">
        <f>'[1]History '!K269</f>
        <v>0</v>
      </c>
      <c r="E212" s="9" t="s">
        <v>1</v>
      </c>
      <c r="F212" s="9">
        <v>3</v>
      </c>
      <c r="G212" s="9" t="s">
        <v>9</v>
      </c>
      <c r="H212" s="77" t="s">
        <v>380</v>
      </c>
      <c r="I212" s="77" t="s">
        <v>379</v>
      </c>
      <c r="J212" s="20" t="s">
        <v>337</v>
      </c>
      <c r="K212" s="15" t="s">
        <v>362</v>
      </c>
    </row>
    <row r="213" spans="1:11" ht="209" x14ac:dyDescent="0.2">
      <c r="B213" s="6">
        <f>B212+1</f>
        <v>45561</v>
      </c>
      <c r="C213" s="7" t="str">
        <f>VLOOKUP(WEEKDAY(B213,2),'EC-Commands'!$D$11:$E$19,2,FALSE)</f>
        <v>Thu</v>
      </c>
      <c r="D213" s="8">
        <f>'[1]History '!K281</f>
        <v>0</v>
      </c>
      <c r="E213" s="9" t="s">
        <v>270</v>
      </c>
      <c r="F213" s="9">
        <v>3</v>
      </c>
      <c r="G213" s="9" t="s">
        <v>373</v>
      </c>
      <c r="H213" s="74">
        <v>0.01</v>
      </c>
      <c r="I213" s="74">
        <v>0.01</v>
      </c>
      <c r="J213" s="74">
        <v>1.2500000000000001E-2</v>
      </c>
      <c r="K213" s="15" t="s">
        <v>363</v>
      </c>
    </row>
    <row r="214" spans="1:11" ht="157" x14ac:dyDescent="0.2">
      <c r="B214" s="6">
        <f>B213+1</f>
        <v>45562</v>
      </c>
      <c r="C214" s="7" t="str">
        <f>VLOOKUP(WEEKDAY(B214,2),'EC-Commands'!$D$11:$E$19,2,FALSE)</f>
        <v>Fri</v>
      </c>
      <c r="D214" s="8">
        <v>0.5625</v>
      </c>
      <c r="E214" s="9" t="s">
        <v>270</v>
      </c>
      <c r="F214" s="9">
        <v>2</v>
      </c>
      <c r="G214" s="9" t="s">
        <v>364</v>
      </c>
      <c r="H214" s="74"/>
      <c r="I214" s="74"/>
      <c r="J214" s="74"/>
      <c r="K214" s="15" t="s">
        <v>365</v>
      </c>
    </row>
    <row r="215" spans="1:11" ht="66" x14ac:dyDescent="0.2">
      <c r="B215" s="6">
        <f>B213</f>
        <v>45561</v>
      </c>
      <c r="C215" s="7" t="str">
        <f>VLOOKUP(WEEKDAY(B215,2),'EC-Commands'!$D$11:$E$19,2,FALSE)</f>
        <v>Thu</v>
      </c>
      <c r="D215" s="8">
        <f>'[1]History '!K293</f>
        <v>0</v>
      </c>
      <c r="E215" s="9" t="s">
        <v>1</v>
      </c>
      <c r="F215" s="9">
        <v>3</v>
      </c>
      <c r="G215" s="9" t="s">
        <v>374</v>
      </c>
      <c r="H215" s="74">
        <v>0</v>
      </c>
      <c r="I215" s="74">
        <v>-2.8000000000000001E-2</v>
      </c>
      <c r="J215" s="74">
        <v>9.9000000000000005E-2</v>
      </c>
      <c r="K215" s="15" t="s">
        <v>361</v>
      </c>
    </row>
    <row r="216" spans="1:11" ht="53" x14ac:dyDescent="0.2">
      <c r="B216" s="6">
        <f>B215</f>
        <v>45561</v>
      </c>
      <c r="C216" s="7" t="str">
        <f>VLOOKUP(WEEKDAY(B216,2),'EC-Commands'!$D$11:$E$19,2,FALSE)</f>
        <v>Thu</v>
      </c>
      <c r="D216" s="8">
        <f>'[1]History '!K317</f>
        <v>0</v>
      </c>
      <c r="E216" s="9" t="s">
        <v>1</v>
      </c>
      <c r="F216" s="9">
        <v>3</v>
      </c>
      <c r="G216" s="9" t="s">
        <v>14</v>
      </c>
      <c r="H216" s="74" t="s">
        <v>382</v>
      </c>
      <c r="I216" s="74" t="s">
        <v>381</v>
      </c>
      <c r="J216" s="74" t="s">
        <v>72</v>
      </c>
      <c r="K216" s="15" t="s">
        <v>366</v>
      </c>
    </row>
    <row r="217" spans="1:11" ht="79" x14ac:dyDescent="0.2">
      <c r="B217" s="6">
        <f>B216</f>
        <v>45561</v>
      </c>
      <c r="C217" s="7" t="str">
        <f>VLOOKUP(WEEKDAY(B217,2),'EC-Commands'!$D$11:$E$19,2,FALSE)</f>
        <v>Thu</v>
      </c>
      <c r="D217" s="8">
        <f>'[1]History '!K329</f>
        <v>0</v>
      </c>
      <c r="E217" s="9" t="s">
        <v>1</v>
      </c>
      <c r="F217" s="9">
        <v>3</v>
      </c>
      <c r="G217" s="9" t="s">
        <v>20</v>
      </c>
      <c r="H217" s="74"/>
      <c r="I217" s="74"/>
      <c r="J217" s="74"/>
      <c r="K217" s="15" t="s">
        <v>367</v>
      </c>
    </row>
    <row r="218" spans="1:11" ht="209" x14ac:dyDescent="0.2">
      <c r="B218" s="6">
        <f>B217+1</f>
        <v>45562</v>
      </c>
      <c r="C218" s="7" t="str">
        <f>VLOOKUP(WEEKDAY(B218,2),'EC-Commands'!$D$11:$E$19,2,FALSE)</f>
        <v>Fri</v>
      </c>
      <c r="D218" s="8">
        <f>'[1]History '!K341</f>
        <v>0</v>
      </c>
      <c r="E218" s="9" t="s">
        <v>1</v>
      </c>
      <c r="F218" s="9">
        <v>3</v>
      </c>
      <c r="G218" s="9" t="s">
        <v>375</v>
      </c>
      <c r="H218" s="74">
        <v>1E-3</v>
      </c>
      <c r="I218" s="74">
        <v>2E-3</v>
      </c>
      <c r="J218" s="74">
        <v>2E-3</v>
      </c>
      <c r="K218" s="15" t="s">
        <v>368</v>
      </c>
    </row>
    <row r="219" spans="1:11" ht="209" x14ac:dyDescent="0.2">
      <c r="B219" s="6">
        <f>B218</f>
        <v>45562</v>
      </c>
      <c r="C219" s="7" t="str">
        <f>VLOOKUP(WEEKDAY(B219,2),'EC-Commands'!$D$11:$E$19,2,FALSE)</f>
        <v>Fri</v>
      </c>
      <c r="D219" s="8">
        <f>D218</f>
        <v>0</v>
      </c>
      <c r="E219" s="9" t="s">
        <v>1</v>
      </c>
      <c r="F219" s="9">
        <v>3</v>
      </c>
      <c r="G219" s="9" t="s">
        <v>376</v>
      </c>
      <c r="H219" s="74">
        <v>2.7E-2</v>
      </c>
      <c r="I219" s="74">
        <v>2.7E-2</v>
      </c>
      <c r="J219" s="74">
        <v>2.5999999999999999E-2</v>
      </c>
      <c r="K219" s="15" t="s">
        <v>368</v>
      </c>
    </row>
    <row r="220" spans="1:11" ht="27" x14ac:dyDescent="0.2">
      <c r="B220" s="82">
        <v>45603</v>
      </c>
      <c r="C220" s="83" t="s">
        <v>40</v>
      </c>
      <c r="D220" s="84">
        <v>0.97916666666666663</v>
      </c>
      <c r="E220" s="78" t="s">
        <v>1</v>
      </c>
      <c r="F220" s="78">
        <v>3</v>
      </c>
      <c r="G220" s="78" t="s">
        <v>127</v>
      </c>
      <c r="H220" s="85"/>
      <c r="I220" s="85">
        <v>4.5199999999999997E-2</v>
      </c>
      <c r="J220" s="85">
        <v>4.7500000000000001E-2</v>
      </c>
      <c r="K220" s="15" t="s">
        <v>369</v>
      </c>
    </row>
    <row r="221" spans="1:11" ht="144" x14ac:dyDescent="0.2">
      <c r="A221" t="s">
        <v>429</v>
      </c>
      <c r="B221" s="6">
        <v>45565</v>
      </c>
      <c r="C221" s="7" t="str">
        <f>VLOOKUP(WEEKDAY(B221,2),'[2]Economic-Calendar'!$D$11:$E$19,2,FALSE)</f>
        <v>Mon</v>
      </c>
      <c r="D221" s="8">
        <v>0.29166666666666669</v>
      </c>
      <c r="E221" s="9" t="s">
        <v>65</v>
      </c>
      <c r="F221" s="9">
        <v>3</v>
      </c>
      <c r="G221" s="9" t="s">
        <v>383</v>
      </c>
      <c r="H221" s="20">
        <v>49.8</v>
      </c>
      <c r="I221" s="20">
        <v>49.4</v>
      </c>
      <c r="J221" s="20">
        <v>49.1</v>
      </c>
      <c r="K221" s="15" t="s">
        <v>384</v>
      </c>
    </row>
    <row r="222" spans="1:11" ht="105" x14ac:dyDescent="0.2">
      <c r="B222" s="6">
        <f>B221</f>
        <v>45565</v>
      </c>
      <c r="C222" s="7" t="str">
        <f>VLOOKUP(WEEKDAY(B222,2),'[2]Economic-Calendar'!$D$11:$E$19,2,FALSE)</f>
        <v>Mon</v>
      </c>
      <c r="D222" s="8">
        <v>0.47916666666666669</v>
      </c>
      <c r="E222" s="9" t="s">
        <v>53</v>
      </c>
      <c r="F222" s="9">
        <v>3</v>
      </c>
      <c r="G222" s="88" t="s">
        <v>385</v>
      </c>
      <c r="H222" s="74">
        <v>5.0000000000000001E-3</v>
      </c>
      <c r="I222" s="74">
        <v>6.0000000000000001E-3</v>
      </c>
      <c r="J222" s="74">
        <v>6.0000000000000001E-3</v>
      </c>
      <c r="K222" s="15" t="s">
        <v>386</v>
      </c>
    </row>
    <row r="223" spans="1:11" ht="105" x14ac:dyDescent="0.2">
      <c r="B223" s="6">
        <f>B222</f>
        <v>45565</v>
      </c>
      <c r="C223" s="7" t="str">
        <f>VLOOKUP(WEEKDAY(B223,2),'[2]Economic-Calendar'!$D$11:$E$19,2,FALSE)</f>
        <v>Mon</v>
      </c>
      <c r="D223" s="8">
        <v>0.47916666666666669</v>
      </c>
      <c r="E223" s="9" t="s">
        <v>53</v>
      </c>
      <c r="F223" s="9">
        <v>3</v>
      </c>
      <c r="G223" s="88" t="s">
        <v>387</v>
      </c>
      <c r="H223" s="74">
        <v>7.0000000000000001E-3</v>
      </c>
      <c r="I223" s="74">
        <v>8.9999999999999993E-3</v>
      </c>
      <c r="J223" s="74">
        <v>8.9999999999999993E-3</v>
      </c>
      <c r="K223" s="15" t="s">
        <v>386</v>
      </c>
    </row>
    <row r="224" spans="1:11" ht="105" x14ac:dyDescent="0.2">
      <c r="B224" s="6">
        <f>B223</f>
        <v>45565</v>
      </c>
      <c r="C224" s="7" t="str">
        <f>VLOOKUP(WEEKDAY(B224,2),'[2]Economic-Calendar'!$D$11:$E$19,2,FALSE)</f>
        <v>Mon</v>
      </c>
      <c r="D224" s="8">
        <v>0.72916666666666663</v>
      </c>
      <c r="E224" s="9" t="s">
        <v>22</v>
      </c>
      <c r="F224" s="9">
        <v>3</v>
      </c>
      <c r="G224" s="88" t="s">
        <v>388</v>
      </c>
      <c r="H224" s="74">
        <v>0</v>
      </c>
      <c r="I224" s="74">
        <v>1E-3</v>
      </c>
      <c r="J224" s="74">
        <v>-1E-3</v>
      </c>
      <c r="K224" s="15" t="s">
        <v>389</v>
      </c>
    </row>
    <row r="225" spans="2:11" ht="118" x14ac:dyDescent="0.2">
      <c r="B225" s="6">
        <f>B224</f>
        <v>45565</v>
      </c>
      <c r="C225" s="7" t="str">
        <f>VLOOKUP(WEEKDAY(B225,2),'[2]Economic-Calendar'!$D$11:$E$19,2,FALSE)</f>
        <v>Mon</v>
      </c>
      <c r="D225" s="8">
        <v>0.80208333333333337</v>
      </c>
      <c r="E225" s="9" t="s">
        <v>1</v>
      </c>
      <c r="F225" s="9">
        <v>3</v>
      </c>
      <c r="G225" s="88" t="s">
        <v>390</v>
      </c>
      <c r="H225" s="20">
        <v>46.6</v>
      </c>
      <c r="I225" s="20">
        <v>46.1</v>
      </c>
      <c r="J225" s="20">
        <v>46.1</v>
      </c>
      <c r="K225" s="15" t="s">
        <v>391</v>
      </c>
    </row>
    <row r="226" spans="2:11" ht="66" x14ac:dyDescent="0.2">
      <c r="B226" s="6">
        <f>B225</f>
        <v>45565</v>
      </c>
      <c r="C226" s="7" t="str">
        <f>VLOOKUP(WEEKDAY(B226,2),'[2]Economic-Calendar'!$D$11:$E$19,2,FALSE)</f>
        <v>Mon</v>
      </c>
      <c r="D226" s="8">
        <v>0.97569444444444442</v>
      </c>
      <c r="E226" s="9" t="s">
        <v>1</v>
      </c>
      <c r="F226" s="9">
        <v>3</v>
      </c>
      <c r="G226" s="88" t="s">
        <v>20</v>
      </c>
      <c r="H226" s="74"/>
      <c r="I226" s="20"/>
      <c r="J226" s="20"/>
      <c r="K226" s="15" t="s">
        <v>392</v>
      </c>
    </row>
    <row r="227" spans="2:11" ht="196" x14ac:dyDescent="0.2">
      <c r="B227" s="6">
        <f>B226+1</f>
        <v>45566</v>
      </c>
      <c r="C227" s="7" t="str">
        <f>VLOOKUP(WEEKDAY(B227,2),'[2]Economic-Calendar'!$D$11:$E$19,2,FALSE)</f>
        <v>Tue</v>
      </c>
      <c r="D227" s="8">
        <v>0.60416666666666663</v>
      </c>
      <c r="E227" s="9" t="s">
        <v>22</v>
      </c>
      <c r="F227" s="9">
        <v>3</v>
      </c>
      <c r="G227" s="88" t="s">
        <v>393</v>
      </c>
      <c r="H227" s="74">
        <v>1.7999999999999999E-2</v>
      </c>
      <c r="I227" s="74">
        <v>1.7999999999999999E-2</v>
      </c>
      <c r="J227" s="74">
        <v>2.1999999999999999E-2</v>
      </c>
      <c r="K227" s="15" t="s">
        <v>394</v>
      </c>
    </row>
    <row r="228" spans="2:11" ht="131" x14ac:dyDescent="0.2">
      <c r="B228" s="6">
        <f>B227</f>
        <v>45566</v>
      </c>
      <c r="C228" s="7" t="str">
        <f>VLOOKUP(WEEKDAY(B228,2),'[2]Economic-Calendar'!$D$11:$E$19,2,FALSE)</f>
        <v>Tue</v>
      </c>
      <c r="D228" s="8">
        <v>0.80208333333333337</v>
      </c>
      <c r="E228" s="9" t="s">
        <v>1</v>
      </c>
      <c r="F228" s="9">
        <v>3</v>
      </c>
      <c r="G228" s="88" t="s">
        <v>395</v>
      </c>
      <c r="H228" s="20">
        <v>47.3</v>
      </c>
      <c r="I228" s="20">
        <v>47</v>
      </c>
      <c r="J228" s="20">
        <v>47</v>
      </c>
      <c r="K228" s="15" t="s">
        <v>396</v>
      </c>
    </row>
    <row r="229" spans="2:11" ht="209" x14ac:dyDescent="0.2">
      <c r="B229" s="6">
        <f>B228</f>
        <v>45566</v>
      </c>
      <c r="C229" s="7" t="str">
        <f>VLOOKUP(WEEKDAY(B229,2),'[2]Economic-Calendar'!$D$11:$E$19,2,FALSE)</f>
        <v>Tue</v>
      </c>
      <c r="D229" s="8">
        <v>0.8125</v>
      </c>
      <c r="E229" s="9" t="s">
        <v>1</v>
      </c>
      <c r="F229" s="9">
        <v>3</v>
      </c>
      <c r="G229" s="88" t="s">
        <v>397</v>
      </c>
      <c r="H229" s="20">
        <v>47.2</v>
      </c>
      <c r="I229" s="20">
        <v>47.6</v>
      </c>
      <c r="J229" s="20">
        <v>47.2</v>
      </c>
      <c r="K229" s="15" t="s">
        <v>398</v>
      </c>
    </row>
    <row r="230" spans="2:11" ht="381" x14ac:dyDescent="0.2">
      <c r="B230" s="6">
        <f>B229</f>
        <v>45566</v>
      </c>
      <c r="C230" s="7" t="str">
        <f>VLOOKUP(WEEKDAY(B230,2),'[2]Economic-Calendar'!$D$11:$E$19,2,FALSE)</f>
        <v>Tue</v>
      </c>
      <c r="D230" s="8">
        <v>0.8125</v>
      </c>
      <c r="E230" s="9" t="s">
        <v>1</v>
      </c>
      <c r="F230" s="9">
        <v>3</v>
      </c>
      <c r="G230" s="88" t="s">
        <v>399</v>
      </c>
      <c r="H230" s="20">
        <v>48.3</v>
      </c>
      <c r="I230" s="20">
        <v>53.5</v>
      </c>
      <c r="J230" s="20">
        <v>54</v>
      </c>
      <c r="K230" s="15" t="s">
        <v>400</v>
      </c>
    </row>
    <row r="231" spans="2:11" ht="157" x14ac:dyDescent="0.2">
      <c r="B231" s="6">
        <f>B230</f>
        <v>45566</v>
      </c>
      <c r="C231" s="7" t="str">
        <f>VLOOKUP(WEEKDAY(B231,2),'[2]Economic-Calendar'!$D$11:$E$19,2,FALSE)</f>
        <v>Tue</v>
      </c>
      <c r="D231" s="8">
        <v>0.8125</v>
      </c>
      <c r="E231" s="9" t="s">
        <v>1</v>
      </c>
      <c r="F231" s="9">
        <v>3</v>
      </c>
      <c r="G231" s="88" t="s">
        <v>401</v>
      </c>
      <c r="H231" s="20" t="s">
        <v>634</v>
      </c>
      <c r="I231" s="20" t="s">
        <v>402</v>
      </c>
      <c r="J231" s="20" t="s">
        <v>403</v>
      </c>
      <c r="K231" s="15" t="s">
        <v>404</v>
      </c>
    </row>
    <row r="232" spans="2:11" ht="118" x14ac:dyDescent="0.2">
      <c r="B232" s="6">
        <f>B231+1</f>
        <v>45567</v>
      </c>
      <c r="C232" s="7" t="str">
        <f>VLOOKUP(WEEKDAY(B232,2),'[2]Economic-Calendar'!$D$11:$E$19,2,FALSE)</f>
        <v>Wed</v>
      </c>
      <c r="D232" s="8">
        <v>0.73958333333333337</v>
      </c>
      <c r="E232" s="9" t="s">
        <v>1</v>
      </c>
      <c r="F232" s="9">
        <v>3</v>
      </c>
      <c r="G232" s="88" t="s">
        <v>405</v>
      </c>
      <c r="H232" s="20" t="s">
        <v>635</v>
      </c>
      <c r="I232" s="20" t="s">
        <v>406</v>
      </c>
      <c r="J232" s="20" t="s">
        <v>407</v>
      </c>
      <c r="K232" s="15" t="s">
        <v>408</v>
      </c>
    </row>
    <row r="233" spans="2:11" ht="131" x14ac:dyDescent="0.2">
      <c r="B233" s="6">
        <f>B232</f>
        <v>45567</v>
      </c>
      <c r="C233" s="7" t="str">
        <f>VLOOKUP(WEEKDAY(B233,2),'[2]Economic-Calendar'!$D$11:$E$19,2,FALSE)</f>
        <v>Wed</v>
      </c>
      <c r="D233" s="8">
        <v>0.83333333333333337</v>
      </c>
      <c r="E233" s="9" t="s">
        <v>1</v>
      </c>
      <c r="F233" s="9">
        <v>3</v>
      </c>
      <c r="G233" s="88" t="s">
        <v>9</v>
      </c>
      <c r="H233" s="77" t="s">
        <v>637</v>
      </c>
      <c r="I233" s="77" t="s">
        <v>636</v>
      </c>
      <c r="J233" s="77" t="s">
        <v>409</v>
      </c>
      <c r="K233" s="15" t="s">
        <v>410</v>
      </c>
    </row>
    <row r="234" spans="2:11" ht="105" x14ac:dyDescent="0.2">
      <c r="B234" s="6">
        <f>B232+1</f>
        <v>45568</v>
      </c>
      <c r="C234" s="7" t="str">
        <f>VLOOKUP(WEEKDAY(B234,2),'[2]Economic-Calendar'!$D$11:$E$19,2,FALSE)</f>
        <v>Thu</v>
      </c>
      <c r="D234" s="8">
        <v>0.5</v>
      </c>
      <c r="E234" s="9" t="s">
        <v>270</v>
      </c>
      <c r="F234" s="9">
        <v>2</v>
      </c>
      <c r="G234" s="88" t="s">
        <v>411</v>
      </c>
      <c r="H234" s="74">
        <v>-3.0000000000000001E-3</v>
      </c>
      <c r="I234" s="74">
        <v>-1E-3</v>
      </c>
      <c r="J234" s="74">
        <v>0</v>
      </c>
      <c r="K234" s="15" t="s">
        <v>412</v>
      </c>
    </row>
    <row r="235" spans="2:11" ht="79" x14ac:dyDescent="0.2">
      <c r="B235" s="6">
        <f>B233+1</f>
        <v>45568</v>
      </c>
      <c r="C235" s="7" t="str">
        <f>VLOOKUP(WEEKDAY(B235,2),'[2]Economic-Calendar'!$D$11:$E$19,2,FALSE)</f>
        <v>Thu</v>
      </c>
      <c r="D235" s="8">
        <v>0.75</v>
      </c>
      <c r="E235" s="9" t="s">
        <v>1</v>
      </c>
      <c r="F235" s="9">
        <v>3</v>
      </c>
      <c r="G235" s="88" t="s">
        <v>14</v>
      </c>
      <c r="H235" s="20" t="s">
        <v>638</v>
      </c>
      <c r="I235" s="20" t="s">
        <v>413</v>
      </c>
      <c r="J235" s="20" t="s">
        <v>382</v>
      </c>
      <c r="K235" s="15" t="s">
        <v>414</v>
      </c>
    </row>
    <row r="236" spans="2:11" ht="118" x14ac:dyDescent="0.2">
      <c r="B236" s="6">
        <f>B235</f>
        <v>45568</v>
      </c>
      <c r="C236" s="7" t="str">
        <f>VLOOKUP(WEEKDAY(B236,2),'[2]Economic-Calendar'!$D$11:$E$19,2,FALSE)</f>
        <v>Thu</v>
      </c>
      <c r="D236" s="8">
        <v>0.80208333333333337</v>
      </c>
      <c r="E236" s="9" t="s">
        <v>1</v>
      </c>
      <c r="F236" s="9">
        <v>3</v>
      </c>
      <c r="G236" s="88" t="s">
        <v>415</v>
      </c>
      <c r="H236" s="20">
        <v>55.2</v>
      </c>
      <c r="I236" s="20">
        <v>55.4</v>
      </c>
      <c r="J236" s="20">
        <v>55.4</v>
      </c>
      <c r="K236" s="15" t="s">
        <v>416</v>
      </c>
    </row>
    <row r="237" spans="2:11" ht="273" x14ac:dyDescent="0.2">
      <c r="B237" s="6">
        <f>B236</f>
        <v>45568</v>
      </c>
      <c r="C237" s="7" t="str">
        <f>VLOOKUP(WEEKDAY(B237,2),'[2]Economic-Calendar'!$D$11:$E$19,2,FALSE)</f>
        <v>Thu</v>
      </c>
      <c r="D237" s="8">
        <v>0.8125</v>
      </c>
      <c r="E237" s="9" t="s">
        <v>1</v>
      </c>
      <c r="F237" s="9">
        <v>3</v>
      </c>
      <c r="G237" s="88" t="s">
        <v>417</v>
      </c>
      <c r="H237" s="20">
        <v>54.9</v>
      </c>
      <c r="I237" s="20">
        <v>51.6</v>
      </c>
      <c r="J237" s="20">
        <v>51.5</v>
      </c>
      <c r="K237" s="15" t="s">
        <v>418</v>
      </c>
    </row>
    <row r="238" spans="2:11" ht="196" x14ac:dyDescent="0.2">
      <c r="B238" s="6">
        <f>B237</f>
        <v>45568</v>
      </c>
      <c r="C238" s="7" t="str">
        <f>VLOOKUP(WEEKDAY(B238,2),'[2]Economic-Calendar'!$D$11:$E$19,2,FALSE)</f>
        <v>Thu</v>
      </c>
      <c r="D238" s="8">
        <v>0.8125</v>
      </c>
      <c r="E238" s="9" t="s">
        <v>1</v>
      </c>
      <c r="F238" s="9">
        <v>3</v>
      </c>
      <c r="G238" s="88" t="s">
        <v>419</v>
      </c>
      <c r="H238" s="20">
        <v>59.4</v>
      </c>
      <c r="I238" s="20">
        <v>56.3</v>
      </c>
      <c r="J238" s="20">
        <v>57.3</v>
      </c>
      <c r="K238" s="15" t="s">
        <v>420</v>
      </c>
    </row>
    <row r="239" spans="2:11" ht="92" x14ac:dyDescent="0.2">
      <c r="B239" s="6">
        <f>B238+1</f>
        <v>45569</v>
      </c>
      <c r="C239" s="7" t="str">
        <f>VLOOKUP(WEEKDAY(B239,2),'[2]Economic-Calendar'!$D$11:$E$19,2,FALSE)</f>
        <v>Fri</v>
      </c>
      <c r="D239" s="8">
        <v>0.75</v>
      </c>
      <c r="E239" s="9" t="s">
        <v>1</v>
      </c>
      <c r="F239" s="9">
        <v>3</v>
      </c>
      <c r="G239" s="88" t="s">
        <v>421</v>
      </c>
      <c r="H239" s="74">
        <v>4.0000000000000001E-3</v>
      </c>
      <c r="I239" s="74">
        <v>3.0000000000000001E-3</v>
      </c>
      <c r="J239" s="74">
        <v>4.0000000000000001E-3</v>
      </c>
      <c r="K239" s="15" t="s">
        <v>422</v>
      </c>
    </row>
    <row r="240" spans="2:11" ht="297" x14ac:dyDescent="0.2">
      <c r="B240" s="6">
        <f>B239</f>
        <v>45569</v>
      </c>
      <c r="C240" s="7" t="str">
        <f>VLOOKUP(WEEKDAY(B240,2),'[2]Economic-Calendar'!$D$11:$E$19,2,FALSE)</f>
        <v>Fri</v>
      </c>
      <c r="D240" s="8">
        <v>0.75</v>
      </c>
      <c r="E240" s="9" t="s">
        <v>1</v>
      </c>
      <c r="F240" s="9">
        <v>3</v>
      </c>
      <c r="G240" s="88" t="s">
        <v>423</v>
      </c>
      <c r="H240" s="74" t="s">
        <v>641</v>
      </c>
      <c r="I240" s="74" t="s">
        <v>640</v>
      </c>
      <c r="J240" s="74" t="s">
        <v>639</v>
      </c>
      <c r="K240" s="15" t="s">
        <v>426</v>
      </c>
    </row>
    <row r="241" spans="1:11" ht="92" x14ac:dyDescent="0.2">
      <c r="B241" s="6">
        <f>B240</f>
        <v>45569</v>
      </c>
      <c r="C241" s="7" t="str">
        <f>VLOOKUP(WEEKDAY(B241,2),'[2]Economic-Calendar'!$D$11:$E$19,2,FALSE)</f>
        <v>Fri</v>
      </c>
      <c r="D241" s="8">
        <v>0.75</v>
      </c>
      <c r="E241" s="9" t="s">
        <v>1</v>
      </c>
      <c r="F241" s="9">
        <v>3</v>
      </c>
      <c r="G241" s="88" t="s">
        <v>2</v>
      </c>
      <c r="H241" s="74">
        <v>4.1000000000000002E-2</v>
      </c>
      <c r="I241" s="74">
        <v>4.2000000000000003E-2</v>
      </c>
      <c r="J241" s="74">
        <v>4.2000000000000003E-2</v>
      </c>
      <c r="K241" s="15" t="s">
        <v>427</v>
      </c>
    </row>
    <row r="242" spans="1:11" ht="27" x14ac:dyDescent="0.2">
      <c r="B242" s="82">
        <v>45603</v>
      </c>
      <c r="C242" s="83" t="s">
        <v>40</v>
      </c>
      <c r="D242" s="84">
        <v>0.97916666666666663</v>
      </c>
      <c r="E242" s="78" t="s">
        <v>1</v>
      </c>
      <c r="F242" s="78">
        <v>3</v>
      </c>
      <c r="G242" s="78" t="s">
        <v>127</v>
      </c>
      <c r="H242" s="85"/>
      <c r="I242" s="85">
        <v>4.5199999999999997E-2</v>
      </c>
      <c r="J242" s="85">
        <v>4.7500000000000001E-2</v>
      </c>
      <c r="K242" s="15" t="s">
        <v>369</v>
      </c>
    </row>
    <row r="243" spans="1:11" x14ac:dyDescent="0.2">
      <c r="C243" t="s">
        <v>428</v>
      </c>
    </row>
    <row r="244" spans="1:11" ht="105" x14ac:dyDescent="0.2">
      <c r="A244" t="s">
        <v>105</v>
      </c>
      <c r="B244" s="6">
        <v>45574</v>
      </c>
      <c r="C244" s="7" t="str">
        <f>VLOOKUP(WEEKDAY(B244,2),'[2]Economic-Calendar'!$D$11:$E$19,2,FALSE)</f>
        <v>Wed</v>
      </c>
      <c r="D244" s="8">
        <v>0.27083333333333331</v>
      </c>
      <c r="E244" s="9" t="s">
        <v>49</v>
      </c>
      <c r="F244" s="9">
        <v>3</v>
      </c>
      <c r="G244" s="9" t="s">
        <v>50</v>
      </c>
      <c r="H244" s="74">
        <v>4.7500000000000001E-2</v>
      </c>
      <c r="I244" s="74">
        <v>4.7500000000000001E-2</v>
      </c>
      <c r="J244" s="74">
        <v>5.2499999999999998E-2</v>
      </c>
      <c r="K244" s="15" t="s">
        <v>642</v>
      </c>
    </row>
    <row r="245" spans="1:11" ht="144" x14ac:dyDescent="0.2">
      <c r="B245" s="6">
        <f>B244</f>
        <v>45574</v>
      </c>
      <c r="C245" s="7" t="str">
        <f>VLOOKUP(WEEKDAY(B245,2),'[2]Economic-Calendar'!$D$11:$E$19,2,FALSE)</f>
        <v>Wed</v>
      </c>
      <c r="D245" s="8">
        <v>0.83333333333333337</v>
      </c>
      <c r="E245" s="9" t="s">
        <v>1</v>
      </c>
      <c r="F245" s="9">
        <v>3</v>
      </c>
      <c r="G245" s="9" t="s">
        <v>9</v>
      </c>
      <c r="H245" s="74" t="s">
        <v>677</v>
      </c>
      <c r="I245" s="74" t="s">
        <v>676</v>
      </c>
      <c r="J245" s="74" t="s">
        <v>637</v>
      </c>
      <c r="K245" s="15" t="s">
        <v>643</v>
      </c>
    </row>
    <row r="246" spans="1:11" ht="131" x14ac:dyDescent="0.2">
      <c r="B246" s="6">
        <f>B245</f>
        <v>45574</v>
      </c>
      <c r="C246" s="7" t="str">
        <f>VLOOKUP(WEEKDAY(B246,2),'[2]Economic-Calendar'!$D$11:$E$19,2,FALSE)</f>
        <v>Wed</v>
      </c>
      <c r="D246" s="8">
        <v>0.9375</v>
      </c>
      <c r="E246" s="9" t="s">
        <v>1</v>
      </c>
      <c r="F246" s="9">
        <v>3</v>
      </c>
      <c r="G246" s="9" t="s">
        <v>644</v>
      </c>
      <c r="H246" s="81">
        <v>4.0660000000000002E-2</v>
      </c>
      <c r="I246" s="74"/>
      <c r="J246" s="81">
        <v>3.6479999999999999E-2</v>
      </c>
      <c r="K246" s="15" t="s">
        <v>645</v>
      </c>
    </row>
    <row r="247" spans="1:11" ht="79" x14ac:dyDescent="0.2">
      <c r="B247" s="6">
        <f>B246</f>
        <v>45574</v>
      </c>
      <c r="C247" s="7" t="str">
        <f>VLOOKUP(WEEKDAY(B247,2),'[2]Economic-Calendar'!$D$11:$E$19,2,FALSE)</f>
        <v>Wed</v>
      </c>
      <c r="D247" s="8">
        <v>0.97916666666666663</v>
      </c>
      <c r="E247" s="9" t="s">
        <v>1</v>
      </c>
      <c r="F247" s="9">
        <v>3</v>
      </c>
      <c r="G247" s="9" t="s">
        <v>7</v>
      </c>
      <c r="H247" s="74"/>
      <c r="I247" s="74"/>
      <c r="J247" s="81"/>
      <c r="K247" s="15" t="s">
        <v>646</v>
      </c>
    </row>
    <row r="248" spans="1:11" ht="131" x14ac:dyDescent="0.2">
      <c r="B248" s="6">
        <f>B247+1</f>
        <v>45575</v>
      </c>
      <c r="C248" s="7" t="str">
        <f>VLOOKUP(WEEKDAY(B248,2),'[2]Economic-Calendar'!$D$11:$E$19,2,FALSE)</f>
        <v>Thu</v>
      </c>
      <c r="D248" s="8">
        <v>0.75</v>
      </c>
      <c r="E248" s="9" t="s">
        <v>1</v>
      </c>
      <c r="F248" s="9">
        <v>3</v>
      </c>
      <c r="G248" s="9" t="s">
        <v>647</v>
      </c>
      <c r="H248" s="74">
        <v>3.0000000000000001E-3</v>
      </c>
      <c r="I248" s="74">
        <v>2E-3</v>
      </c>
      <c r="J248" s="74">
        <v>3.0000000000000001E-3</v>
      </c>
      <c r="K248" s="15" t="s">
        <v>648</v>
      </c>
    </row>
    <row r="249" spans="1:11" ht="105" x14ac:dyDescent="0.2">
      <c r="B249" s="6">
        <f>B248</f>
        <v>45575</v>
      </c>
      <c r="C249" s="7" t="str">
        <f>VLOOKUP(WEEKDAY(B249,2),'[2]Economic-Calendar'!$D$11:$E$19,2,FALSE)</f>
        <v>Thu</v>
      </c>
      <c r="D249" s="8">
        <v>0.75</v>
      </c>
      <c r="E249" s="9" t="s">
        <v>1</v>
      </c>
      <c r="F249" s="9">
        <v>3</v>
      </c>
      <c r="G249" s="9" t="s">
        <v>649</v>
      </c>
      <c r="H249" s="74">
        <v>2.4E-2</v>
      </c>
      <c r="I249" s="74">
        <v>2.3E-2</v>
      </c>
      <c r="J249" s="74">
        <v>2.5000000000000001E-2</v>
      </c>
      <c r="K249" s="15" t="s">
        <v>650</v>
      </c>
    </row>
    <row r="250" spans="1:11" ht="131" x14ac:dyDescent="0.2">
      <c r="B250" s="6">
        <f>B249</f>
        <v>45575</v>
      </c>
      <c r="C250" s="7" t="str">
        <f>VLOOKUP(WEEKDAY(B250,2),'[2]Economic-Calendar'!$D$11:$E$19,2,FALSE)</f>
        <v>Thu</v>
      </c>
      <c r="D250" s="8">
        <v>0.75</v>
      </c>
      <c r="E250" s="9" t="s">
        <v>1</v>
      </c>
      <c r="F250" s="9">
        <v>3</v>
      </c>
      <c r="G250" s="9" t="s">
        <v>411</v>
      </c>
      <c r="H250" s="74">
        <v>2E-3</v>
      </c>
      <c r="I250" s="74">
        <v>1E-3</v>
      </c>
      <c r="J250" s="74">
        <v>2E-3</v>
      </c>
      <c r="K250" s="15" t="s">
        <v>648</v>
      </c>
    </row>
    <row r="251" spans="1:11" x14ac:dyDescent="0.2">
      <c r="B251" s="6">
        <f>B250</f>
        <v>45575</v>
      </c>
      <c r="C251" s="7" t="str">
        <f>VLOOKUP(WEEKDAY(B251,2),'[2]Economic-Calendar'!$D$11:$E$19,2,FALSE)</f>
        <v>Thu</v>
      </c>
      <c r="D251" s="8">
        <v>0.75</v>
      </c>
      <c r="E251" s="9" t="s">
        <v>1</v>
      </c>
      <c r="F251" s="9">
        <v>3</v>
      </c>
      <c r="G251" s="9" t="s">
        <v>14</v>
      </c>
      <c r="H251" s="74" t="s">
        <v>678</v>
      </c>
      <c r="I251" s="74" t="s">
        <v>268</v>
      </c>
      <c r="J251" s="74" t="s">
        <v>638</v>
      </c>
      <c r="K251" s="15" t="s">
        <v>651</v>
      </c>
    </row>
    <row r="252" spans="1:11" ht="131" x14ac:dyDescent="0.2">
      <c r="B252" s="6">
        <f>B251</f>
        <v>45575</v>
      </c>
      <c r="C252" s="7" t="str">
        <f>VLOOKUP(WEEKDAY(B252,2),'[2]Economic-Calendar'!$D$11:$E$19,2,FALSE)</f>
        <v>Thu</v>
      </c>
      <c r="D252" s="8">
        <v>0.9375</v>
      </c>
      <c r="E252" s="9" t="s">
        <v>1</v>
      </c>
      <c r="F252" s="9">
        <v>3</v>
      </c>
      <c r="G252" s="9" t="s">
        <v>174</v>
      </c>
      <c r="H252" s="81">
        <v>4.3889999999999998E-2</v>
      </c>
      <c r="I252" s="74"/>
      <c r="J252" s="81">
        <v>4.0149999999999998E-2</v>
      </c>
      <c r="K252" s="15" t="s">
        <v>652</v>
      </c>
    </row>
    <row r="253" spans="1:11" ht="79" x14ac:dyDescent="0.2">
      <c r="B253" s="6">
        <f>B252+1</f>
        <v>45576</v>
      </c>
      <c r="C253" s="7" t="str">
        <f>VLOOKUP(WEEKDAY(B253,2),'[2]Economic-Calendar'!$D$11:$E$19,2,FALSE)</f>
        <v>Fri</v>
      </c>
      <c r="D253" s="8">
        <v>0.47916666666666669</v>
      </c>
      <c r="E253" s="9" t="s">
        <v>53</v>
      </c>
      <c r="F253" s="9">
        <v>3</v>
      </c>
      <c r="G253" s="9" t="s">
        <v>653</v>
      </c>
      <c r="H253" s="74">
        <v>2E-3</v>
      </c>
      <c r="I253" s="74">
        <v>2E-3</v>
      </c>
      <c r="J253" s="81">
        <v>0</v>
      </c>
      <c r="K253" s="15" t="s">
        <v>654</v>
      </c>
    </row>
    <row r="254" spans="1:11" ht="105" x14ac:dyDescent="0.2">
      <c r="B254" s="6">
        <f t="shared" ref="B254:E259" si="4">B253</f>
        <v>45576</v>
      </c>
      <c r="C254" s="7" t="str">
        <f>VLOOKUP(WEEKDAY(B254,2),'[2]Economic-Calendar'!$D$11:$E$19,2,FALSE)</f>
        <v>Fri</v>
      </c>
      <c r="D254" s="8">
        <v>0.47916666666666669</v>
      </c>
      <c r="E254" s="9" t="s">
        <v>22</v>
      </c>
      <c r="F254" s="9">
        <v>3</v>
      </c>
      <c r="G254" s="9" t="s">
        <v>388</v>
      </c>
      <c r="H254" s="81">
        <v>0</v>
      </c>
      <c r="I254" s="81">
        <v>0</v>
      </c>
      <c r="J254" s="81">
        <v>-1E-3</v>
      </c>
      <c r="K254" s="15" t="s">
        <v>389</v>
      </c>
    </row>
    <row r="255" spans="1:11" ht="131" x14ac:dyDescent="0.2">
      <c r="B255" s="6">
        <f t="shared" si="4"/>
        <v>45576</v>
      </c>
      <c r="C255" s="7" t="str">
        <f>VLOOKUP(WEEKDAY(B255,2),'[2]Economic-Calendar'!$D$11:$E$19,2,FALSE)</f>
        <v>Fri</v>
      </c>
      <c r="D255" s="8">
        <v>0.75</v>
      </c>
      <c r="E255" s="9" t="s">
        <v>1</v>
      </c>
      <c r="F255" s="9">
        <v>3</v>
      </c>
      <c r="G255" s="9" t="s">
        <v>655</v>
      </c>
      <c r="H255" s="81">
        <v>0</v>
      </c>
      <c r="I255" s="81">
        <v>1E-3</v>
      </c>
      <c r="J255" s="81">
        <v>2E-3</v>
      </c>
      <c r="K255" s="15" t="s">
        <v>656</v>
      </c>
    </row>
    <row r="256" spans="1:11" ht="79" x14ac:dyDescent="0.2">
      <c r="B256" s="6">
        <f t="shared" si="4"/>
        <v>45576</v>
      </c>
      <c r="C256" s="7" t="str">
        <f>VLOOKUP(WEEKDAY(B256,2),'[2]Economic-Calendar'!$D$11:$E$19,2,FALSE)</f>
        <v>Fri</v>
      </c>
      <c r="D256" s="8">
        <v>0.8125</v>
      </c>
      <c r="E256" s="9" t="s">
        <v>1</v>
      </c>
      <c r="F256" s="9">
        <v>2</v>
      </c>
      <c r="G256" s="9" t="s">
        <v>657</v>
      </c>
      <c r="H256" s="81">
        <v>2.9000000000000001E-2</v>
      </c>
      <c r="I256" s="81">
        <v>2.7E-2</v>
      </c>
      <c r="J256" s="81">
        <v>2.7E-2</v>
      </c>
      <c r="K256" s="15" t="s">
        <v>658</v>
      </c>
    </row>
    <row r="257" spans="1:11" ht="66" x14ac:dyDescent="0.2">
      <c r="B257" s="6">
        <f t="shared" si="4"/>
        <v>45576</v>
      </c>
      <c r="C257" s="6" t="str">
        <f t="shared" si="4"/>
        <v>Fri</v>
      </c>
      <c r="D257" s="8">
        <f>D256</f>
        <v>0.8125</v>
      </c>
      <c r="E257" s="6" t="str">
        <f t="shared" si="4"/>
        <v>USD</v>
      </c>
      <c r="F257" s="9">
        <v>2</v>
      </c>
      <c r="G257" s="9" t="s">
        <v>659</v>
      </c>
      <c r="H257" s="81">
        <v>0.03</v>
      </c>
      <c r="I257" s="81">
        <v>0.03</v>
      </c>
      <c r="J257" s="81">
        <v>3.1E-2</v>
      </c>
      <c r="K257" s="15" t="s">
        <v>660</v>
      </c>
    </row>
    <row r="258" spans="1:11" ht="66" x14ac:dyDescent="0.2">
      <c r="B258" s="6">
        <f t="shared" si="4"/>
        <v>45576</v>
      </c>
      <c r="C258" s="6" t="str">
        <f>C257</f>
        <v>Fri</v>
      </c>
      <c r="D258" s="8">
        <f>D257</f>
        <v>0.8125</v>
      </c>
      <c r="E258" s="6" t="str">
        <f t="shared" si="4"/>
        <v>USD</v>
      </c>
      <c r="F258" s="9">
        <v>2</v>
      </c>
      <c r="G258" s="9" t="s">
        <v>661</v>
      </c>
      <c r="H258" s="75">
        <v>72.900000000000006</v>
      </c>
      <c r="I258" s="75">
        <v>75</v>
      </c>
      <c r="J258" s="75">
        <v>74.400000000000006</v>
      </c>
      <c r="K258" s="15" t="s">
        <v>662</v>
      </c>
    </row>
    <row r="259" spans="1:11" ht="92" x14ac:dyDescent="0.2">
      <c r="B259" s="6">
        <f t="shared" si="4"/>
        <v>45576</v>
      </c>
      <c r="C259" s="6" t="str">
        <f>C258</f>
        <v>Fri</v>
      </c>
      <c r="D259" s="8">
        <f>D258</f>
        <v>0.8125</v>
      </c>
      <c r="E259" s="6" t="str">
        <f>E258</f>
        <v>USD</v>
      </c>
      <c r="F259" s="9">
        <v>2</v>
      </c>
      <c r="G259" s="9" t="s">
        <v>663</v>
      </c>
      <c r="H259" s="75">
        <v>68.900000000000006</v>
      </c>
      <c r="I259" s="75">
        <v>70.900000000000006</v>
      </c>
      <c r="J259" s="75">
        <v>70.099999999999994</v>
      </c>
      <c r="K259" s="15" t="s">
        <v>664</v>
      </c>
    </row>
    <row r="260" spans="1:11" ht="27" x14ac:dyDescent="0.2">
      <c r="B260" s="82">
        <v>45603</v>
      </c>
      <c r="C260" s="83" t="s">
        <v>40</v>
      </c>
      <c r="D260" s="84">
        <v>0.97916666666666663</v>
      </c>
      <c r="E260" s="78" t="s">
        <v>1</v>
      </c>
      <c r="F260" s="78">
        <v>3</v>
      </c>
      <c r="G260" s="78" t="s">
        <v>127</v>
      </c>
      <c r="H260" s="85"/>
      <c r="I260" s="85">
        <v>4.5199999999999997E-2</v>
      </c>
      <c r="J260" s="85">
        <v>4.7500000000000001E-2</v>
      </c>
      <c r="K260" s="15" t="s">
        <v>369</v>
      </c>
    </row>
    <row r="261" spans="1:11" x14ac:dyDescent="0.2">
      <c r="C261" t="s">
        <v>679</v>
      </c>
    </row>
    <row r="262" spans="1:11" ht="183" x14ac:dyDescent="0.2">
      <c r="A262" t="s">
        <v>105</v>
      </c>
      <c r="B262" s="6">
        <f>B264-2</f>
        <v>45579</v>
      </c>
      <c r="C262" s="7" t="str">
        <f>VLOOKUP(WEEKDAY([3]ec!B272,1),[3]table!$E$9:$F$15,2,FALSE)</f>
        <v>Sat</v>
      </c>
      <c r="D262" s="8">
        <v>0.6875</v>
      </c>
      <c r="E262" s="9" t="s">
        <v>1</v>
      </c>
      <c r="F262" s="9">
        <v>2</v>
      </c>
      <c r="G262" s="9" t="s">
        <v>303</v>
      </c>
      <c r="H262" s="74"/>
      <c r="I262" s="74"/>
      <c r="J262" s="74"/>
      <c r="K262" s="15" t="s">
        <v>680</v>
      </c>
    </row>
    <row r="263" spans="1:11" ht="157" x14ac:dyDescent="0.2">
      <c r="B263" s="6">
        <f>B264</f>
        <v>45581</v>
      </c>
      <c r="C263" s="7" t="str">
        <f>VLOOKUP(WEEKDAY([3]ec!B273,1),[3]table!$E$9:$F$15,2,FALSE)</f>
        <v>Sat</v>
      </c>
      <c r="D263" s="8">
        <v>0.13541666666666666</v>
      </c>
      <c r="E263" s="9" t="s">
        <v>49</v>
      </c>
      <c r="F263" s="9">
        <v>2</v>
      </c>
      <c r="G263" s="9" t="s">
        <v>681</v>
      </c>
      <c r="H263" s="74">
        <v>2.1999999999999999E-2</v>
      </c>
      <c r="I263" s="74">
        <v>2.1999999999999999E-2</v>
      </c>
      <c r="J263" s="74">
        <v>3.3000000000000002E-2</v>
      </c>
      <c r="K263" s="15" t="s">
        <v>682</v>
      </c>
    </row>
    <row r="264" spans="1:11" ht="105" x14ac:dyDescent="0.2">
      <c r="B264" s="6">
        <v>45581</v>
      </c>
      <c r="C264" s="7" t="str">
        <f>VLOOKUP(WEEKDAY([3]ec!B274,1),[3]table!$E$9:$F$15,2,FALSE)</f>
        <v>Sat</v>
      </c>
      <c r="D264" s="8">
        <v>0.47916666666666669</v>
      </c>
      <c r="E264" s="9" t="s">
        <v>53</v>
      </c>
      <c r="F264" s="9">
        <v>3</v>
      </c>
      <c r="G264" s="9" t="s">
        <v>683</v>
      </c>
      <c r="H264" s="74">
        <v>1.7000000000000001E-2</v>
      </c>
      <c r="I264" s="74">
        <v>1.9E-2</v>
      </c>
      <c r="J264" s="74">
        <v>2.1999999999999999E-2</v>
      </c>
      <c r="K264" s="15" t="s">
        <v>684</v>
      </c>
    </row>
    <row r="265" spans="1:11" ht="92" x14ac:dyDescent="0.2">
      <c r="B265" s="6">
        <f>B264+1</f>
        <v>45582</v>
      </c>
      <c r="C265" s="7" t="str">
        <f>VLOOKUP(WEEKDAY([3]ec!B275,1),[3]table!$E$9:$F$15,2,FALSE)</f>
        <v>Sat</v>
      </c>
      <c r="D265" s="8">
        <v>0.60416666666666663</v>
      </c>
      <c r="E265" s="9" t="s">
        <v>22</v>
      </c>
      <c r="F265" s="9">
        <v>3</v>
      </c>
      <c r="G265" s="9" t="s">
        <v>685</v>
      </c>
      <c r="H265" s="74">
        <v>1.7000000000000001E-2</v>
      </c>
      <c r="I265" s="74">
        <v>1.7999999999999999E-2</v>
      </c>
      <c r="J265" s="74">
        <v>2.1999999999999999E-2</v>
      </c>
      <c r="K265" s="15" t="s">
        <v>686</v>
      </c>
    </row>
    <row r="266" spans="1:11" x14ac:dyDescent="0.2">
      <c r="B266" s="6">
        <f t="shared" ref="B266:B273" si="5">B265</f>
        <v>45582</v>
      </c>
      <c r="C266" s="7" t="str">
        <f>VLOOKUP(WEEKDAY([3]ec!B276,1),[3]table!$E$9:$F$15,2,FALSE)</f>
        <v>Sat</v>
      </c>
      <c r="D266" s="8">
        <v>0.73958333333333337</v>
      </c>
      <c r="E266" s="9" t="s">
        <v>22</v>
      </c>
      <c r="F266" s="9">
        <v>3</v>
      </c>
      <c r="G266" s="9" t="s">
        <v>687</v>
      </c>
      <c r="H266" s="74">
        <v>3.2500000000000001E-2</v>
      </c>
      <c r="I266" s="74">
        <v>3.2500000000000001E-2</v>
      </c>
      <c r="J266" s="74">
        <v>3.5000000000000003E-2</v>
      </c>
      <c r="K266" s="15"/>
    </row>
    <row r="267" spans="1:11" ht="131" x14ac:dyDescent="0.2">
      <c r="B267" s="6">
        <f t="shared" si="5"/>
        <v>45582</v>
      </c>
      <c r="C267" s="7" t="str">
        <f>VLOOKUP(WEEKDAY([3]ec!B277,1),[3]table!$E$9:$F$15,2,FALSE)</f>
        <v>Sat</v>
      </c>
      <c r="D267" s="8">
        <f>D266</f>
        <v>0.73958333333333337</v>
      </c>
      <c r="E267" s="9" t="s">
        <v>22</v>
      </c>
      <c r="F267" s="9">
        <v>3</v>
      </c>
      <c r="G267" s="9" t="s">
        <v>688</v>
      </c>
      <c r="H267" s="74">
        <v>3.4000000000000002E-2</v>
      </c>
      <c r="I267" s="74">
        <v>3.4000000000000002E-2</v>
      </c>
      <c r="J267" s="74">
        <v>3.6499999999999998E-2</v>
      </c>
      <c r="K267" s="15" t="s">
        <v>689</v>
      </c>
    </row>
    <row r="268" spans="1:11" ht="92" x14ac:dyDescent="0.2">
      <c r="B268" s="6">
        <f t="shared" si="5"/>
        <v>45582</v>
      </c>
      <c r="C268" s="7" t="str">
        <f>VLOOKUP(WEEKDAY([3]ec!B278,1),[3]table!$E$9:$F$15,2,FALSE)</f>
        <v>Sat</v>
      </c>
      <c r="D268" s="8">
        <v>0.75</v>
      </c>
      <c r="E268" s="9" t="s">
        <v>1</v>
      </c>
      <c r="F268" s="9">
        <v>3</v>
      </c>
      <c r="G268" s="9" t="s">
        <v>690</v>
      </c>
      <c r="H268" s="74">
        <v>5.0000000000000001E-3</v>
      </c>
      <c r="I268" s="74">
        <v>1E-3</v>
      </c>
      <c r="J268" s="74">
        <v>1E-3</v>
      </c>
      <c r="K268" s="15" t="s">
        <v>691</v>
      </c>
    </row>
    <row r="269" spans="1:11" ht="92" x14ac:dyDescent="0.2">
      <c r="B269" s="6">
        <f t="shared" si="5"/>
        <v>45582</v>
      </c>
      <c r="C269" s="7" t="str">
        <f>VLOOKUP(WEEKDAY([3]ec!B279,1),[3]table!$E$9:$F$15,2,FALSE)</f>
        <v>Sat</v>
      </c>
      <c r="D269" s="8">
        <v>0.75</v>
      </c>
      <c r="E269" s="9" t="s">
        <v>1</v>
      </c>
      <c r="F269" s="9">
        <v>3</v>
      </c>
      <c r="G269" s="9" t="s">
        <v>14</v>
      </c>
      <c r="H269" s="74" t="s">
        <v>171</v>
      </c>
      <c r="I269" s="74" t="s">
        <v>171</v>
      </c>
      <c r="J269" s="74" t="s">
        <v>692</v>
      </c>
      <c r="K269" s="15" t="s">
        <v>693</v>
      </c>
    </row>
    <row r="270" spans="1:11" ht="118" x14ac:dyDescent="0.2">
      <c r="B270" s="6">
        <f t="shared" si="5"/>
        <v>45582</v>
      </c>
      <c r="C270" s="7" t="str">
        <f>VLOOKUP(WEEKDAY([3]ec!B280,1),[3]table!$E$9:$F$15,2,FALSE)</f>
        <v>Sat</v>
      </c>
      <c r="D270" s="8">
        <v>0.75</v>
      </c>
      <c r="E270" s="9" t="s">
        <v>1</v>
      </c>
      <c r="F270" s="9">
        <v>3</v>
      </c>
      <c r="G270" s="9" t="s">
        <v>694</v>
      </c>
      <c r="H270" s="75">
        <v>10.3</v>
      </c>
      <c r="I270" s="75">
        <v>4.2</v>
      </c>
      <c r="J270" s="75">
        <v>1.7</v>
      </c>
      <c r="K270" s="15" t="s">
        <v>695</v>
      </c>
    </row>
    <row r="271" spans="1:11" ht="92" x14ac:dyDescent="0.2">
      <c r="B271" s="6">
        <f t="shared" si="5"/>
        <v>45582</v>
      </c>
      <c r="C271" s="7" t="str">
        <f>VLOOKUP(WEEKDAY([3]ec!B281,1),[3]table!$E$9:$F$15,2,FALSE)</f>
        <v>Sat</v>
      </c>
      <c r="D271" s="8">
        <v>0.75</v>
      </c>
      <c r="E271" s="9" t="s">
        <v>1</v>
      </c>
      <c r="F271" s="9">
        <v>3</v>
      </c>
      <c r="G271" s="9" t="s">
        <v>696</v>
      </c>
      <c r="H271" s="74">
        <v>4.0000000000000001E-3</v>
      </c>
      <c r="I271" s="74">
        <v>3.0000000000000001E-3</v>
      </c>
      <c r="J271" s="74">
        <v>1E-3</v>
      </c>
      <c r="K271" s="15" t="s">
        <v>697</v>
      </c>
    </row>
    <row r="272" spans="1:11" ht="105" x14ac:dyDescent="0.2">
      <c r="B272" s="6">
        <f t="shared" si="5"/>
        <v>45582</v>
      </c>
      <c r="C272" s="7" t="str">
        <f>VLOOKUP(WEEKDAY([3]ec!B282,1),[3]table!$E$9:$F$15,2,FALSE)</f>
        <v>Sat</v>
      </c>
      <c r="D272" s="8">
        <v>0.76041666666666663</v>
      </c>
      <c r="E272" s="9" t="s">
        <v>1</v>
      </c>
      <c r="F272" s="9">
        <v>3</v>
      </c>
      <c r="G272" s="9" t="s">
        <v>74</v>
      </c>
      <c r="H272" s="74"/>
      <c r="I272" s="74"/>
      <c r="J272" s="74"/>
      <c r="K272" s="15" t="s">
        <v>698</v>
      </c>
    </row>
    <row r="273" spans="1:11" ht="131" x14ac:dyDescent="0.2">
      <c r="B273" s="6">
        <f t="shared" si="5"/>
        <v>45582</v>
      </c>
      <c r="C273" s="7" t="str">
        <f>VLOOKUP(WEEKDAY([3]ec!B283,1),[3]table!$E$9:$F$15,2,FALSE)</f>
        <v>Sat</v>
      </c>
      <c r="D273" s="8">
        <v>0.85416666666666663</v>
      </c>
      <c r="E273" s="9" t="s">
        <v>1</v>
      </c>
      <c r="F273" s="9">
        <v>3</v>
      </c>
      <c r="G273" s="9" t="s">
        <v>9</v>
      </c>
      <c r="H273" s="79" t="s">
        <v>699</v>
      </c>
      <c r="I273" s="74" t="s">
        <v>700</v>
      </c>
      <c r="J273" s="74" t="s">
        <v>677</v>
      </c>
      <c r="K273" s="15" t="s">
        <v>701</v>
      </c>
    </row>
    <row r="274" spans="1:11" ht="105" x14ac:dyDescent="0.2">
      <c r="B274" s="6">
        <f>B273+1</f>
        <v>45583</v>
      </c>
      <c r="C274" s="7" t="str">
        <f>VLOOKUP(WEEKDAY([3]ec!B284,1),[3]table!$E$9:$F$15,2,FALSE)</f>
        <v>Sat</v>
      </c>
      <c r="D274" s="8">
        <v>0.3125</v>
      </c>
      <c r="E274" s="9" t="s">
        <v>65</v>
      </c>
      <c r="F274" s="9">
        <v>3</v>
      </c>
      <c r="G274" s="9" t="s">
        <v>702</v>
      </c>
      <c r="H274" s="74">
        <v>4.5999999999999999E-2</v>
      </c>
      <c r="I274" s="74">
        <v>4.5999999999999999E-2</v>
      </c>
      <c r="J274" s="74">
        <v>4.7E-2</v>
      </c>
      <c r="K274" s="15" t="s">
        <v>703</v>
      </c>
    </row>
    <row r="275" spans="1:11" ht="27" x14ac:dyDescent="0.2">
      <c r="B275" s="82">
        <v>45603</v>
      </c>
      <c r="C275" s="83" t="s">
        <v>40</v>
      </c>
      <c r="D275" s="84">
        <v>0.97916666666666663</v>
      </c>
      <c r="E275" s="78" t="s">
        <v>1</v>
      </c>
      <c r="F275" s="78">
        <v>3</v>
      </c>
      <c r="G275" s="78" t="s">
        <v>127</v>
      </c>
      <c r="H275" s="85"/>
      <c r="I275" s="85">
        <v>4.6600000000000003E-2</v>
      </c>
      <c r="J275" s="85">
        <v>4.8800000000000003E-2</v>
      </c>
      <c r="K275" s="15" t="s">
        <v>369</v>
      </c>
    </row>
    <row r="276" spans="1:11" x14ac:dyDescent="0.2">
      <c r="C276" t="s">
        <v>704</v>
      </c>
      <c r="H276"/>
      <c r="J276" s="1"/>
      <c r="K276" s="26"/>
    </row>
    <row r="277" spans="1:11" ht="157" x14ac:dyDescent="0.2">
      <c r="A277" t="s">
        <v>105</v>
      </c>
      <c r="B277" s="6">
        <v>45588</v>
      </c>
      <c r="C277" s="7" t="str">
        <f>VLOOKUP(WEEKDAY([3]ec!B291,1),[3]table!$E$9:$F$15,2,FALSE)</f>
        <v>Sat</v>
      </c>
      <c r="D277" s="8">
        <v>0.80208333333333337</v>
      </c>
      <c r="E277" s="9" t="s">
        <v>89</v>
      </c>
      <c r="F277" s="9">
        <v>3</v>
      </c>
      <c r="G277" s="9" t="s">
        <v>90</v>
      </c>
      <c r="H277" s="74"/>
      <c r="I277" s="74">
        <v>3.7499999999999999E-2</v>
      </c>
      <c r="J277" s="74">
        <v>4.2500000000000003E-2</v>
      </c>
      <c r="K277" s="15" t="s">
        <v>705</v>
      </c>
    </row>
    <row r="278" spans="1:11" ht="105" x14ac:dyDescent="0.2">
      <c r="B278" s="6">
        <v>45588</v>
      </c>
      <c r="C278" s="7" t="str">
        <f>VLOOKUP(WEEKDAY([3]ec!B292,1),[3]table!$E$9:$F$15,2,FALSE)</f>
        <v>Sat</v>
      </c>
      <c r="D278" s="8">
        <v>0.8125</v>
      </c>
      <c r="E278" s="9" t="s">
        <v>1</v>
      </c>
      <c r="F278" s="9">
        <v>3</v>
      </c>
      <c r="G278" s="9" t="s">
        <v>706</v>
      </c>
      <c r="H278" s="74"/>
      <c r="I278" s="74" t="s">
        <v>707</v>
      </c>
      <c r="J278" s="74" t="s">
        <v>349</v>
      </c>
      <c r="K278" s="15" t="s">
        <v>708</v>
      </c>
    </row>
    <row r="279" spans="1:11" ht="131" x14ac:dyDescent="0.2">
      <c r="B279" s="6">
        <f t="shared" ref="B279" si="6">B278</f>
        <v>45588</v>
      </c>
      <c r="C279" s="7" t="str">
        <f>VLOOKUP(WEEKDAY([3]ec!B293,1),[3]table!$E$9:$F$15,2,FALSE)</f>
        <v>Sat</v>
      </c>
      <c r="D279" s="8">
        <v>0.83333333333333337</v>
      </c>
      <c r="E279" s="9" t="s">
        <v>1</v>
      </c>
      <c r="F279" s="9">
        <v>3</v>
      </c>
      <c r="G279" s="9" t="s">
        <v>9</v>
      </c>
      <c r="H279" s="79"/>
      <c r="I279" s="74"/>
      <c r="J279" s="79" t="s">
        <v>699</v>
      </c>
      <c r="K279" s="15" t="s">
        <v>701</v>
      </c>
    </row>
    <row r="280" spans="1:11" x14ac:dyDescent="0.2">
      <c r="B280" s="6">
        <f>B281</f>
        <v>45589</v>
      </c>
      <c r="C280" s="7" t="str">
        <f>C281</f>
        <v>Sat</v>
      </c>
      <c r="D280" s="129">
        <f>M280+TIME(5,30,0)</f>
        <v>0.22916666666666666</v>
      </c>
      <c r="E280" s="9" t="s">
        <v>1</v>
      </c>
      <c r="F280" s="9">
        <v>3</v>
      </c>
      <c r="G280" s="9" t="s">
        <v>709</v>
      </c>
      <c r="H280" s="79"/>
      <c r="I280" s="20">
        <v>0.6</v>
      </c>
      <c r="J280" s="20">
        <v>0.66</v>
      </c>
      <c r="K280" s="15" t="s">
        <v>710</v>
      </c>
    </row>
    <row r="281" spans="1:11" ht="92" x14ac:dyDescent="0.2">
      <c r="B281" s="6">
        <f>B278+1</f>
        <v>45589</v>
      </c>
      <c r="C281" s="7" t="str">
        <f>VLOOKUP(WEEKDAY([3]ec!B295,1),[3]table!$E$9:$F$15,2,FALSE)</f>
        <v>Sat</v>
      </c>
      <c r="D281" s="8">
        <v>0.58333333333333337</v>
      </c>
      <c r="E281" s="9" t="s">
        <v>53</v>
      </c>
      <c r="F281" s="9">
        <v>2</v>
      </c>
      <c r="G281" s="9" t="s">
        <v>711</v>
      </c>
      <c r="H281" s="74"/>
      <c r="I281" s="75"/>
      <c r="J281" s="75">
        <v>52.6</v>
      </c>
      <c r="K281" s="15" t="s">
        <v>712</v>
      </c>
    </row>
    <row r="282" spans="1:11" ht="92" x14ac:dyDescent="0.2">
      <c r="B282" s="6">
        <f>B279+1</f>
        <v>45589</v>
      </c>
      <c r="C282" s="7" t="str">
        <f>VLOOKUP(WEEKDAY([3]ec!B296,1),[3]table!$E$9:$F$15,2,FALSE)</f>
        <v>Sat</v>
      </c>
      <c r="D282" s="8">
        <v>0.75</v>
      </c>
      <c r="E282" s="9" t="s">
        <v>1</v>
      </c>
      <c r="F282" s="9">
        <v>3</v>
      </c>
      <c r="G282" s="9" t="s">
        <v>14</v>
      </c>
      <c r="H282" s="74"/>
      <c r="I282" s="74" t="s">
        <v>99</v>
      </c>
      <c r="J282" s="74" t="s">
        <v>171</v>
      </c>
      <c r="K282" s="15" t="s">
        <v>693</v>
      </c>
    </row>
    <row r="283" spans="1:11" ht="157" x14ac:dyDescent="0.2">
      <c r="B283" s="6">
        <f t="shared" ref="B283:C285" si="7">B282</f>
        <v>45589</v>
      </c>
      <c r="C283" s="7" t="str">
        <f t="shared" si="7"/>
        <v>Sat</v>
      </c>
      <c r="D283" s="8">
        <v>0.80208333333333337</v>
      </c>
      <c r="E283" s="9" t="s">
        <v>1</v>
      </c>
      <c r="F283" s="9">
        <v>3</v>
      </c>
      <c r="G283" s="9" t="s">
        <v>713</v>
      </c>
      <c r="H283" s="74"/>
      <c r="I283" s="75">
        <v>47.5</v>
      </c>
      <c r="J283" s="75">
        <v>47.3</v>
      </c>
      <c r="K283" s="15" t="s">
        <v>714</v>
      </c>
    </row>
    <row r="284" spans="1:11" ht="131" x14ac:dyDescent="0.2">
      <c r="B284" s="6">
        <f t="shared" si="7"/>
        <v>45589</v>
      </c>
      <c r="C284" s="7" t="str">
        <f t="shared" si="7"/>
        <v>Sat</v>
      </c>
      <c r="D284" s="8">
        <v>0.80208333333333337</v>
      </c>
      <c r="E284" s="9" t="s">
        <v>1</v>
      </c>
      <c r="F284" s="9">
        <v>3</v>
      </c>
      <c r="G284" s="9" t="s">
        <v>715</v>
      </c>
      <c r="H284" s="74"/>
      <c r="I284" s="75">
        <v>55</v>
      </c>
      <c r="J284" s="75">
        <v>55.2</v>
      </c>
      <c r="K284" s="15" t="s">
        <v>716</v>
      </c>
    </row>
    <row r="285" spans="1:11" ht="105" x14ac:dyDescent="0.2">
      <c r="B285" s="6">
        <f t="shared" si="7"/>
        <v>45589</v>
      </c>
      <c r="C285" s="7" t="str">
        <f t="shared" si="7"/>
        <v>Sat</v>
      </c>
      <c r="D285" s="8">
        <v>0.8125</v>
      </c>
      <c r="E285" s="9" t="s">
        <v>1</v>
      </c>
      <c r="F285" s="9">
        <v>3</v>
      </c>
      <c r="G285" s="9" t="s">
        <v>717</v>
      </c>
      <c r="H285" s="74"/>
      <c r="I285" s="74" t="s">
        <v>718</v>
      </c>
      <c r="J285" s="74" t="s">
        <v>378</v>
      </c>
      <c r="K285" s="15" t="s">
        <v>719</v>
      </c>
    </row>
    <row r="286" spans="1:11" ht="92" x14ac:dyDescent="0.2">
      <c r="B286" s="6">
        <f>B285+1</f>
        <v>45590</v>
      </c>
      <c r="C286" s="7" t="str">
        <f>VLOOKUP(WEEKDAY([3]ec!B300,1),[3]table!$E$9:$F$15,2,FALSE)</f>
        <v>Sat</v>
      </c>
      <c r="D286" s="8">
        <v>0.75</v>
      </c>
      <c r="E286" s="9" t="s">
        <v>1</v>
      </c>
      <c r="F286" s="9">
        <v>3</v>
      </c>
      <c r="G286" s="9" t="s">
        <v>720</v>
      </c>
      <c r="H286" s="74"/>
      <c r="I286" s="130">
        <v>-1.0999999999999999E-2</v>
      </c>
      <c r="J286" s="130">
        <v>0</v>
      </c>
      <c r="K286" s="15" t="s">
        <v>721</v>
      </c>
    </row>
    <row r="287" spans="1:11" ht="27" x14ac:dyDescent="0.2">
      <c r="B287" s="82">
        <v>45603</v>
      </c>
      <c r="C287" s="83" t="s">
        <v>40</v>
      </c>
      <c r="D287" s="84">
        <v>0.97916666666666663</v>
      </c>
      <c r="E287" s="78" t="s">
        <v>1</v>
      </c>
      <c r="F287" s="78">
        <v>3</v>
      </c>
      <c r="G287" s="78" t="s">
        <v>127</v>
      </c>
      <c r="H287" s="85"/>
      <c r="I287" s="85">
        <v>4.6399999999999997E-2</v>
      </c>
      <c r="J287" s="85">
        <v>4.8800000000000003E-2</v>
      </c>
      <c r="K287" s="15" t="s">
        <v>369</v>
      </c>
    </row>
    <row r="288" spans="1:11" x14ac:dyDescent="0.2">
      <c r="C288" t="s">
        <v>722</v>
      </c>
      <c r="H288"/>
      <c r="J288" s="1"/>
      <c r="K288" s="26"/>
    </row>
    <row r="289" spans="1:11" ht="105" x14ac:dyDescent="0.2">
      <c r="A289" t="s">
        <v>105</v>
      </c>
      <c r="B289" s="6">
        <v>45594</v>
      </c>
      <c r="C289" s="7" t="str">
        <f>VLOOKUP(WEEKDAY([3]ec!B289,1),[3]table!$E$9:$F$15,2,FALSE)</f>
        <v>Sat</v>
      </c>
      <c r="D289" s="8">
        <v>0.8125</v>
      </c>
      <c r="E289" s="9" t="s">
        <v>1</v>
      </c>
      <c r="F289" s="9">
        <v>3</v>
      </c>
      <c r="G289" s="9" t="s">
        <v>817</v>
      </c>
      <c r="H289" s="74"/>
      <c r="I289" s="75">
        <v>99.2</v>
      </c>
      <c r="J289" s="75">
        <v>98.7</v>
      </c>
      <c r="K289" s="15" t="s">
        <v>818</v>
      </c>
    </row>
    <row r="290" spans="1:11" ht="157" x14ac:dyDescent="0.2">
      <c r="B290" s="6">
        <f>B289</f>
        <v>45594</v>
      </c>
      <c r="C290" s="7" t="str">
        <f>VLOOKUP(WEEKDAY([3]ec!B290,1),[3]table!$E$9:$F$15,2,FALSE)</f>
        <v>Sat</v>
      </c>
      <c r="D290" s="8">
        <f>D289</f>
        <v>0.8125</v>
      </c>
      <c r="E290" s="9" t="s">
        <v>1</v>
      </c>
      <c r="F290" s="9">
        <v>3</v>
      </c>
      <c r="G290" s="9" t="s">
        <v>819</v>
      </c>
      <c r="H290" s="74"/>
      <c r="I290" s="75" t="s">
        <v>820</v>
      </c>
      <c r="J290" s="75" t="s">
        <v>634</v>
      </c>
      <c r="K290" s="15" t="s">
        <v>821</v>
      </c>
    </row>
    <row r="291" spans="1:11" x14ac:dyDescent="0.2">
      <c r="B291" s="6">
        <f>B289+1</f>
        <v>45595</v>
      </c>
      <c r="C291" s="7" t="str">
        <f>VLOOKUP(WEEKDAY([3]ec!B291,1),[3]table!$E$9:$F$15,2,FALSE)</f>
        <v>Sat</v>
      </c>
      <c r="D291" s="8">
        <v>6.25E-2</v>
      </c>
      <c r="E291" s="9" t="s">
        <v>1</v>
      </c>
      <c r="F291" s="9">
        <v>3</v>
      </c>
      <c r="G291" s="9" t="s">
        <v>822</v>
      </c>
      <c r="H291" s="74"/>
      <c r="I291" s="20">
        <v>1.84</v>
      </c>
      <c r="J291" s="20">
        <v>1.55</v>
      </c>
      <c r="K291" s="15" t="s">
        <v>823</v>
      </c>
    </row>
    <row r="292" spans="1:11" x14ac:dyDescent="0.2">
      <c r="B292" s="6">
        <f>B290+1</f>
        <v>45595</v>
      </c>
      <c r="C292" s="7" t="str">
        <f>VLOOKUP(WEEKDAY([3]ec!B292,1),[3]table!$E$9:$F$15,2,FALSE)</f>
        <v>Sat</v>
      </c>
      <c r="D292" s="8">
        <v>6.25E-2</v>
      </c>
      <c r="E292" s="9" t="s">
        <v>1</v>
      </c>
      <c r="F292" s="9">
        <v>3</v>
      </c>
      <c r="G292" s="9" t="s">
        <v>112</v>
      </c>
      <c r="H292" s="74"/>
      <c r="I292" s="20">
        <v>0.92</v>
      </c>
      <c r="J292" s="20">
        <v>0.7</v>
      </c>
      <c r="K292" s="15" t="s">
        <v>823</v>
      </c>
    </row>
    <row r="293" spans="1:11" ht="144" x14ac:dyDescent="0.2">
      <c r="B293" s="6">
        <f>B290+1</f>
        <v>45595</v>
      </c>
      <c r="C293" s="7" t="str">
        <f>VLOOKUP(WEEKDAY([3]ec!B293,1),[3]table!$E$9:$F$15,2,FALSE)</f>
        <v>Sat</v>
      </c>
      <c r="D293" s="8">
        <v>0.25</v>
      </c>
      <c r="E293" s="9" t="s">
        <v>357</v>
      </c>
      <c r="F293" s="9">
        <v>2</v>
      </c>
      <c r="G293" s="9" t="s">
        <v>824</v>
      </c>
      <c r="H293" s="74"/>
      <c r="I293" s="85">
        <v>2.3E-2</v>
      </c>
      <c r="J293" s="85">
        <v>3.7999999999999999E-2</v>
      </c>
      <c r="K293" s="15" t="s">
        <v>825</v>
      </c>
    </row>
    <row r="294" spans="1:11" ht="92" x14ac:dyDescent="0.2">
      <c r="B294" s="6">
        <f>B290+1</f>
        <v>45595</v>
      </c>
      <c r="C294" s="7" t="str">
        <f>VLOOKUP(WEEKDAY([3]ec!B294,1),[3]table!$E$9:$F$15,2,FALSE)</f>
        <v>Sat</v>
      </c>
      <c r="D294" s="8">
        <v>0.60416666666666663</v>
      </c>
      <c r="E294" s="9" t="s">
        <v>22</v>
      </c>
      <c r="F294" s="9">
        <v>3</v>
      </c>
      <c r="G294" s="9" t="s">
        <v>826</v>
      </c>
      <c r="H294" s="79"/>
      <c r="I294" s="85">
        <v>-1E-3</v>
      </c>
      <c r="J294" s="85">
        <v>-1E-3</v>
      </c>
      <c r="K294" s="15" t="s">
        <v>827</v>
      </c>
    </row>
    <row r="295" spans="1:11" ht="79" x14ac:dyDescent="0.2">
      <c r="B295" s="6">
        <f>B293</f>
        <v>45595</v>
      </c>
      <c r="C295" s="7" t="str">
        <f>C293</f>
        <v>Sat</v>
      </c>
      <c r="D295" s="8">
        <v>0.64583333333333337</v>
      </c>
      <c r="E295" s="9" t="s">
        <v>22</v>
      </c>
      <c r="F295" s="9">
        <v>3</v>
      </c>
      <c r="G295" s="9" t="s">
        <v>828</v>
      </c>
      <c r="H295" s="79"/>
      <c r="I295" s="85">
        <v>8.0000000000000002E-3</v>
      </c>
      <c r="J295" s="85">
        <v>6.0000000000000001E-3</v>
      </c>
      <c r="K295" s="15" t="s">
        <v>829</v>
      </c>
    </row>
    <row r="296" spans="1:11" ht="66" x14ac:dyDescent="0.2">
      <c r="B296" s="6">
        <f>B294</f>
        <v>45595</v>
      </c>
      <c r="C296" s="7" t="str">
        <f>C294</f>
        <v>Sat</v>
      </c>
      <c r="D296" s="8">
        <v>0.64583333333333337</v>
      </c>
      <c r="E296" s="9" t="s">
        <v>53</v>
      </c>
      <c r="F296" s="9">
        <v>3</v>
      </c>
      <c r="G296" s="9" t="s">
        <v>830</v>
      </c>
      <c r="H296" s="79"/>
      <c r="I296" s="20"/>
      <c r="J296" s="20"/>
      <c r="K296" s="15" t="s">
        <v>831</v>
      </c>
    </row>
    <row r="297" spans="1:11" ht="144" x14ac:dyDescent="0.2">
      <c r="B297" s="6">
        <f t="shared" ref="B297:C300" si="8">B296</f>
        <v>45595</v>
      </c>
      <c r="C297" s="7" t="str">
        <f t="shared" si="8"/>
        <v>Sat</v>
      </c>
      <c r="D297" s="8">
        <v>0.73958333333333337</v>
      </c>
      <c r="E297" s="9" t="s">
        <v>1</v>
      </c>
      <c r="F297" s="9">
        <v>3</v>
      </c>
      <c r="G297" s="9" t="s">
        <v>832</v>
      </c>
      <c r="H297" s="74"/>
      <c r="I297" s="75" t="s">
        <v>833</v>
      </c>
      <c r="J297" s="75" t="s">
        <v>635</v>
      </c>
      <c r="K297" s="15" t="s">
        <v>834</v>
      </c>
    </row>
    <row r="298" spans="1:11" ht="105" x14ac:dyDescent="0.2">
      <c r="B298" s="6">
        <f t="shared" si="8"/>
        <v>45595</v>
      </c>
      <c r="C298" s="7" t="str">
        <f t="shared" si="8"/>
        <v>Sat</v>
      </c>
      <c r="D298" s="8">
        <v>0.75</v>
      </c>
      <c r="E298" s="9" t="s">
        <v>1</v>
      </c>
      <c r="F298" s="9">
        <v>3</v>
      </c>
      <c r="G298" s="9" t="s">
        <v>835</v>
      </c>
      <c r="H298" s="74"/>
      <c r="I298" s="85">
        <v>0.03</v>
      </c>
      <c r="J298" s="85">
        <v>0.03</v>
      </c>
      <c r="K298" s="15" t="s">
        <v>836</v>
      </c>
    </row>
    <row r="299" spans="1:11" ht="105" x14ac:dyDescent="0.2">
      <c r="B299" s="6">
        <f t="shared" si="8"/>
        <v>45595</v>
      </c>
      <c r="C299" s="7" t="str">
        <f t="shared" si="8"/>
        <v>Sat</v>
      </c>
      <c r="D299" s="8">
        <v>0.77083333333333337</v>
      </c>
      <c r="E299" s="9" t="s">
        <v>22</v>
      </c>
      <c r="F299" s="9">
        <v>3</v>
      </c>
      <c r="G299" s="9" t="s">
        <v>837</v>
      </c>
      <c r="H299" s="74"/>
      <c r="I299" s="85">
        <v>2E-3</v>
      </c>
      <c r="J299" s="85">
        <v>0</v>
      </c>
      <c r="K299" s="15" t="s">
        <v>838</v>
      </c>
    </row>
    <row r="300" spans="1:11" ht="131" x14ac:dyDescent="0.2">
      <c r="B300" s="6">
        <f t="shared" si="8"/>
        <v>45595</v>
      </c>
      <c r="C300" s="7" t="str">
        <f t="shared" si="8"/>
        <v>Sat</v>
      </c>
      <c r="D300" s="8">
        <v>0.83333333333333337</v>
      </c>
      <c r="E300" s="9" t="s">
        <v>1</v>
      </c>
      <c r="F300" s="9">
        <v>3</v>
      </c>
      <c r="G300" s="9" t="s">
        <v>9</v>
      </c>
      <c r="H300" s="74"/>
      <c r="I300" s="75"/>
      <c r="J300" s="75" t="s">
        <v>839</v>
      </c>
      <c r="K300" s="15" t="s">
        <v>840</v>
      </c>
    </row>
    <row r="301" spans="1:11" x14ac:dyDescent="0.2">
      <c r="B301" s="6">
        <f>B299+1</f>
        <v>45596</v>
      </c>
      <c r="C301" s="7" t="str">
        <f>VLOOKUP(WEEKDAY([3]ec!B301,1),[3]table!$E$9:$F$15,2,FALSE)</f>
        <v>Sat</v>
      </c>
      <c r="D301" s="8">
        <v>6.25E-2</v>
      </c>
      <c r="E301" s="9" t="s">
        <v>1</v>
      </c>
      <c r="F301" s="9">
        <v>3</v>
      </c>
      <c r="G301" s="9" t="s">
        <v>114</v>
      </c>
      <c r="H301" s="74"/>
      <c r="I301" s="20">
        <v>3.1</v>
      </c>
      <c r="J301" s="20">
        <v>2.99</v>
      </c>
      <c r="K301" s="15" t="s">
        <v>823</v>
      </c>
    </row>
    <row r="302" spans="1:11" x14ac:dyDescent="0.2">
      <c r="B302" s="6">
        <f>B300+1</f>
        <v>45596</v>
      </c>
      <c r="C302" s="7" t="str">
        <f>VLOOKUP(WEEKDAY([3]ec!B302,1),[3]table!$E$9:$F$15,2,FALSE)</f>
        <v>Sat</v>
      </c>
      <c r="D302" s="8">
        <v>6.25E-2</v>
      </c>
      <c r="E302" s="9" t="s">
        <v>1</v>
      </c>
      <c r="F302" s="9">
        <v>3</v>
      </c>
      <c r="G302" s="9" t="s">
        <v>841</v>
      </c>
      <c r="H302" s="74"/>
      <c r="I302" s="20">
        <v>5.21</v>
      </c>
      <c r="J302" s="20">
        <v>4.3899999999999997</v>
      </c>
      <c r="K302" s="15" t="s">
        <v>823</v>
      </c>
    </row>
    <row r="303" spans="1:11" ht="157" x14ac:dyDescent="0.2">
      <c r="B303" s="6">
        <f>B300+1</f>
        <v>45596</v>
      </c>
      <c r="C303" s="7" t="str">
        <f>VLOOKUP(WEEKDAY([3]ec!B303,1),[3]table!$E$9:$F$15,2,FALSE)</f>
        <v>Sat</v>
      </c>
      <c r="D303" s="8">
        <v>0.29166666666666669</v>
      </c>
      <c r="E303" s="9" t="s">
        <v>65</v>
      </c>
      <c r="F303" s="9">
        <v>3</v>
      </c>
      <c r="G303" s="9" t="s">
        <v>842</v>
      </c>
      <c r="H303" s="74"/>
      <c r="I303" s="75">
        <v>50</v>
      </c>
      <c r="J303" s="75">
        <v>49.8</v>
      </c>
      <c r="K303" s="15" t="s">
        <v>843</v>
      </c>
    </row>
    <row r="304" spans="1:11" ht="92" x14ac:dyDescent="0.2">
      <c r="B304" s="6">
        <f>B303</f>
        <v>45596</v>
      </c>
      <c r="C304" s="7" t="str">
        <f>C303</f>
        <v>Sat</v>
      </c>
      <c r="D304" s="8">
        <v>0.35416666666666669</v>
      </c>
      <c r="E304" s="9" t="s">
        <v>117</v>
      </c>
      <c r="F304" s="9">
        <v>3</v>
      </c>
      <c r="G304" s="9" t="s">
        <v>118</v>
      </c>
      <c r="H304" s="74"/>
      <c r="I304" s="74">
        <v>2.5000000000000001E-3</v>
      </c>
      <c r="J304" s="74">
        <v>2.5000000000000001E-3</v>
      </c>
      <c r="K304" s="15" t="s">
        <v>844</v>
      </c>
    </row>
    <row r="305" spans="1:11" ht="92" x14ac:dyDescent="0.2">
      <c r="B305" s="6">
        <f>B304</f>
        <v>45596</v>
      </c>
      <c r="C305" s="7" t="str">
        <f t="shared" ref="C305:C309" si="9">C304</f>
        <v>Sat</v>
      </c>
      <c r="D305" s="8">
        <v>0.64583333333333337</v>
      </c>
      <c r="E305" s="9" t="s">
        <v>22</v>
      </c>
      <c r="F305" s="9">
        <v>3</v>
      </c>
      <c r="G305" s="9" t="s">
        <v>845</v>
      </c>
      <c r="H305" s="74"/>
      <c r="I305" s="74">
        <v>1.9E-2</v>
      </c>
      <c r="J305" s="74">
        <v>1.7000000000000001E-2</v>
      </c>
      <c r="K305" s="15" t="s">
        <v>846</v>
      </c>
    </row>
    <row r="306" spans="1:11" ht="79" x14ac:dyDescent="0.2">
      <c r="B306" s="6">
        <f>B305</f>
        <v>45596</v>
      </c>
      <c r="C306" s="7" t="str">
        <f t="shared" si="9"/>
        <v>Sat</v>
      </c>
      <c r="D306" s="8">
        <v>0.75</v>
      </c>
      <c r="E306" s="9" t="s">
        <v>1</v>
      </c>
      <c r="F306" s="9">
        <v>3</v>
      </c>
      <c r="G306" s="9" t="s">
        <v>847</v>
      </c>
      <c r="H306" s="74"/>
      <c r="I306" s="74"/>
      <c r="J306" s="74">
        <v>2.7E-2</v>
      </c>
      <c r="K306" s="15" t="s">
        <v>848</v>
      </c>
    </row>
    <row r="307" spans="1:11" ht="118" x14ac:dyDescent="0.2">
      <c r="B307" s="6">
        <f>B306</f>
        <v>45596</v>
      </c>
      <c r="C307" s="7" t="str">
        <f t="shared" si="9"/>
        <v>Sat</v>
      </c>
      <c r="D307" s="8">
        <f>D306</f>
        <v>0.75</v>
      </c>
      <c r="E307" s="9" t="str">
        <f>E306</f>
        <v>USD</v>
      </c>
      <c r="F307" s="9">
        <v>3</v>
      </c>
      <c r="G307" s="9" t="s">
        <v>849</v>
      </c>
      <c r="H307" s="74"/>
      <c r="I307" s="74">
        <v>3.0000000000000001E-3</v>
      </c>
      <c r="J307" s="74">
        <v>1E-3</v>
      </c>
      <c r="K307" s="15" t="s">
        <v>850</v>
      </c>
    </row>
    <row r="308" spans="1:11" ht="79" x14ac:dyDescent="0.2">
      <c r="B308" s="6">
        <f>B307</f>
        <v>45596</v>
      </c>
      <c r="C308" s="7" t="str">
        <f t="shared" si="9"/>
        <v>Sat</v>
      </c>
      <c r="D308" s="8">
        <f>D307</f>
        <v>0.75</v>
      </c>
      <c r="E308" s="9" t="str">
        <f>E307</f>
        <v>USD</v>
      </c>
      <c r="F308" s="9">
        <v>3</v>
      </c>
      <c r="G308" s="9" t="s">
        <v>14</v>
      </c>
      <c r="H308" s="74"/>
      <c r="I308" s="74" t="s">
        <v>268</v>
      </c>
      <c r="J308" s="74" t="s">
        <v>209</v>
      </c>
      <c r="K308" s="15" t="s">
        <v>851</v>
      </c>
    </row>
    <row r="309" spans="1:11" ht="118" x14ac:dyDescent="0.2">
      <c r="B309" s="6">
        <f>B308</f>
        <v>45596</v>
      </c>
      <c r="C309" s="7" t="str">
        <f t="shared" si="9"/>
        <v>Sat</v>
      </c>
      <c r="D309" s="8">
        <v>0.80208333333333337</v>
      </c>
      <c r="E309" s="9" t="s">
        <v>1</v>
      </c>
      <c r="F309" s="9">
        <v>3</v>
      </c>
      <c r="G309" s="9" t="s">
        <v>852</v>
      </c>
      <c r="H309" s="74"/>
      <c r="I309" s="75">
        <v>47.1</v>
      </c>
      <c r="J309" s="75">
        <v>46.6</v>
      </c>
      <c r="K309" s="15" t="s">
        <v>853</v>
      </c>
    </row>
    <row r="310" spans="1:11" x14ac:dyDescent="0.2">
      <c r="B310" s="6">
        <f>B311</f>
        <v>45597</v>
      </c>
      <c r="C310" s="7" t="str">
        <f>VLOOKUP(WEEKDAY([3]ec!B310,1),[3]table!$E$9:$F$15,2,FALSE)</f>
        <v>Sat</v>
      </c>
      <c r="D310" s="8">
        <v>6.25E-2</v>
      </c>
      <c r="E310" s="9" t="s">
        <v>1</v>
      </c>
      <c r="F310" s="9">
        <v>3</v>
      </c>
      <c r="G310" s="9" t="s">
        <v>854</v>
      </c>
      <c r="H310" s="74"/>
      <c r="I310" s="20">
        <v>1.1399999999999999</v>
      </c>
      <c r="J310" s="20"/>
      <c r="K310" s="15" t="s">
        <v>855</v>
      </c>
    </row>
    <row r="311" spans="1:11" ht="157" x14ac:dyDescent="0.2">
      <c r="B311" s="6">
        <f>B312</f>
        <v>45597</v>
      </c>
      <c r="C311" s="7" t="str">
        <f>VLOOKUP(WEEKDAY([3]ec!B311,1),[3]table!$E$9:$F$15,2,FALSE)</f>
        <v>Sat</v>
      </c>
      <c r="D311" s="8">
        <f>D310</f>
        <v>6.25E-2</v>
      </c>
      <c r="E311" s="9" t="s">
        <v>1</v>
      </c>
      <c r="F311" s="9">
        <v>3</v>
      </c>
      <c r="G311" s="9" t="s">
        <v>856</v>
      </c>
      <c r="H311" s="74"/>
      <c r="I311" s="20">
        <v>1.59</v>
      </c>
      <c r="J311" s="20">
        <v>1.4</v>
      </c>
      <c r="K311" s="15" t="s">
        <v>857</v>
      </c>
    </row>
    <row r="312" spans="1:11" ht="144" x14ac:dyDescent="0.2">
      <c r="B312" s="6">
        <f>B309+1</f>
        <v>45597</v>
      </c>
      <c r="C312" s="7" t="str">
        <f>VLOOKUP(WEEKDAY([3]ec!B312,1),[3]table!$E$9:$F$15,2,FALSE)</f>
        <v>Sat</v>
      </c>
      <c r="D312" s="8">
        <v>0.75</v>
      </c>
      <c r="E312" s="9" t="s">
        <v>1</v>
      </c>
      <c r="F312" s="9">
        <v>3</v>
      </c>
      <c r="G312" s="9" t="s">
        <v>858</v>
      </c>
      <c r="H312" s="74"/>
      <c r="I312" s="74">
        <v>3.0000000000000001E-3</v>
      </c>
      <c r="J312" s="74">
        <v>4.0000000000000001E-3</v>
      </c>
      <c r="K312" s="15" t="s">
        <v>859</v>
      </c>
    </row>
    <row r="313" spans="1:11" ht="144" x14ac:dyDescent="0.2">
      <c r="B313" s="6">
        <f>B312</f>
        <v>45597</v>
      </c>
      <c r="C313" s="7" t="str">
        <f>C312</f>
        <v>Sat</v>
      </c>
      <c r="D313" s="8">
        <v>0.75</v>
      </c>
      <c r="E313" s="9" t="s">
        <v>1</v>
      </c>
      <c r="F313" s="9">
        <v>3</v>
      </c>
      <c r="G313" s="9" t="s">
        <v>860</v>
      </c>
      <c r="H313" s="74"/>
      <c r="I313" s="74" t="s">
        <v>547</v>
      </c>
      <c r="J313" s="74" t="s">
        <v>641</v>
      </c>
      <c r="K313" s="15" t="s">
        <v>859</v>
      </c>
    </row>
    <row r="314" spans="1:11" ht="144" x14ac:dyDescent="0.2">
      <c r="B314" s="6">
        <f t="shared" ref="B314:C317" si="10">B313</f>
        <v>45597</v>
      </c>
      <c r="C314" s="7" t="str">
        <f t="shared" si="10"/>
        <v>Sat</v>
      </c>
      <c r="D314" s="8">
        <v>0.75</v>
      </c>
      <c r="E314" s="9" t="s">
        <v>1</v>
      </c>
      <c r="F314" s="9">
        <f>F313</f>
        <v>3</v>
      </c>
      <c r="G314" s="9" t="s">
        <v>861</v>
      </c>
      <c r="H314" s="74"/>
      <c r="I314" s="74">
        <v>4.1000000000000002E-2</v>
      </c>
      <c r="J314" s="74">
        <v>4.1000000000000002E-2</v>
      </c>
      <c r="K314" s="15" t="s">
        <v>859</v>
      </c>
    </row>
    <row r="315" spans="1:11" ht="196" x14ac:dyDescent="0.2">
      <c r="B315" s="6">
        <f t="shared" si="10"/>
        <v>45597</v>
      </c>
      <c r="C315" s="7" t="str">
        <f t="shared" si="10"/>
        <v>Sat</v>
      </c>
      <c r="D315" s="8">
        <v>0.8125</v>
      </c>
      <c r="E315" s="9" t="s">
        <v>1</v>
      </c>
      <c r="F315" s="9">
        <f t="shared" ref="F315:F317" si="11">F314</f>
        <v>3</v>
      </c>
      <c r="G315" s="9" t="s">
        <v>862</v>
      </c>
      <c r="H315" s="74"/>
      <c r="I315" s="75">
        <v>47.5</v>
      </c>
      <c r="J315" s="75">
        <v>47.2</v>
      </c>
      <c r="K315" s="15" t="s">
        <v>863</v>
      </c>
    </row>
    <row r="316" spans="1:11" ht="381" x14ac:dyDescent="0.2">
      <c r="B316" s="6">
        <f t="shared" si="10"/>
        <v>45597</v>
      </c>
      <c r="C316" s="7" t="str">
        <f t="shared" si="10"/>
        <v>Sat</v>
      </c>
      <c r="D316" s="8">
        <f>D315</f>
        <v>0.8125</v>
      </c>
      <c r="E316" s="9" t="s">
        <v>1</v>
      </c>
      <c r="F316" s="9">
        <f t="shared" si="11"/>
        <v>3</v>
      </c>
      <c r="G316" s="9" t="s">
        <v>864</v>
      </c>
      <c r="H316" s="74"/>
      <c r="I316" s="75">
        <v>48.9</v>
      </c>
      <c r="J316" s="75">
        <v>48.3</v>
      </c>
      <c r="K316" s="15" t="s">
        <v>865</v>
      </c>
    </row>
    <row r="317" spans="1:11" ht="131" x14ac:dyDescent="0.2">
      <c r="B317" s="6">
        <f t="shared" si="10"/>
        <v>45597</v>
      </c>
      <c r="C317" s="7" t="str">
        <f t="shared" si="10"/>
        <v>Sat</v>
      </c>
      <c r="D317" s="8">
        <v>0.84375</v>
      </c>
      <c r="E317" s="9" t="s">
        <v>1</v>
      </c>
      <c r="F317" s="9">
        <f t="shared" si="11"/>
        <v>3</v>
      </c>
      <c r="G317" s="9" t="s">
        <v>866</v>
      </c>
      <c r="H317" s="74"/>
      <c r="I317" s="75">
        <v>47.9</v>
      </c>
      <c r="J317" s="75">
        <v>47.3</v>
      </c>
      <c r="K317" s="15" t="s">
        <v>867</v>
      </c>
    </row>
    <row r="318" spans="1:11" ht="27" x14ac:dyDescent="0.2">
      <c r="B318" s="82">
        <v>45603</v>
      </c>
      <c r="C318" s="83" t="s">
        <v>40</v>
      </c>
      <c r="D318" s="84">
        <v>0.97916666666666663</v>
      </c>
      <c r="E318" s="78" t="s">
        <v>1</v>
      </c>
      <c r="F318" s="78">
        <v>3</v>
      </c>
      <c r="G318" s="78" t="s">
        <v>127</v>
      </c>
      <c r="H318" s="85"/>
      <c r="I318" s="85">
        <v>4.6399999999999997E-2</v>
      </c>
      <c r="J318" s="85">
        <v>4.8800000000000003E-2</v>
      </c>
      <c r="K318" s="15" t="s">
        <v>369</v>
      </c>
    </row>
    <row r="319" spans="1:11" x14ac:dyDescent="0.2">
      <c r="A319" t="s">
        <v>105</v>
      </c>
      <c r="B319" s="72" t="s">
        <v>35</v>
      </c>
      <c r="C319" s="72" t="s">
        <v>34</v>
      </c>
      <c r="D319" s="72" t="s">
        <v>33</v>
      </c>
      <c r="E319" s="72" t="s">
        <v>32</v>
      </c>
      <c r="F319" s="72" t="s">
        <v>31</v>
      </c>
      <c r="G319" s="72" t="s">
        <v>30</v>
      </c>
      <c r="H319" s="72" t="s">
        <v>29</v>
      </c>
      <c r="I319" s="73" t="s">
        <v>28</v>
      </c>
      <c r="J319" s="73" t="s">
        <v>27</v>
      </c>
      <c r="K319" s="72" t="s">
        <v>75</v>
      </c>
    </row>
    <row r="320" spans="1:11" ht="105" x14ac:dyDescent="0.2">
      <c r="B320" s="6">
        <v>45601</v>
      </c>
      <c r="C320" s="7" t="str">
        <f>VLOOKUP(WEEKDAY([3]ec!B320,1),[3]table!$E$9:$F$15,2,FALSE)</f>
        <v>Sat</v>
      </c>
      <c r="D320" s="8">
        <v>0.375</v>
      </c>
      <c r="E320" s="9" t="s">
        <v>357</v>
      </c>
      <c r="F320" s="9">
        <v>3</v>
      </c>
      <c r="G320" s="9" t="s">
        <v>915</v>
      </c>
      <c r="H320" s="74"/>
      <c r="I320" s="85">
        <v>4.3499999999999997E-2</v>
      </c>
      <c r="J320" s="85">
        <v>4.3499999999999997E-2</v>
      </c>
      <c r="K320" s="15" t="s">
        <v>916</v>
      </c>
    </row>
    <row r="321" spans="2:11" ht="79" x14ac:dyDescent="0.2">
      <c r="B321" s="6">
        <v>45601</v>
      </c>
      <c r="C321" s="7" t="str">
        <f>VLOOKUP(WEEKDAY([3]ec!B321,1),[3]table!$E$9:$F$15,2,FALSE)</f>
        <v>Sat</v>
      </c>
      <c r="D321" s="8">
        <v>0.64583333333333337</v>
      </c>
      <c r="E321" s="9" t="s">
        <v>1</v>
      </c>
      <c r="F321" s="9">
        <v>3</v>
      </c>
      <c r="G321" s="9" t="s">
        <v>917</v>
      </c>
      <c r="H321" s="74"/>
      <c r="I321" s="85"/>
      <c r="J321" s="85"/>
      <c r="K321" s="15" t="s">
        <v>918</v>
      </c>
    </row>
    <row r="322" spans="2:11" ht="131" x14ac:dyDescent="0.2">
      <c r="B322" s="6">
        <v>45601</v>
      </c>
      <c r="C322" s="7" t="str">
        <f>VLOOKUP(WEEKDAY([3]ec!B322,1),[3]table!$E$9:$F$15,2,FALSE)</f>
        <v>Sat</v>
      </c>
      <c r="D322" s="8">
        <v>0.84375</v>
      </c>
      <c r="E322" s="9" t="s">
        <v>1</v>
      </c>
      <c r="F322" s="9">
        <v>3</v>
      </c>
      <c r="G322" s="9" t="s">
        <v>919</v>
      </c>
      <c r="H322" s="74"/>
      <c r="I322" s="75">
        <v>55.3</v>
      </c>
      <c r="J322" s="75">
        <v>55.2</v>
      </c>
      <c r="K322" s="15" t="s">
        <v>716</v>
      </c>
    </row>
    <row r="323" spans="2:11" ht="209" x14ac:dyDescent="0.2">
      <c r="B323" s="6">
        <v>45601</v>
      </c>
      <c r="C323" s="7" t="str">
        <f>VLOOKUP(WEEKDAY([3]ec!B323,1),[3]table!$E$9:$F$15,2,FALSE)</f>
        <v>Sat</v>
      </c>
      <c r="D323" s="8">
        <v>0.85416666666666663</v>
      </c>
      <c r="E323" s="9" t="s">
        <v>1</v>
      </c>
      <c r="F323" s="9">
        <v>3</v>
      </c>
      <c r="G323" s="9" t="s">
        <v>920</v>
      </c>
      <c r="H323" s="74"/>
      <c r="I323" s="75">
        <v>53.3</v>
      </c>
      <c r="J323" s="75">
        <v>54.9</v>
      </c>
      <c r="K323" s="15" t="s">
        <v>921</v>
      </c>
    </row>
    <row r="324" spans="2:11" ht="196" x14ac:dyDescent="0.2">
      <c r="B324" s="6">
        <v>45601</v>
      </c>
      <c r="C324" s="7" t="str">
        <f>VLOOKUP(WEEKDAY([3]ec!B324,1),[3]table!$E$9:$F$15,2,FALSE)</f>
        <v>Sat</v>
      </c>
      <c r="D324" s="8">
        <v>0.85416666666666663</v>
      </c>
      <c r="E324" s="9" t="s">
        <v>1</v>
      </c>
      <c r="F324" s="9">
        <v>3</v>
      </c>
      <c r="G324" s="9" t="s">
        <v>922</v>
      </c>
      <c r="H324" s="74"/>
      <c r="I324" s="75"/>
      <c r="J324" s="75">
        <v>59.4</v>
      </c>
      <c r="K324" s="15" t="s">
        <v>923</v>
      </c>
    </row>
    <row r="325" spans="2:11" ht="144" x14ac:dyDescent="0.2">
      <c r="B325" s="6">
        <v>45601</v>
      </c>
      <c r="C325" s="7" t="str">
        <f>VLOOKUP(WEEKDAY([3]ec!B325,1),[3]table!$E$9:$F$15,2,FALSE)</f>
        <v>Sat</v>
      </c>
      <c r="D325" s="8">
        <v>0.97916666666666663</v>
      </c>
      <c r="E325" s="9" t="s">
        <v>1</v>
      </c>
      <c r="F325" s="9">
        <v>3</v>
      </c>
      <c r="G325" s="9" t="s">
        <v>52</v>
      </c>
      <c r="H325" s="74"/>
      <c r="I325" s="75"/>
      <c r="J325" s="245">
        <v>4.0660000000000002E-2</v>
      </c>
      <c r="K325" s="15" t="s">
        <v>924</v>
      </c>
    </row>
    <row r="326" spans="2:11" ht="131" x14ac:dyDescent="0.2">
      <c r="B326" s="6">
        <f>B325+1</f>
        <v>45602</v>
      </c>
      <c r="C326" s="7" t="str">
        <f>VLOOKUP(WEEKDAY([3]ec!B326,1),[3]table!$E$9:$F$15,2,FALSE)</f>
        <v>Sat</v>
      </c>
      <c r="D326" s="8">
        <v>0.875</v>
      </c>
      <c r="E326" s="9" t="s">
        <v>1</v>
      </c>
      <c r="F326" s="9">
        <v>3</v>
      </c>
      <c r="G326" s="9" t="s">
        <v>9</v>
      </c>
      <c r="H326" s="74"/>
      <c r="I326" s="75"/>
      <c r="J326" s="246" t="s">
        <v>925</v>
      </c>
      <c r="K326" s="15" t="s">
        <v>926</v>
      </c>
    </row>
    <row r="327" spans="2:11" ht="144" x14ac:dyDescent="0.2">
      <c r="B327" s="6">
        <f>B326</f>
        <v>45602</v>
      </c>
      <c r="C327" s="7" t="str">
        <f>VLOOKUP(WEEKDAY([3]ec!B327,1),[3]table!$E$9:$F$15,2,FALSE)</f>
        <v>Sat</v>
      </c>
      <c r="D327" s="8">
        <v>0.97916666666666663</v>
      </c>
      <c r="E327" s="9" t="s">
        <v>1</v>
      </c>
      <c r="F327" s="9">
        <v>3</v>
      </c>
      <c r="G327" s="9" t="s">
        <v>927</v>
      </c>
      <c r="H327" s="74"/>
      <c r="I327" s="75"/>
      <c r="J327" s="245">
        <v>4.3889999999999998E-2</v>
      </c>
      <c r="K327" s="15" t="s">
        <v>928</v>
      </c>
    </row>
    <row r="328" spans="2:11" ht="92" x14ac:dyDescent="0.2">
      <c r="B328" s="6">
        <f>B327+1</f>
        <v>45603</v>
      </c>
      <c r="C328" s="7" t="str">
        <f>VLOOKUP(WEEKDAY([3]ec!B328,1),[3]table!$E$9:$F$15,2,FALSE)</f>
        <v>Sat</v>
      </c>
      <c r="D328" s="8">
        <v>0.72916666666666663</v>
      </c>
      <c r="E328" s="9" t="s">
        <v>53</v>
      </c>
      <c r="F328" s="9">
        <v>3</v>
      </c>
      <c r="G328" s="9" t="s">
        <v>929</v>
      </c>
      <c r="H328" s="74"/>
      <c r="I328" s="85">
        <v>4.7500000000000001E-2</v>
      </c>
      <c r="J328" s="85">
        <v>0.05</v>
      </c>
      <c r="K328" s="15" t="s">
        <v>930</v>
      </c>
    </row>
    <row r="329" spans="2:11" ht="92" x14ac:dyDescent="0.2">
      <c r="B329" s="6">
        <f>B328</f>
        <v>45603</v>
      </c>
      <c r="C329" s="7" t="str">
        <f>VLOOKUP(WEEKDAY([3]ec!B329,1),[3]table!$E$9:$F$15,2,FALSE)</f>
        <v>Sat</v>
      </c>
      <c r="D329" s="8">
        <v>0.79166666666666663</v>
      </c>
      <c r="E329" s="9" t="s">
        <v>1</v>
      </c>
      <c r="F329" s="9">
        <v>3</v>
      </c>
      <c r="G329" s="9" t="s">
        <v>14</v>
      </c>
      <c r="H329" s="74"/>
      <c r="I329" s="75" t="s">
        <v>931</v>
      </c>
      <c r="J329" s="75" t="s">
        <v>932</v>
      </c>
      <c r="K329" s="15" t="s">
        <v>933</v>
      </c>
    </row>
    <row r="330" spans="2:11" ht="131" x14ac:dyDescent="0.2">
      <c r="B330" s="82">
        <f>B329+1</f>
        <v>45604</v>
      </c>
      <c r="C330" s="7" t="str">
        <f>VLOOKUP(WEEKDAY([3]ec!B330,1),[3]table!$E$9:$F$15,2,FALSE)</f>
        <v>Sat</v>
      </c>
      <c r="D330" s="84">
        <v>2.0833333333333332E-2</v>
      </c>
      <c r="E330" s="78" t="s">
        <v>1</v>
      </c>
      <c r="F330" s="78">
        <v>3</v>
      </c>
      <c r="G330" s="78" t="s">
        <v>127</v>
      </c>
      <c r="H330" s="85"/>
      <c r="I330" s="247">
        <v>4.6199999999999998E-2</v>
      </c>
      <c r="J330" s="247">
        <v>4.8800000000000003E-2</v>
      </c>
      <c r="K330" s="15" t="s">
        <v>934</v>
      </c>
    </row>
    <row r="331" spans="2:11" ht="118" x14ac:dyDescent="0.2">
      <c r="B331" s="6">
        <f>B330</f>
        <v>45604</v>
      </c>
      <c r="C331" s="7" t="str">
        <f>VLOOKUP(WEEKDAY([3]ec!B331,1),[3]table!$E$9:$F$15,2,FALSE)</f>
        <v>Sat</v>
      </c>
      <c r="D331" s="8">
        <v>2.0833333333333332E-2</v>
      </c>
      <c r="E331" s="9" t="s">
        <v>1</v>
      </c>
      <c r="F331" s="9">
        <v>3</v>
      </c>
      <c r="G331" s="9" t="s">
        <v>125</v>
      </c>
      <c r="H331" s="74"/>
      <c r="I331" s="247"/>
      <c r="J331" s="247"/>
      <c r="K331" s="15" t="s">
        <v>935</v>
      </c>
    </row>
    <row r="332" spans="2:11" x14ac:dyDescent="0.2">
      <c r="B332" s="6">
        <f>B331</f>
        <v>45604</v>
      </c>
      <c r="C332" s="7" t="str">
        <f>VLOOKUP(WEEKDAY([3]ec!B332,1),[3]table!$E$9:$F$15,2,FALSE)</f>
        <v>Sat</v>
      </c>
      <c r="D332" s="8">
        <v>4.1666666666666664E-2</v>
      </c>
      <c r="E332" s="9" t="s">
        <v>1</v>
      </c>
      <c r="F332" s="9">
        <v>3</v>
      </c>
      <c r="G332" s="9" t="s">
        <v>129</v>
      </c>
      <c r="H332" s="74"/>
      <c r="I332" s="247"/>
      <c r="J332" s="247"/>
      <c r="K332" s="15" t="s">
        <v>936</v>
      </c>
    </row>
    <row r="333" spans="2:11" ht="27" x14ac:dyDescent="0.2">
      <c r="B333" s="82">
        <v>45644</v>
      </c>
      <c r="C333" s="83" t="s">
        <v>40</v>
      </c>
      <c r="D333" s="84">
        <v>0.97916666666666663</v>
      </c>
      <c r="E333" s="78" t="s">
        <v>1</v>
      </c>
      <c r="F333" s="78">
        <v>3</v>
      </c>
      <c r="G333" s="78" t="s">
        <v>127</v>
      </c>
      <c r="H333" s="85"/>
      <c r="I333" s="247">
        <v>4.4200000000000003E-2</v>
      </c>
      <c r="J333" s="247">
        <f>I330</f>
        <v>4.6199999999999998E-2</v>
      </c>
      <c r="K333" s="15" t="s">
        <v>369</v>
      </c>
    </row>
    <row r="334" spans="2:11" x14ac:dyDescent="0.2">
      <c r="C334" t="s">
        <v>937</v>
      </c>
      <c r="H334"/>
      <c r="J334" s="1"/>
      <c r="K334" s="26"/>
    </row>
    <row r="335" spans="2:11" ht="105" x14ac:dyDescent="0.2">
      <c r="B335" s="6">
        <v>45608</v>
      </c>
      <c r="C335" s="7" t="str">
        <f>VLOOKUP(WEEKDAY([3]ec!B336,1),[3]table!$E$9:$F$15,2,FALSE)</f>
        <v>Sat</v>
      </c>
      <c r="D335" s="8">
        <v>0.52083333333333337</v>
      </c>
      <c r="E335" s="9" t="s">
        <v>22</v>
      </c>
      <c r="F335" s="9">
        <v>3</v>
      </c>
      <c r="G335" s="9" t="s">
        <v>948</v>
      </c>
      <c r="H335" s="74"/>
      <c r="I335" s="85">
        <v>4.0000000000000001E-3</v>
      </c>
      <c r="J335" s="85">
        <v>0</v>
      </c>
      <c r="K335" s="15" t="s">
        <v>949</v>
      </c>
    </row>
    <row r="336" spans="2:11" ht="118" x14ac:dyDescent="0.2">
      <c r="B336" s="6">
        <f>B335+1</f>
        <v>45609</v>
      </c>
      <c r="C336" s="7" t="str">
        <f>VLOOKUP(WEEKDAY([3]ec!B337,1),[3]table!$E$9:$F$15,2,FALSE)</f>
        <v>Sat</v>
      </c>
      <c r="D336" s="8">
        <v>0.79166666666666663</v>
      </c>
      <c r="E336" s="9" t="s">
        <v>1</v>
      </c>
      <c r="F336" s="9">
        <v>3</v>
      </c>
      <c r="G336" s="9" t="s">
        <v>950</v>
      </c>
      <c r="H336" s="74"/>
      <c r="I336" s="85">
        <v>3.0000000000000001E-3</v>
      </c>
      <c r="J336" s="85">
        <v>3.0000000000000001E-3</v>
      </c>
      <c r="K336" s="15" t="s">
        <v>951</v>
      </c>
    </row>
    <row r="337" spans="1:11" ht="92" x14ac:dyDescent="0.2">
      <c r="B337" s="6">
        <f>B336</f>
        <v>45609</v>
      </c>
      <c r="C337" s="7" t="str">
        <f>VLOOKUP(WEEKDAY([3]ec!B338,1),[3]table!$E$9:$F$15,2,FALSE)</f>
        <v>Sat</v>
      </c>
      <c r="D337" s="8">
        <v>0.79166666666666663</v>
      </c>
      <c r="E337" s="9" t="s">
        <v>1</v>
      </c>
      <c r="F337" s="9">
        <v>3</v>
      </c>
      <c r="G337" s="9" t="s">
        <v>952</v>
      </c>
      <c r="H337" s="74"/>
      <c r="I337" s="85">
        <v>2.4E-2</v>
      </c>
      <c r="J337" s="85">
        <v>2.4E-2</v>
      </c>
      <c r="K337" s="15" t="s">
        <v>953</v>
      </c>
    </row>
    <row r="338" spans="1:11" ht="92" x14ac:dyDescent="0.2">
      <c r="B338" s="6">
        <f>B337</f>
        <v>45609</v>
      </c>
      <c r="C338" s="7" t="str">
        <f>VLOOKUP(WEEKDAY([3]ec!B339,1),[3]table!$E$9:$F$15,2,FALSE)</f>
        <v>Sat</v>
      </c>
      <c r="D338" s="8">
        <v>0.79166666666666663</v>
      </c>
      <c r="E338" s="9" t="s">
        <v>1</v>
      </c>
      <c r="F338" s="9">
        <v>3</v>
      </c>
      <c r="G338" s="9" t="s">
        <v>954</v>
      </c>
      <c r="H338" s="74"/>
      <c r="I338" s="85">
        <v>2E-3</v>
      </c>
      <c r="J338" s="85">
        <v>2E-3</v>
      </c>
      <c r="K338" s="15" t="s">
        <v>953</v>
      </c>
    </row>
    <row r="339" spans="1:11" ht="79" x14ac:dyDescent="0.2">
      <c r="B339" s="6">
        <f>B338+1</f>
        <v>45610</v>
      </c>
      <c r="C339" s="7" t="str">
        <f>VLOOKUP(WEEKDAY([3]ec!B340,1),[3]table!$E$9:$F$15,2,FALSE)</f>
        <v>Sat</v>
      </c>
      <c r="D339" s="8">
        <v>0.79166666666666663</v>
      </c>
      <c r="E339" s="9" t="s">
        <v>1</v>
      </c>
      <c r="F339" s="9">
        <v>3</v>
      </c>
      <c r="G339" s="9" t="s">
        <v>14</v>
      </c>
      <c r="H339" s="74"/>
      <c r="I339" s="85" t="s">
        <v>72</v>
      </c>
      <c r="J339" s="85" t="s">
        <v>413</v>
      </c>
      <c r="K339" s="15" t="s">
        <v>955</v>
      </c>
    </row>
    <row r="340" spans="1:11" ht="131" x14ac:dyDescent="0.2">
      <c r="B340" s="6">
        <f>B339</f>
        <v>45610</v>
      </c>
      <c r="C340" s="7" t="str">
        <f>VLOOKUP(WEEKDAY([3]ec!B341,1),[3]table!$E$9:$F$15,2,FALSE)</f>
        <v>Sat</v>
      </c>
      <c r="D340" s="8">
        <v>0.79166666666666663</v>
      </c>
      <c r="E340" s="9" t="s">
        <v>1</v>
      </c>
      <c r="F340" s="9">
        <v>3</v>
      </c>
      <c r="G340" s="9" t="s">
        <v>956</v>
      </c>
      <c r="H340" s="74"/>
      <c r="I340" s="85">
        <v>2E-3</v>
      </c>
      <c r="J340" s="85">
        <v>0</v>
      </c>
      <c r="K340" s="15" t="s">
        <v>957</v>
      </c>
    </row>
    <row r="341" spans="1:11" ht="131" x14ac:dyDescent="0.2">
      <c r="B341" s="6">
        <f>B340</f>
        <v>45610</v>
      </c>
      <c r="C341" s="7" t="str">
        <f>VLOOKUP(WEEKDAY([3]ec!B342,1),[3]table!$E$9:$F$15,2,FALSE)</f>
        <v>Sat</v>
      </c>
      <c r="D341" s="8">
        <v>0.89583333333333337</v>
      </c>
      <c r="E341" s="9" t="s">
        <v>1</v>
      </c>
      <c r="F341" s="9">
        <v>3</v>
      </c>
      <c r="G341" s="9" t="s">
        <v>9</v>
      </c>
      <c r="H341" s="74"/>
      <c r="I341" s="85"/>
      <c r="J341" s="85" t="s">
        <v>958</v>
      </c>
      <c r="K341" s="15" t="s">
        <v>926</v>
      </c>
    </row>
    <row r="342" spans="1:11" ht="105" x14ac:dyDescent="0.2">
      <c r="B342" s="6">
        <f>B341+1</f>
        <v>45611</v>
      </c>
      <c r="C342" s="7" t="str">
        <f>VLOOKUP(WEEKDAY([3]ec!B343,1),[3]table!$E$9:$F$15,2,FALSE)</f>
        <v>Sat</v>
      </c>
      <c r="D342" s="8">
        <v>0.22222222222222221</v>
      </c>
      <c r="E342" s="9" t="s">
        <v>117</v>
      </c>
      <c r="F342" s="9">
        <v>3</v>
      </c>
      <c r="G342" s="9" t="s">
        <v>959</v>
      </c>
      <c r="H342" s="74"/>
      <c r="I342" s="85">
        <v>2E-3</v>
      </c>
      <c r="J342" s="85">
        <v>7.0000000000000001E-3</v>
      </c>
      <c r="K342" s="15" t="s">
        <v>960</v>
      </c>
    </row>
    <row r="343" spans="1:11" ht="105" x14ac:dyDescent="0.2">
      <c r="B343" s="6">
        <f>B342</f>
        <v>45611</v>
      </c>
      <c r="C343" s="7" t="str">
        <f>VLOOKUP(WEEKDAY([3]ec!B344,1),[3]table!$E$9:$F$15,2,FALSE)</f>
        <v>Sat</v>
      </c>
      <c r="D343" s="8">
        <v>0.52083333333333337</v>
      </c>
      <c r="E343" s="9" t="s">
        <v>53</v>
      </c>
      <c r="F343" s="9">
        <v>3</v>
      </c>
      <c r="G343" s="9" t="s">
        <v>961</v>
      </c>
      <c r="H343" s="74"/>
      <c r="I343" s="85">
        <v>1E-3</v>
      </c>
      <c r="J343" s="85">
        <v>7.0000000000000001E-3</v>
      </c>
      <c r="K343" s="15" t="s">
        <v>962</v>
      </c>
    </row>
    <row r="344" spans="1:11" ht="92" x14ac:dyDescent="0.2">
      <c r="B344" s="6">
        <f>B343</f>
        <v>45611</v>
      </c>
      <c r="C344" s="7" t="str">
        <f>VLOOKUP(WEEKDAY([3]ec!B345,1),[3]table!$E$9:$F$15,2,FALSE)</f>
        <v>Sat</v>
      </c>
      <c r="D344" s="8">
        <v>0.52083333333333337</v>
      </c>
      <c r="E344" s="9" t="s">
        <v>53</v>
      </c>
      <c r="F344" s="9">
        <v>3</v>
      </c>
      <c r="G344" s="9" t="s">
        <v>963</v>
      </c>
      <c r="H344" s="74"/>
      <c r="I344" s="85">
        <v>2E-3</v>
      </c>
      <c r="J344" s="85">
        <v>2E-3</v>
      </c>
      <c r="K344" s="15" t="s">
        <v>964</v>
      </c>
    </row>
    <row r="345" spans="1:11" ht="118" x14ac:dyDescent="0.2">
      <c r="B345" s="6">
        <f>B344</f>
        <v>45611</v>
      </c>
      <c r="C345" s="7" t="str">
        <f>VLOOKUP(WEEKDAY([3]ec!B346,1),[3]table!$E$9:$F$15,2,FALSE)</f>
        <v>Sat</v>
      </c>
      <c r="D345" s="8">
        <v>0.52083333333333337</v>
      </c>
      <c r="E345" s="9" t="s">
        <v>53</v>
      </c>
      <c r="F345" s="9">
        <v>3</v>
      </c>
      <c r="G345" s="9" t="s">
        <v>965</v>
      </c>
      <c r="H345" s="74"/>
      <c r="I345" s="85">
        <v>2E-3</v>
      </c>
      <c r="J345" s="85">
        <v>5.0000000000000001E-3</v>
      </c>
      <c r="K345" s="15" t="s">
        <v>966</v>
      </c>
    </row>
    <row r="346" spans="1:11" ht="92" x14ac:dyDescent="0.2">
      <c r="B346" s="6">
        <f>B345</f>
        <v>45611</v>
      </c>
      <c r="C346" s="7" t="str">
        <f>VLOOKUP(WEEKDAY([3]ec!B347,1),[3]table!$E$9:$F$15,2,FALSE)</f>
        <v>Sat</v>
      </c>
      <c r="D346" s="8">
        <v>0.79166666666666663</v>
      </c>
      <c r="E346" s="9" t="s">
        <v>1</v>
      </c>
      <c r="F346" s="9">
        <v>3</v>
      </c>
      <c r="G346" s="9" t="s">
        <v>967</v>
      </c>
      <c r="H346" s="74"/>
      <c r="I346" s="85">
        <v>2E-3</v>
      </c>
      <c r="J346" s="85">
        <v>5.0000000000000001E-3</v>
      </c>
      <c r="K346" s="15" t="s">
        <v>691</v>
      </c>
    </row>
    <row r="347" spans="1:11" ht="105" x14ac:dyDescent="0.2">
      <c r="B347" s="6">
        <f>B346</f>
        <v>45611</v>
      </c>
      <c r="C347" s="7" t="str">
        <f>VLOOKUP(WEEKDAY([3]ec!B348,1),[3]table!$E$9:$F$15,2,FALSE)</f>
        <v>Sat</v>
      </c>
      <c r="D347" s="8">
        <v>0.79166666666666663</v>
      </c>
      <c r="E347" s="9" t="s">
        <v>1</v>
      </c>
      <c r="F347" s="9">
        <v>3</v>
      </c>
      <c r="G347" s="9" t="s">
        <v>968</v>
      </c>
      <c r="H347" s="74"/>
      <c r="I347" s="85">
        <v>3.0000000000000001E-3</v>
      </c>
      <c r="J347" s="85">
        <v>4.0000000000000001E-3</v>
      </c>
      <c r="K347" s="15" t="s">
        <v>969</v>
      </c>
    </row>
    <row r="348" spans="1:11" ht="27" x14ac:dyDescent="0.2">
      <c r="B348" s="82">
        <v>45644</v>
      </c>
      <c r="C348" s="83" t="s">
        <v>40</v>
      </c>
      <c r="D348" s="84">
        <v>0.97916666666666663</v>
      </c>
      <c r="E348" s="78" t="s">
        <v>1</v>
      </c>
      <c r="F348" s="78">
        <v>3</v>
      </c>
      <c r="G348" s="78" t="s">
        <v>127</v>
      </c>
      <c r="H348" s="85"/>
      <c r="I348" s="85">
        <v>4.4600000000000001E-2</v>
      </c>
      <c r="J348" s="85">
        <f>I348+0.16%</f>
        <v>4.6199999999999998E-2</v>
      </c>
      <c r="K348" s="15" t="s">
        <v>369</v>
      </c>
    </row>
    <row r="349" spans="1:11" x14ac:dyDescent="0.2">
      <c r="C349" t="s">
        <v>970</v>
      </c>
      <c r="H349"/>
      <c r="J349" s="1"/>
      <c r="K349" s="26"/>
    </row>
    <row r="350" spans="1:11" ht="170" x14ac:dyDescent="0.2">
      <c r="A350" t="s">
        <v>105</v>
      </c>
      <c r="B350" s="6">
        <v>45615</v>
      </c>
      <c r="C350" s="7" t="str">
        <f>VLOOKUP(WEEKDAY([3]ec!B350,1),[3]table!$E$9:$F$15,2,FALSE)</f>
        <v>Sat</v>
      </c>
      <c r="D350" s="8">
        <v>0.64583333333333337</v>
      </c>
      <c r="E350" s="9" t="s">
        <v>22</v>
      </c>
      <c r="F350" s="9">
        <v>3</v>
      </c>
      <c r="G350" s="9" t="s">
        <v>1005</v>
      </c>
      <c r="H350" s="74"/>
      <c r="I350" s="85">
        <v>0.02</v>
      </c>
      <c r="J350" s="85">
        <v>0.02</v>
      </c>
      <c r="K350" s="15" t="s">
        <v>1006</v>
      </c>
    </row>
    <row r="351" spans="1:11" ht="118" x14ac:dyDescent="0.2">
      <c r="B351" s="6">
        <v>45615</v>
      </c>
      <c r="C351" s="7" t="str">
        <f>VLOOKUP(WEEKDAY([3]ec!B351,1),[3]table!$E$9:$F$15,2,FALSE)</f>
        <v>Sat</v>
      </c>
      <c r="D351" s="8">
        <v>0.79166666666666663</v>
      </c>
      <c r="E351" s="9" t="s">
        <v>89</v>
      </c>
      <c r="F351" s="9">
        <v>3</v>
      </c>
      <c r="G351" s="9" t="s">
        <v>1007</v>
      </c>
      <c r="H351" s="74"/>
      <c r="I351" s="85"/>
      <c r="J351" s="85">
        <v>1.6E-2</v>
      </c>
      <c r="K351" s="15" t="s">
        <v>1008</v>
      </c>
    </row>
    <row r="352" spans="1:11" ht="105" x14ac:dyDescent="0.2">
      <c r="B352" s="6">
        <v>45616</v>
      </c>
      <c r="C352" s="7" t="str">
        <f>VLOOKUP(WEEKDAY([3]ec!B352,1),[3]table!$E$9:$F$15,2,FALSE)</f>
        <v>Sat</v>
      </c>
      <c r="D352" s="8">
        <v>0.52083333333333337</v>
      </c>
      <c r="E352" s="9" t="s">
        <v>53</v>
      </c>
      <c r="F352" s="9">
        <v>3</v>
      </c>
      <c r="G352" s="9" t="s">
        <v>1009</v>
      </c>
      <c r="H352" s="74"/>
      <c r="I352" s="85"/>
      <c r="J352" s="85">
        <v>1.7000000000000001E-2</v>
      </c>
      <c r="K352" s="15" t="s">
        <v>1010</v>
      </c>
    </row>
    <row r="353" spans="1:11" ht="131" x14ac:dyDescent="0.2">
      <c r="B353" s="6">
        <v>45616</v>
      </c>
      <c r="C353" s="7" t="str">
        <f>VLOOKUP(WEEKDAY([3]ec!B353,1),[3]table!$E$9:$F$15,2,FALSE)</f>
        <v>Sat</v>
      </c>
      <c r="D353" s="8">
        <v>0.875</v>
      </c>
      <c r="E353" s="9" t="s">
        <v>1</v>
      </c>
      <c r="F353" s="9">
        <v>3</v>
      </c>
      <c r="G353" s="9" t="s">
        <v>9</v>
      </c>
      <c r="H353" s="74"/>
      <c r="I353" s="85"/>
      <c r="J353" s="85" t="s">
        <v>1011</v>
      </c>
      <c r="K353" s="15" t="s">
        <v>926</v>
      </c>
    </row>
    <row r="354" spans="1:11" ht="131" x14ac:dyDescent="0.2">
      <c r="B354" s="6">
        <f>B353+1</f>
        <v>45617</v>
      </c>
      <c r="C354" s="7" t="str">
        <f>VLOOKUP(WEEKDAY([3]ec!B354,1),[3]table!$E$9:$F$15,2,FALSE)</f>
        <v>Sat</v>
      </c>
      <c r="D354" s="8">
        <v>0.10416666666666667</v>
      </c>
      <c r="E354" s="9" t="s">
        <v>1</v>
      </c>
      <c r="F354" s="9">
        <v>3</v>
      </c>
      <c r="G354" s="9" t="s">
        <v>1012</v>
      </c>
      <c r="H354" s="74"/>
      <c r="I354" s="87">
        <v>32.97</v>
      </c>
      <c r="J354" s="87"/>
      <c r="K354" s="15" t="s">
        <v>1013</v>
      </c>
    </row>
    <row r="355" spans="1:11" ht="79" x14ac:dyDescent="0.2">
      <c r="B355" s="6">
        <f>B353+1</f>
        <v>45617</v>
      </c>
      <c r="C355" s="7" t="str">
        <f>VLOOKUP(WEEKDAY([3]ec!B355,1),[3]table!$E$9:$F$15,2,FALSE)</f>
        <v>Sat</v>
      </c>
      <c r="D355" s="8">
        <v>0.79166666666666663</v>
      </c>
      <c r="E355" s="9" t="s">
        <v>1</v>
      </c>
      <c r="F355" s="9">
        <v>3</v>
      </c>
      <c r="G355" s="9" t="s">
        <v>14</v>
      </c>
      <c r="H355" s="74"/>
      <c r="I355" s="85" t="s">
        <v>1014</v>
      </c>
      <c r="J355" s="85" t="s">
        <v>1015</v>
      </c>
      <c r="K355" s="15" t="s">
        <v>955</v>
      </c>
    </row>
    <row r="356" spans="1:11" ht="105" x14ac:dyDescent="0.2">
      <c r="B356" s="6">
        <f>B355</f>
        <v>45617</v>
      </c>
      <c r="C356" s="7" t="str">
        <f>VLOOKUP(WEEKDAY([3]ec!B356,1),[3]table!$E$9:$F$15,2,FALSE)</f>
        <v>Sat</v>
      </c>
      <c r="D356" s="8">
        <v>0.79166666666666663</v>
      </c>
      <c r="E356" s="9" t="s">
        <v>1</v>
      </c>
      <c r="F356" s="9">
        <v>3</v>
      </c>
      <c r="G356" s="9" t="s">
        <v>1016</v>
      </c>
      <c r="H356" s="74"/>
      <c r="I356" s="85"/>
      <c r="J356" s="87">
        <v>10.3</v>
      </c>
      <c r="K356" s="15" t="s">
        <v>1017</v>
      </c>
    </row>
    <row r="357" spans="1:11" ht="105" x14ac:dyDescent="0.2">
      <c r="B357" s="6">
        <f>B356</f>
        <v>45617</v>
      </c>
      <c r="C357" s="7" t="str">
        <f>VLOOKUP(WEEKDAY([3]ec!B357,1),[3]table!$E$9:$F$15,2,FALSE)</f>
        <v>Sat</v>
      </c>
      <c r="D357" s="8">
        <v>0.85416666666666663</v>
      </c>
      <c r="E357" s="9" t="s">
        <v>1</v>
      </c>
      <c r="F357" s="9">
        <v>3</v>
      </c>
      <c r="G357" s="9" t="s">
        <v>1018</v>
      </c>
      <c r="H357" s="74"/>
      <c r="I357" s="85" t="s">
        <v>707</v>
      </c>
      <c r="J357" s="85" t="s">
        <v>1019</v>
      </c>
      <c r="K357" s="15" t="s">
        <v>1020</v>
      </c>
    </row>
    <row r="358" spans="1:11" ht="92" x14ac:dyDescent="0.2">
      <c r="B358" s="6">
        <v>45618</v>
      </c>
      <c r="C358" s="7" t="str">
        <f>VLOOKUP(WEEKDAY([3]ec!B358,1),[3]table!$E$9:$F$15,2,FALSE)</f>
        <v>Sat</v>
      </c>
      <c r="D358" s="8">
        <v>0.52083333333333337</v>
      </c>
      <c r="E358" s="9" t="s">
        <v>22</v>
      </c>
      <c r="F358" s="9">
        <v>3</v>
      </c>
      <c r="G358" s="9" t="s">
        <v>1021</v>
      </c>
      <c r="H358" s="74"/>
      <c r="I358" s="85">
        <v>2E-3</v>
      </c>
      <c r="J358" s="85">
        <v>2E-3</v>
      </c>
      <c r="K358" s="15" t="s">
        <v>1022</v>
      </c>
    </row>
    <row r="359" spans="1:11" ht="131" x14ac:dyDescent="0.2">
      <c r="B359" s="6">
        <v>45618</v>
      </c>
      <c r="C359" s="7" t="str">
        <f>VLOOKUP(WEEKDAY([3]ec!B359,1),[3]table!$E$9:$F$15,2,FALSE)</f>
        <v>Sat</v>
      </c>
      <c r="D359" s="8">
        <v>0.84375</v>
      </c>
      <c r="E359" s="9" t="s">
        <v>1</v>
      </c>
      <c r="F359" s="9">
        <v>3</v>
      </c>
      <c r="G359" s="9" t="s">
        <v>1023</v>
      </c>
      <c r="H359" s="74"/>
      <c r="I359" s="85"/>
      <c r="J359" s="87">
        <v>48.5</v>
      </c>
      <c r="K359" s="15" t="s">
        <v>1024</v>
      </c>
    </row>
    <row r="360" spans="1:11" ht="105" x14ac:dyDescent="0.2">
      <c r="B360" s="6">
        <v>45618</v>
      </c>
      <c r="C360" s="7" t="str">
        <f>VLOOKUP(WEEKDAY([3]ec!B360,1),[3]table!$E$9:$F$15,2,FALSE)</f>
        <v>Sat</v>
      </c>
      <c r="D360" s="8">
        <v>0.84375</v>
      </c>
      <c r="E360" s="9" t="s">
        <v>1</v>
      </c>
      <c r="F360" s="9">
        <v>3</v>
      </c>
      <c r="G360" s="9" t="s">
        <v>1025</v>
      </c>
      <c r="H360" s="74"/>
      <c r="I360" s="85"/>
      <c r="J360" s="87">
        <v>55</v>
      </c>
      <c r="K360" s="15" t="s">
        <v>1026</v>
      </c>
    </row>
    <row r="361" spans="1:11" ht="27" x14ac:dyDescent="0.2">
      <c r="B361" s="82">
        <v>45644</v>
      </c>
      <c r="C361" s="83" t="s">
        <v>40</v>
      </c>
      <c r="D361" s="84">
        <v>0.97916666666666663</v>
      </c>
      <c r="E361" s="78" t="s">
        <v>1</v>
      </c>
      <c r="F361" s="78">
        <v>3</v>
      </c>
      <c r="G361" s="78" t="s">
        <v>127</v>
      </c>
      <c r="H361" s="85"/>
      <c r="I361" s="85">
        <v>4.4600000000000001E-2</v>
      </c>
      <c r="J361" s="85">
        <f>I361+0.16%</f>
        <v>4.6199999999999998E-2</v>
      </c>
      <c r="K361" s="15" t="s">
        <v>369</v>
      </c>
    </row>
    <row r="362" spans="1:11" x14ac:dyDescent="0.2">
      <c r="C362" t="s">
        <v>1027</v>
      </c>
    </row>
    <row r="363" spans="1:11" ht="105" x14ac:dyDescent="0.2">
      <c r="A363" t="s">
        <v>105</v>
      </c>
      <c r="B363" s="6">
        <v>45622</v>
      </c>
      <c r="C363" s="7" t="str">
        <f>VLOOKUP(WEEKDAY([3]ec!B363,1),[3]table!$E$9:$F$15,2,FALSE)</f>
        <v>Sat</v>
      </c>
      <c r="D363" s="8">
        <v>0.85416666666666663</v>
      </c>
      <c r="E363" s="9" t="s">
        <v>1</v>
      </c>
      <c r="F363" s="9">
        <v>3</v>
      </c>
      <c r="G363" s="9" t="s">
        <v>1060</v>
      </c>
      <c r="H363" s="74"/>
      <c r="I363" s="85"/>
      <c r="J363" s="87">
        <v>108.7</v>
      </c>
      <c r="K363" s="15" t="s">
        <v>1061</v>
      </c>
    </row>
    <row r="364" spans="1:11" ht="105" x14ac:dyDescent="0.2">
      <c r="B364" s="6">
        <v>45622</v>
      </c>
      <c r="C364" s="7" t="str">
        <f>VLOOKUP(WEEKDAY([3]ec!B364,1),[3]table!$E$9:$F$15,2,FALSE)</f>
        <v>Sat</v>
      </c>
      <c r="D364" s="8">
        <v>0.85416666666666663</v>
      </c>
      <c r="E364" s="9" t="s">
        <v>1</v>
      </c>
      <c r="F364" s="9">
        <v>3</v>
      </c>
      <c r="G364" s="9" t="s">
        <v>1062</v>
      </c>
      <c r="H364" s="74"/>
      <c r="I364" s="85"/>
      <c r="J364" s="87" t="s">
        <v>1063</v>
      </c>
      <c r="K364" s="15" t="s">
        <v>1064</v>
      </c>
    </row>
    <row r="365" spans="1:11" ht="79" x14ac:dyDescent="0.2">
      <c r="B365" s="6">
        <v>45623</v>
      </c>
      <c r="C365" s="7" t="str">
        <f>VLOOKUP(WEEKDAY([3]ec!B365,1),[3]table!$E$9:$F$15,2,FALSE)</f>
        <v>Sat</v>
      </c>
      <c r="D365" s="8">
        <v>2.0833333333333332E-2</v>
      </c>
      <c r="E365" s="9" t="s">
        <v>1</v>
      </c>
      <c r="F365" s="9">
        <v>3</v>
      </c>
      <c r="G365" s="9" t="s">
        <v>7</v>
      </c>
      <c r="H365" s="74"/>
      <c r="I365" s="85"/>
      <c r="J365" s="87"/>
      <c r="K365" s="15" t="s">
        <v>1065</v>
      </c>
    </row>
    <row r="366" spans="1:11" ht="131" x14ac:dyDescent="0.2">
      <c r="B366" s="6">
        <v>45623</v>
      </c>
      <c r="C366" s="7" t="str">
        <f>VLOOKUP(WEEKDAY([3]ec!B366,1),[3]table!$E$9:$F$15,2,FALSE)</f>
        <v>Sat</v>
      </c>
      <c r="D366" s="8">
        <v>0.27083333333333331</v>
      </c>
      <c r="E366" s="9" t="s">
        <v>49</v>
      </c>
      <c r="F366" s="9">
        <v>3</v>
      </c>
      <c r="G366" s="9" t="s">
        <v>50</v>
      </c>
      <c r="H366" s="74"/>
      <c r="I366" s="85">
        <v>4.2500000000000003E-2</v>
      </c>
      <c r="J366" s="85">
        <v>4.7500000000000001E-2</v>
      </c>
      <c r="K366" s="15" t="s">
        <v>1066</v>
      </c>
    </row>
    <row r="367" spans="1:11" ht="92" x14ac:dyDescent="0.2">
      <c r="B367" s="6">
        <v>45623</v>
      </c>
      <c r="C367" s="7" t="str">
        <f>VLOOKUP(WEEKDAY([3]ec!B367,1),[3]table!$E$9:$F$15,2,FALSE)</f>
        <v>Sat</v>
      </c>
      <c r="D367" s="8">
        <v>0.79166666666666663</v>
      </c>
      <c r="E367" s="9" t="s">
        <v>1</v>
      </c>
      <c r="F367" s="9">
        <v>3</v>
      </c>
      <c r="G367" s="9" t="s">
        <v>1067</v>
      </c>
      <c r="H367" s="74"/>
      <c r="I367" s="85"/>
      <c r="J367" s="85">
        <f>-0.7%</f>
        <v>-6.9999999999999993E-3</v>
      </c>
      <c r="K367" s="15" t="s">
        <v>1068</v>
      </c>
    </row>
    <row r="368" spans="1:11" ht="105" x14ac:dyDescent="0.2">
      <c r="B368" s="6">
        <v>45623</v>
      </c>
      <c r="C368" s="7" t="str">
        <f>VLOOKUP(WEEKDAY([3]ec!B368,1),[3]table!$E$9:$F$15,2,FALSE)</f>
        <v>Sat</v>
      </c>
      <c r="D368" s="8">
        <v>0.79166666666666663</v>
      </c>
      <c r="E368" s="9" t="s">
        <v>1</v>
      </c>
      <c r="F368" s="9">
        <v>3</v>
      </c>
      <c r="G368" s="9" t="s">
        <v>1069</v>
      </c>
      <c r="H368" s="74"/>
      <c r="I368" s="85"/>
      <c r="J368" s="85">
        <v>2.8000000000000001E-2</v>
      </c>
      <c r="K368" s="15" t="s">
        <v>1070</v>
      </c>
    </row>
    <row r="369" spans="2:11" ht="92" x14ac:dyDescent="0.2">
      <c r="B369" s="6">
        <v>45623</v>
      </c>
      <c r="C369" s="7" t="str">
        <f>VLOOKUP(WEEKDAY([3]ec!B369,1),[3]table!$E$9:$F$15,2,FALSE)</f>
        <v>Sat</v>
      </c>
      <c r="D369" s="8">
        <v>0.79166666666666663</v>
      </c>
      <c r="E369" s="9" t="s">
        <v>1</v>
      </c>
      <c r="F369" s="9">
        <v>3</v>
      </c>
      <c r="G369" s="9" t="s">
        <v>14</v>
      </c>
      <c r="H369" s="74"/>
      <c r="I369" s="85"/>
      <c r="J369" s="87" t="s">
        <v>1071</v>
      </c>
      <c r="K369" s="15" t="s">
        <v>1072</v>
      </c>
    </row>
    <row r="370" spans="2:11" ht="118" x14ac:dyDescent="0.2">
      <c r="B370" s="6">
        <v>45623</v>
      </c>
      <c r="C370" s="7" t="str">
        <f>VLOOKUP(WEEKDAY([3]ec!B370,1),[3]table!$E$9:$F$15,2,FALSE)</f>
        <v>Sat</v>
      </c>
      <c r="D370" s="8">
        <v>0.84375</v>
      </c>
      <c r="E370" s="9" t="s">
        <v>1</v>
      </c>
      <c r="F370" s="9">
        <v>3</v>
      </c>
      <c r="G370" s="9" t="s">
        <v>1073</v>
      </c>
      <c r="H370" s="74"/>
      <c r="I370" s="85">
        <v>44.9</v>
      </c>
      <c r="J370" s="87">
        <v>41.6</v>
      </c>
      <c r="K370" s="15" t="s">
        <v>1074</v>
      </c>
    </row>
    <row r="371" spans="2:11" ht="183" x14ac:dyDescent="0.2">
      <c r="B371" s="6">
        <v>45623</v>
      </c>
      <c r="C371" s="7" t="str">
        <f>VLOOKUP(WEEKDAY([3]ec!B371,1),[3]table!$E$9:$F$15,2,FALSE)</f>
        <v>Sat</v>
      </c>
      <c r="D371" s="8">
        <v>0.85416666666666663</v>
      </c>
      <c r="E371" s="9" t="s">
        <v>1</v>
      </c>
      <c r="F371" s="9">
        <v>3</v>
      </c>
      <c r="G371" s="9" t="s">
        <v>1075</v>
      </c>
      <c r="H371" s="74"/>
      <c r="I371" s="85"/>
      <c r="J371" s="85">
        <v>2.7E-2</v>
      </c>
      <c r="K371" s="15" t="s">
        <v>1076</v>
      </c>
    </row>
    <row r="372" spans="2:11" ht="183" x14ac:dyDescent="0.2">
      <c r="B372" s="6">
        <v>45623</v>
      </c>
      <c r="C372" s="7" t="str">
        <f>VLOOKUP(WEEKDAY([3]ec!B372,1),[3]table!$E$9:$F$15,2,FALSE)</f>
        <v>Sat</v>
      </c>
      <c r="D372" s="8">
        <v>0.85416666666666663</v>
      </c>
      <c r="E372" s="9" t="s">
        <v>1</v>
      </c>
      <c r="F372" s="9">
        <v>3</v>
      </c>
      <c r="G372" s="9" t="s">
        <v>1077</v>
      </c>
      <c r="H372" s="74"/>
      <c r="I372" s="85"/>
      <c r="J372" s="85">
        <v>3.0000000000000001E-3</v>
      </c>
      <c r="K372" s="15" t="s">
        <v>1076</v>
      </c>
    </row>
    <row r="373" spans="2:11" ht="131" x14ac:dyDescent="0.2">
      <c r="B373" s="6">
        <v>45623</v>
      </c>
      <c r="C373" s="7" t="str">
        <f>VLOOKUP(WEEKDAY([3]ec!B373,1),[3]table!$E$9:$F$15,2,FALSE)</f>
        <v>Sat</v>
      </c>
      <c r="D373" s="8">
        <v>0.875</v>
      </c>
      <c r="E373" s="9" t="s">
        <v>1</v>
      </c>
      <c r="F373" s="9">
        <v>3</v>
      </c>
      <c r="G373" s="9" t="s">
        <v>9</v>
      </c>
      <c r="H373" s="74"/>
      <c r="I373" s="85"/>
      <c r="J373" s="87" t="s">
        <v>1078</v>
      </c>
      <c r="K373" s="15" t="s">
        <v>1079</v>
      </c>
    </row>
    <row r="374" spans="2:11" ht="79" x14ac:dyDescent="0.2">
      <c r="B374" s="6">
        <f>B373+1</f>
        <v>45624</v>
      </c>
      <c r="C374" s="7" t="str">
        <f>VLOOKUP(WEEKDAY([3]ec!B374,1),[3]table!$E$9:$F$15,2,FALSE)</f>
        <v>Sat</v>
      </c>
      <c r="D374" s="8">
        <v>2.0833333333333332E-2</v>
      </c>
      <c r="E374" s="9" t="s">
        <v>1</v>
      </c>
      <c r="F374" s="9">
        <v>3</v>
      </c>
      <c r="G374" s="9" t="s">
        <v>7</v>
      </c>
      <c r="H374" s="74"/>
      <c r="I374" s="85"/>
      <c r="J374" s="87"/>
      <c r="K374" s="15" t="s">
        <v>1065</v>
      </c>
    </row>
    <row r="375" spans="2:11" ht="105" x14ac:dyDescent="0.2">
      <c r="B375" s="6">
        <v>45624</v>
      </c>
      <c r="C375" s="7" t="str">
        <f>VLOOKUP(WEEKDAY([3]ec!B375,1),[3]table!$E$9:$F$15,2,FALSE)</f>
        <v>Sat</v>
      </c>
      <c r="D375" s="8">
        <v>0.77083333333333337</v>
      </c>
      <c r="E375" s="9" t="s">
        <v>22</v>
      </c>
      <c r="F375" s="9">
        <v>3</v>
      </c>
      <c r="G375" s="9" t="s">
        <v>1080</v>
      </c>
      <c r="H375" s="74"/>
      <c r="I375" s="85"/>
      <c r="J375" s="85">
        <v>4.0000000000000001E-3</v>
      </c>
      <c r="K375" s="15" t="s">
        <v>1081</v>
      </c>
    </row>
    <row r="376" spans="2:11" ht="105" x14ac:dyDescent="0.2">
      <c r="B376" s="6">
        <f>B377</f>
        <v>45625</v>
      </c>
      <c r="C376" s="7" t="str">
        <f>VLOOKUP(WEEKDAY([3]ec!B376,1),[3]table!$E$9:$F$15,2,FALSE)</f>
        <v>Sat</v>
      </c>
      <c r="D376" s="8">
        <v>0.5625</v>
      </c>
      <c r="E376" s="9" t="s">
        <v>270</v>
      </c>
      <c r="F376" s="9">
        <v>2</v>
      </c>
      <c r="G376" s="9" t="s">
        <v>1082</v>
      </c>
      <c r="H376" s="74"/>
      <c r="I376" s="85"/>
      <c r="J376" s="85">
        <v>7.0000000000000001E-3</v>
      </c>
      <c r="K376" s="15" t="s">
        <v>1083</v>
      </c>
    </row>
    <row r="377" spans="2:11" ht="92" x14ac:dyDescent="0.2">
      <c r="B377" s="6">
        <f>B375+1</f>
        <v>45625</v>
      </c>
      <c r="C377" s="7" t="str">
        <f>VLOOKUP(WEEKDAY([3]ec!B377,1),[3]table!$E$9:$F$15,2,FALSE)</f>
        <v>Sat</v>
      </c>
      <c r="D377" s="8">
        <v>0.64583333333333337</v>
      </c>
      <c r="E377" s="9" t="s">
        <v>22</v>
      </c>
      <c r="F377" s="9">
        <v>3</v>
      </c>
      <c r="G377" s="9" t="s">
        <v>1084</v>
      </c>
      <c r="H377" s="74"/>
      <c r="I377" s="85"/>
      <c r="J377" s="85">
        <v>0.02</v>
      </c>
      <c r="K377" s="15" t="s">
        <v>1085</v>
      </c>
    </row>
    <row r="378" spans="2:11" ht="144" x14ac:dyDescent="0.2">
      <c r="B378" s="6">
        <f>B376+1</f>
        <v>45626</v>
      </c>
      <c r="C378" s="7" t="s">
        <v>38</v>
      </c>
      <c r="D378" s="8">
        <v>0.29166666666666669</v>
      </c>
      <c r="E378" s="9" t="s">
        <v>65</v>
      </c>
      <c r="F378" s="9">
        <v>3</v>
      </c>
      <c r="G378" s="9" t="s">
        <v>1087</v>
      </c>
      <c r="H378" s="74"/>
      <c r="I378" s="85"/>
      <c r="J378" s="87">
        <v>50.1</v>
      </c>
      <c r="K378" s="15" t="s">
        <v>1088</v>
      </c>
    </row>
    <row r="379" spans="2:11" ht="27" x14ac:dyDescent="0.2">
      <c r="B379" s="82">
        <v>45644</v>
      </c>
      <c r="C379" s="83" t="s">
        <v>40</v>
      </c>
      <c r="D379" s="84">
        <v>0.97916666666666663</v>
      </c>
      <c r="E379" s="78" t="s">
        <v>1</v>
      </c>
      <c r="F379" s="78">
        <v>3</v>
      </c>
      <c r="G379" s="78" t="s">
        <v>127</v>
      </c>
      <c r="H379" s="85"/>
      <c r="I379" s="85">
        <v>4.4600000000000001E-2</v>
      </c>
      <c r="J379" s="85">
        <f>I379+0.16%</f>
        <v>4.6199999999999998E-2</v>
      </c>
      <c r="K379" s="15" t="s">
        <v>369</v>
      </c>
    </row>
    <row r="380" spans="2:11" x14ac:dyDescent="0.2">
      <c r="C380" t="s">
        <v>1089</v>
      </c>
      <c r="H380"/>
      <c r="J380" s="1"/>
      <c r="K380" s="26"/>
    </row>
  </sheetData>
  <hyperlinks>
    <hyperlink ref="I339" r:id="rId1" display="22@K" xr:uid="{95A1989F-BA41-F64B-97BB-A7B4057924DD}"/>
  </hyperlinks>
  <pageMargins left="0.7" right="0.7" top="0.75" bottom="0.75" header="0.3" footer="0.3"/>
  <ignoredErrors>
    <ignoredError sqref="B10:C46 B50:C63 B104 B95"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75D50-CEEB-F249-BC32-2945D20B476D}">
  <dimension ref="C1:M1549"/>
  <sheetViews>
    <sheetView topLeftCell="A71" zoomScale="88" workbookViewId="0">
      <selection activeCell="D97" sqref="D97"/>
    </sheetView>
  </sheetViews>
  <sheetFormatPr baseColWidth="10" defaultRowHeight="16" x14ac:dyDescent="0.2"/>
  <cols>
    <col min="1" max="1" width="3.5" customWidth="1"/>
    <col min="2" max="2" width="3.1640625" customWidth="1"/>
    <col min="3" max="3" width="3.33203125" customWidth="1"/>
    <col min="4" max="4" width="2.33203125" bestFit="1" customWidth="1"/>
    <col min="5" max="5" width="23.33203125" bestFit="1" customWidth="1"/>
    <col min="6" max="8" width="21.5" customWidth="1"/>
    <col min="9" max="11" width="20" customWidth="1"/>
    <col min="12" max="12" width="12.83203125" bestFit="1" customWidth="1"/>
    <col min="13" max="13" width="24.5" bestFit="1" customWidth="1"/>
  </cols>
  <sheetData>
    <row r="1" spans="3:13" ht="25" thickBot="1" x14ac:dyDescent="0.25">
      <c r="C1" s="93"/>
      <c r="D1" s="89" t="s">
        <v>105</v>
      </c>
      <c r="E1" s="123" t="s">
        <v>30</v>
      </c>
      <c r="F1" s="363" t="s">
        <v>383</v>
      </c>
      <c r="G1" s="364"/>
      <c r="H1" s="365"/>
      <c r="I1" s="325" t="s">
        <v>633</v>
      </c>
      <c r="J1" s="326"/>
      <c r="K1" s="327"/>
      <c r="L1" s="124" t="s">
        <v>430</v>
      </c>
      <c r="M1" s="125" t="s">
        <v>431</v>
      </c>
    </row>
    <row r="2" spans="3:13" ht="24" x14ac:dyDescent="0.2">
      <c r="C2" s="93"/>
      <c r="D2" s="195"/>
      <c r="E2" s="122" t="s">
        <v>432</v>
      </c>
      <c r="F2" s="342"/>
      <c r="G2" s="343"/>
      <c r="H2" s="344"/>
      <c r="I2" s="307" t="s">
        <v>384</v>
      </c>
      <c r="J2" s="308"/>
      <c r="K2" s="309"/>
      <c r="L2" s="117"/>
      <c r="M2" s="118"/>
    </row>
    <row r="3" spans="3:13" ht="24" x14ac:dyDescent="0.2">
      <c r="C3" s="93"/>
      <c r="D3" s="195"/>
      <c r="E3" s="92" t="s">
        <v>433</v>
      </c>
      <c r="F3" s="366">
        <v>49.5</v>
      </c>
      <c r="G3" s="367"/>
      <c r="H3" s="368"/>
      <c r="I3" s="307"/>
      <c r="J3" s="308"/>
      <c r="K3" s="309"/>
      <c r="L3" s="117"/>
      <c r="M3" s="118"/>
    </row>
    <row r="4" spans="3:13" ht="25" thickBot="1" x14ac:dyDescent="0.25">
      <c r="C4" s="93"/>
      <c r="D4" s="195"/>
      <c r="E4" s="92" t="s">
        <v>434</v>
      </c>
      <c r="F4" s="366">
        <v>49.1</v>
      </c>
      <c r="G4" s="367"/>
      <c r="H4" s="368"/>
      <c r="I4" s="307"/>
      <c r="J4" s="308"/>
      <c r="K4" s="309"/>
      <c r="L4" s="117"/>
      <c r="M4" s="118"/>
    </row>
    <row r="5" spans="3:13" ht="25" thickBot="1" x14ac:dyDescent="0.25">
      <c r="C5" s="93"/>
      <c r="D5" s="195"/>
      <c r="E5" s="94" t="s">
        <v>435</v>
      </c>
      <c r="F5" s="360">
        <v>6.25E-2</v>
      </c>
      <c r="G5" s="361"/>
      <c r="H5" s="362"/>
      <c r="I5" s="307"/>
      <c r="J5" s="308"/>
      <c r="K5" s="309"/>
      <c r="L5" s="126">
        <f>F5+TIME(5,30,0)</f>
        <v>0.29166666666666663</v>
      </c>
      <c r="M5" s="127">
        <f>L5-TIME(2,30,0)</f>
        <v>0.18749999999999994</v>
      </c>
    </row>
    <row r="6" spans="3:13" ht="25" thickBot="1" x14ac:dyDescent="0.25">
      <c r="C6" s="93"/>
      <c r="D6" s="195"/>
      <c r="E6" s="96" t="s">
        <v>436</v>
      </c>
      <c r="F6" s="97" t="s">
        <v>29</v>
      </c>
      <c r="G6" s="97" t="s">
        <v>28</v>
      </c>
      <c r="H6" s="98" t="s">
        <v>27</v>
      </c>
      <c r="I6" s="307"/>
      <c r="J6" s="308"/>
      <c r="K6" s="309"/>
      <c r="L6" s="117"/>
      <c r="M6" s="118"/>
    </row>
    <row r="7" spans="3:13" ht="24" x14ac:dyDescent="0.2">
      <c r="C7" s="93"/>
      <c r="D7" s="195"/>
      <c r="E7" s="99" t="s">
        <v>437</v>
      </c>
      <c r="F7" s="100">
        <v>49.1</v>
      </c>
      <c r="G7" s="100" t="s">
        <v>438</v>
      </c>
      <c r="H7" s="101">
        <v>49.4</v>
      </c>
      <c r="I7" s="307"/>
      <c r="J7" s="308"/>
      <c r="K7" s="309"/>
      <c r="L7" s="117"/>
      <c r="M7" s="118"/>
    </row>
    <row r="8" spans="3:13" ht="24" x14ac:dyDescent="0.2">
      <c r="C8" s="93"/>
      <c r="D8" s="195"/>
      <c r="E8" s="99" t="s">
        <v>439</v>
      </c>
      <c r="F8" s="100">
        <v>49.4</v>
      </c>
      <c r="G8" s="100" t="s">
        <v>440</v>
      </c>
      <c r="H8" s="101">
        <v>49.5</v>
      </c>
      <c r="I8" s="307"/>
      <c r="J8" s="308"/>
      <c r="K8" s="309"/>
      <c r="L8" s="117"/>
      <c r="M8" s="118"/>
    </row>
    <row r="9" spans="3:13" ht="24" x14ac:dyDescent="0.2">
      <c r="C9" s="93"/>
      <c r="D9" s="195"/>
      <c r="E9" s="99" t="s">
        <v>441</v>
      </c>
      <c r="F9" s="100">
        <v>49.5</v>
      </c>
      <c r="G9" s="100" t="s">
        <v>438</v>
      </c>
      <c r="H9" s="101">
        <v>49.5</v>
      </c>
      <c r="I9" s="307"/>
      <c r="J9" s="308"/>
      <c r="K9" s="309"/>
      <c r="L9" s="119"/>
      <c r="M9" s="118"/>
    </row>
    <row r="10" spans="3:13" ht="24" x14ac:dyDescent="0.2">
      <c r="C10" s="93"/>
      <c r="D10" s="195"/>
      <c r="E10" s="99" t="s">
        <v>442</v>
      </c>
      <c r="F10" s="100">
        <v>49.5</v>
      </c>
      <c r="G10" s="100" t="s">
        <v>443</v>
      </c>
      <c r="H10" s="101">
        <v>50.4</v>
      </c>
      <c r="I10" s="307"/>
      <c r="J10" s="308"/>
      <c r="K10" s="309"/>
      <c r="L10" s="117"/>
      <c r="M10" s="118"/>
    </row>
    <row r="11" spans="3:13" ht="24" x14ac:dyDescent="0.2">
      <c r="C11" s="93"/>
      <c r="D11" s="195"/>
      <c r="E11" s="99" t="s">
        <v>444</v>
      </c>
      <c r="F11" s="100">
        <v>50.4</v>
      </c>
      <c r="G11" s="100" t="s">
        <v>445</v>
      </c>
      <c r="H11" s="101">
        <v>50.8</v>
      </c>
      <c r="I11" s="307"/>
      <c r="J11" s="308"/>
      <c r="K11" s="309"/>
      <c r="L11" s="117"/>
      <c r="M11" s="118"/>
    </row>
    <row r="12" spans="3:13" ht="25" thickBot="1" x14ac:dyDescent="0.25">
      <c r="C12" s="93"/>
      <c r="D12" s="195"/>
      <c r="E12" s="102" t="s">
        <v>446</v>
      </c>
      <c r="F12" s="103">
        <v>50.8</v>
      </c>
      <c r="G12" s="103" t="s">
        <v>447</v>
      </c>
      <c r="H12" s="104">
        <v>49.1</v>
      </c>
      <c r="I12" s="310"/>
      <c r="J12" s="311"/>
      <c r="K12" s="312"/>
      <c r="L12" s="120"/>
      <c r="M12" s="121"/>
    </row>
    <row r="13" spans="3:13" ht="24" x14ac:dyDescent="0.2">
      <c r="C13" s="93"/>
      <c r="D13" s="89" t="s">
        <v>105</v>
      </c>
      <c r="E13" s="90" t="s">
        <v>30</v>
      </c>
      <c r="F13" s="378" t="s">
        <v>385</v>
      </c>
      <c r="G13" s="379"/>
      <c r="H13" s="380"/>
      <c r="I13" s="381" t="s">
        <v>386</v>
      </c>
      <c r="J13" s="382"/>
      <c r="K13" s="383"/>
      <c r="L13" s="93"/>
      <c r="M13" s="93"/>
    </row>
    <row r="14" spans="3:13" ht="24" x14ac:dyDescent="0.2">
      <c r="C14" s="93"/>
      <c r="D14" s="195"/>
      <c r="E14" s="92" t="s">
        <v>432</v>
      </c>
      <c r="F14" s="384"/>
      <c r="G14" s="385"/>
      <c r="H14" s="386"/>
      <c r="I14" s="307"/>
      <c r="J14" s="308"/>
      <c r="K14" s="309"/>
      <c r="L14" s="93"/>
      <c r="M14" s="93"/>
    </row>
    <row r="15" spans="3:13" ht="24" x14ac:dyDescent="0.2">
      <c r="C15" s="93"/>
      <c r="D15" s="195"/>
      <c r="E15" s="92" t="s">
        <v>433</v>
      </c>
      <c r="F15" s="387">
        <v>8.9999999999999993E-3</v>
      </c>
      <c r="G15" s="388"/>
      <c r="H15" s="389"/>
      <c r="I15" s="307"/>
      <c r="J15" s="308"/>
      <c r="K15" s="309"/>
      <c r="L15" s="93"/>
      <c r="M15" s="93"/>
    </row>
    <row r="16" spans="3:13" ht="24" x14ac:dyDescent="0.2">
      <c r="C16" s="93"/>
      <c r="D16" s="195"/>
      <c r="E16" s="92" t="s">
        <v>434</v>
      </c>
      <c r="F16" s="387">
        <v>8.9999999999999993E-3</v>
      </c>
      <c r="G16" s="388"/>
      <c r="H16" s="389"/>
      <c r="I16" s="307"/>
      <c r="J16" s="308"/>
      <c r="K16" s="309"/>
      <c r="L16" s="93"/>
      <c r="M16" s="93"/>
    </row>
    <row r="17" spans="3:13" ht="25" thickBot="1" x14ac:dyDescent="0.25">
      <c r="C17" s="93"/>
      <c r="D17" s="195"/>
      <c r="E17" s="94" t="s">
        <v>435</v>
      </c>
      <c r="F17" s="360">
        <v>0.25</v>
      </c>
      <c r="G17" s="361"/>
      <c r="H17" s="362"/>
      <c r="I17" s="307"/>
      <c r="J17" s="308"/>
      <c r="K17" s="309"/>
      <c r="L17" s="95">
        <f>F17+TIME(5,30,0)</f>
        <v>0.47916666666666663</v>
      </c>
      <c r="M17" s="95">
        <f>L17-TIME(2,30,0)</f>
        <v>0.37499999999999994</v>
      </c>
    </row>
    <row r="18" spans="3:13" ht="25" thickBot="1" x14ac:dyDescent="0.25">
      <c r="C18" s="93"/>
      <c r="D18" s="195"/>
      <c r="E18" s="96" t="s">
        <v>436</v>
      </c>
      <c r="F18" s="97" t="s">
        <v>29</v>
      </c>
      <c r="G18" s="97" t="s">
        <v>28</v>
      </c>
      <c r="H18" s="98" t="s">
        <v>27</v>
      </c>
      <c r="I18" s="307"/>
      <c r="J18" s="308"/>
      <c r="K18" s="309"/>
      <c r="L18" s="93"/>
      <c r="M18" s="93"/>
    </row>
    <row r="19" spans="3:13" ht="24" x14ac:dyDescent="0.2">
      <c r="C19" s="93"/>
      <c r="D19" s="195"/>
      <c r="E19" s="99" t="s">
        <v>448</v>
      </c>
      <c r="F19" s="105">
        <v>6.0000000000000001E-3</v>
      </c>
      <c r="G19" s="105" t="s">
        <v>449</v>
      </c>
      <c r="H19" s="106">
        <v>7.0000000000000001E-3</v>
      </c>
      <c r="I19" s="307"/>
      <c r="J19" s="308"/>
      <c r="K19" s="309"/>
      <c r="L19" s="93"/>
      <c r="M19" s="93"/>
    </row>
    <row r="20" spans="3:13" ht="24" x14ac:dyDescent="0.2">
      <c r="C20" s="93"/>
      <c r="D20" s="195"/>
      <c r="E20" s="99" t="s">
        <v>450</v>
      </c>
      <c r="F20" s="105">
        <v>7.0000000000000001E-3</v>
      </c>
      <c r="G20" s="105" t="s">
        <v>449</v>
      </c>
      <c r="H20" s="106">
        <v>-3.0000000000000001E-3</v>
      </c>
      <c r="I20" s="307"/>
      <c r="J20" s="308"/>
      <c r="K20" s="309"/>
      <c r="L20" s="93"/>
      <c r="M20" s="93"/>
    </row>
    <row r="21" spans="3:13" ht="24" x14ac:dyDescent="0.2">
      <c r="C21" s="93"/>
      <c r="D21" s="195"/>
      <c r="E21" s="99" t="s">
        <v>451</v>
      </c>
      <c r="F21" s="105">
        <v>6.0000000000000001E-3</v>
      </c>
      <c r="G21" s="105" t="s">
        <v>452</v>
      </c>
      <c r="H21" s="106">
        <v>-3.0000000000000001E-3</v>
      </c>
      <c r="I21" s="307"/>
      <c r="J21" s="308"/>
      <c r="K21" s="309"/>
      <c r="L21" s="93"/>
      <c r="M21" s="93"/>
    </row>
    <row r="22" spans="3:13" ht="24" x14ac:dyDescent="0.2">
      <c r="C22" s="93"/>
      <c r="D22" s="195"/>
      <c r="E22" s="99" t="s">
        <v>453</v>
      </c>
      <c r="F22" s="105">
        <v>-3.0000000000000001E-3</v>
      </c>
      <c r="G22" s="105" t="s">
        <v>454</v>
      </c>
      <c r="H22" s="106">
        <v>-1E-3</v>
      </c>
      <c r="I22" s="307"/>
      <c r="J22" s="308"/>
      <c r="K22" s="309"/>
      <c r="L22" s="93"/>
      <c r="M22" s="93"/>
    </row>
    <row r="23" spans="3:13" ht="24" x14ac:dyDescent="0.2">
      <c r="C23" s="93"/>
      <c r="D23" s="195"/>
      <c r="E23" s="99" t="s">
        <v>455</v>
      </c>
      <c r="F23" s="105">
        <v>-3.0000000000000001E-3</v>
      </c>
      <c r="G23" s="105" t="s">
        <v>456</v>
      </c>
      <c r="H23" s="106">
        <v>-1E-3</v>
      </c>
      <c r="I23" s="307"/>
      <c r="J23" s="308"/>
      <c r="K23" s="309"/>
      <c r="L23" s="93"/>
      <c r="M23" s="93"/>
    </row>
    <row r="24" spans="3:13" ht="25" thickBot="1" x14ac:dyDescent="0.25">
      <c r="C24" s="93"/>
      <c r="D24" s="195"/>
      <c r="E24" s="102" t="s">
        <v>457</v>
      </c>
      <c r="F24" s="107">
        <v>-1E-3</v>
      </c>
      <c r="G24" s="107" t="s">
        <v>458</v>
      </c>
      <c r="H24" s="108">
        <v>0</v>
      </c>
      <c r="I24" s="310"/>
      <c r="J24" s="311"/>
      <c r="K24" s="312"/>
      <c r="L24" s="93"/>
      <c r="M24" s="93"/>
    </row>
    <row r="25" spans="3:13" ht="24" x14ac:dyDescent="0.2">
      <c r="C25" s="93"/>
      <c r="D25" s="89" t="s">
        <v>105</v>
      </c>
      <c r="E25" s="90" t="s">
        <v>30</v>
      </c>
      <c r="F25" s="378" t="s">
        <v>387</v>
      </c>
      <c r="G25" s="379"/>
      <c r="H25" s="380"/>
      <c r="I25" s="381" t="s">
        <v>386</v>
      </c>
      <c r="J25" s="382"/>
      <c r="K25" s="383"/>
      <c r="L25" s="93"/>
      <c r="M25" s="93"/>
    </row>
    <row r="26" spans="3:13" ht="24" x14ac:dyDescent="0.2">
      <c r="C26" s="93"/>
      <c r="D26" s="195"/>
      <c r="E26" s="92" t="s">
        <v>432</v>
      </c>
      <c r="F26" s="384"/>
      <c r="G26" s="385"/>
      <c r="H26" s="386"/>
      <c r="I26" s="307"/>
      <c r="J26" s="308"/>
      <c r="K26" s="309"/>
      <c r="L26" s="93"/>
      <c r="M26" s="93"/>
    </row>
    <row r="27" spans="3:13" ht="24" x14ac:dyDescent="0.2">
      <c r="C27" s="93"/>
      <c r="D27" s="195"/>
      <c r="E27" s="92" t="s">
        <v>433</v>
      </c>
      <c r="F27" s="387">
        <v>6.0000000000000001E-3</v>
      </c>
      <c r="G27" s="388"/>
      <c r="H27" s="389"/>
      <c r="I27" s="307"/>
      <c r="J27" s="308"/>
      <c r="K27" s="309"/>
      <c r="L27" s="93"/>
      <c r="M27" s="93"/>
    </row>
    <row r="28" spans="3:13" ht="24" x14ac:dyDescent="0.2">
      <c r="C28" s="93"/>
      <c r="D28" s="195"/>
      <c r="E28" s="92" t="s">
        <v>434</v>
      </c>
      <c r="F28" s="387">
        <v>6.0000000000000001E-3</v>
      </c>
      <c r="G28" s="388"/>
      <c r="H28" s="389"/>
      <c r="I28" s="307"/>
      <c r="J28" s="308"/>
      <c r="K28" s="309"/>
      <c r="L28" s="95"/>
      <c r="M28" s="93"/>
    </row>
    <row r="29" spans="3:13" ht="25" thickBot="1" x14ac:dyDescent="0.25">
      <c r="C29" s="93"/>
      <c r="D29" s="195"/>
      <c r="E29" s="94" t="s">
        <v>435</v>
      </c>
      <c r="F29" s="360">
        <v>0.25</v>
      </c>
      <c r="G29" s="361"/>
      <c r="H29" s="362"/>
      <c r="I29" s="307"/>
      <c r="J29" s="308"/>
      <c r="K29" s="309"/>
      <c r="L29" s="95">
        <f>F29+TIME(5,30,0)</f>
        <v>0.47916666666666663</v>
      </c>
      <c r="M29" s="95">
        <f>L29-TIME(2,30,0)</f>
        <v>0.37499999999999994</v>
      </c>
    </row>
    <row r="30" spans="3:13" ht="25" thickBot="1" x14ac:dyDescent="0.25">
      <c r="C30" s="93"/>
      <c r="D30" s="195"/>
      <c r="E30" s="96" t="s">
        <v>436</v>
      </c>
      <c r="F30" s="97" t="s">
        <v>29</v>
      </c>
      <c r="G30" s="97" t="s">
        <v>28</v>
      </c>
      <c r="H30" s="98" t="s">
        <v>27</v>
      </c>
      <c r="I30" s="307"/>
      <c r="J30" s="308"/>
      <c r="K30" s="309"/>
      <c r="L30" s="93"/>
      <c r="M30" s="93"/>
    </row>
    <row r="31" spans="3:13" ht="24" x14ac:dyDescent="0.2">
      <c r="C31" s="93"/>
      <c r="D31" s="195"/>
      <c r="E31" s="99" t="s">
        <v>448</v>
      </c>
      <c r="F31" s="105">
        <v>8.9999999999999993E-3</v>
      </c>
      <c r="G31" s="105" t="s">
        <v>459</v>
      </c>
      <c r="H31" s="106">
        <v>3.0000000000000001E-3</v>
      </c>
      <c r="I31" s="307"/>
      <c r="J31" s="308"/>
      <c r="K31" s="309"/>
      <c r="L31" s="93"/>
      <c r="M31" s="93"/>
    </row>
    <row r="32" spans="3:13" ht="24" x14ac:dyDescent="0.2">
      <c r="C32" s="93"/>
      <c r="D32" s="195"/>
      <c r="E32" s="99" t="s">
        <v>450</v>
      </c>
      <c r="F32" s="105">
        <v>3.0000000000000001E-3</v>
      </c>
      <c r="G32" s="105" t="s">
        <v>460</v>
      </c>
      <c r="H32" s="106">
        <v>-2E-3</v>
      </c>
      <c r="I32" s="307"/>
      <c r="J32" s="308"/>
      <c r="K32" s="309"/>
      <c r="L32" s="93"/>
      <c r="M32" s="93"/>
    </row>
    <row r="33" spans="3:13" ht="24" x14ac:dyDescent="0.2">
      <c r="C33" s="93"/>
      <c r="D33" s="195"/>
      <c r="E33" s="99" t="s">
        <v>451</v>
      </c>
      <c r="F33" s="105">
        <v>2E-3</v>
      </c>
      <c r="G33" s="105" t="s">
        <v>458</v>
      </c>
      <c r="H33" s="106">
        <v>-2E-3</v>
      </c>
      <c r="I33" s="307"/>
      <c r="J33" s="308"/>
      <c r="K33" s="309"/>
      <c r="L33" s="93"/>
      <c r="M33" s="93"/>
    </row>
    <row r="34" spans="3:13" ht="24" x14ac:dyDescent="0.2">
      <c r="C34" s="93"/>
      <c r="D34" s="195"/>
      <c r="E34" s="99" t="s">
        <v>453</v>
      </c>
      <c r="F34" s="105">
        <v>-2E-3</v>
      </c>
      <c r="G34" s="105" t="s">
        <v>461</v>
      </c>
      <c r="H34" s="106">
        <v>3.0000000000000001E-3</v>
      </c>
      <c r="I34" s="307"/>
      <c r="J34" s="308"/>
      <c r="K34" s="309"/>
      <c r="L34" s="93"/>
      <c r="M34" s="93"/>
    </row>
    <row r="35" spans="3:13" ht="24" x14ac:dyDescent="0.2">
      <c r="C35" s="93"/>
      <c r="D35" s="195"/>
      <c r="E35" s="99" t="s">
        <v>455</v>
      </c>
      <c r="F35" s="105">
        <v>-2E-3</v>
      </c>
      <c r="G35" s="105" t="s">
        <v>462</v>
      </c>
      <c r="H35" s="106">
        <v>2E-3</v>
      </c>
      <c r="I35" s="307"/>
      <c r="J35" s="308"/>
      <c r="K35" s="309"/>
      <c r="L35" s="93"/>
      <c r="M35" s="93"/>
    </row>
    <row r="36" spans="3:13" ht="25" thickBot="1" x14ac:dyDescent="0.25">
      <c r="C36" s="93"/>
      <c r="D36" s="195"/>
      <c r="E36" s="102" t="s">
        <v>457</v>
      </c>
      <c r="F36" s="107">
        <v>3.0000000000000001E-3</v>
      </c>
      <c r="G36" s="107" t="s">
        <v>449</v>
      </c>
      <c r="H36" s="108">
        <v>3.0000000000000001E-3</v>
      </c>
      <c r="I36" s="310"/>
      <c r="J36" s="311"/>
      <c r="K36" s="312"/>
      <c r="L36" s="93"/>
      <c r="M36" s="93"/>
    </row>
    <row r="37" spans="3:13" ht="24" x14ac:dyDescent="0.2">
      <c r="C37" s="93"/>
      <c r="D37" s="89" t="s">
        <v>105</v>
      </c>
      <c r="E37" s="90" t="s">
        <v>30</v>
      </c>
      <c r="F37" s="378" t="s">
        <v>463</v>
      </c>
      <c r="G37" s="379"/>
      <c r="H37" s="380"/>
      <c r="I37" s="381" t="s">
        <v>389</v>
      </c>
      <c r="J37" s="382"/>
      <c r="K37" s="383"/>
      <c r="L37" s="93"/>
      <c r="M37" s="93"/>
    </row>
    <row r="38" spans="3:13" ht="24" x14ac:dyDescent="0.2">
      <c r="C38" s="93"/>
      <c r="D38" s="195"/>
      <c r="E38" s="92" t="s">
        <v>432</v>
      </c>
      <c r="F38" s="384"/>
      <c r="G38" s="385"/>
      <c r="H38" s="386"/>
      <c r="I38" s="307"/>
      <c r="J38" s="308"/>
      <c r="K38" s="309"/>
      <c r="L38" s="93"/>
      <c r="M38" s="93"/>
    </row>
    <row r="39" spans="3:13" ht="24" x14ac:dyDescent="0.2">
      <c r="C39" s="93"/>
      <c r="D39" s="195"/>
      <c r="E39" s="92" t="s">
        <v>433</v>
      </c>
      <c r="F39" s="387">
        <v>1E-3</v>
      </c>
      <c r="G39" s="388"/>
      <c r="H39" s="389"/>
      <c r="I39" s="307"/>
      <c r="J39" s="308"/>
      <c r="K39" s="309"/>
      <c r="L39" s="93"/>
      <c r="M39" s="93"/>
    </row>
    <row r="40" spans="3:13" ht="24" x14ac:dyDescent="0.2">
      <c r="C40" s="93"/>
      <c r="D40" s="195"/>
      <c r="E40" s="92" t="s">
        <v>434</v>
      </c>
      <c r="F40" s="387">
        <v>-1E-3</v>
      </c>
      <c r="G40" s="388"/>
      <c r="H40" s="389"/>
      <c r="I40" s="307"/>
      <c r="J40" s="308"/>
      <c r="K40" s="309"/>
      <c r="L40" s="95"/>
      <c r="M40" s="93"/>
    </row>
    <row r="41" spans="3:13" ht="25" thickBot="1" x14ac:dyDescent="0.25">
      <c r="C41" s="93"/>
      <c r="D41" s="195"/>
      <c r="E41" s="94" t="s">
        <v>435</v>
      </c>
      <c r="F41" s="360">
        <v>0.5</v>
      </c>
      <c r="G41" s="361"/>
      <c r="H41" s="362"/>
      <c r="I41" s="307"/>
      <c r="J41" s="308"/>
      <c r="K41" s="309"/>
      <c r="L41" s="95">
        <f>F41+TIME(5,30,0)</f>
        <v>0.72916666666666663</v>
      </c>
      <c r="M41" s="95">
        <f>L41-TIME(2,30,0)</f>
        <v>0.625</v>
      </c>
    </row>
    <row r="42" spans="3:13" ht="25" thickBot="1" x14ac:dyDescent="0.25">
      <c r="C42" s="93"/>
      <c r="D42" s="195"/>
      <c r="E42" s="96" t="s">
        <v>436</v>
      </c>
      <c r="F42" s="97" t="s">
        <v>29</v>
      </c>
      <c r="G42" s="97" t="s">
        <v>28</v>
      </c>
      <c r="H42" s="98" t="s">
        <v>27</v>
      </c>
      <c r="I42" s="307"/>
      <c r="J42" s="308"/>
      <c r="K42" s="309"/>
      <c r="L42" s="93"/>
      <c r="M42" s="93"/>
    </row>
    <row r="43" spans="3:13" ht="24" x14ac:dyDescent="0.2">
      <c r="C43" s="93"/>
      <c r="D43" s="195"/>
      <c r="E43" s="99" t="s">
        <v>464</v>
      </c>
      <c r="F43" s="105">
        <v>-1E-3</v>
      </c>
      <c r="G43" s="105" t="s">
        <v>456</v>
      </c>
      <c r="H43" s="106">
        <v>3.0000000000000001E-3</v>
      </c>
      <c r="I43" s="307"/>
      <c r="J43" s="308"/>
      <c r="K43" s="309"/>
      <c r="L43" s="93"/>
      <c r="M43" s="93"/>
    </row>
    <row r="44" spans="3:13" ht="24" x14ac:dyDescent="0.2">
      <c r="C44" s="93"/>
      <c r="D44" s="195"/>
      <c r="E44" s="99" t="s">
        <v>465</v>
      </c>
      <c r="F44" s="105">
        <v>-1E-3</v>
      </c>
      <c r="G44" s="105" t="s">
        <v>458</v>
      </c>
      <c r="H44" s="106">
        <v>3.0000000000000001E-3</v>
      </c>
      <c r="I44" s="307"/>
      <c r="J44" s="308"/>
      <c r="K44" s="309"/>
      <c r="L44" s="93"/>
      <c r="M44" s="93"/>
    </row>
    <row r="45" spans="3:13" ht="24" x14ac:dyDescent="0.2">
      <c r="C45" s="93"/>
      <c r="D45" s="195"/>
      <c r="E45" s="99" t="s">
        <v>466</v>
      </c>
      <c r="F45" s="105">
        <v>3.0000000000000001E-3</v>
      </c>
      <c r="G45" s="105" t="s">
        <v>467</v>
      </c>
      <c r="H45" s="106">
        <v>1E-3</v>
      </c>
      <c r="I45" s="307"/>
      <c r="J45" s="308"/>
      <c r="K45" s="309"/>
      <c r="L45" s="93"/>
      <c r="M45" s="93"/>
    </row>
    <row r="46" spans="3:13" ht="24" x14ac:dyDescent="0.2">
      <c r="C46" s="93"/>
      <c r="D46" s="195"/>
      <c r="E46" s="99" t="s">
        <v>468</v>
      </c>
      <c r="F46" s="105">
        <v>3.0000000000000001E-3</v>
      </c>
      <c r="G46" s="105" t="s">
        <v>467</v>
      </c>
      <c r="H46" s="106">
        <v>1E-3</v>
      </c>
      <c r="I46" s="307"/>
      <c r="J46" s="308"/>
      <c r="K46" s="309"/>
      <c r="L46" s="93"/>
      <c r="M46" s="93"/>
    </row>
    <row r="47" spans="3:13" ht="24" x14ac:dyDescent="0.2">
      <c r="C47" s="93"/>
      <c r="D47" s="195"/>
      <c r="E47" s="99" t="s">
        <v>469</v>
      </c>
      <c r="F47" s="105">
        <v>1E-3</v>
      </c>
      <c r="G47" s="105" t="s">
        <v>462</v>
      </c>
      <c r="H47" s="106">
        <v>1E-3</v>
      </c>
      <c r="I47" s="307"/>
      <c r="J47" s="308"/>
      <c r="K47" s="309"/>
      <c r="L47" s="93"/>
      <c r="M47" s="93"/>
    </row>
    <row r="48" spans="3:13" ht="25" thickBot="1" x14ac:dyDescent="0.25">
      <c r="C48" s="93"/>
      <c r="D48" s="195"/>
      <c r="E48" s="102" t="s">
        <v>470</v>
      </c>
      <c r="F48" s="107">
        <v>1E-3</v>
      </c>
      <c r="G48" s="107" t="s">
        <v>460</v>
      </c>
      <c r="H48" s="108">
        <v>1E-3</v>
      </c>
      <c r="I48" s="310"/>
      <c r="J48" s="311"/>
      <c r="K48" s="312"/>
      <c r="L48" s="93"/>
      <c r="M48" s="93"/>
    </row>
    <row r="49" spans="3:13" ht="24" x14ac:dyDescent="0.2">
      <c r="C49" s="93"/>
      <c r="D49" s="89" t="s">
        <v>105</v>
      </c>
      <c r="E49" s="90" t="s">
        <v>30</v>
      </c>
      <c r="F49" s="378" t="s">
        <v>390</v>
      </c>
      <c r="G49" s="379"/>
      <c r="H49" s="380"/>
      <c r="I49" s="381" t="s">
        <v>471</v>
      </c>
      <c r="J49" s="382"/>
      <c r="K49" s="383"/>
      <c r="L49" s="93"/>
      <c r="M49" s="93"/>
    </row>
    <row r="50" spans="3:13" ht="24" x14ac:dyDescent="0.2">
      <c r="C50" s="93"/>
      <c r="D50" s="195"/>
      <c r="E50" s="92" t="s">
        <v>432</v>
      </c>
      <c r="F50" s="384"/>
      <c r="G50" s="385"/>
      <c r="H50" s="386"/>
      <c r="I50" s="307"/>
      <c r="J50" s="308"/>
      <c r="K50" s="309"/>
      <c r="L50" s="93"/>
      <c r="M50" s="93"/>
    </row>
    <row r="51" spans="3:13" ht="24" x14ac:dyDescent="0.2">
      <c r="C51" s="93"/>
      <c r="D51" s="195"/>
      <c r="E51" s="92" t="s">
        <v>433</v>
      </c>
      <c r="F51" s="387"/>
      <c r="G51" s="388"/>
      <c r="H51" s="389"/>
      <c r="I51" s="307"/>
      <c r="J51" s="308"/>
      <c r="K51" s="309"/>
      <c r="L51" s="93"/>
      <c r="M51" s="93"/>
    </row>
    <row r="52" spans="3:13" ht="24" x14ac:dyDescent="0.2">
      <c r="C52" s="93"/>
      <c r="D52" s="195"/>
      <c r="E52" s="92" t="s">
        <v>434</v>
      </c>
      <c r="F52" s="366">
        <v>46.1</v>
      </c>
      <c r="G52" s="367"/>
      <c r="H52" s="368"/>
      <c r="I52" s="307"/>
      <c r="J52" s="308"/>
      <c r="K52" s="309"/>
      <c r="L52" s="95"/>
      <c r="M52" s="93"/>
    </row>
    <row r="53" spans="3:13" ht="25" thickBot="1" x14ac:dyDescent="0.25">
      <c r="C53" s="93"/>
      <c r="D53" s="195"/>
      <c r="E53" s="94" t="s">
        <v>435</v>
      </c>
      <c r="F53" s="360">
        <v>0.57291666666666663</v>
      </c>
      <c r="G53" s="361"/>
      <c r="H53" s="362"/>
      <c r="I53" s="307"/>
      <c r="J53" s="308"/>
      <c r="K53" s="309"/>
      <c r="L53" s="95">
        <f>F53+TIME(5,30,0)</f>
        <v>0.80208333333333326</v>
      </c>
      <c r="M53" s="95">
        <f>L53-TIME(2,30,0)</f>
        <v>0.69791666666666663</v>
      </c>
    </row>
    <row r="54" spans="3:13" ht="25" thickBot="1" x14ac:dyDescent="0.25">
      <c r="C54" s="93"/>
      <c r="D54" s="195"/>
      <c r="E54" s="96" t="s">
        <v>436</v>
      </c>
      <c r="F54" s="97" t="s">
        <v>29</v>
      </c>
      <c r="G54" s="97" t="s">
        <v>28</v>
      </c>
      <c r="H54" s="98" t="s">
        <v>27</v>
      </c>
      <c r="I54" s="307"/>
      <c r="J54" s="308"/>
      <c r="K54" s="309"/>
      <c r="L54" s="93"/>
      <c r="M54" s="93"/>
    </row>
    <row r="55" spans="3:13" ht="24" x14ac:dyDescent="0.2">
      <c r="C55" s="93"/>
      <c r="D55" s="195"/>
      <c r="E55" s="99" t="s">
        <v>472</v>
      </c>
      <c r="F55" s="100">
        <v>46.1</v>
      </c>
      <c r="G55" s="100" t="s">
        <v>473</v>
      </c>
      <c r="H55" s="101">
        <v>45.3</v>
      </c>
      <c r="I55" s="307"/>
      <c r="J55" s="308"/>
      <c r="K55" s="309"/>
      <c r="L55" s="93"/>
      <c r="M55" s="93"/>
    </row>
    <row r="56" spans="3:13" ht="24" x14ac:dyDescent="0.2">
      <c r="C56" s="93"/>
      <c r="D56" s="195"/>
      <c r="E56" s="99" t="s">
        <v>439</v>
      </c>
      <c r="F56" s="100">
        <v>45.3</v>
      </c>
      <c r="G56" s="100" t="s">
        <v>474</v>
      </c>
      <c r="H56" s="101">
        <v>47.4</v>
      </c>
      <c r="I56" s="307"/>
      <c r="J56" s="308"/>
      <c r="K56" s="309"/>
      <c r="L56" s="93"/>
      <c r="M56" s="93"/>
    </row>
    <row r="57" spans="3:13" ht="24" x14ac:dyDescent="0.2">
      <c r="C57" s="93"/>
      <c r="D57" s="195"/>
      <c r="E57" s="99" t="s">
        <v>450</v>
      </c>
      <c r="F57" s="100">
        <v>47.4</v>
      </c>
      <c r="G57" s="100" t="s">
        <v>475</v>
      </c>
      <c r="H57" s="101">
        <v>35.4</v>
      </c>
      <c r="I57" s="307"/>
      <c r="J57" s="308"/>
      <c r="K57" s="309"/>
      <c r="L57" s="93"/>
      <c r="M57" s="93"/>
    </row>
    <row r="58" spans="3:13" ht="24" x14ac:dyDescent="0.2">
      <c r="C58" s="93"/>
      <c r="D58" s="195"/>
      <c r="E58" s="99" t="s">
        <v>442</v>
      </c>
      <c r="F58" s="100">
        <v>35.4</v>
      </c>
      <c r="G58" s="100" t="s">
        <v>476</v>
      </c>
      <c r="H58" s="101">
        <v>37.9</v>
      </c>
      <c r="I58" s="307"/>
      <c r="J58" s="308"/>
      <c r="K58" s="309"/>
      <c r="L58" s="93"/>
      <c r="M58" s="93"/>
    </row>
    <row r="59" spans="3:13" ht="24" x14ac:dyDescent="0.2">
      <c r="C59" s="93"/>
      <c r="D59" s="195"/>
      <c r="E59" s="99" t="s">
        <v>444</v>
      </c>
      <c r="F59" s="100">
        <v>37.9</v>
      </c>
      <c r="G59" s="100" t="s">
        <v>477</v>
      </c>
      <c r="H59" s="101">
        <v>41.4</v>
      </c>
      <c r="I59" s="307"/>
      <c r="J59" s="308"/>
      <c r="K59" s="309"/>
      <c r="L59" s="93"/>
      <c r="M59" s="93"/>
    </row>
    <row r="60" spans="3:13" ht="25" thickBot="1" x14ac:dyDescent="0.25">
      <c r="C60" s="93"/>
      <c r="D60" s="195"/>
      <c r="E60" s="102" t="s">
        <v>453</v>
      </c>
      <c r="F60" s="103">
        <v>41.4</v>
      </c>
      <c r="G60" s="103" t="s">
        <v>478</v>
      </c>
      <c r="H60" s="104">
        <v>44</v>
      </c>
      <c r="I60" s="310"/>
      <c r="J60" s="311"/>
      <c r="K60" s="312"/>
      <c r="L60" s="93"/>
      <c r="M60" s="93"/>
    </row>
    <row r="61" spans="3:13" ht="24" x14ac:dyDescent="0.2">
      <c r="C61" s="93"/>
      <c r="D61" s="89" t="s">
        <v>105</v>
      </c>
      <c r="E61" s="90" t="s">
        <v>30</v>
      </c>
      <c r="F61" s="378" t="s">
        <v>20</v>
      </c>
      <c r="G61" s="379"/>
      <c r="H61" s="380"/>
      <c r="I61" s="381" t="s">
        <v>392</v>
      </c>
      <c r="J61" s="382"/>
      <c r="K61" s="383"/>
      <c r="L61" s="93"/>
      <c r="M61" s="93"/>
    </row>
    <row r="62" spans="3:13" ht="24" x14ac:dyDescent="0.2">
      <c r="C62" s="93"/>
      <c r="D62" s="195"/>
      <c r="E62" s="92" t="s">
        <v>432</v>
      </c>
      <c r="F62" s="384"/>
      <c r="G62" s="385"/>
      <c r="H62" s="386"/>
      <c r="I62" s="307"/>
      <c r="J62" s="308"/>
      <c r="K62" s="309"/>
      <c r="L62" s="93"/>
      <c r="M62" s="93"/>
    </row>
    <row r="63" spans="3:13" ht="24" x14ac:dyDescent="0.2">
      <c r="C63" s="93"/>
      <c r="D63" s="195"/>
      <c r="E63" s="92" t="s">
        <v>433</v>
      </c>
      <c r="F63" s="387"/>
      <c r="G63" s="388"/>
      <c r="H63" s="389"/>
      <c r="I63" s="307"/>
      <c r="J63" s="308"/>
      <c r="K63" s="309"/>
      <c r="L63" s="93"/>
      <c r="M63" s="93"/>
    </row>
    <row r="64" spans="3:13" ht="24" x14ac:dyDescent="0.2">
      <c r="C64" s="93"/>
      <c r="D64" s="195"/>
      <c r="E64" s="92" t="s">
        <v>434</v>
      </c>
      <c r="F64" s="387"/>
      <c r="G64" s="388"/>
      <c r="H64" s="389"/>
      <c r="I64" s="307"/>
      <c r="J64" s="308"/>
      <c r="K64" s="309"/>
      <c r="L64" s="95"/>
      <c r="M64" s="93"/>
    </row>
    <row r="65" spans="3:13" ht="25" thickBot="1" x14ac:dyDescent="0.25">
      <c r="C65" s="93"/>
      <c r="D65" s="195"/>
      <c r="E65" s="94" t="s">
        <v>435</v>
      </c>
      <c r="F65" s="360">
        <v>0.70833333333333337</v>
      </c>
      <c r="G65" s="361"/>
      <c r="H65" s="362"/>
      <c r="I65" s="307"/>
      <c r="J65" s="308"/>
      <c r="K65" s="309"/>
      <c r="L65" s="95">
        <f>F65+TIME(5,30,0)</f>
        <v>0.9375</v>
      </c>
      <c r="M65" s="95">
        <f>L65-TIME(2,30,0)</f>
        <v>0.83333333333333337</v>
      </c>
    </row>
    <row r="66" spans="3:13" ht="25" thickBot="1" x14ac:dyDescent="0.25">
      <c r="C66" s="93"/>
      <c r="D66" s="195"/>
      <c r="E66" s="96" t="s">
        <v>436</v>
      </c>
      <c r="F66" s="97" t="s">
        <v>29</v>
      </c>
      <c r="G66" s="97" t="s">
        <v>28</v>
      </c>
      <c r="H66" s="98" t="s">
        <v>27</v>
      </c>
      <c r="I66" s="307"/>
      <c r="J66" s="308"/>
      <c r="K66" s="309"/>
      <c r="L66" s="93"/>
      <c r="M66" s="93"/>
    </row>
    <row r="67" spans="3:13" ht="24" x14ac:dyDescent="0.2">
      <c r="C67" s="93"/>
      <c r="D67" s="195"/>
      <c r="E67" s="99" t="s">
        <v>479</v>
      </c>
      <c r="F67" s="105"/>
      <c r="G67" s="105"/>
      <c r="H67" s="106"/>
      <c r="I67" s="307"/>
      <c r="J67" s="308"/>
      <c r="K67" s="309"/>
      <c r="L67" s="93"/>
      <c r="M67" s="93"/>
    </row>
    <row r="68" spans="3:13" ht="24" x14ac:dyDescent="0.2">
      <c r="C68" s="93"/>
      <c r="D68" s="195"/>
      <c r="E68" s="99" t="s">
        <v>480</v>
      </c>
      <c r="F68" s="105"/>
      <c r="G68" s="105"/>
      <c r="H68" s="106"/>
      <c r="I68" s="307"/>
      <c r="J68" s="308"/>
      <c r="K68" s="309"/>
      <c r="L68" s="93"/>
      <c r="M68" s="93"/>
    </row>
    <row r="69" spans="3:13" ht="24" x14ac:dyDescent="0.2">
      <c r="C69" s="93"/>
      <c r="D69" s="195"/>
      <c r="E69" s="99" t="s">
        <v>481</v>
      </c>
      <c r="F69" s="105"/>
      <c r="G69" s="105"/>
      <c r="H69" s="106"/>
      <c r="I69" s="307"/>
      <c r="J69" s="308"/>
      <c r="K69" s="309"/>
      <c r="L69" s="93"/>
      <c r="M69" s="93"/>
    </row>
    <row r="70" spans="3:13" ht="24" x14ac:dyDescent="0.2">
      <c r="C70" s="93"/>
      <c r="D70" s="195"/>
      <c r="E70" s="99" t="s">
        <v>482</v>
      </c>
      <c r="F70" s="105"/>
      <c r="G70" s="105"/>
      <c r="H70" s="106"/>
      <c r="I70" s="307"/>
      <c r="J70" s="308"/>
      <c r="K70" s="309"/>
      <c r="L70" s="93"/>
      <c r="M70" s="93"/>
    </row>
    <row r="71" spans="3:13" ht="24" x14ac:dyDescent="0.2">
      <c r="C71" s="93"/>
      <c r="D71" s="195"/>
      <c r="E71" s="99" t="s">
        <v>483</v>
      </c>
      <c r="F71" s="105"/>
      <c r="G71" s="105"/>
      <c r="H71" s="106"/>
      <c r="I71" s="307"/>
      <c r="J71" s="308"/>
      <c r="K71" s="309"/>
      <c r="L71" s="93"/>
      <c r="M71" s="93"/>
    </row>
    <row r="72" spans="3:13" ht="25" thickBot="1" x14ac:dyDescent="0.25">
      <c r="C72" s="93"/>
      <c r="D72" s="195"/>
      <c r="E72" s="102" t="s">
        <v>484</v>
      </c>
      <c r="F72" s="107"/>
      <c r="G72" s="107"/>
      <c r="H72" s="108"/>
      <c r="I72" s="310"/>
      <c r="J72" s="311"/>
      <c r="K72" s="312"/>
      <c r="L72" s="93"/>
      <c r="M72" s="93"/>
    </row>
    <row r="73" spans="3:13" ht="24" x14ac:dyDescent="0.2">
      <c r="C73" s="93"/>
      <c r="D73" s="89" t="s">
        <v>105</v>
      </c>
      <c r="E73" s="90" t="s">
        <v>30</v>
      </c>
      <c r="F73" s="378" t="s">
        <v>485</v>
      </c>
      <c r="G73" s="379"/>
      <c r="H73" s="380"/>
      <c r="I73" s="381" t="s">
        <v>486</v>
      </c>
      <c r="J73" s="382"/>
      <c r="K73" s="383"/>
      <c r="L73" s="93"/>
      <c r="M73" s="93"/>
    </row>
    <row r="74" spans="3:13" ht="24" x14ac:dyDescent="0.2">
      <c r="C74" s="93"/>
      <c r="D74" s="195"/>
      <c r="E74" s="92" t="s">
        <v>432</v>
      </c>
      <c r="F74" s="384"/>
      <c r="G74" s="385"/>
      <c r="H74" s="386"/>
      <c r="I74" s="307"/>
      <c r="J74" s="308"/>
      <c r="K74" s="309"/>
      <c r="L74" s="93"/>
      <c r="M74" s="93"/>
    </row>
    <row r="75" spans="3:13" ht="24" x14ac:dyDescent="0.2">
      <c r="C75" s="93"/>
      <c r="D75" s="195"/>
      <c r="E75" s="92" t="s">
        <v>433</v>
      </c>
      <c r="F75" s="366"/>
      <c r="G75" s="367"/>
      <c r="H75" s="368"/>
      <c r="I75" s="307"/>
      <c r="J75" s="308"/>
      <c r="K75" s="309"/>
      <c r="L75" s="93"/>
      <c r="M75" s="93"/>
    </row>
    <row r="76" spans="3:13" ht="24" x14ac:dyDescent="0.2">
      <c r="C76" s="93"/>
      <c r="D76" s="195"/>
      <c r="E76" s="92" t="s">
        <v>434</v>
      </c>
      <c r="F76" s="345">
        <v>2.1999999999999999E-2</v>
      </c>
      <c r="G76" s="346"/>
      <c r="H76" s="347"/>
      <c r="I76" s="307"/>
      <c r="J76" s="308"/>
      <c r="K76" s="309"/>
      <c r="L76" s="95"/>
      <c r="M76" s="93"/>
    </row>
    <row r="77" spans="3:13" ht="49" thickBot="1" x14ac:dyDescent="0.25">
      <c r="C77" s="93"/>
      <c r="D77" s="195"/>
      <c r="E77" s="94" t="s">
        <v>487</v>
      </c>
      <c r="F77" s="360">
        <v>0.375</v>
      </c>
      <c r="G77" s="361"/>
      <c r="H77" s="362"/>
      <c r="I77" s="307"/>
      <c r="J77" s="308"/>
      <c r="K77" s="309"/>
      <c r="L77" s="95">
        <f>F77+TIME(5,30,0)</f>
        <v>0.60416666666666663</v>
      </c>
      <c r="M77" s="95">
        <f>L77-TIME(2,30,0)</f>
        <v>0.49999999999999994</v>
      </c>
    </row>
    <row r="78" spans="3:13" ht="49" thickBot="1" x14ac:dyDescent="0.25">
      <c r="C78" s="93"/>
      <c r="D78" s="195"/>
      <c r="E78" s="96" t="s">
        <v>488</v>
      </c>
      <c r="F78" s="97" t="s">
        <v>29</v>
      </c>
      <c r="G78" s="97" t="s">
        <v>28</v>
      </c>
      <c r="H78" s="98" t="s">
        <v>27</v>
      </c>
      <c r="I78" s="307"/>
      <c r="J78" s="308"/>
      <c r="K78" s="309"/>
      <c r="L78" s="93"/>
      <c r="M78" s="93"/>
    </row>
    <row r="79" spans="3:13" ht="24" x14ac:dyDescent="0.2">
      <c r="C79" s="93"/>
      <c r="D79" s="195"/>
      <c r="E79" s="99" t="s">
        <v>489</v>
      </c>
      <c r="F79" s="105">
        <v>2.1999999999999999E-2</v>
      </c>
      <c r="G79" s="105" t="s">
        <v>490</v>
      </c>
      <c r="H79" s="106">
        <v>2.5999999999999999E-2</v>
      </c>
      <c r="I79" s="307"/>
      <c r="J79" s="308"/>
      <c r="K79" s="309"/>
      <c r="L79" s="93"/>
      <c r="M79" s="93"/>
    </row>
    <row r="80" spans="3:13" ht="24" x14ac:dyDescent="0.2">
      <c r="C80" s="93"/>
      <c r="D80" s="195"/>
      <c r="E80" s="99" t="s">
        <v>491</v>
      </c>
      <c r="F80" s="105">
        <v>2.1999999999999999E-2</v>
      </c>
      <c r="G80" s="105" t="s">
        <v>490</v>
      </c>
      <c r="H80" s="106">
        <v>2.5999999999999999E-2</v>
      </c>
      <c r="I80" s="307"/>
      <c r="J80" s="308"/>
      <c r="K80" s="309"/>
      <c r="L80" s="93"/>
      <c r="M80" s="93"/>
    </row>
    <row r="81" spans="3:13" ht="24" x14ac:dyDescent="0.2">
      <c r="C81" s="93"/>
      <c r="D81" s="195"/>
      <c r="E81" s="99" t="s">
        <v>492</v>
      </c>
      <c r="F81" s="105">
        <v>2.5999999999999999E-2</v>
      </c>
      <c r="G81" s="105" t="s">
        <v>493</v>
      </c>
      <c r="H81" s="106">
        <v>2.5000000000000001E-2</v>
      </c>
      <c r="I81" s="307"/>
      <c r="J81" s="308"/>
      <c r="K81" s="309"/>
      <c r="L81" s="93"/>
      <c r="M81" s="93"/>
    </row>
    <row r="82" spans="3:13" ht="24" x14ac:dyDescent="0.2">
      <c r="C82" s="93"/>
      <c r="D82" s="195"/>
      <c r="E82" s="99" t="s">
        <v>494</v>
      </c>
      <c r="F82" s="105">
        <v>2.5999999999999999E-2</v>
      </c>
      <c r="G82" s="105" t="s">
        <v>495</v>
      </c>
      <c r="H82" s="106">
        <v>2.5000000000000001E-2</v>
      </c>
      <c r="I82" s="307"/>
      <c r="J82" s="308"/>
      <c r="K82" s="309"/>
      <c r="L82" s="93"/>
      <c r="M82" s="93"/>
    </row>
    <row r="83" spans="3:13" ht="24" x14ac:dyDescent="0.2">
      <c r="C83" s="93"/>
      <c r="D83" s="195"/>
      <c r="E83" s="99" t="s">
        <v>496</v>
      </c>
      <c r="F83" s="105">
        <v>2.5000000000000001E-2</v>
      </c>
      <c r="G83" s="105" t="s">
        <v>495</v>
      </c>
      <c r="H83" s="106">
        <v>2.5999999999999999E-2</v>
      </c>
      <c r="I83" s="307"/>
      <c r="J83" s="308"/>
      <c r="K83" s="309"/>
      <c r="L83" s="93"/>
      <c r="M83" s="93"/>
    </row>
    <row r="84" spans="3:13" ht="25" thickBot="1" x14ac:dyDescent="0.25">
      <c r="C84" s="93"/>
      <c r="D84" s="195"/>
      <c r="E84" s="102" t="s">
        <v>497</v>
      </c>
      <c r="F84" s="107">
        <v>2.5000000000000001E-2</v>
      </c>
      <c r="G84" s="107" t="s">
        <v>495</v>
      </c>
      <c r="H84" s="108">
        <v>2.5999999999999999E-2</v>
      </c>
      <c r="I84" s="310"/>
      <c r="J84" s="311"/>
      <c r="K84" s="312"/>
      <c r="L84" s="93"/>
      <c r="M84" s="93"/>
    </row>
    <row r="85" spans="3:13" ht="24" x14ac:dyDescent="0.2">
      <c r="C85" s="93"/>
      <c r="D85" s="89" t="s">
        <v>105</v>
      </c>
      <c r="E85" s="90" t="s">
        <v>30</v>
      </c>
      <c r="F85" s="378" t="s">
        <v>498</v>
      </c>
      <c r="G85" s="379"/>
      <c r="H85" s="380"/>
      <c r="I85" s="381" t="s">
        <v>396</v>
      </c>
      <c r="J85" s="382"/>
      <c r="K85" s="383"/>
      <c r="L85" s="93"/>
      <c r="M85" s="93"/>
    </row>
    <row r="86" spans="3:13" ht="24" x14ac:dyDescent="0.2">
      <c r="C86" s="93"/>
      <c r="D86" s="195"/>
      <c r="E86" s="92" t="s">
        <v>432</v>
      </c>
      <c r="F86" s="384"/>
      <c r="G86" s="385"/>
      <c r="H86" s="386"/>
      <c r="I86" s="307"/>
      <c r="J86" s="308"/>
      <c r="K86" s="309"/>
      <c r="L86" s="93"/>
      <c r="M86" s="93"/>
    </row>
    <row r="87" spans="3:13" ht="24" x14ac:dyDescent="0.2">
      <c r="C87" s="93"/>
      <c r="D87" s="195"/>
      <c r="E87" s="92" t="s">
        <v>433</v>
      </c>
      <c r="F87" s="366">
        <v>47</v>
      </c>
      <c r="G87" s="367"/>
      <c r="H87" s="368"/>
      <c r="I87" s="307"/>
      <c r="J87" s="308"/>
      <c r="K87" s="309"/>
      <c r="L87" s="93"/>
      <c r="M87" s="93"/>
    </row>
    <row r="88" spans="3:13" ht="24" x14ac:dyDescent="0.2">
      <c r="C88" s="93"/>
      <c r="D88" s="195"/>
      <c r="E88" s="92" t="s">
        <v>434</v>
      </c>
      <c r="F88" s="366">
        <v>47</v>
      </c>
      <c r="G88" s="367"/>
      <c r="H88" s="368"/>
      <c r="I88" s="307"/>
      <c r="J88" s="308"/>
      <c r="K88" s="309"/>
      <c r="L88" s="95"/>
      <c r="M88" s="93"/>
    </row>
    <row r="89" spans="3:13" ht="25" thickBot="1" x14ac:dyDescent="0.25">
      <c r="C89" s="93"/>
      <c r="D89" s="195"/>
      <c r="E89" s="94" t="s">
        <v>435</v>
      </c>
      <c r="F89" s="360">
        <v>0.57291666666666663</v>
      </c>
      <c r="G89" s="361"/>
      <c r="H89" s="362"/>
      <c r="I89" s="307"/>
      <c r="J89" s="308"/>
      <c r="K89" s="309"/>
      <c r="L89" s="95">
        <f>F89+TIME(5,30,0)</f>
        <v>0.80208333333333326</v>
      </c>
      <c r="M89" s="95">
        <f>L89-TIME(2,30,0)</f>
        <v>0.69791666666666663</v>
      </c>
    </row>
    <row r="90" spans="3:13" ht="25" thickBot="1" x14ac:dyDescent="0.25">
      <c r="C90" s="93"/>
      <c r="D90" s="195"/>
      <c r="E90" s="96" t="s">
        <v>436</v>
      </c>
      <c r="F90" s="97" t="s">
        <v>29</v>
      </c>
      <c r="G90" s="97" t="s">
        <v>28</v>
      </c>
      <c r="H90" s="98" t="s">
        <v>27</v>
      </c>
      <c r="I90" s="307"/>
      <c r="J90" s="308"/>
      <c r="K90" s="309"/>
      <c r="L90" s="93"/>
      <c r="M90" s="93"/>
    </row>
    <row r="91" spans="3:13" ht="24" x14ac:dyDescent="0.2">
      <c r="C91" s="93"/>
      <c r="D91" s="195"/>
      <c r="E91" s="99" t="s">
        <v>499</v>
      </c>
      <c r="F91" s="109">
        <v>47</v>
      </c>
      <c r="G91" s="109" t="s">
        <v>500</v>
      </c>
      <c r="H91" s="110">
        <v>47.9</v>
      </c>
      <c r="I91" s="307"/>
      <c r="J91" s="308"/>
      <c r="K91" s="309"/>
      <c r="L91" s="93"/>
      <c r="M91" s="93"/>
    </row>
    <row r="92" spans="3:13" ht="24" x14ac:dyDescent="0.2">
      <c r="C92" s="93"/>
      <c r="D92" s="195"/>
      <c r="E92" s="99" t="s">
        <v>501</v>
      </c>
      <c r="F92" s="109">
        <v>47.9</v>
      </c>
      <c r="G92" s="109" t="s">
        <v>502</v>
      </c>
      <c r="H92" s="110">
        <v>49.6</v>
      </c>
      <c r="I92" s="307"/>
      <c r="J92" s="308"/>
      <c r="K92" s="309"/>
      <c r="L92" s="93"/>
      <c r="M92" s="93"/>
    </row>
    <row r="93" spans="3:13" ht="24" x14ac:dyDescent="0.2">
      <c r="C93" s="93"/>
      <c r="D93" s="195"/>
      <c r="E93" s="99" t="s">
        <v>503</v>
      </c>
      <c r="F93" s="109">
        <v>48</v>
      </c>
      <c r="G93" s="109" t="s">
        <v>438</v>
      </c>
      <c r="H93" s="110">
        <v>49.6</v>
      </c>
      <c r="I93" s="307"/>
      <c r="J93" s="308"/>
      <c r="K93" s="309"/>
      <c r="L93" s="93"/>
      <c r="M93" s="93"/>
    </row>
    <row r="94" spans="3:13" ht="24" x14ac:dyDescent="0.2">
      <c r="C94" s="93"/>
      <c r="D94" s="195"/>
      <c r="E94" s="99" t="s">
        <v>504</v>
      </c>
      <c r="F94" s="109">
        <v>49.6</v>
      </c>
      <c r="G94" s="109" t="s">
        <v>438</v>
      </c>
      <c r="H94" s="110">
        <v>51.6</v>
      </c>
      <c r="I94" s="307"/>
      <c r="J94" s="308"/>
      <c r="K94" s="309"/>
      <c r="L94" s="93"/>
      <c r="M94" s="93"/>
    </row>
    <row r="95" spans="3:13" ht="24" x14ac:dyDescent="0.2">
      <c r="C95" s="93"/>
      <c r="D95" s="195"/>
      <c r="E95" s="99" t="s">
        <v>505</v>
      </c>
      <c r="F95" s="109">
        <v>49.5</v>
      </c>
      <c r="G95" s="109" t="s">
        <v>506</v>
      </c>
      <c r="H95" s="110">
        <v>51.6</v>
      </c>
      <c r="I95" s="307"/>
      <c r="J95" s="308"/>
      <c r="K95" s="309"/>
      <c r="L95" s="93"/>
      <c r="M95" s="93"/>
    </row>
    <row r="96" spans="3:13" ht="25" thickBot="1" x14ac:dyDescent="0.25">
      <c r="C96" s="93"/>
      <c r="D96" s="195"/>
      <c r="E96" s="102" t="s">
        <v>507</v>
      </c>
      <c r="F96" s="111">
        <v>51.6</v>
      </c>
      <c r="G96" s="111" t="s">
        <v>506</v>
      </c>
      <c r="H96" s="112">
        <v>51.3</v>
      </c>
      <c r="I96" s="310"/>
      <c r="J96" s="311"/>
      <c r="K96" s="312"/>
      <c r="L96" s="93"/>
      <c r="M96" s="93"/>
    </row>
    <row r="97" spans="3:13" ht="24" x14ac:dyDescent="0.2">
      <c r="C97" s="93"/>
      <c r="D97" s="89" t="s">
        <v>105</v>
      </c>
      <c r="E97" s="90" t="s">
        <v>30</v>
      </c>
      <c r="F97" s="378" t="s">
        <v>508</v>
      </c>
      <c r="G97" s="379"/>
      <c r="H97" s="380"/>
      <c r="I97" s="381" t="s">
        <v>398</v>
      </c>
      <c r="J97" s="382"/>
      <c r="K97" s="383"/>
      <c r="L97" s="93"/>
      <c r="M97" s="93"/>
    </row>
    <row r="98" spans="3:13" ht="24" x14ac:dyDescent="0.2">
      <c r="C98" s="93"/>
      <c r="D98" s="195"/>
      <c r="E98" s="92" t="s">
        <v>432</v>
      </c>
      <c r="F98" s="384"/>
      <c r="G98" s="385"/>
      <c r="H98" s="386"/>
      <c r="I98" s="307"/>
      <c r="J98" s="308"/>
      <c r="K98" s="309"/>
      <c r="L98" s="93"/>
      <c r="M98" s="93"/>
    </row>
    <row r="99" spans="3:13" ht="24" x14ac:dyDescent="0.2">
      <c r="C99" s="93"/>
      <c r="D99" s="195"/>
      <c r="E99" s="92" t="s">
        <v>433</v>
      </c>
      <c r="F99" s="366">
        <v>47.6</v>
      </c>
      <c r="G99" s="367"/>
      <c r="H99" s="368"/>
      <c r="I99" s="307"/>
      <c r="J99" s="308"/>
      <c r="K99" s="309"/>
      <c r="L99" s="93"/>
      <c r="M99" s="93"/>
    </row>
    <row r="100" spans="3:13" ht="24" x14ac:dyDescent="0.2">
      <c r="C100" s="93"/>
      <c r="D100" s="195"/>
      <c r="E100" s="92" t="s">
        <v>434</v>
      </c>
      <c r="F100" s="366">
        <v>47.2</v>
      </c>
      <c r="G100" s="367"/>
      <c r="H100" s="368"/>
      <c r="I100" s="307"/>
      <c r="J100" s="308"/>
      <c r="K100" s="309"/>
      <c r="L100" s="95"/>
      <c r="M100" s="93"/>
    </row>
    <row r="101" spans="3:13" ht="25" thickBot="1" x14ac:dyDescent="0.25">
      <c r="C101" s="93"/>
      <c r="D101" s="195"/>
      <c r="E101" s="94" t="s">
        <v>435</v>
      </c>
      <c r="F101" s="360">
        <v>0.58333333333333337</v>
      </c>
      <c r="G101" s="361"/>
      <c r="H101" s="362"/>
      <c r="I101" s="307"/>
      <c r="J101" s="308"/>
      <c r="K101" s="309"/>
      <c r="L101" s="95">
        <f>F101+TIME(5,30,0)</f>
        <v>0.8125</v>
      </c>
      <c r="M101" s="95">
        <f>L101-TIME(2,30,0)</f>
        <v>0.70833333333333337</v>
      </c>
    </row>
    <row r="102" spans="3:13" ht="25" thickBot="1" x14ac:dyDescent="0.25">
      <c r="C102" s="93"/>
      <c r="D102" s="195"/>
      <c r="E102" s="96" t="s">
        <v>436</v>
      </c>
      <c r="F102" s="97" t="s">
        <v>29</v>
      </c>
      <c r="G102" s="97" t="s">
        <v>28</v>
      </c>
      <c r="H102" s="98" t="s">
        <v>27</v>
      </c>
      <c r="I102" s="307"/>
      <c r="J102" s="308"/>
      <c r="K102" s="309"/>
      <c r="L102" s="93"/>
      <c r="M102" s="93"/>
    </row>
    <row r="103" spans="3:13" ht="24" x14ac:dyDescent="0.2">
      <c r="C103" s="93"/>
      <c r="D103" s="195"/>
      <c r="E103" s="99" t="s">
        <v>501</v>
      </c>
      <c r="F103" s="100">
        <v>47.2</v>
      </c>
      <c r="G103" s="100" t="s">
        <v>509</v>
      </c>
      <c r="H103" s="101">
        <v>46.8</v>
      </c>
      <c r="I103" s="307"/>
      <c r="J103" s="308"/>
      <c r="K103" s="309"/>
      <c r="L103" s="93"/>
      <c r="M103" s="93"/>
    </row>
    <row r="104" spans="3:13" ht="24" x14ac:dyDescent="0.2">
      <c r="C104" s="93"/>
      <c r="D104" s="195"/>
      <c r="E104" s="99" t="s">
        <v>504</v>
      </c>
      <c r="F104" s="100">
        <v>46.8</v>
      </c>
      <c r="G104" s="100" t="s">
        <v>510</v>
      </c>
      <c r="H104" s="101">
        <v>48.5</v>
      </c>
      <c r="I104" s="307"/>
      <c r="J104" s="308"/>
      <c r="K104" s="309"/>
      <c r="L104" s="93"/>
      <c r="M104" s="93"/>
    </row>
    <row r="105" spans="3:13" ht="24" x14ac:dyDescent="0.2">
      <c r="C105" s="93"/>
      <c r="D105" s="195"/>
      <c r="E105" s="99" t="s">
        <v>507</v>
      </c>
      <c r="F105" s="100">
        <v>48.5</v>
      </c>
      <c r="G105" s="100" t="s">
        <v>511</v>
      </c>
      <c r="H105" s="101">
        <v>48.7</v>
      </c>
      <c r="I105" s="307"/>
      <c r="J105" s="308"/>
      <c r="K105" s="309"/>
      <c r="L105" s="93"/>
      <c r="M105" s="93"/>
    </row>
    <row r="106" spans="3:13" ht="24" x14ac:dyDescent="0.2">
      <c r="C106" s="93"/>
      <c r="D106" s="195"/>
      <c r="E106" s="99" t="s">
        <v>512</v>
      </c>
      <c r="F106" s="100">
        <v>48.7</v>
      </c>
      <c r="G106" s="100" t="s">
        <v>513</v>
      </c>
      <c r="H106" s="101">
        <v>49.2</v>
      </c>
      <c r="I106" s="307"/>
      <c r="J106" s="308"/>
      <c r="K106" s="309"/>
      <c r="L106" s="93"/>
      <c r="M106" s="93"/>
    </row>
    <row r="107" spans="3:13" ht="24" x14ac:dyDescent="0.2">
      <c r="C107" s="93"/>
      <c r="D107" s="195"/>
      <c r="E107" s="99" t="s">
        <v>514</v>
      </c>
      <c r="F107" s="100">
        <v>49.2</v>
      </c>
      <c r="G107" s="100" t="s">
        <v>515</v>
      </c>
      <c r="H107" s="101">
        <v>50.3</v>
      </c>
      <c r="I107" s="307"/>
      <c r="J107" s="308"/>
      <c r="K107" s="309"/>
      <c r="L107" s="93"/>
      <c r="M107" s="93"/>
    </row>
    <row r="108" spans="3:13" ht="25" thickBot="1" x14ac:dyDescent="0.25">
      <c r="C108" s="93"/>
      <c r="D108" s="195"/>
      <c r="E108" s="102" t="s">
        <v>516</v>
      </c>
      <c r="F108" s="103">
        <v>50.3</v>
      </c>
      <c r="G108" s="103" t="s">
        <v>517</v>
      </c>
      <c r="H108" s="104">
        <v>47.8</v>
      </c>
      <c r="I108" s="310"/>
      <c r="J108" s="311"/>
      <c r="K108" s="312"/>
      <c r="L108" s="93"/>
      <c r="M108" s="93"/>
    </row>
    <row r="109" spans="3:13" ht="24" x14ac:dyDescent="0.2">
      <c r="C109" s="93"/>
      <c r="D109" s="89" t="s">
        <v>105</v>
      </c>
      <c r="E109" s="90" t="s">
        <v>30</v>
      </c>
      <c r="F109" s="378" t="s">
        <v>518</v>
      </c>
      <c r="G109" s="379"/>
      <c r="H109" s="380"/>
      <c r="I109" s="381" t="s">
        <v>400</v>
      </c>
      <c r="J109" s="382"/>
      <c r="K109" s="383"/>
      <c r="L109" s="93"/>
      <c r="M109" s="93"/>
    </row>
    <row r="110" spans="3:13" ht="24" x14ac:dyDescent="0.2">
      <c r="C110" s="93"/>
      <c r="D110" s="195"/>
      <c r="E110" s="92" t="s">
        <v>432</v>
      </c>
      <c r="F110" s="384"/>
      <c r="G110" s="385"/>
      <c r="H110" s="386"/>
      <c r="I110" s="307"/>
      <c r="J110" s="308"/>
      <c r="K110" s="309"/>
      <c r="L110" s="93"/>
      <c r="M110" s="93"/>
    </row>
    <row r="111" spans="3:13" ht="24" x14ac:dyDescent="0.2">
      <c r="C111" s="93"/>
      <c r="D111" s="195"/>
      <c r="E111" s="92" t="s">
        <v>433</v>
      </c>
      <c r="F111" s="366">
        <v>53.7</v>
      </c>
      <c r="G111" s="367"/>
      <c r="H111" s="368"/>
      <c r="I111" s="307"/>
      <c r="J111" s="308"/>
      <c r="K111" s="309"/>
      <c r="L111" s="93"/>
      <c r="M111" s="93"/>
    </row>
    <row r="112" spans="3:13" ht="24" x14ac:dyDescent="0.2">
      <c r="C112" s="93"/>
      <c r="D112" s="195"/>
      <c r="E112" s="92" t="s">
        <v>434</v>
      </c>
      <c r="F112" s="366">
        <v>54</v>
      </c>
      <c r="G112" s="367"/>
      <c r="H112" s="368"/>
      <c r="I112" s="307"/>
      <c r="J112" s="308"/>
      <c r="K112" s="309"/>
      <c r="L112" s="95"/>
      <c r="M112" s="93"/>
    </row>
    <row r="113" spans="3:13" ht="25" thickBot="1" x14ac:dyDescent="0.25">
      <c r="C113" s="93"/>
      <c r="D113" s="195"/>
      <c r="E113" s="94" t="s">
        <v>435</v>
      </c>
      <c r="F113" s="360">
        <v>0.58333333333333337</v>
      </c>
      <c r="G113" s="361"/>
      <c r="H113" s="362"/>
      <c r="I113" s="307"/>
      <c r="J113" s="308"/>
      <c r="K113" s="309"/>
      <c r="L113" s="95">
        <f>F113+TIME(5,30,0)</f>
        <v>0.8125</v>
      </c>
      <c r="M113" s="95">
        <f>L113-TIME(2,30,0)</f>
        <v>0.70833333333333337</v>
      </c>
    </row>
    <row r="114" spans="3:13" ht="25" thickBot="1" x14ac:dyDescent="0.25">
      <c r="C114" s="93"/>
      <c r="D114" s="195"/>
      <c r="E114" s="96" t="s">
        <v>436</v>
      </c>
      <c r="F114" s="97" t="s">
        <v>29</v>
      </c>
      <c r="G114" s="97" t="s">
        <v>28</v>
      </c>
      <c r="H114" s="98" t="s">
        <v>27</v>
      </c>
      <c r="I114" s="307"/>
      <c r="J114" s="308"/>
      <c r="K114" s="309"/>
      <c r="L114" s="93"/>
      <c r="M114" s="93"/>
    </row>
    <row r="115" spans="3:13" ht="24" x14ac:dyDescent="0.2">
      <c r="C115" s="93"/>
      <c r="D115" s="195"/>
      <c r="E115" s="99" t="s">
        <v>501</v>
      </c>
      <c r="F115" s="109">
        <v>54</v>
      </c>
      <c r="G115" s="109" t="s">
        <v>519</v>
      </c>
      <c r="H115" s="110">
        <v>52.9</v>
      </c>
      <c r="I115" s="307"/>
      <c r="J115" s="308"/>
      <c r="K115" s="309"/>
      <c r="L115" s="93"/>
      <c r="M115" s="93"/>
    </row>
    <row r="116" spans="3:13" ht="24" x14ac:dyDescent="0.2">
      <c r="C116" s="93"/>
      <c r="D116" s="195"/>
      <c r="E116" s="99" t="s">
        <v>504</v>
      </c>
      <c r="F116" s="109">
        <v>52.9</v>
      </c>
      <c r="G116" s="109" t="s">
        <v>520</v>
      </c>
      <c r="H116" s="110">
        <v>52.1</v>
      </c>
      <c r="I116" s="307"/>
      <c r="J116" s="308"/>
      <c r="K116" s="309"/>
      <c r="L116" s="93"/>
      <c r="M116" s="93"/>
    </row>
    <row r="117" spans="3:13" ht="24" x14ac:dyDescent="0.2">
      <c r="C117" s="93"/>
      <c r="D117" s="195"/>
      <c r="E117" s="99" t="s">
        <v>507</v>
      </c>
      <c r="F117" s="109">
        <v>52.1</v>
      </c>
      <c r="G117" s="109" t="s">
        <v>521</v>
      </c>
      <c r="H117" s="110">
        <v>57</v>
      </c>
      <c r="I117" s="307"/>
      <c r="J117" s="308"/>
      <c r="K117" s="309"/>
      <c r="L117" s="93"/>
      <c r="M117" s="93"/>
    </row>
    <row r="118" spans="3:13" ht="24" x14ac:dyDescent="0.2">
      <c r="C118" s="93"/>
      <c r="D118" s="195"/>
      <c r="E118" s="99" t="s">
        <v>512</v>
      </c>
      <c r="F118" s="109">
        <v>57</v>
      </c>
      <c r="G118" s="109" t="s">
        <v>522</v>
      </c>
      <c r="H118" s="110">
        <v>60.9</v>
      </c>
      <c r="I118" s="307"/>
      <c r="J118" s="308"/>
      <c r="K118" s="309"/>
      <c r="L118" s="93"/>
      <c r="M118" s="93"/>
    </row>
    <row r="119" spans="3:13" ht="24" x14ac:dyDescent="0.2">
      <c r="C119" s="93"/>
      <c r="D119" s="195"/>
      <c r="E119" s="99" t="s">
        <v>514</v>
      </c>
      <c r="F119" s="109">
        <v>60.9</v>
      </c>
      <c r="G119" s="109" t="s">
        <v>523</v>
      </c>
      <c r="H119" s="110">
        <v>55.8</v>
      </c>
      <c r="I119" s="307"/>
      <c r="J119" s="308"/>
      <c r="K119" s="309"/>
      <c r="L119" s="93"/>
      <c r="M119" s="93"/>
    </row>
    <row r="120" spans="3:13" ht="25" thickBot="1" x14ac:dyDescent="0.25">
      <c r="C120" s="93"/>
      <c r="D120" s="195"/>
      <c r="E120" s="102" t="s">
        <v>516</v>
      </c>
      <c r="F120" s="111">
        <v>55.8</v>
      </c>
      <c r="G120" s="111" t="s">
        <v>524</v>
      </c>
      <c r="H120" s="112">
        <v>52.5</v>
      </c>
      <c r="I120" s="310"/>
      <c r="J120" s="311"/>
      <c r="K120" s="312"/>
      <c r="L120" s="93"/>
      <c r="M120" s="93"/>
    </row>
    <row r="121" spans="3:13" ht="24" x14ac:dyDescent="0.2">
      <c r="C121" s="93"/>
      <c r="D121" s="89" t="s">
        <v>105</v>
      </c>
      <c r="E121" s="90" t="s">
        <v>30</v>
      </c>
      <c r="F121" s="378" t="s">
        <v>525</v>
      </c>
      <c r="G121" s="379"/>
      <c r="H121" s="380"/>
      <c r="I121" s="381" t="s">
        <v>404</v>
      </c>
      <c r="J121" s="382"/>
      <c r="K121" s="383"/>
      <c r="L121" s="93"/>
      <c r="M121" s="93"/>
    </row>
    <row r="122" spans="3:13" ht="24" x14ac:dyDescent="0.2">
      <c r="C122" s="93"/>
      <c r="D122" s="195"/>
      <c r="E122" s="92" t="s">
        <v>432</v>
      </c>
      <c r="F122" s="384"/>
      <c r="G122" s="385"/>
      <c r="H122" s="386"/>
      <c r="I122" s="307"/>
      <c r="J122" s="308"/>
      <c r="K122" s="309"/>
      <c r="L122" s="93"/>
      <c r="M122" s="93"/>
    </row>
    <row r="123" spans="3:13" ht="24" x14ac:dyDescent="0.2">
      <c r="C123" s="93"/>
      <c r="D123" s="195"/>
      <c r="E123" s="92" t="s">
        <v>433</v>
      </c>
      <c r="F123" s="366" t="s">
        <v>402</v>
      </c>
      <c r="G123" s="367"/>
      <c r="H123" s="368"/>
      <c r="I123" s="307"/>
      <c r="J123" s="308"/>
      <c r="K123" s="309"/>
      <c r="L123" s="93"/>
      <c r="M123" s="93"/>
    </row>
    <row r="124" spans="3:13" ht="24" x14ac:dyDescent="0.2">
      <c r="C124" s="93"/>
      <c r="D124" s="195"/>
      <c r="E124" s="92" t="s">
        <v>434</v>
      </c>
      <c r="F124" s="366" t="s">
        <v>403</v>
      </c>
      <c r="G124" s="367"/>
      <c r="H124" s="368"/>
      <c r="I124" s="307"/>
      <c r="J124" s="308"/>
      <c r="K124" s="309"/>
      <c r="L124" s="95"/>
      <c r="M124" s="93"/>
    </row>
    <row r="125" spans="3:13" ht="25" thickBot="1" x14ac:dyDescent="0.25">
      <c r="C125" s="93"/>
      <c r="D125" s="195"/>
      <c r="E125" s="94" t="s">
        <v>435</v>
      </c>
      <c r="F125" s="360">
        <v>0.58333333333333337</v>
      </c>
      <c r="G125" s="361"/>
      <c r="H125" s="362"/>
      <c r="I125" s="307"/>
      <c r="J125" s="308"/>
      <c r="K125" s="309"/>
      <c r="L125" s="95">
        <f>F125+TIME(5,30,0)</f>
        <v>0.8125</v>
      </c>
      <c r="M125" s="95">
        <f>L125-TIME(2,30,0)</f>
        <v>0.70833333333333337</v>
      </c>
    </row>
    <row r="126" spans="3:13" ht="25" thickBot="1" x14ac:dyDescent="0.25">
      <c r="C126" s="93"/>
      <c r="D126" s="195"/>
      <c r="E126" s="96" t="s">
        <v>436</v>
      </c>
      <c r="F126" s="97" t="s">
        <v>29</v>
      </c>
      <c r="G126" s="97" t="s">
        <v>28</v>
      </c>
      <c r="H126" s="98" t="s">
        <v>27</v>
      </c>
      <c r="I126" s="307"/>
      <c r="J126" s="308"/>
      <c r="K126" s="309"/>
      <c r="L126" s="93"/>
      <c r="M126" s="93"/>
    </row>
    <row r="127" spans="3:13" ht="24" x14ac:dyDescent="0.2">
      <c r="C127" s="93"/>
      <c r="D127" s="195"/>
      <c r="E127" s="99" t="s">
        <v>526</v>
      </c>
      <c r="F127" s="100" t="s">
        <v>403</v>
      </c>
      <c r="G127" s="100" t="s">
        <v>527</v>
      </c>
      <c r="H127" s="101" t="s">
        <v>528</v>
      </c>
      <c r="I127" s="307"/>
      <c r="J127" s="308"/>
      <c r="K127" s="309"/>
      <c r="L127" s="93"/>
      <c r="M127" s="93"/>
    </row>
    <row r="128" spans="3:13" ht="24" x14ac:dyDescent="0.2">
      <c r="C128" s="93"/>
      <c r="D128" s="195"/>
      <c r="E128" s="99" t="s">
        <v>529</v>
      </c>
      <c r="F128" s="100" t="s">
        <v>279</v>
      </c>
      <c r="G128" s="100" t="s">
        <v>530</v>
      </c>
      <c r="H128" s="101" t="s">
        <v>531</v>
      </c>
      <c r="I128" s="307"/>
      <c r="J128" s="308"/>
      <c r="K128" s="309"/>
      <c r="L128" s="93"/>
      <c r="M128" s="93"/>
    </row>
    <row r="129" spans="3:13" ht="24" x14ac:dyDescent="0.2">
      <c r="C129" s="93"/>
      <c r="D129" s="195"/>
      <c r="E129" s="99" t="s">
        <v>482</v>
      </c>
      <c r="F129" s="100" t="s">
        <v>111</v>
      </c>
      <c r="G129" s="100" t="s">
        <v>532</v>
      </c>
      <c r="H129" s="101" t="s">
        <v>533</v>
      </c>
      <c r="I129" s="307"/>
      <c r="J129" s="308"/>
      <c r="K129" s="309"/>
      <c r="L129" s="93"/>
      <c r="M129" s="93"/>
    </row>
    <row r="130" spans="3:13" ht="24" x14ac:dyDescent="0.2">
      <c r="C130" s="93"/>
      <c r="D130" s="195"/>
      <c r="E130" s="99" t="s">
        <v>534</v>
      </c>
      <c r="F130" s="100" t="s">
        <v>18</v>
      </c>
      <c r="G130" s="100" t="s">
        <v>535</v>
      </c>
      <c r="H130" s="101" t="s">
        <v>536</v>
      </c>
      <c r="I130" s="307"/>
      <c r="J130" s="308"/>
      <c r="K130" s="309"/>
      <c r="L130" s="93"/>
      <c r="M130" s="93"/>
    </row>
    <row r="131" spans="3:13" ht="24" x14ac:dyDescent="0.2">
      <c r="C131" s="93"/>
      <c r="D131" s="195"/>
      <c r="E131" s="99" t="s">
        <v>514</v>
      </c>
      <c r="F131" s="100" t="s">
        <v>537</v>
      </c>
      <c r="G131" s="100" t="s">
        <v>538</v>
      </c>
      <c r="H131" s="101" t="s">
        <v>539</v>
      </c>
      <c r="I131" s="307"/>
      <c r="J131" s="308"/>
      <c r="K131" s="309"/>
      <c r="L131" s="93"/>
      <c r="M131" s="93"/>
    </row>
    <row r="132" spans="3:13" ht="25" thickBot="1" x14ac:dyDescent="0.25">
      <c r="C132" s="93"/>
      <c r="D132" s="195"/>
      <c r="E132" s="102" t="s">
        <v>540</v>
      </c>
      <c r="F132" s="103" t="s">
        <v>541</v>
      </c>
      <c r="G132" s="103" t="s">
        <v>542</v>
      </c>
      <c r="H132" s="104" t="s">
        <v>543</v>
      </c>
      <c r="I132" s="310"/>
      <c r="J132" s="311"/>
      <c r="K132" s="312"/>
      <c r="L132" s="93"/>
      <c r="M132" s="93"/>
    </row>
    <row r="133" spans="3:13" ht="24" x14ac:dyDescent="0.2">
      <c r="C133" s="93"/>
      <c r="D133" s="89" t="s">
        <v>105</v>
      </c>
      <c r="E133" s="90" t="s">
        <v>30</v>
      </c>
      <c r="F133" s="378" t="s">
        <v>544</v>
      </c>
      <c r="G133" s="379"/>
      <c r="H133" s="380"/>
      <c r="I133" s="381" t="s">
        <v>408</v>
      </c>
      <c r="J133" s="382"/>
      <c r="K133" s="383"/>
      <c r="L133" s="93"/>
      <c r="M133" s="93"/>
    </row>
    <row r="134" spans="3:13" ht="24" x14ac:dyDescent="0.2">
      <c r="C134" s="93"/>
      <c r="D134" s="195"/>
      <c r="E134" s="92" t="s">
        <v>432</v>
      </c>
      <c r="F134" s="384"/>
      <c r="G134" s="385"/>
      <c r="H134" s="386"/>
      <c r="I134" s="307"/>
      <c r="J134" s="308"/>
      <c r="K134" s="309"/>
      <c r="L134" s="93"/>
      <c r="M134" s="93"/>
    </row>
    <row r="135" spans="3:13" ht="24" x14ac:dyDescent="0.2">
      <c r="C135" s="93"/>
      <c r="D135" s="195"/>
      <c r="E135" s="92" t="s">
        <v>433</v>
      </c>
      <c r="F135" s="366" t="s">
        <v>406</v>
      </c>
      <c r="G135" s="367"/>
      <c r="H135" s="368"/>
      <c r="I135" s="307"/>
      <c r="J135" s="308"/>
      <c r="K135" s="309"/>
      <c r="L135" s="93"/>
      <c r="M135" s="93"/>
    </row>
    <row r="136" spans="3:13" ht="24" x14ac:dyDescent="0.2">
      <c r="C136" s="93"/>
      <c r="D136" s="195"/>
      <c r="E136" s="92" t="s">
        <v>434</v>
      </c>
      <c r="F136" s="366" t="s">
        <v>407</v>
      </c>
      <c r="G136" s="367"/>
      <c r="H136" s="368"/>
      <c r="I136" s="307"/>
      <c r="J136" s="308"/>
      <c r="K136" s="309"/>
      <c r="L136" s="95"/>
      <c r="M136" s="93"/>
    </row>
    <row r="137" spans="3:13" ht="25" thickBot="1" x14ac:dyDescent="0.25">
      <c r="C137" s="93"/>
      <c r="D137" s="195"/>
      <c r="E137" s="94" t="s">
        <v>435</v>
      </c>
      <c r="F137" s="360">
        <v>0.51041666666666663</v>
      </c>
      <c r="G137" s="361"/>
      <c r="H137" s="362"/>
      <c r="I137" s="307"/>
      <c r="J137" s="308"/>
      <c r="K137" s="309"/>
      <c r="L137" s="95">
        <f>F137+TIME(5,30,0)</f>
        <v>0.73958333333333326</v>
      </c>
      <c r="M137" s="95">
        <f>L137-TIME(2,30,0)</f>
        <v>0.63541666666666663</v>
      </c>
    </row>
    <row r="138" spans="3:13" ht="25" thickBot="1" x14ac:dyDescent="0.25">
      <c r="C138" s="93"/>
      <c r="D138" s="195"/>
      <c r="E138" s="96" t="s">
        <v>436</v>
      </c>
      <c r="F138" s="97" t="s">
        <v>29</v>
      </c>
      <c r="G138" s="97" t="s">
        <v>28</v>
      </c>
      <c r="H138" s="98" t="s">
        <v>27</v>
      </c>
      <c r="I138" s="307"/>
      <c r="J138" s="308"/>
      <c r="K138" s="309"/>
      <c r="L138" s="93"/>
      <c r="M138" s="93"/>
    </row>
    <row r="139" spans="3:13" ht="24" x14ac:dyDescent="0.2">
      <c r="C139" s="93"/>
      <c r="D139" s="195"/>
      <c r="E139" s="99" t="s">
        <v>545</v>
      </c>
      <c r="F139" s="100" t="s">
        <v>407</v>
      </c>
      <c r="G139" s="100" t="s">
        <v>546</v>
      </c>
      <c r="H139" s="101" t="s">
        <v>547</v>
      </c>
      <c r="I139" s="307"/>
      <c r="J139" s="308"/>
      <c r="K139" s="309"/>
      <c r="L139" s="93"/>
      <c r="M139" s="93"/>
    </row>
    <row r="140" spans="3:13" ht="24" x14ac:dyDescent="0.2">
      <c r="C140" s="93"/>
      <c r="D140" s="195"/>
      <c r="E140" s="99" t="s">
        <v>439</v>
      </c>
      <c r="F140" s="100" t="s">
        <v>282</v>
      </c>
      <c r="G140" s="100" t="s">
        <v>548</v>
      </c>
      <c r="H140" s="101" t="s">
        <v>292</v>
      </c>
      <c r="I140" s="307"/>
      <c r="J140" s="308"/>
      <c r="K140" s="309"/>
      <c r="L140" s="93"/>
      <c r="M140" s="93"/>
    </row>
    <row r="141" spans="3:13" ht="24" x14ac:dyDescent="0.2">
      <c r="C141" s="93"/>
      <c r="D141" s="195"/>
      <c r="E141" s="99" t="s">
        <v>549</v>
      </c>
      <c r="F141" s="100" t="s">
        <v>122</v>
      </c>
      <c r="G141" s="100" t="s">
        <v>550</v>
      </c>
      <c r="H141" s="101" t="s">
        <v>551</v>
      </c>
      <c r="I141" s="307"/>
      <c r="J141" s="308"/>
      <c r="K141" s="309"/>
      <c r="L141" s="93"/>
      <c r="M141" s="93"/>
    </row>
    <row r="142" spans="3:13" ht="24" x14ac:dyDescent="0.2">
      <c r="C142" s="93"/>
      <c r="D142" s="195"/>
      <c r="E142" s="99" t="s">
        <v>552</v>
      </c>
      <c r="F142" s="100" t="s">
        <v>15</v>
      </c>
      <c r="G142" s="100" t="s">
        <v>553</v>
      </c>
      <c r="H142" s="101" t="s">
        <v>554</v>
      </c>
      <c r="I142" s="307"/>
      <c r="J142" s="308"/>
      <c r="K142" s="309"/>
      <c r="L142" s="93"/>
      <c r="M142" s="93"/>
    </row>
    <row r="143" spans="3:13" ht="24" x14ac:dyDescent="0.2">
      <c r="C143" s="93"/>
      <c r="D143" s="195"/>
      <c r="E143" s="99" t="s">
        <v>514</v>
      </c>
      <c r="F143" s="100" t="s">
        <v>555</v>
      </c>
      <c r="G143" s="100" t="s">
        <v>556</v>
      </c>
      <c r="H143" s="101" t="s">
        <v>557</v>
      </c>
      <c r="I143" s="307"/>
      <c r="J143" s="308"/>
      <c r="K143" s="309"/>
      <c r="L143" s="93"/>
      <c r="M143" s="93"/>
    </row>
    <row r="144" spans="3:13" ht="25" thickBot="1" x14ac:dyDescent="0.25">
      <c r="C144" s="93"/>
      <c r="D144" s="195"/>
      <c r="E144" s="102" t="s">
        <v>558</v>
      </c>
      <c r="F144" s="103" t="s">
        <v>559</v>
      </c>
      <c r="G144" s="103" t="s">
        <v>560</v>
      </c>
      <c r="H144" s="104" t="s">
        <v>292</v>
      </c>
      <c r="I144" s="310"/>
      <c r="J144" s="311"/>
      <c r="K144" s="312"/>
      <c r="L144" s="93"/>
      <c r="M144" s="93"/>
    </row>
    <row r="145" spans="3:13" ht="24" x14ac:dyDescent="0.2">
      <c r="C145" s="93"/>
      <c r="D145" s="89" t="s">
        <v>105</v>
      </c>
      <c r="E145" s="90" t="s">
        <v>30</v>
      </c>
      <c r="F145" s="378" t="s">
        <v>561</v>
      </c>
      <c r="G145" s="379"/>
      <c r="H145" s="380"/>
      <c r="I145" s="381" t="s">
        <v>562</v>
      </c>
      <c r="J145" s="382"/>
      <c r="K145" s="383"/>
      <c r="L145" s="93"/>
      <c r="M145" s="93"/>
    </row>
    <row r="146" spans="3:13" ht="24" x14ac:dyDescent="0.2">
      <c r="C146" s="93"/>
      <c r="D146" s="195"/>
      <c r="E146" s="92" t="s">
        <v>432</v>
      </c>
      <c r="F146" s="384"/>
      <c r="G146" s="385"/>
      <c r="H146" s="386"/>
      <c r="I146" s="307"/>
      <c r="J146" s="308"/>
      <c r="K146" s="309"/>
      <c r="L146" s="93"/>
      <c r="M146" s="93"/>
    </row>
    <row r="147" spans="3:13" ht="24" x14ac:dyDescent="0.2">
      <c r="C147" s="93"/>
      <c r="D147" s="195"/>
      <c r="E147" s="92" t="s">
        <v>433</v>
      </c>
      <c r="F147" s="366"/>
      <c r="G147" s="367"/>
      <c r="H147" s="368"/>
      <c r="I147" s="307"/>
      <c r="J147" s="308"/>
      <c r="K147" s="309"/>
      <c r="L147" s="93"/>
      <c r="M147" s="93"/>
    </row>
    <row r="148" spans="3:13" ht="24" x14ac:dyDescent="0.2">
      <c r="C148" s="93"/>
      <c r="D148" s="195"/>
      <c r="E148" s="92" t="s">
        <v>434</v>
      </c>
      <c r="F148" s="366" t="s">
        <v>380</v>
      </c>
      <c r="G148" s="367"/>
      <c r="H148" s="368"/>
      <c r="I148" s="307"/>
      <c r="J148" s="308"/>
      <c r="K148" s="309"/>
      <c r="L148" s="95"/>
      <c r="M148" s="93"/>
    </row>
    <row r="149" spans="3:13" ht="25" thickBot="1" x14ac:dyDescent="0.25">
      <c r="C149" s="93"/>
      <c r="D149" s="195"/>
      <c r="E149" s="94" t="s">
        <v>435</v>
      </c>
      <c r="F149" s="360">
        <v>0.60416666666666663</v>
      </c>
      <c r="G149" s="361"/>
      <c r="H149" s="362"/>
      <c r="I149" s="307"/>
      <c r="J149" s="308"/>
      <c r="K149" s="309"/>
      <c r="L149" s="95">
        <f>F149+TIME(5,30,0)</f>
        <v>0.83333333333333326</v>
      </c>
      <c r="M149" s="95">
        <f>L149-TIME(2,30,0)</f>
        <v>0.72916666666666663</v>
      </c>
    </row>
    <row r="150" spans="3:13" ht="25" thickBot="1" x14ac:dyDescent="0.25">
      <c r="C150" s="93"/>
      <c r="D150" s="195"/>
      <c r="E150" s="96" t="s">
        <v>436</v>
      </c>
      <c r="F150" s="97" t="s">
        <v>29</v>
      </c>
      <c r="G150" s="97" t="s">
        <v>28</v>
      </c>
      <c r="H150" s="98" t="s">
        <v>27</v>
      </c>
      <c r="I150" s="307"/>
      <c r="J150" s="308"/>
      <c r="K150" s="309"/>
      <c r="L150" s="93"/>
      <c r="M150" s="93"/>
    </row>
    <row r="151" spans="3:13" ht="24" x14ac:dyDescent="0.2">
      <c r="C151" s="93"/>
      <c r="D151" s="195"/>
      <c r="E151" s="99" t="s">
        <v>563</v>
      </c>
      <c r="F151" s="100" t="s">
        <v>380</v>
      </c>
      <c r="G151" s="100" t="s">
        <v>564</v>
      </c>
      <c r="H151" s="101" t="s">
        <v>337</v>
      </c>
      <c r="I151" s="307"/>
      <c r="J151" s="308"/>
      <c r="K151" s="309"/>
      <c r="L151" s="93"/>
      <c r="M151" s="93"/>
    </row>
    <row r="152" spans="3:13" ht="24" x14ac:dyDescent="0.2">
      <c r="C152" s="93"/>
      <c r="D152" s="195"/>
      <c r="E152" s="99" t="s">
        <v>489</v>
      </c>
      <c r="F152" s="100" t="s">
        <v>337</v>
      </c>
      <c r="G152" s="100" t="s">
        <v>565</v>
      </c>
      <c r="H152" s="101" t="s">
        <v>339</v>
      </c>
      <c r="I152" s="307"/>
      <c r="J152" s="308"/>
      <c r="K152" s="309"/>
      <c r="L152" s="93"/>
      <c r="M152" s="93"/>
    </row>
    <row r="153" spans="3:13" ht="24" x14ac:dyDescent="0.2">
      <c r="C153" s="93"/>
      <c r="D153" s="195"/>
      <c r="E153" s="99" t="s">
        <v>566</v>
      </c>
      <c r="F153" s="100" t="s">
        <v>339</v>
      </c>
      <c r="G153" s="100" t="s">
        <v>567</v>
      </c>
      <c r="H153" s="101" t="s">
        <v>312</v>
      </c>
      <c r="I153" s="307"/>
      <c r="J153" s="308"/>
      <c r="K153" s="309"/>
      <c r="L153" s="93"/>
      <c r="M153" s="93"/>
    </row>
    <row r="154" spans="3:13" ht="24" x14ac:dyDescent="0.2">
      <c r="C154" s="93"/>
      <c r="D154" s="195"/>
      <c r="E154" s="99" t="s">
        <v>545</v>
      </c>
      <c r="F154" s="100" t="s">
        <v>312</v>
      </c>
      <c r="G154" s="100" t="s">
        <v>568</v>
      </c>
      <c r="H154" s="101" t="s">
        <v>267</v>
      </c>
      <c r="I154" s="307"/>
      <c r="J154" s="308"/>
      <c r="K154" s="309"/>
      <c r="L154" s="93"/>
      <c r="M154" s="93"/>
    </row>
    <row r="155" spans="3:13" ht="24" x14ac:dyDescent="0.2">
      <c r="C155" s="93"/>
      <c r="D155" s="195"/>
      <c r="E155" s="99" t="s">
        <v>569</v>
      </c>
      <c r="F155" s="100" t="s">
        <v>267</v>
      </c>
      <c r="G155" s="100" t="s">
        <v>570</v>
      </c>
      <c r="H155" s="101" t="s">
        <v>218</v>
      </c>
      <c r="I155" s="307"/>
      <c r="J155" s="308"/>
      <c r="K155" s="309"/>
      <c r="L155" s="93"/>
      <c r="M155" s="93"/>
    </row>
    <row r="156" spans="3:13" ht="25" thickBot="1" x14ac:dyDescent="0.25">
      <c r="C156" s="93"/>
      <c r="D156" s="195"/>
      <c r="E156" s="102" t="s">
        <v>571</v>
      </c>
      <c r="F156" s="103" t="s">
        <v>218</v>
      </c>
      <c r="G156" s="103" t="s">
        <v>572</v>
      </c>
      <c r="H156" s="104" t="s">
        <v>220</v>
      </c>
      <c r="I156" s="310"/>
      <c r="J156" s="311"/>
      <c r="K156" s="312"/>
      <c r="L156" s="93"/>
      <c r="M156" s="93"/>
    </row>
    <row r="157" spans="3:13" ht="24" x14ac:dyDescent="0.2">
      <c r="C157" s="93"/>
      <c r="D157" s="89" t="s">
        <v>105</v>
      </c>
      <c r="E157" s="90" t="s">
        <v>30</v>
      </c>
      <c r="F157" s="378" t="s">
        <v>573</v>
      </c>
      <c r="G157" s="379"/>
      <c r="H157" s="380"/>
      <c r="I157" s="381" t="s">
        <v>414</v>
      </c>
      <c r="J157" s="382"/>
      <c r="K157" s="383"/>
      <c r="L157" s="93"/>
      <c r="M157" s="93"/>
    </row>
    <row r="158" spans="3:13" ht="24" x14ac:dyDescent="0.2">
      <c r="C158" s="93"/>
      <c r="D158" s="195"/>
      <c r="E158" s="92" t="s">
        <v>432</v>
      </c>
      <c r="F158" s="384"/>
      <c r="G158" s="385"/>
      <c r="H158" s="386"/>
      <c r="I158" s="307"/>
      <c r="J158" s="308"/>
      <c r="K158" s="309"/>
      <c r="L158" s="93"/>
      <c r="M158" s="93"/>
    </row>
    <row r="159" spans="3:13" ht="24" x14ac:dyDescent="0.2">
      <c r="C159" s="93"/>
      <c r="D159" s="195"/>
      <c r="E159" s="92" t="s">
        <v>433</v>
      </c>
      <c r="F159" s="366" t="s">
        <v>413</v>
      </c>
      <c r="G159" s="367"/>
      <c r="H159" s="368"/>
      <c r="I159" s="307"/>
      <c r="J159" s="308"/>
      <c r="K159" s="309"/>
      <c r="L159" s="93"/>
      <c r="M159" s="93"/>
    </row>
    <row r="160" spans="3:13" ht="24" x14ac:dyDescent="0.2">
      <c r="C160" s="93"/>
      <c r="D160" s="195"/>
      <c r="E160" s="92" t="s">
        <v>434</v>
      </c>
      <c r="F160" s="366" t="s">
        <v>382</v>
      </c>
      <c r="G160" s="367"/>
      <c r="H160" s="368"/>
      <c r="I160" s="307"/>
      <c r="J160" s="308"/>
      <c r="K160" s="309"/>
      <c r="L160" s="93"/>
      <c r="M160" s="93"/>
    </row>
    <row r="161" spans="3:13" ht="25" thickBot="1" x14ac:dyDescent="0.25">
      <c r="C161" s="93"/>
      <c r="D161" s="195"/>
      <c r="E161" s="94" t="s">
        <v>435</v>
      </c>
      <c r="F161" s="360">
        <v>0.52083333333333337</v>
      </c>
      <c r="G161" s="361"/>
      <c r="H161" s="362"/>
      <c r="I161" s="307"/>
      <c r="J161" s="308"/>
      <c r="K161" s="309"/>
      <c r="L161" s="95">
        <f>F161+TIME(5,30,0)</f>
        <v>0.75</v>
      </c>
      <c r="M161" s="95">
        <f>L161-TIME(2,30,0)</f>
        <v>0.64583333333333337</v>
      </c>
    </row>
    <row r="162" spans="3:13" ht="25" thickBot="1" x14ac:dyDescent="0.25">
      <c r="C162" s="93"/>
      <c r="D162" s="195"/>
      <c r="E162" s="96" t="s">
        <v>436</v>
      </c>
      <c r="F162" s="97" t="s">
        <v>29</v>
      </c>
      <c r="G162" s="97" t="s">
        <v>28</v>
      </c>
      <c r="H162" s="98" t="s">
        <v>27</v>
      </c>
      <c r="I162" s="307"/>
      <c r="J162" s="308"/>
      <c r="K162" s="309"/>
      <c r="L162" s="93"/>
      <c r="M162" s="93"/>
    </row>
    <row r="163" spans="3:13" ht="24" x14ac:dyDescent="0.2">
      <c r="C163" s="93"/>
      <c r="D163" s="195"/>
      <c r="E163" s="99" t="s">
        <v>479</v>
      </c>
      <c r="F163" s="100" t="s">
        <v>382</v>
      </c>
      <c r="G163" s="100" t="s">
        <v>574</v>
      </c>
      <c r="H163" s="101" t="s">
        <v>72</v>
      </c>
      <c r="I163" s="307"/>
      <c r="J163" s="308"/>
      <c r="K163" s="309"/>
      <c r="L163" s="93"/>
      <c r="M163" s="93"/>
    </row>
    <row r="164" spans="3:13" ht="24" x14ac:dyDescent="0.2">
      <c r="C164" s="93"/>
      <c r="D164" s="195"/>
      <c r="E164" s="99" t="s">
        <v>575</v>
      </c>
      <c r="F164" s="100" t="s">
        <v>345</v>
      </c>
      <c r="G164" s="100" t="s">
        <v>576</v>
      </c>
      <c r="H164" s="101" t="s">
        <v>268</v>
      </c>
      <c r="I164" s="307"/>
      <c r="J164" s="308"/>
      <c r="K164" s="309"/>
      <c r="L164" s="93"/>
      <c r="M164" s="93"/>
    </row>
    <row r="165" spans="3:13" ht="24" x14ac:dyDescent="0.2">
      <c r="C165" s="93"/>
      <c r="D165" s="195"/>
      <c r="E165" s="99" t="s">
        <v>577</v>
      </c>
      <c r="F165" s="100" t="s">
        <v>330</v>
      </c>
      <c r="G165" s="100" t="s">
        <v>578</v>
      </c>
      <c r="H165" s="101" t="s">
        <v>579</v>
      </c>
      <c r="I165" s="307"/>
      <c r="J165" s="308"/>
      <c r="K165" s="309"/>
      <c r="L165" s="93"/>
      <c r="M165" s="93"/>
    </row>
    <row r="166" spans="3:13" ht="24" x14ac:dyDescent="0.2">
      <c r="C166" s="93"/>
      <c r="D166" s="195"/>
      <c r="E166" s="99" t="s">
        <v>545</v>
      </c>
      <c r="F166" s="100" t="s">
        <v>209</v>
      </c>
      <c r="G166" s="100" t="s">
        <v>580</v>
      </c>
      <c r="H166" s="101" t="s">
        <v>223</v>
      </c>
      <c r="I166" s="307"/>
      <c r="J166" s="308"/>
      <c r="K166" s="309"/>
      <c r="L166" s="93"/>
      <c r="M166" s="93"/>
    </row>
    <row r="167" spans="3:13" ht="24" x14ac:dyDescent="0.2">
      <c r="C167" s="93"/>
      <c r="D167" s="195"/>
      <c r="E167" s="99" t="s">
        <v>581</v>
      </c>
      <c r="F167" s="100" t="s">
        <v>268</v>
      </c>
      <c r="G167" s="100" t="s">
        <v>582</v>
      </c>
      <c r="H167" s="101" t="s">
        <v>13</v>
      </c>
      <c r="I167" s="307"/>
      <c r="J167" s="308"/>
      <c r="K167" s="309"/>
      <c r="L167" s="93"/>
      <c r="M167" s="93"/>
    </row>
    <row r="168" spans="3:13" ht="25" thickBot="1" x14ac:dyDescent="0.25">
      <c r="C168" s="93"/>
      <c r="D168" s="195"/>
      <c r="E168" s="102" t="s">
        <v>583</v>
      </c>
      <c r="F168" s="103" t="s">
        <v>223</v>
      </c>
      <c r="G168" s="103" t="s">
        <v>582</v>
      </c>
      <c r="H168" s="104" t="s">
        <v>579</v>
      </c>
      <c r="I168" s="310"/>
      <c r="J168" s="311"/>
      <c r="K168" s="312"/>
      <c r="L168" s="93"/>
      <c r="M168" s="93"/>
    </row>
    <row r="169" spans="3:13" ht="24" x14ac:dyDescent="0.2">
      <c r="C169" s="93"/>
      <c r="D169" s="89" t="s">
        <v>105</v>
      </c>
      <c r="E169" s="90" t="s">
        <v>30</v>
      </c>
      <c r="F169" s="378" t="s">
        <v>584</v>
      </c>
      <c r="G169" s="379"/>
      <c r="H169" s="380"/>
      <c r="I169" s="381" t="s">
        <v>416</v>
      </c>
      <c r="J169" s="382"/>
      <c r="K169" s="383"/>
      <c r="L169" s="93"/>
      <c r="M169" s="93"/>
    </row>
    <row r="170" spans="3:13" ht="24" x14ac:dyDescent="0.2">
      <c r="C170" s="93"/>
      <c r="D170" s="195"/>
      <c r="E170" s="92" t="s">
        <v>432</v>
      </c>
      <c r="F170" s="384"/>
      <c r="G170" s="385"/>
      <c r="H170" s="386"/>
      <c r="I170" s="307"/>
      <c r="J170" s="308"/>
      <c r="K170" s="309"/>
      <c r="L170" s="93"/>
      <c r="M170" s="93"/>
    </row>
    <row r="171" spans="3:13" ht="24" x14ac:dyDescent="0.2">
      <c r="C171" s="93"/>
      <c r="D171" s="195"/>
      <c r="E171" s="92" t="s">
        <v>433</v>
      </c>
      <c r="F171" s="366">
        <v>55.4</v>
      </c>
      <c r="G171" s="367"/>
      <c r="H171" s="368"/>
      <c r="I171" s="307"/>
      <c r="J171" s="308"/>
      <c r="K171" s="309"/>
      <c r="L171" s="93"/>
      <c r="M171" s="93"/>
    </row>
    <row r="172" spans="3:13" ht="24" x14ac:dyDescent="0.2">
      <c r="C172" s="93"/>
      <c r="D172" s="195"/>
      <c r="E172" s="92" t="s">
        <v>434</v>
      </c>
      <c r="F172" s="366">
        <v>55.4</v>
      </c>
      <c r="G172" s="367"/>
      <c r="H172" s="368"/>
      <c r="I172" s="307"/>
      <c r="J172" s="308"/>
      <c r="K172" s="309"/>
      <c r="L172" s="93"/>
      <c r="M172" s="93"/>
    </row>
    <row r="173" spans="3:13" ht="25" thickBot="1" x14ac:dyDescent="0.25">
      <c r="C173" s="93"/>
      <c r="D173" s="195"/>
      <c r="E173" s="94" t="s">
        <v>435</v>
      </c>
      <c r="F173" s="360">
        <v>0.57291666666666663</v>
      </c>
      <c r="G173" s="361"/>
      <c r="H173" s="362"/>
      <c r="I173" s="307"/>
      <c r="J173" s="308"/>
      <c r="K173" s="309"/>
      <c r="L173" s="95">
        <f>F173+TIME(5,30,0)</f>
        <v>0.80208333333333326</v>
      </c>
      <c r="M173" s="95">
        <f>L173-TIME(2,30,0)</f>
        <v>0.69791666666666663</v>
      </c>
    </row>
    <row r="174" spans="3:13" ht="25" thickBot="1" x14ac:dyDescent="0.25">
      <c r="C174" s="93"/>
      <c r="D174" s="195"/>
      <c r="E174" s="96" t="s">
        <v>436</v>
      </c>
      <c r="F174" s="97" t="s">
        <v>29</v>
      </c>
      <c r="G174" s="97" t="s">
        <v>28</v>
      </c>
      <c r="H174" s="98" t="s">
        <v>27</v>
      </c>
      <c r="I174" s="307"/>
      <c r="J174" s="308"/>
      <c r="K174" s="309"/>
      <c r="L174" s="93"/>
      <c r="M174" s="93"/>
    </row>
    <row r="175" spans="3:13" ht="24" x14ac:dyDescent="0.2">
      <c r="C175" s="93"/>
      <c r="D175" s="195"/>
      <c r="E175" s="99" t="s">
        <v>499</v>
      </c>
      <c r="F175" s="100">
        <v>55.4</v>
      </c>
      <c r="G175" s="100" t="s">
        <v>585</v>
      </c>
      <c r="H175" s="101">
        <v>55.7</v>
      </c>
      <c r="I175" s="307"/>
      <c r="J175" s="308"/>
      <c r="K175" s="309"/>
      <c r="L175" s="93"/>
      <c r="M175" s="93"/>
    </row>
    <row r="176" spans="3:13" ht="24" x14ac:dyDescent="0.2">
      <c r="C176" s="93"/>
      <c r="D176" s="195"/>
      <c r="E176" s="99" t="s">
        <v>545</v>
      </c>
      <c r="F176" s="100">
        <v>55.7</v>
      </c>
      <c r="G176" s="100" t="s">
        <v>586</v>
      </c>
      <c r="H176" s="101">
        <v>55</v>
      </c>
      <c r="I176" s="307"/>
      <c r="J176" s="308"/>
      <c r="K176" s="309"/>
      <c r="L176" s="93"/>
      <c r="M176" s="93"/>
    </row>
    <row r="177" spans="3:13" ht="24" x14ac:dyDescent="0.2">
      <c r="C177" s="93"/>
      <c r="D177" s="195"/>
      <c r="E177" s="99" t="s">
        <v>503</v>
      </c>
      <c r="F177" s="100">
        <v>55.2</v>
      </c>
      <c r="G177" s="100" t="s">
        <v>587</v>
      </c>
      <c r="H177" s="101">
        <v>55</v>
      </c>
      <c r="I177" s="307"/>
      <c r="J177" s="308"/>
      <c r="K177" s="309"/>
      <c r="L177" s="93"/>
      <c r="M177" s="93"/>
    </row>
    <row r="178" spans="3:13" ht="24" x14ac:dyDescent="0.2">
      <c r="C178" s="93"/>
      <c r="D178" s="195"/>
      <c r="E178" s="99" t="s">
        <v>588</v>
      </c>
      <c r="F178" s="100">
        <v>55</v>
      </c>
      <c r="G178" s="100" t="s">
        <v>589</v>
      </c>
      <c r="H178" s="101">
        <v>55.3</v>
      </c>
      <c r="I178" s="307"/>
      <c r="J178" s="308"/>
      <c r="K178" s="309"/>
      <c r="L178" s="93"/>
      <c r="M178" s="93"/>
    </row>
    <row r="179" spans="3:13" ht="24" x14ac:dyDescent="0.2">
      <c r="C179" s="93"/>
      <c r="D179" s="195"/>
      <c r="E179" s="99" t="s">
        <v>505</v>
      </c>
      <c r="F179" s="100">
        <v>56</v>
      </c>
      <c r="G179" s="100" t="s">
        <v>590</v>
      </c>
      <c r="H179" s="101">
        <v>55.3</v>
      </c>
      <c r="I179" s="307"/>
      <c r="J179" s="308"/>
      <c r="K179" s="309"/>
      <c r="L179" s="93"/>
      <c r="M179" s="93"/>
    </row>
    <row r="180" spans="3:13" ht="25" thickBot="1" x14ac:dyDescent="0.25">
      <c r="C180" s="93"/>
      <c r="D180" s="195"/>
      <c r="E180" s="102" t="s">
        <v>549</v>
      </c>
      <c r="F180" s="103">
        <v>55.3</v>
      </c>
      <c r="G180" s="103" t="s">
        <v>591</v>
      </c>
      <c r="H180" s="104">
        <v>54.8</v>
      </c>
      <c r="I180" s="310"/>
      <c r="J180" s="311"/>
      <c r="K180" s="312"/>
      <c r="L180" s="93"/>
      <c r="M180" s="93"/>
    </row>
    <row r="181" spans="3:13" ht="24" x14ac:dyDescent="0.2">
      <c r="C181" s="93"/>
      <c r="D181" s="89" t="s">
        <v>105</v>
      </c>
      <c r="E181" s="90" t="s">
        <v>30</v>
      </c>
      <c r="F181" s="378" t="s">
        <v>592</v>
      </c>
      <c r="G181" s="379"/>
      <c r="H181" s="380"/>
      <c r="I181" s="381" t="s">
        <v>593</v>
      </c>
      <c r="J181" s="382"/>
      <c r="K181" s="383"/>
      <c r="L181" s="93"/>
      <c r="M181" s="93"/>
    </row>
    <row r="182" spans="3:13" ht="24" x14ac:dyDescent="0.2">
      <c r="C182" s="93"/>
      <c r="D182" s="195"/>
      <c r="E182" s="92" t="s">
        <v>432</v>
      </c>
      <c r="F182" s="384"/>
      <c r="G182" s="385"/>
      <c r="H182" s="386"/>
      <c r="I182" s="307"/>
      <c r="J182" s="308"/>
      <c r="K182" s="309"/>
      <c r="L182" s="93"/>
      <c r="M182" s="93"/>
    </row>
    <row r="183" spans="3:13" ht="24" x14ac:dyDescent="0.2">
      <c r="C183" s="93"/>
      <c r="D183" s="195"/>
      <c r="E183" s="92" t="s">
        <v>433</v>
      </c>
      <c r="F183" s="366">
        <v>51.6</v>
      </c>
      <c r="G183" s="367"/>
      <c r="H183" s="368"/>
      <c r="I183" s="307"/>
      <c r="J183" s="308"/>
      <c r="K183" s="309"/>
      <c r="L183" s="93"/>
      <c r="M183" s="93"/>
    </row>
    <row r="184" spans="3:13" ht="24" x14ac:dyDescent="0.2">
      <c r="C184" s="93"/>
      <c r="D184" s="195"/>
      <c r="E184" s="92" t="s">
        <v>434</v>
      </c>
      <c r="F184" s="366">
        <v>51.5</v>
      </c>
      <c r="G184" s="367"/>
      <c r="H184" s="368"/>
      <c r="I184" s="307"/>
      <c r="J184" s="308"/>
      <c r="K184" s="309"/>
      <c r="L184" s="93"/>
      <c r="M184" s="93"/>
    </row>
    <row r="185" spans="3:13" ht="25" thickBot="1" x14ac:dyDescent="0.25">
      <c r="C185" s="93"/>
      <c r="D185" s="195"/>
      <c r="E185" s="94" t="s">
        <v>435</v>
      </c>
      <c r="F185" s="360">
        <v>0.58333333333333337</v>
      </c>
      <c r="G185" s="361"/>
      <c r="H185" s="362"/>
      <c r="I185" s="307"/>
      <c r="J185" s="308"/>
      <c r="K185" s="309"/>
      <c r="L185" s="95">
        <f>L173</f>
        <v>0.80208333333333326</v>
      </c>
      <c r="M185" s="95">
        <f>L185-TIME(2,30,0)</f>
        <v>0.69791666666666663</v>
      </c>
    </row>
    <row r="186" spans="3:13" ht="25" thickBot="1" x14ac:dyDescent="0.25">
      <c r="C186" s="93"/>
      <c r="D186" s="195"/>
      <c r="E186" s="96" t="s">
        <v>436</v>
      </c>
      <c r="F186" s="97" t="s">
        <v>29</v>
      </c>
      <c r="G186" s="97" t="s">
        <v>28</v>
      </c>
      <c r="H186" s="98" t="s">
        <v>27</v>
      </c>
      <c r="I186" s="307"/>
      <c r="J186" s="308"/>
      <c r="K186" s="309"/>
      <c r="L186" s="93"/>
      <c r="M186" s="93"/>
    </row>
    <row r="187" spans="3:13" ht="24" x14ac:dyDescent="0.2">
      <c r="C187" s="93"/>
      <c r="D187" s="195"/>
      <c r="E187" s="99" t="s">
        <v>545</v>
      </c>
      <c r="F187" s="100">
        <v>51.5</v>
      </c>
      <c r="G187" s="100" t="s">
        <v>594</v>
      </c>
      <c r="H187" s="101">
        <v>51.4</v>
      </c>
      <c r="I187" s="307"/>
      <c r="J187" s="308"/>
      <c r="K187" s="309"/>
      <c r="L187" s="93"/>
      <c r="M187" s="93"/>
    </row>
    <row r="188" spans="3:13" ht="24" x14ac:dyDescent="0.2">
      <c r="C188" s="93"/>
      <c r="D188" s="195"/>
      <c r="E188" s="99" t="s">
        <v>588</v>
      </c>
      <c r="F188" s="100">
        <v>51.4</v>
      </c>
      <c r="G188" s="100" t="s">
        <v>595</v>
      </c>
      <c r="H188" s="101">
        <v>48.8</v>
      </c>
      <c r="I188" s="307"/>
      <c r="J188" s="308"/>
      <c r="K188" s="309"/>
      <c r="L188" s="93"/>
      <c r="M188" s="93"/>
    </row>
    <row r="189" spans="3:13" ht="24" x14ac:dyDescent="0.2">
      <c r="C189" s="93"/>
      <c r="D189" s="195"/>
      <c r="E189" s="99" t="s">
        <v>549</v>
      </c>
      <c r="F189" s="100">
        <v>48.8</v>
      </c>
      <c r="G189" s="100" t="s">
        <v>596</v>
      </c>
      <c r="H189" s="101">
        <v>53.8</v>
      </c>
      <c r="I189" s="307"/>
      <c r="J189" s="308"/>
      <c r="K189" s="309"/>
      <c r="L189" s="93"/>
      <c r="M189" s="93"/>
    </row>
    <row r="190" spans="3:13" ht="24" x14ac:dyDescent="0.2">
      <c r="C190" s="93"/>
      <c r="D190" s="195"/>
      <c r="E190" s="99" t="s">
        <v>552</v>
      </c>
      <c r="F190" s="100">
        <v>53.8</v>
      </c>
      <c r="G190" s="100" t="s">
        <v>597</v>
      </c>
      <c r="H190" s="101">
        <v>49.4</v>
      </c>
      <c r="I190" s="307"/>
      <c r="J190" s="308"/>
      <c r="K190" s="309"/>
      <c r="L190" s="93"/>
      <c r="M190" s="93"/>
    </row>
    <row r="191" spans="3:13" ht="24" x14ac:dyDescent="0.2">
      <c r="C191" s="93"/>
      <c r="D191" s="195"/>
      <c r="E191" s="99" t="s">
        <v>598</v>
      </c>
      <c r="F191" s="100">
        <v>49.4</v>
      </c>
      <c r="G191" s="100" t="s">
        <v>599</v>
      </c>
      <c r="H191" s="101">
        <v>51.4</v>
      </c>
      <c r="I191" s="307"/>
      <c r="J191" s="308"/>
      <c r="K191" s="309"/>
      <c r="L191" s="93"/>
      <c r="M191" s="93"/>
    </row>
    <row r="192" spans="3:13" ht="25" thickBot="1" x14ac:dyDescent="0.25">
      <c r="C192" s="93"/>
      <c r="D192" s="195"/>
      <c r="E192" s="102" t="s">
        <v>558</v>
      </c>
      <c r="F192" s="103">
        <v>51.4</v>
      </c>
      <c r="G192" s="103" t="s">
        <v>600</v>
      </c>
      <c r="H192" s="104">
        <v>52.6</v>
      </c>
      <c r="I192" s="310"/>
      <c r="J192" s="311"/>
      <c r="K192" s="312"/>
      <c r="L192" s="93"/>
      <c r="M192" s="93"/>
    </row>
    <row r="193" spans="3:13" ht="24" x14ac:dyDescent="0.2">
      <c r="C193" s="93"/>
      <c r="D193" s="89" t="s">
        <v>105</v>
      </c>
      <c r="E193" s="90" t="s">
        <v>30</v>
      </c>
      <c r="F193" s="378" t="s">
        <v>601</v>
      </c>
      <c r="G193" s="379"/>
      <c r="H193" s="380"/>
      <c r="I193" s="381" t="s">
        <v>420</v>
      </c>
      <c r="J193" s="382"/>
      <c r="K193" s="383"/>
      <c r="L193" s="93"/>
      <c r="M193" s="93"/>
    </row>
    <row r="194" spans="3:13" ht="24" x14ac:dyDescent="0.2">
      <c r="C194" s="93"/>
      <c r="D194" s="195"/>
      <c r="E194" s="92" t="s">
        <v>432</v>
      </c>
      <c r="F194" s="384"/>
      <c r="G194" s="385"/>
      <c r="H194" s="386"/>
      <c r="I194" s="307"/>
      <c r="J194" s="308"/>
      <c r="K194" s="309"/>
      <c r="L194" s="93"/>
      <c r="M194" s="93"/>
    </row>
    <row r="195" spans="3:13" ht="24" x14ac:dyDescent="0.2">
      <c r="C195" s="93"/>
      <c r="D195" s="195"/>
      <c r="E195" s="92" t="s">
        <v>433</v>
      </c>
      <c r="F195" s="366"/>
      <c r="G195" s="367"/>
      <c r="H195" s="368"/>
      <c r="I195" s="307"/>
      <c r="J195" s="308"/>
      <c r="K195" s="309"/>
      <c r="L195" s="93"/>
      <c r="M195" s="93"/>
    </row>
    <row r="196" spans="3:13" ht="24" x14ac:dyDescent="0.2">
      <c r="C196" s="93"/>
      <c r="D196" s="195"/>
      <c r="E196" s="92" t="s">
        <v>434</v>
      </c>
      <c r="F196" s="366">
        <v>57.3</v>
      </c>
      <c r="G196" s="367"/>
      <c r="H196" s="368"/>
      <c r="I196" s="307"/>
      <c r="J196" s="308"/>
      <c r="K196" s="309"/>
      <c r="L196" s="93"/>
      <c r="M196" s="93"/>
    </row>
    <row r="197" spans="3:13" ht="25" thickBot="1" x14ac:dyDescent="0.25">
      <c r="C197" s="93"/>
      <c r="D197" s="195"/>
      <c r="E197" s="94" t="s">
        <v>435</v>
      </c>
      <c r="F197" s="360">
        <v>0.58333333333333337</v>
      </c>
      <c r="G197" s="361"/>
      <c r="H197" s="362"/>
      <c r="I197" s="307"/>
      <c r="J197" s="308"/>
      <c r="K197" s="309"/>
      <c r="L197" s="95">
        <f>F197+TIME(5,30,0)</f>
        <v>0.8125</v>
      </c>
      <c r="M197" s="95">
        <f>L197-TIME(2,30,0)</f>
        <v>0.70833333333333337</v>
      </c>
    </row>
    <row r="198" spans="3:13" ht="25" thickBot="1" x14ac:dyDescent="0.25">
      <c r="C198" s="93"/>
      <c r="D198" s="195"/>
      <c r="E198" s="96" t="s">
        <v>436</v>
      </c>
      <c r="F198" s="97" t="s">
        <v>29</v>
      </c>
      <c r="G198" s="97" t="s">
        <v>28</v>
      </c>
      <c r="H198" s="98" t="s">
        <v>27</v>
      </c>
      <c r="I198" s="307"/>
      <c r="J198" s="308"/>
      <c r="K198" s="309"/>
      <c r="L198" s="93"/>
      <c r="M198" s="93"/>
    </row>
    <row r="199" spans="3:13" ht="24" x14ac:dyDescent="0.2">
      <c r="C199" s="93"/>
      <c r="D199" s="195"/>
      <c r="E199" s="99" t="s">
        <v>545</v>
      </c>
      <c r="F199" s="100">
        <v>57.3</v>
      </c>
      <c r="G199" s="100" t="s">
        <v>589</v>
      </c>
      <c r="H199" s="101">
        <v>57</v>
      </c>
      <c r="I199" s="307"/>
      <c r="J199" s="308"/>
      <c r="K199" s="309"/>
      <c r="L199" s="93"/>
      <c r="M199" s="93"/>
    </row>
    <row r="200" spans="3:13" ht="24" x14ac:dyDescent="0.2">
      <c r="C200" s="93"/>
      <c r="D200" s="195"/>
      <c r="E200" s="99" t="s">
        <v>588</v>
      </c>
      <c r="F200" s="100">
        <v>57</v>
      </c>
      <c r="G200" s="100" t="s">
        <v>589</v>
      </c>
      <c r="H200" s="101">
        <v>56.3</v>
      </c>
      <c r="I200" s="307"/>
      <c r="J200" s="308"/>
      <c r="K200" s="309"/>
      <c r="L200" s="93"/>
      <c r="M200" s="93"/>
    </row>
    <row r="201" spans="3:13" ht="24" x14ac:dyDescent="0.2">
      <c r="C201" s="93"/>
      <c r="D201" s="195"/>
      <c r="E201" s="99" t="s">
        <v>549</v>
      </c>
      <c r="F201" s="100">
        <v>56.3</v>
      </c>
      <c r="G201" s="100" t="s">
        <v>602</v>
      </c>
      <c r="H201" s="101">
        <v>58.1</v>
      </c>
      <c r="I201" s="307"/>
      <c r="J201" s="308"/>
      <c r="K201" s="309"/>
      <c r="L201" s="93"/>
      <c r="M201" s="93"/>
    </row>
    <row r="202" spans="3:13" ht="24" x14ac:dyDescent="0.2">
      <c r="C202" s="93"/>
      <c r="D202" s="195"/>
      <c r="E202" s="99" t="s">
        <v>552</v>
      </c>
      <c r="F202" s="100">
        <v>58.1</v>
      </c>
      <c r="G202" s="100" t="s">
        <v>603</v>
      </c>
      <c r="H202" s="101">
        <v>59.2</v>
      </c>
      <c r="I202" s="307"/>
      <c r="J202" s="308"/>
      <c r="K202" s="309"/>
      <c r="L202" s="93"/>
      <c r="M202" s="93"/>
    </row>
    <row r="203" spans="3:13" ht="24" x14ac:dyDescent="0.2">
      <c r="C203" s="93"/>
      <c r="D203" s="195"/>
      <c r="E203" s="99" t="s">
        <v>598</v>
      </c>
      <c r="F203" s="100">
        <v>59.2</v>
      </c>
      <c r="G203" s="100" t="s">
        <v>604</v>
      </c>
      <c r="H203" s="101">
        <v>53.4</v>
      </c>
      <c r="I203" s="307"/>
      <c r="J203" s="308"/>
      <c r="K203" s="309"/>
      <c r="L203" s="93"/>
      <c r="M203" s="93"/>
    </row>
    <row r="204" spans="3:13" ht="25" thickBot="1" x14ac:dyDescent="0.25">
      <c r="C204" s="93"/>
      <c r="D204" s="195"/>
      <c r="E204" s="102" t="s">
        <v>558</v>
      </c>
      <c r="F204" s="103">
        <v>53.4</v>
      </c>
      <c r="G204" s="103" t="s">
        <v>605</v>
      </c>
      <c r="H204" s="104">
        <v>58.6</v>
      </c>
      <c r="I204" s="310"/>
      <c r="J204" s="311"/>
      <c r="K204" s="312"/>
      <c r="L204" s="93"/>
      <c r="M204" s="93"/>
    </row>
    <row r="205" spans="3:13" ht="24" x14ac:dyDescent="0.2">
      <c r="C205" s="93"/>
      <c r="D205" s="89" t="s">
        <v>105</v>
      </c>
      <c r="E205" s="90" t="s">
        <v>30</v>
      </c>
      <c r="F205" s="378" t="s">
        <v>606</v>
      </c>
      <c r="G205" s="379"/>
      <c r="H205" s="380"/>
      <c r="I205" s="381" t="s">
        <v>422</v>
      </c>
      <c r="J205" s="382"/>
      <c r="K205" s="383"/>
      <c r="L205" s="93"/>
      <c r="M205" s="93"/>
    </row>
    <row r="206" spans="3:13" ht="24" x14ac:dyDescent="0.2">
      <c r="C206" s="93"/>
      <c r="D206" s="195"/>
      <c r="E206" s="92" t="s">
        <v>432</v>
      </c>
      <c r="F206" s="384"/>
      <c r="G206" s="385"/>
      <c r="H206" s="386"/>
      <c r="I206" s="307"/>
      <c r="J206" s="308"/>
      <c r="K206" s="309"/>
      <c r="L206" s="93"/>
      <c r="M206" s="93"/>
    </row>
    <row r="207" spans="3:13" ht="24" x14ac:dyDescent="0.2">
      <c r="C207" s="93"/>
      <c r="D207" s="195"/>
      <c r="E207" s="92" t="s">
        <v>433</v>
      </c>
      <c r="F207" s="366"/>
      <c r="G207" s="367"/>
      <c r="H207" s="368"/>
      <c r="I207" s="307"/>
      <c r="J207" s="308"/>
      <c r="K207" s="309"/>
      <c r="L207" s="93"/>
      <c r="M207" s="93"/>
    </row>
    <row r="208" spans="3:13" ht="24" x14ac:dyDescent="0.2">
      <c r="C208" s="93"/>
      <c r="D208" s="195"/>
      <c r="E208" s="92" t="s">
        <v>434</v>
      </c>
      <c r="F208" s="357">
        <v>4.0000000000000001E-3</v>
      </c>
      <c r="G208" s="358"/>
      <c r="H208" s="359"/>
      <c r="I208" s="307"/>
      <c r="J208" s="308"/>
      <c r="K208" s="309"/>
      <c r="L208" s="93"/>
      <c r="M208" s="93"/>
    </row>
    <row r="209" spans="3:13" ht="25" thickBot="1" x14ac:dyDescent="0.25">
      <c r="C209" s="93"/>
      <c r="D209" s="195"/>
      <c r="E209" s="94" t="s">
        <v>435</v>
      </c>
      <c r="F209" s="360">
        <v>0.52083333333333337</v>
      </c>
      <c r="G209" s="361"/>
      <c r="H209" s="362"/>
      <c r="I209" s="307"/>
      <c r="J209" s="308"/>
      <c r="K209" s="309"/>
      <c r="L209" s="95">
        <f>F209+TIME(5,30,0)</f>
        <v>0.75</v>
      </c>
      <c r="M209" s="95">
        <f>L209-TIME(2,30,0)</f>
        <v>0.64583333333333337</v>
      </c>
    </row>
    <row r="210" spans="3:13" ht="25" thickBot="1" x14ac:dyDescent="0.25">
      <c r="C210" s="93"/>
      <c r="D210" s="195"/>
      <c r="E210" s="96" t="s">
        <v>436</v>
      </c>
      <c r="F210" s="97" t="s">
        <v>29</v>
      </c>
      <c r="G210" s="97" t="s">
        <v>28</v>
      </c>
      <c r="H210" s="98" t="s">
        <v>27</v>
      </c>
      <c r="I210" s="307"/>
      <c r="J210" s="308"/>
      <c r="K210" s="309"/>
      <c r="L210" s="93"/>
      <c r="M210" s="93"/>
    </row>
    <row r="211" spans="3:13" ht="24" x14ac:dyDescent="0.2">
      <c r="C211" s="93"/>
      <c r="D211" s="195"/>
      <c r="E211" s="99" t="s">
        <v>607</v>
      </c>
      <c r="F211" s="113">
        <v>4.0000000000000001E-3</v>
      </c>
      <c r="G211" s="113" t="s">
        <v>467</v>
      </c>
      <c r="H211" s="114">
        <v>-1E-3</v>
      </c>
      <c r="I211" s="307"/>
      <c r="J211" s="308"/>
      <c r="K211" s="309"/>
      <c r="L211" s="93"/>
      <c r="M211" s="93"/>
    </row>
    <row r="212" spans="3:13" ht="24" x14ac:dyDescent="0.2">
      <c r="C212" s="93"/>
      <c r="D212" s="195"/>
      <c r="E212" s="99" t="s">
        <v>608</v>
      </c>
      <c r="F212" s="113">
        <v>2E-3</v>
      </c>
      <c r="G212" s="113" t="s">
        <v>467</v>
      </c>
      <c r="H212" s="114">
        <v>3.0000000000000001E-3</v>
      </c>
      <c r="I212" s="307"/>
      <c r="J212" s="308"/>
      <c r="K212" s="309"/>
      <c r="L212" s="93"/>
      <c r="M212" s="93"/>
    </row>
    <row r="213" spans="3:13" ht="24" x14ac:dyDescent="0.2">
      <c r="C213" s="93"/>
      <c r="D213" s="195"/>
      <c r="E213" s="99" t="s">
        <v>609</v>
      </c>
      <c r="F213" s="113">
        <v>3.0000000000000001E-3</v>
      </c>
      <c r="G213" s="113" t="s">
        <v>467</v>
      </c>
      <c r="H213" s="114">
        <v>4.0000000000000001E-3</v>
      </c>
      <c r="I213" s="307"/>
      <c r="J213" s="308"/>
      <c r="K213" s="309"/>
      <c r="L213" s="93"/>
      <c r="M213" s="93"/>
    </row>
    <row r="214" spans="3:13" ht="24" x14ac:dyDescent="0.2">
      <c r="C214" s="93"/>
      <c r="D214" s="195"/>
      <c r="E214" s="99" t="s">
        <v>610</v>
      </c>
      <c r="F214" s="113">
        <v>4.0000000000000001E-3</v>
      </c>
      <c r="G214" s="113" t="s">
        <v>467</v>
      </c>
      <c r="H214" s="114">
        <v>2E-3</v>
      </c>
      <c r="I214" s="307"/>
      <c r="J214" s="308"/>
      <c r="K214" s="309"/>
      <c r="L214" s="93"/>
      <c r="M214" s="93"/>
    </row>
    <row r="215" spans="3:13" ht="24" x14ac:dyDescent="0.2">
      <c r="C215" s="93"/>
      <c r="D215" s="195"/>
      <c r="E215" s="99" t="s">
        <v>598</v>
      </c>
      <c r="F215" s="113">
        <v>2E-3</v>
      </c>
      <c r="G215" s="113" t="s">
        <v>467</v>
      </c>
      <c r="H215" s="114">
        <v>3.0000000000000001E-3</v>
      </c>
      <c r="I215" s="307"/>
      <c r="J215" s="308"/>
      <c r="K215" s="309"/>
      <c r="L215" s="93"/>
      <c r="M215" s="93"/>
    </row>
    <row r="216" spans="3:13" ht="25" thickBot="1" x14ac:dyDescent="0.25">
      <c r="C216" s="93"/>
      <c r="D216" s="195"/>
      <c r="E216" s="102" t="s">
        <v>611</v>
      </c>
      <c r="F216" s="115">
        <v>3.0000000000000001E-3</v>
      </c>
      <c r="G216" s="115" t="s">
        <v>467</v>
      </c>
      <c r="H216" s="116">
        <v>2E-3</v>
      </c>
      <c r="I216" s="310"/>
      <c r="J216" s="311"/>
      <c r="K216" s="312"/>
      <c r="L216" s="93"/>
      <c r="M216" s="93"/>
    </row>
    <row r="217" spans="3:13" ht="24" x14ac:dyDescent="0.2">
      <c r="C217" s="93"/>
      <c r="D217" s="89" t="s">
        <v>105</v>
      </c>
      <c r="E217" s="90" t="s">
        <v>30</v>
      </c>
      <c r="F217" s="378" t="s">
        <v>612</v>
      </c>
      <c r="G217" s="379"/>
      <c r="H217" s="380"/>
      <c r="I217" s="381" t="s">
        <v>613</v>
      </c>
      <c r="J217" s="382"/>
      <c r="K217" s="383"/>
      <c r="L217" s="93"/>
      <c r="M217" s="93"/>
    </row>
    <row r="218" spans="3:13" ht="24" x14ac:dyDescent="0.2">
      <c r="C218" s="93"/>
      <c r="D218" s="195"/>
      <c r="E218" s="92" t="s">
        <v>432</v>
      </c>
      <c r="F218" s="384"/>
      <c r="G218" s="385"/>
      <c r="H218" s="386"/>
      <c r="I218" s="307"/>
      <c r="J218" s="308"/>
      <c r="K218" s="309"/>
      <c r="L218" s="93"/>
      <c r="M218" s="93"/>
    </row>
    <row r="219" spans="3:13" ht="24" x14ac:dyDescent="0.2">
      <c r="C219" s="93"/>
      <c r="D219" s="195"/>
      <c r="E219" s="92" t="s">
        <v>433</v>
      </c>
      <c r="F219" s="366" t="s">
        <v>424</v>
      </c>
      <c r="G219" s="367"/>
      <c r="H219" s="368"/>
      <c r="I219" s="307"/>
      <c r="J219" s="308"/>
      <c r="K219" s="309"/>
      <c r="L219" s="93"/>
      <c r="M219" s="93"/>
    </row>
    <row r="220" spans="3:13" ht="24" x14ac:dyDescent="0.2">
      <c r="C220" s="93"/>
      <c r="D220" s="195"/>
      <c r="E220" s="92" t="s">
        <v>434</v>
      </c>
      <c r="F220" s="366" t="s">
        <v>425</v>
      </c>
      <c r="G220" s="367"/>
      <c r="H220" s="368"/>
      <c r="I220" s="307"/>
      <c r="J220" s="308"/>
      <c r="K220" s="309"/>
      <c r="L220" s="93"/>
      <c r="M220" s="93"/>
    </row>
    <row r="221" spans="3:13" ht="25" thickBot="1" x14ac:dyDescent="0.25">
      <c r="C221" s="93"/>
      <c r="D221" s="195"/>
      <c r="E221" s="94" t="s">
        <v>435</v>
      </c>
      <c r="F221" s="360">
        <v>0.52083333333333337</v>
      </c>
      <c r="G221" s="361"/>
      <c r="H221" s="362"/>
      <c r="I221" s="307"/>
      <c r="J221" s="308"/>
      <c r="K221" s="309"/>
      <c r="L221" s="95">
        <f>F221+TIME(5,30,0)</f>
        <v>0.75</v>
      </c>
      <c r="M221" s="95">
        <f>L221-TIME(2,30,0)</f>
        <v>0.64583333333333337</v>
      </c>
    </row>
    <row r="222" spans="3:13" ht="25" thickBot="1" x14ac:dyDescent="0.25">
      <c r="C222" s="93"/>
      <c r="D222" s="195"/>
      <c r="E222" s="96" t="s">
        <v>436</v>
      </c>
      <c r="F222" s="97" t="s">
        <v>29</v>
      </c>
      <c r="G222" s="97" t="s">
        <v>28</v>
      </c>
      <c r="H222" s="98" t="s">
        <v>27</v>
      </c>
      <c r="I222" s="307"/>
      <c r="J222" s="308"/>
      <c r="K222" s="309"/>
      <c r="L222" s="93"/>
      <c r="M222" s="93"/>
    </row>
    <row r="223" spans="3:13" ht="24" x14ac:dyDescent="0.2">
      <c r="C223" s="93"/>
      <c r="D223" s="195"/>
      <c r="E223" s="99" t="s">
        <v>607</v>
      </c>
      <c r="F223" s="100" t="s">
        <v>425</v>
      </c>
      <c r="G223" s="100" t="s">
        <v>614</v>
      </c>
      <c r="H223" s="101" t="s">
        <v>615</v>
      </c>
      <c r="I223" s="307"/>
      <c r="J223" s="308"/>
      <c r="K223" s="309"/>
      <c r="L223" s="93"/>
      <c r="M223" s="93"/>
    </row>
    <row r="224" spans="3:13" ht="24" x14ac:dyDescent="0.2">
      <c r="C224" s="93"/>
      <c r="D224" s="195"/>
      <c r="E224" s="99" t="s">
        <v>608</v>
      </c>
      <c r="F224" s="100" t="s">
        <v>293</v>
      </c>
      <c r="G224" s="100" t="s">
        <v>616</v>
      </c>
      <c r="H224" s="101" t="s">
        <v>617</v>
      </c>
      <c r="I224" s="307"/>
      <c r="J224" s="308"/>
      <c r="K224" s="309"/>
      <c r="L224" s="93"/>
      <c r="M224" s="93"/>
    </row>
    <row r="225" spans="3:13" ht="24" x14ac:dyDescent="0.2">
      <c r="C225" s="93"/>
      <c r="D225" s="195"/>
      <c r="E225" s="99" t="s">
        <v>609</v>
      </c>
      <c r="F225" s="100" t="s">
        <v>149</v>
      </c>
      <c r="G225" s="100" t="s">
        <v>618</v>
      </c>
      <c r="H225" s="101" t="s">
        <v>382</v>
      </c>
      <c r="I225" s="307"/>
      <c r="J225" s="308"/>
      <c r="K225" s="309"/>
      <c r="L225" s="93"/>
      <c r="M225" s="93"/>
    </row>
    <row r="226" spans="3:13" ht="24" x14ac:dyDescent="0.2">
      <c r="C226" s="93"/>
      <c r="D226" s="195"/>
      <c r="E226" s="99" t="s">
        <v>610</v>
      </c>
      <c r="F226" s="100" t="s">
        <v>3</v>
      </c>
      <c r="G226" s="100" t="s">
        <v>619</v>
      </c>
      <c r="H226" s="101" t="s">
        <v>620</v>
      </c>
      <c r="I226" s="307"/>
      <c r="J226" s="308"/>
      <c r="K226" s="309"/>
      <c r="L226" s="93"/>
      <c r="M226" s="93"/>
    </row>
    <row r="227" spans="3:13" ht="24" x14ac:dyDescent="0.2">
      <c r="C227" s="93"/>
      <c r="D227" s="195"/>
      <c r="E227" s="99" t="s">
        <v>598</v>
      </c>
      <c r="F227" s="100" t="s">
        <v>621</v>
      </c>
      <c r="G227" s="100" t="s">
        <v>622</v>
      </c>
      <c r="H227" s="101" t="s">
        <v>623</v>
      </c>
      <c r="I227" s="307"/>
      <c r="J227" s="308"/>
      <c r="K227" s="309"/>
      <c r="L227" s="93"/>
      <c r="M227" s="93"/>
    </row>
    <row r="228" spans="3:13" ht="25" thickBot="1" x14ac:dyDescent="0.25">
      <c r="C228" s="93"/>
      <c r="D228" s="195"/>
      <c r="E228" s="102" t="s">
        <v>611</v>
      </c>
      <c r="F228" s="103" t="s">
        <v>624</v>
      </c>
      <c r="G228" s="103" t="s">
        <v>625</v>
      </c>
      <c r="H228" s="104" t="s">
        <v>626</v>
      </c>
      <c r="I228" s="310"/>
      <c r="J228" s="311"/>
      <c r="K228" s="312"/>
      <c r="L228" s="93"/>
      <c r="M228" s="93"/>
    </row>
    <row r="229" spans="3:13" ht="24" x14ac:dyDescent="0.2">
      <c r="C229" s="93"/>
      <c r="D229" s="89" t="s">
        <v>105</v>
      </c>
      <c r="E229" s="90" t="s">
        <v>30</v>
      </c>
      <c r="F229" s="378" t="s">
        <v>627</v>
      </c>
      <c r="G229" s="379"/>
      <c r="H229" s="380"/>
      <c r="I229" s="381" t="s">
        <v>427</v>
      </c>
      <c r="J229" s="382"/>
      <c r="K229" s="383"/>
      <c r="L229" s="93"/>
      <c r="M229" s="93"/>
    </row>
    <row r="230" spans="3:13" ht="24" x14ac:dyDescent="0.2">
      <c r="C230" s="93"/>
      <c r="D230" s="93"/>
      <c r="E230" s="92" t="s">
        <v>432</v>
      </c>
      <c r="F230" s="384"/>
      <c r="G230" s="385"/>
      <c r="H230" s="386"/>
      <c r="I230" s="307"/>
      <c r="J230" s="308"/>
      <c r="K230" s="309"/>
      <c r="L230" s="93"/>
      <c r="M230" s="93"/>
    </row>
    <row r="231" spans="3:13" ht="24" x14ac:dyDescent="0.2">
      <c r="C231" s="93"/>
      <c r="D231" s="93"/>
      <c r="E231" s="92" t="s">
        <v>433</v>
      </c>
      <c r="F231" s="366">
        <v>4.2000000000000003E-2</v>
      </c>
      <c r="G231" s="367"/>
      <c r="H231" s="368"/>
      <c r="I231" s="307"/>
      <c r="J231" s="308"/>
      <c r="K231" s="309"/>
      <c r="L231" s="93"/>
      <c r="M231" s="93"/>
    </row>
    <row r="232" spans="3:13" ht="24" x14ac:dyDescent="0.2">
      <c r="C232" s="93"/>
      <c r="D232" s="93"/>
      <c r="E232" s="92" t="s">
        <v>434</v>
      </c>
      <c r="F232" s="357">
        <v>4.2000000000000003E-2</v>
      </c>
      <c r="G232" s="358"/>
      <c r="H232" s="359"/>
      <c r="I232" s="307"/>
      <c r="J232" s="308"/>
      <c r="K232" s="309"/>
      <c r="L232" s="93"/>
      <c r="M232" s="93"/>
    </row>
    <row r="233" spans="3:13" ht="25" thickBot="1" x14ac:dyDescent="0.25">
      <c r="C233" s="93"/>
      <c r="D233" s="93"/>
      <c r="E233" s="94" t="s">
        <v>435</v>
      </c>
      <c r="F233" s="360">
        <v>0.52083333333333337</v>
      </c>
      <c r="G233" s="361"/>
      <c r="H233" s="362"/>
      <c r="I233" s="307"/>
      <c r="J233" s="308"/>
      <c r="K233" s="309"/>
      <c r="L233" s="95">
        <f>F233+TIME(5,30,0)</f>
        <v>0.75</v>
      </c>
      <c r="M233" s="95">
        <f>L233-TIME(2,30,0)</f>
        <v>0.64583333333333337</v>
      </c>
    </row>
    <row r="234" spans="3:13" ht="25" thickBot="1" x14ac:dyDescent="0.25">
      <c r="C234" s="93"/>
      <c r="D234" s="93"/>
      <c r="E234" s="96" t="s">
        <v>436</v>
      </c>
      <c r="F234" s="97" t="s">
        <v>29</v>
      </c>
      <c r="G234" s="97" t="s">
        <v>28</v>
      </c>
      <c r="H234" s="98" t="s">
        <v>27</v>
      </c>
      <c r="I234" s="307"/>
      <c r="J234" s="308"/>
      <c r="K234" s="309"/>
      <c r="L234" s="93"/>
      <c r="M234" s="93"/>
    </row>
    <row r="235" spans="3:13" ht="24" x14ac:dyDescent="0.2">
      <c r="C235" s="93"/>
      <c r="D235" s="93"/>
      <c r="E235" s="99" t="s">
        <v>607</v>
      </c>
      <c r="F235" s="113">
        <v>4.2000000000000003E-2</v>
      </c>
      <c r="G235" s="113" t="s">
        <v>628</v>
      </c>
      <c r="H235" s="114">
        <v>4.2999999999999997E-2</v>
      </c>
      <c r="I235" s="307"/>
      <c r="J235" s="308"/>
      <c r="K235" s="309"/>
      <c r="L235" s="93"/>
      <c r="M235" s="93"/>
    </row>
    <row r="236" spans="3:13" ht="24" x14ac:dyDescent="0.2">
      <c r="C236" s="93"/>
      <c r="D236" s="93"/>
      <c r="E236" s="99" t="s">
        <v>608</v>
      </c>
      <c r="F236" s="113">
        <v>4.2999999999999997E-2</v>
      </c>
      <c r="G236" s="113" t="s">
        <v>629</v>
      </c>
      <c r="H236" s="114">
        <v>4.1000000000000002E-2</v>
      </c>
      <c r="I236" s="307"/>
      <c r="J236" s="308"/>
      <c r="K236" s="309"/>
      <c r="L236" s="93"/>
      <c r="M236" s="93"/>
    </row>
    <row r="237" spans="3:13" ht="24" x14ac:dyDescent="0.2">
      <c r="C237" s="93"/>
      <c r="D237" s="93"/>
      <c r="E237" s="99" t="s">
        <v>609</v>
      </c>
      <c r="F237" s="113">
        <v>4.1000000000000002E-2</v>
      </c>
      <c r="G237" s="113" t="s">
        <v>630</v>
      </c>
      <c r="H237" s="114">
        <v>0.04</v>
      </c>
      <c r="I237" s="307"/>
      <c r="J237" s="308"/>
      <c r="K237" s="309"/>
      <c r="L237" s="93"/>
      <c r="M237" s="93"/>
    </row>
    <row r="238" spans="3:13" ht="24" x14ac:dyDescent="0.2">
      <c r="C238" s="93"/>
      <c r="D238" s="93"/>
      <c r="E238" s="99" t="s">
        <v>610</v>
      </c>
      <c r="F238" s="113">
        <v>0.04</v>
      </c>
      <c r="G238" s="113" t="s">
        <v>631</v>
      </c>
      <c r="H238" s="114">
        <v>3.9E-2</v>
      </c>
      <c r="I238" s="307"/>
      <c r="J238" s="308"/>
      <c r="K238" s="309"/>
      <c r="L238" s="93"/>
      <c r="M238" s="93"/>
    </row>
    <row r="239" spans="3:13" ht="24" x14ac:dyDescent="0.2">
      <c r="C239" s="93"/>
      <c r="D239" s="93"/>
      <c r="E239" s="99" t="s">
        <v>598</v>
      </c>
      <c r="F239" s="113">
        <v>3.9E-2</v>
      </c>
      <c r="G239" s="113" t="s">
        <v>632</v>
      </c>
      <c r="H239" s="114">
        <v>3.7999999999999999E-2</v>
      </c>
      <c r="I239" s="307"/>
      <c r="J239" s="308"/>
      <c r="K239" s="309"/>
      <c r="L239" s="93"/>
      <c r="M239" s="93"/>
    </row>
    <row r="240" spans="3:13" ht="25" thickBot="1" x14ac:dyDescent="0.25">
      <c r="C240" s="93"/>
      <c r="D240" s="93"/>
      <c r="E240" s="102" t="s">
        <v>611</v>
      </c>
      <c r="F240" s="115">
        <v>3.7999999999999999E-2</v>
      </c>
      <c r="G240" s="115" t="s">
        <v>631</v>
      </c>
      <c r="H240" s="116">
        <v>3.9E-2</v>
      </c>
      <c r="I240" s="310"/>
      <c r="J240" s="311"/>
      <c r="K240" s="312"/>
      <c r="L240" s="93"/>
      <c r="M240" s="93"/>
    </row>
    <row r="241" spans="3:13" ht="25" thickBot="1" x14ac:dyDescent="0.25">
      <c r="C241" s="93"/>
      <c r="D241" s="89" t="s">
        <v>105</v>
      </c>
      <c r="E241" s="123" t="s">
        <v>30</v>
      </c>
      <c r="F241" s="363" t="s">
        <v>50</v>
      </c>
      <c r="G241" s="364"/>
      <c r="H241" s="365"/>
      <c r="I241" s="325" t="s">
        <v>633</v>
      </c>
      <c r="J241" s="326"/>
      <c r="K241" s="327"/>
      <c r="L241" s="124" t="s">
        <v>430</v>
      </c>
      <c r="M241" s="125" t="s">
        <v>431</v>
      </c>
    </row>
    <row r="242" spans="3:13" ht="24" x14ac:dyDescent="0.2">
      <c r="C242" s="93"/>
      <c r="D242" s="195"/>
      <c r="E242" s="122" t="s">
        <v>432</v>
      </c>
      <c r="F242" s="342"/>
      <c r="G242" s="343"/>
      <c r="H242" s="344"/>
      <c r="I242" s="307" t="s">
        <v>642</v>
      </c>
      <c r="J242" s="308"/>
      <c r="K242" s="309"/>
      <c r="L242" s="117"/>
      <c r="M242" s="118"/>
    </row>
    <row r="243" spans="3:13" ht="24" x14ac:dyDescent="0.2">
      <c r="C243" s="93"/>
      <c r="D243" s="195"/>
      <c r="E243" s="92" t="s">
        <v>433</v>
      </c>
      <c r="F243" s="357">
        <v>4.7500000000000001E-2</v>
      </c>
      <c r="G243" s="358"/>
      <c r="H243" s="359"/>
      <c r="I243" s="307"/>
      <c r="J243" s="308"/>
      <c r="K243" s="309"/>
      <c r="L243" s="117"/>
      <c r="M243" s="118"/>
    </row>
    <row r="244" spans="3:13" ht="25" thickBot="1" x14ac:dyDescent="0.25">
      <c r="C244" s="93"/>
      <c r="D244" s="195"/>
      <c r="E244" s="92" t="s">
        <v>434</v>
      </c>
      <c r="F244" s="357">
        <v>5.2499999999999998E-2</v>
      </c>
      <c r="G244" s="358"/>
      <c r="H244" s="359"/>
      <c r="I244" s="307"/>
      <c r="J244" s="308"/>
      <c r="K244" s="309"/>
      <c r="L244" s="117"/>
      <c r="M244" s="118"/>
    </row>
    <row r="245" spans="3:13" ht="25" thickBot="1" x14ac:dyDescent="0.25">
      <c r="C245" s="93"/>
      <c r="D245" s="195"/>
      <c r="E245" s="94" t="s">
        <v>435</v>
      </c>
      <c r="F245" s="360">
        <v>4.1666666666666657E-2</v>
      </c>
      <c r="G245" s="361"/>
      <c r="H245" s="362"/>
      <c r="I245" s="307"/>
      <c r="J245" s="308"/>
      <c r="K245" s="309"/>
      <c r="L245" s="126">
        <v>0.27083333333333331</v>
      </c>
      <c r="M245" s="127">
        <v>0.16666666666666663</v>
      </c>
    </row>
    <row r="246" spans="3:13" ht="25" thickBot="1" x14ac:dyDescent="0.25">
      <c r="C246" s="93"/>
      <c r="D246" s="195"/>
      <c r="E246" s="96" t="s">
        <v>436</v>
      </c>
      <c r="F246" s="97" t="s">
        <v>29</v>
      </c>
      <c r="G246" s="97" t="s">
        <v>28</v>
      </c>
      <c r="H246" s="98" t="s">
        <v>27</v>
      </c>
      <c r="I246" s="307"/>
      <c r="J246" s="308"/>
      <c r="K246" s="309"/>
      <c r="L246" s="117"/>
      <c r="M246" s="118"/>
    </row>
    <row r="247" spans="3:13" ht="23" x14ac:dyDescent="0.2">
      <c r="C247" s="93"/>
      <c r="D247" s="195"/>
      <c r="E247" s="99">
        <v>45518</v>
      </c>
      <c r="F247" s="113">
        <v>5.2499999999999998E-2</v>
      </c>
      <c r="G247" s="113">
        <v>5.5E-2</v>
      </c>
      <c r="H247" s="113">
        <v>5.5E-2</v>
      </c>
      <c r="I247" s="307"/>
      <c r="J247" s="308"/>
      <c r="K247" s="309"/>
      <c r="L247" s="117"/>
      <c r="M247" s="118"/>
    </row>
    <row r="248" spans="3:13" ht="23" x14ac:dyDescent="0.2">
      <c r="C248" s="93"/>
      <c r="D248" s="195"/>
      <c r="E248" s="99">
        <v>45483</v>
      </c>
      <c r="F248" s="113">
        <v>5.5E-2</v>
      </c>
      <c r="G248" s="113">
        <v>5.5E-2</v>
      </c>
      <c r="H248" s="113">
        <v>5.5E-2</v>
      </c>
      <c r="I248" s="307"/>
      <c r="J248" s="308"/>
      <c r="K248" s="309"/>
      <c r="L248" s="117"/>
      <c r="M248" s="118"/>
    </row>
    <row r="249" spans="3:13" ht="23" x14ac:dyDescent="0.2">
      <c r="C249" s="93"/>
      <c r="D249" s="195"/>
      <c r="E249" s="99">
        <v>45434</v>
      </c>
      <c r="F249" s="113">
        <v>5.5E-2</v>
      </c>
      <c r="G249" s="113">
        <v>5.5E-2</v>
      </c>
      <c r="H249" s="113">
        <v>5.5E-2</v>
      </c>
      <c r="I249" s="307"/>
      <c r="J249" s="308"/>
      <c r="K249" s="309"/>
      <c r="L249" s="119"/>
      <c r="M249" s="118"/>
    </row>
    <row r="250" spans="3:13" ht="23" x14ac:dyDescent="0.2">
      <c r="C250" s="93"/>
      <c r="D250" s="195"/>
      <c r="E250" s="99">
        <v>45392</v>
      </c>
      <c r="F250" s="113">
        <v>5.5E-2</v>
      </c>
      <c r="G250" s="113">
        <v>5.5E-2</v>
      </c>
      <c r="H250" s="113">
        <v>5.5E-2</v>
      </c>
      <c r="I250" s="307"/>
      <c r="J250" s="308"/>
      <c r="K250" s="309"/>
      <c r="L250" s="117"/>
      <c r="M250" s="118"/>
    </row>
    <row r="251" spans="3:13" ht="23" x14ac:dyDescent="0.2">
      <c r="C251" s="93"/>
      <c r="D251" s="195"/>
      <c r="E251" s="99">
        <v>45350</v>
      </c>
      <c r="F251" s="113">
        <v>5.5E-2</v>
      </c>
      <c r="G251" s="113">
        <v>5.5E-2</v>
      </c>
      <c r="H251" s="113">
        <v>5.5E-2</v>
      </c>
      <c r="I251" s="307"/>
      <c r="J251" s="308"/>
      <c r="K251" s="309"/>
      <c r="L251" s="117"/>
      <c r="M251" s="118"/>
    </row>
    <row r="252" spans="3:13" ht="24" thickBot="1" x14ac:dyDescent="0.25">
      <c r="C252" s="93"/>
      <c r="D252" s="195"/>
      <c r="E252" s="99">
        <v>45259</v>
      </c>
      <c r="F252" s="113">
        <v>5.5E-2</v>
      </c>
      <c r="G252" s="113">
        <v>5.5E-2</v>
      </c>
      <c r="H252" s="113">
        <v>5.5E-2</v>
      </c>
      <c r="I252" s="310"/>
      <c r="J252" s="311"/>
      <c r="K252" s="312"/>
      <c r="L252" s="120"/>
      <c r="M252" s="121"/>
    </row>
    <row r="253" spans="3:13" ht="25" thickBot="1" x14ac:dyDescent="0.25">
      <c r="C253" s="93"/>
      <c r="D253" s="89" t="s">
        <v>105</v>
      </c>
      <c r="E253" s="123" t="s">
        <v>30</v>
      </c>
      <c r="F253" s="363" t="s">
        <v>9</v>
      </c>
      <c r="G253" s="364"/>
      <c r="H253" s="365"/>
      <c r="I253" s="325" t="s">
        <v>633</v>
      </c>
      <c r="J253" s="326"/>
      <c r="K253" s="327"/>
      <c r="L253" s="124" t="s">
        <v>430</v>
      </c>
      <c r="M253" s="125" t="s">
        <v>431</v>
      </c>
    </row>
    <row r="254" spans="3:13" ht="24" x14ac:dyDescent="0.2">
      <c r="C254" s="93"/>
      <c r="D254" s="195"/>
      <c r="E254" s="122" t="s">
        <v>432</v>
      </c>
      <c r="F254" s="342"/>
      <c r="G254" s="343"/>
      <c r="H254" s="344"/>
      <c r="I254" s="307" t="s">
        <v>643</v>
      </c>
      <c r="J254" s="308"/>
      <c r="K254" s="309"/>
      <c r="L254" s="117"/>
      <c r="M254" s="118"/>
    </row>
    <row r="255" spans="3:13" ht="24" x14ac:dyDescent="0.2">
      <c r="C255" s="93"/>
      <c r="D255" s="195"/>
      <c r="E255" s="92" t="s">
        <v>433</v>
      </c>
      <c r="F255" s="366">
        <v>0</v>
      </c>
      <c r="G255" s="367"/>
      <c r="H255" s="368"/>
      <c r="I255" s="307"/>
      <c r="J255" s="308"/>
      <c r="K255" s="309"/>
      <c r="L255" s="117"/>
      <c r="M255" s="118"/>
    </row>
    <row r="256" spans="3:13" ht="25" thickBot="1" x14ac:dyDescent="0.25">
      <c r="C256" s="93"/>
      <c r="D256" s="195"/>
      <c r="E256" s="92" t="s">
        <v>434</v>
      </c>
      <c r="F256" s="366" t="s">
        <v>637</v>
      </c>
      <c r="G256" s="367"/>
      <c r="H256" s="368"/>
      <c r="I256" s="307"/>
      <c r="J256" s="308"/>
      <c r="K256" s="309"/>
      <c r="L256" s="117"/>
      <c r="M256" s="118"/>
    </row>
    <row r="257" spans="3:13" ht="25" thickBot="1" x14ac:dyDescent="0.25">
      <c r="C257" s="93"/>
      <c r="D257" s="195"/>
      <c r="E257" s="94" t="s">
        <v>435</v>
      </c>
      <c r="F257" s="360">
        <v>0.60416666666666674</v>
      </c>
      <c r="G257" s="361"/>
      <c r="H257" s="362"/>
      <c r="I257" s="307"/>
      <c r="J257" s="308"/>
      <c r="K257" s="309"/>
      <c r="L257" s="126">
        <v>0.83333333333333337</v>
      </c>
      <c r="M257" s="127">
        <v>0.72916666666666674</v>
      </c>
    </row>
    <row r="258" spans="3:13" ht="25" thickBot="1" x14ac:dyDescent="0.25">
      <c r="C258" s="93"/>
      <c r="D258" s="195"/>
      <c r="E258" s="96" t="s">
        <v>436</v>
      </c>
      <c r="F258" s="97" t="s">
        <v>29</v>
      </c>
      <c r="G258" s="97" t="s">
        <v>28</v>
      </c>
      <c r="H258" s="98" t="s">
        <v>27</v>
      </c>
      <c r="I258" s="307"/>
      <c r="J258" s="308"/>
      <c r="K258" s="309"/>
      <c r="L258" s="117"/>
      <c r="M258" s="118"/>
    </row>
    <row r="259" spans="3:13" ht="24" x14ac:dyDescent="0.2">
      <c r="C259" s="93"/>
      <c r="D259" s="195"/>
      <c r="E259" s="99">
        <v>45567</v>
      </c>
      <c r="F259" s="100" t="s">
        <v>637</v>
      </c>
      <c r="G259" s="100" t="s">
        <v>636</v>
      </c>
      <c r="H259" s="101" t="s">
        <v>380</v>
      </c>
      <c r="I259" s="307"/>
      <c r="J259" s="308"/>
      <c r="K259" s="309"/>
      <c r="L259" s="117"/>
      <c r="M259" s="118"/>
    </row>
    <row r="260" spans="3:13" ht="24" x14ac:dyDescent="0.2">
      <c r="C260" s="93"/>
      <c r="D260" s="195"/>
      <c r="E260" s="99">
        <v>45560</v>
      </c>
      <c r="F260" s="100" t="s">
        <v>380</v>
      </c>
      <c r="G260" s="100" t="s">
        <v>564</v>
      </c>
      <c r="H260" s="101" t="s">
        <v>337</v>
      </c>
      <c r="I260" s="307"/>
      <c r="J260" s="308"/>
      <c r="K260" s="309"/>
      <c r="L260" s="117"/>
      <c r="M260" s="118"/>
    </row>
    <row r="261" spans="3:13" ht="24" x14ac:dyDescent="0.2">
      <c r="C261" s="93"/>
      <c r="D261" s="195"/>
      <c r="E261" s="99">
        <v>45553</v>
      </c>
      <c r="F261" s="100" t="s">
        <v>337</v>
      </c>
      <c r="G261" s="100" t="s">
        <v>565</v>
      </c>
      <c r="H261" s="101" t="s">
        <v>339</v>
      </c>
      <c r="I261" s="307"/>
      <c r="J261" s="308"/>
      <c r="K261" s="309"/>
      <c r="L261" s="119"/>
      <c r="M261" s="118"/>
    </row>
    <row r="262" spans="3:13" ht="24" x14ac:dyDescent="0.2">
      <c r="C262" s="93"/>
      <c r="D262" s="195"/>
      <c r="E262" s="99">
        <v>45546</v>
      </c>
      <c r="F262" s="100" t="s">
        <v>339</v>
      </c>
      <c r="G262" s="100" t="s">
        <v>567</v>
      </c>
      <c r="H262" s="101" t="s">
        <v>312</v>
      </c>
      <c r="I262" s="307"/>
      <c r="J262" s="308"/>
      <c r="K262" s="309"/>
      <c r="L262" s="117"/>
      <c r="M262" s="118"/>
    </row>
    <row r="263" spans="3:13" ht="24" x14ac:dyDescent="0.2">
      <c r="C263" s="93"/>
      <c r="D263" s="195"/>
      <c r="E263" s="99">
        <v>45540</v>
      </c>
      <c r="F263" s="100" t="s">
        <v>312</v>
      </c>
      <c r="G263" s="100" t="s">
        <v>568</v>
      </c>
      <c r="H263" s="101" t="s">
        <v>267</v>
      </c>
      <c r="I263" s="307"/>
      <c r="J263" s="308"/>
      <c r="K263" s="309"/>
      <c r="L263" s="117"/>
      <c r="M263" s="118"/>
    </row>
    <row r="264" spans="3:13" ht="25" thickBot="1" x14ac:dyDescent="0.25">
      <c r="C264" s="93"/>
      <c r="D264" s="195"/>
      <c r="E264" s="99">
        <v>45532</v>
      </c>
      <c r="F264" s="100" t="s">
        <v>267</v>
      </c>
      <c r="G264" s="100" t="s">
        <v>570</v>
      </c>
      <c r="H264" s="101" t="s">
        <v>218</v>
      </c>
      <c r="I264" s="310"/>
      <c r="J264" s="311"/>
      <c r="K264" s="312"/>
      <c r="L264" s="120"/>
      <c r="M264" s="121"/>
    </row>
    <row r="265" spans="3:13" ht="25" thickBot="1" x14ac:dyDescent="0.25">
      <c r="C265" s="93"/>
      <c r="D265" s="89" t="s">
        <v>105</v>
      </c>
      <c r="E265" s="123" t="s">
        <v>30</v>
      </c>
      <c r="F265" s="363" t="s">
        <v>644</v>
      </c>
      <c r="G265" s="364"/>
      <c r="H265" s="365"/>
      <c r="I265" s="325" t="s">
        <v>633</v>
      </c>
      <c r="J265" s="326"/>
      <c r="K265" s="327"/>
      <c r="L265" s="124" t="s">
        <v>430</v>
      </c>
      <c r="M265" s="125" t="s">
        <v>431</v>
      </c>
    </row>
    <row r="266" spans="3:13" ht="24" x14ac:dyDescent="0.2">
      <c r="C266" s="93"/>
      <c r="D266" s="195"/>
      <c r="E266" s="122" t="s">
        <v>432</v>
      </c>
      <c r="F266" s="342"/>
      <c r="G266" s="343"/>
      <c r="H266" s="344"/>
      <c r="I266" s="307" t="s">
        <v>645</v>
      </c>
      <c r="J266" s="308"/>
      <c r="K266" s="309"/>
      <c r="L266" s="117"/>
      <c r="M266" s="118"/>
    </row>
    <row r="267" spans="3:13" ht="24" x14ac:dyDescent="0.2">
      <c r="C267" s="93"/>
      <c r="D267" s="195"/>
      <c r="E267" s="92" t="s">
        <v>433</v>
      </c>
      <c r="F267" s="366">
        <v>0</v>
      </c>
      <c r="G267" s="367"/>
      <c r="H267" s="368"/>
      <c r="I267" s="307"/>
      <c r="J267" s="308"/>
      <c r="K267" s="309"/>
      <c r="L267" s="117"/>
      <c r="M267" s="118"/>
    </row>
    <row r="268" spans="3:13" ht="25" thickBot="1" x14ac:dyDescent="0.25">
      <c r="C268" s="93"/>
      <c r="D268" s="195"/>
      <c r="E268" s="92" t="s">
        <v>434</v>
      </c>
      <c r="F268" s="375">
        <v>3.6479999999999999E-2</v>
      </c>
      <c r="G268" s="376"/>
      <c r="H268" s="377"/>
      <c r="I268" s="307"/>
      <c r="J268" s="308"/>
      <c r="K268" s="309"/>
      <c r="L268" s="117"/>
      <c r="M268" s="118"/>
    </row>
    <row r="269" spans="3:13" ht="25" thickBot="1" x14ac:dyDescent="0.25">
      <c r="C269" s="93"/>
      <c r="D269" s="195"/>
      <c r="E269" s="94" t="s">
        <v>435</v>
      </c>
      <c r="F269" s="360">
        <v>0.70833333333333337</v>
      </c>
      <c r="G269" s="361"/>
      <c r="H269" s="362"/>
      <c r="I269" s="307"/>
      <c r="J269" s="308"/>
      <c r="K269" s="309"/>
      <c r="L269" s="126">
        <v>0.9375</v>
      </c>
      <c r="M269" s="127">
        <v>0.83333333333333337</v>
      </c>
    </row>
    <row r="270" spans="3:13" ht="25" thickBot="1" x14ac:dyDescent="0.25">
      <c r="C270" s="93"/>
      <c r="D270" s="195"/>
      <c r="E270" s="96" t="s">
        <v>436</v>
      </c>
      <c r="F270" s="97" t="s">
        <v>29</v>
      </c>
      <c r="G270" s="97" t="s">
        <v>28</v>
      </c>
      <c r="H270" s="98" t="s">
        <v>27</v>
      </c>
      <c r="I270" s="307"/>
      <c r="J270" s="308"/>
      <c r="K270" s="309"/>
      <c r="L270" s="117"/>
      <c r="M270" s="118"/>
    </row>
    <row r="271" spans="3:13" ht="23" x14ac:dyDescent="0.2">
      <c r="C271" s="93"/>
      <c r="D271" s="195"/>
      <c r="E271" s="99">
        <v>45546</v>
      </c>
      <c r="F271" s="128">
        <v>3.6479999999999999E-2</v>
      </c>
      <c r="G271" s="113"/>
      <c r="H271" s="128">
        <v>3.9600000000000003E-2</v>
      </c>
      <c r="I271" s="307"/>
      <c r="J271" s="308"/>
      <c r="K271" s="309"/>
      <c r="L271" s="117"/>
      <c r="M271" s="118"/>
    </row>
    <row r="272" spans="3:13" ht="23" x14ac:dyDescent="0.2">
      <c r="C272" s="93"/>
      <c r="D272" s="195"/>
      <c r="E272" s="99">
        <v>45511</v>
      </c>
      <c r="F272" s="128">
        <v>3.9600000000000003E-2</v>
      </c>
      <c r="G272" s="113"/>
      <c r="H272" s="128">
        <v>4.2759999999999999E-2</v>
      </c>
      <c r="I272" s="307"/>
      <c r="J272" s="308"/>
      <c r="K272" s="309"/>
      <c r="L272" s="117"/>
      <c r="M272" s="118"/>
    </row>
    <row r="273" spans="3:13" ht="23" x14ac:dyDescent="0.2">
      <c r="C273" s="93"/>
      <c r="D273" s="195"/>
      <c r="E273" s="99">
        <v>45483</v>
      </c>
      <c r="F273" s="128">
        <v>4.2759999999999999E-2</v>
      </c>
      <c r="G273" s="113"/>
      <c r="H273" s="128">
        <v>4.4380000000000003E-2</v>
      </c>
      <c r="I273" s="307"/>
      <c r="J273" s="308"/>
      <c r="K273" s="309"/>
      <c r="L273" s="119"/>
      <c r="M273" s="118"/>
    </row>
    <row r="274" spans="3:13" ht="23" x14ac:dyDescent="0.2">
      <c r="C274" s="93"/>
      <c r="D274" s="195"/>
      <c r="E274" s="99">
        <v>45454</v>
      </c>
      <c r="F274" s="128">
        <v>4.4380000000000003E-2</v>
      </c>
      <c r="G274" s="113"/>
      <c r="H274" s="128">
        <v>4.4830000000000002E-2</v>
      </c>
      <c r="I274" s="307"/>
      <c r="J274" s="308"/>
      <c r="K274" s="309"/>
      <c r="L274" s="117"/>
      <c r="M274" s="118"/>
    </row>
    <row r="275" spans="3:13" ht="23" x14ac:dyDescent="0.2">
      <c r="C275" s="93"/>
      <c r="D275" s="195"/>
      <c r="E275" s="99">
        <v>45420</v>
      </c>
      <c r="F275" s="128">
        <v>4.4830000000000002E-2</v>
      </c>
      <c r="G275" s="113"/>
      <c r="H275" s="128">
        <v>4.5600000000000002E-2</v>
      </c>
      <c r="I275" s="307"/>
      <c r="J275" s="308"/>
      <c r="K275" s="309"/>
      <c r="L275" s="117"/>
      <c r="M275" s="118"/>
    </row>
    <row r="276" spans="3:13" ht="24" thickBot="1" x14ac:dyDescent="0.25">
      <c r="C276" s="93"/>
      <c r="D276" s="195"/>
      <c r="E276" s="99">
        <v>45392</v>
      </c>
      <c r="F276" s="128">
        <v>4.5600000000000002E-2</v>
      </c>
      <c r="G276" s="113"/>
      <c r="H276" s="128">
        <v>4.1660000000000003E-2</v>
      </c>
      <c r="I276" s="310"/>
      <c r="J276" s="311"/>
      <c r="K276" s="312"/>
      <c r="L276" s="120"/>
      <c r="M276" s="121"/>
    </row>
    <row r="277" spans="3:13" ht="25" thickBot="1" x14ac:dyDescent="0.25">
      <c r="C277" s="93"/>
      <c r="D277" s="89" t="s">
        <v>105</v>
      </c>
      <c r="E277" s="123" t="s">
        <v>30</v>
      </c>
      <c r="F277" s="363" t="s">
        <v>7</v>
      </c>
      <c r="G277" s="364"/>
      <c r="H277" s="365"/>
      <c r="I277" s="325" t="s">
        <v>633</v>
      </c>
      <c r="J277" s="326"/>
      <c r="K277" s="327"/>
      <c r="L277" s="124" t="s">
        <v>430</v>
      </c>
      <c r="M277" s="125" t="s">
        <v>431</v>
      </c>
    </row>
    <row r="278" spans="3:13" ht="24" x14ac:dyDescent="0.2">
      <c r="C278" s="93"/>
      <c r="D278" s="195"/>
      <c r="E278" s="122" t="s">
        <v>432</v>
      </c>
      <c r="F278" s="342"/>
      <c r="G278" s="343"/>
      <c r="H278" s="344"/>
      <c r="I278" s="307" t="s">
        <v>646</v>
      </c>
      <c r="J278" s="308"/>
      <c r="K278" s="309"/>
      <c r="L278" s="117"/>
      <c r="M278" s="118"/>
    </row>
    <row r="279" spans="3:13" ht="24" x14ac:dyDescent="0.2">
      <c r="C279" s="93"/>
      <c r="D279" s="195"/>
      <c r="E279" s="92" t="s">
        <v>433</v>
      </c>
      <c r="F279" s="366">
        <v>0</v>
      </c>
      <c r="G279" s="367"/>
      <c r="H279" s="368"/>
      <c r="I279" s="307"/>
      <c r="J279" s="308"/>
      <c r="K279" s="309"/>
      <c r="L279" s="117"/>
      <c r="M279" s="118"/>
    </row>
    <row r="280" spans="3:13" ht="25" thickBot="1" x14ac:dyDescent="0.25">
      <c r="C280" s="93"/>
      <c r="D280" s="195"/>
      <c r="E280" s="92" t="s">
        <v>434</v>
      </c>
      <c r="F280" s="372">
        <v>0</v>
      </c>
      <c r="G280" s="373"/>
      <c r="H280" s="374"/>
      <c r="I280" s="307"/>
      <c r="J280" s="308"/>
      <c r="K280" s="309"/>
      <c r="L280" s="117"/>
      <c r="M280" s="118"/>
    </row>
    <row r="281" spans="3:13" ht="25" thickBot="1" x14ac:dyDescent="0.25">
      <c r="C281" s="93"/>
      <c r="D281" s="195"/>
      <c r="E281" s="94" t="s">
        <v>435</v>
      </c>
      <c r="F281" s="360">
        <v>0.75</v>
      </c>
      <c r="G281" s="361"/>
      <c r="H281" s="362"/>
      <c r="I281" s="307"/>
      <c r="J281" s="308"/>
      <c r="K281" s="309"/>
      <c r="L281" s="126">
        <v>0.97916666666666663</v>
      </c>
      <c r="M281" s="127">
        <v>0.875</v>
      </c>
    </row>
    <row r="282" spans="3:13" ht="25" thickBot="1" x14ac:dyDescent="0.25">
      <c r="C282" s="93"/>
      <c r="D282" s="195"/>
      <c r="E282" s="96" t="s">
        <v>436</v>
      </c>
      <c r="F282" s="97" t="s">
        <v>29</v>
      </c>
      <c r="G282" s="97" t="s">
        <v>28</v>
      </c>
      <c r="H282" s="98" t="s">
        <v>27</v>
      </c>
      <c r="I282" s="307"/>
      <c r="J282" s="308"/>
      <c r="K282" s="309"/>
      <c r="L282" s="117"/>
      <c r="M282" s="118"/>
    </row>
    <row r="283" spans="3:13" ht="23" x14ac:dyDescent="0.2">
      <c r="C283" s="93"/>
      <c r="D283" s="195"/>
      <c r="E283" s="99">
        <v>45525</v>
      </c>
      <c r="F283" s="128"/>
      <c r="G283" s="113"/>
      <c r="H283" s="128"/>
      <c r="I283" s="307"/>
      <c r="J283" s="308"/>
      <c r="K283" s="309"/>
      <c r="L283" s="117"/>
      <c r="M283" s="118"/>
    </row>
    <row r="284" spans="3:13" ht="23" x14ac:dyDescent="0.2">
      <c r="C284" s="93"/>
      <c r="D284" s="195"/>
      <c r="E284" s="99">
        <v>45476</v>
      </c>
      <c r="F284" s="128"/>
      <c r="G284" s="113"/>
      <c r="H284" s="128"/>
      <c r="I284" s="307"/>
      <c r="J284" s="308"/>
      <c r="K284" s="309"/>
      <c r="L284" s="117"/>
      <c r="M284" s="118"/>
    </row>
    <row r="285" spans="3:13" ht="23" x14ac:dyDescent="0.2">
      <c r="C285" s="93"/>
      <c r="D285" s="195"/>
      <c r="E285" s="99">
        <v>45434</v>
      </c>
      <c r="F285" s="128"/>
      <c r="G285" s="113"/>
      <c r="H285" s="128"/>
      <c r="I285" s="307"/>
      <c r="J285" s="308"/>
      <c r="K285" s="309"/>
      <c r="L285" s="119"/>
      <c r="M285" s="118"/>
    </row>
    <row r="286" spans="3:13" ht="23" x14ac:dyDescent="0.2">
      <c r="C286" s="93"/>
      <c r="D286" s="195"/>
      <c r="E286" s="99">
        <v>45392</v>
      </c>
      <c r="F286" s="128"/>
      <c r="G286" s="113"/>
      <c r="H286" s="128"/>
      <c r="I286" s="307"/>
      <c r="J286" s="308"/>
      <c r="K286" s="309"/>
      <c r="L286" s="117"/>
      <c r="M286" s="118"/>
    </row>
    <row r="287" spans="3:13" ht="23" x14ac:dyDescent="0.2">
      <c r="C287" s="93"/>
      <c r="D287" s="195"/>
      <c r="E287" s="99">
        <v>45343</v>
      </c>
      <c r="F287" s="128"/>
      <c r="G287" s="113"/>
      <c r="H287" s="128"/>
      <c r="I287" s="307"/>
      <c r="J287" s="308"/>
      <c r="K287" s="309"/>
      <c r="L287" s="117"/>
      <c r="M287" s="118"/>
    </row>
    <row r="288" spans="3:13" ht="24" thickBot="1" x14ac:dyDescent="0.25">
      <c r="C288" s="93"/>
      <c r="D288" s="195"/>
      <c r="E288" s="99">
        <v>45294</v>
      </c>
      <c r="F288" s="128"/>
      <c r="G288" s="113"/>
      <c r="H288" s="128"/>
      <c r="I288" s="310"/>
      <c r="J288" s="311"/>
      <c r="K288" s="312"/>
      <c r="L288" s="120"/>
      <c r="M288" s="121"/>
    </row>
    <row r="289" spans="3:13" ht="25" thickBot="1" x14ac:dyDescent="0.25">
      <c r="C289" s="93"/>
      <c r="D289" s="89" t="s">
        <v>105</v>
      </c>
      <c r="E289" s="123" t="s">
        <v>30</v>
      </c>
      <c r="F289" s="363" t="s">
        <v>647</v>
      </c>
      <c r="G289" s="364"/>
      <c r="H289" s="365"/>
      <c r="I289" s="325" t="s">
        <v>633</v>
      </c>
      <c r="J289" s="326"/>
      <c r="K289" s="327"/>
      <c r="L289" s="124" t="s">
        <v>430</v>
      </c>
      <c r="M289" s="125" t="s">
        <v>431</v>
      </c>
    </row>
    <row r="290" spans="3:13" ht="24" x14ac:dyDescent="0.2">
      <c r="C290" s="93"/>
      <c r="D290" s="195"/>
      <c r="E290" s="122" t="s">
        <v>432</v>
      </c>
      <c r="F290" s="342"/>
      <c r="G290" s="343"/>
      <c r="H290" s="344"/>
      <c r="I290" s="307" t="s">
        <v>648</v>
      </c>
      <c r="J290" s="308"/>
      <c r="K290" s="309"/>
      <c r="L290" s="117"/>
      <c r="M290" s="118"/>
    </row>
    <row r="291" spans="3:13" ht="24" x14ac:dyDescent="0.2">
      <c r="C291" s="93"/>
      <c r="D291" s="195"/>
      <c r="E291" s="92" t="s">
        <v>433</v>
      </c>
      <c r="F291" s="345">
        <v>2E-3</v>
      </c>
      <c r="G291" s="346"/>
      <c r="H291" s="347"/>
      <c r="I291" s="307"/>
      <c r="J291" s="308"/>
      <c r="K291" s="309"/>
      <c r="L291" s="117"/>
      <c r="M291" s="118"/>
    </row>
    <row r="292" spans="3:13" ht="25" thickBot="1" x14ac:dyDescent="0.25">
      <c r="C292" s="93"/>
      <c r="D292" s="195"/>
      <c r="E292" s="92" t="s">
        <v>434</v>
      </c>
      <c r="F292" s="345">
        <v>3.0000000000000001E-3</v>
      </c>
      <c r="G292" s="346"/>
      <c r="H292" s="347"/>
      <c r="I292" s="307"/>
      <c r="J292" s="308"/>
      <c r="K292" s="309"/>
      <c r="L292" s="117"/>
      <c r="M292" s="118"/>
    </row>
    <row r="293" spans="3:13" ht="25" thickBot="1" x14ac:dyDescent="0.25">
      <c r="C293" s="93"/>
      <c r="D293" s="195"/>
      <c r="E293" s="94" t="s">
        <v>435</v>
      </c>
      <c r="F293" s="360">
        <v>0.52083333333333337</v>
      </c>
      <c r="G293" s="361"/>
      <c r="H293" s="362"/>
      <c r="I293" s="307"/>
      <c r="J293" s="308"/>
      <c r="K293" s="309"/>
      <c r="L293" s="126">
        <v>0.75</v>
      </c>
      <c r="M293" s="127">
        <v>0.64583333333333337</v>
      </c>
    </row>
    <row r="294" spans="3:13" ht="25" thickBot="1" x14ac:dyDescent="0.25">
      <c r="C294" s="93"/>
      <c r="D294" s="195"/>
      <c r="E294" s="96" t="s">
        <v>436</v>
      </c>
      <c r="F294" s="97" t="s">
        <v>29</v>
      </c>
      <c r="G294" s="97" t="s">
        <v>28</v>
      </c>
      <c r="H294" s="98" t="s">
        <v>27</v>
      </c>
      <c r="I294" s="307"/>
      <c r="J294" s="308"/>
      <c r="K294" s="309"/>
      <c r="L294" s="117"/>
      <c r="M294" s="118"/>
    </row>
    <row r="295" spans="3:13" ht="23" x14ac:dyDescent="0.2">
      <c r="C295" s="93"/>
      <c r="D295" s="195"/>
      <c r="E295" s="99">
        <v>45546</v>
      </c>
      <c r="F295" s="128">
        <v>3.0000000000000001E-3</v>
      </c>
      <c r="G295" s="128">
        <v>2E-3</v>
      </c>
      <c r="H295" s="128">
        <v>2E-3</v>
      </c>
      <c r="I295" s="307"/>
      <c r="J295" s="308"/>
      <c r="K295" s="309"/>
      <c r="L295" s="117"/>
      <c r="M295" s="118"/>
    </row>
    <row r="296" spans="3:13" ht="23" x14ac:dyDescent="0.2">
      <c r="C296" s="93"/>
      <c r="D296" s="195"/>
      <c r="E296" s="99">
        <v>45518</v>
      </c>
      <c r="F296" s="128">
        <v>2E-3</v>
      </c>
      <c r="G296" s="128">
        <v>2E-3</v>
      </c>
      <c r="H296" s="128">
        <v>1E-3</v>
      </c>
      <c r="I296" s="307"/>
      <c r="J296" s="308"/>
      <c r="K296" s="309"/>
      <c r="L296" s="117"/>
      <c r="M296" s="118"/>
    </row>
    <row r="297" spans="3:13" ht="23" x14ac:dyDescent="0.2">
      <c r="C297" s="93"/>
      <c r="D297" s="195"/>
      <c r="E297" s="99">
        <v>45484</v>
      </c>
      <c r="F297" s="128">
        <v>1E-3</v>
      </c>
      <c r="G297" s="128">
        <v>2E-3</v>
      </c>
      <c r="H297" s="128">
        <v>2E-3</v>
      </c>
      <c r="I297" s="307"/>
      <c r="J297" s="308"/>
      <c r="K297" s="309"/>
      <c r="L297" s="119"/>
      <c r="M297" s="118"/>
    </row>
    <row r="298" spans="3:13" ht="23" x14ac:dyDescent="0.2">
      <c r="C298" s="93"/>
      <c r="D298" s="195"/>
      <c r="E298" s="99">
        <v>45455</v>
      </c>
      <c r="F298" s="128">
        <v>2E-3</v>
      </c>
      <c r="G298" s="128">
        <v>3.0000000000000001E-3</v>
      </c>
      <c r="H298" s="128">
        <v>3.0000000000000001E-3</v>
      </c>
      <c r="I298" s="307"/>
      <c r="J298" s="308"/>
      <c r="K298" s="309"/>
      <c r="L298" s="117"/>
      <c r="M298" s="118"/>
    </row>
    <row r="299" spans="3:13" ht="23" x14ac:dyDescent="0.2">
      <c r="C299" s="93"/>
      <c r="D299" s="195"/>
      <c r="E299" s="99">
        <v>45427</v>
      </c>
      <c r="F299" s="128">
        <v>3.0000000000000001E-3</v>
      </c>
      <c r="G299" s="128">
        <v>3.0000000000000001E-3</v>
      </c>
      <c r="H299" s="128">
        <v>4.0000000000000001E-3</v>
      </c>
      <c r="I299" s="307"/>
      <c r="J299" s="308"/>
      <c r="K299" s="309"/>
      <c r="L299" s="117"/>
      <c r="M299" s="118"/>
    </row>
    <row r="300" spans="3:13" ht="24" thickBot="1" x14ac:dyDescent="0.25">
      <c r="C300" s="93"/>
      <c r="D300" s="195"/>
      <c r="E300" s="99">
        <v>45392</v>
      </c>
      <c r="F300" s="128">
        <v>4.0000000000000001E-3</v>
      </c>
      <c r="G300" s="128">
        <v>3.0000000000000001E-3</v>
      </c>
      <c r="H300" s="128">
        <v>4.0000000000000001E-3</v>
      </c>
      <c r="I300" s="310"/>
      <c r="J300" s="311"/>
      <c r="K300" s="312"/>
      <c r="L300" s="120"/>
      <c r="M300" s="121"/>
    </row>
    <row r="301" spans="3:13" ht="25" thickBot="1" x14ac:dyDescent="0.25">
      <c r="C301" s="93"/>
      <c r="D301" s="89" t="s">
        <v>105</v>
      </c>
      <c r="E301" s="123" t="s">
        <v>30</v>
      </c>
      <c r="F301" s="363" t="s">
        <v>649</v>
      </c>
      <c r="G301" s="364"/>
      <c r="H301" s="365"/>
      <c r="I301" s="325" t="s">
        <v>633</v>
      </c>
      <c r="J301" s="326"/>
      <c r="K301" s="327"/>
      <c r="L301" s="124" t="s">
        <v>430</v>
      </c>
      <c r="M301" s="125" t="s">
        <v>431</v>
      </c>
    </row>
    <row r="302" spans="3:13" ht="24" x14ac:dyDescent="0.2">
      <c r="C302" s="93"/>
      <c r="D302" s="195"/>
      <c r="E302" s="122" t="s">
        <v>432</v>
      </c>
      <c r="F302" s="342"/>
      <c r="G302" s="343"/>
      <c r="H302" s="344"/>
      <c r="I302" s="307" t="s">
        <v>650</v>
      </c>
      <c r="J302" s="308"/>
      <c r="K302" s="309"/>
      <c r="L302" s="117"/>
      <c r="M302" s="118"/>
    </row>
    <row r="303" spans="3:13" ht="24" x14ac:dyDescent="0.2">
      <c r="C303" s="93"/>
      <c r="D303" s="195"/>
      <c r="E303" s="92" t="s">
        <v>433</v>
      </c>
      <c r="F303" s="345">
        <v>2.3E-2</v>
      </c>
      <c r="G303" s="346"/>
      <c r="H303" s="347"/>
      <c r="I303" s="307"/>
      <c r="J303" s="308"/>
      <c r="K303" s="309"/>
      <c r="L303" s="117"/>
      <c r="M303" s="118"/>
    </row>
    <row r="304" spans="3:13" ht="25" thickBot="1" x14ac:dyDescent="0.25">
      <c r="C304" s="93"/>
      <c r="D304" s="195"/>
      <c r="E304" s="92" t="s">
        <v>434</v>
      </c>
      <c r="F304" s="345">
        <v>2.5000000000000001E-2</v>
      </c>
      <c r="G304" s="346"/>
      <c r="H304" s="347"/>
      <c r="I304" s="307"/>
      <c r="J304" s="308"/>
      <c r="K304" s="309"/>
      <c r="L304" s="117"/>
      <c r="M304" s="118"/>
    </row>
    <row r="305" spans="3:13" ht="25" thickBot="1" x14ac:dyDescent="0.25">
      <c r="C305" s="93"/>
      <c r="D305" s="195"/>
      <c r="E305" s="94" t="s">
        <v>435</v>
      </c>
      <c r="F305" s="360">
        <v>0.52083333333333337</v>
      </c>
      <c r="G305" s="361"/>
      <c r="H305" s="362"/>
      <c r="I305" s="307"/>
      <c r="J305" s="308"/>
      <c r="K305" s="309"/>
      <c r="L305" s="126">
        <v>0.75</v>
      </c>
      <c r="M305" s="127">
        <v>0.64583333333333337</v>
      </c>
    </row>
    <row r="306" spans="3:13" ht="25" thickBot="1" x14ac:dyDescent="0.25">
      <c r="C306" s="93"/>
      <c r="D306" s="195"/>
      <c r="E306" s="96" t="s">
        <v>436</v>
      </c>
      <c r="F306" s="97" t="s">
        <v>29</v>
      </c>
      <c r="G306" s="97" t="s">
        <v>28</v>
      </c>
      <c r="H306" s="98" t="s">
        <v>27</v>
      </c>
      <c r="I306" s="307"/>
      <c r="J306" s="308"/>
      <c r="K306" s="309"/>
      <c r="L306" s="117"/>
      <c r="M306" s="118"/>
    </row>
    <row r="307" spans="3:13" ht="23" x14ac:dyDescent="0.2">
      <c r="C307" s="93"/>
      <c r="D307" s="195"/>
      <c r="E307" s="99">
        <v>45546</v>
      </c>
      <c r="F307" s="128">
        <v>2.5000000000000001E-2</v>
      </c>
      <c r="G307" s="128">
        <v>2.5000000000000001E-2</v>
      </c>
      <c r="H307" s="128">
        <v>2.9000000000000001E-2</v>
      </c>
      <c r="I307" s="307"/>
      <c r="J307" s="308"/>
      <c r="K307" s="309"/>
      <c r="L307" s="117"/>
      <c r="M307" s="118"/>
    </row>
    <row r="308" spans="3:13" ht="23" x14ac:dyDescent="0.2">
      <c r="C308" s="93"/>
      <c r="D308" s="195"/>
      <c r="E308" s="99">
        <v>45518</v>
      </c>
      <c r="F308" s="128">
        <v>2.9000000000000001E-2</v>
      </c>
      <c r="G308" s="128">
        <v>0.03</v>
      </c>
      <c r="H308" s="128">
        <v>0.03</v>
      </c>
      <c r="I308" s="307"/>
      <c r="J308" s="308"/>
      <c r="K308" s="309"/>
      <c r="L308" s="117"/>
      <c r="M308" s="118"/>
    </row>
    <row r="309" spans="3:13" ht="23" x14ac:dyDescent="0.2">
      <c r="C309" s="93"/>
      <c r="D309" s="195"/>
      <c r="E309" s="99">
        <v>45484</v>
      </c>
      <c r="F309" s="128">
        <v>0.03</v>
      </c>
      <c r="G309" s="128">
        <v>3.1E-2</v>
      </c>
      <c r="H309" s="128">
        <v>3.3000000000000002E-2</v>
      </c>
      <c r="I309" s="307"/>
      <c r="J309" s="308"/>
      <c r="K309" s="309"/>
      <c r="L309" s="119"/>
      <c r="M309" s="118"/>
    </row>
    <row r="310" spans="3:13" ht="23" x14ac:dyDescent="0.2">
      <c r="C310" s="93"/>
      <c r="D310" s="195"/>
      <c r="E310" s="99">
        <v>45455</v>
      </c>
      <c r="F310" s="128">
        <v>3.3000000000000002E-2</v>
      </c>
      <c r="G310" s="128">
        <v>3.4000000000000002E-2</v>
      </c>
      <c r="H310" s="128">
        <v>3.4000000000000002E-2</v>
      </c>
      <c r="I310" s="307"/>
      <c r="J310" s="308"/>
      <c r="K310" s="309"/>
      <c r="L310" s="117"/>
      <c r="M310" s="118"/>
    </row>
    <row r="311" spans="3:13" ht="23" x14ac:dyDescent="0.2">
      <c r="C311" s="93"/>
      <c r="D311" s="195"/>
      <c r="E311" s="99">
        <v>45427</v>
      </c>
      <c r="F311" s="128">
        <v>3.4000000000000002E-2</v>
      </c>
      <c r="G311" s="128">
        <v>3.4000000000000002E-2</v>
      </c>
      <c r="H311" s="128">
        <v>3.5000000000000003E-2</v>
      </c>
      <c r="I311" s="307"/>
      <c r="J311" s="308"/>
      <c r="K311" s="309"/>
      <c r="L311" s="117"/>
      <c r="M311" s="118"/>
    </row>
    <row r="312" spans="3:13" ht="24" thickBot="1" x14ac:dyDescent="0.25">
      <c r="C312" s="93"/>
      <c r="D312" s="195"/>
      <c r="E312" s="99">
        <v>45392</v>
      </c>
      <c r="F312" s="128">
        <v>3.5000000000000003E-2</v>
      </c>
      <c r="G312" s="128">
        <v>3.4000000000000002E-2</v>
      </c>
      <c r="H312" s="128">
        <v>3.2000000000000001E-2</v>
      </c>
      <c r="I312" s="310"/>
      <c r="J312" s="311"/>
      <c r="K312" s="312"/>
      <c r="L312" s="120"/>
      <c r="M312" s="121"/>
    </row>
    <row r="313" spans="3:13" ht="25" thickBot="1" x14ac:dyDescent="0.25">
      <c r="C313" s="93"/>
      <c r="D313" s="89" t="s">
        <v>105</v>
      </c>
      <c r="E313" s="123" t="s">
        <v>30</v>
      </c>
      <c r="F313" s="363" t="s">
        <v>411</v>
      </c>
      <c r="G313" s="364"/>
      <c r="H313" s="365"/>
      <c r="I313" s="325" t="s">
        <v>633</v>
      </c>
      <c r="J313" s="326"/>
      <c r="K313" s="327"/>
      <c r="L313" s="124" t="s">
        <v>430</v>
      </c>
      <c r="M313" s="125" t="s">
        <v>431</v>
      </c>
    </row>
    <row r="314" spans="3:13" ht="24" x14ac:dyDescent="0.2">
      <c r="C314" s="93"/>
      <c r="D314" s="195"/>
      <c r="E314" s="122" t="s">
        <v>432</v>
      </c>
      <c r="F314" s="342"/>
      <c r="G314" s="343"/>
      <c r="H314" s="344"/>
      <c r="I314" s="307" t="s">
        <v>648</v>
      </c>
      <c r="J314" s="308"/>
      <c r="K314" s="309"/>
      <c r="L314" s="117"/>
      <c r="M314" s="118"/>
    </row>
    <row r="315" spans="3:13" ht="24" x14ac:dyDescent="0.2">
      <c r="C315" s="93"/>
      <c r="D315" s="195"/>
      <c r="E315" s="92" t="s">
        <v>433</v>
      </c>
      <c r="F315" s="345">
        <v>1E-3</v>
      </c>
      <c r="G315" s="346"/>
      <c r="H315" s="347"/>
      <c r="I315" s="307"/>
      <c r="J315" s="308"/>
      <c r="K315" s="309"/>
      <c r="L315" s="117"/>
      <c r="M315" s="118"/>
    </row>
    <row r="316" spans="3:13" ht="25" thickBot="1" x14ac:dyDescent="0.25">
      <c r="C316" s="93"/>
      <c r="D316" s="195"/>
      <c r="E316" s="92" t="s">
        <v>434</v>
      </c>
      <c r="F316" s="345">
        <v>2E-3</v>
      </c>
      <c r="G316" s="346"/>
      <c r="H316" s="347"/>
      <c r="I316" s="307"/>
      <c r="J316" s="308"/>
      <c r="K316" s="309"/>
      <c r="L316" s="117"/>
      <c r="M316" s="118"/>
    </row>
    <row r="317" spans="3:13" ht="25" thickBot="1" x14ac:dyDescent="0.25">
      <c r="C317" s="93"/>
      <c r="D317" s="195"/>
      <c r="E317" s="94" t="s">
        <v>435</v>
      </c>
      <c r="F317" s="360">
        <v>0.52083333333333337</v>
      </c>
      <c r="G317" s="361"/>
      <c r="H317" s="362"/>
      <c r="I317" s="307"/>
      <c r="J317" s="308"/>
      <c r="K317" s="309"/>
      <c r="L317" s="126">
        <v>0.75</v>
      </c>
      <c r="M317" s="127">
        <v>0.64583333333333337</v>
      </c>
    </row>
    <row r="318" spans="3:13" ht="25" thickBot="1" x14ac:dyDescent="0.25">
      <c r="C318" s="93"/>
      <c r="D318" s="195"/>
      <c r="E318" s="96" t="s">
        <v>436</v>
      </c>
      <c r="F318" s="97" t="s">
        <v>29</v>
      </c>
      <c r="G318" s="97" t="s">
        <v>28</v>
      </c>
      <c r="H318" s="98" t="s">
        <v>27</v>
      </c>
      <c r="I318" s="307"/>
      <c r="J318" s="308"/>
      <c r="K318" s="309"/>
      <c r="L318" s="117"/>
      <c r="M318" s="118"/>
    </row>
    <row r="319" spans="3:13" ht="23" x14ac:dyDescent="0.2">
      <c r="C319" s="93"/>
      <c r="D319" s="195"/>
      <c r="E319" s="99">
        <v>45546</v>
      </c>
      <c r="F319" s="128">
        <v>2E-3</v>
      </c>
      <c r="G319" s="128">
        <v>2E-3</v>
      </c>
      <c r="H319" s="128">
        <v>2E-3</v>
      </c>
      <c r="I319" s="307"/>
      <c r="J319" s="308"/>
      <c r="K319" s="309"/>
      <c r="L319" s="117"/>
      <c r="M319" s="118"/>
    </row>
    <row r="320" spans="3:13" ht="23" x14ac:dyDescent="0.2">
      <c r="C320" s="93"/>
      <c r="D320" s="195"/>
      <c r="E320" s="99">
        <v>45518</v>
      </c>
      <c r="F320" s="128">
        <v>2E-3</v>
      </c>
      <c r="G320" s="128">
        <v>2E-3</v>
      </c>
      <c r="H320" s="128">
        <v>-1E-3</v>
      </c>
      <c r="I320" s="307"/>
      <c r="J320" s="308"/>
      <c r="K320" s="309"/>
      <c r="L320" s="117"/>
      <c r="M320" s="118"/>
    </row>
    <row r="321" spans="3:13" ht="23" x14ac:dyDescent="0.2">
      <c r="C321" s="93"/>
      <c r="D321" s="195"/>
      <c r="E321" s="99">
        <v>45484</v>
      </c>
      <c r="F321" s="128">
        <v>-1E-3</v>
      </c>
      <c r="G321" s="128">
        <v>1E-3</v>
      </c>
      <c r="H321" s="128">
        <v>0</v>
      </c>
      <c r="I321" s="307"/>
      <c r="J321" s="308"/>
      <c r="K321" s="309"/>
      <c r="L321" s="119"/>
      <c r="M321" s="118"/>
    </row>
    <row r="322" spans="3:13" ht="23" x14ac:dyDescent="0.2">
      <c r="C322" s="93"/>
      <c r="D322" s="195"/>
      <c r="E322" s="99">
        <v>45455</v>
      </c>
      <c r="F322" s="128">
        <v>0</v>
      </c>
      <c r="G322" s="128">
        <v>1E-3</v>
      </c>
      <c r="H322" s="128">
        <v>3.0000000000000001E-3</v>
      </c>
      <c r="I322" s="307"/>
      <c r="J322" s="308"/>
      <c r="K322" s="309"/>
      <c r="L322" s="117"/>
      <c r="M322" s="118"/>
    </row>
    <row r="323" spans="3:13" ht="23" x14ac:dyDescent="0.2">
      <c r="C323" s="93"/>
      <c r="D323" s="195"/>
      <c r="E323" s="99">
        <v>45427</v>
      </c>
      <c r="F323" s="128">
        <v>3.0000000000000001E-3</v>
      </c>
      <c r="G323" s="128">
        <v>4.0000000000000001E-3</v>
      </c>
      <c r="H323" s="128">
        <v>4.0000000000000001E-3</v>
      </c>
      <c r="I323" s="307"/>
      <c r="J323" s="308"/>
      <c r="K323" s="309"/>
      <c r="L323" s="117"/>
      <c r="M323" s="118"/>
    </row>
    <row r="324" spans="3:13" ht="24" thickBot="1" x14ac:dyDescent="0.25">
      <c r="C324" s="93"/>
      <c r="D324" s="195"/>
      <c r="E324" s="99">
        <v>45392</v>
      </c>
      <c r="F324" s="128">
        <v>4.0000000000000001E-3</v>
      </c>
      <c r="G324" s="128">
        <v>3.0000000000000001E-3</v>
      </c>
      <c r="H324" s="128">
        <v>4.0000000000000001E-3</v>
      </c>
      <c r="I324" s="310"/>
      <c r="J324" s="311"/>
      <c r="K324" s="312"/>
      <c r="L324" s="120"/>
      <c r="M324" s="121"/>
    </row>
    <row r="325" spans="3:13" ht="25" thickBot="1" x14ac:dyDescent="0.25">
      <c r="C325" s="93"/>
      <c r="D325" s="89" t="s">
        <v>105</v>
      </c>
      <c r="E325" s="123" t="s">
        <v>30</v>
      </c>
      <c r="F325" s="363" t="s">
        <v>573</v>
      </c>
      <c r="G325" s="364"/>
      <c r="H325" s="365"/>
      <c r="I325" s="325" t="s">
        <v>651</v>
      </c>
      <c r="J325" s="326"/>
      <c r="K325" s="327"/>
      <c r="L325" s="124"/>
      <c r="M325" s="125"/>
    </row>
    <row r="326" spans="3:13" ht="24" x14ac:dyDescent="0.2">
      <c r="C326" s="93"/>
      <c r="D326" s="195"/>
      <c r="E326" s="122" t="s">
        <v>432</v>
      </c>
      <c r="F326" s="342"/>
      <c r="G326" s="343"/>
      <c r="H326" s="344"/>
      <c r="I326" s="307" t="s">
        <v>651</v>
      </c>
      <c r="J326" s="308"/>
      <c r="K326" s="309"/>
      <c r="L326" s="117"/>
      <c r="M326" s="118"/>
    </row>
    <row r="327" spans="3:13" ht="24" x14ac:dyDescent="0.2">
      <c r="C327" s="93"/>
      <c r="D327" s="195"/>
      <c r="E327" s="92" t="s">
        <v>433</v>
      </c>
      <c r="F327" s="345"/>
      <c r="G327" s="346"/>
      <c r="H327" s="347"/>
      <c r="I327" s="307"/>
      <c r="J327" s="308"/>
      <c r="K327" s="309"/>
      <c r="L327" s="117"/>
      <c r="M327" s="118"/>
    </row>
    <row r="328" spans="3:13" ht="25" thickBot="1" x14ac:dyDescent="0.25">
      <c r="C328" s="93"/>
      <c r="D328" s="195"/>
      <c r="E328" s="92" t="s">
        <v>434</v>
      </c>
      <c r="F328" s="345" t="s">
        <v>638</v>
      </c>
      <c r="G328" s="346"/>
      <c r="H328" s="347"/>
      <c r="I328" s="307"/>
      <c r="J328" s="308"/>
      <c r="K328" s="309"/>
      <c r="L328" s="117"/>
      <c r="M328" s="118"/>
    </row>
    <row r="329" spans="3:13" ht="25" thickBot="1" x14ac:dyDescent="0.25">
      <c r="C329" s="93"/>
      <c r="D329" s="195"/>
      <c r="E329" s="94" t="s">
        <v>435</v>
      </c>
      <c r="F329" s="360">
        <v>0.52083333333333337</v>
      </c>
      <c r="G329" s="361"/>
      <c r="H329" s="362"/>
      <c r="I329" s="307"/>
      <c r="J329" s="308"/>
      <c r="K329" s="309"/>
      <c r="L329" s="126">
        <v>0.75</v>
      </c>
      <c r="M329" s="127">
        <v>0.64583333333333337</v>
      </c>
    </row>
    <row r="330" spans="3:13" ht="25" thickBot="1" x14ac:dyDescent="0.25">
      <c r="C330" s="93"/>
      <c r="D330" s="195"/>
      <c r="E330" s="96" t="s">
        <v>436</v>
      </c>
      <c r="F330" s="97" t="s">
        <v>29</v>
      </c>
      <c r="G330" s="97" t="s">
        <v>28</v>
      </c>
      <c r="H330" s="98" t="s">
        <v>27</v>
      </c>
      <c r="I330" s="307"/>
      <c r="J330" s="308"/>
      <c r="K330" s="309"/>
      <c r="L330" s="117"/>
      <c r="M330" s="118"/>
    </row>
    <row r="331" spans="3:13" ht="24" x14ac:dyDescent="0.2">
      <c r="C331" s="93"/>
      <c r="D331" s="195"/>
      <c r="E331" s="99">
        <v>45568</v>
      </c>
      <c r="F331" s="128" t="s">
        <v>638</v>
      </c>
      <c r="G331" s="128" t="s">
        <v>72</v>
      </c>
      <c r="H331" s="128" t="s">
        <v>345</v>
      </c>
      <c r="I331" s="307"/>
      <c r="J331" s="308"/>
      <c r="K331" s="309"/>
      <c r="L331" s="117"/>
      <c r="M331" s="118"/>
    </row>
    <row r="332" spans="3:13" ht="24" x14ac:dyDescent="0.2">
      <c r="C332" s="93"/>
      <c r="D332" s="195"/>
      <c r="E332" s="99">
        <v>45561</v>
      </c>
      <c r="F332" s="128" t="s">
        <v>382</v>
      </c>
      <c r="G332" s="128" t="s">
        <v>574</v>
      </c>
      <c r="H332" s="128" t="s">
        <v>72</v>
      </c>
      <c r="I332" s="307"/>
      <c r="J332" s="308"/>
      <c r="K332" s="309"/>
      <c r="L332" s="117"/>
      <c r="M332" s="118"/>
    </row>
    <row r="333" spans="3:13" ht="24" x14ac:dyDescent="0.2">
      <c r="C333" s="93"/>
      <c r="D333" s="195"/>
      <c r="E333" s="99">
        <v>45554</v>
      </c>
      <c r="F333" s="128" t="s">
        <v>345</v>
      </c>
      <c r="G333" s="128" t="s">
        <v>576</v>
      </c>
      <c r="H333" s="128" t="s">
        <v>268</v>
      </c>
      <c r="I333" s="307"/>
      <c r="J333" s="308"/>
      <c r="K333" s="309"/>
      <c r="L333" s="119"/>
      <c r="M333" s="118"/>
    </row>
    <row r="334" spans="3:13" ht="24" x14ac:dyDescent="0.2">
      <c r="C334" s="93"/>
      <c r="D334" s="195"/>
      <c r="E334" s="99">
        <v>45547</v>
      </c>
      <c r="F334" s="128" t="s">
        <v>330</v>
      </c>
      <c r="G334" s="128" t="s">
        <v>578</v>
      </c>
      <c r="H334" s="128" t="s">
        <v>579</v>
      </c>
      <c r="I334" s="307"/>
      <c r="J334" s="308"/>
      <c r="K334" s="309"/>
      <c r="L334" s="117"/>
      <c r="M334" s="118"/>
    </row>
    <row r="335" spans="3:13" ht="24" x14ac:dyDescent="0.2">
      <c r="C335" s="93"/>
      <c r="D335" s="195"/>
      <c r="E335" s="99">
        <v>45540</v>
      </c>
      <c r="F335" s="128" t="s">
        <v>209</v>
      </c>
      <c r="G335" s="128" t="s">
        <v>580</v>
      </c>
      <c r="H335" s="128" t="s">
        <v>223</v>
      </c>
      <c r="I335" s="307"/>
      <c r="J335" s="308"/>
      <c r="K335" s="309"/>
      <c r="L335" s="117"/>
      <c r="M335" s="118"/>
    </row>
    <row r="336" spans="3:13" ht="25" thickBot="1" x14ac:dyDescent="0.25">
      <c r="C336" s="93"/>
      <c r="D336" s="195"/>
      <c r="E336" s="99">
        <v>45564</v>
      </c>
      <c r="F336" s="128" t="s">
        <v>268</v>
      </c>
      <c r="G336" s="128" t="s">
        <v>582</v>
      </c>
      <c r="H336" s="128" t="s">
        <v>13</v>
      </c>
      <c r="I336" s="310"/>
      <c r="J336" s="311"/>
      <c r="K336" s="312"/>
      <c r="L336" s="120"/>
      <c r="M336" s="121"/>
    </row>
    <row r="337" spans="3:13" ht="25" thickBot="1" x14ac:dyDescent="0.25">
      <c r="C337" s="93"/>
      <c r="D337" s="89" t="s">
        <v>105</v>
      </c>
      <c r="E337" s="123" t="s">
        <v>30</v>
      </c>
      <c r="F337" s="363" t="s">
        <v>174</v>
      </c>
      <c r="G337" s="364"/>
      <c r="H337" s="365"/>
      <c r="I337" s="325" t="s">
        <v>633</v>
      </c>
      <c r="J337" s="326"/>
      <c r="K337" s="327"/>
      <c r="L337" s="124" t="s">
        <v>430</v>
      </c>
      <c r="M337" s="125" t="s">
        <v>431</v>
      </c>
    </row>
    <row r="338" spans="3:13" ht="24" x14ac:dyDescent="0.2">
      <c r="C338" s="93"/>
      <c r="D338" s="195"/>
      <c r="E338" s="122" t="s">
        <v>432</v>
      </c>
      <c r="F338" s="342"/>
      <c r="G338" s="343"/>
      <c r="H338" s="344"/>
      <c r="I338" s="307" t="s">
        <v>652</v>
      </c>
      <c r="J338" s="308"/>
      <c r="K338" s="309"/>
      <c r="L338" s="117"/>
      <c r="M338" s="118"/>
    </row>
    <row r="339" spans="3:13" ht="24" x14ac:dyDescent="0.2">
      <c r="C339" s="93"/>
      <c r="D339" s="195"/>
      <c r="E339" s="92" t="s">
        <v>433</v>
      </c>
      <c r="F339" s="366">
        <v>0</v>
      </c>
      <c r="G339" s="367"/>
      <c r="H339" s="368"/>
      <c r="I339" s="307"/>
      <c r="J339" s="308"/>
      <c r="K339" s="309"/>
      <c r="L339" s="117"/>
      <c r="M339" s="118"/>
    </row>
    <row r="340" spans="3:13" ht="25" thickBot="1" x14ac:dyDescent="0.25">
      <c r="C340" s="93"/>
      <c r="D340" s="195"/>
      <c r="E340" s="92" t="s">
        <v>434</v>
      </c>
      <c r="F340" s="375">
        <v>4.0149999999999998E-2</v>
      </c>
      <c r="G340" s="376"/>
      <c r="H340" s="377"/>
      <c r="I340" s="307"/>
      <c r="J340" s="308"/>
      <c r="K340" s="309"/>
      <c r="L340" s="117"/>
      <c r="M340" s="118"/>
    </row>
    <row r="341" spans="3:13" ht="25" thickBot="1" x14ac:dyDescent="0.25">
      <c r="C341" s="93"/>
      <c r="D341" s="195"/>
      <c r="E341" s="94" t="s">
        <v>435</v>
      </c>
      <c r="F341" s="360">
        <v>0.70833333333333337</v>
      </c>
      <c r="G341" s="361"/>
      <c r="H341" s="362"/>
      <c r="I341" s="307"/>
      <c r="J341" s="308"/>
      <c r="K341" s="309"/>
      <c r="L341" s="126">
        <v>0.9375</v>
      </c>
      <c r="M341" s="127">
        <v>0.83333333333333337</v>
      </c>
    </row>
    <row r="342" spans="3:13" ht="25" thickBot="1" x14ac:dyDescent="0.25">
      <c r="C342" s="93"/>
      <c r="D342" s="195"/>
      <c r="E342" s="96" t="s">
        <v>436</v>
      </c>
      <c r="F342" s="97" t="s">
        <v>29</v>
      </c>
      <c r="G342" s="97" t="s">
        <v>28</v>
      </c>
      <c r="H342" s="98" t="s">
        <v>27</v>
      </c>
      <c r="I342" s="307"/>
      <c r="J342" s="308"/>
      <c r="K342" s="309"/>
      <c r="L342" s="117"/>
      <c r="M342" s="118"/>
    </row>
    <row r="343" spans="3:13" ht="23" x14ac:dyDescent="0.2">
      <c r="C343" s="93"/>
      <c r="D343" s="195"/>
      <c r="E343" s="99">
        <v>45547</v>
      </c>
      <c r="F343" s="128">
        <v>4.0149999999999998E-2</v>
      </c>
      <c r="G343" s="113"/>
      <c r="H343" s="128">
        <v>4.3139999999999998E-2</v>
      </c>
      <c r="I343" s="307"/>
      <c r="J343" s="308"/>
      <c r="K343" s="309"/>
      <c r="L343" s="117"/>
      <c r="M343" s="118"/>
    </row>
    <row r="344" spans="3:13" ht="23" x14ac:dyDescent="0.2">
      <c r="C344" s="93"/>
      <c r="D344" s="195"/>
      <c r="E344" s="99">
        <v>45512</v>
      </c>
      <c r="F344" s="128">
        <v>4.3139999999999998E-2</v>
      </c>
      <c r="G344" s="113"/>
      <c r="H344" s="128">
        <v>4.4049999999999999E-2</v>
      </c>
      <c r="I344" s="307"/>
      <c r="J344" s="308"/>
      <c r="K344" s="309"/>
      <c r="L344" s="117"/>
      <c r="M344" s="118"/>
    </row>
    <row r="345" spans="3:13" ht="23" x14ac:dyDescent="0.2">
      <c r="C345" s="93"/>
      <c r="D345" s="195"/>
      <c r="E345" s="99">
        <v>45484</v>
      </c>
      <c r="F345" s="128">
        <v>4.4049999999999999E-2</v>
      </c>
      <c r="G345" s="113"/>
      <c r="H345" s="128">
        <v>4.403E-2</v>
      </c>
      <c r="I345" s="307"/>
      <c r="J345" s="308"/>
      <c r="K345" s="309"/>
      <c r="L345" s="119"/>
      <c r="M345" s="118"/>
    </row>
    <row r="346" spans="3:13" ht="23" x14ac:dyDescent="0.2">
      <c r="C346" s="93"/>
      <c r="D346" s="195"/>
      <c r="E346" s="99">
        <v>45456</v>
      </c>
      <c r="F346" s="128">
        <v>4.403E-2</v>
      </c>
      <c r="G346" s="113"/>
      <c r="H346" s="128">
        <v>4.6350000000000002E-2</v>
      </c>
      <c r="I346" s="307"/>
      <c r="J346" s="308"/>
      <c r="K346" s="309"/>
      <c r="L346" s="117"/>
      <c r="M346" s="118"/>
    </row>
    <row r="347" spans="3:13" ht="23" x14ac:dyDescent="0.2">
      <c r="C347" s="93"/>
      <c r="D347" s="195"/>
      <c r="E347" s="99">
        <v>45421</v>
      </c>
      <c r="F347" s="128">
        <v>4.6350000000000002E-2</v>
      </c>
      <c r="G347" s="113"/>
      <c r="H347" s="128">
        <v>4.6710000000000002E-2</v>
      </c>
      <c r="I347" s="307"/>
      <c r="J347" s="308"/>
      <c r="K347" s="309"/>
      <c r="L347" s="117"/>
      <c r="M347" s="118"/>
    </row>
    <row r="348" spans="3:13" ht="24" thickBot="1" x14ac:dyDescent="0.25">
      <c r="C348" s="93"/>
      <c r="D348" s="195"/>
      <c r="E348" s="99">
        <v>45393</v>
      </c>
      <c r="F348" s="128">
        <v>4.6710000000000002E-2</v>
      </c>
      <c r="G348" s="113"/>
      <c r="H348" s="128">
        <v>4.3310000000000001E-2</v>
      </c>
      <c r="I348" s="310"/>
      <c r="J348" s="311"/>
      <c r="K348" s="312"/>
      <c r="L348" s="120"/>
      <c r="M348" s="121"/>
    </row>
    <row r="349" spans="3:13" ht="25" thickBot="1" x14ac:dyDescent="0.25">
      <c r="C349" s="93"/>
      <c r="D349" s="89" t="s">
        <v>105</v>
      </c>
      <c r="E349" s="123" t="s">
        <v>30</v>
      </c>
      <c r="F349" s="363" t="s">
        <v>653</v>
      </c>
      <c r="G349" s="364"/>
      <c r="H349" s="365"/>
      <c r="I349" s="325" t="s">
        <v>633</v>
      </c>
      <c r="J349" s="326"/>
      <c r="K349" s="327"/>
      <c r="L349" s="124" t="s">
        <v>430</v>
      </c>
      <c r="M349" s="125" t="s">
        <v>431</v>
      </c>
    </row>
    <row r="350" spans="3:13" ht="24" x14ac:dyDescent="0.2">
      <c r="C350" s="93"/>
      <c r="D350" s="195"/>
      <c r="E350" s="122" t="s">
        <v>432</v>
      </c>
      <c r="F350" s="342"/>
      <c r="G350" s="343"/>
      <c r="H350" s="344"/>
      <c r="I350" s="307" t="s">
        <v>654</v>
      </c>
      <c r="J350" s="308"/>
      <c r="K350" s="309"/>
      <c r="L350" s="117"/>
      <c r="M350" s="118"/>
    </row>
    <row r="351" spans="3:13" ht="24" x14ac:dyDescent="0.2">
      <c r="C351" s="93"/>
      <c r="D351" s="195"/>
      <c r="E351" s="92" t="s">
        <v>433</v>
      </c>
      <c r="F351" s="366">
        <v>0</v>
      </c>
      <c r="G351" s="367"/>
      <c r="H351" s="368"/>
      <c r="I351" s="307"/>
      <c r="J351" s="308"/>
      <c r="K351" s="309"/>
      <c r="L351" s="117"/>
      <c r="M351" s="118"/>
    </row>
    <row r="352" spans="3:13" ht="25" thickBot="1" x14ac:dyDescent="0.25">
      <c r="C352" s="93"/>
      <c r="D352" s="195"/>
      <c r="E352" s="92" t="s">
        <v>434</v>
      </c>
      <c r="F352" s="375">
        <v>0</v>
      </c>
      <c r="G352" s="376"/>
      <c r="H352" s="377"/>
      <c r="I352" s="307"/>
      <c r="J352" s="308"/>
      <c r="K352" s="309"/>
      <c r="L352" s="117"/>
      <c r="M352" s="118"/>
    </row>
    <row r="353" spans="3:13" ht="25" thickBot="1" x14ac:dyDescent="0.25">
      <c r="C353" s="93"/>
      <c r="D353" s="195"/>
      <c r="E353" s="94" t="s">
        <v>435</v>
      </c>
      <c r="F353" s="360">
        <v>0.25</v>
      </c>
      <c r="G353" s="361"/>
      <c r="H353" s="362"/>
      <c r="I353" s="307"/>
      <c r="J353" s="308"/>
      <c r="K353" s="309"/>
      <c r="L353" s="126">
        <v>0.47916666666666669</v>
      </c>
      <c r="M353" s="127">
        <v>0.375</v>
      </c>
    </row>
    <row r="354" spans="3:13" ht="25" thickBot="1" x14ac:dyDescent="0.25">
      <c r="C354" s="93"/>
      <c r="D354" s="195"/>
      <c r="E354" s="96" t="s">
        <v>436</v>
      </c>
      <c r="F354" s="97" t="s">
        <v>29</v>
      </c>
      <c r="G354" s="97" t="s">
        <v>28</v>
      </c>
      <c r="H354" s="98" t="s">
        <v>27</v>
      </c>
      <c r="I354" s="307"/>
      <c r="J354" s="308"/>
      <c r="K354" s="309"/>
      <c r="L354" s="117"/>
      <c r="M354" s="118"/>
    </row>
    <row r="355" spans="3:13" ht="23" x14ac:dyDescent="0.2">
      <c r="C355" s="93"/>
      <c r="D355" s="195"/>
      <c r="E355" s="99">
        <v>45546</v>
      </c>
      <c r="F355" s="128">
        <v>0</v>
      </c>
      <c r="G355" s="128">
        <v>2E-3</v>
      </c>
      <c r="H355" s="128">
        <v>0</v>
      </c>
      <c r="I355" s="307"/>
      <c r="J355" s="308"/>
      <c r="K355" s="309"/>
      <c r="L355" s="117"/>
      <c r="M355" s="118"/>
    </row>
    <row r="356" spans="3:13" ht="23" x14ac:dyDescent="0.2">
      <c r="C356" s="93"/>
      <c r="D356" s="195"/>
      <c r="E356" s="99">
        <v>45519</v>
      </c>
      <c r="F356" s="128">
        <v>0</v>
      </c>
      <c r="G356" s="128">
        <v>0</v>
      </c>
      <c r="H356" s="128">
        <v>4.0000000000000001E-3</v>
      </c>
      <c r="I356" s="307"/>
      <c r="J356" s="308"/>
      <c r="K356" s="309"/>
      <c r="L356" s="117"/>
      <c r="M356" s="118"/>
    </row>
    <row r="357" spans="3:13" ht="23" x14ac:dyDescent="0.2">
      <c r="C357" s="93"/>
      <c r="D357" s="195"/>
      <c r="E357" s="99">
        <v>45484</v>
      </c>
      <c r="F357" s="128">
        <v>4.0000000000000001E-3</v>
      </c>
      <c r="G357" s="128">
        <v>2E-3</v>
      </c>
      <c r="H357" s="128">
        <v>0</v>
      </c>
      <c r="I357" s="307"/>
      <c r="J357" s="308"/>
      <c r="K357" s="309"/>
      <c r="L357" s="119"/>
      <c r="M357" s="118"/>
    </row>
    <row r="358" spans="3:13" ht="23" x14ac:dyDescent="0.2">
      <c r="C358" s="93"/>
      <c r="D358" s="195"/>
      <c r="E358" s="99">
        <v>45455</v>
      </c>
      <c r="F358" s="128">
        <v>0</v>
      </c>
      <c r="G358" s="128">
        <v>0</v>
      </c>
      <c r="H358" s="128">
        <v>4.0000000000000001E-3</v>
      </c>
      <c r="I358" s="307"/>
      <c r="J358" s="308"/>
      <c r="K358" s="309"/>
      <c r="L358" s="117"/>
      <c r="M358" s="118"/>
    </row>
    <row r="359" spans="3:13" ht="23" x14ac:dyDescent="0.2">
      <c r="C359" s="93"/>
      <c r="D359" s="195"/>
      <c r="E359" s="99">
        <v>45422</v>
      </c>
      <c r="F359" s="128">
        <v>4.0000000000000001E-3</v>
      </c>
      <c r="G359" s="128">
        <v>1E-3</v>
      </c>
      <c r="H359" s="128">
        <v>2E-3</v>
      </c>
      <c r="I359" s="307"/>
      <c r="J359" s="308"/>
      <c r="K359" s="309"/>
      <c r="L359" s="117"/>
      <c r="M359" s="118"/>
    </row>
    <row r="360" spans="3:13" ht="24" thickBot="1" x14ac:dyDescent="0.25">
      <c r="C360" s="93"/>
      <c r="D360" s="195"/>
      <c r="E360" s="99">
        <v>45394</v>
      </c>
      <c r="F360" s="128">
        <v>1E-3</v>
      </c>
      <c r="G360" s="128">
        <v>1E-3</v>
      </c>
      <c r="H360" s="128">
        <v>3.0000000000000001E-3</v>
      </c>
      <c r="I360" s="310"/>
      <c r="J360" s="311"/>
      <c r="K360" s="312"/>
      <c r="L360" s="120"/>
      <c r="M360" s="121"/>
    </row>
    <row r="361" spans="3:13" ht="25" thickBot="1" x14ac:dyDescent="0.25">
      <c r="C361" s="93"/>
      <c r="D361" s="89" t="s">
        <v>105</v>
      </c>
      <c r="E361" s="123" t="s">
        <v>30</v>
      </c>
      <c r="F361" s="363" t="s">
        <v>388</v>
      </c>
      <c r="G361" s="364"/>
      <c r="H361" s="365"/>
      <c r="I361" s="325" t="s">
        <v>633</v>
      </c>
      <c r="J361" s="326"/>
      <c r="K361" s="327"/>
      <c r="L361" s="124" t="s">
        <v>430</v>
      </c>
      <c r="M361" s="125" t="s">
        <v>431</v>
      </c>
    </row>
    <row r="362" spans="3:13" ht="24" x14ac:dyDescent="0.2">
      <c r="C362" s="93"/>
      <c r="D362" s="195"/>
      <c r="E362" s="122" t="s">
        <v>432</v>
      </c>
      <c r="F362" s="342"/>
      <c r="G362" s="343"/>
      <c r="H362" s="344"/>
      <c r="I362" s="307" t="s">
        <v>389</v>
      </c>
      <c r="J362" s="308"/>
      <c r="K362" s="309"/>
      <c r="L362" s="117"/>
      <c r="M362" s="118"/>
    </row>
    <row r="363" spans="3:13" ht="24" x14ac:dyDescent="0.2">
      <c r="C363" s="93"/>
      <c r="D363" s="195"/>
      <c r="E363" s="92" t="s">
        <v>433</v>
      </c>
      <c r="F363" s="375">
        <v>0</v>
      </c>
      <c r="G363" s="376"/>
      <c r="H363" s="377"/>
      <c r="I363" s="307"/>
      <c r="J363" s="308"/>
      <c r="K363" s="309"/>
      <c r="L363" s="117"/>
      <c r="M363" s="118"/>
    </row>
    <row r="364" spans="3:13" ht="25" thickBot="1" x14ac:dyDescent="0.25">
      <c r="C364" s="93"/>
      <c r="D364" s="195"/>
      <c r="E364" s="92" t="s">
        <v>434</v>
      </c>
      <c r="F364" s="375">
        <v>-1E-3</v>
      </c>
      <c r="G364" s="376"/>
      <c r="H364" s="377"/>
      <c r="I364" s="307"/>
      <c r="J364" s="308"/>
      <c r="K364" s="309"/>
      <c r="L364" s="117"/>
      <c r="M364" s="118"/>
    </row>
    <row r="365" spans="3:13" ht="25" thickBot="1" x14ac:dyDescent="0.25">
      <c r="C365" s="93"/>
      <c r="D365" s="195"/>
      <c r="E365" s="94" t="s">
        <v>435</v>
      </c>
      <c r="F365" s="360">
        <v>0.25</v>
      </c>
      <c r="G365" s="361"/>
      <c r="H365" s="362"/>
      <c r="I365" s="307"/>
      <c r="J365" s="308"/>
      <c r="K365" s="309"/>
      <c r="L365" s="126">
        <v>0.47916666666666669</v>
      </c>
      <c r="M365" s="127">
        <v>0.375</v>
      </c>
    </row>
    <row r="366" spans="3:13" ht="25" thickBot="1" x14ac:dyDescent="0.25">
      <c r="C366" s="93"/>
      <c r="D366" s="195"/>
      <c r="E366" s="96" t="s">
        <v>436</v>
      </c>
      <c r="F366" s="97" t="s">
        <v>29</v>
      </c>
      <c r="G366" s="97" t="s">
        <v>28</v>
      </c>
      <c r="H366" s="98" t="s">
        <v>27</v>
      </c>
      <c r="I366" s="307"/>
      <c r="J366" s="308"/>
      <c r="K366" s="309"/>
      <c r="L366" s="117"/>
      <c r="M366" s="118"/>
    </row>
    <row r="367" spans="3:13" ht="23" x14ac:dyDescent="0.2">
      <c r="C367" s="93"/>
      <c r="D367" s="195"/>
      <c r="E367" s="99">
        <v>45565</v>
      </c>
      <c r="F367" s="128">
        <v>0</v>
      </c>
      <c r="G367" s="128">
        <v>1E-3</v>
      </c>
      <c r="H367" s="128">
        <v>-1E-3</v>
      </c>
      <c r="I367" s="307"/>
      <c r="J367" s="308"/>
      <c r="K367" s="309"/>
      <c r="L367" s="117"/>
      <c r="M367" s="118"/>
    </row>
    <row r="368" spans="3:13" ht="23" x14ac:dyDescent="0.2">
      <c r="C368" s="93"/>
      <c r="D368" s="195"/>
      <c r="E368" s="99">
        <v>45545</v>
      </c>
      <c r="F368" s="128">
        <v>-1E-3</v>
      </c>
      <c r="G368" s="128">
        <v>-1E-3</v>
      </c>
      <c r="H368" s="128">
        <v>3.0000000000000001E-3</v>
      </c>
      <c r="I368" s="307"/>
      <c r="J368" s="308"/>
      <c r="K368" s="309"/>
      <c r="L368" s="117"/>
      <c r="M368" s="118"/>
    </row>
    <row r="369" spans="3:13" ht="23" x14ac:dyDescent="0.2">
      <c r="C369" s="93"/>
      <c r="D369" s="195"/>
      <c r="E369" s="99">
        <v>45533</v>
      </c>
      <c r="F369" s="128">
        <v>-1E-3</v>
      </c>
      <c r="G369" s="128">
        <v>0</v>
      </c>
      <c r="H369" s="128">
        <v>3.0000000000000001E-3</v>
      </c>
      <c r="I369" s="307"/>
      <c r="J369" s="308"/>
      <c r="K369" s="309"/>
      <c r="L369" s="119"/>
      <c r="M369" s="118"/>
    </row>
    <row r="370" spans="3:13" ht="23" x14ac:dyDescent="0.2">
      <c r="C370" s="93"/>
      <c r="D370" s="195"/>
      <c r="E370" s="99">
        <v>45513</v>
      </c>
      <c r="F370" s="128">
        <v>3.0000000000000001E-3</v>
      </c>
      <c r="G370" s="128">
        <v>3.0000000000000001E-3</v>
      </c>
      <c r="H370" s="128">
        <v>1E-3</v>
      </c>
      <c r="I370" s="307"/>
      <c r="J370" s="308"/>
      <c r="K370" s="309"/>
      <c r="L370" s="117"/>
      <c r="M370" s="118"/>
    </row>
    <row r="371" spans="3:13" ht="23" x14ac:dyDescent="0.2">
      <c r="C371" s="93"/>
      <c r="D371" s="195"/>
      <c r="E371" s="99">
        <v>45503</v>
      </c>
      <c r="F371" s="128">
        <v>3.0000000000000001E-3</v>
      </c>
      <c r="G371" s="128">
        <v>3.0000000000000001E-3</v>
      </c>
      <c r="H371" s="128">
        <v>1E-3</v>
      </c>
      <c r="I371" s="307"/>
      <c r="J371" s="308"/>
      <c r="K371" s="309"/>
      <c r="L371" s="117"/>
      <c r="M371" s="118"/>
    </row>
    <row r="372" spans="3:13" ht="24" thickBot="1" x14ac:dyDescent="0.25">
      <c r="C372" s="93"/>
      <c r="D372" s="195"/>
      <c r="E372" s="99">
        <v>45484</v>
      </c>
      <c r="F372" s="128">
        <v>1E-3</v>
      </c>
      <c r="G372" s="128">
        <v>1E-3</v>
      </c>
      <c r="H372" s="128">
        <v>1E-3</v>
      </c>
      <c r="I372" s="310"/>
      <c r="J372" s="311"/>
      <c r="K372" s="312"/>
      <c r="L372" s="120"/>
      <c r="M372" s="121"/>
    </row>
    <row r="373" spans="3:13" ht="25" thickBot="1" x14ac:dyDescent="0.25">
      <c r="C373" s="93"/>
      <c r="D373" s="89" t="s">
        <v>105</v>
      </c>
      <c r="E373" s="123" t="s">
        <v>30</v>
      </c>
      <c r="F373" s="363" t="s">
        <v>655</v>
      </c>
      <c r="G373" s="364"/>
      <c r="H373" s="365"/>
      <c r="I373" s="325" t="s">
        <v>633</v>
      </c>
      <c r="J373" s="326"/>
      <c r="K373" s="327"/>
      <c r="L373" s="124" t="s">
        <v>430</v>
      </c>
      <c r="M373" s="125" t="s">
        <v>431</v>
      </c>
    </row>
    <row r="374" spans="3:13" ht="24" x14ac:dyDescent="0.2">
      <c r="C374" s="93"/>
      <c r="D374" s="195"/>
      <c r="E374" s="122" t="s">
        <v>432</v>
      </c>
      <c r="F374" s="342"/>
      <c r="G374" s="343"/>
      <c r="H374" s="344"/>
      <c r="I374" s="307" t="s">
        <v>656</v>
      </c>
      <c r="J374" s="308"/>
      <c r="K374" s="309"/>
      <c r="L374" s="117"/>
      <c r="M374" s="118"/>
    </row>
    <row r="375" spans="3:13" ht="24" x14ac:dyDescent="0.2">
      <c r="C375" s="93"/>
      <c r="D375" s="195"/>
      <c r="E375" s="92" t="s">
        <v>433</v>
      </c>
      <c r="F375" s="375">
        <v>1E-3</v>
      </c>
      <c r="G375" s="376"/>
      <c r="H375" s="377"/>
      <c r="I375" s="307"/>
      <c r="J375" s="308"/>
      <c r="K375" s="309"/>
      <c r="L375" s="117"/>
      <c r="M375" s="118"/>
    </row>
    <row r="376" spans="3:13" ht="25" thickBot="1" x14ac:dyDescent="0.25">
      <c r="C376" s="93"/>
      <c r="D376" s="195"/>
      <c r="E376" s="92" t="s">
        <v>434</v>
      </c>
      <c r="F376" s="375">
        <v>2E-3</v>
      </c>
      <c r="G376" s="376"/>
      <c r="H376" s="377"/>
      <c r="I376" s="307"/>
      <c r="J376" s="308"/>
      <c r="K376" s="309"/>
      <c r="L376" s="117"/>
      <c r="M376" s="118"/>
    </row>
    <row r="377" spans="3:13" ht="25" thickBot="1" x14ac:dyDescent="0.25">
      <c r="C377" s="93"/>
      <c r="D377" s="195"/>
      <c r="E377" s="94" t="s">
        <v>435</v>
      </c>
      <c r="F377" s="360">
        <v>0.52083333333333337</v>
      </c>
      <c r="G377" s="361"/>
      <c r="H377" s="362"/>
      <c r="I377" s="307"/>
      <c r="J377" s="308"/>
      <c r="K377" s="309"/>
      <c r="L377" s="126">
        <v>0.75</v>
      </c>
      <c r="M377" s="127">
        <v>0.64583333333333337</v>
      </c>
    </row>
    <row r="378" spans="3:13" ht="25" thickBot="1" x14ac:dyDescent="0.25">
      <c r="C378" s="93"/>
      <c r="D378" s="195"/>
      <c r="E378" s="96" t="s">
        <v>436</v>
      </c>
      <c r="F378" s="97" t="s">
        <v>29</v>
      </c>
      <c r="G378" s="97" t="s">
        <v>28</v>
      </c>
      <c r="H378" s="98" t="s">
        <v>27</v>
      </c>
      <c r="I378" s="307"/>
      <c r="J378" s="308"/>
      <c r="K378" s="309"/>
      <c r="L378" s="117"/>
      <c r="M378" s="118"/>
    </row>
    <row r="379" spans="3:13" ht="23" x14ac:dyDescent="0.2">
      <c r="C379" s="93"/>
      <c r="D379" s="195"/>
      <c r="E379" s="99">
        <v>45547</v>
      </c>
      <c r="F379" s="128">
        <v>2E-3</v>
      </c>
      <c r="G379" s="128">
        <v>1E-3</v>
      </c>
      <c r="H379" s="128">
        <v>0</v>
      </c>
      <c r="I379" s="307"/>
      <c r="J379" s="308"/>
      <c r="K379" s="309"/>
      <c r="L379" s="117"/>
      <c r="M379" s="118"/>
    </row>
    <row r="380" spans="3:13" ht="23" x14ac:dyDescent="0.2">
      <c r="C380" s="93"/>
      <c r="D380" s="195"/>
      <c r="E380" s="99">
        <v>45517</v>
      </c>
      <c r="F380" s="128">
        <v>1E-3</v>
      </c>
      <c r="G380" s="128">
        <v>2E-3</v>
      </c>
      <c r="H380" s="128">
        <v>2E-3</v>
      </c>
      <c r="I380" s="307"/>
      <c r="J380" s="308"/>
      <c r="K380" s="309"/>
      <c r="L380" s="117"/>
      <c r="M380" s="118"/>
    </row>
    <row r="381" spans="3:13" ht="23" x14ac:dyDescent="0.2">
      <c r="C381" s="93"/>
      <c r="D381" s="195"/>
      <c r="E381" s="99">
        <v>45485</v>
      </c>
      <c r="F381" s="128">
        <v>2E-3</v>
      </c>
      <c r="G381" s="128">
        <v>1E-3</v>
      </c>
      <c r="H381" s="128">
        <v>0</v>
      </c>
      <c r="I381" s="307"/>
      <c r="J381" s="308"/>
      <c r="K381" s="309"/>
      <c r="L381" s="119"/>
      <c r="M381" s="118"/>
    </row>
    <row r="382" spans="3:13" ht="23" x14ac:dyDescent="0.2">
      <c r="C382" s="93"/>
      <c r="D382" s="195"/>
      <c r="E382" s="99">
        <v>45456</v>
      </c>
      <c r="F382" s="128">
        <v>-2E-3</v>
      </c>
      <c r="G382" s="128">
        <v>1E-3</v>
      </c>
      <c r="H382" s="128">
        <v>5.0000000000000001E-3</v>
      </c>
      <c r="I382" s="307"/>
      <c r="J382" s="308"/>
      <c r="K382" s="309"/>
      <c r="L382" s="117"/>
      <c r="M382" s="118"/>
    </row>
    <row r="383" spans="3:13" ht="23" x14ac:dyDescent="0.2">
      <c r="C383" s="93"/>
      <c r="D383" s="195"/>
      <c r="E383" s="99">
        <v>45426</v>
      </c>
      <c r="F383" s="128">
        <v>5.0000000000000001E-3</v>
      </c>
      <c r="G383" s="128">
        <v>3.0000000000000001E-3</v>
      </c>
      <c r="H383" s="128">
        <v>-1E-3</v>
      </c>
      <c r="I383" s="307"/>
      <c r="J383" s="308"/>
      <c r="K383" s="309"/>
      <c r="L383" s="117"/>
      <c r="M383" s="118"/>
    </row>
    <row r="384" spans="3:13" ht="24" thickBot="1" x14ac:dyDescent="0.25">
      <c r="C384" s="93"/>
      <c r="D384" s="195"/>
      <c r="E384" s="99">
        <v>45393</v>
      </c>
      <c r="F384" s="128">
        <v>2E-3</v>
      </c>
      <c r="G384" s="128">
        <v>3.0000000000000001E-3</v>
      </c>
      <c r="H384" s="128">
        <v>6.0000000000000001E-3</v>
      </c>
      <c r="I384" s="310"/>
      <c r="J384" s="311"/>
      <c r="K384" s="312"/>
      <c r="L384" s="120"/>
      <c r="M384" s="121"/>
    </row>
    <row r="385" spans="3:13" ht="25" thickBot="1" x14ac:dyDescent="0.25">
      <c r="C385" s="93"/>
      <c r="D385" s="89" t="s">
        <v>105</v>
      </c>
      <c r="E385" s="123" t="s">
        <v>30</v>
      </c>
      <c r="F385" s="363" t="s">
        <v>657</v>
      </c>
      <c r="G385" s="364"/>
      <c r="H385" s="365"/>
      <c r="I385" s="325" t="s">
        <v>633</v>
      </c>
      <c r="J385" s="326"/>
      <c r="K385" s="327"/>
      <c r="L385" s="124" t="s">
        <v>430</v>
      </c>
      <c r="M385" s="125" t="s">
        <v>431</v>
      </c>
    </row>
    <row r="386" spans="3:13" ht="24" x14ac:dyDescent="0.2">
      <c r="C386" s="93"/>
      <c r="D386" s="195"/>
      <c r="E386" s="122" t="s">
        <v>432</v>
      </c>
      <c r="F386" s="342"/>
      <c r="G386" s="343"/>
      <c r="H386" s="344"/>
      <c r="I386" s="307" t="s">
        <v>658</v>
      </c>
      <c r="J386" s="308"/>
      <c r="K386" s="309"/>
      <c r="L386" s="117"/>
      <c r="M386" s="118"/>
    </row>
    <row r="387" spans="3:13" ht="24" x14ac:dyDescent="0.2">
      <c r="C387" s="93"/>
      <c r="D387" s="195"/>
      <c r="E387" s="92" t="s">
        <v>433</v>
      </c>
      <c r="F387" s="375"/>
      <c r="G387" s="376"/>
      <c r="H387" s="377"/>
      <c r="I387" s="307"/>
      <c r="J387" s="308"/>
      <c r="K387" s="309"/>
      <c r="L387" s="117"/>
      <c r="M387" s="118"/>
    </row>
    <row r="388" spans="3:13" ht="25" thickBot="1" x14ac:dyDescent="0.25">
      <c r="C388" s="93"/>
      <c r="D388" s="195"/>
      <c r="E388" s="92" t="s">
        <v>434</v>
      </c>
      <c r="F388" s="375">
        <v>2.7E-2</v>
      </c>
      <c r="G388" s="376"/>
      <c r="H388" s="377"/>
      <c r="I388" s="307"/>
      <c r="J388" s="308"/>
      <c r="K388" s="309"/>
      <c r="L388" s="117"/>
      <c r="M388" s="118"/>
    </row>
    <row r="389" spans="3:13" ht="25" thickBot="1" x14ac:dyDescent="0.25">
      <c r="C389" s="93"/>
      <c r="D389" s="195"/>
      <c r="E389" s="94" t="s">
        <v>435</v>
      </c>
      <c r="F389" s="360">
        <v>0.58333333333333337</v>
      </c>
      <c r="G389" s="361"/>
      <c r="H389" s="362"/>
      <c r="I389" s="307"/>
      <c r="J389" s="308"/>
      <c r="K389" s="309"/>
      <c r="L389" s="126">
        <v>0.8125</v>
      </c>
      <c r="M389" s="127">
        <v>0.70833333333333337</v>
      </c>
    </row>
    <row r="390" spans="3:13" ht="25" thickBot="1" x14ac:dyDescent="0.25">
      <c r="C390" s="93"/>
      <c r="D390" s="195"/>
      <c r="E390" s="96" t="s">
        <v>436</v>
      </c>
      <c r="F390" s="97" t="s">
        <v>29</v>
      </c>
      <c r="G390" s="97" t="s">
        <v>28</v>
      </c>
      <c r="H390" s="98" t="s">
        <v>27</v>
      </c>
      <c r="I390" s="307"/>
      <c r="J390" s="308"/>
      <c r="K390" s="309"/>
      <c r="L390" s="117"/>
      <c r="M390" s="118"/>
    </row>
    <row r="391" spans="3:13" ht="24" x14ac:dyDescent="0.2">
      <c r="C391" s="93"/>
      <c r="D391" s="195"/>
      <c r="E391" s="99">
        <v>45562</v>
      </c>
      <c r="F391" s="128">
        <v>2.7E-2</v>
      </c>
      <c r="G391" s="128" t="s">
        <v>665</v>
      </c>
      <c r="H391" s="128">
        <v>2.7E-2</v>
      </c>
      <c r="I391" s="307"/>
      <c r="J391" s="308"/>
      <c r="K391" s="309"/>
      <c r="L391" s="117"/>
      <c r="M391" s="118"/>
    </row>
    <row r="392" spans="3:13" ht="24" x14ac:dyDescent="0.2">
      <c r="C392" s="93"/>
      <c r="D392" s="195"/>
      <c r="E392" s="99">
        <v>45548</v>
      </c>
      <c r="F392" s="128">
        <v>2.7E-2</v>
      </c>
      <c r="G392" s="128" t="s">
        <v>666</v>
      </c>
      <c r="H392" s="128">
        <v>2.8000000000000001E-2</v>
      </c>
      <c r="I392" s="307"/>
      <c r="J392" s="308"/>
      <c r="K392" s="309"/>
      <c r="L392" s="117"/>
      <c r="M392" s="118"/>
    </row>
    <row r="393" spans="3:13" ht="24" x14ac:dyDescent="0.2">
      <c r="C393" s="93"/>
      <c r="D393" s="195"/>
      <c r="E393" s="99">
        <v>45534</v>
      </c>
      <c r="F393" s="128">
        <v>2.8000000000000001E-2</v>
      </c>
      <c r="G393" s="128" t="s">
        <v>667</v>
      </c>
      <c r="H393" s="128">
        <v>2.9000000000000001E-2</v>
      </c>
      <c r="I393" s="307"/>
      <c r="J393" s="308"/>
      <c r="K393" s="309"/>
      <c r="L393" s="119"/>
      <c r="M393" s="118"/>
    </row>
    <row r="394" spans="3:13" ht="24" x14ac:dyDescent="0.2">
      <c r="C394" s="93"/>
      <c r="D394" s="195"/>
      <c r="E394" s="99">
        <v>45520</v>
      </c>
      <c r="F394" s="128">
        <v>2.9000000000000001E-2</v>
      </c>
      <c r="G394" s="128" t="s">
        <v>666</v>
      </c>
      <c r="H394" s="128">
        <v>2.9000000000000001E-2</v>
      </c>
      <c r="I394" s="307"/>
      <c r="J394" s="308"/>
      <c r="K394" s="309"/>
      <c r="L394" s="117"/>
      <c r="M394" s="118"/>
    </row>
    <row r="395" spans="3:13" ht="24" x14ac:dyDescent="0.2">
      <c r="C395" s="93"/>
      <c r="D395" s="195"/>
      <c r="E395" s="99">
        <v>45530</v>
      </c>
      <c r="F395" s="128">
        <v>2.9000000000000001E-2</v>
      </c>
      <c r="G395" s="128" t="s">
        <v>667</v>
      </c>
      <c r="H395" s="128">
        <v>0.03</v>
      </c>
      <c r="I395" s="307"/>
      <c r="J395" s="308"/>
      <c r="K395" s="309"/>
      <c r="L395" s="117"/>
      <c r="M395" s="118"/>
    </row>
    <row r="396" spans="3:13" ht="25" thickBot="1" x14ac:dyDescent="0.25">
      <c r="C396" s="93"/>
      <c r="D396" s="195"/>
      <c r="E396" s="99">
        <v>45485</v>
      </c>
      <c r="F396" s="128">
        <v>2.9000000000000001E-2</v>
      </c>
      <c r="G396" s="128" t="s">
        <v>667</v>
      </c>
      <c r="H396" s="128">
        <v>0.03</v>
      </c>
      <c r="I396" s="310"/>
      <c r="J396" s="311"/>
      <c r="K396" s="312"/>
      <c r="L396" s="120"/>
      <c r="M396" s="121"/>
    </row>
    <row r="397" spans="3:13" ht="25" thickBot="1" x14ac:dyDescent="0.25">
      <c r="C397" s="93"/>
      <c r="D397" s="89" t="s">
        <v>105</v>
      </c>
      <c r="E397" s="123" t="s">
        <v>30</v>
      </c>
      <c r="F397" s="363" t="s">
        <v>659</v>
      </c>
      <c r="G397" s="364"/>
      <c r="H397" s="365"/>
      <c r="I397" s="325" t="s">
        <v>633</v>
      </c>
      <c r="J397" s="326"/>
      <c r="K397" s="327"/>
      <c r="L397" s="124" t="s">
        <v>430</v>
      </c>
      <c r="M397" s="125" t="s">
        <v>431</v>
      </c>
    </row>
    <row r="398" spans="3:13" ht="24" x14ac:dyDescent="0.2">
      <c r="C398" s="93"/>
      <c r="D398" s="195"/>
      <c r="E398" s="122" t="s">
        <v>432</v>
      </c>
      <c r="F398" s="342"/>
      <c r="G398" s="343"/>
      <c r="H398" s="344"/>
      <c r="I398" s="307" t="s">
        <v>660</v>
      </c>
      <c r="J398" s="308"/>
      <c r="K398" s="309"/>
      <c r="L398" s="117"/>
      <c r="M398" s="118"/>
    </row>
    <row r="399" spans="3:13" ht="24" x14ac:dyDescent="0.2">
      <c r="C399" s="93"/>
      <c r="D399" s="195"/>
      <c r="E399" s="92" t="s">
        <v>433</v>
      </c>
      <c r="F399" s="375"/>
      <c r="G399" s="376"/>
      <c r="H399" s="377"/>
      <c r="I399" s="307"/>
      <c r="J399" s="308"/>
      <c r="K399" s="309"/>
      <c r="L399" s="117"/>
      <c r="M399" s="118"/>
    </row>
    <row r="400" spans="3:13" ht="25" thickBot="1" x14ac:dyDescent="0.25">
      <c r="C400" s="93"/>
      <c r="D400" s="195"/>
      <c r="E400" s="92" t="s">
        <v>434</v>
      </c>
      <c r="F400" s="375">
        <v>3.1E-2</v>
      </c>
      <c r="G400" s="376"/>
      <c r="H400" s="377"/>
      <c r="I400" s="307"/>
      <c r="J400" s="308"/>
      <c r="K400" s="309"/>
      <c r="L400" s="117"/>
      <c r="M400" s="118"/>
    </row>
    <row r="401" spans="3:13" ht="25" thickBot="1" x14ac:dyDescent="0.25">
      <c r="C401" s="93"/>
      <c r="D401" s="195"/>
      <c r="E401" s="94" t="s">
        <v>435</v>
      </c>
      <c r="F401" s="360">
        <v>0.58333333333333337</v>
      </c>
      <c r="G401" s="361"/>
      <c r="H401" s="362"/>
      <c r="I401" s="307"/>
      <c r="J401" s="308"/>
      <c r="K401" s="309"/>
      <c r="L401" s="126">
        <v>0.8125</v>
      </c>
      <c r="M401" s="127">
        <v>0.70833333333333337</v>
      </c>
    </row>
    <row r="402" spans="3:13" ht="25" thickBot="1" x14ac:dyDescent="0.25">
      <c r="C402" s="93"/>
      <c r="D402" s="195"/>
      <c r="E402" s="96" t="s">
        <v>436</v>
      </c>
      <c r="F402" s="97" t="s">
        <v>29</v>
      </c>
      <c r="G402" s="97" t="s">
        <v>28</v>
      </c>
      <c r="H402" s="98" t="s">
        <v>27</v>
      </c>
      <c r="I402" s="307"/>
      <c r="J402" s="308"/>
      <c r="K402" s="309"/>
      <c r="L402" s="117"/>
      <c r="M402" s="118"/>
    </row>
    <row r="403" spans="3:13" ht="24" x14ac:dyDescent="0.2">
      <c r="C403" s="93"/>
      <c r="D403" s="195"/>
      <c r="E403" s="99">
        <v>45562</v>
      </c>
      <c r="F403" s="128">
        <v>3.1E-2</v>
      </c>
      <c r="G403" s="128" t="s">
        <v>668</v>
      </c>
      <c r="H403" s="128">
        <v>3.1E-2</v>
      </c>
      <c r="I403" s="307"/>
      <c r="J403" s="308"/>
      <c r="K403" s="309"/>
      <c r="L403" s="117"/>
      <c r="M403" s="118"/>
    </row>
    <row r="404" spans="3:13" ht="24" x14ac:dyDescent="0.2">
      <c r="C404" s="93"/>
      <c r="D404" s="195"/>
      <c r="E404" s="99">
        <v>45548</v>
      </c>
      <c r="F404" s="128">
        <v>3.1E-2</v>
      </c>
      <c r="G404" s="128" t="s">
        <v>669</v>
      </c>
      <c r="H404" s="128">
        <v>0.03</v>
      </c>
      <c r="I404" s="307"/>
      <c r="J404" s="308"/>
      <c r="K404" s="309"/>
      <c r="L404" s="117"/>
      <c r="M404" s="118"/>
    </row>
    <row r="405" spans="3:13" ht="24" x14ac:dyDescent="0.2">
      <c r="C405" s="93"/>
      <c r="D405" s="195"/>
      <c r="E405" s="99">
        <v>45534</v>
      </c>
      <c r="F405" s="128">
        <v>0.03</v>
      </c>
      <c r="G405" s="128" t="s">
        <v>669</v>
      </c>
      <c r="H405" s="128">
        <v>0.03</v>
      </c>
      <c r="I405" s="307"/>
      <c r="J405" s="308"/>
      <c r="K405" s="309"/>
      <c r="L405" s="119"/>
      <c r="M405" s="118"/>
    </row>
    <row r="406" spans="3:13" ht="24" x14ac:dyDescent="0.2">
      <c r="C406" s="93"/>
      <c r="D406" s="195"/>
      <c r="E406" s="99">
        <v>45520</v>
      </c>
      <c r="F406" s="128">
        <v>0.03</v>
      </c>
      <c r="G406" s="128" t="s">
        <v>667</v>
      </c>
      <c r="H406" s="128">
        <v>0.03</v>
      </c>
      <c r="I406" s="307"/>
      <c r="J406" s="308"/>
      <c r="K406" s="309"/>
      <c r="L406" s="117"/>
      <c r="M406" s="118"/>
    </row>
    <row r="407" spans="3:13" ht="24" x14ac:dyDescent="0.2">
      <c r="C407" s="93"/>
      <c r="D407" s="195"/>
      <c r="E407" s="99">
        <v>45530</v>
      </c>
      <c r="F407" s="128">
        <v>0.03</v>
      </c>
      <c r="G407" s="128" t="s">
        <v>667</v>
      </c>
      <c r="H407" s="128">
        <v>0.03</v>
      </c>
      <c r="I407" s="307"/>
      <c r="J407" s="308"/>
      <c r="K407" s="309"/>
      <c r="L407" s="117"/>
      <c r="M407" s="118"/>
    </row>
    <row r="408" spans="3:13" ht="25" thickBot="1" x14ac:dyDescent="0.25">
      <c r="C408" s="93"/>
      <c r="D408" s="195"/>
      <c r="E408" s="99">
        <v>45485</v>
      </c>
      <c r="F408" s="128">
        <v>2.9000000000000001E-2</v>
      </c>
      <c r="G408" s="128" t="s">
        <v>669</v>
      </c>
      <c r="H408" s="128">
        <v>0.03</v>
      </c>
      <c r="I408" s="310"/>
      <c r="J408" s="311"/>
      <c r="K408" s="312"/>
      <c r="L408" s="120"/>
      <c r="M408" s="121"/>
    </row>
    <row r="409" spans="3:13" ht="49" thickBot="1" x14ac:dyDescent="0.25">
      <c r="C409" s="93"/>
      <c r="D409" s="89" t="s">
        <v>105</v>
      </c>
      <c r="E409" s="123" t="s">
        <v>30</v>
      </c>
      <c r="F409" s="363" t="s">
        <v>661</v>
      </c>
      <c r="G409" s="364"/>
      <c r="H409" s="365"/>
      <c r="I409" s="325" t="s">
        <v>633</v>
      </c>
      <c r="J409" s="326"/>
      <c r="K409" s="327"/>
      <c r="L409" s="124" t="s">
        <v>430</v>
      </c>
      <c r="M409" s="125" t="s">
        <v>431</v>
      </c>
    </row>
    <row r="410" spans="3:13" ht="24" x14ac:dyDescent="0.2">
      <c r="C410" s="93"/>
      <c r="D410" s="195"/>
      <c r="E410" s="122" t="s">
        <v>432</v>
      </c>
      <c r="F410" s="342"/>
      <c r="G410" s="343"/>
      <c r="H410" s="344"/>
      <c r="I410" s="307" t="s">
        <v>662</v>
      </c>
      <c r="J410" s="308"/>
      <c r="K410" s="309"/>
      <c r="L410" s="117"/>
      <c r="M410" s="118"/>
    </row>
    <row r="411" spans="3:13" ht="24" x14ac:dyDescent="0.2">
      <c r="C411" s="93"/>
      <c r="D411" s="195"/>
      <c r="E411" s="92" t="s">
        <v>433</v>
      </c>
      <c r="F411" s="372">
        <v>75</v>
      </c>
      <c r="G411" s="373"/>
      <c r="H411" s="374"/>
      <c r="I411" s="307"/>
      <c r="J411" s="308"/>
      <c r="K411" s="309"/>
      <c r="L411" s="117"/>
      <c r="M411" s="118"/>
    </row>
    <row r="412" spans="3:13" ht="25" thickBot="1" x14ac:dyDescent="0.25">
      <c r="C412" s="93"/>
      <c r="D412" s="195"/>
      <c r="E412" s="92" t="s">
        <v>434</v>
      </c>
      <c r="F412" s="372">
        <v>74.400000000000006</v>
      </c>
      <c r="G412" s="373"/>
      <c r="H412" s="374"/>
      <c r="I412" s="307"/>
      <c r="J412" s="308"/>
      <c r="K412" s="309"/>
      <c r="L412" s="117"/>
      <c r="M412" s="118"/>
    </row>
    <row r="413" spans="3:13" ht="25" thickBot="1" x14ac:dyDescent="0.25">
      <c r="C413" s="93"/>
      <c r="D413" s="195"/>
      <c r="E413" s="94" t="s">
        <v>435</v>
      </c>
      <c r="F413" s="360">
        <v>0.58333333333333337</v>
      </c>
      <c r="G413" s="361"/>
      <c r="H413" s="362"/>
      <c r="I413" s="307"/>
      <c r="J413" s="308"/>
      <c r="K413" s="309"/>
      <c r="L413" s="126">
        <v>0.8125</v>
      </c>
      <c r="M413" s="127">
        <v>0.70833333333333337</v>
      </c>
    </row>
    <row r="414" spans="3:13" ht="25" thickBot="1" x14ac:dyDescent="0.25">
      <c r="C414" s="93"/>
      <c r="D414" s="195"/>
      <c r="E414" s="96" t="s">
        <v>436</v>
      </c>
      <c r="F414" s="97" t="s">
        <v>29</v>
      </c>
      <c r="G414" s="97" t="s">
        <v>28</v>
      </c>
      <c r="H414" s="98" t="s">
        <v>27</v>
      </c>
      <c r="I414" s="307"/>
      <c r="J414" s="308"/>
      <c r="K414" s="309"/>
      <c r="L414" s="117"/>
      <c r="M414" s="118"/>
    </row>
    <row r="415" spans="3:13" ht="24" x14ac:dyDescent="0.2">
      <c r="C415" s="93"/>
      <c r="D415" s="195"/>
      <c r="E415" s="99">
        <v>45562</v>
      </c>
      <c r="F415" s="100">
        <v>74.400000000000006</v>
      </c>
      <c r="G415" s="100" t="s">
        <v>670</v>
      </c>
      <c r="H415" s="100">
        <v>73</v>
      </c>
      <c r="I415" s="307"/>
      <c r="J415" s="308"/>
      <c r="K415" s="309"/>
      <c r="L415" s="117"/>
      <c r="M415" s="118"/>
    </row>
    <row r="416" spans="3:13" ht="24" x14ac:dyDescent="0.2">
      <c r="C416" s="93"/>
      <c r="D416" s="195"/>
      <c r="E416" s="99">
        <v>45548</v>
      </c>
      <c r="F416" s="100">
        <v>73</v>
      </c>
      <c r="G416" s="100" t="s">
        <v>671</v>
      </c>
      <c r="H416" s="100">
        <v>72.099999999999994</v>
      </c>
      <c r="I416" s="307"/>
      <c r="J416" s="308"/>
      <c r="K416" s="309"/>
      <c r="L416" s="117"/>
      <c r="M416" s="118"/>
    </row>
    <row r="417" spans="3:13" ht="24" x14ac:dyDescent="0.2">
      <c r="C417" s="93"/>
      <c r="D417" s="195"/>
      <c r="E417" s="99">
        <v>45534</v>
      </c>
      <c r="F417" s="100">
        <v>72.099999999999994</v>
      </c>
      <c r="G417" s="100" t="s">
        <v>672</v>
      </c>
      <c r="H417" s="100">
        <v>68.8</v>
      </c>
      <c r="I417" s="307"/>
      <c r="J417" s="308"/>
      <c r="K417" s="309"/>
      <c r="L417" s="119"/>
      <c r="M417" s="118"/>
    </row>
    <row r="418" spans="3:13" ht="24" x14ac:dyDescent="0.2">
      <c r="C418" s="93"/>
      <c r="D418" s="195"/>
      <c r="E418" s="99">
        <v>45520</v>
      </c>
      <c r="F418" s="100">
        <v>72.099999999999994</v>
      </c>
      <c r="G418" s="100" t="s">
        <v>673</v>
      </c>
      <c r="H418" s="100">
        <v>68.8</v>
      </c>
      <c r="I418" s="307"/>
      <c r="J418" s="308"/>
      <c r="K418" s="309"/>
      <c r="L418" s="117"/>
      <c r="M418" s="118"/>
    </row>
    <row r="419" spans="3:13" ht="24" x14ac:dyDescent="0.2">
      <c r="C419" s="93"/>
      <c r="D419" s="195"/>
      <c r="E419" s="99">
        <v>45530</v>
      </c>
      <c r="F419" s="100">
        <v>68.8</v>
      </c>
      <c r="G419" s="100" t="s">
        <v>674</v>
      </c>
      <c r="H419" s="100">
        <v>69.599999999999994</v>
      </c>
      <c r="I419" s="307"/>
      <c r="J419" s="308"/>
      <c r="K419" s="309"/>
      <c r="L419" s="117"/>
      <c r="M419" s="118"/>
    </row>
    <row r="420" spans="3:13" ht="25" thickBot="1" x14ac:dyDescent="0.25">
      <c r="C420" s="93"/>
      <c r="D420" s="195"/>
      <c r="E420" s="99">
        <v>45485</v>
      </c>
      <c r="F420" s="100">
        <v>67.2</v>
      </c>
      <c r="G420" s="100" t="s">
        <v>675</v>
      </c>
      <c r="H420" s="100">
        <v>69.599999999999994</v>
      </c>
      <c r="I420" s="310"/>
      <c r="J420" s="311"/>
      <c r="K420" s="312"/>
      <c r="L420" s="120"/>
      <c r="M420" s="121"/>
    </row>
    <row r="421" spans="3:13" ht="24" thickBot="1" x14ac:dyDescent="0.25">
      <c r="C421" s="93"/>
      <c r="D421" s="89"/>
      <c r="E421" s="123"/>
      <c r="F421" s="363"/>
      <c r="G421" s="364"/>
      <c r="H421" s="365"/>
      <c r="I421" s="325"/>
      <c r="J421" s="326"/>
      <c r="K421" s="327"/>
      <c r="L421" s="124"/>
      <c r="M421" s="125"/>
    </row>
    <row r="422" spans="3:13" ht="49" thickBot="1" x14ac:dyDescent="0.25">
      <c r="C422" s="286" t="s">
        <v>105</v>
      </c>
      <c r="D422" s="286" t="s">
        <v>105</v>
      </c>
      <c r="E422" s="123" t="s">
        <v>30</v>
      </c>
      <c r="F422" s="363" t="s">
        <v>90</v>
      </c>
      <c r="G422" s="364"/>
      <c r="H422" s="365"/>
      <c r="I422" s="325" t="s">
        <v>633</v>
      </c>
      <c r="J422" s="326"/>
      <c r="K422" s="327"/>
      <c r="L422" s="124" t="s">
        <v>430</v>
      </c>
      <c r="M422" s="125" t="s">
        <v>431</v>
      </c>
    </row>
    <row r="423" spans="3:13" ht="24" x14ac:dyDescent="0.2">
      <c r="C423" s="93"/>
      <c r="D423" s="93"/>
      <c r="E423" s="122" t="s">
        <v>432</v>
      </c>
      <c r="F423" s="342"/>
      <c r="G423" s="343"/>
      <c r="H423" s="344"/>
      <c r="I423" s="307" t="s">
        <v>705</v>
      </c>
      <c r="J423" s="308"/>
      <c r="K423" s="309"/>
      <c r="L423" s="117"/>
      <c r="M423" s="118"/>
    </row>
    <row r="424" spans="3:13" ht="24" x14ac:dyDescent="0.2">
      <c r="C424" s="93"/>
      <c r="D424" s="93"/>
      <c r="E424" s="92" t="s">
        <v>433</v>
      </c>
      <c r="F424" s="357">
        <v>3.7499999999999999E-2</v>
      </c>
      <c r="G424" s="358"/>
      <c r="H424" s="359"/>
      <c r="I424" s="307"/>
      <c r="J424" s="308"/>
      <c r="K424" s="309"/>
      <c r="L424" s="117"/>
      <c r="M424" s="118"/>
    </row>
    <row r="425" spans="3:13" ht="25" thickBot="1" x14ac:dyDescent="0.25">
      <c r="C425" s="93"/>
      <c r="D425" s="93"/>
      <c r="E425" s="92" t="s">
        <v>434</v>
      </c>
      <c r="F425" s="357">
        <v>4.2500000000000003E-2</v>
      </c>
      <c r="G425" s="358"/>
      <c r="H425" s="359"/>
      <c r="I425" s="307"/>
      <c r="J425" s="308"/>
      <c r="K425" s="309"/>
      <c r="L425" s="117"/>
      <c r="M425" s="118"/>
    </row>
    <row r="426" spans="3:13" ht="25" thickBot="1" x14ac:dyDescent="0.25">
      <c r="C426" s="93"/>
      <c r="D426" s="93"/>
      <c r="E426" s="94" t="s">
        <v>435</v>
      </c>
      <c r="F426" s="360">
        <v>0.57291666666666674</v>
      </c>
      <c r="G426" s="361"/>
      <c r="H426" s="362"/>
      <c r="I426" s="307"/>
      <c r="J426" s="308"/>
      <c r="K426" s="309"/>
      <c r="L426" s="126">
        <v>0.80208333333333337</v>
      </c>
      <c r="M426" s="127">
        <v>0.69791666666666674</v>
      </c>
    </row>
    <row r="427" spans="3:13" ht="25" thickBot="1" x14ac:dyDescent="0.25">
      <c r="C427" s="93"/>
      <c r="D427" s="93"/>
      <c r="E427" s="96" t="s">
        <v>436</v>
      </c>
      <c r="F427" s="97" t="s">
        <v>29</v>
      </c>
      <c r="G427" s="97" t="s">
        <v>28</v>
      </c>
      <c r="H427" s="98" t="s">
        <v>27</v>
      </c>
      <c r="I427" s="307"/>
      <c r="J427" s="308"/>
      <c r="K427" s="309"/>
      <c r="L427" s="117"/>
      <c r="M427" s="118"/>
    </row>
    <row r="428" spans="3:13" ht="24" x14ac:dyDescent="0.2">
      <c r="C428" s="93"/>
      <c r="D428" s="93"/>
      <c r="E428" s="99" t="s">
        <v>526</v>
      </c>
      <c r="F428" s="105">
        <v>4.2500000000000003E-2</v>
      </c>
      <c r="G428" s="105" t="s">
        <v>723</v>
      </c>
      <c r="H428" s="105">
        <v>4.4999999999999998E-2</v>
      </c>
      <c r="I428" s="307"/>
      <c r="J428" s="308"/>
      <c r="K428" s="309"/>
      <c r="L428" s="117"/>
      <c r="M428" s="118"/>
    </row>
    <row r="429" spans="3:13" ht="24" x14ac:dyDescent="0.2">
      <c r="C429" s="93"/>
      <c r="D429" s="93"/>
      <c r="E429" s="99" t="s">
        <v>724</v>
      </c>
      <c r="F429" s="105">
        <v>4.4999999999999998E-2</v>
      </c>
      <c r="G429" s="105" t="s">
        <v>725</v>
      </c>
      <c r="H429" s="105">
        <v>4.7500000000000001E-2</v>
      </c>
      <c r="I429" s="307"/>
      <c r="J429" s="308"/>
      <c r="K429" s="309"/>
      <c r="L429" s="117"/>
      <c r="M429" s="118"/>
    </row>
    <row r="430" spans="3:13" ht="24" x14ac:dyDescent="0.2">
      <c r="C430" s="93"/>
      <c r="D430" s="93"/>
      <c r="E430" s="99" t="s">
        <v>552</v>
      </c>
      <c r="F430" s="105">
        <v>4.7500000000000001E-2</v>
      </c>
      <c r="G430" s="105" t="s">
        <v>726</v>
      </c>
      <c r="H430" s="105">
        <v>0.05</v>
      </c>
      <c r="I430" s="307"/>
      <c r="J430" s="308"/>
      <c r="K430" s="309"/>
      <c r="L430" s="119"/>
      <c r="M430" s="118"/>
    </row>
    <row r="431" spans="3:13" ht="24" x14ac:dyDescent="0.2">
      <c r="C431" s="93"/>
      <c r="D431" s="93"/>
      <c r="E431" s="99" t="s">
        <v>727</v>
      </c>
      <c r="F431" s="105">
        <v>0.05</v>
      </c>
      <c r="G431" s="105" t="s">
        <v>728</v>
      </c>
      <c r="H431" s="105">
        <v>0.05</v>
      </c>
      <c r="I431" s="307"/>
      <c r="J431" s="308"/>
      <c r="K431" s="309"/>
      <c r="L431" s="117"/>
      <c r="M431" s="118"/>
    </row>
    <row r="432" spans="3:13" ht="24" x14ac:dyDescent="0.2">
      <c r="C432" s="93"/>
      <c r="D432" s="93"/>
      <c r="E432" s="99" t="s">
        <v>729</v>
      </c>
      <c r="F432" s="105">
        <v>0.05</v>
      </c>
      <c r="G432" s="105" t="s">
        <v>728</v>
      </c>
      <c r="H432" s="105">
        <v>0.05</v>
      </c>
      <c r="I432" s="307"/>
      <c r="J432" s="308"/>
      <c r="K432" s="309"/>
      <c r="L432" s="117"/>
      <c r="M432" s="118"/>
    </row>
    <row r="433" spans="3:13" ht="25" thickBot="1" x14ac:dyDescent="0.25">
      <c r="C433" s="93"/>
      <c r="D433" s="93"/>
      <c r="E433" s="99" t="s">
        <v>730</v>
      </c>
      <c r="F433" s="105">
        <v>0.05</v>
      </c>
      <c r="G433" s="105" t="s">
        <v>728</v>
      </c>
      <c r="H433" s="105">
        <v>0.05</v>
      </c>
      <c r="I433" s="310"/>
      <c r="J433" s="311"/>
      <c r="K433" s="312"/>
      <c r="L433" s="120"/>
      <c r="M433" s="121"/>
    </row>
    <row r="434" spans="3:13" ht="49" thickBot="1" x14ac:dyDescent="0.25">
      <c r="C434" s="93"/>
      <c r="D434" s="93"/>
      <c r="E434" s="123" t="s">
        <v>30</v>
      </c>
      <c r="F434" s="363" t="s">
        <v>706</v>
      </c>
      <c r="G434" s="364"/>
      <c r="H434" s="365"/>
      <c r="I434" s="325" t="s">
        <v>633</v>
      </c>
      <c r="J434" s="326"/>
      <c r="K434" s="327"/>
      <c r="L434" s="124" t="s">
        <v>430</v>
      </c>
      <c r="M434" s="125" t="s">
        <v>431</v>
      </c>
    </row>
    <row r="435" spans="3:13" ht="24" x14ac:dyDescent="0.2">
      <c r="C435" s="93"/>
      <c r="D435" s="93"/>
      <c r="E435" s="122" t="s">
        <v>432</v>
      </c>
      <c r="F435" s="342"/>
      <c r="G435" s="343"/>
      <c r="H435" s="344"/>
      <c r="I435" s="307" t="s">
        <v>708</v>
      </c>
      <c r="J435" s="308"/>
      <c r="K435" s="309"/>
      <c r="L435" s="117"/>
      <c r="M435" s="118"/>
    </row>
    <row r="436" spans="3:13" ht="24" x14ac:dyDescent="0.2">
      <c r="C436" s="93"/>
      <c r="D436" s="93"/>
      <c r="E436" s="92" t="s">
        <v>433</v>
      </c>
      <c r="F436" s="357" t="s">
        <v>707</v>
      </c>
      <c r="G436" s="358"/>
      <c r="H436" s="359"/>
      <c r="I436" s="307"/>
      <c r="J436" s="308"/>
      <c r="K436" s="309"/>
      <c r="L436" s="117"/>
      <c r="M436" s="118"/>
    </row>
    <row r="437" spans="3:13" ht="25" thickBot="1" x14ac:dyDescent="0.25">
      <c r="C437" s="93"/>
      <c r="D437" s="93"/>
      <c r="E437" s="92" t="s">
        <v>434</v>
      </c>
      <c r="F437" s="357" t="s">
        <v>349</v>
      </c>
      <c r="G437" s="358"/>
      <c r="H437" s="359"/>
      <c r="I437" s="307"/>
      <c r="J437" s="308"/>
      <c r="K437" s="309"/>
      <c r="L437" s="117"/>
      <c r="M437" s="118"/>
    </row>
    <row r="438" spans="3:13" ht="25" thickBot="1" x14ac:dyDescent="0.25">
      <c r="C438" s="93"/>
      <c r="D438" s="93"/>
      <c r="E438" s="94" t="s">
        <v>435</v>
      </c>
      <c r="F438" s="360">
        <v>0.58333333333333337</v>
      </c>
      <c r="G438" s="361"/>
      <c r="H438" s="362"/>
      <c r="I438" s="307"/>
      <c r="J438" s="308"/>
      <c r="K438" s="309"/>
      <c r="L438" s="126">
        <v>0.8125</v>
      </c>
      <c r="M438" s="127">
        <v>0.70833333333333337</v>
      </c>
    </row>
    <row r="439" spans="3:13" ht="25" thickBot="1" x14ac:dyDescent="0.25">
      <c r="C439" s="93"/>
      <c r="D439" s="93"/>
      <c r="E439" s="96" t="s">
        <v>436</v>
      </c>
      <c r="F439" s="97" t="s">
        <v>29</v>
      </c>
      <c r="G439" s="97" t="s">
        <v>28</v>
      </c>
      <c r="H439" s="98" t="s">
        <v>27</v>
      </c>
      <c r="I439" s="307"/>
      <c r="J439" s="308"/>
      <c r="K439" s="309"/>
      <c r="L439" s="117"/>
      <c r="M439" s="118"/>
    </row>
    <row r="440" spans="3:13" ht="24" x14ac:dyDescent="0.2">
      <c r="C440" s="93"/>
      <c r="D440" s="93"/>
      <c r="E440" s="99" t="s">
        <v>575</v>
      </c>
      <c r="F440" s="105" t="s">
        <v>349</v>
      </c>
      <c r="G440" s="105" t="s">
        <v>735</v>
      </c>
      <c r="H440" s="105" t="s">
        <v>351</v>
      </c>
      <c r="I440" s="307"/>
      <c r="J440" s="308"/>
      <c r="K440" s="309"/>
      <c r="L440" s="117"/>
      <c r="M440" s="118"/>
    </row>
    <row r="441" spans="3:13" ht="24" x14ac:dyDescent="0.2">
      <c r="C441" s="93"/>
      <c r="D441" s="93"/>
      <c r="E441" s="99" t="s">
        <v>583</v>
      </c>
      <c r="F441" s="105" t="s">
        <v>736</v>
      </c>
      <c r="G441" s="105" t="s">
        <v>737</v>
      </c>
      <c r="H441" s="105" t="s">
        <v>738</v>
      </c>
      <c r="I441" s="307"/>
      <c r="J441" s="308"/>
      <c r="K441" s="309"/>
      <c r="L441" s="117"/>
      <c r="M441" s="118"/>
    </row>
    <row r="442" spans="3:13" ht="24" x14ac:dyDescent="0.2">
      <c r="C442" s="93"/>
      <c r="D442" s="93"/>
      <c r="E442" s="99" t="s">
        <v>739</v>
      </c>
      <c r="F442" s="105" t="s">
        <v>740</v>
      </c>
      <c r="G442" s="105" t="s">
        <v>741</v>
      </c>
      <c r="H442" s="105" t="s">
        <v>78</v>
      </c>
      <c r="I442" s="307"/>
      <c r="J442" s="308"/>
      <c r="K442" s="309"/>
      <c r="L442" s="119"/>
      <c r="M442" s="118"/>
    </row>
    <row r="443" spans="3:13" ht="24" x14ac:dyDescent="0.2">
      <c r="C443" s="93"/>
      <c r="D443" s="93"/>
      <c r="E443" s="99" t="s">
        <v>742</v>
      </c>
      <c r="F443" s="105" t="s">
        <v>78</v>
      </c>
      <c r="G443" s="105" t="s">
        <v>743</v>
      </c>
      <c r="H443" s="105" t="s">
        <v>744</v>
      </c>
      <c r="I443" s="307"/>
      <c r="J443" s="308"/>
      <c r="K443" s="309"/>
      <c r="L443" s="117"/>
      <c r="M443" s="118"/>
    </row>
    <row r="444" spans="3:13" ht="24" x14ac:dyDescent="0.2">
      <c r="C444" s="93"/>
      <c r="D444" s="93"/>
      <c r="E444" s="99" t="s">
        <v>745</v>
      </c>
      <c r="F444" s="105" t="s">
        <v>744</v>
      </c>
      <c r="G444" s="105" t="s">
        <v>746</v>
      </c>
      <c r="H444" s="105" t="s">
        <v>747</v>
      </c>
      <c r="I444" s="307"/>
      <c r="J444" s="308"/>
      <c r="K444" s="309"/>
      <c r="L444" s="117"/>
      <c r="M444" s="118"/>
    </row>
    <row r="445" spans="3:13" ht="25" thickBot="1" x14ac:dyDescent="0.25">
      <c r="C445" s="93"/>
      <c r="D445" s="93"/>
      <c r="E445" s="99" t="s">
        <v>748</v>
      </c>
      <c r="F445" s="105" t="s">
        <v>749</v>
      </c>
      <c r="G445" s="105" t="s">
        <v>750</v>
      </c>
      <c r="H445" s="105" t="s">
        <v>751</v>
      </c>
      <c r="I445" s="310"/>
      <c r="J445" s="311"/>
      <c r="K445" s="312"/>
      <c r="L445" s="120"/>
      <c r="M445" s="121"/>
    </row>
    <row r="446" spans="3:13" ht="49" thickBot="1" x14ac:dyDescent="0.25">
      <c r="C446" s="93"/>
      <c r="D446" s="89" t="s">
        <v>105</v>
      </c>
      <c r="E446" s="123" t="s">
        <v>30</v>
      </c>
      <c r="F446" s="363" t="s">
        <v>9</v>
      </c>
      <c r="G446" s="364"/>
      <c r="H446" s="365"/>
      <c r="I446" s="325" t="s">
        <v>633</v>
      </c>
      <c r="J446" s="326"/>
      <c r="K446" s="327"/>
      <c r="L446" s="124" t="s">
        <v>430</v>
      </c>
      <c r="M446" s="125" t="s">
        <v>431</v>
      </c>
    </row>
    <row r="447" spans="3:13" ht="24" x14ac:dyDescent="0.2">
      <c r="C447" s="93"/>
      <c r="D447" s="195"/>
      <c r="E447" s="122" t="s">
        <v>432</v>
      </c>
      <c r="F447" s="342"/>
      <c r="G447" s="343"/>
      <c r="H447" s="344"/>
      <c r="I447" s="307" t="s">
        <v>701</v>
      </c>
      <c r="J447" s="308"/>
      <c r="K447" s="309"/>
      <c r="L447" s="117"/>
      <c r="M447" s="118"/>
    </row>
    <row r="448" spans="3:13" ht="24" x14ac:dyDescent="0.2">
      <c r="C448" s="93"/>
      <c r="D448" s="195"/>
      <c r="E448" s="92" t="s">
        <v>433</v>
      </c>
      <c r="F448" s="357"/>
      <c r="G448" s="358"/>
      <c r="H448" s="359"/>
      <c r="I448" s="307"/>
      <c r="J448" s="308"/>
      <c r="K448" s="309"/>
      <c r="L448" s="117"/>
      <c r="M448" s="118"/>
    </row>
    <row r="449" spans="3:13" ht="25" thickBot="1" x14ac:dyDescent="0.25">
      <c r="C449" s="93"/>
      <c r="D449" s="195"/>
      <c r="E449" s="92" t="s">
        <v>434</v>
      </c>
      <c r="F449" s="357" t="s">
        <v>699</v>
      </c>
      <c r="G449" s="358"/>
      <c r="H449" s="359"/>
      <c r="I449" s="307"/>
      <c r="J449" s="308"/>
      <c r="K449" s="309"/>
      <c r="L449" s="117"/>
      <c r="M449" s="118"/>
    </row>
    <row r="450" spans="3:13" ht="25" thickBot="1" x14ac:dyDescent="0.25">
      <c r="C450" s="93"/>
      <c r="D450" s="195"/>
      <c r="E450" s="94" t="s">
        <v>435</v>
      </c>
      <c r="F450" s="360">
        <v>0.60416666666666674</v>
      </c>
      <c r="G450" s="361"/>
      <c r="H450" s="362"/>
      <c r="I450" s="307"/>
      <c r="J450" s="308"/>
      <c r="K450" s="309"/>
      <c r="L450" s="126">
        <v>0.83333333333333337</v>
      </c>
      <c r="M450" s="127">
        <v>0.72916666666666674</v>
      </c>
    </row>
    <row r="451" spans="3:13" ht="25" thickBot="1" x14ac:dyDescent="0.25">
      <c r="C451" s="93"/>
      <c r="D451" s="195"/>
      <c r="E451" s="96" t="s">
        <v>436</v>
      </c>
      <c r="F451" s="97" t="s">
        <v>29</v>
      </c>
      <c r="G451" s="97" t="s">
        <v>28</v>
      </c>
      <c r="H451" s="98" t="s">
        <v>27</v>
      </c>
      <c r="I451" s="307"/>
      <c r="J451" s="308"/>
      <c r="K451" s="309"/>
      <c r="L451" s="117"/>
      <c r="M451" s="118"/>
    </row>
    <row r="452" spans="3:13" ht="24" x14ac:dyDescent="0.2">
      <c r="C452" s="93"/>
      <c r="D452" s="195"/>
      <c r="E452" s="99">
        <v>45582</v>
      </c>
      <c r="F452" s="128" t="s">
        <v>699</v>
      </c>
      <c r="G452" s="128" t="s">
        <v>731</v>
      </c>
      <c r="H452" s="128" t="s">
        <v>677</v>
      </c>
      <c r="I452" s="307"/>
      <c r="J452" s="308"/>
      <c r="K452" s="309"/>
      <c r="L452" s="117"/>
      <c r="M452" s="118"/>
    </row>
    <row r="453" spans="3:13" ht="24" x14ac:dyDescent="0.2">
      <c r="C453" s="93"/>
      <c r="D453" s="195"/>
      <c r="E453" s="99">
        <v>45574</v>
      </c>
      <c r="F453" s="128" t="s">
        <v>677</v>
      </c>
      <c r="G453" s="128" t="s">
        <v>732</v>
      </c>
      <c r="H453" s="128" t="s">
        <v>637</v>
      </c>
      <c r="I453" s="307"/>
      <c r="J453" s="308"/>
      <c r="K453" s="309"/>
      <c r="L453" s="117"/>
      <c r="M453" s="118"/>
    </row>
    <row r="454" spans="3:13" ht="24" x14ac:dyDescent="0.2">
      <c r="C454" s="93"/>
      <c r="D454" s="195"/>
      <c r="E454" s="99">
        <v>45567</v>
      </c>
      <c r="F454" s="128" t="s">
        <v>637</v>
      </c>
      <c r="G454" s="128" t="s">
        <v>733</v>
      </c>
      <c r="H454" s="128" t="s">
        <v>380</v>
      </c>
      <c r="I454" s="307"/>
      <c r="J454" s="308"/>
      <c r="K454" s="309"/>
      <c r="L454" s="119"/>
      <c r="M454" s="118"/>
    </row>
    <row r="455" spans="3:13" ht="24" x14ac:dyDescent="0.2">
      <c r="C455" s="93"/>
      <c r="D455" s="195"/>
      <c r="E455" s="99">
        <v>45560</v>
      </c>
      <c r="F455" s="128" t="s">
        <v>380</v>
      </c>
      <c r="G455" s="128" t="s">
        <v>564</v>
      </c>
      <c r="H455" s="128" t="s">
        <v>337</v>
      </c>
      <c r="I455" s="307"/>
      <c r="J455" s="308"/>
      <c r="K455" s="309"/>
      <c r="L455" s="117"/>
      <c r="M455" s="118"/>
    </row>
    <row r="456" spans="3:13" ht="24" x14ac:dyDescent="0.2">
      <c r="C456" s="93"/>
      <c r="D456" s="195"/>
      <c r="E456" s="99">
        <v>45553</v>
      </c>
      <c r="F456" s="128" t="s">
        <v>337</v>
      </c>
      <c r="G456" s="128" t="s">
        <v>565</v>
      </c>
      <c r="H456" s="128" t="s">
        <v>339</v>
      </c>
      <c r="I456" s="307"/>
      <c r="J456" s="308"/>
      <c r="K456" s="309"/>
      <c r="L456" s="117"/>
      <c r="M456" s="118"/>
    </row>
    <row r="457" spans="3:13" ht="25" thickBot="1" x14ac:dyDescent="0.25">
      <c r="C457" s="93"/>
      <c r="D457" s="195"/>
      <c r="E457" s="99">
        <v>45546</v>
      </c>
      <c r="F457" s="128" t="s">
        <v>339</v>
      </c>
      <c r="G457" s="128" t="s">
        <v>567</v>
      </c>
      <c r="H457" s="128" t="s">
        <v>312</v>
      </c>
      <c r="I457" s="310"/>
      <c r="J457" s="311"/>
      <c r="K457" s="312"/>
      <c r="L457" s="120"/>
      <c r="M457" s="121"/>
    </row>
    <row r="458" spans="3:13" ht="49" thickBot="1" x14ac:dyDescent="0.25">
      <c r="C458" s="93"/>
      <c r="D458" s="89" t="s">
        <v>105</v>
      </c>
      <c r="E458" s="123" t="s">
        <v>30</v>
      </c>
      <c r="F458" s="363" t="s">
        <v>709</v>
      </c>
      <c r="G458" s="364"/>
      <c r="H458" s="365"/>
      <c r="I458" s="325" t="s">
        <v>633</v>
      </c>
      <c r="J458" s="326"/>
      <c r="K458" s="327"/>
      <c r="L458" s="124" t="s">
        <v>430</v>
      </c>
      <c r="M458" s="125" t="s">
        <v>431</v>
      </c>
    </row>
    <row r="459" spans="3:13" ht="24" x14ac:dyDescent="0.2">
      <c r="C459" s="93"/>
      <c r="D459" s="195"/>
      <c r="E459" s="122" t="s">
        <v>432</v>
      </c>
      <c r="F459" s="342"/>
      <c r="G459" s="343"/>
      <c r="H459" s="344"/>
      <c r="I459" s="307">
        <v>0</v>
      </c>
      <c r="J459" s="308"/>
      <c r="K459" s="309"/>
      <c r="L459" s="117"/>
      <c r="M459" s="118"/>
    </row>
    <row r="460" spans="3:13" ht="24" x14ac:dyDescent="0.2">
      <c r="C460" s="93"/>
      <c r="D460" s="195"/>
      <c r="E460" s="92" t="s">
        <v>433</v>
      </c>
      <c r="F460" s="372">
        <v>0.6</v>
      </c>
      <c r="G460" s="373"/>
      <c r="H460" s="374"/>
      <c r="I460" s="307"/>
      <c r="J460" s="308"/>
      <c r="K460" s="309"/>
      <c r="L460" s="117"/>
      <c r="M460" s="118"/>
    </row>
    <row r="461" spans="3:13" ht="25" thickBot="1" x14ac:dyDescent="0.25">
      <c r="C461" s="93"/>
      <c r="D461" s="195"/>
      <c r="E461" s="92" t="s">
        <v>434</v>
      </c>
      <c r="F461" s="372">
        <v>0.66</v>
      </c>
      <c r="G461" s="373"/>
      <c r="H461" s="374"/>
      <c r="I461" s="307"/>
      <c r="J461" s="308"/>
      <c r="K461" s="309"/>
      <c r="L461" s="117"/>
      <c r="M461" s="118"/>
    </row>
    <row r="462" spans="3:13" ht="25" thickBot="1" x14ac:dyDescent="0.25">
      <c r="C462" s="93"/>
      <c r="D462" s="195"/>
      <c r="E462" s="94" t="s">
        <v>435</v>
      </c>
      <c r="F462" s="360">
        <v>0.87500000000000011</v>
      </c>
      <c r="G462" s="361"/>
      <c r="H462" s="362"/>
      <c r="I462" s="307"/>
      <c r="J462" s="308"/>
      <c r="K462" s="309"/>
      <c r="L462" s="126">
        <v>1.1041666666666667</v>
      </c>
      <c r="M462" s="127">
        <v>1</v>
      </c>
    </row>
    <row r="463" spans="3:13" ht="25" thickBot="1" x14ac:dyDescent="0.25">
      <c r="C463" s="93"/>
      <c r="D463" s="195"/>
      <c r="E463" s="96" t="s">
        <v>436</v>
      </c>
      <c r="F463" s="97" t="s">
        <v>29</v>
      </c>
      <c r="G463" s="97" t="s">
        <v>28</v>
      </c>
      <c r="H463" s="98" t="s">
        <v>27</v>
      </c>
      <c r="I463" s="307"/>
      <c r="J463" s="308"/>
      <c r="K463" s="309"/>
      <c r="L463" s="117"/>
      <c r="M463" s="118"/>
    </row>
    <row r="464" spans="3:13" ht="23" x14ac:dyDescent="0.2">
      <c r="C464" s="93"/>
      <c r="D464" s="195"/>
      <c r="E464" s="99">
        <v>45496</v>
      </c>
      <c r="F464" s="100">
        <v>0.52</v>
      </c>
      <c r="G464" s="100">
        <v>0.61</v>
      </c>
      <c r="H464" s="100">
        <v>0.91</v>
      </c>
      <c r="I464" s="307"/>
      <c r="J464" s="308"/>
      <c r="K464" s="309"/>
      <c r="L464" s="117"/>
      <c r="M464" s="118"/>
    </row>
    <row r="465" spans="3:13" ht="23" x14ac:dyDescent="0.2">
      <c r="C465" s="93"/>
      <c r="D465" s="195"/>
      <c r="E465" s="99">
        <v>45405</v>
      </c>
      <c r="F465" s="100">
        <v>0.45</v>
      </c>
      <c r="G465" s="100">
        <v>0.49</v>
      </c>
      <c r="H465" s="100">
        <v>0.85</v>
      </c>
      <c r="I465" s="307"/>
      <c r="J465" s="308"/>
      <c r="K465" s="309"/>
      <c r="L465" s="117"/>
      <c r="M465" s="118"/>
    </row>
    <row r="466" spans="3:13" ht="23" x14ac:dyDescent="0.2">
      <c r="C466" s="93"/>
      <c r="D466" s="195"/>
      <c r="E466" s="99">
        <v>45315</v>
      </c>
      <c r="F466" s="100">
        <v>0.71</v>
      </c>
      <c r="G466" s="100">
        <v>0.73</v>
      </c>
      <c r="H466" s="100">
        <v>1.19</v>
      </c>
      <c r="I466" s="307"/>
      <c r="J466" s="308"/>
      <c r="K466" s="309"/>
      <c r="L466" s="119"/>
      <c r="M466" s="118"/>
    </row>
    <row r="467" spans="3:13" ht="23" x14ac:dyDescent="0.2">
      <c r="C467" s="93"/>
      <c r="D467" s="195"/>
      <c r="E467" s="99">
        <v>45217</v>
      </c>
      <c r="F467" s="100">
        <v>0.66</v>
      </c>
      <c r="G467" s="100">
        <v>0.73</v>
      </c>
      <c r="H467" s="100">
        <v>1.05</v>
      </c>
      <c r="I467" s="307"/>
      <c r="J467" s="308"/>
      <c r="K467" s="309"/>
      <c r="L467" s="117"/>
      <c r="M467" s="118"/>
    </row>
    <row r="468" spans="3:13" ht="23" x14ac:dyDescent="0.2">
      <c r="C468" s="93"/>
      <c r="D468" s="195"/>
      <c r="E468" s="99">
        <v>45126</v>
      </c>
      <c r="F468" s="100">
        <v>0.91</v>
      </c>
      <c r="G468" s="100">
        <v>0.79</v>
      </c>
      <c r="H468" s="100">
        <v>0.75700000000000001</v>
      </c>
      <c r="I468" s="307"/>
      <c r="J468" s="308"/>
      <c r="K468" s="309"/>
      <c r="L468" s="117"/>
      <c r="M468" s="118"/>
    </row>
    <row r="469" spans="3:13" ht="24" thickBot="1" x14ac:dyDescent="0.25">
      <c r="C469" s="93"/>
      <c r="D469" s="195"/>
      <c r="E469" s="99">
        <v>45035</v>
      </c>
      <c r="F469" s="100">
        <v>0.85</v>
      </c>
      <c r="G469" s="100">
        <v>0.85</v>
      </c>
      <c r="H469" s="100">
        <v>1.073</v>
      </c>
      <c r="I469" s="310"/>
      <c r="J469" s="311"/>
      <c r="K469" s="312"/>
      <c r="L469" s="120"/>
      <c r="M469" s="121"/>
    </row>
    <row r="470" spans="3:13" ht="49" thickBot="1" x14ac:dyDescent="0.25">
      <c r="C470" s="93"/>
      <c r="D470" s="89" t="s">
        <v>105</v>
      </c>
      <c r="E470" s="123" t="s">
        <v>30</v>
      </c>
      <c r="F470" s="363" t="s">
        <v>711</v>
      </c>
      <c r="G470" s="364"/>
      <c r="H470" s="365"/>
      <c r="I470" s="334" t="s">
        <v>633</v>
      </c>
      <c r="J470" s="326"/>
      <c r="K470" s="327"/>
      <c r="L470" s="124" t="s">
        <v>430</v>
      </c>
      <c r="M470" s="125" t="s">
        <v>431</v>
      </c>
    </row>
    <row r="471" spans="3:13" ht="24" x14ac:dyDescent="0.2">
      <c r="C471" s="93"/>
      <c r="D471" s="195"/>
      <c r="E471" s="122" t="s">
        <v>432</v>
      </c>
      <c r="F471" s="342"/>
      <c r="G471" s="343"/>
      <c r="H471" s="344"/>
      <c r="I471" s="307" t="s">
        <v>712</v>
      </c>
      <c r="J471" s="308"/>
      <c r="K471" s="309"/>
      <c r="L471" s="117"/>
      <c r="M471" s="118"/>
    </row>
    <row r="472" spans="3:13" ht="24" x14ac:dyDescent="0.2">
      <c r="C472" s="93"/>
      <c r="D472" s="195"/>
      <c r="E472" s="92" t="s">
        <v>433</v>
      </c>
      <c r="F472" s="366">
        <v>0</v>
      </c>
      <c r="G472" s="367"/>
      <c r="H472" s="368"/>
      <c r="I472" s="307"/>
      <c r="J472" s="308"/>
      <c r="K472" s="309"/>
      <c r="L472" s="117"/>
      <c r="M472" s="118"/>
    </row>
    <row r="473" spans="3:13" ht="25" thickBot="1" x14ac:dyDescent="0.25">
      <c r="C473" s="93"/>
      <c r="D473" s="195"/>
      <c r="E473" s="92" t="s">
        <v>434</v>
      </c>
      <c r="F473" s="366">
        <v>52.6</v>
      </c>
      <c r="G473" s="367"/>
      <c r="H473" s="368"/>
      <c r="I473" s="307"/>
      <c r="J473" s="308"/>
      <c r="K473" s="309"/>
      <c r="L473" s="117"/>
      <c r="M473" s="118"/>
    </row>
    <row r="474" spans="3:13" ht="25" thickBot="1" x14ac:dyDescent="0.25">
      <c r="C474" s="93"/>
      <c r="D474" s="195"/>
      <c r="E474" s="94" t="s">
        <v>435</v>
      </c>
      <c r="F474" s="360">
        <v>0.35416666666666674</v>
      </c>
      <c r="G474" s="361"/>
      <c r="H474" s="362"/>
      <c r="I474" s="307"/>
      <c r="J474" s="308"/>
      <c r="K474" s="309"/>
      <c r="L474" s="126">
        <v>0.58333333333333337</v>
      </c>
      <c r="M474" s="127">
        <v>0.47916666666666669</v>
      </c>
    </row>
    <row r="475" spans="3:13" ht="25" thickBot="1" x14ac:dyDescent="0.25">
      <c r="C475" s="93"/>
      <c r="D475" s="195"/>
      <c r="E475" s="96" t="s">
        <v>436</v>
      </c>
      <c r="F475" s="97" t="s">
        <v>29</v>
      </c>
      <c r="G475" s="97" t="s">
        <v>28</v>
      </c>
      <c r="H475" s="98" t="s">
        <v>27</v>
      </c>
      <c r="I475" s="307"/>
      <c r="J475" s="308"/>
      <c r="K475" s="309"/>
      <c r="L475" s="117"/>
      <c r="M475" s="118"/>
    </row>
    <row r="476" spans="3:13" ht="24" x14ac:dyDescent="0.2">
      <c r="C476" s="93"/>
      <c r="D476" s="195"/>
      <c r="E476" s="99" t="s">
        <v>752</v>
      </c>
      <c r="F476" s="109">
        <v>52.6</v>
      </c>
      <c r="G476" s="109" t="s">
        <v>753</v>
      </c>
      <c r="H476" s="109">
        <v>53.8</v>
      </c>
      <c r="I476" s="307"/>
      <c r="J476" s="308"/>
      <c r="K476" s="309"/>
      <c r="L476" s="117"/>
      <c r="M476" s="118"/>
    </row>
    <row r="477" spans="3:13" ht="24" x14ac:dyDescent="0.2">
      <c r="C477" s="93"/>
      <c r="D477" s="195"/>
      <c r="E477" s="99" t="s">
        <v>499</v>
      </c>
      <c r="F477" s="109">
        <v>52.9</v>
      </c>
      <c r="G477" s="109" t="s">
        <v>754</v>
      </c>
      <c r="H477" s="109">
        <v>53.8</v>
      </c>
      <c r="I477" s="307"/>
      <c r="J477" s="308"/>
      <c r="K477" s="309"/>
      <c r="L477" s="117"/>
      <c r="M477" s="118"/>
    </row>
    <row r="478" spans="3:13" ht="24" x14ac:dyDescent="0.2">
      <c r="C478" s="93"/>
      <c r="D478" s="195"/>
      <c r="E478" s="99" t="s">
        <v>526</v>
      </c>
      <c r="F478" s="109">
        <v>53.8</v>
      </c>
      <c r="G478" s="109" t="s">
        <v>755</v>
      </c>
      <c r="H478" s="109">
        <v>52.8</v>
      </c>
      <c r="I478" s="307"/>
      <c r="J478" s="308"/>
      <c r="K478" s="309"/>
      <c r="L478" s="119"/>
      <c r="M478" s="118"/>
    </row>
    <row r="479" spans="3:13" ht="24" x14ac:dyDescent="0.2">
      <c r="C479" s="93"/>
      <c r="D479" s="195"/>
      <c r="E479" s="99" t="s">
        <v>503</v>
      </c>
      <c r="F479" s="109">
        <v>53.4</v>
      </c>
      <c r="G479" s="109" t="s">
        <v>753</v>
      </c>
      <c r="H479" s="109">
        <v>52.8</v>
      </c>
      <c r="I479" s="307"/>
      <c r="J479" s="308"/>
      <c r="K479" s="309"/>
      <c r="L479" s="117"/>
      <c r="M479" s="118"/>
    </row>
    <row r="480" spans="3:13" ht="24" x14ac:dyDescent="0.2">
      <c r="C480" s="93"/>
      <c r="D480" s="195"/>
      <c r="E480" s="99" t="s">
        <v>588</v>
      </c>
      <c r="F480" s="109">
        <v>52.8</v>
      </c>
      <c r="G480" s="109" t="s">
        <v>756</v>
      </c>
      <c r="H480" s="109">
        <v>52.3</v>
      </c>
      <c r="I480" s="307"/>
      <c r="J480" s="308"/>
      <c r="K480" s="309"/>
      <c r="L480" s="117"/>
      <c r="M480" s="118"/>
    </row>
    <row r="481" spans="3:13" ht="25" thickBot="1" x14ac:dyDescent="0.25">
      <c r="C481" s="93"/>
      <c r="D481" s="195"/>
      <c r="E481" s="99" t="s">
        <v>505</v>
      </c>
      <c r="F481" s="109">
        <v>52.7</v>
      </c>
      <c r="G481" s="109" t="s">
        <v>596</v>
      </c>
      <c r="H481" s="109">
        <v>52.3</v>
      </c>
      <c r="I481" s="310"/>
      <c r="J481" s="311"/>
      <c r="K481" s="312"/>
      <c r="L481" s="120"/>
      <c r="M481" s="121"/>
    </row>
    <row r="482" spans="3:13" ht="49" thickBot="1" x14ac:dyDescent="0.25">
      <c r="C482" s="93"/>
      <c r="D482" s="89" t="s">
        <v>105</v>
      </c>
      <c r="E482" s="123" t="s">
        <v>30</v>
      </c>
      <c r="F482" s="363" t="s">
        <v>14</v>
      </c>
      <c r="G482" s="364"/>
      <c r="H482" s="365"/>
      <c r="I482" s="334" t="s">
        <v>633</v>
      </c>
      <c r="J482" s="326"/>
      <c r="K482" s="327"/>
      <c r="L482" s="124" t="s">
        <v>430</v>
      </c>
      <c r="M482" s="125" t="s">
        <v>431</v>
      </c>
    </row>
    <row r="483" spans="3:13" ht="24" x14ac:dyDescent="0.2">
      <c r="C483" s="93"/>
      <c r="D483" s="195"/>
      <c r="E483" s="122" t="s">
        <v>432</v>
      </c>
      <c r="F483" s="369"/>
      <c r="G483" s="370"/>
      <c r="H483" s="371"/>
      <c r="I483" s="307" t="s">
        <v>693</v>
      </c>
      <c r="J483" s="308"/>
      <c r="K483" s="309"/>
      <c r="L483" s="117"/>
      <c r="M483" s="118"/>
    </row>
    <row r="484" spans="3:13" ht="24" x14ac:dyDescent="0.2">
      <c r="C484" s="93"/>
      <c r="D484" s="195"/>
      <c r="E484" s="92" t="s">
        <v>433</v>
      </c>
      <c r="F484" s="357" t="s">
        <v>99</v>
      </c>
      <c r="G484" s="358"/>
      <c r="H484" s="359"/>
      <c r="I484" s="307"/>
      <c r="J484" s="308"/>
      <c r="K484" s="309"/>
      <c r="L484" s="117"/>
      <c r="M484" s="118"/>
    </row>
    <row r="485" spans="3:13" ht="25" thickBot="1" x14ac:dyDescent="0.25">
      <c r="C485" s="93"/>
      <c r="D485" s="195"/>
      <c r="E485" s="92" t="s">
        <v>434</v>
      </c>
      <c r="F485" s="357" t="s">
        <v>171</v>
      </c>
      <c r="G485" s="358"/>
      <c r="H485" s="359"/>
      <c r="I485" s="307"/>
      <c r="J485" s="308"/>
      <c r="K485" s="309"/>
      <c r="L485" s="117"/>
      <c r="M485" s="118"/>
    </row>
    <row r="486" spans="3:13" ht="25" thickBot="1" x14ac:dyDescent="0.25">
      <c r="C486" s="93"/>
      <c r="D486" s="195"/>
      <c r="E486" s="94" t="s">
        <v>435</v>
      </c>
      <c r="F486" s="360">
        <v>0.52083333333333337</v>
      </c>
      <c r="G486" s="361"/>
      <c r="H486" s="362"/>
      <c r="I486" s="307"/>
      <c r="J486" s="308"/>
      <c r="K486" s="309"/>
      <c r="L486" s="126">
        <v>0.75</v>
      </c>
      <c r="M486" s="127">
        <v>0.64583333333333337</v>
      </c>
    </row>
    <row r="487" spans="3:13" ht="25" thickBot="1" x14ac:dyDescent="0.25">
      <c r="C487" s="93"/>
      <c r="D487" s="195"/>
      <c r="E487" s="96" t="s">
        <v>436</v>
      </c>
      <c r="F487" s="97" t="s">
        <v>29</v>
      </c>
      <c r="G487" s="97" t="s">
        <v>28</v>
      </c>
      <c r="H487" s="98" t="s">
        <v>27</v>
      </c>
      <c r="I487" s="307"/>
      <c r="J487" s="308"/>
      <c r="K487" s="309"/>
      <c r="L487" s="117"/>
      <c r="M487" s="118"/>
    </row>
    <row r="488" spans="3:13" ht="24" x14ac:dyDescent="0.2">
      <c r="C488" s="93"/>
      <c r="D488" s="195"/>
      <c r="E488" s="99">
        <v>45582</v>
      </c>
      <c r="F488" s="128" t="s">
        <v>171</v>
      </c>
      <c r="G488" s="128" t="s">
        <v>171</v>
      </c>
      <c r="H488" s="128" t="s">
        <v>692</v>
      </c>
      <c r="I488" s="307"/>
      <c r="J488" s="308"/>
      <c r="K488" s="309"/>
      <c r="L488" s="117"/>
      <c r="M488" s="118"/>
    </row>
    <row r="489" spans="3:13" ht="24" x14ac:dyDescent="0.2">
      <c r="C489" s="93"/>
      <c r="D489" s="195"/>
      <c r="E489" s="99">
        <v>45575</v>
      </c>
      <c r="F489" s="128" t="s">
        <v>678</v>
      </c>
      <c r="G489" s="128" t="s">
        <v>580</v>
      </c>
      <c r="H489" s="128" t="s">
        <v>638</v>
      </c>
      <c r="I489" s="307"/>
      <c r="J489" s="308"/>
      <c r="K489" s="309"/>
      <c r="L489" s="117"/>
      <c r="M489" s="118"/>
    </row>
    <row r="490" spans="3:13" ht="24" x14ac:dyDescent="0.2">
      <c r="C490" s="93"/>
      <c r="D490" s="195"/>
      <c r="E490" s="99">
        <v>45568</v>
      </c>
      <c r="F490" s="128" t="s">
        <v>638</v>
      </c>
      <c r="G490" s="128" t="s">
        <v>734</v>
      </c>
      <c r="H490" s="128" t="s">
        <v>345</v>
      </c>
      <c r="I490" s="307"/>
      <c r="J490" s="308"/>
      <c r="K490" s="309"/>
      <c r="L490" s="119"/>
      <c r="M490" s="118"/>
    </row>
    <row r="491" spans="3:13" ht="24" x14ac:dyDescent="0.2">
      <c r="C491" s="93"/>
      <c r="D491" s="195"/>
      <c r="E491" s="99">
        <v>45561</v>
      </c>
      <c r="F491" s="128" t="s">
        <v>382</v>
      </c>
      <c r="G491" s="128" t="s">
        <v>574</v>
      </c>
      <c r="H491" s="128" t="s">
        <v>72</v>
      </c>
      <c r="I491" s="307"/>
      <c r="J491" s="308"/>
      <c r="K491" s="309"/>
      <c r="L491" s="117"/>
      <c r="M491" s="118"/>
    </row>
    <row r="492" spans="3:13" ht="24" x14ac:dyDescent="0.2">
      <c r="C492" s="93"/>
      <c r="D492" s="195"/>
      <c r="E492" s="99">
        <v>45554</v>
      </c>
      <c r="F492" s="128" t="s">
        <v>345</v>
      </c>
      <c r="G492" s="128" t="s">
        <v>576</v>
      </c>
      <c r="H492" s="128" t="s">
        <v>268</v>
      </c>
      <c r="I492" s="307"/>
      <c r="J492" s="308"/>
      <c r="K492" s="309"/>
      <c r="L492" s="117"/>
      <c r="M492" s="118"/>
    </row>
    <row r="493" spans="3:13" ht="25" thickBot="1" x14ac:dyDescent="0.25">
      <c r="C493" s="93"/>
      <c r="D493" s="195"/>
      <c r="E493" s="99">
        <v>45547</v>
      </c>
      <c r="F493" s="128" t="s">
        <v>330</v>
      </c>
      <c r="G493" s="128" t="s">
        <v>578</v>
      </c>
      <c r="H493" s="128" t="s">
        <v>579</v>
      </c>
      <c r="I493" s="310"/>
      <c r="J493" s="311"/>
      <c r="K493" s="312"/>
      <c r="L493" s="120"/>
      <c r="M493" s="121"/>
    </row>
    <row r="494" spans="3:13" ht="49" thickBot="1" x14ac:dyDescent="0.25">
      <c r="C494" s="93"/>
      <c r="D494" s="89" t="s">
        <v>105</v>
      </c>
      <c r="E494" s="123" t="s">
        <v>30</v>
      </c>
      <c r="F494" s="363" t="s">
        <v>713</v>
      </c>
      <c r="G494" s="364"/>
      <c r="H494" s="365"/>
      <c r="I494" s="325" t="s">
        <v>633</v>
      </c>
      <c r="J494" s="326"/>
      <c r="K494" s="327"/>
      <c r="L494" s="124" t="s">
        <v>430</v>
      </c>
      <c r="M494" s="125" t="s">
        <v>431</v>
      </c>
    </row>
    <row r="495" spans="3:13" ht="24" x14ac:dyDescent="0.2">
      <c r="C495" s="93"/>
      <c r="D495" s="195"/>
      <c r="E495" s="122" t="s">
        <v>432</v>
      </c>
      <c r="F495" s="342"/>
      <c r="G495" s="343"/>
      <c r="H495" s="344"/>
      <c r="I495" s="307" t="s">
        <v>714</v>
      </c>
      <c r="J495" s="308"/>
      <c r="K495" s="309"/>
      <c r="L495" s="117"/>
      <c r="M495" s="118"/>
    </row>
    <row r="496" spans="3:13" ht="24" x14ac:dyDescent="0.2">
      <c r="C496" s="93"/>
      <c r="D496" s="195"/>
      <c r="E496" s="92" t="s">
        <v>433</v>
      </c>
      <c r="F496" s="366">
        <v>47.5</v>
      </c>
      <c r="G496" s="367"/>
      <c r="H496" s="368"/>
      <c r="I496" s="307"/>
      <c r="J496" s="308"/>
      <c r="K496" s="309"/>
      <c r="L496" s="117"/>
      <c r="M496" s="118"/>
    </row>
    <row r="497" spans="3:13" ht="25" thickBot="1" x14ac:dyDescent="0.25">
      <c r="C497" s="93"/>
      <c r="D497" s="195"/>
      <c r="E497" s="92" t="s">
        <v>434</v>
      </c>
      <c r="F497" s="366">
        <v>47.3</v>
      </c>
      <c r="G497" s="367"/>
      <c r="H497" s="368"/>
      <c r="I497" s="307"/>
      <c r="J497" s="308"/>
      <c r="K497" s="309"/>
      <c r="L497" s="117"/>
      <c r="M497" s="118"/>
    </row>
    <row r="498" spans="3:13" ht="25" thickBot="1" x14ac:dyDescent="0.25">
      <c r="C498" s="93"/>
      <c r="D498" s="195"/>
      <c r="E498" s="94" t="s">
        <v>435</v>
      </c>
      <c r="F498" s="360">
        <v>0.57291666666666674</v>
      </c>
      <c r="G498" s="361"/>
      <c r="H498" s="362"/>
      <c r="I498" s="307"/>
      <c r="J498" s="308"/>
      <c r="K498" s="309"/>
      <c r="L498" s="126">
        <v>0.80208333333333337</v>
      </c>
      <c r="M498" s="127">
        <v>0.69791666666666674</v>
      </c>
    </row>
    <row r="499" spans="3:13" ht="25" thickBot="1" x14ac:dyDescent="0.25">
      <c r="C499" s="93"/>
      <c r="D499" s="195"/>
      <c r="E499" s="96" t="s">
        <v>436</v>
      </c>
      <c r="F499" s="97" t="s">
        <v>29</v>
      </c>
      <c r="G499" s="97" t="s">
        <v>28</v>
      </c>
      <c r="H499" s="98" t="s">
        <v>27</v>
      </c>
      <c r="I499" s="307"/>
      <c r="J499" s="308"/>
      <c r="K499" s="309"/>
      <c r="L499" s="117"/>
      <c r="M499" s="118"/>
    </row>
    <row r="500" spans="3:13" ht="24" x14ac:dyDescent="0.2">
      <c r="C500" s="93"/>
      <c r="D500" s="195"/>
      <c r="E500" s="99" t="s">
        <v>757</v>
      </c>
      <c r="F500" s="109">
        <v>47.3</v>
      </c>
      <c r="G500" s="109" t="s">
        <v>758</v>
      </c>
      <c r="H500" s="109">
        <v>47.9</v>
      </c>
      <c r="I500" s="307"/>
      <c r="J500" s="308"/>
      <c r="K500" s="309"/>
      <c r="L500" s="117"/>
      <c r="M500" s="118"/>
    </row>
    <row r="501" spans="3:13" ht="24" x14ac:dyDescent="0.2">
      <c r="C501" s="93"/>
      <c r="D501" s="195"/>
      <c r="E501" s="99" t="s">
        <v>499</v>
      </c>
      <c r="F501" s="109">
        <v>47</v>
      </c>
      <c r="G501" s="109" t="s">
        <v>500</v>
      </c>
      <c r="H501" s="109">
        <v>47.9</v>
      </c>
      <c r="I501" s="307"/>
      <c r="J501" s="308"/>
      <c r="K501" s="309"/>
      <c r="L501" s="117"/>
      <c r="M501" s="118"/>
    </row>
    <row r="502" spans="3:13" ht="24" x14ac:dyDescent="0.2">
      <c r="C502" s="93"/>
      <c r="D502" s="195"/>
      <c r="E502" s="99" t="s">
        <v>501</v>
      </c>
      <c r="F502" s="109">
        <v>47.9</v>
      </c>
      <c r="G502" s="109" t="s">
        <v>502</v>
      </c>
      <c r="H502" s="109">
        <v>49.6</v>
      </c>
      <c r="I502" s="307"/>
      <c r="J502" s="308"/>
      <c r="K502" s="309"/>
      <c r="L502" s="119"/>
      <c r="M502" s="118"/>
    </row>
    <row r="503" spans="3:13" ht="24" x14ac:dyDescent="0.2">
      <c r="C503" s="93"/>
      <c r="D503" s="195"/>
      <c r="E503" s="99" t="s">
        <v>503</v>
      </c>
      <c r="F503" s="109">
        <v>48</v>
      </c>
      <c r="G503" s="109" t="s">
        <v>438</v>
      </c>
      <c r="H503" s="109">
        <v>49.6</v>
      </c>
      <c r="I503" s="307"/>
      <c r="J503" s="308"/>
      <c r="K503" s="309"/>
      <c r="L503" s="117"/>
      <c r="M503" s="118"/>
    </row>
    <row r="504" spans="3:13" ht="24" x14ac:dyDescent="0.2">
      <c r="C504" s="93"/>
      <c r="D504" s="195"/>
      <c r="E504" s="99" t="s">
        <v>504</v>
      </c>
      <c r="F504" s="109">
        <v>49.6</v>
      </c>
      <c r="G504" s="109" t="s">
        <v>438</v>
      </c>
      <c r="H504" s="109">
        <v>51.6</v>
      </c>
      <c r="I504" s="307"/>
      <c r="J504" s="308"/>
      <c r="K504" s="309"/>
      <c r="L504" s="117"/>
      <c r="M504" s="118"/>
    </row>
    <row r="505" spans="3:13" ht="25" thickBot="1" x14ac:dyDescent="0.25">
      <c r="C505" s="93"/>
      <c r="D505" s="195"/>
      <c r="E505" s="99" t="s">
        <v>505</v>
      </c>
      <c r="F505" s="109">
        <v>49.5</v>
      </c>
      <c r="G505" s="109" t="s">
        <v>506</v>
      </c>
      <c r="H505" s="109">
        <v>51.6</v>
      </c>
      <c r="I505" s="310"/>
      <c r="J505" s="311"/>
      <c r="K505" s="312"/>
      <c r="L505" s="120"/>
      <c r="M505" s="121"/>
    </row>
    <row r="506" spans="3:13" ht="49" thickBot="1" x14ac:dyDescent="0.25">
      <c r="C506" s="93"/>
      <c r="D506" s="89" t="s">
        <v>105</v>
      </c>
      <c r="E506" s="123" t="s">
        <v>30</v>
      </c>
      <c r="F506" s="363" t="s">
        <v>715</v>
      </c>
      <c r="G506" s="364"/>
      <c r="H506" s="365"/>
      <c r="I506" s="325" t="s">
        <v>633</v>
      </c>
      <c r="J506" s="326"/>
      <c r="K506" s="327"/>
      <c r="L506" s="124" t="s">
        <v>430</v>
      </c>
      <c r="M506" s="125" t="s">
        <v>431</v>
      </c>
    </row>
    <row r="507" spans="3:13" ht="24" x14ac:dyDescent="0.2">
      <c r="C507" s="93"/>
      <c r="D507" s="195"/>
      <c r="E507" s="122" t="s">
        <v>432</v>
      </c>
      <c r="F507" s="342"/>
      <c r="G507" s="343"/>
      <c r="H507" s="344"/>
      <c r="I507" s="307" t="s">
        <v>716</v>
      </c>
      <c r="J507" s="308"/>
      <c r="K507" s="309"/>
      <c r="L507" s="117"/>
      <c r="M507" s="118"/>
    </row>
    <row r="508" spans="3:13" ht="24" x14ac:dyDescent="0.2">
      <c r="C508" s="93"/>
      <c r="D508" s="195"/>
      <c r="E508" s="92" t="s">
        <v>433</v>
      </c>
      <c r="F508" s="366">
        <v>55</v>
      </c>
      <c r="G508" s="367"/>
      <c r="H508" s="368"/>
      <c r="I508" s="307"/>
      <c r="J508" s="308"/>
      <c r="K508" s="309"/>
      <c r="L508" s="117"/>
      <c r="M508" s="118"/>
    </row>
    <row r="509" spans="3:13" ht="25" thickBot="1" x14ac:dyDescent="0.25">
      <c r="C509" s="93"/>
      <c r="D509" s="195"/>
      <c r="E509" s="92" t="s">
        <v>434</v>
      </c>
      <c r="F509" s="366">
        <v>55.2</v>
      </c>
      <c r="G509" s="367"/>
      <c r="H509" s="368"/>
      <c r="I509" s="307"/>
      <c r="J509" s="308"/>
      <c r="K509" s="309"/>
      <c r="L509" s="117"/>
      <c r="M509" s="118"/>
    </row>
    <row r="510" spans="3:13" ht="25" thickBot="1" x14ac:dyDescent="0.25">
      <c r="C510" s="93"/>
      <c r="D510" s="195"/>
      <c r="E510" s="94" t="s">
        <v>435</v>
      </c>
      <c r="F510" s="360">
        <v>0.57291666666666674</v>
      </c>
      <c r="G510" s="361"/>
      <c r="H510" s="362"/>
      <c r="I510" s="307"/>
      <c r="J510" s="308"/>
      <c r="K510" s="309"/>
      <c r="L510" s="126">
        <v>0.80208333333333337</v>
      </c>
      <c r="M510" s="127">
        <v>0.69791666666666674</v>
      </c>
    </row>
    <row r="511" spans="3:13" ht="25" thickBot="1" x14ac:dyDescent="0.25">
      <c r="C511" s="93"/>
      <c r="D511" s="195"/>
      <c r="E511" s="96" t="s">
        <v>436</v>
      </c>
      <c r="F511" s="97" t="s">
        <v>29</v>
      </c>
      <c r="G511" s="97" t="s">
        <v>28</v>
      </c>
      <c r="H511" s="98" t="s">
        <v>27</v>
      </c>
      <c r="I511" s="307"/>
      <c r="J511" s="308"/>
      <c r="K511" s="309"/>
      <c r="L511" s="117"/>
      <c r="M511" s="118"/>
    </row>
    <row r="512" spans="3:13" ht="24" x14ac:dyDescent="0.2">
      <c r="C512" s="93"/>
      <c r="D512" s="195"/>
      <c r="E512" s="99" t="s">
        <v>752</v>
      </c>
      <c r="F512" s="109">
        <v>55.2</v>
      </c>
      <c r="G512" s="109" t="s">
        <v>759</v>
      </c>
      <c r="H512" s="109">
        <v>55.7</v>
      </c>
      <c r="I512" s="307"/>
      <c r="J512" s="308"/>
      <c r="K512" s="309"/>
      <c r="L512" s="117"/>
      <c r="M512" s="118"/>
    </row>
    <row r="513" spans="3:13" ht="24" x14ac:dyDescent="0.2">
      <c r="C513" s="93"/>
      <c r="D513" s="195"/>
      <c r="E513" s="99" t="s">
        <v>499</v>
      </c>
      <c r="F513" s="109">
        <v>55.4</v>
      </c>
      <c r="G513" s="109" t="s">
        <v>585</v>
      </c>
      <c r="H513" s="109">
        <v>55.7</v>
      </c>
      <c r="I513" s="307"/>
      <c r="J513" s="308"/>
      <c r="K513" s="309"/>
      <c r="L513" s="117"/>
      <c r="M513" s="118"/>
    </row>
    <row r="514" spans="3:13" ht="24" x14ac:dyDescent="0.2">
      <c r="C514" s="93"/>
      <c r="D514" s="195"/>
      <c r="E514" s="99" t="s">
        <v>545</v>
      </c>
      <c r="F514" s="109">
        <v>55.7</v>
      </c>
      <c r="G514" s="109" t="s">
        <v>586</v>
      </c>
      <c r="H514" s="109">
        <v>55</v>
      </c>
      <c r="I514" s="307"/>
      <c r="J514" s="308"/>
      <c r="K514" s="309"/>
      <c r="L514" s="119"/>
      <c r="M514" s="118"/>
    </row>
    <row r="515" spans="3:13" ht="24" x14ac:dyDescent="0.2">
      <c r="C515" s="93"/>
      <c r="D515" s="195"/>
      <c r="E515" s="99" t="s">
        <v>503</v>
      </c>
      <c r="F515" s="109">
        <v>55.2</v>
      </c>
      <c r="G515" s="109" t="s">
        <v>587</v>
      </c>
      <c r="H515" s="109">
        <v>55</v>
      </c>
      <c r="I515" s="307"/>
      <c r="J515" s="308"/>
      <c r="K515" s="309"/>
      <c r="L515" s="117"/>
      <c r="M515" s="118"/>
    </row>
    <row r="516" spans="3:13" ht="24" x14ac:dyDescent="0.2">
      <c r="C516" s="93"/>
      <c r="D516" s="195"/>
      <c r="E516" s="99" t="s">
        <v>588</v>
      </c>
      <c r="F516" s="109">
        <v>55</v>
      </c>
      <c r="G516" s="109" t="s">
        <v>589</v>
      </c>
      <c r="H516" s="109">
        <v>55.3</v>
      </c>
      <c r="I516" s="307"/>
      <c r="J516" s="308"/>
      <c r="K516" s="309"/>
      <c r="L516" s="117"/>
      <c r="M516" s="118"/>
    </row>
    <row r="517" spans="3:13" ht="25" thickBot="1" x14ac:dyDescent="0.25">
      <c r="C517" s="93"/>
      <c r="D517" s="195"/>
      <c r="E517" s="99" t="s">
        <v>505</v>
      </c>
      <c r="F517" s="109">
        <v>56</v>
      </c>
      <c r="G517" s="109" t="s">
        <v>590</v>
      </c>
      <c r="H517" s="109">
        <v>55.3</v>
      </c>
      <c r="I517" s="310"/>
      <c r="J517" s="311"/>
      <c r="K517" s="312"/>
      <c r="L517" s="120"/>
      <c r="M517" s="121"/>
    </row>
    <row r="518" spans="3:13" ht="49" thickBot="1" x14ac:dyDescent="0.25">
      <c r="C518" s="93"/>
      <c r="D518" s="89" t="s">
        <v>105</v>
      </c>
      <c r="E518" s="123" t="s">
        <v>30</v>
      </c>
      <c r="F518" s="363" t="s">
        <v>717</v>
      </c>
      <c r="G518" s="364"/>
      <c r="H518" s="365"/>
      <c r="I518" s="325" t="s">
        <v>633</v>
      </c>
      <c r="J518" s="326"/>
      <c r="K518" s="327"/>
      <c r="L518" s="124" t="s">
        <v>430</v>
      </c>
      <c r="M518" s="125" t="s">
        <v>431</v>
      </c>
    </row>
    <row r="519" spans="3:13" ht="24" x14ac:dyDescent="0.2">
      <c r="C519" s="93"/>
      <c r="D519" s="195"/>
      <c r="E519" s="122" t="s">
        <v>432</v>
      </c>
      <c r="F519" s="342"/>
      <c r="G519" s="343"/>
      <c r="H519" s="344"/>
      <c r="I519" s="307" t="s">
        <v>719</v>
      </c>
      <c r="J519" s="308"/>
      <c r="K519" s="309"/>
      <c r="L519" s="117"/>
      <c r="M519" s="118"/>
    </row>
    <row r="520" spans="3:13" ht="24" x14ac:dyDescent="0.2">
      <c r="C520" s="93"/>
      <c r="D520" s="195"/>
      <c r="E520" s="92" t="s">
        <v>433</v>
      </c>
      <c r="F520" s="345" t="s">
        <v>718</v>
      </c>
      <c r="G520" s="346"/>
      <c r="H520" s="347"/>
      <c r="I520" s="307"/>
      <c r="J520" s="308"/>
      <c r="K520" s="309"/>
      <c r="L520" s="117"/>
      <c r="M520" s="118"/>
    </row>
    <row r="521" spans="3:13" ht="25" thickBot="1" x14ac:dyDescent="0.25">
      <c r="C521" s="93"/>
      <c r="D521" s="195"/>
      <c r="E521" s="92" t="s">
        <v>434</v>
      </c>
      <c r="F521" s="345" t="s">
        <v>378</v>
      </c>
      <c r="G521" s="346"/>
      <c r="H521" s="347"/>
      <c r="I521" s="307"/>
      <c r="J521" s="308"/>
      <c r="K521" s="309"/>
      <c r="L521" s="117"/>
      <c r="M521" s="118"/>
    </row>
    <row r="522" spans="3:13" ht="25" thickBot="1" x14ac:dyDescent="0.25">
      <c r="C522" s="93"/>
      <c r="D522" s="195"/>
      <c r="E522" s="94" t="s">
        <v>435</v>
      </c>
      <c r="F522" s="360">
        <v>0.58333333333333337</v>
      </c>
      <c r="G522" s="361"/>
      <c r="H522" s="362"/>
      <c r="I522" s="307"/>
      <c r="J522" s="308"/>
      <c r="K522" s="309"/>
      <c r="L522" s="126">
        <v>0.8125</v>
      </c>
      <c r="M522" s="127">
        <v>0.70833333333333337</v>
      </c>
    </row>
    <row r="523" spans="3:13" ht="25" thickBot="1" x14ac:dyDescent="0.25">
      <c r="C523" s="93"/>
      <c r="D523" s="195"/>
      <c r="E523" s="96" t="s">
        <v>436</v>
      </c>
      <c r="F523" s="97" t="s">
        <v>29</v>
      </c>
      <c r="G523" s="97" t="s">
        <v>28</v>
      </c>
      <c r="H523" s="98" t="s">
        <v>27</v>
      </c>
      <c r="I523" s="307"/>
      <c r="J523" s="308"/>
      <c r="K523" s="309"/>
      <c r="L523" s="117"/>
      <c r="M523" s="118"/>
    </row>
    <row r="524" spans="3:13" ht="24" x14ac:dyDescent="0.2">
      <c r="C524" s="93"/>
      <c r="D524" s="195"/>
      <c r="E524" s="99" t="s">
        <v>563</v>
      </c>
      <c r="F524" s="105" t="s">
        <v>378</v>
      </c>
      <c r="G524" s="105" t="s">
        <v>760</v>
      </c>
      <c r="H524" s="105" t="s">
        <v>761</v>
      </c>
      <c r="I524" s="307"/>
      <c r="J524" s="308"/>
      <c r="K524" s="309"/>
      <c r="L524" s="117"/>
      <c r="M524" s="118"/>
    </row>
    <row r="525" spans="3:13" ht="24" x14ac:dyDescent="0.2">
      <c r="C525" s="93"/>
      <c r="D525" s="195"/>
      <c r="E525" s="99" t="s">
        <v>480</v>
      </c>
      <c r="F525" s="105" t="s">
        <v>239</v>
      </c>
      <c r="G525" s="105" t="s">
        <v>762</v>
      </c>
      <c r="H525" s="105" t="s">
        <v>763</v>
      </c>
      <c r="I525" s="307"/>
      <c r="J525" s="308"/>
      <c r="K525" s="309"/>
      <c r="L525" s="117"/>
      <c r="M525" s="118"/>
    </row>
    <row r="526" spans="3:13" ht="24" x14ac:dyDescent="0.2">
      <c r="C526" s="93"/>
      <c r="D526" s="195"/>
      <c r="E526" s="99" t="s">
        <v>724</v>
      </c>
      <c r="F526" s="105" t="s">
        <v>241</v>
      </c>
      <c r="G526" s="105" t="s">
        <v>764</v>
      </c>
      <c r="H526" s="105" t="s">
        <v>765</v>
      </c>
      <c r="I526" s="307"/>
      <c r="J526" s="308"/>
      <c r="K526" s="309"/>
      <c r="L526" s="119"/>
      <c r="M526" s="118"/>
    </row>
    <row r="527" spans="3:13" ht="24" x14ac:dyDescent="0.2">
      <c r="C527" s="93"/>
      <c r="D527" s="195"/>
      <c r="E527" s="99" t="s">
        <v>766</v>
      </c>
      <c r="F527" s="105" t="s">
        <v>94</v>
      </c>
      <c r="G527" s="105" t="s">
        <v>767</v>
      </c>
      <c r="H527" s="105" t="s">
        <v>768</v>
      </c>
      <c r="I527" s="307"/>
      <c r="J527" s="308"/>
      <c r="K527" s="309"/>
      <c r="L527" s="117"/>
      <c r="M527" s="118"/>
    </row>
    <row r="528" spans="3:13" ht="24" x14ac:dyDescent="0.2">
      <c r="C528" s="93"/>
      <c r="D528" s="195"/>
      <c r="E528" s="99" t="s">
        <v>769</v>
      </c>
      <c r="F528" s="105" t="s">
        <v>770</v>
      </c>
      <c r="G528" s="105" t="s">
        <v>771</v>
      </c>
      <c r="H528" s="105" t="s">
        <v>772</v>
      </c>
      <c r="I528" s="307"/>
      <c r="J528" s="308"/>
      <c r="K528" s="309"/>
      <c r="L528" s="117"/>
      <c r="M528" s="118"/>
    </row>
    <row r="529" spans="3:13" ht="25" thickBot="1" x14ac:dyDescent="0.25">
      <c r="C529" s="93"/>
      <c r="D529" s="195"/>
      <c r="E529" s="99" t="s">
        <v>773</v>
      </c>
      <c r="F529" s="105" t="s">
        <v>774</v>
      </c>
      <c r="G529" s="105" t="s">
        <v>775</v>
      </c>
      <c r="H529" s="105" t="s">
        <v>776</v>
      </c>
      <c r="I529" s="310"/>
      <c r="J529" s="311"/>
      <c r="K529" s="312"/>
      <c r="L529" s="120"/>
      <c r="M529" s="121"/>
    </row>
    <row r="530" spans="3:13" ht="49" thickBot="1" x14ac:dyDescent="0.25">
      <c r="C530" s="93"/>
      <c r="D530" s="89" t="s">
        <v>105</v>
      </c>
      <c r="E530" s="123" t="s">
        <v>30</v>
      </c>
      <c r="F530" s="363" t="s">
        <v>720</v>
      </c>
      <c r="G530" s="364"/>
      <c r="H530" s="365"/>
      <c r="I530" s="325" t="s">
        <v>633</v>
      </c>
      <c r="J530" s="326"/>
      <c r="K530" s="327"/>
      <c r="L530" s="124" t="s">
        <v>430</v>
      </c>
      <c r="M530" s="125" t="s">
        <v>431</v>
      </c>
    </row>
    <row r="531" spans="3:13" ht="24" x14ac:dyDescent="0.2">
      <c r="C531" s="93"/>
      <c r="D531" s="195"/>
      <c r="E531" s="122" t="s">
        <v>432</v>
      </c>
      <c r="F531" s="342"/>
      <c r="G531" s="343"/>
      <c r="H531" s="344"/>
      <c r="I531" s="307" t="s">
        <v>721</v>
      </c>
      <c r="J531" s="308"/>
      <c r="K531" s="309"/>
      <c r="L531" s="117"/>
      <c r="M531" s="118"/>
    </row>
    <row r="532" spans="3:13" ht="24" x14ac:dyDescent="0.2">
      <c r="C532" s="93"/>
      <c r="D532" s="195"/>
      <c r="E532" s="92" t="s">
        <v>433</v>
      </c>
      <c r="F532" s="345">
        <v>-1.0999999999999999E-2</v>
      </c>
      <c r="G532" s="346"/>
      <c r="H532" s="347"/>
      <c r="I532" s="307"/>
      <c r="J532" s="308"/>
      <c r="K532" s="309"/>
      <c r="L532" s="117"/>
      <c r="M532" s="118"/>
    </row>
    <row r="533" spans="3:13" ht="25" thickBot="1" x14ac:dyDescent="0.25">
      <c r="C533" s="93"/>
      <c r="D533" s="195"/>
      <c r="E533" s="92" t="s">
        <v>434</v>
      </c>
      <c r="F533" s="345">
        <v>0</v>
      </c>
      <c r="G533" s="346"/>
      <c r="H533" s="347"/>
      <c r="I533" s="307"/>
      <c r="J533" s="308"/>
      <c r="K533" s="309"/>
      <c r="L533" s="117"/>
      <c r="M533" s="118"/>
    </row>
    <row r="534" spans="3:13" ht="25" thickBot="1" x14ac:dyDescent="0.25">
      <c r="C534" s="93"/>
      <c r="D534" s="195"/>
      <c r="E534" s="94" t="s">
        <v>435</v>
      </c>
      <c r="F534" s="360">
        <v>0.52083333333333337</v>
      </c>
      <c r="G534" s="361"/>
      <c r="H534" s="362"/>
      <c r="I534" s="307"/>
      <c r="J534" s="308"/>
      <c r="K534" s="309"/>
      <c r="L534" s="126">
        <v>0.75</v>
      </c>
      <c r="M534" s="127">
        <v>0.64583333333333337</v>
      </c>
    </row>
    <row r="535" spans="3:13" ht="25" thickBot="1" x14ac:dyDescent="0.25">
      <c r="C535" s="93"/>
      <c r="D535" s="195"/>
      <c r="E535" s="96" t="s">
        <v>436</v>
      </c>
      <c r="F535" s="97" t="s">
        <v>29</v>
      </c>
      <c r="G535" s="97" t="s">
        <v>28</v>
      </c>
      <c r="H535" s="98" t="s">
        <v>27</v>
      </c>
      <c r="I535" s="307"/>
      <c r="J535" s="308"/>
      <c r="K535" s="309"/>
      <c r="L535" s="117"/>
      <c r="M535" s="118"/>
    </row>
    <row r="536" spans="3:13" ht="24" x14ac:dyDescent="0.2">
      <c r="C536" s="93"/>
      <c r="D536" s="195"/>
      <c r="E536" s="99" t="s">
        <v>777</v>
      </c>
      <c r="F536" s="105">
        <v>0</v>
      </c>
      <c r="G536" s="105" t="s">
        <v>778</v>
      </c>
      <c r="H536" s="105">
        <v>9.9000000000000005E-2</v>
      </c>
      <c r="I536" s="307"/>
      <c r="J536" s="308"/>
      <c r="K536" s="309"/>
      <c r="L536" s="117"/>
      <c r="M536" s="118"/>
    </row>
    <row r="537" spans="3:13" ht="24" x14ac:dyDescent="0.2">
      <c r="C537" s="93"/>
      <c r="D537" s="195"/>
      <c r="E537" s="99" t="s">
        <v>779</v>
      </c>
      <c r="F537" s="105">
        <v>9.9000000000000005E-2</v>
      </c>
      <c r="G537" s="105" t="s">
        <v>630</v>
      </c>
      <c r="H537" s="105">
        <v>-6.9000000000000006E-2</v>
      </c>
      <c r="I537" s="307"/>
      <c r="J537" s="308"/>
      <c r="K537" s="309"/>
      <c r="L537" s="117"/>
      <c r="M537" s="118"/>
    </row>
    <row r="538" spans="3:13" ht="24" x14ac:dyDescent="0.2">
      <c r="C538" s="93"/>
      <c r="D538" s="195"/>
      <c r="E538" s="99" t="s">
        <v>780</v>
      </c>
      <c r="F538" s="105">
        <v>-6.6000000000000003E-2</v>
      </c>
      <c r="G538" s="105" t="s">
        <v>467</v>
      </c>
      <c r="H538" s="105">
        <v>1E-3</v>
      </c>
      <c r="I538" s="307"/>
      <c r="J538" s="308"/>
      <c r="K538" s="309"/>
      <c r="L538" s="119"/>
      <c r="M538" s="118"/>
    </row>
    <row r="539" spans="3:13" ht="24" x14ac:dyDescent="0.2">
      <c r="C539" s="93"/>
      <c r="D539" s="195"/>
      <c r="E539" s="99" t="s">
        <v>781</v>
      </c>
      <c r="F539" s="105">
        <v>1E-3</v>
      </c>
      <c r="G539" s="105" t="s">
        <v>782</v>
      </c>
      <c r="H539" s="105">
        <v>2E-3</v>
      </c>
      <c r="I539" s="307"/>
      <c r="J539" s="308"/>
      <c r="K539" s="309"/>
      <c r="L539" s="117"/>
      <c r="M539" s="118"/>
    </row>
    <row r="540" spans="3:13" ht="24" x14ac:dyDescent="0.2">
      <c r="C540" s="93"/>
      <c r="D540" s="195"/>
      <c r="E540" s="99" t="s">
        <v>783</v>
      </c>
      <c r="F540" s="105">
        <v>7.0000000000000001E-3</v>
      </c>
      <c r="G540" s="105" t="s">
        <v>784</v>
      </c>
      <c r="H540" s="105">
        <v>8.0000000000000002E-3</v>
      </c>
      <c r="I540" s="307"/>
      <c r="J540" s="308"/>
      <c r="K540" s="309"/>
      <c r="L540" s="117"/>
      <c r="M540" s="118"/>
    </row>
    <row r="541" spans="3:13" ht="25" thickBot="1" x14ac:dyDescent="0.25">
      <c r="C541" s="93"/>
      <c r="D541" s="195"/>
      <c r="E541" s="99" t="s">
        <v>785</v>
      </c>
      <c r="F541" s="105">
        <v>2.5999999999999999E-2</v>
      </c>
      <c r="G541" s="105" t="s">
        <v>495</v>
      </c>
      <c r="H541" s="105">
        <v>7.0000000000000001E-3</v>
      </c>
      <c r="I541" s="310"/>
      <c r="J541" s="311"/>
      <c r="K541" s="312"/>
      <c r="L541" s="120"/>
      <c r="M541" s="121"/>
    </row>
    <row r="542" spans="3:13" ht="49" thickBot="1" x14ac:dyDescent="0.25">
      <c r="C542" s="93"/>
      <c r="D542" s="89" t="s">
        <v>105</v>
      </c>
      <c r="E542" s="123" t="s">
        <v>30</v>
      </c>
      <c r="F542" s="363" t="s">
        <v>786</v>
      </c>
      <c r="G542" s="364"/>
      <c r="H542" s="365"/>
      <c r="I542" s="325" t="s">
        <v>633</v>
      </c>
      <c r="J542" s="326"/>
      <c r="K542" s="327"/>
      <c r="L542" s="124" t="s">
        <v>430</v>
      </c>
      <c r="M542" s="125" t="s">
        <v>431</v>
      </c>
    </row>
    <row r="543" spans="3:13" ht="24" x14ac:dyDescent="0.2">
      <c r="C543" s="93"/>
      <c r="D543" s="195"/>
      <c r="E543" s="122" t="s">
        <v>432</v>
      </c>
      <c r="F543" s="342"/>
      <c r="G543" s="343"/>
      <c r="H543" s="344"/>
      <c r="I543" s="307">
        <v>0</v>
      </c>
      <c r="J543" s="308"/>
      <c r="K543" s="309"/>
      <c r="L543" s="117"/>
      <c r="M543" s="118"/>
    </row>
    <row r="544" spans="3:13" ht="24" x14ac:dyDescent="0.2">
      <c r="C544" s="93"/>
      <c r="D544" s="195"/>
      <c r="E544" s="92" t="s">
        <v>433</v>
      </c>
      <c r="F544" s="345" t="s">
        <v>787</v>
      </c>
      <c r="G544" s="346"/>
      <c r="H544" s="347"/>
      <c r="I544" s="307"/>
      <c r="J544" s="308"/>
      <c r="K544" s="309"/>
      <c r="L544" s="117"/>
      <c r="M544" s="118"/>
    </row>
    <row r="545" spans="3:13" ht="25" thickBot="1" x14ac:dyDescent="0.25">
      <c r="C545" s="93"/>
      <c r="D545" s="195"/>
      <c r="E545" s="92" t="s">
        <v>434</v>
      </c>
      <c r="F545" s="345" t="s">
        <v>788</v>
      </c>
      <c r="G545" s="346"/>
      <c r="H545" s="347"/>
      <c r="I545" s="307"/>
      <c r="J545" s="308"/>
      <c r="K545" s="309"/>
      <c r="L545" s="117"/>
      <c r="M545" s="118"/>
    </row>
    <row r="546" spans="3:13" ht="25" thickBot="1" x14ac:dyDescent="0.25">
      <c r="C546" s="93"/>
      <c r="D546" s="195"/>
      <c r="E546" s="94" t="s">
        <v>435</v>
      </c>
      <c r="F546" s="348">
        <v>0.97916666666666663</v>
      </c>
      <c r="G546" s="349"/>
      <c r="H546" s="350"/>
      <c r="I546" s="307"/>
      <c r="J546" s="308"/>
      <c r="K546" s="309"/>
      <c r="L546" s="126">
        <v>0.20833333333333334</v>
      </c>
      <c r="M546" s="127">
        <v>0.10416666666666667</v>
      </c>
    </row>
    <row r="547" spans="3:13" ht="25" thickBot="1" x14ac:dyDescent="0.25">
      <c r="C547" s="93"/>
      <c r="D547" s="195"/>
      <c r="E547" s="96" t="s">
        <v>436</v>
      </c>
      <c r="F547" s="97" t="s">
        <v>29</v>
      </c>
      <c r="G547" s="97" t="s">
        <v>28</v>
      </c>
      <c r="H547" s="98" t="s">
        <v>27</v>
      </c>
      <c r="I547" s="307"/>
      <c r="J547" s="308"/>
      <c r="K547" s="309"/>
      <c r="L547" s="117"/>
      <c r="M547" s="118"/>
    </row>
    <row r="548" spans="3:13" ht="24" x14ac:dyDescent="0.2">
      <c r="C548" s="93"/>
      <c r="D548" s="195"/>
      <c r="E548" s="131">
        <v>45560</v>
      </c>
      <c r="F548" s="105">
        <v>0.02</v>
      </c>
      <c r="G548" s="105" t="s">
        <v>788</v>
      </c>
      <c r="H548" s="105">
        <v>2.4E-2</v>
      </c>
      <c r="I548" s="307"/>
      <c r="J548" s="308"/>
      <c r="K548" s="309"/>
      <c r="L548" s="117"/>
      <c r="M548" s="118"/>
    </row>
    <row r="549" spans="3:13" ht="24" x14ac:dyDescent="0.2">
      <c r="C549" s="93"/>
      <c r="D549" s="195"/>
      <c r="E549" s="131">
        <v>45529</v>
      </c>
      <c r="F549" s="105">
        <v>2.4E-2</v>
      </c>
      <c r="G549" s="105" t="s">
        <v>490</v>
      </c>
      <c r="H549" s="105">
        <v>2.1999999999999999E-2</v>
      </c>
      <c r="I549" s="307"/>
      <c r="J549" s="308"/>
      <c r="K549" s="309"/>
      <c r="L549" s="117"/>
      <c r="M549" s="118"/>
    </row>
    <row r="550" spans="3:13" ht="24" x14ac:dyDescent="0.2">
      <c r="C550" s="93"/>
      <c r="D550" s="195"/>
      <c r="E550" s="131">
        <v>45497</v>
      </c>
      <c r="F550" s="105">
        <v>2.1999999999999999E-2</v>
      </c>
      <c r="G550" s="105" t="s">
        <v>490</v>
      </c>
      <c r="H550" s="105">
        <v>2.1000000000000001E-2</v>
      </c>
      <c r="I550" s="307"/>
      <c r="J550" s="308"/>
      <c r="K550" s="309"/>
      <c r="L550" s="119"/>
      <c r="M550" s="118"/>
    </row>
    <row r="551" spans="3:13" ht="24" x14ac:dyDescent="0.2">
      <c r="C551" s="93"/>
      <c r="D551" s="195"/>
      <c r="E551" s="131">
        <v>45469</v>
      </c>
      <c r="F551" s="105">
        <v>2.1000000000000001E-2</v>
      </c>
      <c r="G551" s="105" t="s">
        <v>788</v>
      </c>
      <c r="H551" s="105">
        <v>1.9E-2</v>
      </c>
      <c r="I551" s="307"/>
      <c r="J551" s="308"/>
      <c r="K551" s="309"/>
      <c r="L551" s="117"/>
      <c r="M551" s="118"/>
    </row>
    <row r="552" spans="3:13" ht="24" x14ac:dyDescent="0.2">
      <c r="C552" s="93"/>
      <c r="D552" s="195"/>
      <c r="E552" s="131">
        <v>45441</v>
      </c>
      <c r="F552" s="105">
        <v>1.9E-2</v>
      </c>
      <c r="G552" s="105" t="s">
        <v>789</v>
      </c>
      <c r="H552" s="105">
        <v>1.6E-2</v>
      </c>
      <c r="I552" s="307"/>
      <c r="J552" s="308"/>
      <c r="K552" s="309"/>
      <c r="L552" s="117"/>
      <c r="M552" s="118"/>
    </row>
    <row r="553" spans="3:13" ht="25" thickBot="1" x14ac:dyDescent="0.25">
      <c r="C553" s="93"/>
      <c r="D553" s="195"/>
      <c r="E553" s="132">
        <v>45406</v>
      </c>
      <c r="F553" s="133">
        <v>1.6E-2</v>
      </c>
      <c r="G553" s="133" t="s">
        <v>490</v>
      </c>
      <c r="H553" s="133">
        <v>2.4E-2</v>
      </c>
      <c r="I553" s="310"/>
      <c r="J553" s="311"/>
      <c r="K553" s="312"/>
      <c r="L553" s="120"/>
      <c r="M553" s="121"/>
    </row>
    <row r="554" spans="3:13" ht="49" thickBot="1" x14ac:dyDescent="0.25">
      <c r="C554" s="93"/>
      <c r="D554" s="93" t="s">
        <v>105</v>
      </c>
      <c r="E554" s="123" t="s">
        <v>30</v>
      </c>
      <c r="F554" s="363" t="s">
        <v>817</v>
      </c>
      <c r="G554" s="364"/>
      <c r="H554" s="365"/>
      <c r="I554" s="325" t="s">
        <v>633</v>
      </c>
      <c r="J554" s="326"/>
      <c r="K554" s="327"/>
      <c r="L554" s="189" t="s">
        <v>430</v>
      </c>
      <c r="M554" s="125" t="s">
        <v>431</v>
      </c>
    </row>
    <row r="555" spans="3:13" ht="24" x14ac:dyDescent="0.2">
      <c r="C555" s="93"/>
      <c r="D555" s="93"/>
      <c r="E555" s="122" t="s">
        <v>432</v>
      </c>
      <c r="F555" s="342"/>
      <c r="G555" s="343"/>
      <c r="H555" s="344"/>
      <c r="I555" s="307" t="s">
        <v>818</v>
      </c>
      <c r="J555" s="308"/>
      <c r="K555" s="309"/>
      <c r="L555" s="117"/>
      <c r="M555" s="118"/>
    </row>
    <row r="556" spans="3:13" ht="24" x14ac:dyDescent="0.2">
      <c r="C556" s="93"/>
      <c r="D556" s="93"/>
      <c r="E556" s="92" t="s">
        <v>433</v>
      </c>
      <c r="F556" s="372">
        <v>99.2</v>
      </c>
      <c r="G556" s="373"/>
      <c r="H556" s="374"/>
      <c r="I556" s="307"/>
      <c r="J556" s="308"/>
      <c r="K556" s="309"/>
      <c r="L556" s="117"/>
      <c r="M556" s="118"/>
    </row>
    <row r="557" spans="3:13" ht="25" thickBot="1" x14ac:dyDescent="0.25">
      <c r="C557" s="93"/>
      <c r="D557" s="93"/>
      <c r="E557" s="92" t="s">
        <v>434</v>
      </c>
      <c r="F557" s="372">
        <v>98.7</v>
      </c>
      <c r="G557" s="373"/>
      <c r="H557" s="374"/>
      <c r="I557" s="307"/>
      <c r="J557" s="308"/>
      <c r="K557" s="309"/>
      <c r="L557" s="117"/>
      <c r="M557" s="118"/>
    </row>
    <row r="558" spans="3:13" ht="25" thickBot="1" x14ac:dyDescent="0.25">
      <c r="C558" s="93"/>
      <c r="D558" s="93"/>
      <c r="E558" s="94" t="s">
        <v>435</v>
      </c>
      <c r="F558" s="360">
        <v>0.58333333333333337</v>
      </c>
      <c r="G558" s="361"/>
      <c r="H558" s="362"/>
      <c r="I558" s="307"/>
      <c r="J558" s="308"/>
      <c r="K558" s="309"/>
      <c r="L558" s="126">
        <v>0.8125</v>
      </c>
      <c r="M558" s="127">
        <v>0.70833333333333337</v>
      </c>
    </row>
    <row r="559" spans="3:13" ht="25" thickBot="1" x14ac:dyDescent="0.25">
      <c r="C559" s="93"/>
      <c r="D559" s="93"/>
      <c r="E559" s="96" t="s">
        <v>436</v>
      </c>
      <c r="F559" s="97" t="s">
        <v>29</v>
      </c>
      <c r="G559" s="97" t="s">
        <v>28</v>
      </c>
      <c r="H559" s="98" t="s">
        <v>27</v>
      </c>
      <c r="I559" s="307"/>
      <c r="J559" s="308"/>
      <c r="K559" s="309"/>
      <c r="L559" s="117"/>
      <c r="M559" s="118"/>
    </row>
    <row r="560" spans="3:13" ht="24" x14ac:dyDescent="0.2">
      <c r="C560" s="93"/>
      <c r="D560" s="93"/>
      <c r="E560" s="99">
        <v>45559</v>
      </c>
      <c r="F560" s="100">
        <v>98.7</v>
      </c>
      <c r="G560" s="100" t="s">
        <v>874</v>
      </c>
      <c r="H560" s="100">
        <v>105.6</v>
      </c>
      <c r="I560" s="307"/>
      <c r="J560" s="308"/>
      <c r="K560" s="309"/>
      <c r="L560" s="117"/>
      <c r="M560" s="118"/>
    </row>
    <row r="561" spans="3:13" ht="24" x14ac:dyDescent="0.2">
      <c r="C561" s="93"/>
      <c r="D561" s="93"/>
      <c r="E561" s="99">
        <v>45531</v>
      </c>
      <c r="F561" s="100">
        <v>103.3</v>
      </c>
      <c r="G561" s="100" t="s">
        <v>875</v>
      </c>
      <c r="H561" s="100">
        <v>101.9</v>
      </c>
      <c r="I561" s="307"/>
      <c r="J561" s="308"/>
      <c r="K561" s="309"/>
      <c r="L561" s="117"/>
      <c r="M561" s="118"/>
    </row>
    <row r="562" spans="3:13" ht="24" x14ac:dyDescent="0.2">
      <c r="C562" s="93"/>
      <c r="D562" s="93"/>
      <c r="E562" s="99">
        <v>45503</v>
      </c>
      <c r="F562" s="100">
        <v>100.3</v>
      </c>
      <c r="G562" s="100" t="s">
        <v>876</v>
      </c>
      <c r="H562" s="100">
        <v>97.8</v>
      </c>
      <c r="I562" s="307"/>
      <c r="J562" s="308"/>
      <c r="K562" s="309"/>
      <c r="L562" s="119"/>
      <c r="M562" s="118"/>
    </row>
    <row r="563" spans="3:13" ht="24" x14ac:dyDescent="0.2">
      <c r="C563" s="93"/>
      <c r="D563" s="93"/>
      <c r="E563" s="99">
        <v>45468</v>
      </c>
      <c r="F563" s="100">
        <v>100.4</v>
      </c>
      <c r="G563" s="100" t="s">
        <v>877</v>
      </c>
      <c r="H563" s="100">
        <v>101.3</v>
      </c>
      <c r="I563" s="307"/>
      <c r="J563" s="308"/>
      <c r="K563" s="309"/>
      <c r="L563" s="117"/>
      <c r="M563" s="118"/>
    </row>
    <row r="564" spans="3:13" ht="24" x14ac:dyDescent="0.2">
      <c r="C564" s="93"/>
      <c r="D564" s="93"/>
      <c r="E564" s="99">
        <v>45440</v>
      </c>
      <c r="F564" s="100">
        <v>102</v>
      </c>
      <c r="G564" s="100" t="s">
        <v>878</v>
      </c>
      <c r="H564" s="100">
        <v>97.5</v>
      </c>
      <c r="I564" s="307"/>
      <c r="J564" s="308"/>
      <c r="K564" s="309"/>
      <c r="L564" s="117"/>
      <c r="M564" s="118"/>
    </row>
    <row r="565" spans="3:13" ht="25" thickBot="1" x14ac:dyDescent="0.25">
      <c r="C565" s="93"/>
      <c r="D565" s="93"/>
      <c r="E565" s="99">
        <v>45412</v>
      </c>
      <c r="F565" s="100">
        <v>97</v>
      </c>
      <c r="G565" s="100" t="s">
        <v>879</v>
      </c>
      <c r="H565" s="100">
        <v>103.1</v>
      </c>
      <c r="I565" s="310"/>
      <c r="J565" s="311"/>
      <c r="K565" s="312"/>
      <c r="L565" s="120"/>
      <c r="M565" s="121"/>
    </row>
    <row r="566" spans="3:13" ht="49" thickBot="1" x14ac:dyDescent="0.25">
      <c r="C566" s="93"/>
      <c r="D566" s="93" t="s">
        <v>105</v>
      </c>
      <c r="E566" s="123" t="s">
        <v>30</v>
      </c>
      <c r="F566" s="363" t="s">
        <v>819</v>
      </c>
      <c r="G566" s="364"/>
      <c r="H566" s="365"/>
      <c r="I566" s="325" t="s">
        <v>633</v>
      </c>
      <c r="J566" s="326"/>
      <c r="K566" s="327"/>
      <c r="L566" s="189" t="s">
        <v>430</v>
      </c>
      <c r="M566" s="125" t="s">
        <v>431</v>
      </c>
    </row>
    <row r="567" spans="3:13" ht="24" x14ac:dyDescent="0.2">
      <c r="C567" s="93"/>
      <c r="D567" s="93"/>
      <c r="E567" s="122" t="s">
        <v>432</v>
      </c>
      <c r="F567" s="342"/>
      <c r="G567" s="343"/>
      <c r="H567" s="344"/>
      <c r="I567" s="307" t="s">
        <v>821</v>
      </c>
      <c r="J567" s="308"/>
      <c r="K567" s="309"/>
      <c r="L567" s="117"/>
      <c r="M567" s="118"/>
    </row>
    <row r="568" spans="3:13" ht="24" x14ac:dyDescent="0.2">
      <c r="C568" s="93"/>
      <c r="D568" s="93"/>
      <c r="E568" s="92" t="s">
        <v>433</v>
      </c>
      <c r="F568" s="357" t="s">
        <v>820</v>
      </c>
      <c r="G568" s="358"/>
      <c r="H568" s="359"/>
      <c r="I568" s="307"/>
      <c r="J568" s="308"/>
      <c r="K568" s="309"/>
      <c r="L568" s="117"/>
      <c r="M568" s="118"/>
    </row>
    <row r="569" spans="3:13" ht="25" thickBot="1" x14ac:dyDescent="0.25">
      <c r="C569" s="93"/>
      <c r="D569" s="93"/>
      <c r="E569" s="92" t="s">
        <v>434</v>
      </c>
      <c r="F569" s="357" t="s">
        <v>634</v>
      </c>
      <c r="G569" s="358"/>
      <c r="H569" s="359"/>
      <c r="I569" s="307"/>
      <c r="J569" s="308"/>
      <c r="K569" s="309"/>
      <c r="L569" s="117"/>
      <c r="M569" s="118"/>
    </row>
    <row r="570" spans="3:13" ht="25" thickBot="1" x14ac:dyDescent="0.25">
      <c r="C570" s="93"/>
      <c r="D570" s="93"/>
      <c r="E570" s="94" t="s">
        <v>435</v>
      </c>
      <c r="F570" s="360">
        <v>0.58333333333333337</v>
      </c>
      <c r="G570" s="361"/>
      <c r="H570" s="362"/>
      <c r="I570" s="307"/>
      <c r="J570" s="308"/>
      <c r="K570" s="309"/>
      <c r="L570" s="126">
        <v>0.8125</v>
      </c>
      <c r="M570" s="127">
        <v>0.70833333333333337</v>
      </c>
    </row>
    <row r="571" spans="3:13" ht="25" thickBot="1" x14ac:dyDescent="0.25">
      <c r="C571" s="93"/>
      <c r="D571" s="93"/>
      <c r="E571" s="96" t="s">
        <v>436</v>
      </c>
      <c r="F571" s="97" t="s">
        <v>29</v>
      </c>
      <c r="G571" s="97" t="s">
        <v>28</v>
      </c>
      <c r="H571" s="98" t="s">
        <v>27</v>
      </c>
      <c r="I571" s="307"/>
      <c r="J571" s="308"/>
      <c r="K571" s="309"/>
      <c r="L571" s="117"/>
      <c r="M571" s="118"/>
    </row>
    <row r="572" spans="3:13" ht="24" x14ac:dyDescent="0.2">
      <c r="C572" s="93"/>
      <c r="D572" s="93"/>
      <c r="E572" s="99">
        <v>45566</v>
      </c>
      <c r="F572" s="105" t="s">
        <v>634</v>
      </c>
      <c r="G572" s="105" t="s">
        <v>880</v>
      </c>
      <c r="H572" s="105" t="s">
        <v>881</v>
      </c>
      <c r="I572" s="307"/>
      <c r="J572" s="308"/>
      <c r="K572" s="309"/>
      <c r="L572" s="117"/>
      <c r="M572" s="118"/>
    </row>
    <row r="573" spans="3:13" ht="24" x14ac:dyDescent="0.2">
      <c r="C573" s="93"/>
      <c r="D573" s="93"/>
      <c r="E573" s="99">
        <v>45539</v>
      </c>
      <c r="F573" s="105" t="s">
        <v>403</v>
      </c>
      <c r="G573" s="105" t="s">
        <v>527</v>
      </c>
      <c r="H573" s="105" t="s">
        <v>528</v>
      </c>
      <c r="I573" s="307"/>
      <c r="J573" s="308"/>
      <c r="K573" s="309"/>
      <c r="L573" s="117"/>
      <c r="M573" s="118"/>
    </row>
    <row r="574" spans="3:13" ht="24" x14ac:dyDescent="0.2">
      <c r="C574" s="93"/>
      <c r="D574" s="93"/>
      <c r="E574" s="99">
        <v>45503</v>
      </c>
      <c r="F574" s="105" t="s">
        <v>279</v>
      </c>
      <c r="G574" s="105" t="s">
        <v>530</v>
      </c>
      <c r="H574" s="105" t="s">
        <v>531</v>
      </c>
      <c r="I574" s="307"/>
      <c r="J574" s="308"/>
      <c r="K574" s="309"/>
      <c r="L574" s="119"/>
      <c r="M574" s="118"/>
    </row>
    <row r="575" spans="3:13" ht="24" x14ac:dyDescent="0.2">
      <c r="C575" s="93"/>
      <c r="D575" s="93"/>
      <c r="E575" s="99">
        <v>45475</v>
      </c>
      <c r="F575" s="105" t="s">
        <v>111</v>
      </c>
      <c r="G575" s="105" t="s">
        <v>532</v>
      </c>
      <c r="H575" s="105" t="s">
        <v>533</v>
      </c>
      <c r="I575" s="307"/>
      <c r="J575" s="308"/>
      <c r="K575" s="309"/>
      <c r="L575" s="117"/>
      <c r="M575" s="118"/>
    </row>
    <row r="576" spans="3:13" ht="24" x14ac:dyDescent="0.2">
      <c r="C576" s="93"/>
      <c r="D576" s="93"/>
      <c r="E576" s="99">
        <v>45447</v>
      </c>
      <c r="F576" s="105" t="s">
        <v>18</v>
      </c>
      <c r="G576" s="105" t="s">
        <v>535</v>
      </c>
      <c r="H576" s="105" t="s">
        <v>536</v>
      </c>
      <c r="I576" s="307"/>
      <c r="J576" s="308"/>
      <c r="K576" s="309"/>
      <c r="L576" s="117"/>
      <c r="M576" s="118"/>
    </row>
    <row r="577" spans="3:13" ht="25" thickBot="1" x14ac:dyDescent="0.25">
      <c r="C577" s="93"/>
      <c r="D577" s="93"/>
      <c r="E577" s="99">
        <v>45413</v>
      </c>
      <c r="F577" s="105" t="s">
        <v>537</v>
      </c>
      <c r="G577" s="105" t="s">
        <v>538</v>
      </c>
      <c r="H577" s="105" t="s">
        <v>539</v>
      </c>
      <c r="I577" s="310"/>
      <c r="J577" s="311"/>
      <c r="K577" s="312"/>
      <c r="L577" s="120"/>
      <c r="M577" s="121"/>
    </row>
    <row r="578" spans="3:13" ht="49" thickBot="1" x14ac:dyDescent="0.25">
      <c r="C578" s="93"/>
      <c r="D578" s="93" t="s">
        <v>105</v>
      </c>
      <c r="E578" s="123" t="s">
        <v>30</v>
      </c>
      <c r="F578" s="363" t="s">
        <v>824</v>
      </c>
      <c r="G578" s="364"/>
      <c r="H578" s="365"/>
      <c r="I578" s="325" t="s">
        <v>633</v>
      </c>
      <c r="J578" s="326"/>
      <c r="K578" s="327"/>
      <c r="L578" s="189" t="s">
        <v>430</v>
      </c>
      <c r="M578" s="125" t="s">
        <v>431</v>
      </c>
    </row>
    <row r="579" spans="3:13" ht="24" x14ac:dyDescent="0.2">
      <c r="C579" s="93"/>
      <c r="D579" s="93"/>
      <c r="E579" s="122" t="s">
        <v>432</v>
      </c>
      <c r="F579" s="342"/>
      <c r="G579" s="343"/>
      <c r="H579" s="344"/>
      <c r="I579" s="351" t="s">
        <v>825</v>
      </c>
      <c r="J579" s="352"/>
      <c r="K579" s="353"/>
      <c r="L579" s="117"/>
      <c r="M579" s="118"/>
    </row>
    <row r="580" spans="3:13" ht="24" x14ac:dyDescent="0.2">
      <c r="C580" s="93"/>
      <c r="D580" s="93"/>
      <c r="E580" s="92" t="s">
        <v>433</v>
      </c>
      <c r="F580" s="357">
        <v>2.3E-2</v>
      </c>
      <c r="G580" s="358"/>
      <c r="H580" s="359"/>
      <c r="I580" s="351"/>
      <c r="J580" s="352"/>
      <c r="K580" s="353"/>
      <c r="L580" s="117"/>
      <c r="M580" s="118"/>
    </row>
    <row r="581" spans="3:13" ht="25" thickBot="1" x14ac:dyDescent="0.25">
      <c r="C581" s="93"/>
      <c r="D581" s="93"/>
      <c r="E581" s="92" t="s">
        <v>434</v>
      </c>
      <c r="F581" s="357">
        <v>3.7999999999999999E-2</v>
      </c>
      <c r="G581" s="358"/>
      <c r="H581" s="359"/>
      <c r="I581" s="351"/>
      <c r="J581" s="352"/>
      <c r="K581" s="353"/>
      <c r="L581" s="117"/>
      <c r="M581" s="118"/>
    </row>
    <row r="582" spans="3:13" ht="25" thickBot="1" x14ac:dyDescent="0.25">
      <c r="C582" s="93"/>
      <c r="D582" s="93"/>
      <c r="E582" s="94" t="s">
        <v>435</v>
      </c>
      <c r="F582" s="360">
        <v>2.0833333333333343E-2</v>
      </c>
      <c r="G582" s="361"/>
      <c r="H582" s="362"/>
      <c r="I582" s="351"/>
      <c r="J582" s="352"/>
      <c r="K582" s="353"/>
      <c r="L582" s="126">
        <v>0.25</v>
      </c>
      <c r="M582" s="127">
        <v>0.14583333333333331</v>
      </c>
    </row>
    <row r="583" spans="3:13" ht="25" thickBot="1" x14ac:dyDescent="0.25">
      <c r="C583" s="93"/>
      <c r="D583" s="93"/>
      <c r="E583" s="96" t="s">
        <v>436</v>
      </c>
      <c r="F583" s="97" t="s">
        <v>29</v>
      </c>
      <c r="G583" s="97" t="s">
        <v>28</v>
      </c>
      <c r="H583" s="98" t="s">
        <v>27</v>
      </c>
      <c r="I583" s="351"/>
      <c r="J583" s="352"/>
      <c r="K583" s="353"/>
      <c r="L583" s="117"/>
      <c r="M583" s="118"/>
    </row>
    <row r="584" spans="3:13" ht="24" x14ac:dyDescent="0.2">
      <c r="C584" s="93"/>
      <c r="D584" s="93">
        <v>1</v>
      </c>
      <c r="E584" s="99">
        <v>45504</v>
      </c>
      <c r="F584" s="190">
        <v>3.7999999999999999E-2</v>
      </c>
      <c r="G584" s="190" t="s">
        <v>632</v>
      </c>
      <c r="H584" s="190">
        <v>3.5999999999999997E-2</v>
      </c>
      <c r="I584" s="351"/>
      <c r="J584" s="352"/>
      <c r="K584" s="353"/>
      <c r="L584" s="117"/>
      <c r="M584" s="118"/>
    </row>
    <row r="585" spans="3:13" ht="24" x14ac:dyDescent="0.2">
      <c r="C585" s="93"/>
      <c r="D585" s="93"/>
      <c r="E585" s="99">
        <v>45406</v>
      </c>
      <c r="F585" s="190">
        <v>3.5999999999999997E-2</v>
      </c>
      <c r="G585" s="190" t="s">
        <v>882</v>
      </c>
      <c r="H585" s="190">
        <v>4.1000000000000002E-2</v>
      </c>
      <c r="I585" s="351"/>
      <c r="J585" s="352"/>
      <c r="K585" s="353"/>
      <c r="L585" s="117"/>
      <c r="M585" s="118"/>
    </row>
    <row r="586" spans="3:13" ht="24" x14ac:dyDescent="0.2">
      <c r="C586" s="93"/>
      <c r="D586" s="93">
        <v>1</v>
      </c>
      <c r="E586" s="99">
        <v>45322</v>
      </c>
      <c r="F586" s="190">
        <v>4.1000000000000002E-2</v>
      </c>
      <c r="G586" s="190" t="s">
        <v>883</v>
      </c>
      <c r="H586" s="190">
        <v>5.3999999999999999E-2</v>
      </c>
      <c r="I586" s="351"/>
      <c r="J586" s="352"/>
      <c r="K586" s="353"/>
      <c r="L586" s="119"/>
      <c r="M586" s="118"/>
    </row>
    <row r="587" spans="3:13" ht="24" x14ac:dyDescent="0.2">
      <c r="C587" s="93"/>
      <c r="D587" s="93">
        <v>1</v>
      </c>
      <c r="E587" s="99">
        <v>45224</v>
      </c>
      <c r="F587" s="190">
        <v>5.3999999999999999E-2</v>
      </c>
      <c r="G587" s="190" t="s">
        <v>884</v>
      </c>
      <c r="H587" s="190">
        <v>0.06</v>
      </c>
      <c r="I587" s="351"/>
      <c r="J587" s="352"/>
      <c r="K587" s="353"/>
      <c r="L587" s="117"/>
      <c r="M587" s="118"/>
    </row>
    <row r="588" spans="3:13" ht="24" x14ac:dyDescent="0.2">
      <c r="C588" s="93"/>
      <c r="D588" s="93">
        <v>1</v>
      </c>
      <c r="E588" s="99">
        <v>45133</v>
      </c>
      <c r="F588" s="190">
        <v>0.06</v>
      </c>
      <c r="G588" s="190" t="s">
        <v>885</v>
      </c>
      <c r="H588" s="190">
        <v>7.0000000000000007E-2</v>
      </c>
      <c r="I588" s="351"/>
      <c r="J588" s="352"/>
      <c r="K588" s="353"/>
      <c r="L588" s="117"/>
      <c r="M588" s="118"/>
    </row>
    <row r="589" spans="3:13" ht="25" thickBot="1" x14ac:dyDescent="0.25">
      <c r="C589" s="93"/>
      <c r="D589" s="93">
        <v>1</v>
      </c>
      <c r="E589" s="99">
        <v>45042</v>
      </c>
      <c r="F589" s="190">
        <v>7.0000000000000007E-2</v>
      </c>
      <c r="G589" s="190" t="s">
        <v>886</v>
      </c>
      <c r="H589" s="190">
        <v>7.8E-2</v>
      </c>
      <c r="I589" s="354"/>
      <c r="J589" s="355"/>
      <c r="K589" s="356"/>
      <c r="L589" s="120"/>
      <c r="M589" s="121"/>
    </row>
    <row r="590" spans="3:13" ht="49" thickBot="1" x14ac:dyDescent="0.25">
      <c r="C590" s="93"/>
      <c r="D590" s="89" t="s">
        <v>105</v>
      </c>
      <c r="E590" s="123" t="s">
        <v>30</v>
      </c>
      <c r="F590" s="363" t="s">
        <v>826</v>
      </c>
      <c r="G590" s="364"/>
      <c r="H590" s="365"/>
      <c r="I590" s="325" t="s">
        <v>633</v>
      </c>
      <c r="J590" s="326"/>
      <c r="K590" s="327"/>
      <c r="L590" s="189" t="s">
        <v>430</v>
      </c>
      <c r="M590" s="125" t="s">
        <v>431</v>
      </c>
    </row>
    <row r="591" spans="3:13" ht="24" x14ac:dyDescent="0.2">
      <c r="C591" s="93"/>
      <c r="D591" s="195"/>
      <c r="E591" s="122" t="s">
        <v>432</v>
      </c>
      <c r="F591" s="342"/>
      <c r="G591" s="343"/>
      <c r="H591" s="344"/>
      <c r="I591" s="307" t="s">
        <v>827</v>
      </c>
      <c r="J591" s="308"/>
      <c r="K591" s="309"/>
      <c r="L591" s="117"/>
      <c r="M591" s="118"/>
    </row>
    <row r="592" spans="3:13" ht="24" x14ac:dyDescent="0.2">
      <c r="C592" s="93"/>
      <c r="D592" s="195"/>
      <c r="E592" s="92" t="s">
        <v>433</v>
      </c>
      <c r="F592" s="357"/>
      <c r="G592" s="358"/>
      <c r="H592" s="359"/>
      <c r="I592" s="307"/>
      <c r="J592" s="308"/>
      <c r="K592" s="309"/>
      <c r="L592" s="117"/>
      <c r="M592" s="118"/>
    </row>
    <row r="593" spans="3:13" ht="25" thickBot="1" x14ac:dyDescent="0.25">
      <c r="C593" s="93"/>
      <c r="D593" s="195"/>
      <c r="E593" s="92" t="s">
        <v>434</v>
      </c>
      <c r="F593" s="357">
        <v>-1E-3</v>
      </c>
      <c r="G593" s="358"/>
      <c r="H593" s="359"/>
      <c r="I593" s="307"/>
      <c r="J593" s="308"/>
      <c r="K593" s="309"/>
      <c r="L593" s="117"/>
      <c r="M593" s="118"/>
    </row>
    <row r="594" spans="3:13" ht="25" thickBot="1" x14ac:dyDescent="0.25">
      <c r="C594" s="93"/>
      <c r="D594" s="195"/>
      <c r="E594" s="94" t="s">
        <v>435</v>
      </c>
      <c r="F594" s="360">
        <v>0.375</v>
      </c>
      <c r="G594" s="361"/>
      <c r="H594" s="362"/>
      <c r="I594" s="307"/>
      <c r="J594" s="308"/>
      <c r="K594" s="309"/>
      <c r="L594" s="126">
        <v>0.60416666666666663</v>
      </c>
      <c r="M594" s="127">
        <v>0.49999999999999994</v>
      </c>
    </row>
    <row r="595" spans="3:13" ht="25" thickBot="1" x14ac:dyDescent="0.25">
      <c r="C595" s="93"/>
      <c r="D595" s="195"/>
      <c r="E595" s="96" t="s">
        <v>436</v>
      </c>
      <c r="F595" s="97" t="s">
        <v>29</v>
      </c>
      <c r="G595" s="97" t="s">
        <v>28</v>
      </c>
      <c r="H595" s="98" t="s">
        <v>27</v>
      </c>
      <c r="I595" s="307"/>
      <c r="J595" s="308"/>
      <c r="K595" s="309"/>
      <c r="L595" s="117"/>
      <c r="M595" s="118"/>
    </row>
    <row r="596" spans="3:13" ht="24" x14ac:dyDescent="0.2">
      <c r="C596" s="93"/>
      <c r="D596" s="195"/>
      <c r="E596" s="99">
        <v>45531</v>
      </c>
      <c r="F596" s="105">
        <v>-1E-3</v>
      </c>
      <c r="G596" s="105" t="s">
        <v>456</v>
      </c>
      <c r="H596" s="105">
        <v>2E-3</v>
      </c>
      <c r="I596" s="307"/>
      <c r="J596" s="308"/>
      <c r="K596" s="309"/>
      <c r="L596" s="117"/>
      <c r="M596" s="118"/>
    </row>
    <row r="597" spans="3:13" ht="24" x14ac:dyDescent="0.2">
      <c r="C597" s="93"/>
      <c r="D597" s="195"/>
      <c r="E597" s="99">
        <v>45503</v>
      </c>
      <c r="F597" s="105">
        <v>-1E-3</v>
      </c>
      <c r="G597" s="105" t="s">
        <v>462</v>
      </c>
      <c r="H597" s="105">
        <v>2E-3</v>
      </c>
      <c r="I597" s="307"/>
      <c r="J597" s="308"/>
      <c r="K597" s="309"/>
      <c r="L597" s="117"/>
      <c r="M597" s="118"/>
    </row>
    <row r="598" spans="3:13" ht="24" x14ac:dyDescent="0.2">
      <c r="C598" s="93"/>
      <c r="D598" s="195"/>
      <c r="E598" s="99">
        <v>45436</v>
      </c>
      <c r="F598" s="105">
        <v>2E-3</v>
      </c>
      <c r="G598" s="105" t="s">
        <v>460</v>
      </c>
      <c r="H598" s="105">
        <v>-3.0000000000000001E-3</v>
      </c>
      <c r="I598" s="307"/>
      <c r="J598" s="308"/>
      <c r="K598" s="309"/>
      <c r="L598" s="119"/>
      <c r="M598" s="118"/>
    </row>
    <row r="599" spans="3:13" ht="24" x14ac:dyDescent="0.2">
      <c r="C599" s="93"/>
      <c r="D599" s="195"/>
      <c r="E599" s="99">
        <v>45412</v>
      </c>
      <c r="F599" s="105">
        <v>2E-3</v>
      </c>
      <c r="G599" s="105" t="s">
        <v>462</v>
      </c>
      <c r="H599" s="105">
        <v>-5.0000000000000001E-3</v>
      </c>
      <c r="I599" s="307"/>
      <c r="J599" s="308"/>
      <c r="K599" s="309"/>
      <c r="L599" s="117"/>
      <c r="M599" s="118"/>
    </row>
    <row r="600" spans="3:13" ht="24" x14ac:dyDescent="0.2">
      <c r="C600" s="93"/>
      <c r="D600" s="195"/>
      <c r="E600" s="99">
        <v>45345</v>
      </c>
      <c r="F600" s="105">
        <v>-3.0000000000000001E-3</v>
      </c>
      <c r="G600" s="105" t="s">
        <v>454</v>
      </c>
      <c r="H600" s="105">
        <v>-1E-3</v>
      </c>
      <c r="I600" s="307"/>
      <c r="J600" s="308"/>
      <c r="K600" s="309"/>
      <c r="L600" s="117"/>
      <c r="M600" s="118"/>
    </row>
    <row r="601" spans="3:13" ht="25" thickBot="1" x14ac:dyDescent="0.25">
      <c r="C601" s="93"/>
      <c r="D601" s="195"/>
      <c r="E601" s="99">
        <v>45321</v>
      </c>
      <c r="F601" s="105">
        <v>-3.0000000000000001E-3</v>
      </c>
      <c r="G601" s="105" t="s">
        <v>454</v>
      </c>
      <c r="H601" s="105">
        <v>-1E-3</v>
      </c>
      <c r="I601" s="310"/>
      <c r="J601" s="311"/>
      <c r="K601" s="312"/>
      <c r="L601" s="120"/>
      <c r="M601" s="121"/>
    </row>
    <row r="602" spans="3:13" ht="49" thickBot="1" x14ac:dyDescent="0.25">
      <c r="C602" s="93"/>
      <c r="D602" s="89" t="s">
        <v>105</v>
      </c>
      <c r="E602" s="123" t="s">
        <v>30</v>
      </c>
      <c r="F602" s="363" t="s">
        <v>828</v>
      </c>
      <c r="G602" s="364"/>
      <c r="H602" s="365"/>
      <c r="I602" s="325" t="s">
        <v>633</v>
      </c>
      <c r="J602" s="326"/>
      <c r="K602" s="327"/>
      <c r="L602" s="189" t="s">
        <v>430</v>
      </c>
      <c r="M602" s="125" t="s">
        <v>431</v>
      </c>
    </row>
    <row r="603" spans="3:13" ht="24" x14ac:dyDescent="0.2">
      <c r="C603" s="93"/>
      <c r="D603" s="195"/>
      <c r="E603" s="122" t="s">
        <v>432</v>
      </c>
      <c r="F603" s="342"/>
      <c r="G603" s="343"/>
      <c r="H603" s="344"/>
      <c r="I603" s="351" t="s">
        <v>829</v>
      </c>
      <c r="J603" s="352"/>
      <c r="K603" s="353"/>
      <c r="L603" s="117"/>
      <c r="M603" s="118"/>
    </row>
    <row r="604" spans="3:13" ht="24" x14ac:dyDescent="0.2">
      <c r="C604" s="93"/>
      <c r="D604" s="195"/>
      <c r="E604" s="92" t="s">
        <v>433</v>
      </c>
      <c r="F604" s="357">
        <v>8.0000000000000002E-3</v>
      </c>
      <c r="G604" s="358"/>
      <c r="H604" s="359"/>
      <c r="I604" s="351"/>
      <c r="J604" s="352"/>
      <c r="K604" s="353"/>
      <c r="L604" s="117"/>
      <c r="M604" s="118"/>
    </row>
    <row r="605" spans="3:13" ht="25" thickBot="1" x14ac:dyDescent="0.25">
      <c r="C605" s="93"/>
      <c r="D605" s="195"/>
      <c r="E605" s="92" t="s">
        <v>434</v>
      </c>
      <c r="F605" s="357">
        <v>6.0000000000000001E-3</v>
      </c>
      <c r="G605" s="358"/>
      <c r="H605" s="359"/>
      <c r="I605" s="351"/>
      <c r="J605" s="352"/>
      <c r="K605" s="353"/>
      <c r="L605" s="117"/>
      <c r="M605" s="118"/>
    </row>
    <row r="606" spans="3:13" ht="25" thickBot="1" x14ac:dyDescent="0.25">
      <c r="C606" s="93"/>
      <c r="D606" s="195"/>
      <c r="E606" s="94" t="s">
        <v>435</v>
      </c>
      <c r="F606" s="360">
        <v>0.41666666666666674</v>
      </c>
      <c r="G606" s="361"/>
      <c r="H606" s="362"/>
      <c r="I606" s="351"/>
      <c r="J606" s="352"/>
      <c r="K606" s="353"/>
      <c r="L606" s="126">
        <v>0.64583333333333337</v>
      </c>
      <c r="M606" s="127">
        <v>0.54166666666666674</v>
      </c>
    </row>
    <row r="607" spans="3:13" ht="25" thickBot="1" x14ac:dyDescent="0.25">
      <c r="C607" s="93"/>
      <c r="D607" s="195"/>
      <c r="E607" s="96" t="s">
        <v>436</v>
      </c>
      <c r="F607" s="97" t="s">
        <v>29</v>
      </c>
      <c r="G607" s="97" t="s">
        <v>28</v>
      </c>
      <c r="H607" s="98" t="s">
        <v>27</v>
      </c>
      <c r="I607" s="351"/>
      <c r="J607" s="352"/>
      <c r="K607" s="353"/>
      <c r="L607" s="117"/>
      <c r="M607" s="118"/>
    </row>
    <row r="608" spans="3:13" ht="24" x14ac:dyDescent="0.2">
      <c r="C608" s="93"/>
      <c r="D608" s="195"/>
      <c r="E608" s="99">
        <v>45541</v>
      </c>
      <c r="F608" s="190">
        <v>6.0000000000000001E-3</v>
      </c>
      <c r="G608" s="190" t="s">
        <v>449</v>
      </c>
      <c r="H608" s="190">
        <v>4.0000000000000001E-3</v>
      </c>
      <c r="I608" s="351"/>
      <c r="J608" s="352"/>
      <c r="K608" s="353"/>
      <c r="L608" s="117"/>
      <c r="M608" s="118"/>
    </row>
    <row r="609" spans="3:13" ht="24" x14ac:dyDescent="0.2">
      <c r="C609" s="93"/>
      <c r="D609" s="195"/>
      <c r="E609" s="99">
        <v>45518</v>
      </c>
      <c r="F609" s="190">
        <v>6.0000000000000001E-3</v>
      </c>
      <c r="G609" s="190" t="s">
        <v>449</v>
      </c>
      <c r="H609" s="190">
        <v>4.0000000000000001E-3</v>
      </c>
      <c r="I609" s="351"/>
      <c r="J609" s="352"/>
      <c r="K609" s="353"/>
      <c r="L609" s="117"/>
      <c r="M609" s="118"/>
    </row>
    <row r="610" spans="3:13" ht="24" x14ac:dyDescent="0.2">
      <c r="C610" s="93"/>
      <c r="D610" s="195"/>
      <c r="E610" s="99">
        <v>45503</v>
      </c>
      <c r="F610" s="190">
        <v>6.0000000000000001E-3</v>
      </c>
      <c r="G610" s="190" t="s">
        <v>449</v>
      </c>
      <c r="H610" s="190">
        <v>4.0000000000000001E-3</v>
      </c>
      <c r="I610" s="351"/>
      <c r="J610" s="352"/>
      <c r="K610" s="353"/>
      <c r="L610" s="119"/>
      <c r="M610" s="118"/>
    </row>
    <row r="611" spans="3:13" ht="24" x14ac:dyDescent="0.2">
      <c r="C611" s="93"/>
      <c r="D611" s="195"/>
      <c r="E611" s="99">
        <v>45450</v>
      </c>
      <c r="F611" s="190">
        <v>4.0000000000000001E-3</v>
      </c>
      <c r="G611" s="190" t="s">
        <v>452</v>
      </c>
      <c r="H611" s="190">
        <v>2E-3</v>
      </c>
      <c r="I611" s="351"/>
      <c r="J611" s="352"/>
      <c r="K611" s="353"/>
      <c r="L611" s="117"/>
      <c r="M611" s="118"/>
    </row>
    <row r="612" spans="3:13" ht="24" x14ac:dyDescent="0.2">
      <c r="C612" s="93"/>
      <c r="D612" s="195"/>
      <c r="E612" s="99">
        <v>45427</v>
      </c>
      <c r="F612" s="190">
        <v>4.0000000000000001E-3</v>
      </c>
      <c r="G612" s="190" t="s">
        <v>452</v>
      </c>
      <c r="H612" s="190">
        <v>1E-3</v>
      </c>
      <c r="I612" s="351"/>
      <c r="J612" s="352"/>
      <c r="K612" s="353"/>
      <c r="L612" s="117"/>
      <c r="M612" s="118"/>
    </row>
    <row r="613" spans="3:13" ht="25" thickBot="1" x14ac:dyDescent="0.25">
      <c r="C613" s="93"/>
      <c r="D613" s="195"/>
      <c r="E613" s="99">
        <v>45412</v>
      </c>
      <c r="F613" s="190">
        <v>4.0000000000000001E-3</v>
      </c>
      <c r="G613" s="190" t="s">
        <v>460</v>
      </c>
      <c r="H613" s="190">
        <v>1E-3</v>
      </c>
      <c r="I613" s="354"/>
      <c r="J613" s="355"/>
      <c r="K613" s="356"/>
      <c r="L613" s="120"/>
      <c r="M613" s="121"/>
    </row>
    <row r="614" spans="3:13" ht="49" thickBot="1" x14ac:dyDescent="0.25">
      <c r="C614" s="93"/>
      <c r="D614" s="89" t="s">
        <v>105</v>
      </c>
      <c r="E614" s="123" t="s">
        <v>30</v>
      </c>
      <c r="F614" s="363" t="s">
        <v>830</v>
      </c>
      <c r="G614" s="364"/>
      <c r="H614" s="365"/>
      <c r="I614" s="325" t="s">
        <v>633</v>
      </c>
      <c r="J614" s="326"/>
      <c r="K614" s="327"/>
      <c r="L614" s="189" t="s">
        <v>430</v>
      </c>
      <c r="M614" s="125" t="s">
        <v>431</v>
      </c>
    </row>
    <row r="615" spans="3:13" ht="24" x14ac:dyDescent="0.2">
      <c r="C615" s="93"/>
      <c r="D615" s="195"/>
      <c r="E615" s="122" t="s">
        <v>432</v>
      </c>
      <c r="F615" s="342"/>
      <c r="G615" s="343"/>
      <c r="H615" s="344"/>
      <c r="I615" s="307" t="s">
        <v>831</v>
      </c>
      <c r="J615" s="308"/>
      <c r="K615" s="309"/>
      <c r="L615" s="117"/>
      <c r="M615" s="118"/>
    </row>
    <row r="616" spans="3:13" ht="24" x14ac:dyDescent="0.2">
      <c r="C616" s="93"/>
      <c r="D616" s="195"/>
      <c r="E616" s="92" t="s">
        <v>433</v>
      </c>
      <c r="F616" s="372">
        <v>0</v>
      </c>
      <c r="G616" s="373"/>
      <c r="H616" s="374"/>
      <c r="I616" s="307"/>
      <c r="J616" s="308"/>
      <c r="K616" s="309"/>
      <c r="L616" s="117"/>
      <c r="M616" s="118"/>
    </row>
    <row r="617" spans="3:13" ht="25" thickBot="1" x14ac:dyDescent="0.25">
      <c r="C617" s="93"/>
      <c r="D617" s="195"/>
      <c r="E617" s="92" t="s">
        <v>434</v>
      </c>
      <c r="F617" s="372">
        <v>0</v>
      </c>
      <c r="G617" s="373"/>
      <c r="H617" s="374"/>
      <c r="I617" s="307"/>
      <c r="J617" s="308"/>
      <c r="K617" s="309"/>
      <c r="L617" s="117"/>
      <c r="M617" s="118"/>
    </row>
    <row r="618" spans="3:13" ht="25" thickBot="1" x14ac:dyDescent="0.25">
      <c r="C618" s="93"/>
      <c r="D618" s="195"/>
      <c r="E618" s="94" t="s">
        <v>435</v>
      </c>
      <c r="F618" s="360">
        <v>0.41666666666666674</v>
      </c>
      <c r="G618" s="361"/>
      <c r="H618" s="362"/>
      <c r="I618" s="307"/>
      <c r="J618" s="308"/>
      <c r="K618" s="309"/>
      <c r="L618" s="126">
        <v>0.64583333333333337</v>
      </c>
      <c r="M618" s="127">
        <v>0.54166666666666674</v>
      </c>
    </row>
    <row r="619" spans="3:13" ht="25" thickBot="1" x14ac:dyDescent="0.25">
      <c r="C619" s="93"/>
      <c r="D619" s="195"/>
      <c r="E619" s="96" t="s">
        <v>436</v>
      </c>
      <c r="F619" s="97" t="s">
        <v>29</v>
      </c>
      <c r="G619" s="97" t="s">
        <v>28</v>
      </c>
      <c r="H619" s="98" t="s">
        <v>27</v>
      </c>
      <c r="I619" s="307"/>
      <c r="J619" s="308"/>
      <c r="K619" s="309"/>
      <c r="L619" s="117"/>
      <c r="M619" s="118"/>
    </row>
    <row r="620" spans="3:13" ht="24" x14ac:dyDescent="0.2">
      <c r="C620" s="93"/>
      <c r="D620" s="195"/>
      <c r="E620" s="99">
        <v>45252</v>
      </c>
      <c r="F620" s="100">
        <v>0</v>
      </c>
      <c r="G620" s="100" t="s">
        <v>754</v>
      </c>
      <c r="H620" s="100">
        <v>0</v>
      </c>
      <c r="I620" s="307"/>
      <c r="J620" s="308"/>
      <c r="K620" s="309"/>
      <c r="L620" s="117"/>
      <c r="M620" s="118"/>
    </row>
    <row r="621" spans="3:13" ht="24" x14ac:dyDescent="0.2">
      <c r="C621" s="93"/>
      <c r="D621" s="195"/>
      <c r="E621" s="99">
        <v>44882</v>
      </c>
      <c r="F621" s="100">
        <v>0</v>
      </c>
      <c r="G621" s="100" t="s">
        <v>754</v>
      </c>
      <c r="H621" s="100">
        <v>0</v>
      </c>
      <c r="I621" s="307"/>
      <c r="J621" s="308"/>
      <c r="K621" s="309"/>
      <c r="L621" s="117"/>
      <c r="M621" s="118"/>
    </row>
    <row r="622" spans="3:13" ht="24" x14ac:dyDescent="0.2">
      <c r="C622" s="93"/>
      <c r="D622" s="195"/>
      <c r="E622" s="99">
        <v>44496</v>
      </c>
      <c r="F622" s="100">
        <v>0</v>
      </c>
      <c r="G622" s="100" t="s">
        <v>754</v>
      </c>
      <c r="H622" s="100">
        <v>0</v>
      </c>
      <c r="I622" s="307"/>
      <c r="J622" s="308"/>
      <c r="K622" s="309"/>
      <c r="L622" s="119"/>
      <c r="M622" s="118"/>
    </row>
    <row r="623" spans="3:13" ht="24" x14ac:dyDescent="0.2">
      <c r="C623" s="93"/>
      <c r="D623" s="195"/>
      <c r="E623" s="99">
        <v>44160</v>
      </c>
      <c r="F623" s="100">
        <v>0</v>
      </c>
      <c r="G623" s="100" t="s">
        <v>754</v>
      </c>
      <c r="H623" s="100">
        <v>0</v>
      </c>
      <c r="I623" s="307"/>
      <c r="J623" s="308"/>
      <c r="K623" s="309"/>
      <c r="L623" s="117"/>
      <c r="M623" s="118"/>
    </row>
    <row r="624" spans="3:13" ht="24" x14ac:dyDescent="0.2">
      <c r="C624" s="93"/>
      <c r="D624" s="195"/>
      <c r="E624" s="99">
        <v>44159</v>
      </c>
      <c r="F624" s="100">
        <v>0</v>
      </c>
      <c r="G624" s="100" t="s">
        <v>754</v>
      </c>
      <c r="H624" s="100">
        <v>0</v>
      </c>
      <c r="I624" s="307"/>
      <c r="J624" s="308"/>
      <c r="K624" s="309"/>
      <c r="L624" s="117"/>
      <c r="M624" s="118"/>
    </row>
    <row r="625" spans="3:13" ht="25" thickBot="1" x14ac:dyDescent="0.25">
      <c r="C625" s="93"/>
      <c r="D625" s="195"/>
      <c r="E625" s="99">
        <v>43901</v>
      </c>
      <c r="F625" s="100">
        <v>0</v>
      </c>
      <c r="G625" s="100" t="s">
        <v>754</v>
      </c>
      <c r="H625" s="100">
        <v>0</v>
      </c>
      <c r="I625" s="310"/>
      <c r="J625" s="311"/>
      <c r="K625" s="312"/>
      <c r="L625" s="120"/>
      <c r="M625" s="121"/>
    </row>
    <row r="626" spans="3:13" ht="49" thickBot="1" x14ac:dyDescent="0.25">
      <c r="C626" s="93"/>
      <c r="D626" s="89" t="s">
        <v>105</v>
      </c>
      <c r="E626" s="123" t="s">
        <v>30</v>
      </c>
      <c r="F626" s="363" t="s">
        <v>832</v>
      </c>
      <c r="G626" s="364"/>
      <c r="H626" s="365"/>
      <c r="I626" s="334" t="s">
        <v>633</v>
      </c>
      <c r="J626" s="326"/>
      <c r="K626" s="327"/>
      <c r="L626" s="189" t="s">
        <v>430</v>
      </c>
      <c r="M626" s="125" t="s">
        <v>431</v>
      </c>
    </row>
    <row r="627" spans="3:13" ht="24" x14ac:dyDescent="0.2">
      <c r="C627" s="93"/>
      <c r="D627" s="195"/>
      <c r="E627" s="122" t="s">
        <v>432</v>
      </c>
      <c r="F627" s="342"/>
      <c r="G627" s="343"/>
      <c r="H627" s="344"/>
      <c r="I627" s="307" t="s">
        <v>834</v>
      </c>
      <c r="J627" s="308"/>
      <c r="K627" s="309"/>
      <c r="L627" s="117"/>
      <c r="M627" s="118"/>
    </row>
    <row r="628" spans="3:13" ht="24" x14ac:dyDescent="0.2">
      <c r="C628" s="93"/>
      <c r="D628" s="195"/>
      <c r="E628" s="92" t="s">
        <v>433</v>
      </c>
      <c r="F628" s="366" t="s">
        <v>833</v>
      </c>
      <c r="G628" s="367"/>
      <c r="H628" s="368"/>
      <c r="I628" s="307"/>
      <c r="J628" s="308"/>
      <c r="K628" s="309"/>
      <c r="L628" s="117"/>
      <c r="M628" s="118"/>
    </row>
    <row r="629" spans="3:13" ht="25" thickBot="1" x14ac:dyDescent="0.25">
      <c r="C629" s="93"/>
      <c r="D629" s="195"/>
      <c r="E629" s="92" t="s">
        <v>434</v>
      </c>
      <c r="F629" s="366" t="s">
        <v>635</v>
      </c>
      <c r="G629" s="367"/>
      <c r="H629" s="368"/>
      <c r="I629" s="307"/>
      <c r="J629" s="308"/>
      <c r="K629" s="309"/>
      <c r="L629" s="117"/>
      <c r="M629" s="118"/>
    </row>
    <row r="630" spans="3:13" ht="25" thickBot="1" x14ac:dyDescent="0.25">
      <c r="C630" s="93"/>
      <c r="D630" s="195"/>
      <c r="E630" s="94" t="s">
        <v>435</v>
      </c>
      <c r="F630" s="360">
        <v>0.51041666666666674</v>
      </c>
      <c r="G630" s="361"/>
      <c r="H630" s="362"/>
      <c r="I630" s="307"/>
      <c r="J630" s="308"/>
      <c r="K630" s="309"/>
      <c r="L630" s="126">
        <v>0.73958333333333337</v>
      </c>
      <c r="M630" s="127">
        <v>0.63541666666666674</v>
      </c>
    </row>
    <row r="631" spans="3:13" ht="25" thickBot="1" x14ac:dyDescent="0.25">
      <c r="C631" s="93"/>
      <c r="D631" s="195"/>
      <c r="E631" s="96" t="s">
        <v>436</v>
      </c>
      <c r="F631" s="97" t="s">
        <v>29</v>
      </c>
      <c r="G631" s="97" t="s">
        <v>28</v>
      </c>
      <c r="H631" s="98" t="s">
        <v>27</v>
      </c>
      <c r="I631" s="307"/>
      <c r="J631" s="308"/>
      <c r="K631" s="309"/>
      <c r="L631" s="117"/>
      <c r="M631" s="118"/>
    </row>
    <row r="632" spans="3:13" ht="24" x14ac:dyDescent="0.2">
      <c r="C632" s="93"/>
      <c r="D632" s="195"/>
      <c r="E632" s="99">
        <v>45567</v>
      </c>
      <c r="F632" s="109" t="s">
        <v>635</v>
      </c>
      <c r="G632" s="109" t="s">
        <v>887</v>
      </c>
      <c r="H632" s="109" t="s">
        <v>888</v>
      </c>
      <c r="I632" s="307"/>
      <c r="J632" s="308"/>
      <c r="K632" s="309"/>
      <c r="L632" s="117"/>
      <c r="M632" s="118"/>
    </row>
    <row r="633" spans="3:13" ht="24" x14ac:dyDescent="0.2">
      <c r="C633" s="93"/>
      <c r="D633" s="195"/>
      <c r="E633" s="99">
        <v>45540</v>
      </c>
      <c r="F633" s="109" t="s">
        <v>407</v>
      </c>
      <c r="G633" s="109" t="s">
        <v>546</v>
      </c>
      <c r="H633" s="109" t="s">
        <v>547</v>
      </c>
      <c r="I633" s="307"/>
      <c r="J633" s="308"/>
      <c r="K633" s="309"/>
      <c r="L633" s="117"/>
      <c r="M633" s="118"/>
    </row>
    <row r="634" spans="3:13" ht="24" x14ac:dyDescent="0.2">
      <c r="C634" s="93"/>
      <c r="D634" s="195"/>
      <c r="E634" s="99">
        <v>45504</v>
      </c>
      <c r="F634" s="109" t="s">
        <v>282</v>
      </c>
      <c r="G634" s="109" t="s">
        <v>548</v>
      </c>
      <c r="H634" s="109" t="s">
        <v>292</v>
      </c>
      <c r="I634" s="307"/>
      <c r="J634" s="308"/>
      <c r="K634" s="309"/>
      <c r="L634" s="119"/>
      <c r="M634" s="118"/>
    </row>
    <row r="635" spans="3:13" ht="24" x14ac:dyDescent="0.2">
      <c r="C635" s="93"/>
      <c r="D635" s="195"/>
      <c r="E635" s="99">
        <v>45476</v>
      </c>
      <c r="F635" s="109" t="s">
        <v>122</v>
      </c>
      <c r="G635" s="109" t="s">
        <v>550</v>
      </c>
      <c r="H635" s="109" t="s">
        <v>551</v>
      </c>
      <c r="I635" s="307"/>
      <c r="J635" s="308"/>
      <c r="K635" s="309"/>
      <c r="L635" s="117"/>
      <c r="M635" s="118"/>
    </row>
    <row r="636" spans="3:13" ht="24" x14ac:dyDescent="0.2">
      <c r="C636" s="93"/>
      <c r="D636" s="195"/>
      <c r="E636" s="99">
        <v>45448</v>
      </c>
      <c r="F636" s="109" t="s">
        <v>15</v>
      </c>
      <c r="G636" s="109" t="s">
        <v>553</v>
      </c>
      <c r="H636" s="109" t="s">
        <v>554</v>
      </c>
      <c r="I636" s="307"/>
      <c r="J636" s="308"/>
      <c r="K636" s="309"/>
      <c r="L636" s="117"/>
      <c r="M636" s="118"/>
    </row>
    <row r="637" spans="3:13" ht="25" thickBot="1" x14ac:dyDescent="0.25">
      <c r="C637" s="93"/>
      <c r="D637" s="195"/>
      <c r="E637" s="99">
        <v>45413</v>
      </c>
      <c r="F637" s="109" t="s">
        <v>555</v>
      </c>
      <c r="G637" s="109" t="s">
        <v>556</v>
      </c>
      <c r="H637" s="109" t="s">
        <v>557</v>
      </c>
      <c r="I637" s="310"/>
      <c r="J637" s="311"/>
      <c r="K637" s="312"/>
      <c r="L637" s="120"/>
      <c r="M637" s="121"/>
    </row>
    <row r="638" spans="3:13" ht="49" thickBot="1" x14ac:dyDescent="0.25">
      <c r="C638" s="93"/>
      <c r="D638" s="89" t="s">
        <v>105</v>
      </c>
      <c r="E638" s="123" t="s">
        <v>30</v>
      </c>
      <c r="F638" s="363" t="s">
        <v>835</v>
      </c>
      <c r="G638" s="364"/>
      <c r="H638" s="365"/>
      <c r="I638" s="334" t="s">
        <v>633</v>
      </c>
      <c r="J638" s="326"/>
      <c r="K638" s="327"/>
      <c r="L638" s="189" t="s">
        <v>430</v>
      </c>
      <c r="M638" s="125" t="s">
        <v>431</v>
      </c>
    </row>
    <row r="639" spans="3:13" ht="24" x14ac:dyDescent="0.2">
      <c r="C639" s="93"/>
      <c r="D639" s="195"/>
      <c r="E639" s="122" t="s">
        <v>432</v>
      </c>
      <c r="F639" s="369"/>
      <c r="G639" s="370"/>
      <c r="H639" s="371"/>
      <c r="I639" s="307" t="s">
        <v>836</v>
      </c>
      <c r="J639" s="308"/>
      <c r="K639" s="309"/>
      <c r="L639" s="117"/>
      <c r="M639" s="118"/>
    </row>
    <row r="640" spans="3:13" ht="24" x14ac:dyDescent="0.2">
      <c r="C640" s="93"/>
      <c r="D640" s="195"/>
      <c r="E640" s="92" t="s">
        <v>433</v>
      </c>
      <c r="F640" s="357">
        <v>0.03</v>
      </c>
      <c r="G640" s="358"/>
      <c r="H640" s="359"/>
      <c r="I640" s="307"/>
      <c r="J640" s="308"/>
      <c r="K640" s="309"/>
      <c r="L640" s="117"/>
      <c r="M640" s="118"/>
    </row>
    <row r="641" spans="3:13" ht="25" thickBot="1" x14ac:dyDescent="0.25">
      <c r="C641" s="93"/>
      <c r="D641" s="195"/>
      <c r="E641" s="92" t="s">
        <v>434</v>
      </c>
      <c r="F641" s="357">
        <v>0.03</v>
      </c>
      <c r="G641" s="358"/>
      <c r="H641" s="359"/>
      <c r="I641" s="307"/>
      <c r="J641" s="308"/>
      <c r="K641" s="309"/>
      <c r="L641" s="117"/>
      <c r="M641" s="118"/>
    </row>
    <row r="642" spans="3:13" ht="25" thickBot="1" x14ac:dyDescent="0.25">
      <c r="C642" s="93"/>
      <c r="D642" s="195"/>
      <c r="E642" s="94" t="s">
        <v>435</v>
      </c>
      <c r="F642" s="360">
        <v>0.52083333333333337</v>
      </c>
      <c r="G642" s="361"/>
      <c r="H642" s="362"/>
      <c r="I642" s="307"/>
      <c r="J642" s="308"/>
      <c r="K642" s="309"/>
      <c r="L642" s="126">
        <v>0.75</v>
      </c>
      <c r="M642" s="127">
        <v>0.64583333333333337</v>
      </c>
    </row>
    <row r="643" spans="3:13" ht="25" thickBot="1" x14ac:dyDescent="0.25">
      <c r="C643" s="93"/>
      <c r="D643" s="195"/>
      <c r="E643" s="96" t="s">
        <v>436</v>
      </c>
      <c r="F643" s="97" t="s">
        <v>29</v>
      </c>
      <c r="G643" s="97" t="s">
        <v>28</v>
      </c>
      <c r="H643" s="98" t="s">
        <v>27</v>
      </c>
      <c r="I643" s="307"/>
      <c r="J643" s="308"/>
      <c r="K643" s="309"/>
      <c r="L643" s="117"/>
      <c r="M643" s="118"/>
    </row>
    <row r="644" spans="3:13" ht="24" x14ac:dyDescent="0.2">
      <c r="C644" s="93"/>
      <c r="D644" s="195"/>
      <c r="E644" s="99">
        <v>45561</v>
      </c>
      <c r="F644" s="105">
        <v>0.03</v>
      </c>
      <c r="G644" s="105" t="s">
        <v>669</v>
      </c>
      <c r="H644" s="105">
        <v>1.6E-2</v>
      </c>
      <c r="I644" s="307"/>
      <c r="J644" s="308"/>
      <c r="K644" s="309"/>
      <c r="L644" s="117"/>
      <c r="M644" s="118"/>
    </row>
    <row r="645" spans="3:13" ht="24" x14ac:dyDescent="0.2">
      <c r="C645" s="93"/>
      <c r="D645" s="195"/>
      <c r="E645" s="99">
        <v>45533</v>
      </c>
      <c r="F645" s="105">
        <v>0.03</v>
      </c>
      <c r="G645" s="105" t="s">
        <v>666</v>
      </c>
      <c r="H645" s="105">
        <v>1.4E-2</v>
      </c>
      <c r="I645" s="307"/>
      <c r="J645" s="308"/>
      <c r="K645" s="309"/>
      <c r="L645" s="117"/>
      <c r="M645" s="118"/>
    </row>
    <row r="646" spans="3:13" ht="24" x14ac:dyDescent="0.2">
      <c r="C646" s="93"/>
      <c r="D646" s="195"/>
      <c r="E646" s="99">
        <v>45498</v>
      </c>
      <c r="F646" s="105">
        <v>2.8000000000000001E-2</v>
      </c>
      <c r="G646" s="105" t="s">
        <v>788</v>
      </c>
      <c r="H646" s="105">
        <v>1.4E-2</v>
      </c>
      <c r="I646" s="307"/>
      <c r="J646" s="308"/>
      <c r="K646" s="309"/>
      <c r="L646" s="119"/>
      <c r="M646" s="118"/>
    </row>
    <row r="647" spans="3:13" ht="24" x14ac:dyDescent="0.2">
      <c r="C647" s="93"/>
      <c r="D647" s="195"/>
      <c r="E647" s="99">
        <v>45470</v>
      </c>
      <c r="F647" s="105">
        <v>1.4E-2</v>
      </c>
      <c r="G647" s="105" t="s">
        <v>889</v>
      </c>
      <c r="H647" s="105">
        <v>3.4000000000000002E-2</v>
      </c>
      <c r="I647" s="307"/>
      <c r="J647" s="308"/>
      <c r="K647" s="309"/>
      <c r="L647" s="117"/>
      <c r="M647" s="118"/>
    </row>
    <row r="648" spans="3:13" ht="24" x14ac:dyDescent="0.2">
      <c r="C648" s="93"/>
      <c r="D648" s="195"/>
      <c r="E648" s="99">
        <v>45442</v>
      </c>
      <c r="F648" s="105">
        <v>1.2999999999999999E-2</v>
      </c>
      <c r="G648" s="105" t="s">
        <v>890</v>
      </c>
      <c r="H648" s="105">
        <v>3.4000000000000002E-2</v>
      </c>
      <c r="I648" s="307"/>
      <c r="J648" s="308"/>
      <c r="K648" s="309"/>
      <c r="L648" s="117"/>
      <c r="M648" s="118"/>
    </row>
    <row r="649" spans="3:13" ht="25" thickBot="1" x14ac:dyDescent="0.25">
      <c r="C649" s="93"/>
      <c r="D649" s="195"/>
      <c r="E649" s="99">
        <v>45407</v>
      </c>
      <c r="F649" s="105">
        <v>1.6E-2</v>
      </c>
      <c r="G649" s="105" t="s">
        <v>495</v>
      </c>
      <c r="H649" s="105">
        <v>3.4000000000000002E-2</v>
      </c>
      <c r="I649" s="310"/>
      <c r="J649" s="311"/>
      <c r="K649" s="312"/>
      <c r="L649" s="120"/>
      <c r="M649" s="121"/>
    </row>
    <row r="650" spans="3:13" ht="49" thickBot="1" x14ac:dyDescent="0.25">
      <c r="C650" s="93"/>
      <c r="D650" s="89" t="s">
        <v>105</v>
      </c>
      <c r="E650" s="123" t="s">
        <v>30</v>
      </c>
      <c r="F650" s="363" t="s">
        <v>837</v>
      </c>
      <c r="G650" s="364"/>
      <c r="H650" s="365"/>
      <c r="I650" s="325" t="s">
        <v>633</v>
      </c>
      <c r="J650" s="326"/>
      <c r="K650" s="327"/>
      <c r="L650" s="189" t="s">
        <v>430</v>
      </c>
      <c r="M650" s="125" t="s">
        <v>431</v>
      </c>
    </row>
    <row r="651" spans="3:13" ht="24" x14ac:dyDescent="0.2">
      <c r="C651" s="93"/>
      <c r="D651" s="195"/>
      <c r="E651" s="122" t="s">
        <v>432</v>
      </c>
      <c r="F651" s="342"/>
      <c r="G651" s="343"/>
      <c r="H651" s="344"/>
      <c r="I651" s="307" t="s">
        <v>838</v>
      </c>
      <c r="J651" s="308"/>
      <c r="K651" s="309"/>
      <c r="L651" s="117"/>
      <c r="M651" s="118"/>
    </row>
    <row r="652" spans="3:13" ht="24" x14ac:dyDescent="0.2">
      <c r="C652" s="93"/>
      <c r="D652" s="195"/>
      <c r="E652" s="92" t="s">
        <v>433</v>
      </c>
      <c r="F652" s="345">
        <v>2E-3</v>
      </c>
      <c r="G652" s="346"/>
      <c r="H652" s="347"/>
      <c r="I652" s="307"/>
      <c r="J652" s="308"/>
      <c r="K652" s="309"/>
      <c r="L652" s="117"/>
      <c r="M652" s="118"/>
    </row>
    <row r="653" spans="3:13" ht="25" thickBot="1" x14ac:dyDescent="0.25">
      <c r="C653" s="93"/>
      <c r="D653" s="195"/>
      <c r="E653" s="92" t="s">
        <v>434</v>
      </c>
      <c r="F653" s="345">
        <v>0</v>
      </c>
      <c r="G653" s="346"/>
      <c r="H653" s="347"/>
      <c r="I653" s="307"/>
      <c r="J653" s="308"/>
      <c r="K653" s="309"/>
      <c r="L653" s="117"/>
      <c r="M653" s="118"/>
    </row>
    <row r="654" spans="3:13" ht="25" thickBot="1" x14ac:dyDescent="0.25">
      <c r="C654" s="93"/>
      <c r="D654" s="195"/>
      <c r="E654" s="94" t="s">
        <v>435</v>
      </c>
      <c r="F654" s="360">
        <v>0.54166666666666674</v>
      </c>
      <c r="G654" s="361"/>
      <c r="H654" s="362"/>
      <c r="I654" s="307"/>
      <c r="J654" s="308"/>
      <c r="K654" s="309"/>
      <c r="L654" s="126">
        <v>0.77083333333333337</v>
      </c>
      <c r="M654" s="127">
        <v>0.66666666666666674</v>
      </c>
    </row>
    <row r="655" spans="3:13" ht="25" thickBot="1" x14ac:dyDescent="0.25">
      <c r="C655" s="93"/>
      <c r="D655" s="195"/>
      <c r="E655" s="96" t="s">
        <v>436</v>
      </c>
      <c r="F655" s="97" t="s">
        <v>29</v>
      </c>
      <c r="G655" s="97" t="s">
        <v>28</v>
      </c>
      <c r="H655" s="98" t="s">
        <v>27</v>
      </c>
      <c r="I655" s="307"/>
      <c r="J655" s="308"/>
      <c r="K655" s="309"/>
      <c r="L655" s="117"/>
      <c r="M655" s="118"/>
    </row>
    <row r="656" spans="3:13" ht="24" x14ac:dyDescent="0.2">
      <c r="C656" s="93"/>
      <c r="D656" s="195"/>
      <c r="E656" s="99">
        <v>45576</v>
      </c>
      <c r="F656" s="105">
        <v>0</v>
      </c>
      <c r="G656" s="105" t="s">
        <v>458</v>
      </c>
      <c r="H656" s="105">
        <v>-1E-3</v>
      </c>
      <c r="I656" s="307"/>
      <c r="J656" s="308"/>
      <c r="K656" s="309"/>
      <c r="L656" s="117"/>
      <c r="M656" s="118"/>
    </row>
    <row r="657" spans="3:13" ht="24" x14ac:dyDescent="0.2">
      <c r="C657" s="93"/>
      <c r="D657" s="195"/>
      <c r="E657" s="99">
        <v>45565</v>
      </c>
      <c r="F657" s="105">
        <v>0</v>
      </c>
      <c r="G657" s="105" t="s">
        <v>462</v>
      </c>
      <c r="H657" s="105">
        <v>-1E-3</v>
      </c>
      <c r="I657" s="307"/>
      <c r="J657" s="308"/>
      <c r="K657" s="309"/>
      <c r="L657" s="117"/>
      <c r="M657" s="118"/>
    </row>
    <row r="658" spans="3:13" ht="24" x14ac:dyDescent="0.2">
      <c r="C658" s="93"/>
      <c r="D658" s="195"/>
      <c r="E658" s="99">
        <v>45545</v>
      </c>
      <c r="F658" s="105">
        <v>-1E-3</v>
      </c>
      <c r="G658" s="105" t="s">
        <v>456</v>
      </c>
      <c r="H658" s="105">
        <v>3.0000000000000001E-3</v>
      </c>
      <c r="I658" s="307"/>
      <c r="J658" s="308"/>
      <c r="K658" s="309"/>
      <c r="L658" s="119"/>
      <c r="M658" s="118"/>
    </row>
    <row r="659" spans="3:13" ht="24" x14ac:dyDescent="0.2">
      <c r="C659" s="93"/>
      <c r="D659" s="195"/>
      <c r="E659" s="99">
        <v>45533</v>
      </c>
      <c r="F659" s="105">
        <v>-1E-3</v>
      </c>
      <c r="G659" s="105" t="s">
        <v>458</v>
      </c>
      <c r="H659" s="105">
        <v>3.0000000000000001E-3</v>
      </c>
      <c r="I659" s="307"/>
      <c r="J659" s="308"/>
      <c r="K659" s="309"/>
      <c r="L659" s="117"/>
      <c r="M659" s="118"/>
    </row>
    <row r="660" spans="3:13" ht="24" x14ac:dyDescent="0.2">
      <c r="C660" s="93"/>
      <c r="D660" s="195"/>
      <c r="E660" s="99">
        <v>45513</v>
      </c>
      <c r="F660" s="105">
        <v>3.0000000000000001E-3</v>
      </c>
      <c r="G660" s="105" t="s">
        <v>467</v>
      </c>
      <c r="H660" s="105">
        <v>1E-3</v>
      </c>
      <c r="I660" s="307"/>
      <c r="J660" s="308"/>
      <c r="K660" s="309"/>
      <c r="L660" s="117"/>
      <c r="M660" s="118"/>
    </row>
    <row r="661" spans="3:13" ht="25" thickBot="1" x14ac:dyDescent="0.25">
      <c r="C661" s="93"/>
      <c r="D661" s="195"/>
      <c r="E661" s="99">
        <v>45503</v>
      </c>
      <c r="F661" s="105">
        <v>3.0000000000000001E-3</v>
      </c>
      <c r="G661" s="105" t="s">
        <v>467</v>
      </c>
      <c r="H661" s="105">
        <v>1E-3</v>
      </c>
      <c r="I661" s="310"/>
      <c r="J661" s="311"/>
      <c r="K661" s="312"/>
      <c r="L661" s="120"/>
      <c r="M661" s="121"/>
    </row>
    <row r="662" spans="3:13" ht="49" thickBot="1" x14ac:dyDescent="0.25">
      <c r="C662" s="93"/>
      <c r="D662" s="89" t="s">
        <v>105</v>
      </c>
      <c r="E662" s="123" t="s">
        <v>30</v>
      </c>
      <c r="F662" s="363" t="s">
        <v>9</v>
      </c>
      <c r="G662" s="364"/>
      <c r="H662" s="365"/>
      <c r="I662" s="325" t="s">
        <v>633</v>
      </c>
      <c r="J662" s="326"/>
      <c r="K662" s="327"/>
      <c r="L662" s="189" t="s">
        <v>430</v>
      </c>
      <c r="M662" s="125" t="s">
        <v>431</v>
      </c>
    </row>
    <row r="663" spans="3:13" ht="24" x14ac:dyDescent="0.2">
      <c r="C663" s="93"/>
      <c r="D663" s="195"/>
      <c r="E663" s="122" t="s">
        <v>432</v>
      </c>
      <c r="F663" s="342"/>
      <c r="G663" s="343"/>
      <c r="H663" s="344"/>
      <c r="I663" s="307" t="s">
        <v>840</v>
      </c>
      <c r="J663" s="308"/>
      <c r="K663" s="309"/>
      <c r="L663" s="117"/>
      <c r="M663" s="118"/>
    </row>
    <row r="664" spans="3:13" ht="24" x14ac:dyDescent="0.2">
      <c r="C664" s="93"/>
      <c r="D664" s="195"/>
      <c r="E664" s="92" t="s">
        <v>433</v>
      </c>
      <c r="F664" s="366">
        <v>0</v>
      </c>
      <c r="G664" s="367"/>
      <c r="H664" s="368"/>
      <c r="I664" s="307"/>
      <c r="J664" s="308"/>
      <c r="K664" s="309"/>
      <c r="L664" s="117"/>
      <c r="M664" s="118"/>
    </row>
    <row r="665" spans="3:13" ht="25" thickBot="1" x14ac:dyDescent="0.25">
      <c r="C665" s="93"/>
      <c r="D665" s="195"/>
      <c r="E665" s="92" t="s">
        <v>434</v>
      </c>
      <c r="F665" s="366" t="s">
        <v>839</v>
      </c>
      <c r="G665" s="367"/>
      <c r="H665" s="368"/>
      <c r="I665" s="307"/>
      <c r="J665" s="308"/>
      <c r="K665" s="309"/>
      <c r="L665" s="117"/>
      <c r="M665" s="118"/>
    </row>
    <row r="666" spans="3:13" ht="25" thickBot="1" x14ac:dyDescent="0.25">
      <c r="C666" s="93"/>
      <c r="D666" s="195"/>
      <c r="E666" s="94" t="s">
        <v>435</v>
      </c>
      <c r="F666" s="360">
        <v>0.60416666666666674</v>
      </c>
      <c r="G666" s="361"/>
      <c r="H666" s="362"/>
      <c r="I666" s="307"/>
      <c r="J666" s="308"/>
      <c r="K666" s="309"/>
      <c r="L666" s="126">
        <v>0.83333333333333337</v>
      </c>
      <c r="M666" s="127">
        <v>0.72916666666666674</v>
      </c>
    </row>
    <row r="667" spans="3:13" ht="25" thickBot="1" x14ac:dyDescent="0.25">
      <c r="C667" s="93"/>
      <c r="D667" s="195"/>
      <c r="E667" s="96" t="s">
        <v>436</v>
      </c>
      <c r="F667" s="97" t="s">
        <v>29</v>
      </c>
      <c r="G667" s="97" t="s">
        <v>28</v>
      </c>
      <c r="H667" s="98" t="s">
        <v>27</v>
      </c>
      <c r="I667" s="307"/>
      <c r="J667" s="308"/>
      <c r="K667" s="309"/>
      <c r="L667" s="117"/>
      <c r="M667" s="118"/>
    </row>
    <row r="668" spans="3:13" ht="24" x14ac:dyDescent="0.2">
      <c r="C668" s="93"/>
      <c r="D668" s="195"/>
      <c r="E668" s="99">
        <v>45588</v>
      </c>
      <c r="F668" s="109" t="s">
        <v>839</v>
      </c>
      <c r="G668" s="109" t="s">
        <v>891</v>
      </c>
      <c r="H668" s="109" t="s">
        <v>699</v>
      </c>
      <c r="I668" s="307"/>
      <c r="J668" s="308"/>
      <c r="K668" s="309"/>
      <c r="L668" s="117"/>
      <c r="M668" s="118"/>
    </row>
    <row r="669" spans="3:13" ht="24" x14ac:dyDescent="0.2">
      <c r="C669" s="93"/>
      <c r="D669" s="195"/>
      <c r="E669" s="99">
        <v>45582</v>
      </c>
      <c r="F669" s="109" t="s">
        <v>699</v>
      </c>
      <c r="G669" s="109" t="s">
        <v>731</v>
      </c>
      <c r="H669" s="109" t="s">
        <v>677</v>
      </c>
      <c r="I669" s="307"/>
      <c r="J669" s="308"/>
      <c r="K669" s="309"/>
      <c r="L669" s="117"/>
      <c r="M669" s="118"/>
    </row>
    <row r="670" spans="3:13" ht="24" x14ac:dyDescent="0.2">
      <c r="C670" s="93"/>
      <c r="D670" s="195"/>
      <c r="E670" s="99">
        <v>45574</v>
      </c>
      <c r="F670" s="109" t="s">
        <v>677</v>
      </c>
      <c r="G670" s="109" t="s">
        <v>732</v>
      </c>
      <c r="H670" s="109" t="s">
        <v>637</v>
      </c>
      <c r="I670" s="307"/>
      <c r="J670" s="308"/>
      <c r="K670" s="309"/>
      <c r="L670" s="119"/>
      <c r="M670" s="118"/>
    </row>
    <row r="671" spans="3:13" ht="24" x14ac:dyDescent="0.2">
      <c r="C671" s="93"/>
      <c r="D671" s="195"/>
      <c r="E671" s="99">
        <v>45567</v>
      </c>
      <c r="F671" s="109" t="s">
        <v>637</v>
      </c>
      <c r="G671" s="109" t="s">
        <v>733</v>
      </c>
      <c r="H671" s="109" t="s">
        <v>380</v>
      </c>
      <c r="I671" s="307"/>
      <c r="J671" s="308"/>
      <c r="K671" s="309"/>
      <c r="L671" s="117"/>
      <c r="M671" s="118"/>
    </row>
    <row r="672" spans="3:13" ht="24" x14ac:dyDescent="0.2">
      <c r="C672" s="93"/>
      <c r="D672" s="195"/>
      <c r="E672" s="99">
        <v>45560</v>
      </c>
      <c r="F672" s="109" t="s">
        <v>380</v>
      </c>
      <c r="G672" s="109" t="s">
        <v>564</v>
      </c>
      <c r="H672" s="109" t="s">
        <v>337</v>
      </c>
      <c r="I672" s="307"/>
      <c r="J672" s="308"/>
      <c r="K672" s="309"/>
      <c r="L672" s="117"/>
      <c r="M672" s="118"/>
    </row>
    <row r="673" spans="3:13" ht="25" thickBot="1" x14ac:dyDescent="0.25">
      <c r="C673" s="93"/>
      <c r="D673" s="195"/>
      <c r="E673" s="99">
        <v>45553</v>
      </c>
      <c r="F673" s="109" t="s">
        <v>337</v>
      </c>
      <c r="G673" s="109" t="s">
        <v>565</v>
      </c>
      <c r="H673" s="109" t="s">
        <v>339</v>
      </c>
      <c r="I673" s="310"/>
      <c r="J673" s="311"/>
      <c r="K673" s="312"/>
      <c r="L673" s="120"/>
      <c r="M673" s="121"/>
    </row>
    <row r="674" spans="3:13" ht="49" thickBot="1" x14ac:dyDescent="0.25">
      <c r="C674" s="93"/>
      <c r="D674" s="89" t="s">
        <v>105</v>
      </c>
      <c r="E674" s="123" t="s">
        <v>30</v>
      </c>
      <c r="F674" s="363" t="s">
        <v>842</v>
      </c>
      <c r="G674" s="364"/>
      <c r="H674" s="365"/>
      <c r="I674" s="325" t="s">
        <v>633</v>
      </c>
      <c r="J674" s="326"/>
      <c r="K674" s="327"/>
      <c r="L674" s="189" t="s">
        <v>430</v>
      </c>
      <c r="M674" s="125" t="s">
        <v>431</v>
      </c>
    </row>
    <row r="675" spans="3:13" ht="24" x14ac:dyDescent="0.2">
      <c r="C675" s="93"/>
      <c r="D675" s="195"/>
      <c r="E675" s="122" t="s">
        <v>432</v>
      </c>
      <c r="F675" s="342"/>
      <c r="G675" s="343"/>
      <c r="H675" s="344"/>
      <c r="I675" s="307" t="s">
        <v>843</v>
      </c>
      <c r="J675" s="308"/>
      <c r="K675" s="309"/>
      <c r="L675" s="117"/>
      <c r="M675" s="118"/>
    </row>
    <row r="676" spans="3:13" ht="24" x14ac:dyDescent="0.2">
      <c r="C676" s="93"/>
      <c r="D676" s="195"/>
      <c r="E676" s="92" t="s">
        <v>433</v>
      </c>
      <c r="F676" s="372">
        <v>50</v>
      </c>
      <c r="G676" s="373"/>
      <c r="H676" s="374"/>
      <c r="I676" s="307"/>
      <c r="J676" s="308"/>
      <c r="K676" s="309"/>
      <c r="L676" s="117"/>
      <c r="M676" s="118"/>
    </row>
    <row r="677" spans="3:13" ht="25" thickBot="1" x14ac:dyDescent="0.25">
      <c r="C677" s="93"/>
      <c r="D677" s="195"/>
      <c r="E677" s="92" t="s">
        <v>434</v>
      </c>
      <c r="F677" s="372">
        <v>49.8</v>
      </c>
      <c r="G677" s="373"/>
      <c r="H677" s="374"/>
      <c r="I677" s="307"/>
      <c r="J677" s="308"/>
      <c r="K677" s="309"/>
      <c r="L677" s="117"/>
      <c r="M677" s="118"/>
    </row>
    <row r="678" spans="3:13" ht="25" thickBot="1" x14ac:dyDescent="0.25">
      <c r="C678" s="93"/>
      <c r="D678" s="195"/>
      <c r="E678" s="94" t="s">
        <v>435</v>
      </c>
      <c r="F678" s="360">
        <v>6.2500000000000028E-2</v>
      </c>
      <c r="G678" s="361"/>
      <c r="H678" s="362"/>
      <c r="I678" s="307"/>
      <c r="J678" s="308"/>
      <c r="K678" s="309"/>
      <c r="L678" s="126">
        <v>0.29166666666666669</v>
      </c>
      <c r="M678" s="127">
        <v>0.1875</v>
      </c>
    </row>
    <row r="679" spans="3:13" ht="25" thickBot="1" x14ac:dyDescent="0.25">
      <c r="C679" s="93"/>
      <c r="D679" s="195"/>
      <c r="E679" s="96" t="s">
        <v>436</v>
      </c>
      <c r="F679" s="97" t="s">
        <v>29</v>
      </c>
      <c r="G679" s="97" t="s">
        <v>28</v>
      </c>
      <c r="H679" s="98" t="s">
        <v>27</v>
      </c>
      <c r="I679" s="307"/>
      <c r="J679" s="308"/>
      <c r="K679" s="309"/>
      <c r="L679" s="117"/>
      <c r="M679" s="118"/>
    </row>
    <row r="680" spans="3:13" ht="24" x14ac:dyDescent="0.2">
      <c r="C680" s="93"/>
      <c r="D680" s="195"/>
      <c r="E680" s="99">
        <v>45565</v>
      </c>
      <c r="F680" s="109">
        <v>49.8</v>
      </c>
      <c r="G680" s="109" t="s">
        <v>440</v>
      </c>
      <c r="H680" s="109">
        <v>49.1</v>
      </c>
      <c r="I680" s="307"/>
      <c r="J680" s="308"/>
      <c r="K680" s="309"/>
      <c r="L680" s="117"/>
      <c r="M680" s="118"/>
    </row>
    <row r="681" spans="3:13" ht="24" x14ac:dyDescent="0.2">
      <c r="C681" s="93"/>
      <c r="D681" s="195"/>
      <c r="E681" s="99">
        <v>45535</v>
      </c>
      <c r="F681" s="109">
        <v>49.1</v>
      </c>
      <c r="G681" s="109" t="s">
        <v>438</v>
      </c>
      <c r="H681" s="109">
        <v>49.4</v>
      </c>
      <c r="I681" s="307"/>
      <c r="J681" s="308"/>
      <c r="K681" s="309"/>
      <c r="L681" s="117"/>
      <c r="M681" s="118"/>
    </row>
    <row r="682" spans="3:13" ht="24" x14ac:dyDescent="0.2">
      <c r="C682" s="93"/>
      <c r="D682" s="195"/>
      <c r="E682" s="99">
        <v>45504</v>
      </c>
      <c r="F682" s="109">
        <v>49.4</v>
      </c>
      <c r="G682" s="109" t="s">
        <v>440</v>
      </c>
      <c r="H682" s="109">
        <v>49.5</v>
      </c>
      <c r="I682" s="307"/>
      <c r="J682" s="308"/>
      <c r="K682" s="309"/>
      <c r="L682" s="119"/>
      <c r="M682" s="118"/>
    </row>
    <row r="683" spans="3:13" ht="24" x14ac:dyDescent="0.2">
      <c r="C683" s="93"/>
      <c r="D683" s="195"/>
      <c r="E683" s="99">
        <v>45473</v>
      </c>
      <c r="F683" s="109">
        <v>49.5</v>
      </c>
      <c r="G683" s="109" t="s">
        <v>438</v>
      </c>
      <c r="H683" s="109">
        <v>49.5</v>
      </c>
      <c r="I683" s="307"/>
      <c r="J683" s="308"/>
      <c r="K683" s="309"/>
      <c r="L683" s="117"/>
      <c r="M683" s="118"/>
    </row>
    <row r="684" spans="3:13" ht="24" x14ac:dyDescent="0.2">
      <c r="C684" s="93"/>
      <c r="D684" s="195"/>
      <c r="E684" s="99">
        <v>45443</v>
      </c>
      <c r="F684" s="109">
        <v>49.5</v>
      </c>
      <c r="G684" s="109" t="s">
        <v>443</v>
      </c>
      <c r="H684" s="109">
        <v>50.4</v>
      </c>
      <c r="I684" s="307"/>
      <c r="J684" s="308"/>
      <c r="K684" s="309"/>
      <c r="L684" s="117"/>
      <c r="M684" s="118"/>
    </row>
    <row r="685" spans="3:13" ht="25" thickBot="1" x14ac:dyDescent="0.25">
      <c r="C685" s="93"/>
      <c r="D685" s="195"/>
      <c r="E685" s="99">
        <v>45412</v>
      </c>
      <c r="F685" s="109">
        <v>50.4</v>
      </c>
      <c r="G685" s="109" t="s">
        <v>445</v>
      </c>
      <c r="H685" s="109">
        <v>50.8</v>
      </c>
      <c r="I685" s="310"/>
      <c r="J685" s="311"/>
      <c r="K685" s="312"/>
      <c r="L685" s="120"/>
      <c r="M685" s="121"/>
    </row>
    <row r="686" spans="3:13" ht="49" thickBot="1" x14ac:dyDescent="0.25">
      <c r="C686" s="93"/>
      <c r="D686" s="89" t="s">
        <v>105</v>
      </c>
      <c r="E686" s="123" t="s">
        <v>30</v>
      </c>
      <c r="F686" s="363" t="s">
        <v>118</v>
      </c>
      <c r="G686" s="364"/>
      <c r="H686" s="365"/>
      <c r="I686" s="325" t="s">
        <v>633</v>
      </c>
      <c r="J686" s="326"/>
      <c r="K686" s="327"/>
      <c r="L686" s="189" t="s">
        <v>430</v>
      </c>
      <c r="M686" s="125" t="s">
        <v>431</v>
      </c>
    </row>
    <row r="687" spans="3:13" ht="24" x14ac:dyDescent="0.2">
      <c r="C687" s="93"/>
      <c r="D687" s="195"/>
      <c r="E687" s="122" t="s">
        <v>432</v>
      </c>
      <c r="F687" s="342"/>
      <c r="G687" s="343"/>
      <c r="H687" s="344"/>
      <c r="I687" s="307" t="s">
        <v>844</v>
      </c>
      <c r="J687" s="308"/>
      <c r="K687" s="309"/>
      <c r="L687" s="117"/>
      <c r="M687" s="118"/>
    </row>
    <row r="688" spans="3:13" ht="24" x14ac:dyDescent="0.2">
      <c r="C688" s="93"/>
      <c r="D688" s="195"/>
      <c r="E688" s="92" t="s">
        <v>433</v>
      </c>
      <c r="F688" s="357">
        <v>2.5000000000000001E-3</v>
      </c>
      <c r="G688" s="358"/>
      <c r="H688" s="359"/>
      <c r="I688" s="307"/>
      <c r="J688" s="308"/>
      <c r="K688" s="309"/>
      <c r="L688" s="117"/>
      <c r="M688" s="118"/>
    </row>
    <row r="689" spans="3:13" ht="25" thickBot="1" x14ac:dyDescent="0.25">
      <c r="C689" s="93"/>
      <c r="D689" s="195"/>
      <c r="E689" s="92" t="s">
        <v>434</v>
      </c>
      <c r="F689" s="357">
        <v>2.5000000000000001E-3</v>
      </c>
      <c r="G689" s="358"/>
      <c r="H689" s="359"/>
      <c r="I689" s="307"/>
      <c r="J689" s="308"/>
      <c r="K689" s="309"/>
      <c r="L689" s="117"/>
      <c r="M689" s="118"/>
    </row>
    <row r="690" spans="3:13" ht="25" thickBot="1" x14ac:dyDescent="0.25">
      <c r="C690" s="93"/>
      <c r="D690" s="195"/>
      <c r="E690" s="94" t="s">
        <v>435</v>
      </c>
      <c r="F690" s="360">
        <v>0.12500000000000003</v>
      </c>
      <c r="G690" s="361"/>
      <c r="H690" s="362"/>
      <c r="I690" s="307"/>
      <c r="J690" s="308"/>
      <c r="K690" s="309"/>
      <c r="L690" s="126">
        <v>0.35416666666666669</v>
      </c>
      <c r="M690" s="127">
        <v>0.25</v>
      </c>
    </row>
    <row r="691" spans="3:13" ht="25" thickBot="1" x14ac:dyDescent="0.25">
      <c r="C691" s="93"/>
      <c r="D691" s="195"/>
      <c r="E691" s="96" t="s">
        <v>436</v>
      </c>
      <c r="F691" s="97" t="s">
        <v>29</v>
      </c>
      <c r="G691" s="97" t="s">
        <v>28</v>
      </c>
      <c r="H691" s="98" t="s">
        <v>27</v>
      </c>
      <c r="I691" s="307"/>
      <c r="J691" s="308"/>
      <c r="K691" s="309"/>
      <c r="L691" s="117"/>
      <c r="M691" s="118"/>
    </row>
    <row r="692" spans="3:13" ht="24" x14ac:dyDescent="0.2">
      <c r="C692" s="93"/>
      <c r="D692" s="195"/>
      <c r="E692" s="99">
        <v>45555</v>
      </c>
      <c r="F692" s="113">
        <v>2.5000000000000001E-3</v>
      </c>
      <c r="G692" s="113" t="s">
        <v>892</v>
      </c>
      <c r="H692" s="113">
        <v>2.5000000000000001E-3</v>
      </c>
      <c r="I692" s="307"/>
      <c r="J692" s="308"/>
      <c r="K692" s="309"/>
      <c r="L692" s="117"/>
      <c r="M692" s="118"/>
    </row>
    <row r="693" spans="3:13" ht="24" x14ac:dyDescent="0.2">
      <c r="C693" s="93"/>
      <c r="D693" s="195"/>
      <c r="E693" s="99">
        <v>45504</v>
      </c>
      <c r="F693" s="113">
        <v>2.5000000000000001E-3</v>
      </c>
      <c r="G693" s="113" t="s">
        <v>893</v>
      </c>
      <c r="H693" s="113">
        <v>1E-3</v>
      </c>
      <c r="I693" s="307"/>
      <c r="J693" s="308"/>
      <c r="K693" s="309"/>
      <c r="L693" s="117"/>
      <c r="M693" s="118"/>
    </row>
    <row r="694" spans="3:13" ht="24" x14ac:dyDescent="0.2">
      <c r="C694" s="93"/>
      <c r="D694" s="195"/>
      <c r="E694" s="99">
        <v>45457</v>
      </c>
      <c r="F694" s="113">
        <v>1E-3</v>
      </c>
      <c r="G694" s="113" t="s">
        <v>893</v>
      </c>
      <c r="H694" s="113">
        <v>1E-3</v>
      </c>
      <c r="I694" s="307"/>
      <c r="J694" s="308"/>
      <c r="K694" s="309"/>
      <c r="L694" s="119"/>
      <c r="M694" s="118"/>
    </row>
    <row r="695" spans="3:13" ht="24" x14ac:dyDescent="0.2">
      <c r="C695" s="93"/>
      <c r="D695" s="195"/>
      <c r="E695" s="99">
        <v>45408</v>
      </c>
      <c r="F695" s="113">
        <v>1E-3</v>
      </c>
      <c r="G695" s="113" t="s">
        <v>893</v>
      </c>
      <c r="H695" s="113">
        <v>1E-3</v>
      </c>
      <c r="I695" s="307"/>
      <c r="J695" s="308"/>
      <c r="K695" s="309"/>
      <c r="L695" s="117"/>
      <c r="M695" s="118"/>
    </row>
    <row r="696" spans="3:13" ht="24" x14ac:dyDescent="0.2">
      <c r="C696" s="93"/>
      <c r="D696" s="195"/>
      <c r="E696" s="99">
        <v>45370</v>
      </c>
      <c r="F696" s="113">
        <v>1E-3</v>
      </c>
      <c r="G696" s="113" t="s">
        <v>893</v>
      </c>
      <c r="H696" s="113">
        <v>-1E-3</v>
      </c>
      <c r="I696" s="307"/>
      <c r="J696" s="308"/>
      <c r="K696" s="309"/>
      <c r="L696" s="117"/>
      <c r="M696" s="118"/>
    </row>
    <row r="697" spans="3:13" ht="25" thickBot="1" x14ac:dyDescent="0.25">
      <c r="C697" s="93"/>
      <c r="D697" s="195"/>
      <c r="E697" s="99">
        <v>45314</v>
      </c>
      <c r="F697" s="113">
        <v>-1E-3</v>
      </c>
      <c r="G697" s="113" t="s">
        <v>894</v>
      </c>
      <c r="H697" s="113">
        <v>-1E-3</v>
      </c>
      <c r="I697" s="310"/>
      <c r="J697" s="311"/>
      <c r="K697" s="312"/>
      <c r="L697" s="120"/>
      <c r="M697" s="121"/>
    </row>
    <row r="698" spans="3:13" ht="49" thickBot="1" x14ac:dyDescent="0.25">
      <c r="C698" s="93"/>
      <c r="D698" s="89" t="s">
        <v>105</v>
      </c>
      <c r="E698" s="96" t="s">
        <v>30</v>
      </c>
      <c r="F698" s="390" t="s">
        <v>845</v>
      </c>
      <c r="G698" s="391"/>
      <c r="H698" s="392"/>
      <c r="I698" s="325" t="s">
        <v>633</v>
      </c>
      <c r="J698" s="326"/>
      <c r="K698" s="327"/>
      <c r="L698" s="189" t="s">
        <v>430</v>
      </c>
      <c r="M698" s="125" t="s">
        <v>431</v>
      </c>
    </row>
    <row r="699" spans="3:13" ht="24" x14ac:dyDescent="0.2">
      <c r="C699" s="93"/>
      <c r="D699" s="195"/>
      <c r="E699" s="122" t="s">
        <v>432</v>
      </c>
      <c r="F699" s="342"/>
      <c r="G699" s="343"/>
      <c r="H699" s="344"/>
      <c r="I699" s="307" t="s">
        <v>846</v>
      </c>
      <c r="J699" s="308"/>
      <c r="K699" s="309"/>
      <c r="L699" s="117"/>
      <c r="M699" s="118"/>
    </row>
    <row r="700" spans="3:13" ht="24" x14ac:dyDescent="0.2">
      <c r="C700" s="93"/>
      <c r="D700" s="195"/>
      <c r="E700" s="92" t="s">
        <v>433</v>
      </c>
      <c r="F700" s="393">
        <v>1.9E-2</v>
      </c>
      <c r="G700" s="394"/>
      <c r="H700" s="395"/>
      <c r="I700" s="307"/>
      <c r="J700" s="308"/>
      <c r="K700" s="309"/>
      <c r="L700" s="117"/>
      <c r="M700" s="118"/>
    </row>
    <row r="701" spans="3:13" ht="25" thickBot="1" x14ac:dyDescent="0.25">
      <c r="C701" s="93"/>
      <c r="D701" s="195"/>
      <c r="E701" s="92" t="s">
        <v>434</v>
      </c>
      <c r="F701" s="393">
        <v>1.7000000000000001E-2</v>
      </c>
      <c r="G701" s="394"/>
      <c r="H701" s="395"/>
      <c r="I701" s="307"/>
      <c r="J701" s="308"/>
      <c r="K701" s="309"/>
      <c r="L701" s="117"/>
      <c r="M701" s="118"/>
    </row>
    <row r="702" spans="3:13" ht="25" thickBot="1" x14ac:dyDescent="0.25">
      <c r="C702" s="93"/>
      <c r="D702" s="195"/>
      <c r="E702" s="94" t="s">
        <v>435</v>
      </c>
      <c r="F702" s="360">
        <v>0.41666666666666674</v>
      </c>
      <c r="G702" s="361"/>
      <c r="H702" s="362"/>
      <c r="I702" s="307"/>
      <c r="J702" s="308"/>
      <c r="K702" s="309"/>
      <c r="L702" s="126">
        <v>0.64583333333333337</v>
      </c>
      <c r="M702" s="127">
        <v>0.54166666666666674</v>
      </c>
    </row>
    <row r="703" spans="3:13" ht="25" thickBot="1" x14ac:dyDescent="0.25">
      <c r="C703" s="93"/>
      <c r="D703" s="195"/>
      <c r="E703" s="96" t="s">
        <v>436</v>
      </c>
      <c r="F703" s="97" t="s">
        <v>29</v>
      </c>
      <c r="G703" s="97" t="s">
        <v>28</v>
      </c>
      <c r="H703" s="98" t="s">
        <v>27</v>
      </c>
      <c r="I703" s="307"/>
      <c r="J703" s="308"/>
      <c r="K703" s="309"/>
      <c r="L703" s="117"/>
      <c r="M703" s="118"/>
    </row>
    <row r="704" spans="3:13" ht="24" x14ac:dyDescent="0.2">
      <c r="C704" s="93"/>
      <c r="D704" s="195"/>
      <c r="E704" s="99">
        <v>45582</v>
      </c>
      <c r="F704" s="190">
        <v>1.7000000000000001E-2</v>
      </c>
      <c r="G704" s="190" t="s">
        <v>895</v>
      </c>
      <c r="H704" s="190">
        <v>2.1999999999999999E-2</v>
      </c>
      <c r="I704" s="307"/>
      <c r="J704" s="308"/>
      <c r="K704" s="309"/>
      <c r="L704" s="117"/>
      <c r="M704" s="118"/>
    </row>
    <row r="705" spans="3:13" ht="24" x14ac:dyDescent="0.2">
      <c r="C705" s="93"/>
      <c r="D705" s="195"/>
      <c r="E705" s="99">
        <v>45566</v>
      </c>
      <c r="F705" s="190">
        <v>1.7999999999999999E-2</v>
      </c>
      <c r="G705" s="190" t="s">
        <v>895</v>
      </c>
      <c r="H705" s="190">
        <v>2.1999999999999999E-2</v>
      </c>
      <c r="I705" s="307"/>
      <c r="J705" s="308"/>
      <c r="K705" s="309"/>
      <c r="L705" s="117"/>
      <c r="M705" s="118"/>
    </row>
    <row r="706" spans="3:13" ht="24" x14ac:dyDescent="0.2">
      <c r="C706" s="93"/>
      <c r="D706" s="195"/>
      <c r="E706" s="99">
        <v>45553</v>
      </c>
      <c r="F706" s="190">
        <v>2.1999999999999999E-2</v>
      </c>
      <c r="G706" s="190" t="s">
        <v>490</v>
      </c>
      <c r="H706" s="190">
        <v>2.5999999999999999E-2</v>
      </c>
      <c r="I706" s="307"/>
      <c r="J706" s="308"/>
      <c r="K706" s="309"/>
      <c r="L706" s="119"/>
      <c r="M706" s="118"/>
    </row>
    <row r="707" spans="3:13" ht="24" x14ac:dyDescent="0.2">
      <c r="C707" s="93"/>
      <c r="D707" s="195"/>
      <c r="E707" s="99">
        <v>45534</v>
      </c>
      <c r="F707" s="190">
        <v>2.1999999999999999E-2</v>
      </c>
      <c r="G707" s="190" t="s">
        <v>490</v>
      </c>
      <c r="H707" s="190">
        <v>2.5999999999999999E-2</v>
      </c>
      <c r="I707" s="307"/>
      <c r="J707" s="308"/>
      <c r="K707" s="309"/>
      <c r="L707" s="117"/>
      <c r="M707" s="118"/>
    </row>
    <row r="708" spans="3:13" ht="24" x14ac:dyDescent="0.2">
      <c r="C708" s="93"/>
      <c r="D708" s="195"/>
      <c r="E708" s="99">
        <v>45524</v>
      </c>
      <c r="F708" s="190">
        <v>2.5999999999999999E-2</v>
      </c>
      <c r="G708" s="190" t="s">
        <v>493</v>
      </c>
      <c r="H708" s="190">
        <v>2.5000000000000001E-2</v>
      </c>
      <c r="I708" s="307"/>
      <c r="J708" s="308"/>
      <c r="K708" s="309"/>
      <c r="L708" s="117"/>
      <c r="M708" s="118"/>
    </row>
    <row r="709" spans="3:13" ht="25" thickBot="1" x14ac:dyDescent="0.25">
      <c r="C709" s="93"/>
      <c r="D709" s="195"/>
      <c r="E709" s="99">
        <v>45504</v>
      </c>
      <c r="F709" s="190">
        <v>2.5999999999999999E-2</v>
      </c>
      <c r="G709" s="190" t="s">
        <v>495</v>
      </c>
      <c r="H709" s="190">
        <v>2.5000000000000001E-2</v>
      </c>
      <c r="I709" s="310"/>
      <c r="J709" s="311"/>
      <c r="K709" s="312"/>
      <c r="L709" s="120"/>
      <c r="M709" s="121"/>
    </row>
    <row r="710" spans="3:13" ht="25" thickBot="1" x14ac:dyDescent="0.25">
      <c r="C710" s="93"/>
      <c r="D710" s="89" t="s">
        <v>105</v>
      </c>
      <c r="E710" s="123" t="s">
        <v>30</v>
      </c>
      <c r="F710" s="363" t="s">
        <v>847</v>
      </c>
      <c r="G710" s="364"/>
      <c r="H710" s="365"/>
      <c r="I710" s="325" t="s">
        <v>633</v>
      </c>
      <c r="J710" s="326"/>
      <c r="K710" s="327"/>
      <c r="L710" s="189"/>
      <c r="M710" s="125"/>
    </row>
    <row r="711" spans="3:13" ht="24" x14ac:dyDescent="0.2">
      <c r="C711" s="93"/>
      <c r="D711" s="195"/>
      <c r="E711" s="122" t="s">
        <v>432</v>
      </c>
      <c r="F711" s="342"/>
      <c r="G711" s="343"/>
      <c r="H711" s="344"/>
      <c r="I711" s="307" t="s">
        <v>848</v>
      </c>
      <c r="J711" s="308"/>
      <c r="K711" s="309"/>
      <c r="L711" s="117"/>
      <c r="M711" s="118"/>
    </row>
    <row r="712" spans="3:13" ht="24" x14ac:dyDescent="0.2">
      <c r="C712" s="93"/>
      <c r="D712" s="195"/>
      <c r="E712" s="92" t="s">
        <v>433</v>
      </c>
      <c r="F712" s="345">
        <v>0</v>
      </c>
      <c r="G712" s="346"/>
      <c r="H712" s="347"/>
      <c r="I712" s="307"/>
      <c r="J712" s="308"/>
      <c r="K712" s="309"/>
      <c r="L712" s="117"/>
      <c r="M712" s="118"/>
    </row>
    <row r="713" spans="3:13" ht="25" thickBot="1" x14ac:dyDescent="0.25">
      <c r="C713" s="93"/>
      <c r="D713" s="195"/>
      <c r="E713" s="92" t="s">
        <v>434</v>
      </c>
      <c r="F713" s="345">
        <v>2.7E-2</v>
      </c>
      <c r="G713" s="346"/>
      <c r="H713" s="347"/>
      <c r="I713" s="307"/>
      <c r="J713" s="308"/>
      <c r="K713" s="309"/>
      <c r="L713" s="117"/>
      <c r="M713" s="118"/>
    </row>
    <row r="714" spans="3:13" ht="25" thickBot="1" x14ac:dyDescent="0.25">
      <c r="C714" s="93"/>
      <c r="D714" s="195"/>
      <c r="E714" s="94" t="s">
        <v>435</v>
      </c>
      <c r="F714" s="360">
        <v>0.52083333333333337</v>
      </c>
      <c r="G714" s="361"/>
      <c r="H714" s="362"/>
      <c r="I714" s="307"/>
      <c r="J714" s="308"/>
      <c r="K714" s="309"/>
      <c r="L714" s="126">
        <v>0.75</v>
      </c>
      <c r="M714" s="127">
        <v>0.64583333333333337</v>
      </c>
    </row>
    <row r="715" spans="3:13" ht="25" thickBot="1" x14ac:dyDescent="0.25">
      <c r="C715" s="93"/>
      <c r="D715" s="195"/>
      <c r="E715" s="96" t="s">
        <v>436</v>
      </c>
      <c r="F715" s="97" t="s">
        <v>29</v>
      </c>
      <c r="G715" s="97" t="s">
        <v>28</v>
      </c>
      <c r="H715" s="98" t="s">
        <v>27</v>
      </c>
      <c r="I715" s="307"/>
      <c r="J715" s="308"/>
      <c r="K715" s="309"/>
      <c r="L715" s="117"/>
      <c r="M715" s="118"/>
    </row>
    <row r="716" spans="3:13" ht="24" x14ac:dyDescent="0.2">
      <c r="C716" s="93"/>
      <c r="D716" s="195"/>
      <c r="E716" s="99">
        <v>45562</v>
      </c>
      <c r="F716" s="105">
        <v>2.7E-2</v>
      </c>
      <c r="G716" s="105" t="s">
        <v>665</v>
      </c>
      <c r="H716" s="105">
        <v>2.5999999999999999E-2</v>
      </c>
      <c r="I716" s="307"/>
      <c r="J716" s="308"/>
      <c r="K716" s="309"/>
      <c r="L716" s="117"/>
      <c r="M716" s="118"/>
    </row>
    <row r="717" spans="3:13" ht="24" x14ac:dyDescent="0.2">
      <c r="C717" s="93"/>
      <c r="D717" s="195"/>
      <c r="E717" s="99">
        <v>45534</v>
      </c>
      <c r="F717" s="105">
        <v>2.5999999999999999E-2</v>
      </c>
      <c r="G717" s="105" t="s">
        <v>665</v>
      </c>
      <c r="H717" s="105">
        <v>2.5999999999999999E-2</v>
      </c>
      <c r="I717" s="307"/>
      <c r="J717" s="308"/>
      <c r="K717" s="309"/>
      <c r="L717" s="117"/>
      <c r="M717" s="118"/>
    </row>
    <row r="718" spans="3:13" ht="24" x14ac:dyDescent="0.2">
      <c r="C718" s="93"/>
      <c r="D718" s="195"/>
      <c r="E718" s="99">
        <v>45499</v>
      </c>
      <c r="F718" s="105">
        <v>2.5999999999999999E-2</v>
      </c>
      <c r="G718" s="105" t="s">
        <v>495</v>
      </c>
      <c r="H718" s="105">
        <v>2.5999999999999999E-2</v>
      </c>
      <c r="I718" s="307"/>
      <c r="J718" s="308"/>
      <c r="K718" s="309"/>
      <c r="L718" s="119"/>
      <c r="M718" s="118"/>
    </row>
    <row r="719" spans="3:13" ht="24" x14ac:dyDescent="0.2">
      <c r="C719" s="93"/>
      <c r="D719" s="195"/>
      <c r="E719" s="99">
        <v>45471</v>
      </c>
      <c r="F719" s="105">
        <v>2.5999999999999999E-2</v>
      </c>
      <c r="G719" s="105" t="s">
        <v>493</v>
      </c>
      <c r="H719" s="105">
        <v>2.8000000000000001E-2</v>
      </c>
      <c r="I719" s="307"/>
      <c r="J719" s="308"/>
      <c r="K719" s="309"/>
      <c r="L719" s="117"/>
      <c r="M719" s="118"/>
    </row>
    <row r="720" spans="3:13" ht="24" x14ac:dyDescent="0.2">
      <c r="C720" s="93"/>
      <c r="D720" s="195"/>
      <c r="E720" s="99">
        <v>45443</v>
      </c>
      <c r="F720" s="105">
        <v>2.8000000000000001E-2</v>
      </c>
      <c r="G720" s="105" t="s">
        <v>666</v>
      </c>
      <c r="H720" s="105">
        <v>2.8000000000000001E-2</v>
      </c>
      <c r="I720" s="307"/>
      <c r="J720" s="308"/>
      <c r="K720" s="309"/>
      <c r="L720" s="117"/>
      <c r="M720" s="118"/>
    </row>
    <row r="721" spans="3:13" ht="25" thickBot="1" x14ac:dyDescent="0.25">
      <c r="C721" s="93"/>
      <c r="D721" s="195"/>
      <c r="E721" s="99">
        <v>45408</v>
      </c>
      <c r="F721" s="105">
        <v>2.8000000000000001E-2</v>
      </c>
      <c r="G721" s="105" t="s">
        <v>493</v>
      </c>
      <c r="H721" s="105">
        <v>2.8000000000000001E-2</v>
      </c>
      <c r="I721" s="310"/>
      <c r="J721" s="311"/>
      <c r="K721" s="312"/>
      <c r="L721" s="120"/>
      <c r="M721" s="121"/>
    </row>
    <row r="722" spans="3:13" ht="49" thickBot="1" x14ac:dyDescent="0.25">
      <c r="C722" s="93"/>
      <c r="D722" s="89" t="s">
        <v>105</v>
      </c>
      <c r="E722" s="123" t="s">
        <v>30</v>
      </c>
      <c r="F722" s="363" t="s">
        <v>849</v>
      </c>
      <c r="G722" s="364"/>
      <c r="H722" s="365"/>
      <c r="I722" s="325" t="s">
        <v>633</v>
      </c>
      <c r="J722" s="326"/>
      <c r="K722" s="327"/>
      <c r="L722" s="189" t="s">
        <v>430</v>
      </c>
      <c r="M722" s="125" t="s">
        <v>431</v>
      </c>
    </row>
    <row r="723" spans="3:13" ht="24" x14ac:dyDescent="0.2">
      <c r="C723" s="93"/>
      <c r="D723" s="195"/>
      <c r="E723" s="122" t="s">
        <v>432</v>
      </c>
      <c r="F723" s="342"/>
      <c r="G723" s="343"/>
      <c r="H723" s="344"/>
      <c r="I723" s="307" t="s">
        <v>850</v>
      </c>
      <c r="J723" s="308"/>
      <c r="K723" s="309"/>
      <c r="L723" s="117"/>
      <c r="M723" s="118"/>
    </row>
    <row r="724" spans="3:13" ht="24" x14ac:dyDescent="0.2">
      <c r="C724" s="93"/>
      <c r="D724" s="195"/>
      <c r="E724" s="92" t="s">
        <v>433</v>
      </c>
      <c r="F724" s="357">
        <v>3.0000000000000001E-3</v>
      </c>
      <c r="G724" s="358"/>
      <c r="H724" s="359"/>
      <c r="I724" s="307"/>
      <c r="J724" s="308"/>
      <c r="K724" s="309"/>
      <c r="L724" s="117"/>
      <c r="M724" s="118"/>
    </row>
    <row r="725" spans="3:13" ht="25" thickBot="1" x14ac:dyDescent="0.25">
      <c r="C725" s="93"/>
      <c r="D725" s="195"/>
      <c r="E725" s="92" t="s">
        <v>434</v>
      </c>
      <c r="F725" s="357">
        <v>1E-3</v>
      </c>
      <c r="G725" s="358"/>
      <c r="H725" s="359"/>
      <c r="I725" s="307"/>
      <c r="J725" s="308"/>
      <c r="K725" s="309"/>
      <c r="L725" s="117"/>
      <c r="M725" s="118"/>
    </row>
    <row r="726" spans="3:13" ht="25" thickBot="1" x14ac:dyDescent="0.25">
      <c r="C726" s="93"/>
      <c r="D726" s="195"/>
      <c r="E726" s="94" t="s">
        <v>435</v>
      </c>
      <c r="F726" s="360">
        <v>0.52083333333333337</v>
      </c>
      <c r="G726" s="361"/>
      <c r="H726" s="362"/>
      <c r="I726" s="307"/>
      <c r="J726" s="308"/>
      <c r="K726" s="309"/>
      <c r="L726" s="126">
        <v>0.75</v>
      </c>
      <c r="M726" s="127">
        <v>0.64583333333333337</v>
      </c>
    </row>
    <row r="727" spans="3:13" ht="25" thickBot="1" x14ac:dyDescent="0.25">
      <c r="C727" s="93"/>
      <c r="D727" s="195"/>
      <c r="E727" s="96" t="s">
        <v>436</v>
      </c>
      <c r="F727" s="97" t="s">
        <v>29</v>
      </c>
      <c r="G727" s="97" t="s">
        <v>28</v>
      </c>
      <c r="H727" s="98" t="s">
        <v>27</v>
      </c>
      <c r="I727" s="307"/>
      <c r="J727" s="308"/>
      <c r="K727" s="309"/>
      <c r="L727" s="117"/>
      <c r="M727" s="118"/>
    </row>
    <row r="728" spans="3:13" ht="24" x14ac:dyDescent="0.2">
      <c r="C728" s="93"/>
      <c r="D728" s="195"/>
      <c r="E728" s="99">
        <v>45562</v>
      </c>
      <c r="F728" s="105">
        <v>1E-3</v>
      </c>
      <c r="G728" s="105" t="s">
        <v>460</v>
      </c>
      <c r="H728" s="105">
        <v>2E-3</v>
      </c>
      <c r="I728" s="307"/>
      <c r="J728" s="308"/>
      <c r="K728" s="309"/>
      <c r="L728" s="117"/>
      <c r="M728" s="118"/>
    </row>
    <row r="729" spans="3:13" ht="24" x14ac:dyDescent="0.2">
      <c r="C729" s="93"/>
      <c r="D729" s="195"/>
      <c r="E729" s="99">
        <v>45534</v>
      </c>
      <c r="F729" s="105">
        <v>2E-3</v>
      </c>
      <c r="G729" s="105" t="s">
        <v>460</v>
      </c>
      <c r="H729" s="105">
        <v>2E-3</v>
      </c>
      <c r="I729" s="307"/>
      <c r="J729" s="308"/>
      <c r="K729" s="309"/>
      <c r="L729" s="117"/>
      <c r="M729" s="118"/>
    </row>
    <row r="730" spans="3:13" ht="24" x14ac:dyDescent="0.2">
      <c r="C730" s="93"/>
      <c r="D730" s="195"/>
      <c r="E730" s="99">
        <v>45499</v>
      </c>
      <c r="F730" s="105">
        <v>2E-3</v>
      </c>
      <c r="G730" s="105" t="s">
        <v>460</v>
      </c>
      <c r="H730" s="105">
        <v>1E-3</v>
      </c>
      <c r="I730" s="307"/>
      <c r="J730" s="308"/>
      <c r="K730" s="309"/>
      <c r="L730" s="119"/>
      <c r="M730" s="118"/>
    </row>
    <row r="731" spans="3:13" ht="24" x14ac:dyDescent="0.2">
      <c r="C731" s="93"/>
      <c r="D731" s="195"/>
      <c r="E731" s="99">
        <v>45471</v>
      </c>
      <c r="F731" s="105">
        <v>1E-3</v>
      </c>
      <c r="G731" s="105" t="s">
        <v>462</v>
      </c>
      <c r="H731" s="105">
        <v>3.0000000000000001E-3</v>
      </c>
      <c r="I731" s="307"/>
      <c r="J731" s="308"/>
      <c r="K731" s="309"/>
      <c r="L731" s="117"/>
      <c r="M731" s="118"/>
    </row>
    <row r="732" spans="3:13" ht="24" x14ac:dyDescent="0.2">
      <c r="C732" s="93"/>
      <c r="D732" s="195"/>
      <c r="E732" s="99">
        <v>45443</v>
      </c>
      <c r="F732" s="105">
        <v>2E-3</v>
      </c>
      <c r="G732" s="105" t="s">
        <v>467</v>
      </c>
      <c r="H732" s="105">
        <v>3.0000000000000001E-3</v>
      </c>
      <c r="I732" s="307"/>
      <c r="J732" s="308"/>
      <c r="K732" s="309"/>
      <c r="L732" s="117"/>
      <c r="M732" s="118"/>
    </row>
    <row r="733" spans="3:13" ht="25" thickBot="1" x14ac:dyDescent="0.25">
      <c r="C733" s="93"/>
      <c r="D733" s="195"/>
      <c r="E733" s="99">
        <v>45408</v>
      </c>
      <c r="F733" s="105">
        <v>3.0000000000000001E-3</v>
      </c>
      <c r="G733" s="105" t="s">
        <v>467</v>
      </c>
      <c r="H733" s="105">
        <v>3.0000000000000001E-3</v>
      </c>
      <c r="I733" s="310"/>
      <c r="J733" s="311"/>
      <c r="K733" s="312"/>
      <c r="L733" s="120"/>
      <c r="M733" s="121"/>
    </row>
    <row r="734" spans="3:13" ht="49" thickBot="1" x14ac:dyDescent="0.25">
      <c r="C734" s="93"/>
      <c r="D734" s="89" t="s">
        <v>105</v>
      </c>
      <c r="E734" s="123" t="s">
        <v>30</v>
      </c>
      <c r="F734" s="363" t="s">
        <v>14</v>
      </c>
      <c r="G734" s="364"/>
      <c r="H734" s="365"/>
      <c r="I734" s="325" t="s">
        <v>633</v>
      </c>
      <c r="J734" s="326"/>
      <c r="K734" s="327"/>
      <c r="L734" s="189" t="s">
        <v>430</v>
      </c>
      <c r="M734" s="125" t="s">
        <v>431</v>
      </c>
    </row>
    <row r="735" spans="3:13" ht="24" x14ac:dyDescent="0.2">
      <c r="C735" s="93"/>
      <c r="D735" s="195"/>
      <c r="E735" s="122" t="s">
        <v>432</v>
      </c>
      <c r="F735" s="342"/>
      <c r="G735" s="343"/>
      <c r="H735" s="344"/>
      <c r="I735" s="307" t="s">
        <v>851</v>
      </c>
      <c r="J735" s="308"/>
      <c r="K735" s="309"/>
      <c r="L735" s="117"/>
      <c r="M735" s="118"/>
    </row>
    <row r="736" spans="3:13" ht="24" x14ac:dyDescent="0.2">
      <c r="C736" s="93"/>
      <c r="D736" s="195"/>
      <c r="E736" s="92" t="s">
        <v>433</v>
      </c>
      <c r="F736" s="366" t="s">
        <v>268</v>
      </c>
      <c r="G736" s="367"/>
      <c r="H736" s="368"/>
      <c r="I736" s="307"/>
      <c r="J736" s="308"/>
      <c r="K736" s="309"/>
      <c r="L736" s="117"/>
      <c r="M736" s="118"/>
    </row>
    <row r="737" spans="3:13" ht="25" thickBot="1" x14ac:dyDescent="0.25">
      <c r="C737" s="93"/>
      <c r="D737" s="195"/>
      <c r="E737" s="92" t="s">
        <v>434</v>
      </c>
      <c r="F737" s="375" t="s">
        <v>209</v>
      </c>
      <c r="G737" s="376"/>
      <c r="H737" s="377"/>
      <c r="I737" s="307"/>
      <c r="J737" s="308"/>
      <c r="K737" s="309"/>
      <c r="L737" s="117"/>
      <c r="M737" s="118"/>
    </row>
    <row r="738" spans="3:13" ht="25" thickBot="1" x14ac:dyDescent="0.25">
      <c r="C738" s="93"/>
      <c r="D738" s="195"/>
      <c r="E738" s="94" t="s">
        <v>435</v>
      </c>
      <c r="F738" s="360">
        <v>0.52083333333333337</v>
      </c>
      <c r="G738" s="361"/>
      <c r="H738" s="362"/>
      <c r="I738" s="307"/>
      <c r="J738" s="308"/>
      <c r="K738" s="309"/>
      <c r="L738" s="126">
        <v>0.75</v>
      </c>
      <c r="M738" s="127">
        <v>0.64583333333333337</v>
      </c>
    </row>
    <row r="739" spans="3:13" ht="25" thickBot="1" x14ac:dyDescent="0.25">
      <c r="C739" s="93"/>
      <c r="D739" s="195"/>
      <c r="E739" s="96" t="s">
        <v>436</v>
      </c>
      <c r="F739" s="97" t="s">
        <v>29</v>
      </c>
      <c r="G739" s="97" t="s">
        <v>28</v>
      </c>
      <c r="H739" s="98" t="s">
        <v>27</v>
      </c>
      <c r="I739" s="307"/>
      <c r="J739" s="308"/>
      <c r="K739" s="309"/>
      <c r="L739" s="117"/>
      <c r="M739" s="118"/>
    </row>
    <row r="740" spans="3:13" ht="24" x14ac:dyDescent="0.2">
      <c r="C740" s="93"/>
      <c r="D740" s="195"/>
      <c r="E740" s="99">
        <v>45589</v>
      </c>
      <c r="F740" s="128" t="s">
        <v>209</v>
      </c>
      <c r="G740" s="128" t="s">
        <v>896</v>
      </c>
      <c r="H740" s="128" t="s">
        <v>897</v>
      </c>
      <c r="I740" s="307"/>
      <c r="J740" s="308"/>
      <c r="K740" s="309"/>
      <c r="L740" s="117"/>
      <c r="M740" s="118"/>
    </row>
    <row r="741" spans="3:13" ht="24" x14ac:dyDescent="0.2">
      <c r="C741" s="93"/>
      <c r="D741" s="195"/>
      <c r="E741" s="99">
        <v>45582</v>
      </c>
      <c r="F741" s="128" t="s">
        <v>171</v>
      </c>
      <c r="G741" s="128" t="s">
        <v>898</v>
      </c>
      <c r="H741" s="128" t="s">
        <v>692</v>
      </c>
      <c r="I741" s="307"/>
      <c r="J741" s="308"/>
      <c r="K741" s="309"/>
      <c r="L741" s="117"/>
      <c r="M741" s="118"/>
    </row>
    <row r="742" spans="3:13" ht="24" x14ac:dyDescent="0.2">
      <c r="C742" s="93"/>
      <c r="D742" s="195"/>
      <c r="E742" s="99">
        <v>45575</v>
      </c>
      <c r="F742" s="128" t="s">
        <v>678</v>
      </c>
      <c r="G742" s="128" t="s">
        <v>580</v>
      </c>
      <c r="H742" s="128" t="s">
        <v>638</v>
      </c>
      <c r="I742" s="307"/>
      <c r="J742" s="308"/>
      <c r="K742" s="309"/>
      <c r="L742" s="119"/>
      <c r="M742" s="118"/>
    </row>
    <row r="743" spans="3:13" ht="24" x14ac:dyDescent="0.2">
      <c r="C743" s="93"/>
      <c r="D743" s="195"/>
      <c r="E743" s="99">
        <v>45568</v>
      </c>
      <c r="F743" s="128" t="s">
        <v>638</v>
      </c>
      <c r="G743" s="128" t="s">
        <v>734</v>
      </c>
      <c r="H743" s="128" t="s">
        <v>345</v>
      </c>
      <c r="I743" s="307"/>
      <c r="J743" s="308"/>
      <c r="K743" s="309"/>
      <c r="L743" s="117"/>
      <c r="M743" s="118"/>
    </row>
    <row r="744" spans="3:13" ht="24" x14ac:dyDescent="0.2">
      <c r="C744" s="93"/>
      <c r="D744" s="195"/>
      <c r="E744" s="99">
        <v>45561</v>
      </c>
      <c r="F744" s="128" t="s">
        <v>382</v>
      </c>
      <c r="G744" s="128" t="s">
        <v>574</v>
      </c>
      <c r="H744" s="128" t="s">
        <v>72</v>
      </c>
      <c r="I744" s="307"/>
      <c r="J744" s="308"/>
      <c r="K744" s="309"/>
      <c r="L744" s="117"/>
      <c r="M744" s="118"/>
    </row>
    <row r="745" spans="3:13" ht="25" thickBot="1" x14ac:dyDescent="0.25">
      <c r="C745" s="93"/>
      <c r="D745" s="195"/>
      <c r="E745" s="99">
        <v>45554</v>
      </c>
      <c r="F745" s="128" t="s">
        <v>345</v>
      </c>
      <c r="G745" s="128" t="s">
        <v>576</v>
      </c>
      <c r="H745" s="128" t="s">
        <v>268</v>
      </c>
      <c r="I745" s="310"/>
      <c r="J745" s="311"/>
      <c r="K745" s="312"/>
      <c r="L745" s="120"/>
      <c r="M745" s="121"/>
    </row>
    <row r="746" spans="3:13" ht="49" thickBot="1" x14ac:dyDescent="0.25">
      <c r="C746" s="93"/>
      <c r="D746" s="89" t="s">
        <v>105</v>
      </c>
      <c r="E746" s="123" t="s">
        <v>30</v>
      </c>
      <c r="F746" s="363" t="s">
        <v>852</v>
      </c>
      <c r="G746" s="364"/>
      <c r="H746" s="365"/>
      <c r="I746" s="325" t="s">
        <v>633</v>
      </c>
      <c r="J746" s="326"/>
      <c r="K746" s="327"/>
      <c r="L746" s="189" t="s">
        <v>430</v>
      </c>
      <c r="M746" s="125" t="s">
        <v>431</v>
      </c>
    </row>
    <row r="747" spans="3:13" ht="24" x14ac:dyDescent="0.2">
      <c r="C747" s="93"/>
      <c r="D747" s="195"/>
      <c r="E747" s="122" t="s">
        <v>432</v>
      </c>
      <c r="F747" s="342"/>
      <c r="G747" s="343"/>
      <c r="H747" s="344"/>
      <c r="I747" s="307" t="s">
        <v>853</v>
      </c>
      <c r="J747" s="308"/>
      <c r="K747" s="309"/>
      <c r="L747" s="117"/>
      <c r="M747" s="118"/>
    </row>
    <row r="748" spans="3:13" ht="24" x14ac:dyDescent="0.2">
      <c r="C748" s="93"/>
      <c r="D748" s="195"/>
      <c r="E748" s="92" t="s">
        <v>433</v>
      </c>
      <c r="F748" s="372">
        <v>47.1</v>
      </c>
      <c r="G748" s="373"/>
      <c r="H748" s="374"/>
      <c r="I748" s="307"/>
      <c r="J748" s="308"/>
      <c r="K748" s="309"/>
      <c r="L748" s="117"/>
      <c r="M748" s="118"/>
    </row>
    <row r="749" spans="3:13" ht="25" thickBot="1" x14ac:dyDescent="0.25">
      <c r="C749" s="93"/>
      <c r="D749" s="195"/>
      <c r="E749" s="92" t="s">
        <v>434</v>
      </c>
      <c r="F749" s="372">
        <v>46.6</v>
      </c>
      <c r="G749" s="373"/>
      <c r="H749" s="374"/>
      <c r="I749" s="307"/>
      <c r="J749" s="308"/>
      <c r="K749" s="309"/>
      <c r="L749" s="117"/>
      <c r="M749" s="118"/>
    </row>
    <row r="750" spans="3:13" ht="25" thickBot="1" x14ac:dyDescent="0.25">
      <c r="C750" s="93"/>
      <c r="D750" s="195"/>
      <c r="E750" s="94" t="s">
        <v>435</v>
      </c>
      <c r="F750" s="360">
        <v>0.57291666666666674</v>
      </c>
      <c r="G750" s="361"/>
      <c r="H750" s="362"/>
      <c r="I750" s="307"/>
      <c r="J750" s="308"/>
      <c r="K750" s="309"/>
      <c r="L750" s="126">
        <v>0.80208333333333337</v>
      </c>
      <c r="M750" s="127">
        <v>0.69791666666666674</v>
      </c>
    </row>
    <row r="751" spans="3:13" ht="25" thickBot="1" x14ac:dyDescent="0.25">
      <c r="C751" s="93"/>
      <c r="D751" s="195"/>
      <c r="E751" s="96" t="s">
        <v>436</v>
      </c>
      <c r="F751" s="97" t="s">
        <v>29</v>
      </c>
      <c r="G751" s="97" t="s">
        <v>28</v>
      </c>
      <c r="H751" s="98" t="s">
        <v>27</v>
      </c>
      <c r="I751" s="307"/>
      <c r="J751" s="308"/>
      <c r="K751" s="309"/>
      <c r="L751" s="117"/>
      <c r="M751" s="118"/>
    </row>
    <row r="752" spans="3:13" ht="24" x14ac:dyDescent="0.2">
      <c r="C752" s="93"/>
      <c r="D752" s="195"/>
      <c r="E752" s="99">
        <v>45565</v>
      </c>
      <c r="F752" s="109">
        <v>46.6</v>
      </c>
      <c r="G752" s="109" t="s">
        <v>899</v>
      </c>
      <c r="H752" s="109">
        <v>46.1</v>
      </c>
      <c r="I752" s="307"/>
      <c r="J752" s="308"/>
      <c r="K752" s="309"/>
      <c r="L752" s="117"/>
      <c r="M752" s="118"/>
    </row>
    <row r="753" spans="3:13" ht="24" x14ac:dyDescent="0.2">
      <c r="C753" s="93"/>
      <c r="D753" s="195"/>
      <c r="E753" s="99">
        <v>45534</v>
      </c>
      <c r="F753" s="109">
        <v>46.1</v>
      </c>
      <c r="G753" s="109" t="s">
        <v>473</v>
      </c>
      <c r="H753" s="109">
        <v>45.3</v>
      </c>
      <c r="I753" s="307"/>
      <c r="J753" s="308"/>
      <c r="K753" s="309"/>
      <c r="L753" s="117"/>
      <c r="M753" s="118"/>
    </row>
    <row r="754" spans="3:13" ht="24" x14ac:dyDescent="0.2">
      <c r="C754" s="93"/>
      <c r="D754" s="195"/>
      <c r="E754" s="99">
        <v>45504</v>
      </c>
      <c r="F754" s="109">
        <v>45.3</v>
      </c>
      <c r="G754" s="109" t="s">
        <v>474</v>
      </c>
      <c r="H754" s="109">
        <v>47.4</v>
      </c>
      <c r="I754" s="307"/>
      <c r="J754" s="308"/>
      <c r="K754" s="309"/>
      <c r="L754" s="119"/>
      <c r="M754" s="118"/>
    </row>
    <row r="755" spans="3:13" ht="24" x14ac:dyDescent="0.2">
      <c r="C755" s="93"/>
      <c r="D755" s="195"/>
      <c r="E755" s="99">
        <v>45471</v>
      </c>
      <c r="F755" s="109">
        <v>47.4</v>
      </c>
      <c r="G755" s="109" t="s">
        <v>475</v>
      </c>
      <c r="H755" s="109">
        <v>35.4</v>
      </c>
      <c r="I755" s="307"/>
      <c r="J755" s="308"/>
      <c r="K755" s="309"/>
      <c r="L755" s="117"/>
      <c r="M755" s="118"/>
    </row>
    <row r="756" spans="3:13" ht="24" x14ac:dyDescent="0.2">
      <c r="C756" s="93"/>
      <c r="D756" s="195"/>
      <c r="E756" s="99">
        <v>45443</v>
      </c>
      <c r="F756" s="109">
        <v>35.4</v>
      </c>
      <c r="G756" s="109" t="s">
        <v>476</v>
      </c>
      <c r="H756" s="109">
        <v>37.9</v>
      </c>
      <c r="I756" s="307"/>
      <c r="J756" s="308"/>
      <c r="K756" s="309"/>
      <c r="L756" s="117"/>
      <c r="M756" s="118"/>
    </row>
    <row r="757" spans="3:13" ht="25" thickBot="1" x14ac:dyDescent="0.25">
      <c r="C757" s="93"/>
      <c r="D757" s="195"/>
      <c r="E757" s="99">
        <v>45412</v>
      </c>
      <c r="F757" s="109">
        <v>37.9</v>
      </c>
      <c r="G757" s="109" t="s">
        <v>477</v>
      </c>
      <c r="H757" s="109">
        <v>41.4</v>
      </c>
      <c r="I757" s="310"/>
      <c r="J757" s="311"/>
      <c r="K757" s="312"/>
      <c r="L757" s="120"/>
      <c r="M757" s="121"/>
    </row>
    <row r="758" spans="3:13" ht="49" thickBot="1" x14ac:dyDescent="0.25">
      <c r="C758" s="93"/>
      <c r="D758" s="89" t="s">
        <v>105</v>
      </c>
      <c r="E758" s="123" t="s">
        <v>30</v>
      </c>
      <c r="F758" s="363" t="s">
        <v>856</v>
      </c>
      <c r="G758" s="364"/>
      <c r="H758" s="365"/>
      <c r="I758" s="325" t="s">
        <v>633</v>
      </c>
      <c r="J758" s="326"/>
      <c r="K758" s="327"/>
      <c r="L758" s="189" t="s">
        <v>430</v>
      </c>
      <c r="M758" s="125" t="s">
        <v>431</v>
      </c>
    </row>
    <row r="759" spans="3:13" ht="24" x14ac:dyDescent="0.2">
      <c r="C759" s="93"/>
      <c r="D759" s="195"/>
      <c r="E759" s="122" t="s">
        <v>432</v>
      </c>
      <c r="F759" s="342"/>
      <c r="G759" s="343"/>
      <c r="H759" s="344"/>
      <c r="I759" s="351" t="s">
        <v>857</v>
      </c>
      <c r="J759" s="352"/>
      <c r="K759" s="353"/>
      <c r="L759" s="117"/>
      <c r="M759" s="118"/>
    </row>
    <row r="760" spans="3:13" ht="24" x14ac:dyDescent="0.2">
      <c r="C760" s="93"/>
      <c r="D760" s="195"/>
      <c r="E760" s="92" t="s">
        <v>433</v>
      </c>
      <c r="F760" s="372">
        <v>1.59</v>
      </c>
      <c r="G760" s="373"/>
      <c r="H760" s="374"/>
      <c r="I760" s="351"/>
      <c r="J760" s="352"/>
      <c r="K760" s="353"/>
      <c r="L760" s="117"/>
      <c r="M760" s="118"/>
    </row>
    <row r="761" spans="3:13" ht="25" thickBot="1" x14ac:dyDescent="0.25">
      <c r="C761" s="93"/>
      <c r="D761" s="195"/>
      <c r="E761" s="92" t="s">
        <v>434</v>
      </c>
      <c r="F761" s="372">
        <v>1.4</v>
      </c>
      <c r="G761" s="373"/>
      <c r="H761" s="374"/>
      <c r="I761" s="351"/>
      <c r="J761" s="352"/>
      <c r="K761" s="353"/>
      <c r="L761" s="117"/>
      <c r="M761" s="118"/>
    </row>
    <row r="762" spans="3:13" ht="25" thickBot="1" x14ac:dyDescent="0.25">
      <c r="C762" s="93"/>
      <c r="D762" s="195"/>
      <c r="E762" s="94" t="s">
        <v>435</v>
      </c>
      <c r="F762" s="348">
        <v>0.95833333333333337</v>
      </c>
      <c r="G762" s="349"/>
      <c r="H762" s="350"/>
      <c r="I762" s="351"/>
      <c r="J762" s="352"/>
      <c r="K762" s="353"/>
      <c r="L762" s="126">
        <v>6.25E-2</v>
      </c>
      <c r="M762" s="127">
        <v>0.95833333333333337</v>
      </c>
    </row>
    <row r="763" spans="3:13" ht="25" thickBot="1" x14ac:dyDescent="0.25">
      <c r="C763" s="93"/>
      <c r="D763" s="195"/>
      <c r="E763" s="96" t="s">
        <v>436</v>
      </c>
      <c r="F763" s="97" t="s">
        <v>29</v>
      </c>
      <c r="G763" s="97" t="s">
        <v>28</v>
      </c>
      <c r="H763" s="98" t="s">
        <v>27</v>
      </c>
      <c r="I763" s="351"/>
      <c r="J763" s="352"/>
      <c r="K763" s="353"/>
      <c r="L763" s="117"/>
      <c r="M763" s="118"/>
    </row>
    <row r="764" spans="3:13" ht="23" x14ac:dyDescent="0.2">
      <c r="C764" s="93"/>
      <c r="D764" s="195"/>
      <c r="E764" s="131">
        <v>45505</v>
      </c>
      <c r="F764" s="100">
        <v>1.4</v>
      </c>
      <c r="G764" s="100">
        <v>1.34</v>
      </c>
      <c r="H764" s="100">
        <v>1.53</v>
      </c>
      <c r="I764" s="351"/>
      <c r="J764" s="352"/>
      <c r="K764" s="353"/>
      <c r="L764" s="117"/>
      <c r="M764" s="118"/>
    </row>
    <row r="765" spans="3:13" ht="23" x14ac:dyDescent="0.2">
      <c r="C765" s="93"/>
      <c r="D765" s="195"/>
      <c r="E765" s="131">
        <v>45414</v>
      </c>
      <c r="F765" s="100">
        <v>1.53</v>
      </c>
      <c r="G765" s="100">
        <v>1.51</v>
      </c>
      <c r="H765" s="100">
        <v>2.1800000000000002</v>
      </c>
      <c r="I765" s="351"/>
      <c r="J765" s="352"/>
      <c r="K765" s="353"/>
      <c r="L765" s="117"/>
      <c r="M765" s="118"/>
    </row>
    <row r="766" spans="3:13" ht="23" x14ac:dyDescent="0.2">
      <c r="C766" s="93"/>
      <c r="D766" s="195"/>
      <c r="E766" s="131">
        <v>45323</v>
      </c>
      <c r="F766" s="100">
        <v>2.1800000000000002</v>
      </c>
      <c r="G766" s="100">
        <v>2.09</v>
      </c>
      <c r="H766" s="100">
        <v>1.46</v>
      </c>
      <c r="I766" s="351"/>
      <c r="J766" s="352"/>
      <c r="K766" s="353"/>
      <c r="L766" s="119"/>
      <c r="M766" s="118"/>
    </row>
    <row r="767" spans="3:13" ht="23" x14ac:dyDescent="0.2">
      <c r="C767" s="93"/>
      <c r="D767" s="195"/>
      <c r="E767" s="131">
        <v>45232</v>
      </c>
      <c r="F767" s="100">
        <v>1.46</v>
      </c>
      <c r="G767" s="100">
        <v>1.39</v>
      </c>
      <c r="H767" s="100">
        <v>1.26</v>
      </c>
      <c r="I767" s="351"/>
      <c r="J767" s="352"/>
      <c r="K767" s="353"/>
      <c r="L767" s="117"/>
      <c r="M767" s="118"/>
    </row>
    <row r="768" spans="3:13" ht="23" x14ac:dyDescent="0.2">
      <c r="C768" s="93"/>
      <c r="D768" s="195"/>
      <c r="E768" s="131">
        <v>45141</v>
      </c>
      <c r="F768" s="100">
        <v>1.26</v>
      </c>
      <c r="G768" s="100">
        <v>1.19</v>
      </c>
      <c r="H768" s="100">
        <v>1.52</v>
      </c>
      <c r="I768" s="351"/>
      <c r="J768" s="352"/>
      <c r="K768" s="353"/>
      <c r="L768" s="117"/>
      <c r="M768" s="118"/>
    </row>
    <row r="769" spans="3:13" ht="24" thickBot="1" x14ac:dyDescent="0.25">
      <c r="C769" s="93"/>
      <c r="D769" s="195"/>
      <c r="E769" s="131">
        <v>45050</v>
      </c>
      <c r="F769" s="100">
        <v>1.52</v>
      </c>
      <c r="G769" s="100">
        <v>1.44</v>
      </c>
      <c r="H769" s="100">
        <v>1.88</v>
      </c>
      <c r="I769" s="354"/>
      <c r="J769" s="355"/>
      <c r="K769" s="356"/>
      <c r="L769" s="120"/>
      <c r="M769" s="121"/>
    </row>
    <row r="770" spans="3:13" ht="49" thickBot="1" x14ac:dyDescent="0.25">
      <c r="C770" s="93"/>
      <c r="D770" s="89" t="s">
        <v>105</v>
      </c>
      <c r="E770" s="123" t="s">
        <v>30</v>
      </c>
      <c r="F770" s="363" t="s">
        <v>858</v>
      </c>
      <c r="G770" s="364"/>
      <c r="H770" s="365"/>
      <c r="I770" s="325" t="s">
        <v>633</v>
      </c>
      <c r="J770" s="326"/>
      <c r="K770" s="327"/>
      <c r="L770" s="189" t="s">
        <v>430</v>
      </c>
      <c r="M770" s="125" t="s">
        <v>431</v>
      </c>
    </row>
    <row r="771" spans="3:13" ht="24" x14ac:dyDescent="0.2">
      <c r="C771" s="93"/>
      <c r="D771" s="195"/>
      <c r="E771" s="122" t="s">
        <v>432</v>
      </c>
      <c r="F771" s="342"/>
      <c r="G771" s="343"/>
      <c r="H771" s="344"/>
      <c r="I771" s="307" t="s">
        <v>859</v>
      </c>
      <c r="J771" s="308"/>
      <c r="K771" s="309"/>
      <c r="L771" s="117"/>
      <c r="M771" s="118"/>
    </row>
    <row r="772" spans="3:13" ht="24" x14ac:dyDescent="0.2">
      <c r="C772" s="93"/>
      <c r="D772" s="195"/>
      <c r="E772" s="92" t="s">
        <v>433</v>
      </c>
      <c r="F772" s="375">
        <v>3.0000000000000001E-3</v>
      </c>
      <c r="G772" s="376"/>
      <c r="H772" s="377"/>
      <c r="I772" s="307"/>
      <c r="J772" s="308"/>
      <c r="K772" s="309"/>
      <c r="L772" s="117"/>
      <c r="M772" s="118"/>
    </row>
    <row r="773" spans="3:13" ht="25" thickBot="1" x14ac:dyDescent="0.25">
      <c r="C773" s="93"/>
      <c r="D773" s="195"/>
      <c r="E773" s="92" t="s">
        <v>434</v>
      </c>
      <c r="F773" s="375">
        <v>4.0000000000000001E-3</v>
      </c>
      <c r="G773" s="376"/>
      <c r="H773" s="377"/>
      <c r="I773" s="307"/>
      <c r="J773" s="308"/>
      <c r="K773" s="309"/>
      <c r="L773" s="117"/>
      <c r="M773" s="118"/>
    </row>
    <row r="774" spans="3:13" ht="25" thickBot="1" x14ac:dyDescent="0.25">
      <c r="C774" s="93"/>
      <c r="D774" s="195"/>
      <c r="E774" s="94" t="s">
        <v>435</v>
      </c>
      <c r="F774" s="360">
        <v>0.52083333333333337</v>
      </c>
      <c r="G774" s="361"/>
      <c r="H774" s="362"/>
      <c r="I774" s="307"/>
      <c r="J774" s="308"/>
      <c r="K774" s="309"/>
      <c r="L774" s="126">
        <v>0.75</v>
      </c>
      <c r="M774" s="127">
        <v>0.64583333333333337</v>
      </c>
    </row>
    <row r="775" spans="3:13" ht="25" thickBot="1" x14ac:dyDescent="0.25">
      <c r="C775" s="93"/>
      <c r="D775" s="195"/>
      <c r="E775" s="96" t="s">
        <v>436</v>
      </c>
      <c r="F775" s="97" t="s">
        <v>29</v>
      </c>
      <c r="G775" s="97" t="s">
        <v>28</v>
      </c>
      <c r="H775" s="98" t="s">
        <v>27</v>
      </c>
      <c r="I775" s="307"/>
      <c r="J775" s="308"/>
      <c r="K775" s="309"/>
      <c r="L775" s="117"/>
      <c r="M775" s="118"/>
    </row>
    <row r="776" spans="3:13" ht="24" x14ac:dyDescent="0.2">
      <c r="C776" s="93"/>
      <c r="D776" s="195"/>
      <c r="E776" s="99">
        <v>45569</v>
      </c>
      <c r="F776" s="105">
        <v>4.0000000000000001E-3</v>
      </c>
      <c r="G776" s="105" t="s">
        <v>467</v>
      </c>
      <c r="H776" s="105">
        <v>5.0000000000000001E-3</v>
      </c>
      <c r="I776" s="307"/>
      <c r="J776" s="308"/>
      <c r="K776" s="309"/>
      <c r="L776" s="117"/>
      <c r="M776" s="118"/>
    </row>
    <row r="777" spans="3:13" ht="24" x14ac:dyDescent="0.2">
      <c r="C777" s="93"/>
      <c r="D777" s="195"/>
      <c r="E777" s="99">
        <v>45541</v>
      </c>
      <c r="F777" s="105">
        <v>4.0000000000000001E-3</v>
      </c>
      <c r="G777" s="105" t="s">
        <v>467</v>
      </c>
      <c r="H777" s="105">
        <v>-1E-3</v>
      </c>
      <c r="I777" s="307"/>
      <c r="J777" s="308"/>
      <c r="K777" s="309"/>
      <c r="L777" s="117"/>
      <c r="M777" s="118"/>
    </row>
    <row r="778" spans="3:13" ht="24" x14ac:dyDescent="0.2">
      <c r="C778" s="93"/>
      <c r="D778" s="195"/>
      <c r="E778" s="99">
        <v>45506</v>
      </c>
      <c r="F778" s="105">
        <v>2E-3</v>
      </c>
      <c r="G778" s="105" t="s">
        <v>467</v>
      </c>
      <c r="H778" s="105">
        <v>3.0000000000000001E-3</v>
      </c>
      <c r="I778" s="307"/>
      <c r="J778" s="308"/>
      <c r="K778" s="309"/>
      <c r="L778" s="119"/>
      <c r="M778" s="118"/>
    </row>
    <row r="779" spans="3:13" ht="24" x14ac:dyDescent="0.2">
      <c r="C779" s="93"/>
      <c r="D779" s="195"/>
      <c r="E779" s="99">
        <v>45478</v>
      </c>
      <c r="F779" s="105">
        <v>3.0000000000000001E-3</v>
      </c>
      <c r="G779" s="105" t="s">
        <v>467</v>
      </c>
      <c r="H779" s="105">
        <v>4.0000000000000001E-3</v>
      </c>
      <c r="I779" s="307"/>
      <c r="J779" s="308"/>
      <c r="K779" s="309"/>
      <c r="L779" s="117"/>
      <c r="M779" s="118"/>
    </row>
    <row r="780" spans="3:13" ht="24" x14ac:dyDescent="0.2">
      <c r="C780" s="93"/>
      <c r="D780" s="195"/>
      <c r="E780" s="99">
        <v>45450</v>
      </c>
      <c r="F780" s="105">
        <v>4.0000000000000001E-3</v>
      </c>
      <c r="G780" s="105" t="s">
        <v>467</v>
      </c>
      <c r="H780" s="105">
        <v>2E-3</v>
      </c>
      <c r="I780" s="307"/>
      <c r="J780" s="308"/>
      <c r="K780" s="309"/>
      <c r="L780" s="117"/>
      <c r="M780" s="118"/>
    </row>
    <row r="781" spans="3:13" ht="25" thickBot="1" x14ac:dyDescent="0.25">
      <c r="C781" s="93"/>
      <c r="D781" s="195"/>
      <c r="E781" s="99">
        <v>45415</v>
      </c>
      <c r="F781" s="105">
        <v>2E-3</v>
      </c>
      <c r="G781" s="105" t="s">
        <v>467</v>
      </c>
      <c r="H781" s="105">
        <v>3.0000000000000001E-3</v>
      </c>
      <c r="I781" s="310"/>
      <c r="J781" s="311"/>
      <c r="K781" s="312"/>
      <c r="L781" s="120"/>
      <c r="M781" s="121"/>
    </row>
    <row r="782" spans="3:13" ht="49" thickBot="1" x14ac:dyDescent="0.25">
      <c r="C782" s="93"/>
      <c r="D782" s="89" t="s">
        <v>105</v>
      </c>
      <c r="E782" s="123" t="s">
        <v>30</v>
      </c>
      <c r="F782" s="363" t="s">
        <v>860</v>
      </c>
      <c r="G782" s="364"/>
      <c r="H782" s="365"/>
      <c r="I782" s="325" t="s">
        <v>633</v>
      </c>
      <c r="J782" s="326"/>
      <c r="K782" s="327"/>
      <c r="L782" s="189" t="s">
        <v>430</v>
      </c>
      <c r="M782" s="125" t="s">
        <v>431</v>
      </c>
    </row>
    <row r="783" spans="3:13" ht="24" x14ac:dyDescent="0.2">
      <c r="C783" s="93"/>
      <c r="D783" s="195"/>
      <c r="E783" s="122" t="s">
        <v>432</v>
      </c>
      <c r="F783" s="342"/>
      <c r="G783" s="343"/>
      <c r="H783" s="344"/>
      <c r="I783" s="307" t="s">
        <v>859</v>
      </c>
      <c r="J783" s="308"/>
      <c r="K783" s="309"/>
      <c r="L783" s="117"/>
      <c r="M783" s="118"/>
    </row>
    <row r="784" spans="3:13" ht="24" x14ac:dyDescent="0.2">
      <c r="C784" s="93"/>
      <c r="D784" s="195"/>
      <c r="E784" s="92" t="s">
        <v>433</v>
      </c>
      <c r="F784" s="375" t="s">
        <v>547</v>
      </c>
      <c r="G784" s="376"/>
      <c r="H784" s="377"/>
      <c r="I784" s="307"/>
      <c r="J784" s="308"/>
      <c r="K784" s="309"/>
      <c r="L784" s="117"/>
      <c r="M784" s="118"/>
    </row>
    <row r="785" spans="3:13" ht="25" thickBot="1" x14ac:dyDescent="0.25">
      <c r="C785" s="93"/>
      <c r="D785" s="195"/>
      <c r="E785" s="92" t="s">
        <v>434</v>
      </c>
      <c r="F785" s="375" t="s">
        <v>641</v>
      </c>
      <c r="G785" s="376"/>
      <c r="H785" s="377"/>
      <c r="I785" s="307"/>
      <c r="J785" s="308"/>
      <c r="K785" s="309"/>
      <c r="L785" s="117"/>
      <c r="M785" s="118"/>
    </row>
    <row r="786" spans="3:13" ht="25" thickBot="1" x14ac:dyDescent="0.25">
      <c r="C786" s="93"/>
      <c r="D786" s="195"/>
      <c r="E786" s="94" t="s">
        <v>435</v>
      </c>
      <c r="F786" s="360">
        <v>0.52083333333333337</v>
      </c>
      <c r="G786" s="361"/>
      <c r="H786" s="362"/>
      <c r="I786" s="307"/>
      <c r="J786" s="308"/>
      <c r="K786" s="309"/>
      <c r="L786" s="126">
        <v>0.75</v>
      </c>
      <c r="M786" s="127">
        <v>0.64583333333333337</v>
      </c>
    </row>
    <row r="787" spans="3:13" ht="25" thickBot="1" x14ac:dyDescent="0.25">
      <c r="C787" s="93"/>
      <c r="D787" s="195"/>
      <c r="E787" s="96" t="s">
        <v>436</v>
      </c>
      <c r="F787" s="97" t="s">
        <v>29</v>
      </c>
      <c r="G787" s="97" t="s">
        <v>28</v>
      </c>
      <c r="H787" s="98" t="s">
        <v>27</v>
      </c>
      <c r="I787" s="307"/>
      <c r="J787" s="308"/>
      <c r="K787" s="309"/>
      <c r="L787" s="117"/>
      <c r="M787" s="118"/>
    </row>
    <row r="788" spans="3:13" ht="24" x14ac:dyDescent="0.2">
      <c r="C788" s="93"/>
      <c r="D788" s="195"/>
      <c r="E788" s="99">
        <v>45569</v>
      </c>
      <c r="F788" s="105" t="s">
        <v>641</v>
      </c>
      <c r="G788" s="105" t="s">
        <v>548</v>
      </c>
      <c r="H788" s="105" t="s">
        <v>900</v>
      </c>
      <c r="I788" s="307"/>
      <c r="J788" s="308"/>
      <c r="K788" s="309"/>
      <c r="L788" s="117"/>
      <c r="M788" s="118"/>
    </row>
    <row r="789" spans="3:13" ht="24" x14ac:dyDescent="0.2">
      <c r="C789" s="93"/>
      <c r="D789" s="195"/>
      <c r="E789" s="99">
        <v>45541</v>
      </c>
      <c r="F789" s="105" t="s">
        <v>425</v>
      </c>
      <c r="G789" s="105" t="s">
        <v>614</v>
      </c>
      <c r="H789" s="105" t="s">
        <v>615</v>
      </c>
      <c r="I789" s="307"/>
      <c r="J789" s="308"/>
      <c r="K789" s="309"/>
      <c r="L789" s="117"/>
      <c r="M789" s="118"/>
    </row>
    <row r="790" spans="3:13" ht="24" x14ac:dyDescent="0.2">
      <c r="C790" s="93"/>
      <c r="D790" s="195"/>
      <c r="E790" s="99">
        <v>45506</v>
      </c>
      <c r="F790" s="105" t="s">
        <v>293</v>
      </c>
      <c r="G790" s="105" t="s">
        <v>616</v>
      </c>
      <c r="H790" s="105" t="s">
        <v>617</v>
      </c>
      <c r="I790" s="307"/>
      <c r="J790" s="308"/>
      <c r="K790" s="309"/>
      <c r="L790" s="119"/>
      <c r="M790" s="118"/>
    </row>
    <row r="791" spans="3:13" ht="24" x14ac:dyDescent="0.2">
      <c r="C791" s="93"/>
      <c r="D791" s="195"/>
      <c r="E791" s="99">
        <v>45478</v>
      </c>
      <c r="F791" s="105" t="s">
        <v>149</v>
      </c>
      <c r="G791" s="105" t="s">
        <v>618</v>
      </c>
      <c r="H791" s="105" t="s">
        <v>382</v>
      </c>
      <c r="I791" s="307"/>
      <c r="J791" s="308"/>
      <c r="K791" s="309"/>
      <c r="L791" s="117"/>
      <c r="M791" s="118"/>
    </row>
    <row r="792" spans="3:13" ht="24" x14ac:dyDescent="0.2">
      <c r="C792" s="93"/>
      <c r="D792" s="195"/>
      <c r="E792" s="99">
        <v>45450</v>
      </c>
      <c r="F792" s="105" t="s">
        <v>3</v>
      </c>
      <c r="G792" s="105" t="s">
        <v>619</v>
      </c>
      <c r="H792" s="105" t="s">
        <v>620</v>
      </c>
      <c r="I792" s="307"/>
      <c r="J792" s="308"/>
      <c r="K792" s="309"/>
      <c r="L792" s="117"/>
      <c r="M792" s="118"/>
    </row>
    <row r="793" spans="3:13" ht="25" thickBot="1" x14ac:dyDescent="0.25">
      <c r="C793" s="93"/>
      <c r="D793" s="195"/>
      <c r="E793" s="99">
        <v>45415</v>
      </c>
      <c r="F793" s="105" t="s">
        <v>621</v>
      </c>
      <c r="G793" s="105" t="s">
        <v>622</v>
      </c>
      <c r="H793" s="105" t="s">
        <v>623</v>
      </c>
      <c r="I793" s="310"/>
      <c r="J793" s="311"/>
      <c r="K793" s="312"/>
      <c r="L793" s="120"/>
      <c r="M793" s="121"/>
    </row>
    <row r="794" spans="3:13" ht="49" thickBot="1" x14ac:dyDescent="0.25">
      <c r="C794" s="93"/>
      <c r="D794" s="89" t="s">
        <v>105</v>
      </c>
      <c r="E794" s="123" t="s">
        <v>30</v>
      </c>
      <c r="F794" s="363" t="s">
        <v>861</v>
      </c>
      <c r="G794" s="364"/>
      <c r="H794" s="365"/>
      <c r="I794" s="325" t="s">
        <v>633</v>
      </c>
      <c r="J794" s="326"/>
      <c r="K794" s="327"/>
      <c r="L794" s="189" t="s">
        <v>430</v>
      </c>
      <c r="M794" s="125" t="s">
        <v>431</v>
      </c>
    </row>
    <row r="795" spans="3:13" ht="24" x14ac:dyDescent="0.2">
      <c r="C795" s="93"/>
      <c r="D795" s="195"/>
      <c r="E795" s="122" t="s">
        <v>432</v>
      </c>
      <c r="F795" s="342"/>
      <c r="G795" s="343"/>
      <c r="H795" s="344"/>
      <c r="I795" s="307" t="s">
        <v>859</v>
      </c>
      <c r="J795" s="308"/>
      <c r="K795" s="309"/>
      <c r="L795" s="117"/>
      <c r="M795" s="118"/>
    </row>
    <row r="796" spans="3:13" ht="24" x14ac:dyDescent="0.2">
      <c r="C796" s="93"/>
      <c r="D796" s="195"/>
      <c r="E796" s="92" t="s">
        <v>433</v>
      </c>
      <c r="F796" s="396">
        <v>4.1000000000000002E-2</v>
      </c>
      <c r="G796" s="373"/>
      <c r="H796" s="374"/>
      <c r="I796" s="307"/>
      <c r="J796" s="308"/>
      <c r="K796" s="309"/>
      <c r="L796" s="117"/>
      <c r="M796" s="118"/>
    </row>
    <row r="797" spans="3:13" ht="25" thickBot="1" x14ac:dyDescent="0.25">
      <c r="C797" s="93"/>
      <c r="D797" s="195"/>
      <c r="E797" s="92" t="s">
        <v>434</v>
      </c>
      <c r="F797" s="396">
        <v>4.1000000000000002E-2</v>
      </c>
      <c r="G797" s="373"/>
      <c r="H797" s="374"/>
      <c r="I797" s="307"/>
      <c r="J797" s="308"/>
      <c r="K797" s="309"/>
      <c r="L797" s="117"/>
      <c r="M797" s="118"/>
    </row>
    <row r="798" spans="3:13" ht="25" thickBot="1" x14ac:dyDescent="0.25">
      <c r="C798" s="93"/>
      <c r="D798" s="195"/>
      <c r="E798" s="94" t="s">
        <v>435</v>
      </c>
      <c r="F798" s="360">
        <v>0.52083333333333337</v>
      </c>
      <c r="G798" s="361"/>
      <c r="H798" s="362"/>
      <c r="I798" s="307"/>
      <c r="J798" s="308"/>
      <c r="K798" s="309"/>
      <c r="L798" s="126">
        <v>0.75</v>
      </c>
      <c r="M798" s="127">
        <v>0.64583333333333337</v>
      </c>
    </row>
    <row r="799" spans="3:13" ht="25" thickBot="1" x14ac:dyDescent="0.25">
      <c r="C799" s="93"/>
      <c r="D799" s="195"/>
      <c r="E799" s="96" t="s">
        <v>436</v>
      </c>
      <c r="F799" s="97" t="s">
        <v>29</v>
      </c>
      <c r="G799" s="97" t="s">
        <v>28</v>
      </c>
      <c r="H799" s="98" t="s">
        <v>27</v>
      </c>
      <c r="I799" s="307"/>
      <c r="J799" s="308"/>
      <c r="K799" s="309"/>
      <c r="L799" s="117"/>
      <c r="M799" s="118"/>
    </row>
    <row r="800" spans="3:13" ht="24" x14ac:dyDescent="0.2">
      <c r="C800" s="93"/>
      <c r="D800" s="195"/>
      <c r="E800" s="99">
        <v>45569</v>
      </c>
      <c r="F800" s="105">
        <v>4.1000000000000002E-2</v>
      </c>
      <c r="G800" s="105" t="s">
        <v>628</v>
      </c>
      <c r="H800" s="105">
        <v>4.2000000000000003E-2</v>
      </c>
      <c r="I800" s="307"/>
      <c r="J800" s="308"/>
      <c r="K800" s="309"/>
      <c r="L800" s="117"/>
      <c r="M800" s="118"/>
    </row>
    <row r="801" spans="3:13" ht="24" x14ac:dyDescent="0.2">
      <c r="C801" s="93"/>
      <c r="D801" s="195"/>
      <c r="E801" s="99">
        <v>45541</v>
      </c>
      <c r="F801" s="105">
        <v>4.2000000000000003E-2</v>
      </c>
      <c r="G801" s="105" t="s">
        <v>628</v>
      </c>
      <c r="H801" s="105">
        <v>4.2999999999999997E-2</v>
      </c>
      <c r="I801" s="307"/>
      <c r="J801" s="308"/>
      <c r="K801" s="309"/>
      <c r="L801" s="117"/>
      <c r="M801" s="118"/>
    </row>
    <row r="802" spans="3:13" ht="24" x14ac:dyDescent="0.2">
      <c r="C802" s="93"/>
      <c r="D802" s="195"/>
      <c r="E802" s="99">
        <v>45506</v>
      </c>
      <c r="F802" s="105">
        <v>4.2999999999999997E-2</v>
      </c>
      <c r="G802" s="105" t="s">
        <v>629</v>
      </c>
      <c r="H802" s="105">
        <v>4.1000000000000002E-2</v>
      </c>
      <c r="I802" s="307"/>
      <c r="J802" s="308"/>
      <c r="K802" s="309"/>
      <c r="L802" s="119"/>
      <c r="M802" s="118"/>
    </row>
    <row r="803" spans="3:13" ht="24" x14ac:dyDescent="0.2">
      <c r="C803" s="93"/>
      <c r="D803" s="195"/>
      <c r="E803" s="99">
        <v>45478</v>
      </c>
      <c r="F803" s="105">
        <v>4.1000000000000002E-2</v>
      </c>
      <c r="G803" s="105" t="s">
        <v>630</v>
      </c>
      <c r="H803" s="105">
        <v>0.04</v>
      </c>
      <c r="I803" s="307"/>
      <c r="J803" s="308"/>
      <c r="K803" s="309"/>
      <c r="L803" s="117"/>
      <c r="M803" s="118"/>
    </row>
    <row r="804" spans="3:13" ht="24" x14ac:dyDescent="0.2">
      <c r="C804" s="93"/>
      <c r="D804" s="195"/>
      <c r="E804" s="99">
        <v>45450</v>
      </c>
      <c r="F804" s="105">
        <v>0.04</v>
      </c>
      <c r="G804" s="105" t="s">
        <v>631</v>
      </c>
      <c r="H804" s="105">
        <v>3.9E-2</v>
      </c>
      <c r="I804" s="307"/>
      <c r="J804" s="308"/>
      <c r="K804" s="309"/>
      <c r="L804" s="117"/>
      <c r="M804" s="118"/>
    </row>
    <row r="805" spans="3:13" ht="25" thickBot="1" x14ac:dyDescent="0.25">
      <c r="C805" s="93"/>
      <c r="D805" s="195"/>
      <c r="E805" s="99">
        <v>45415</v>
      </c>
      <c r="F805" s="105">
        <v>3.9E-2</v>
      </c>
      <c r="G805" s="105" t="s">
        <v>632</v>
      </c>
      <c r="H805" s="105">
        <v>3.7999999999999999E-2</v>
      </c>
      <c r="I805" s="310"/>
      <c r="J805" s="311"/>
      <c r="K805" s="312"/>
      <c r="L805" s="120"/>
      <c r="M805" s="121"/>
    </row>
    <row r="806" spans="3:13" ht="49" thickBot="1" x14ac:dyDescent="0.25">
      <c r="C806" s="93"/>
      <c r="D806" s="89" t="s">
        <v>105</v>
      </c>
      <c r="E806" s="123" t="s">
        <v>30</v>
      </c>
      <c r="F806" s="363" t="s">
        <v>862</v>
      </c>
      <c r="G806" s="364"/>
      <c r="H806" s="365"/>
      <c r="I806" s="325" t="s">
        <v>633</v>
      </c>
      <c r="J806" s="326"/>
      <c r="K806" s="327"/>
      <c r="L806" s="189" t="s">
        <v>430</v>
      </c>
      <c r="M806" s="125" t="s">
        <v>431</v>
      </c>
    </row>
    <row r="807" spans="3:13" ht="24" x14ac:dyDescent="0.2">
      <c r="C807" s="93"/>
      <c r="D807" s="195"/>
      <c r="E807" s="122" t="s">
        <v>432</v>
      </c>
      <c r="F807" s="342"/>
      <c r="G807" s="343"/>
      <c r="H807" s="344"/>
      <c r="I807" s="307" t="s">
        <v>863</v>
      </c>
      <c r="J807" s="308"/>
      <c r="K807" s="309"/>
      <c r="L807" s="117"/>
      <c r="M807" s="118"/>
    </row>
    <row r="808" spans="3:13" ht="24" x14ac:dyDescent="0.2">
      <c r="C808" s="93"/>
      <c r="D808" s="195"/>
      <c r="E808" s="92" t="s">
        <v>433</v>
      </c>
      <c r="F808" s="372">
        <v>47.5</v>
      </c>
      <c r="G808" s="373"/>
      <c r="H808" s="374"/>
      <c r="I808" s="307"/>
      <c r="J808" s="308"/>
      <c r="K808" s="309"/>
      <c r="L808" s="117"/>
      <c r="M808" s="118"/>
    </row>
    <row r="809" spans="3:13" ht="25" thickBot="1" x14ac:dyDescent="0.25">
      <c r="C809" s="93"/>
      <c r="D809" s="195"/>
      <c r="E809" s="92" t="s">
        <v>434</v>
      </c>
      <c r="F809" s="372">
        <v>47.2</v>
      </c>
      <c r="G809" s="373"/>
      <c r="H809" s="374"/>
      <c r="I809" s="307"/>
      <c r="J809" s="308"/>
      <c r="K809" s="309"/>
      <c r="L809" s="117"/>
      <c r="M809" s="118"/>
    </row>
    <row r="810" spans="3:13" ht="25" thickBot="1" x14ac:dyDescent="0.25">
      <c r="C810" s="93"/>
      <c r="D810" s="195"/>
      <c r="E810" s="94" t="s">
        <v>435</v>
      </c>
      <c r="F810" s="360">
        <v>0.58333333333333337</v>
      </c>
      <c r="G810" s="361"/>
      <c r="H810" s="362"/>
      <c r="I810" s="307"/>
      <c r="J810" s="308"/>
      <c r="K810" s="309"/>
      <c r="L810" s="126">
        <v>0.8125</v>
      </c>
      <c r="M810" s="127">
        <v>0.70833333333333337</v>
      </c>
    </row>
    <row r="811" spans="3:13" ht="25" thickBot="1" x14ac:dyDescent="0.25">
      <c r="C811" s="93"/>
      <c r="D811" s="195"/>
      <c r="E811" s="96" t="s">
        <v>436</v>
      </c>
      <c r="F811" s="97" t="s">
        <v>29</v>
      </c>
      <c r="G811" s="97" t="s">
        <v>28</v>
      </c>
      <c r="H811" s="98" t="s">
        <v>27</v>
      </c>
      <c r="I811" s="307"/>
      <c r="J811" s="308"/>
      <c r="K811" s="309"/>
      <c r="L811" s="117"/>
      <c r="M811" s="118"/>
    </row>
    <row r="812" spans="3:13" ht="24" x14ac:dyDescent="0.2">
      <c r="C812" s="93"/>
      <c r="D812" s="195"/>
      <c r="E812" s="99">
        <v>45566</v>
      </c>
      <c r="F812" s="109">
        <v>47.2</v>
      </c>
      <c r="G812" s="109" t="s">
        <v>901</v>
      </c>
      <c r="H812" s="109">
        <v>47.2</v>
      </c>
      <c r="I812" s="307"/>
      <c r="J812" s="308"/>
      <c r="K812" s="309"/>
      <c r="L812" s="117"/>
      <c r="M812" s="118"/>
    </row>
    <row r="813" spans="3:13" ht="24" x14ac:dyDescent="0.2">
      <c r="C813" s="93"/>
      <c r="D813" s="195"/>
      <c r="E813" s="99">
        <v>45538</v>
      </c>
      <c r="F813" s="109">
        <v>47.2</v>
      </c>
      <c r="G813" s="109" t="s">
        <v>509</v>
      </c>
      <c r="H813" s="109">
        <v>46.8</v>
      </c>
      <c r="I813" s="307"/>
      <c r="J813" s="308"/>
      <c r="K813" s="309"/>
      <c r="L813" s="117"/>
      <c r="M813" s="118"/>
    </row>
    <row r="814" spans="3:13" ht="24" x14ac:dyDescent="0.2">
      <c r="C814" s="93"/>
      <c r="D814" s="195"/>
      <c r="E814" s="99">
        <v>45505</v>
      </c>
      <c r="F814" s="109">
        <v>46.8</v>
      </c>
      <c r="G814" s="109" t="s">
        <v>510</v>
      </c>
      <c r="H814" s="109">
        <v>48.5</v>
      </c>
      <c r="I814" s="307"/>
      <c r="J814" s="308"/>
      <c r="K814" s="309"/>
      <c r="L814" s="119"/>
      <c r="M814" s="118"/>
    </row>
    <row r="815" spans="3:13" ht="24" x14ac:dyDescent="0.2">
      <c r="C815" s="93"/>
      <c r="D815" s="195"/>
      <c r="E815" s="99">
        <v>45474</v>
      </c>
      <c r="F815" s="109">
        <v>48.5</v>
      </c>
      <c r="G815" s="109" t="s">
        <v>511</v>
      </c>
      <c r="H815" s="109">
        <v>48.7</v>
      </c>
      <c r="I815" s="307"/>
      <c r="J815" s="308"/>
      <c r="K815" s="309"/>
      <c r="L815" s="117"/>
      <c r="M815" s="118"/>
    </row>
    <row r="816" spans="3:13" ht="24" x14ac:dyDescent="0.2">
      <c r="C816" s="93"/>
      <c r="D816" s="195"/>
      <c r="E816" s="99">
        <v>45446</v>
      </c>
      <c r="F816" s="109">
        <v>48.7</v>
      </c>
      <c r="G816" s="109" t="s">
        <v>513</v>
      </c>
      <c r="H816" s="109">
        <v>49.2</v>
      </c>
      <c r="I816" s="307"/>
      <c r="J816" s="308"/>
      <c r="K816" s="309"/>
      <c r="L816" s="117"/>
      <c r="M816" s="118"/>
    </row>
    <row r="817" spans="3:13" ht="25" thickBot="1" x14ac:dyDescent="0.25">
      <c r="C817" s="93"/>
      <c r="D817" s="195"/>
      <c r="E817" s="99">
        <v>45413</v>
      </c>
      <c r="F817" s="109">
        <v>49.2</v>
      </c>
      <c r="G817" s="109" t="s">
        <v>515</v>
      </c>
      <c r="H817" s="109">
        <v>50.3</v>
      </c>
      <c r="I817" s="310"/>
      <c r="J817" s="311"/>
      <c r="K817" s="312"/>
      <c r="L817" s="120"/>
      <c r="M817" s="121"/>
    </row>
    <row r="818" spans="3:13" ht="49" thickBot="1" x14ac:dyDescent="0.25">
      <c r="C818" s="93"/>
      <c r="D818" s="89" t="s">
        <v>105</v>
      </c>
      <c r="E818" s="123" t="s">
        <v>30</v>
      </c>
      <c r="F818" s="363" t="s">
        <v>864</v>
      </c>
      <c r="G818" s="364"/>
      <c r="H818" s="365"/>
      <c r="I818" s="325" t="s">
        <v>633</v>
      </c>
      <c r="J818" s="326"/>
      <c r="K818" s="327"/>
      <c r="L818" s="189" t="s">
        <v>430</v>
      </c>
      <c r="M818" s="125" t="s">
        <v>431</v>
      </c>
    </row>
    <row r="819" spans="3:13" ht="24" x14ac:dyDescent="0.2">
      <c r="C819" s="93"/>
      <c r="D819" s="195"/>
      <c r="E819" s="122" t="s">
        <v>432</v>
      </c>
      <c r="F819" s="342"/>
      <c r="G819" s="343"/>
      <c r="H819" s="344"/>
      <c r="I819" s="307" t="s">
        <v>865</v>
      </c>
      <c r="J819" s="308"/>
      <c r="K819" s="309"/>
      <c r="L819" s="117"/>
      <c r="M819" s="118"/>
    </row>
    <row r="820" spans="3:13" ht="24" x14ac:dyDescent="0.2">
      <c r="C820" s="93"/>
      <c r="D820" s="195"/>
      <c r="E820" s="92" t="s">
        <v>433</v>
      </c>
      <c r="F820" s="372">
        <v>48.9</v>
      </c>
      <c r="G820" s="373"/>
      <c r="H820" s="374"/>
      <c r="I820" s="307"/>
      <c r="J820" s="308"/>
      <c r="K820" s="309"/>
      <c r="L820" s="117"/>
      <c r="M820" s="118"/>
    </row>
    <row r="821" spans="3:13" ht="25" thickBot="1" x14ac:dyDescent="0.25">
      <c r="C821" s="93"/>
      <c r="D821" s="195"/>
      <c r="E821" s="92" t="s">
        <v>434</v>
      </c>
      <c r="F821" s="372">
        <v>48.3</v>
      </c>
      <c r="G821" s="373"/>
      <c r="H821" s="374"/>
      <c r="I821" s="307"/>
      <c r="J821" s="308"/>
      <c r="K821" s="309"/>
      <c r="L821" s="117"/>
      <c r="M821" s="118"/>
    </row>
    <row r="822" spans="3:13" ht="25" thickBot="1" x14ac:dyDescent="0.25">
      <c r="C822" s="93"/>
      <c r="D822" s="195"/>
      <c r="E822" s="94" t="s">
        <v>435</v>
      </c>
      <c r="F822" s="360">
        <v>0.58333333333333337</v>
      </c>
      <c r="G822" s="361"/>
      <c r="H822" s="362"/>
      <c r="I822" s="307"/>
      <c r="J822" s="308"/>
      <c r="K822" s="309"/>
      <c r="L822" s="126">
        <v>0.8125</v>
      </c>
      <c r="M822" s="127">
        <v>0.70833333333333337</v>
      </c>
    </row>
    <row r="823" spans="3:13" ht="25" thickBot="1" x14ac:dyDescent="0.25">
      <c r="C823" s="93"/>
      <c r="D823" s="195"/>
      <c r="E823" s="96" t="s">
        <v>436</v>
      </c>
      <c r="F823" s="97" t="s">
        <v>29</v>
      </c>
      <c r="G823" s="97" t="s">
        <v>28</v>
      </c>
      <c r="H823" s="98" t="s">
        <v>27</v>
      </c>
      <c r="I823" s="307"/>
      <c r="J823" s="308"/>
      <c r="K823" s="309"/>
      <c r="L823" s="117"/>
      <c r="M823" s="118"/>
    </row>
    <row r="824" spans="3:13" ht="24" x14ac:dyDescent="0.2">
      <c r="C824" s="93"/>
      <c r="D824" s="195"/>
      <c r="E824" s="99">
        <v>45566</v>
      </c>
      <c r="F824" s="109">
        <v>48.3</v>
      </c>
      <c r="G824" s="109" t="s">
        <v>902</v>
      </c>
      <c r="H824" s="109">
        <v>54</v>
      </c>
      <c r="I824" s="307"/>
      <c r="J824" s="308"/>
      <c r="K824" s="309"/>
      <c r="L824" s="117"/>
      <c r="M824" s="118"/>
    </row>
    <row r="825" spans="3:13" ht="24" x14ac:dyDescent="0.2">
      <c r="C825" s="93"/>
      <c r="D825" s="195"/>
      <c r="E825" s="99">
        <v>45538</v>
      </c>
      <c r="F825" s="109">
        <v>54</v>
      </c>
      <c r="G825" s="109" t="s">
        <v>519</v>
      </c>
      <c r="H825" s="109">
        <v>52.9</v>
      </c>
      <c r="I825" s="307"/>
      <c r="J825" s="308"/>
      <c r="K825" s="309"/>
      <c r="L825" s="117"/>
      <c r="M825" s="118"/>
    </row>
    <row r="826" spans="3:13" ht="24" x14ac:dyDescent="0.2">
      <c r="C826" s="93"/>
      <c r="D826" s="195"/>
      <c r="E826" s="99">
        <v>45505</v>
      </c>
      <c r="F826" s="109">
        <v>52.9</v>
      </c>
      <c r="G826" s="109" t="s">
        <v>520</v>
      </c>
      <c r="H826" s="109">
        <v>52.1</v>
      </c>
      <c r="I826" s="307"/>
      <c r="J826" s="308"/>
      <c r="K826" s="309"/>
      <c r="L826" s="119"/>
      <c r="M826" s="118"/>
    </row>
    <row r="827" spans="3:13" ht="24" x14ac:dyDescent="0.2">
      <c r="C827" s="93"/>
      <c r="D827" s="195"/>
      <c r="E827" s="99">
        <v>45474</v>
      </c>
      <c r="F827" s="109">
        <v>52.1</v>
      </c>
      <c r="G827" s="109" t="s">
        <v>521</v>
      </c>
      <c r="H827" s="109">
        <v>57</v>
      </c>
      <c r="I827" s="307"/>
      <c r="J827" s="308"/>
      <c r="K827" s="309"/>
      <c r="L827" s="117"/>
      <c r="M827" s="118"/>
    </row>
    <row r="828" spans="3:13" ht="24" x14ac:dyDescent="0.2">
      <c r="C828" s="93"/>
      <c r="D828" s="195"/>
      <c r="E828" s="99">
        <v>45446</v>
      </c>
      <c r="F828" s="109">
        <v>57</v>
      </c>
      <c r="G828" s="109" t="s">
        <v>522</v>
      </c>
      <c r="H828" s="109">
        <v>60.9</v>
      </c>
      <c r="I828" s="307"/>
      <c r="J828" s="308"/>
      <c r="K828" s="309"/>
      <c r="L828" s="117"/>
      <c r="M828" s="118"/>
    </row>
    <row r="829" spans="3:13" ht="25" thickBot="1" x14ac:dyDescent="0.25">
      <c r="C829" s="93"/>
      <c r="D829" s="195"/>
      <c r="E829" s="99">
        <v>45413</v>
      </c>
      <c r="F829" s="109">
        <v>60.9</v>
      </c>
      <c r="G829" s="109" t="s">
        <v>523</v>
      </c>
      <c r="H829" s="109">
        <v>55.8</v>
      </c>
      <c r="I829" s="310"/>
      <c r="J829" s="311"/>
      <c r="K829" s="312"/>
      <c r="L829" s="120"/>
      <c r="M829" s="121"/>
    </row>
    <row r="830" spans="3:13" ht="49" thickBot="1" x14ac:dyDescent="0.25">
      <c r="C830" s="93"/>
      <c r="D830" s="89" t="s">
        <v>105</v>
      </c>
      <c r="E830" s="123" t="s">
        <v>30</v>
      </c>
      <c r="F830" s="363" t="s">
        <v>866</v>
      </c>
      <c r="G830" s="364"/>
      <c r="H830" s="365"/>
      <c r="I830" s="325" t="s">
        <v>633</v>
      </c>
      <c r="J830" s="326"/>
      <c r="K830" s="327"/>
      <c r="L830" s="189" t="s">
        <v>430</v>
      </c>
      <c r="M830" s="125" t="s">
        <v>431</v>
      </c>
    </row>
    <row r="831" spans="3:13" ht="24" x14ac:dyDescent="0.2">
      <c r="C831" s="93"/>
      <c r="D831" s="195"/>
      <c r="E831" s="122" t="s">
        <v>432</v>
      </c>
      <c r="F831" s="342"/>
      <c r="G831" s="343"/>
      <c r="H831" s="344"/>
      <c r="I831" s="307" t="s">
        <v>867</v>
      </c>
      <c r="J831" s="308"/>
      <c r="K831" s="309"/>
      <c r="L831" s="117"/>
      <c r="M831" s="118"/>
    </row>
    <row r="832" spans="3:13" ht="24" x14ac:dyDescent="0.2">
      <c r="C832" s="93"/>
      <c r="D832" s="195"/>
      <c r="E832" s="92" t="s">
        <v>433</v>
      </c>
      <c r="F832" s="372">
        <v>47.9</v>
      </c>
      <c r="G832" s="373"/>
      <c r="H832" s="374"/>
      <c r="I832" s="307"/>
      <c r="J832" s="308"/>
      <c r="K832" s="309"/>
      <c r="L832" s="117"/>
      <c r="M832" s="118"/>
    </row>
    <row r="833" spans="3:13" ht="25" thickBot="1" x14ac:dyDescent="0.25">
      <c r="C833" s="93"/>
      <c r="D833" s="195"/>
      <c r="E833" s="92" t="s">
        <v>434</v>
      </c>
      <c r="F833" s="372">
        <v>47.3</v>
      </c>
      <c r="G833" s="373"/>
      <c r="H833" s="374"/>
      <c r="I833" s="307"/>
      <c r="J833" s="308"/>
      <c r="K833" s="309"/>
      <c r="L833" s="117"/>
      <c r="M833" s="118"/>
    </row>
    <row r="834" spans="3:13" ht="25" thickBot="1" x14ac:dyDescent="0.25">
      <c r="C834" s="93"/>
      <c r="D834" s="195"/>
      <c r="E834" s="94" t="s">
        <v>435</v>
      </c>
      <c r="F834" s="360">
        <v>0.61458333333333337</v>
      </c>
      <c r="G834" s="361"/>
      <c r="H834" s="362"/>
      <c r="I834" s="307"/>
      <c r="J834" s="308"/>
      <c r="K834" s="309"/>
      <c r="L834" s="126">
        <v>0.84375</v>
      </c>
      <c r="M834" s="127">
        <v>0.73958333333333337</v>
      </c>
    </row>
    <row r="835" spans="3:13" ht="25" thickBot="1" x14ac:dyDescent="0.25">
      <c r="C835" s="93"/>
      <c r="D835" s="195"/>
      <c r="E835" s="96" t="s">
        <v>436</v>
      </c>
      <c r="F835" s="97" t="s">
        <v>29</v>
      </c>
      <c r="G835" s="97" t="s">
        <v>28</v>
      </c>
      <c r="H835" s="98" t="s">
        <v>27</v>
      </c>
      <c r="I835" s="307"/>
      <c r="J835" s="308"/>
      <c r="K835" s="309"/>
      <c r="L835" s="117"/>
      <c r="M835" s="118"/>
    </row>
    <row r="836" spans="3:13" ht="24" x14ac:dyDescent="0.2">
      <c r="C836" s="93"/>
      <c r="D836" s="195"/>
      <c r="E836" s="99">
        <v>45589</v>
      </c>
      <c r="F836" s="109">
        <v>47.8</v>
      </c>
      <c r="G836" s="109" t="s">
        <v>509</v>
      </c>
      <c r="H836" s="109">
        <v>47.3</v>
      </c>
      <c r="I836" s="307"/>
      <c r="J836" s="308"/>
      <c r="K836" s="309"/>
      <c r="L836" s="117"/>
      <c r="M836" s="118"/>
    </row>
    <row r="837" spans="3:13" ht="24" x14ac:dyDescent="0.2">
      <c r="C837" s="93"/>
      <c r="D837" s="195"/>
      <c r="E837" s="99">
        <v>45566</v>
      </c>
      <c r="F837" s="109">
        <v>47.3</v>
      </c>
      <c r="G837" s="109" t="s">
        <v>758</v>
      </c>
      <c r="H837" s="109">
        <v>47.9</v>
      </c>
      <c r="I837" s="307"/>
      <c r="J837" s="308"/>
      <c r="K837" s="309"/>
      <c r="L837" s="117"/>
      <c r="M837" s="118"/>
    </row>
    <row r="838" spans="3:13" ht="24" x14ac:dyDescent="0.2">
      <c r="C838" s="93"/>
      <c r="D838" s="195"/>
      <c r="E838" s="99">
        <v>45558</v>
      </c>
      <c r="F838" s="109">
        <v>47</v>
      </c>
      <c r="G838" s="109" t="s">
        <v>500</v>
      </c>
      <c r="H838" s="109">
        <v>47.9</v>
      </c>
      <c r="I838" s="307"/>
      <c r="J838" s="308"/>
      <c r="K838" s="309"/>
      <c r="L838" s="119"/>
      <c r="M838" s="118"/>
    </row>
    <row r="839" spans="3:13" ht="24" x14ac:dyDescent="0.2">
      <c r="C839" s="93"/>
      <c r="D839" s="195"/>
      <c r="E839" s="99">
        <v>45538</v>
      </c>
      <c r="F839" s="109">
        <v>47.9</v>
      </c>
      <c r="G839" s="109" t="s">
        <v>502</v>
      </c>
      <c r="H839" s="109">
        <v>49.6</v>
      </c>
      <c r="I839" s="307"/>
      <c r="J839" s="308"/>
      <c r="K839" s="309"/>
      <c r="L839" s="117"/>
      <c r="M839" s="118"/>
    </row>
    <row r="840" spans="3:13" ht="24" x14ac:dyDescent="0.2">
      <c r="C840" s="93"/>
      <c r="D840" s="195"/>
      <c r="E840" s="99">
        <v>45526</v>
      </c>
      <c r="F840" s="109">
        <v>48</v>
      </c>
      <c r="G840" s="109" t="s">
        <v>438</v>
      </c>
      <c r="H840" s="109">
        <v>49.6</v>
      </c>
      <c r="I840" s="307"/>
      <c r="J840" s="308"/>
      <c r="K840" s="309"/>
      <c r="L840" s="117"/>
      <c r="M840" s="118"/>
    </row>
    <row r="841" spans="3:13" ht="25" thickBot="1" x14ac:dyDescent="0.25">
      <c r="C841" s="93"/>
      <c r="D841" s="195"/>
      <c r="E841" s="143">
        <v>45505</v>
      </c>
      <c r="F841" s="191">
        <v>49.6</v>
      </c>
      <c r="G841" s="191" t="s">
        <v>438</v>
      </c>
      <c r="H841" s="191">
        <v>51.6</v>
      </c>
      <c r="I841" s="310"/>
      <c r="J841" s="311"/>
      <c r="K841" s="312"/>
      <c r="L841" s="120"/>
      <c r="M841" s="121"/>
    </row>
    <row r="842" spans="3:13" ht="49" thickBot="1" x14ac:dyDescent="0.25">
      <c r="C842" s="93"/>
      <c r="D842" s="89" t="s">
        <v>105</v>
      </c>
      <c r="E842" s="123" t="s">
        <v>30</v>
      </c>
      <c r="F842" s="363" t="s">
        <v>868</v>
      </c>
      <c r="G842" s="364"/>
      <c r="H842" s="365"/>
      <c r="I842" s="325" t="s">
        <v>633</v>
      </c>
      <c r="J842" s="326"/>
      <c r="K842" s="327"/>
      <c r="L842" s="189" t="s">
        <v>430</v>
      </c>
      <c r="M842" s="125" t="s">
        <v>431</v>
      </c>
    </row>
    <row r="843" spans="3:13" ht="25" thickBot="1" x14ac:dyDescent="0.25">
      <c r="C843" s="93"/>
      <c r="D843" s="195"/>
      <c r="E843" s="122" t="s">
        <v>432</v>
      </c>
      <c r="F843" s="342"/>
      <c r="G843" s="343"/>
      <c r="H843" s="344"/>
      <c r="I843" s="307" t="s">
        <v>857</v>
      </c>
      <c r="J843" s="308"/>
      <c r="K843" s="309"/>
      <c r="L843" s="117"/>
      <c r="M843" s="118"/>
    </row>
    <row r="844" spans="3:13" ht="24" x14ac:dyDescent="0.2">
      <c r="C844" s="93"/>
      <c r="D844" s="195"/>
      <c r="E844" s="92" t="s">
        <v>433</v>
      </c>
      <c r="F844" s="372">
        <v>1.59</v>
      </c>
      <c r="G844" s="373"/>
      <c r="H844" s="374"/>
      <c r="I844" s="307"/>
      <c r="J844" s="308"/>
      <c r="K844" s="309"/>
      <c r="L844" s="117"/>
      <c r="M844" s="118"/>
    </row>
    <row r="845" spans="3:13" ht="25" thickBot="1" x14ac:dyDescent="0.25">
      <c r="C845" s="93"/>
      <c r="D845" s="195"/>
      <c r="E845" s="92" t="s">
        <v>434</v>
      </c>
      <c r="F845" s="372">
        <v>1.4</v>
      </c>
      <c r="G845" s="373"/>
      <c r="H845" s="374"/>
      <c r="I845" s="307"/>
      <c r="J845" s="308"/>
      <c r="K845" s="309"/>
      <c r="L845" s="117"/>
      <c r="M845" s="118"/>
    </row>
    <row r="846" spans="3:13" ht="25" thickBot="1" x14ac:dyDescent="0.25">
      <c r="C846" s="93"/>
      <c r="D846" s="195"/>
      <c r="E846" s="94" t="s">
        <v>435</v>
      </c>
      <c r="F846" s="348">
        <v>0.95833333333333337</v>
      </c>
      <c r="G846" s="349"/>
      <c r="H846" s="350"/>
      <c r="I846" s="307"/>
      <c r="J846" s="308"/>
      <c r="K846" s="309"/>
      <c r="L846" s="126">
        <v>6.25E-2</v>
      </c>
      <c r="M846" s="127">
        <v>0.95833333333333337</v>
      </c>
    </row>
    <row r="847" spans="3:13" ht="25" thickBot="1" x14ac:dyDescent="0.25">
      <c r="C847" s="93"/>
      <c r="D847" s="195"/>
      <c r="E847" s="96" t="s">
        <v>436</v>
      </c>
      <c r="F847" s="97" t="s">
        <v>29</v>
      </c>
      <c r="G847" s="97" t="s">
        <v>28</v>
      </c>
      <c r="H847" s="98" t="s">
        <v>27</v>
      </c>
      <c r="I847" s="307"/>
      <c r="J847" s="308"/>
      <c r="K847" s="309"/>
      <c r="L847" s="117"/>
      <c r="M847" s="118"/>
    </row>
    <row r="848" spans="3:13" ht="23" x14ac:dyDescent="0.2">
      <c r="C848" s="93"/>
      <c r="D848" s="195"/>
      <c r="E848" s="99">
        <v>45505</v>
      </c>
      <c r="F848" s="100">
        <v>1.4</v>
      </c>
      <c r="G848" s="100">
        <v>1.34</v>
      </c>
      <c r="H848" s="100">
        <v>1.53</v>
      </c>
      <c r="I848" s="307"/>
      <c r="J848" s="308"/>
      <c r="K848" s="309"/>
      <c r="L848" s="117"/>
      <c r="M848" s="118"/>
    </row>
    <row r="849" spans="3:13" ht="23" x14ac:dyDescent="0.2">
      <c r="C849" s="93"/>
      <c r="D849" s="195"/>
      <c r="E849" s="99">
        <v>45414</v>
      </c>
      <c r="F849" s="100">
        <v>1.53</v>
      </c>
      <c r="G849" s="100">
        <v>1.51</v>
      </c>
      <c r="H849" s="100">
        <v>1.45</v>
      </c>
      <c r="I849" s="307"/>
      <c r="J849" s="308"/>
      <c r="K849" s="309"/>
      <c r="L849" s="117"/>
      <c r="M849" s="118"/>
    </row>
    <row r="850" spans="3:13" ht="23" x14ac:dyDescent="0.2">
      <c r="C850" s="93"/>
      <c r="D850" s="195"/>
      <c r="E850" s="99">
        <v>45323</v>
      </c>
      <c r="F850" s="100">
        <v>1.45</v>
      </c>
      <c r="G850" s="100">
        <v>1.28</v>
      </c>
      <c r="H850" s="100">
        <v>1.46</v>
      </c>
      <c r="I850" s="307"/>
      <c r="J850" s="308"/>
      <c r="K850" s="309"/>
      <c r="L850" s="119"/>
      <c r="M850" s="118"/>
    </row>
    <row r="851" spans="3:13" ht="23" x14ac:dyDescent="0.2">
      <c r="C851" s="93"/>
      <c r="D851" s="195"/>
      <c r="E851" s="99">
        <v>45232</v>
      </c>
      <c r="F851" s="100">
        <v>1.46</v>
      </c>
      <c r="G851" s="100">
        <v>1.39</v>
      </c>
      <c r="H851" s="100">
        <v>1.26</v>
      </c>
      <c r="I851" s="307"/>
      <c r="J851" s="308"/>
      <c r="K851" s="309"/>
      <c r="L851" s="117"/>
      <c r="M851" s="118"/>
    </row>
    <row r="852" spans="3:13" ht="23" x14ac:dyDescent="0.2">
      <c r="C852" s="93"/>
      <c r="D852" s="195"/>
      <c r="E852" s="99">
        <v>45141</v>
      </c>
      <c r="F852" s="100">
        <v>1.26</v>
      </c>
      <c r="G852" s="100">
        <v>1.19</v>
      </c>
      <c r="H852" s="100">
        <v>1.52</v>
      </c>
      <c r="I852" s="307"/>
      <c r="J852" s="308"/>
      <c r="K852" s="309"/>
      <c r="L852" s="117"/>
      <c r="M852" s="118"/>
    </row>
    <row r="853" spans="3:13" ht="24" thickBot="1" x14ac:dyDescent="0.25">
      <c r="C853" s="93"/>
      <c r="D853" s="195"/>
      <c r="E853" s="143">
        <v>45050</v>
      </c>
      <c r="F853" s="192">
        <v>1.52</v>
      </c>
      <c r="G853" s="192">
        <v>1.44</v>
      </c>
      <c r="H853" s="192">
        <v>1.88</v>
      </c>
      <c r="I853" s="310"/>
      <c r="J853" s="311"/>
      <c r="K853" s="312"/>
      <c r="L853" s="120"/>
      <c r="M853" s="121"/>
    </row>
    <row r="854" spans="3:13" ht="49" thickBot="1" x14ac:dyDescent="0.25">
      <c r="C854" s="93"/>
      <c r="D854" s="89" t="s">
        <v>105</v>
      </c>
      <c r="E854" s="123" t="s">
        <v>30</v>
      </c>
      <c r="F854" s="363" t="s">
        <v>869</v>
      </c>
      <c r="G854" s="364"/>
      <c r="H854" s="365"/>
      <c r="I854" s="325" t="s">
        <v>633</v>
      </c>
      <c r="J854" s="326"/>
      <c r="K854" s="327"/>
      <c r="L854" s="189" t="s">
        <v>430</v>
      </c>
      <c r="M854" s="125" t="s">
        <v>431</v>
      </c>
    </row>
    <row r="855" spans="3:13" ht="24" x14ac:dyDescent="0.2">
      <c r="C855" s="93"/>
      <c r="D855" s="195"/>
      <c r="E855" s="122" t="s">
        <v>432</v>
      </c>
      <c r="F855" s="342"/>
      <c r="G855" s="343"/>
      <c r="H855" s="344"/>
      <c r="I855" s="307" t="s">
        <v>855</v>
      </c>
      <c r="J855" s="308"/>
      <c r="K855" s="309"/>
      <c r="L855" s="117"/>
      <c r="M855" s="118"/>
    </row>
    <row r="856" spans="3:13" ht="24" x14ac:dyDescent="0.2">
      <c r="C856" s="93"/>
      <c r="D856" s="195"/>
      <c r="E856" s="92" t="s">
        <v>433</v>
      </c>
      <c r="F856" s="372">
        <v>0.92</v>
      </c>
      <c r="G856" s="373"/>
      <c r="H856" s="374"/>
      <c r="I856" s="307"/>
      <c r="J856" s="308"/>
      <c r="K856" s="309"/>
      <c r="L856" s="117"/>
      <c r="M856" s="118"/>
    </row>
    <row r="857" spans="3:13" ht="25" thickBot="1" x14ac:dyDescent="0.25">
      <c r="C857" s="93"/>
      <c r="D857" s="195"/>
      <c r="E857" s="92" t="s">
        <v>434</v>
      </c>
      <c r="F857" s="372">
        <v>0.7</v>
      </c>
      <c r="G857" s="373"/>
      <c r="H857" s="374"/>
      <c r="I857" s="307"/>
      <c r="J857" s="308"/>
      <c r="K857" s="309"/>
      <c r="L857" s="117"/>
      <c r="M857" s="118"/>
    </row>
    <row r="858" spans="3:13" ht="25" thickBot="1" x14ac:dyDescent="0.25">
      <c r="C858" s="93"/>
      <c r="D858" s="195"/>
      <c r="E858" s="94" t="s">
        <v>435</v>
      </c>
      <c r="F858" s="348">
        <v>0.95833333333333337</v>
      </c>
      <c r="G858" s="349"/>
      <c r="H858" s="350"/>
      <c r="I858" s="307"/>
      <c r="J858" s="308"/>
      <c r="K858" s="309"/>
      <c r="L858" s="126">
        <v>6.25E-2</v>
      </c>
      <c r="M858" s="126">
        <v>0.95833333333333337</v>
      </c>
    </row>
    <row r="859" spans="3:13" ht="25" thickBot="1" x14ac:dyDescent="0.25">
      <c r="C859" s="93"/>
      <c r="D859" s="195"/>
      <c r="E859" s="96" t="s">
        <v>436</v>
      </c>
      <c r="F859" s="97" t="s">
        <v>29</v>
      </c>
      <c r="G859" s="97" t="s">
        <v>28</v>
      </c>
      <c r="H859" s="98" t="s">
        <v>27</v>
      </c>
      <c r="I859" s="307"/>
      <c r="J859" s="308"/>
      <c r="K859" s="309"/>
      <c r="L859" s="117"/>
      <c r="M859" s="118"/>
    </row>
    <row r="860" spans="3:13" ht="23" x14ac:dyDescent="0.2">
      <c r="C860" s="93"/>
      <c r="D860" s="195"/>
      <c r="E860" s="99">
        <v>45503</v>
      </c>
      <c r="F860" s="100">
        <v>0.5</v>
      </c>
      <c r="G860" s="100">
        <v>0.47</v>
      </c>
      <c r="H860" s="100">
        <v>0.57999999999999996</v>
      </c>
      <c r="I860" s="307"/>
      <c r="J860" s="308"/>
      <c r="K860" s="309"/>
      <c r="L860" s="117"/>
      <c r="M860" s="118"/>
    </row>
    <row r="861" spans="3:13" ht="23" x14ac:dyDescent="0.2">
      <c r="C861" s="93"/>
      <c r="D861" s="195"/>
      <c r="E861" s="99">
        <v>45412</v>
      </c>
      <c r="F861" s="100">
        <v>0.43</v>
      </c>
      <c r="G861" s="100">
        <v>0.41</v>
      </c>
      <c r="H861" s="100">
        <v>0.6</v>
      </c>
      <c r="I861" s="307"/>
      <c r="J861" s="308"/>
      <c r="K861" s="309"/>
      <c r="L861" s="117"/>
      <c r="M861" s="118"/>
    </row>
    <row r="862" spans="3:13" ht="23" x14ac:dyDescent="0.2">
      <c r="C862" s="93"/>
      <c r="D862" s="195"/>
      <c r="E862" s="99">
        <v>45321</v>
      </c>
      <c r="F862" s="100">
        <v>0.59</v>
      </c>
      <c r="G862" s="100">
        <v>0.57999999999999996</v>
      </c>
      <c r="H862" s="100">
        <v>0.69</v>
      </c>
      <c r="I862" s="307"/>
      <c r="J862" s="308"/>
      <c r="K862" s="309"/>
      <c r="L862" s="119"/>
      <c r="M862" s="118"/>
    </row>
    <row r="863" spans="3:13" ht="23" x14ac:dyDescent="0.2">
      <c r="C863" s="93"/>
      <c r="D863" s="195"/>
      <c r="E863" s="99">
        <v>45230</v>
      </c>
      <c r="F863" s="100">
        <v>0.53</v>
      </c>
      <c r="G863" s="100">
        <v>0.49</v>
      </c>
      <c r="H863" s="100">
        <v>0.67</v>
      </c>
      <c r="I863" s="307"/>
      <c r="J863" s="308"/>
      <c r="K863" s="309"/>
      <c r="L863" s="117"/>
      <c r="M863" s="118"/>
    </row>
    <row r="864" spans="3:13" ht="23" x14ac:dyDescent="0.2">
      <c r="C864" s="93"/>
      <c r="D864" s="195"/>
      <c r="E864" s="99">
        <v>45139</v>
      </c>
      <c r="F864" s="100">
        <v>0.4</v>
      </c>
      <c r="G864" s="100">
        <v>0.4</v>
      </c>
      <c r="H864" s="100">
        <v>1.05</v>
      </c>
      <c r="I864" s="307"/>
      <c r="J864" s="308"/>
      <c r="K864" s="309"/>
      <c r="L864" s="117"/>
      <c r="M864" s="118"/>
    </row>
    <row r="865" spans="3:13" ht="24" thickBot="1" x14ac:dyDescent="0.25">
      <c r="C865" s="93"/>
      <c r="D865" s="195"/>
      <c r="E865" s="143">
        <v>45048</v>
      </c>
      <c r="F865" s="192">
        <v>0.43</v>
      </c>
      <c r="G865" s="192">
        <v>0.42</v>
      </c>
      <c r="H865" s="192">
        <v>1.1299999999999999</v>
      </c>
      <c r="I865" s="310"/>
      <c r="J865" s="311"/>
      <c r="K865" s="312"/>
      <c r="L865" s="120"/>
      <c r="M865" s="121"/>
    </row>
    <row r="866" spans="3:13" ht="49" thickBot="1" x14ac:dyDescent="0.25">
      <c r="C866" s="93"/>
      <c r="D866" s="89" t="s">
        <v>105</v>
      </c>
      <c r="E866" s="123" t="s">
        <v>30</v>
      </c>
      <c r="F866" s="363" t="s">
        <v>870</v>
      </c>
      <c r="G866" s="364"/>
      <c r="H866" s="365"/>
      <c r="I866" s="325" t="s">
        <v>633</v>
      </c>
      <c r="J866" s="326"/>
      <c r="K866" s="327"/>
      <c r="L866" s="189" t="s">
        <v>430</v>
      </c>
      <c r="M866" s="125" t="s">
        <v>431</v>
      </c>
    </row>
    <row r="867" spans="3:13" ht="24" x14ac:dyDescent="0.2">
      <c r="C867" s="93"/>
      <c r="D867" s="195"/>
      <c r="E867" s="122" t="s">
        <v>432</v>
      </c>
      <c r="F867" s="342"/>
      <c r="G867" s="343"/>
      <c r="H867" s="344"/>
      <c r="I867" s="307" t="s">
        <v>855</v>
      </c>
      <c r="J867" s="308"/>
      <c r="K867" s="309"/>
      <c r="L867" s="117"/>
      <c r="M867" s="118"/>
    </row>
    <row r="868" spans="3:13" ht="24" x14ac:dyDescent="0.2">
      <c r="C868" s="93"/>
      <c r="D868" s="195"/>
      <c r="E868" s="92" t="s">
        <v>433</v>
      </c>
      <c r="F868" s="372">
        <v>1.84</v>
      </c>
      <c r="G868" s="373"/>
      <c r="H868" s="374"/>
      <c r="I868" s="307"/>
      <c r="J868" s="308"/>
      <c r="K868" s="309"/>
      <c r="L868" s="117"/>
      <c r="M868" s="118"/>
    </row>
    <row r="869" spans="3:13" ht="25" thickBot="1" x14ac:dyDescent="0.25">
      <c r="C869" s="93"/>
      <c r="D869" s="195"/>
      <c r="E869" s="92" t="s">
        <v>434</v>
      </c>
      <c r="F869" s="372">
        <v>1.55</v>
      </c>
      <c r="G869" s="373"/>
      <c r="H869" s="374"/>
      <c r="I869" s="307"/>
      <c r="J869" s="308"/>
      <c r="K869" s="309"/>
      <c r="L869" s="117"/>
      <c r="M869" s="118"/>
    </row>
    <row r="870" spans="3:13" ht="25" thickBot="1" x14ac:dyDescent="0.25">
      <c r="C870" s="93"/>
      <c r="D870" s="195"/>
      <c r="E870" s="94" t="s">
        <v>435</v>
      </c>
      <c r="F870" s="348">
        <v>0.95833333333333337</v>
      </c>
      <c r="G870" s="349"/>
      <c r="H870" s="350"/>
      <c r="I870" s="307"/>
      <c r="J870" s="308"/>
      <c r="K870" s="309"/>
      <c r="L870" s="126">
        <v>6.25E-2</v>
      </c>
      <c r="M870" s="126">
        <v>0.95833333333333337</v>
      </c>
    </row>
    <row r="871" spans="3:13" ht="25" thickBot="1" x14ac:dyDescent="0.25">
      <c r="C871" s="93"/>
      <c r="D871" s="195"/>
      <c r="E871" s="96" t="s">
        <v>436</v>
      </c>
      <c r="F871" s="97" t="s">
        <v>29</v>
      </c>
      <c r="G871" s="97" t="s">
        <v>28</v>
      </c>
      <c r="H871" s="98" t="s">
        <v>27</v>
      </c>
      <c r="I871" s="307"/>
      <c r="J871" s="308"/>
      <c r="K871" s="309"/>
      <c r="L871" s="117"/>
      <c r="M871" s="118"/>
    </row>
    <row r="872" spans="3:13" ht="23" x14ac:dyDescent="0.2">
      <c r="C872" s="93"/>
      <c r="D872" s="195"/>
      <c r="E872" s="99">
        <v>45496</v>
      </c>
      <c r="F872" s="100">
        <v>1.89</v>
      </c>
      <c r="G872" s="100">
        <v>1.85</v>
      </c>
      <c r="H872" s="100">
        <v>1.44</v>
      </c>
      <c r="I872" s="307"/>
      <c r="J872" s="308"/>
      <c r="K872" s="309"/>
      <c r="L872" s="117"/>
      <c r="M872" s="118"/>
    </row>
    <row r="873" spans="3:13" ht="23" x14ac:dyDescent="0.2">
      <c r="C873" s="93"/>
      <c r="D873" s="195"/>
      <c r="E873" s="99">
        <v>45407</v>
      </c>
      <c r="F873" s="100">
        <v>1.89</v>
      </c>
      <c r="G873" s="100">
        <v>1.49</v>
      </c>
      <c r="H873" s="100">
        <v>1.17</v>
      </c>
      <c r="I873" s="307"/>
      <c r="J873" s="308"/>
      <c r="K873" s="309"/>
      <c r="L873" s="117"/>
      <c r="M873" s="118"/>
    </row>
    <row r="874" spans="3:13" ht="23" x14ac:dyDescent="0.2">
      <c r="C874" s="93"/>
      <c r="D874" s="195"/>
      <c r="E874" s="99">
        <v>45321</v>
      </c>
      <c r="F874" s="100">
        <v>1.64</v>
      </c>
      <c r="G874" s="100">
        <v>1.6</v>
      </c>
      <c r="H874" s="100">
        <v>1.05</v>
      </c>
      <c r="I874" s="307"/>
      <c r="J874" s="308"/>
      <c r="K874" s="309"/>
      <c r="L874" s="119"/>
      <c r="M874" s="118"/>
    </row>
    <row r="875" spans="3:13" ht="23" x14ac:dyDescent="0.2">
      <c r="C875" s="93"/>
      <c r="D875" s="195"/>
      <c r="E875" s="99">
        <v>45223</v>
      </c>
      <c r="F875" s="100">
        <v>1.55</v>
      </c>
      <c r="G875" s="100">
        <v>1.45</v>
      </c>
      <c r="H875" s="100">
        <v>1.06</v>
      </c>
      <c r="I875" s="307"/>
      <c r="J875" s="308"/>
      <c r="K875" s="309"/>
      <c r="L875" s="117"/>
      <c r="M875" s="118"/>
    </row>
    <row r="876" spans="3:13" ht="23" x14ac:dyDescent="0.2">
      <c r="C876" s="93"/>
      <c r="D876" s="195"/>
      <c r="E876" s="99">
        <v>45132</v>
      </c>
      <c r="F876" s="100">
        <v>1.44</v>
      </c>
      <c r="G876" s="100">
        <v>1.32</v>
      </c>
      <c r="H876" s="100">
        <v>1.21</v>
      </c>
      <c r="I876" s="307"/>
      <c r="J876" s="308"/>
      <c r="K876" s="309"/>
      <c r="L876" s="117"/>
      <c r="M876" s="118"/>
    </row>
    <row r="877" spans="3:13" ht="24" thickBot="1" x14ac:dyDescent="0.25">
      <c r="C877" s="93"/>
      <c r="D877" s="195"/>
      <c r="E877" s="143">
        <v>45041</v>
      </c>
      <c r="F877" s="192">
        <v>1.17</v>
      </c>
      <c r="G877" s="192">
        <v>1.06</v>
      </c>
      <c r="H877" s="192">
        <v>1.23</v>
      </c>
      <c r="I877" s="310"/>
      <c r="J877" s="311"/>
      <c r="K877" s="312"/>
      <c r="L877" s="120"/>
      <c r="M877" s="121"/>
    </row>
    <row r="878" spans="3:13" ht="49" thickBot="1" x14ac:dyDescent="0.25">
      <c r="C878" s="93"/>
      <c r="D878" s="89" t="s">
        <v>105</v>
      </c>
      <c r="E878" s="123" t="s">
        <v>30</v>
      </c>
      <c r="F878" s="363" t="s">
        <v>871</v>
      </c>
      <c r="G878" s="364"/>
      <c r="H878" s="365"/>
      <c r="I878" s="325" t="s">
        <v>633</v>
      </c>
      <c r="J878" s="326"/>
      <c r="K878" s="327"/>
      <c r="L878" s="189" t="s">
        <v>430</v>
      </c>
      <c r="M878" s="125" t="s">
        <v>431</v>
      </c>
    </row>
    <row r="879" spans="3:13" ht="24" x14ac:dyDescent="0.2">
      <c r="C879" s="93"/>
      <c r="D879" s="195"/>
      <c r="E879" s="122" t="s">
        <v>432</v>
      </c>
      <c r="F879" s="342"/>
      <c r="G879" s="343"/>
      <c r="H879" s="344"/>
      <c r="I879" s="307" t="s">
        <v>855</v>
      </c>
      <c r="J879" s="308"/>
      <c r="K879" s="309"/>
      <c r="L879" s="117"/>
      <c r="M879" s="118"/>
    </row>
    <row r="880" spans="3:13" ht="24" x14ac:dyDescent="0.2">
      <c r="C880" s="93"/>
      <c r="D880" s="195"/>
      <c r="E880" s="92" t="s">
        <v>433</v>
      </c>
      <c r="F880" s="372">
        <v>3.1</v>
      </c>
      <c r="G880" s="373"/>
      <c r="H880" s="374"/>
      <c r="I880" s="307"/>
      <c r="J880" s="308"/>
      <c r="K880" s="309"/>
      <c r="L880" s="117"/>
      <c r="M880" s="118"/>
    </row>
    <row r="881" spans="3:13" ht="25" thickBot="1" x14ac:dyDescent="0.25">
      <c r="C881" s="93"/>
      <c r="D881" s="195"/>
      <c r="E881" s="92" t="s">
        <v>434</v>
      </c>
      <c r="F881" s="372">
        <v>2.99</v>
      </c>
      <c r="G881" s="373"/>
      <c r="H881" s="374"/>
      <c r="I881" s="307"/>
      <c r="J881" s="308"/>
      <c r="K881" s="309"/>
      <c r="L881" s="117"/>
      <c r="M881" s="118"/>
    </row>
    <row r="882" spans="3:13" ht="25" thickBot="1" x14ac:dyDescent="0.25">
      <c r="C882" s="93"/>
      <c r="D882" s="195"/>
      <c r="E882" s="94" t="s">
        <v>435</v>
      </c>
      <c r="F882" s="348">
        <v>0.95833333333333337</v>
      </c>
      <c r="G882" s="349"/>
      <c r="H882" s="350"/>
      <c r="I882" s="307"/>
      <c r="J882" s="308"/>
      <c r="K882" s="309"/>
      <c r="L882" s="126">
        <v>6.25E-2</v>
      </c>
      <c r="M882" s="126">
        <v>0.95833333333333337</v>
      </c>
    </row>
    <row r="883" spans="3:13" ht="25" thickBot="1" x14ac:dyDescent="0.25">
      <c r="C883" s="93"/>
      <c r="D883" s="195"/>
      <c r="E883" s="96" t="s">
        <v>436</v>
      </c>
      <c r="F883" s="97" t="s">
        <v>29</v>
      </c>
      <c r="G883" s="97" t="s">
        <v>28</v>
      </c>
      <c r="H883" s="98" t="s">
        <v>27</v>
      </c>
      <c r="I883" s="307"/>
      <c r="J883" s="308"/>
      <c r="K883" s="309"/>
      <c r="L883" s="117"/>
      <c r="M883" s="118"/>
    </row>
    <row r="884" spans="3:13" ht="23" x14ac:dyDescent="0.2">
      <c r="C884" s="93"/>
      <c r="D884" s="195"/>
      <c r="E884" s="99">
        <v>45503</v>
      </c>
      <c r="F884" s="100">
        <v>2.95</v>
      </c>
      <c r="G884" s="100">
        <v>2.94</v>
      </c>
      <c r="H884" s="100">
        <v>2.69</v>
      </c>
      <c r="I884" s="307"/>
      <c r="J884" s="308"/>
      <c r="K884" s="309"/>
      <c r="L884" s="117"/>
      <c r="M884" s="118"/>
    </row>
    <row r="885" spans="3:13" ht="23" x14ac:dyDescent="0.2">
      <c r="C885" s="93"/>
      <c r="D885" s="195"/>
      <c r="E885" s="99">
        <v>45407</v>
      </c>
      <c r="F885" s="100">
        <v>2.94</v>
      </c>
      <c r="G885" s="100">
        <v>2.94</v>
      </c>
      <c r="H885" s="100">
        <v>2.4500000000000002</v>
      </c>
      <c r="I885" s="307"/>
      <c r="J885" s="308"/>
      <c r="K885" s="309"/>
      <c r="L885" s="117"/>
      <c r="M885" s="118"/>
    </row>
    <row r="886" spans="3:13" ht="23" x14ac:dyDescent="0.2">
      <c r="C886" s="93"/>
      <c r="D886" s="195"/>
      <c r="E886" s="99">
        <v>45321</v>
      </c>
      <c r="F886" s="100">
        <v>2.93</v>
      </c>
      <c r="G886" s="100">
        <v>2.78</v>
      </c>
      <c r="H886" s="100">
        <v>2.3199999999999998</v>
      </c>
      <c r="I886" s="307"/>
      <c r="J886" s="308"/>
      <c r="K886" s="309"/>
      <c r="L886" s="119"/>
      <c r="M886" s="118"/>
    </row>
    <row r="887" spans="3:13" ht="23" x14ac:dyDescent="0.2">
      <c r="C887" s="93"/>
      <c r="D887" s="195"/>
      <c r="E887" s="99">
        <v>45223</v>
      </c>
      <c r="F887" s="100">
        <v>2.99</v>
      </c>
      <c r="G887" s="100">
        <v>2.65</v>
      </c>
      <c r="H887" s="100">
        <v>2.35</v>
      </c>
      <c r="I887" s="307"/>
      <c r="J887" s="308"/>
      <c r="K887" s="309"/>
      <c r="L887" s="117"/>
      <c r="M887" s="118"/>
    </row>
    <row r="888" spans="3:13" ht="23" x14ac:dyDescent="0.2">
      <c r="C888" s="93"/>
      <c r="D888" s="195"/>
      <c r="E888" s="99">
        <v>45132</v>
      </c>
      <c r="F888" s="100">
        <v>2.69</v>
      </c>
      <c r="G888" s="100">
        <v>2.5499999999999998</v>
      </c>
      <c r="H888" s="100">
        <v>2.23</v>
      </c>
      <c r="I888" s="307"/>
      <c r="J888" s="308"/>
      <c r="K888" s="309"/>
      <c r="L888" s="117"/>
      <c r="M888" s="118"/>
    </row>
    <row r="889" spans="3:13" ht="24" thickBot="1" x14ac:dyDescent="0.25">
      <c r="C889" s="93"/>
      <c r="D889" s="195"/>
      <c r="E889" s="143">
        <v>45041</v>
      </c>
      <c r="F889" s="192">
        <v>2.4500000000000002</v>
      </c>
      <c r="G889" s="192">
        <v>2.2400000000000002</v>
      </c>
      <c r="H889" s="192">
        <v>2.2200000000000002</v>
      </c>
      <c r="I889" s="310"/>
      <c r="J889" s="311"/>
      <c r="K889" s="312"/>
      <c r="L889" s="120"/>
      <c r="M889" s="121"/>
    </row>
    <row r="890" spans="3:13" ht="49" thickBot="1" x14ac:dyDescent="0.25">
      <c r="C890" s="93"/>
      <c r="D890" s="89" t="s">
        <v>105</v>
      </c>
      <c r="E890" s="123" t="s">
        <v>30</v>
      </c>
      <c r="F890" s="363" t="s">
        <v>872</v>
      </c>
      <c r="G890" s="364"/>
      <c r="H890" s="365"/>
      <c r="I890" s="325" t="s">
        <v>633</v>
      </c>
      <c r="J890" s="326"/>
      <c r="K890" s="327"/>
      <c r="L890" s="189" t="s">
        <v>430</v>
      </c>
      <c r="M890" s="125" t="s">
        <v>431</v>
      </c>
    </row>
    <row r="891" spans="3:13" ht="24" x14ac:dyDescent="0.2">
      <c r="C891" s="93"/>
      <c r="D891" s="195"/>
      <c r="E891" s="122" t="s">
        <v>432</v>
      </c>
      <c r="F891" s="342"/>
      <c r="G891" s="343"/>
      <c r="H891" s="344"/>
      <c r="I891" s="307" t="s">
        <v>855</v>
      </c>
      <c r="J891" s="308"/>
      <c r="K891" s="309"/>
      <c r="L891" s="117"/>
      <c r="M891" s="118"/>
    </row>
    <row r="892" spans="3:13" ht="24" x14ac:dyDescent="0.2">
      <c r="C892" s="93"/>
      <c r="D892" s="195"/>
      <c r="E892" s="92" t="s">
        <v>433</v>
      </c>
      <c r="F892" s="372">
        <v>5.21</v>
      </c>
      <c r="G892" s="373"/>
      <c r="H892" s="374"/>
      <c r="I892" s="307"/>
      <c r="J892" s="308"/>
      <c r="K892" s="309"/>
      <c r="L892" s="117"/>
      <c r="M892" s="118"/>
    </row>
    <row r="893" spans="3:13" ht="25" thickBot="1" x14ac:dyDescent="0.25">
      <c r="C893" s="93"/>
      <c r="D893" s="195"/>
      <c r="E893" s="92" t="s">
        <v>434</v>
      </c>
      <c r="F893" s="372">
        <v>4.3899999999999997</v>
      </c>
      <c r="G893" s="373"/>
      <c r="H893" s="374"/>
      <c r="I893" s="307"/>
      <c r="J893" s="308"/>
      <c r="K893" s="309"/>
      <c r="L893" s="117"/>
      <c r="M893" s="118"/>
    </row>
    <row r="894" spans="3:13" ht="25" thickBot="1" x14ac:dyDescent="0.25">
      <c r="C894" s="93"/>
      <c r="D894" s="195"/>
      <c r="E894" s="94" t="s">
        <v>435</v>
      </c>
      <c r="F894" s="348">
        <v>0.95833333333333337</v>
      </c>
      <c r="G894" s="349"/>
      <c r="H894" s="350"/>
      <c r="I894" s="307"/>
      <c r="J894" s="308"/>
      <c r="K894" s="309"/>
      <c r="L894" s="126">
        <v>6.25E-2</v>
      </c>
      <c r="M894" s="126">
        <v>0.95833333333333337</v>
      </c>
    </row>
    <row r="895" spans="3:13" ht="25" thickBot="1" x14ac:dyDescent="0.25">
      <c r="C895" s="93"/>
      <c r="D895" s="195"/>
      <c r="E895" s="96" t="s">
        <v>436</v>
      </c>
      <c r="F895" s="97" t="s">
        <v>29</v>
      </c>
      <c r="G895" s="97" t="s">
        <v>28</v>
      </c>
      <c r="H895" s="98" t="s">
        <v>27</v>
      </c>
      <c r="I895" s="307"/>
      <c r="J895" s="308"/>
      <c r="K895" s="309"/>
      <c r="L895" s="117"/>
      <c r="M895" s="118"/>
    </row>
    <row r="896" spans="3:13" ht="23" x14ac:dyDescent="0.2">
      <c r="C896" s="93"/>
      <c r="D896" s="195"/>
      <c r="E896" s="99">
        <v>45504</v>
      </c>
      <c r="F896" s="100">
        <v>5.16</v>
      </c>
      <c r="G896" s="100">
        <v>4.72</v>
      </c>
      <c r="H896" s="100">
        <v>2.98</v>
      </c>
      <c r="I896" s="307"/>
      <c r="J896" s="308"/>
      <c r="K896" s="309"/>
      <c r="L896" s="117"/>
      <c r="M896" s="118"/>
    </row>
    <row r="897" spans="3:13" ht="23" x14ac:dyDescent="0.2">
      <c r="C897" s="93"/>
      <c r="D897" s="195"/>
      <c r="E897" s="99">
        <v>45406</v>
      </c>
      <c r="F897" s="100">
        <v>4.71</v>
      </c>
      <c r="G897" s="100">
        <v>4.32</v>
      </c>
      <c r="H897" s="100">
        <v>2.2000000000000002</v>
      </c>
      <c r="I897" s="307"/>
      <c r="J897" s="308"/>
      <c r="K897" s="309"/>
      <c r="L897" s="117"/>
      <c r="M897" s="118"/>
    </row>
    <row r="898" spans="3:13" ht="23" x14ac:dyDescent="0.2">
      <c r="C898" s="93"/>
      <c r="D898" s="195"/>
      <c r="E898" s="99">
        <v>45323</v>
      </c>
      <c r="F898" s="100">
        <v>5.33</v>
      </c>
      <c r="G898" s="100">
        <v>4.96</v>
      </c>
      <c r="H898" s="100">
        <v>1.76</v>
      </c>
      <c r="I898" s="307"/>
      <c r="J898" s="308"/>
      <c r="K898" s="309"/>
      <c r="L898" s="119"/>
      <c r="M898" s="118"/>
    </row>
    <row r="899" spans="3:13" ht="23" x14ac:dyDescent="0.2">
      <c r="C899" s="93"/>
      <c r="D899" s="195"/>
      <c r="E899" s="99">
        <v>45224</v>
      </c>
      <c r="F899" s="100">
        <v>4.3899999999999997</v>
      </c>
      <c r="G899" s="100">
        <v>3.64</v>
      </c>
      <c r="H899" s="100">
        <v>1.64</v>
      </c>
      <c r="I899" s="307"/>
      <c r="J899" s="308"/>
      <c r="K899" s="309"/>
      <c r="L899" s="117"/>
      <c r="M899" s="118"/>
    </row>
    <row r="900" spans="3:13" ht="23" x14ac:dyDescent="0.2">
      <c r="C900" s="93"/>
      <c r="D900" s="195"/>
      <c r="E900" s="99">
        <v>45133</v>
      </c>
      <c r="F900" s="100">
        <v>2.98</v>
      </c>
      <c r="G900" s="100">
        <v>2.91</v>
      </c>
      <c r="H900" s="100">
        <v>2.46</v>
      </c>
      <c r="I900" s="307"/>
      <c r="J900" s="308"/>
      <c r="K900" s="309"/>
      <c r="L900" s="117"/>
      <c r="M900" s="118"/>
    </row>
    <row r="901" spans="3:13" ht="24" thickBot="1" x14ac:dyDescent="0.25">
      <c r="C901" s="93"/>
      <c r="D901" s="195"/>
      <c r="E901" s="143">
        <v>45042</v>
      </c>
      <c r="F901" s="192">
        <v>2.2000000000000002</v>
      </c>
      <c r="G901" s="192">
        <v>2.02</v>
      </c>
      <c r="H901" s="192">
        <v>2.72</v>
      </c>
      <c r="I901" s="310"/>
      <c r="J901" s="311"/>
      <c r="K901" s="312"/>
      <c r="L901" s="120"/>
      <c r="M901" s="121"/>
    </row>
    <row r="902" spans="3:13" ht="49" thickBot="1" x14ac:dyDescent="0.25">
      <c r="C902" s="93"/>
      <c r="D902" s="89" t="s">
        <v>105</v>
      </c>
      <c r="E902" s="123" t="s">
        <v>30</v>
      </c>
      <c r="F902" s="363" t="s">
        <v>854</v>
      </c>
      <c r="G902" s="364"/>
      <c r="H902" s="365"/>
      <c r="I902" s="325" t="s">
        <v>633</v>
      </c>
      <c r="J902" s="326"/>
      <c r="K902" s="327"/>
      <c r="L902" s="189" t="s">
        <v>430</v>
      </c>
      <c r="M902" s="125" t="s">
        <v>431</v>
      </c>
    </row>
    <row r="903" spans="3:13" ht="24" x14ac:dyDescent="0.2">
      <c r="C903" s="93"/>
      <c r="D903" s="195"/>
      <c r="E903" s="122" t="s">
        <v>432</v>
      </c>
      <c r="F903" s="342"/>
      <c r="G903" s="343"/>
      <c r="H903" s="344"/>
      <c r="I903" s="307" t="s">
        <v>855</v>
      </c>
      <c r="J903" s="308"/>
      <c r="K903" s="309"/>
      <c r="L903" s="117"/>
      <c r="M903" s="118"/>
    </row>
    <row r="904" spans="3:13" ht="24" x14ac:dyDescent="0.2">
      <c r="C904" s="93"/>
      <c r="D904" s="195"/>
      <c r="E904" s="92" t="s">
        <v>433</v>
      </c>
      <c r="F904" s="372">
        <v>1.1399999999999999</v>
      </c>
      <c r="G904" s="373"/>
      <c r="H904" s="374"/>
      <c r="I904" s="307"/>
      <c r="J904" s="308"/>
      <c r="K904" s="309"/>
      <c r="L904" s="117"/>
      <c r="M904" s="118"/>
    </row>
    <row r="905" spans="3:13" ht="25" thickBot="1" x14ac:dyDescent="0.25">
      <c r="C905" s="93"/>
      <c r="D905" s="195"/>
      <c r="E905" s="92" t="s">
        <v>434</v>
      </c>
      <c r="F905" s="372"/>
      <c r="G905" s="373"/>
      <c r="H905" s="374"/>
      <c r="I905" s="307"/>
      <c r="J905" s="308"/>
      <c r="K905" s="309"/>
      <c r="L905" s="117"/>
      <c r="M905" s="118"/>
    </row>
    <row r="906" spans="3:13" ht="25" thickBot="1" x14ac:dyDescent="0.25">
      <c r="C906" s="93"/>
      <c r="D906" s="195"/>
      <c r="E906" s="94" t="s">
        <v>435</v>
      </c>
      <c r="F906" s="348">
        <v>0.95833333333333337</v>
      </c>
      <c r="G906" s="349"/>
      <c r="H906" s="350"/>
      <c r="I906" s="307"/>
      <c r="J906" s="308"/>
      <c r="K906" s="309"/>
      <c r="L906" s="126">
        <v>6.25E-2</v>
      </c>
      <c r="M906" s="126">
        <v>0.95833333333333337</v>
      </c>
    </row>
    <row r="907" spans="3:13" ht="25" thickBot="1" x14ac:dyDescent="0.25">
      <c r="C907" s="93"/>
      <c r="D907" s="195"/>
      <c r="E907" s="96" t="s">
        <v>436</v>
      </c>
      <c r="F907" s="97" t="s">
        <v>29</v>
      </c>
      <c r="G907" s="97" t="s">
        <v>28</v>
      </c>
      <c r="H907" s="98" t="s">
        <v>27</v>
      </c>
      <c r="I907" s="307"/>
      <c r="J907" s="308"/>
      <c r="K907" s="309"/>
      <c r="L907" s="117"/>
      <c r="M907" s="118"/>
    </row>
    <row r="908" spans="3:13" ht="23" x14ac:dyDescent="0.2">
      <c r="C908" s="93"/>
      <c r="D908" s="195"/>
      <c r="E908" s="99">
        <v>45506</v>
      </c>
      <c r="F908" s="100">
        <v>1.26</v>
      </c>
      <c r="G908" s="100">
        <v>1.01</v>
      </c>
      <c r="H908" s="100"/>
      <c r="I908" s="307"/>
      <c r="J908" s="308"/>
      <c r="K908" s="309"/>
      <c r="L908" s="117"/>
      <c r="M908" s="118"/>
    </row>
    <row r="909" spans="3:13" ht="23" x14ac:dyDescent="0.2">
      <c r="C909" s="93"/>
      <c r="D909" s="195"/>
      <c r="E909" s="99">
        <v>45415</v>
      </c>
      <c r="F909" s="100">
        <v>1.23</v>
      </c>
      <c r="G909" s="100">
        <v>0.94</v>
      </c>
      <c r="H909" s="100"/>
      <c r="I909" s="307"/>
      <c r="J909" s="308"/>
      <c r="K909" s="309"/>
      <c r="L909" s="117"/>
      <c r="M909" s="118"/>
    </row>
    <row r="910" spans="3:13" ht="23" x14ac:dyDescent="0.2">
      <c r="C910" s="93"/>
      <c r="D910" s="195"/>
      <c r="E910" s="99">
        <v>45325</v>
      </c>
      <c r="F910" s="100">
        <v>1</v>
      </c>
      <c r="G910" s="100">
        <v>0.87</v>
      </c>
      <c r="H910" s="100"/>
      <c r="I910" s="307"/>
      <c r="J910" s="308"/>
      <c r="K910" s="309"/>
      <c r="L910" s="119"/>
      <c r="M910" s="118"/>
    </row>
    <row r="911" spans="3:13" ht="23" x14ac:dyDescent="0.2">
      <c r="C911" s="93"/>
      <c r="D911" s="195"/>
      <c r="E911" s="99">
        <v>45234</v>
      </c>
      <c r="F911" s="100">
        <v>0.94</v>
      </c>
      <c r="G911" s="100">
        <v>0.8</v>
      </c>
      <c r="H911" s="100"/>
      <c r="I911" s="307"/>
      <c r="J911" s="308"/>
      <c r="K911" s="309"/>
      <c r="L911" s="117"/>
      <c r="M911" s="118"/>
    </row>
    <row r="912" spans="3:13" ht="23" x14ac:dyDescent="0.2">
      <c r="C912" s="93"/>
      <c r="D912" s="195"/>
      <c r="E912" s="99">
        <v>45142</v>
      </c>
      <c r="F912" s="100">
        <v>0.87</v>
      </c>
      <c r="G912" s="100">
        <v>0.73</v>
      </c>
      <c r="H912" s="100"/>
      <c r="I912" s="307"/>
      <c r="J912" s="308"/>
      <c r="K912" s="309"/>
      <c r="L912" s="117"/>
      <c r="M912" s="118"/>
    </row>
    <row r="913" spans="3:13" ht="24" thickBot="1" x14ac:dyDescent="0.25">
      <c r="C913" s="93"/>
      <c r="D913" s="195"/>
      <c r="E913" s="99">
        <v>45051</v>
      </c>
      <c r="F913" s="192">
        <v>0.8</v>
      </c>
      <c r="G913" s="192">
        <v>0.66</v>
      </c>
      <c r="H913" s="192"/>
      <c r="I913" s="310"/>
      <c r="J913" s="311"/>
      <c r="K913" s="312"/>
      <c r="L913" s="120"/>
      <c r="M913" s="121"/>
    </row>
    <row r="914" spans="3:13" ht="49" thickBot="1" x14ac:dyDescent="0.25">
      <c r="C914" s="93"/>
      <c r="D914" s="93" t="s">
        <v>105</v>
      </c>
      <c r="E914" s="123" t="s">
        <v>30</v>
      </c>
      <c r="F914" s="363" t="s">
        <v>873</v>
      </c>
      <c r="G914" s="364"/>
      <c r="H914" s="365"/>
      <c r="I914" s="325" t="s">
        <v>633</v>
      </c>
      <c r="J914" s="326"/>
      <c r="K914" s="327"/>
      <c r="L914" s="189" t="s">
        <v>430</v>
      </c>
      <c r="M914" s="125" t="s">
        <v>431</v>
      </c>
    </row>
    <row r="915" spans="3:13" ht="24" x14ac:dyDescent="0.2">
      <c r="C915" s="93"/>
      <c r="D915" s="93"/>
      <c r="E915" s="122" t="s">
        <v>432</v>
      </c>
      <c r="F915" s="342"/>
      <c r="G915" s="343"/>
      <c r="H915" s="344"/>
      <c r="I915" s="307"/>
      <c r="J915" s="308"/>
      <c r="K915" s="309"/>
      <c r="L915" s="117"/>
      <c r="M915" s="118"/>
    </row>
    <row r="916" spans="3:13" ht="24" x14ac:dyDescent="0.2">
      <c r="C916" s="93"/>
      <c r="D916" s="93"/>
      <c r="E916" s="92" t="s">
        <v>433</v>
      </c>
      <c r="F916" s="396">
        <v>1E-3</v>
      </c>
      <c r="G916" s="373"/>
      <c r="H916" s="374"/>
      <c r="I916" s="307"/>
      <c r="J916" s="308"/>
      <c r="K916" s="309"/>
      <c r="L916" s="117"/>
      <c r="M916" s="118"/>
    </row>
    <row r="917" spans="3:13" ht="25" thickBot="1" x14ac:dyDescent="0.25">
      <c r="C917" s="93"/>
      <c r="D917" s="93"/>
      <c r="E917" s="92" t="s">
        <v>434</v>
      </c>
      <c r="F917" s="396">
        <v>1E-3</v>
      </c>
      <c r="G917" s="373"/>
      <c r="H917" s="374"/>
      <c r="I917" s="307"/>
      <c r="J917" s="308"/>
      <c r="K917" s="309"/>
      <c r="L917" s="117"/>
      <c r="M917" s="118"/>
    </row>
    <row r="918" spans="3:13" ht="25" thickBot="1" x14ac:dyDescent="0.25">
      <c r="C918" s="93"/>
      <c r="D918" s="93"/>
      <c r="E918" s="94" t="s">
        <v>435</v>
      </c>
      <c r="F918" s="360">
        <v>0.54166666666666674</v>
      </c>
      <c r="G918" s="361"/>
      <c r="H918" s="362"/>
      <c r="I918" s="307"/>
      <c r="J918" s="308"/>
      <c r="K918" s="309"/>
      <c r="L918" s="126">
        <v>0.77083333333333337</v>
      </c>
      <c r="M918" s="127">
        <v>0.95833333333333337</v>
      </c>
    </row>
    <row r="919" spans="3:13" ht="25" thickBot="1" x14ac:dyDescent="0.25">
      <c r="C919" s="93"/>
      <c r="D919" s="93"/>
      <c r="E919" s="96" t="s">
        <v>436</v>
      </c>
      <c r="F919" s="97" t="s">
        <v>29</v>
      </c>
      <c r="G919" s="97" t="s">
        <v>28</v>
      </c>
      <c r="H919" s="98" t="s">
        <v>27</v>
      </c>
      <c r="I919" s="307"/>
      <c r="J919" s="308"/>
      <c r="K919" s="309"/>
      <c r="L919" s="117"/>
      <c r="M919" s="118"/>
    </row>
    <row r="920" spans="3:13" ht="24" x14ac:dyDescent="0.2">
      <c r="C920" s="93"/>
      <c r="D920" s="93"/>
      <c r="E920" s="99">
        <v>45559</v>
      </c>
      <c r="F920" s="105">
        <v>1E-3</v>
      </c>
      <c r="G920" s="105" t="s">
        <v>460</v>
      </c>
      <c r="H920" s="105">
        <v>0</v>
      </c>
      <c r="I920" s="307"/>
      <c r="J920" s="308"/>
      <c r="K920" s="309"/>
      <c r="L920" s="117"/>
      <c r="M920" s="118"/>
    </row>
    <row r="921" spans="3:13" ht="24" x14ac:dyDescent="0.2">
      <c r="C921" s="93"/>
      <c r="D921" s="93"/>
      <c r="E921" s="99">
        <v>45531</v>
      </c>
      <c r="F921" s="105">
        <v>-1E-3</v>
      </c>
      <c r="G921" s="105" t="s">
        <v>462</v>
      </c>
      <c r="H921" s="105">
        <v>0</v>
      </c>
      <c r="I921" s="307"/>
      <c r="J921" s="308"/>
      <c r="K921" s="309"/>
      <c r="L921" s="117"/>
      <c r="M921" s="118"/>
    </row>
    <row r="922" spans="3:13" ht="24" x14ac:dyDescent="0.2">
      <c r="C922" s="93"/>
      <c r="D922" s="93"/>
      <c r="E922" s="99">
        <v>45503</v>
      </c>
      <c r="F922" s="105">
        <v>0</v>
      </c>
      <c r="G922" s="105" t="s">
        <v>460</v>
      </c>
      <c r="H922" s="105">
        <v>3.0000000000000001E-3</v>
      </c>
      <c r="I922" s="307"/>
      <c r="J922" s="308"/>
      <c r="K922" s="309"/>
      <c r="L922" s="119"/>
      <c r="M922" s="118"/>
    </row>
    <row r="923" spans="3:13" ht="24" x14ac:dyDescent="0.2">
      <c r="C923" s="93"/>
      <c r="D923" s="93"/>
      <c r="E923" s="99">
        <v>45468</v>
      </c>
      <c r="F923" s="105">
        <v>2E-3</v>
      </c>
      <c r="G923" s="105" t="s">
        <v>467</v>
      </c>
      <c r="H923" s="105">
        <v>1E-3</v>
      </c>
      <c r="I923" s="307"/>
      <c r="J923" s="308"/>
      <c r="K923" s="309"/>
      <c r="L923" s="117"/>
      <c r="M923" s="118"/>
    </row>
    <row r="924" spans="3:13" ht="24" x14ac:dyDescent="0.2">
      <c r="C924" s="93"/>
      <c r="D924" s="93"/>
      <c r="E924" s="99">
        <v>45440</v>
      </c>
      <c r="F924" s="105">
        <v>1E-3</v>
      </c>
      <c r="G924" s="105" t="s">
        <v>903</v>
      </c>
      <c r="H924" s="105">
        <v>1.2E-2</v>
      </c>
      <c r="I924" s="307"/>
      <c r="J924" s="308"/>
      <c r="K924" s="309"/>
      <c r="L924" s="117"/>
      <c r="M924" s="118"/>
    </row>
    <row r="925" spans="3:13" ht="25" thickBot="1" x14ac:dyDescent="0.25">
      <c r="C925" s="93"/>
      <c r="D925" s="93"/>
      <c r="E925" s="99">
        <v>45412</v>
      </c>
      <c r="F925" s="105">
        <v>1.2E-2</v>
      </c>
      <c r="G925" s="105" t="s">
        <v>462</v>
      </c>
      <c r="H925" s="105">
        <v>-1E-3</v>
      </c>
      <c r="I925" s="310"/>
      <c r="J925" s="311"/>
      <c r="K925" s="312"/>
      <c r="L925" s="120"/>
      <c r="M925" s="121"/>
    </row>
    <row r="926" spans="3:13" ht="49" thickBot="1" x14ac:dyDescent="0.25">
      <c r="C926" s="93" t="s">
        <v>105</v>
      </c>
      <c r="D926" s="93" t="s">
        <v>105</v>
      </c>
      <c r="E926" s="252" t="s">
        <v>30</v>
      </c>
      <c r="F926" s="322" t="s">
        <v>915</v>
      </c>
      <c r="G926" s="323"/>
      <c r="H926" s="324"/>
      <c r="I926" s="325" t="s">
        <v>633</v>
      </c>
      <c r="J926" s="326"/>
      <c r="K926" s="327"/>
      <c r="L926" s="189" t="s">
        <v>430</v>
      </c>
      <c r="M926" s="125" t="s">
        <v>431</v>
      </c>
    </row>
    <row r="927" spans="3:13" ht="24" x14ac:dyDescent="0.2">
      <c r="C927" s="93"/>
      <c r="D927" s="93"/>
      <c r="E927" s="248" t="s">
        <v>432</v>
      </c>
      <c r="F927" s="304"/>
      <c r="G927" s="305"/>
      <c r="H927" s="306"/>
      <c r="I927" s="307" t="s">
        <v>916</v>
      </c>
      <c r="J927" s="308"/>
      <c r="K927" s="309"/>
      <c r="L927" s="117"/>
      <c r="M927" s="118"/>
    </row>
    <row r="928" spans="3:13" ht="24" x14ac:dyDescent="0.2">
      <c r="C928" s="93"/>
      <c r="D928" s="93"/>
      <c r="E928" s="253" t="s">
        <v>433</v>
      </c>
      <c r="F928" s="313">
        <v>4.3499999999999997E-2</v>
      </c>
      <c r="G928" s="314"/>
      <c r="H928" s="315"/>
      <c r="I928" s="307"/>
      <c r="J928" s="308"/>
      <c r="K928" s="309"/>
      <c r="L928" s="117"/>
      <c r="M928" s="118"/>
    </row>
    <row r="929" spans="3:13" ht="25" thickBot="1" x14ac:dyDescent="0.25">
      <c r="C929" s="93"/>
      <c r="D929" s="93"/>
      <c r="E929" s="253" t="s">
        <v>434</v>
      </c>
      <c r="F929" s="313">
        <v>4.3499999999999997E-2</v>
      </c>
      <c r="G929" s="314"/>
      <c r="H929" s="315"/>
      <c r="I929" s="307"/>
      <c r="J929" s="308"/>
      <c r="K929" s="309"/>
      <c r="L929" s="117"/>
      <c r="M929" s="118"/>
    </row>
    <row r="930" spans="3:13" ht="25" thickBot="1" x14ac:dyDescent="0.25">
      <c r="C930" s="93"/>
      <c r="D930" s="93"/>
      <c r="E930" s="254" t="s">
        <v>435</v>
      </c>
      <c r="F930" s="319">
        <v>0.14583333333333334</v>
      </c>
      <c r="G930" s="320"/>
      <c r="H930" s="321"/>
      <c r="I930" s="307"/>
      <c r="J930" s="308"/>
      <c r="K930" s="309"/>
      <c r="L930" s="126">
        <v>0.375</v>
      </c>
      <c r="M930" s="127">
        <v>0.22916666666666666</v>
      </c>
    </row>
    <row r="931" spans="3:13" ht="25" thickBot="1" x14ac:dyDescent="0.25">
      <c r="C931" s="93"/>
      <c r="D931" s="93"/>
      <c r="E931" s="249" t="s">
        <v>436</v>
      </c>
      <c r="F931" s="255" t="s">
        <v>29</v>
      </c>
      <c r="G931" s="255" t="s">
        <v>28</v>
      </c>
      <c r="H931" s="256" t="s">
        <v>27</v>
      </c>
      <c r="I931" s="307"/>
      <c r="J931" s="308"/>
      <c r="K931" s="309"/>
      <c r="L931" s="117"/>
      <c r="M931" s="118"/>
    </row>
    <row r="932" spans="3:13" ht="24" x14ac:dyDescent="0.2">
      <c r="C932" s="93"/>
      <c r="D932" s="93"/>
      <c r="E932" s="250">
        <v>45559</v>
      </c>
      <c r="F932" s="257">
        <v>4.3499999999999997E-2</v>
      </c>
      <c r="G932" s="257" t="s">
        <v>938</v>
      </c>
      <c r="H932" s="257">
        <v>4.3499999999999997E-2</v>
      </c>
      <c r="I932" s="307"/>
      <c r="J932" s="308"/>
      <c r="K932" s="309"/>
      <c r="L932" s="117"/>
      <c r="M932" s="118"/>
    </row>
    <row r="933" spans="3:13" ht="24" x14ac:dyDescent="0.2">
      <c r="C933" s="93"/>
      <c r="D933" s="93"/>
      <c r="E933" s="250">
        <v>45510</v>
      </c>
      <c r="F933" s="257">
        <v>4.3499999999999997E-2</v>
      </c>
      <c r="G933" s="257" t="s">
        <v>938</v>
      </c>
      <c r="H933" s="257">
        <v>4.3499999999999997E-2</v>
      </c>
      <c r="I933" s="307"/>
      <c r="J933" s="308"/>
      <c r="K933" s="309"/>
      <c r="L933" s="117"/>
      <c r="M933" s="118"/>
    </row>
    <row r="934" spans="3:13" ht="24" x14ac:dyDescent="0.2">
      <c r="C934" s="93"/>
      <c r="D934" s="93"/>
      <c r="E934" s="250">
        <v>45461</v>
      </c>
      <c r="F934" s="257">
        <v>4.3499999999999997E-2</v>
      </c>
      <c r="G934" s="257" t="s">
        <v>938</v>
      </c>
      <c r="H934" s="257">
        <v>4.3499999999999997E-2</v>
      </c>
      <c r="I934" s="307"/>
      <c r="J934" s="308"/>
      <c r="K934" s="309"/>
      <c r="L934" s="119"/>
      <c r="M934" s="118"/>
    </row>
    <row r="935" spans="3:13" ht="24" x14ac:dyDescent="0.2">
      <c r="C935" s="93"/>
      <c r="D935" s="93"/>
      <c r="E935" s="250">
        <v>45419</v>
      </c>
      <c r="F935" s="257">
        <v>4.3499999999999997E-2</v>
      </c>
      <c r="G935" s="257" t="s">
        <v>938</v>
      </c>
      <c r="H935" s="257">
        <v>4.3499999999999997E-2</v>
      </c>
      <c r="I935" s="307"/>
      <c r="J935" s="308"/>
      <c r="K935" s="309"/>
      <c r="L935" s="117"/>
      <c r="M935" s="118"/>
    </row>
    <row r="936" spans="3:13" ht="24" x14ac:dyDescent="0.2">
      <c r="C936" s="93"/>
      <c r="D936" s="93"/>
      <c r="E936" s="250">
        <v>45370</v>
      </c>
      <c r="F936" s="257">
        <v>4.3499999999999997E-2</v>
      </c>
      <c r="G936" s="257" t="s">
        <v>938</v>
      </c>
      <c r="H936" s="257">
        <v>4.3499999999999997E-2</v>
      </c>
      <c r="I936" s="307"/>
      <c r="J936" s="308"/>
      <c r="K936" s="309"/>
      <c r="L936" s="117"/>
      <c r="M936" s="118"/>
    </row>
    <row r="937" spans="3:13" ht="25" thickBot="1" x14ac:dyDescent="0.25">
      <c r="C937" s="93"/>
      <c r="D937" s="93"/>
      <c r="E937" s="250">
        <v>45328</v>
      </c>
      <c r="F937" s="257">
        <v>4.3499999999999997E-2</v>
      </c>
      <c r="G937" s="257" t="s">
        <v>938</v>
      </c>
      <c r="H937" s="257">
        <v>4.3499999999999997E-2</v>
      </c>
      <c r="I937" s="310"/>
      <c r="J937" s="311"/>
      <c r="K937" s="312"/>
      <c r="L937" s="120"/>
      <c r="M937" s="121"/>
    </row>
    <row r="938" spans="3:13" ht="49" thickBot="1" x14ac:dyDescent="0.25">
      <c r="C938" s="93"/>
      <c r="D938" s="93" t="s">
        <v>105</v>
      </c>
      <c r="E938" s="252" t="s">
        <v>30</v>
      </c>
      <c r="F938" s="322" t="s">
        <v>917</v>
      </c>
      <c r="G938" s="323"/>
      <c r="H938" s="324"/>
      <c r="I938" s="325" t="s">
        <v>633</v>
      </c>
      <c r="J938" s="326"/>
      <c r="K938" s="327"/>
      <c r="L938" s="189" t="s">
        <v>430</v>
      </c>
      <c r="M938" s="125" t="s">
        <v>431</v>
      </c>
    </row>
    <row r="939" spans="3:13" ht="24" x14ac:dyDescent="0.2">
      <c r="C939" s="93"/>
      <c r="D939" s="93"/>
      <c r="E939" s="248" t="s">
        <v>432</v>
      </c>
      <c r="F939" s="304"/>
      <c r="G939" s="305"/>
      <c r="H939" s="306"/>
      <c r="I939" s="307" t="s">
        <v>918</v>
      </c>
      <c r="J939" s="308"/>
      <c r="K939" s="309"/>
      <c r="L939" s="117"/>
      <c r="M939" s="118"/>
    </row>
    <row r="940" spans="3:13" ht="24" x14ac:dyDescent="0.2">
      <c r="C940" s="93"/>
      <c r="D940" s="93"/>
      <c r="E940" s="253" t="s">
        <v>433</v>
      </c>
      <c r="F940" s="313"/>
      <c r="G940" s="314"/>
      <c r="H940" s="315"/>
      <c r="I940" s="307"/>
      <c r="J940" s="308"/>
      <c r="K940" s="309"/>
      <c r="L940" s="117"/>
      <c r="M940" s="118"/>
    </row>
    <row r="941" spans="3:13" ht="25" thickBot="1" x14ac:dyDescent="0.25">
      <c r="C941" s="93"/>
      <c r="D941" s="93"/>
      <c r="E941" s="253" t="s">
        <v>434</v>
      </c>
      <c r="F941" s="313"/>
      <c r="G941" s="314"/>
      <c r="H941" s="315"/>
      <c r="I941" s="307"/>
      <c r="J941" s="308"/>
      <c r="K941" s="309"/>
      <c r="L941" s="117"/>
      <c r="M941" s="118"/>
    </row>
    <row r="942" spans="3:13" ht="25" thickBot="1" x14ac:dyDescent="0.25">
      <c r="C942" s="93"/>
      <c r="D942" s="93"/>
      <c r="E942" s="254" t="s">
        <v>435</v>
      </c>
      <c r="F942" s="319">
        <v>0.41666666666666674</v>
      </c>
      <c r="G942" s="320"/>
      <c r="H942" s="321"/>
      <c r="I942" s="307"/>
      <c r="J942" s="308"/>
      <c r="K942" s="309"/>
      <c r="L942" s="126">
        <v>0.64583333333333337</v>
      </c>
      <c r="M942" s="127">
        <v>0.5</v>
      </c>
    </row>
    <row r="943" spans="3:13" ht="25" thickBot="1" x14ac:dyDescent="0.25">
      <c r="C943" s="93"/>
      <c r="D943" s="93"/>
      <c r="E943" s="249" t="s">
        <v>436</v>
      </c>
      <c r="F943" s="255" t="s">
        <v>29</v>
      </c>
      <c r="G943" s="255" t="s">
        <v>28</v>
      </c>
      <c r="H943" s="256" t="s">
        <v>27</v>
      </c>
      <c r="I943" s="307"/>
      <c r="J943" s="308"/>
      <c r="K943" s="309"/>
      <c r="L943" s="117"/>
      <c r="M943" s="118"/>
    </row>
    <row r="944" spans="3:13" ht="23" x14ac:dyDescent="0.2">
      <c r="C944" s="93"/>
      <c r="D944" s="93"/>
      <c r="E944" s="250">
        <v>44138</v>
      </c>
      <c r="F944" s="258"/>
      <c r="G944" s="258"/>
      <c r="H944" s="258"/>
      <c r="I944" s="307"/>
      <c r="J944" s="308"/>
      <c r="K944" s="309"/>
      <c r="L944" s="117"/>
      <c r="M944" s="118"/>
    </row>
    <row r="945" spans="3:13" ht="23" x14ac:dyDescent="0.2">
      <c r="C945" s="93"/>
      <c r="D945" s="93"/>
      <c r="E945" s="250">
        <v>42682</v>
      </c>
      <c r="F945" s="258"/>
      <c r="G945" s="258"/>
      <c r="H945" s="258"/>
      <c r="I945" s="307"/>
      <c r="J945" s="308"/>
      <c r="K945" s="309"/>
      <c r="L945" s="117"/>
      <c r="M945" s="118"/>
    </row>
    <row r="946" spans="3:13" ht="23" x14ac:dyDescent="0.2">
      <c r="C946" s="93"/>
      <c r="D946" s="93"/>
      <c r="E946" s="250">
        <v>41219</v>
      </c>
      <c r="F946" s="258"/>
      <c r="G946" s="258"/>
      <c r="H946" s="258"/>
      <c r="I946" s="307"/>
      <c r="J946" s="308"/>
      <c r="K946" s="309"/>
      <c r="L946" s="119"/>
      <c r="M946" s="118"/>
    </row>
    <row r="947" spans="3:13" ht="23" x14ac:dyDescent="0.2">
      <c r="C947" s="93"/>
      <c r="D947" s="93"/>
      <c r="E947" s="250">
        <v>39756</v>
      </c>
      <c r="F947" s="258"/>
      <c r="G947" s="258"/>
      <c r="H947" s="258"/>
      <c r="I947" s="307"/>
      <c r="J947" s="308"/>
      <c r="K947" s="309"/>
      <c r="L947" s="117"/>
      <c r="M947" s="118"/>
    </row>
    <row r="948" spans="3:13" ht="23" x14ac:dyDescent="0.2">
      <c r="C948" s="93"/>
      <c r="D948" s="93"/>
      <c r="E948" s="250"/>
      <c r="F948" s="258"/>
      <c r="G948" s="258"/>
      <c r="H948" s="258"/>
      <c r="I948" s="307"/>
      <c r="J948" s="308"/>
      <c r="K948" s="309"/>
      <c r="L948" s="117"/>
      <c r="M948" s="118"/>
    </row>
    <row r="949" spans="3:13" ht="24" thickBot="1" x14ac:dyDescent="0.25">
      <c r="C949" s="93"/>
      <c r="D949" s="93"/>
      <c r="E949" s="250"/>
      <c r="F949" s="258"/>
      <c r="G949" s="258"/>
      <c r="H949" s="258"/>
      <c r="I949" s="310"/>
      <c r="J949" s="311"/>
      <c r="K949" s="312"/>
      <c r="L949" s="120"/>
      <c r="M949" s="121"/>
    </row>
    <row r="950" spans="3:13" ht="49" thickBot="1" x14ac:dyDescent="0.25">
      <c r="C950" s="93"/>
      <c r="D950" s="93" t="s">
        <v>105</v>
      </c>
      <c r="E950" s="252" t="s">
        <v>30</v>
      </c>
      <c r="F950" s="322" t="s">
        <v>919</v>
      </c>
      <c r="G950" s="323"/>
      <c r="H950" s="324"/>
      <c r="I950" s="325" t="s">
        <v>633</v>
      </c>
      <c r="J950" s="326"/>
      <c r="K950" s="327"/>
      <c r="L950" s="189" t="s">
        <v>430</v>
      </c>
      <c r="M950" s="125" t="s">
        <v>431</v>
      </c>
    </row>
    <row r="951" spans="3:13" ht="24" x14ac:dyDescent="0.2">
      <c r="C951" s="93"/>
      <c r="D951" s="93"/>
      <c r="E951" s="248" t="s">
        <v>432</v>
      </c>
      <c r="F951" s="304"/>
      <c r="G951" s="305"/>
      <c r="H951" s="306"/>
      <c r="I951" s="307" t="s">
        <v>716</v>
      </c>
      <c r="J951" s="308"/>
      <c r="K951" s="309"/>
      <c r="L951" s="117"/>
      <c r="M951" s="118"/>
    </row>
    <row r="952" spans="3:13" ht="24" x14ac:dyDescent="0.2">
      <c r="C952" s="93"/>
      <c r="D952" s="93"/>
      <c r="E952" s="253" t="s">
        <v>433</v>
      </c>
      <c r="F952" s="331">
        <v>55.3</v>
      </c>
      <c r="G952" s="332"/>
      <c r="H952" s="333"/>
      <c r="I952" s="307"/>
      <c r="J952" s="308"/>
      <c r="K952" s="309"/>
      <c r="L952" s="117"/>
      <c r="M952" s="118"/>
    </row>
    <row r="953" spans="3:13" ht="25" thickBot="1" x14ac:dyDescent="0.25">
      <c r="C953" s="93"/>
      <c r="D953" s="93"/>
      <c r="E953" s="253" t="s">
        <v>434</v>
      </c>
      <c r="F953" s="331">
        <v>55.2</v>
      </c>
      <c r="G953" s="332"/>
      <c r="H953" s="333"/>
      <c r="I953" s="307"/>
      <c r="J953" s="308"/>
      <c r="K953" s="309"/>
      <c r="L953" s="117"/>
      <c r="M953" s="118"/>
    </row>
    <row r="954" spans="3:13" ht="25" thickBot="1" x14ac:dyDescent="0.25">
      <c r="C954" s="93"/>
      <c r="D954" s="93"/>
      <c r="E954" s="254" t="s">
        <v>435</v>
      </c>
      <c r="F954" s="319">
        <v>0.625</v>
      </c>
      <c r="G954" s="320"/>
      <c r="H954" s="321"/>
      <c r="I954" s="307"/>
      <c r="J954" s="308"/>
      <c r="K954" s="309"/>
      <c r="L954" s="126">
        <v>0.85416666666666663</v>
      </c>
      <c r="M954" s="127">
        <v>0.70833333333333326</v>
      </c>
    </row>
    <row r="955" spans="3:13" ht="25" thickBot="1" x14ac:dyDescent="0.25">
      <c r="C955" s="93"/>
      <c r="D955" s="93"/>
      <c r="E955" s="249" t="s">
        <v>436</v>
      </c>
      <c r="F955" s="255" t="s">
        <v>29</v>
      </c>
      <c r="G955" s="255" t="s">
        <v>28</v>
      </c>
      <c r="H955" s="256" t="s">
        <v>27</v>
      </c>
      <c r="I955" s="307"/>
      <c r="J955" s="308"/>
      <c r="K955" s="309"/>
      <c r="L955" s="117"/>
      <c r="M955" s="118"/>
    </row>
    <row r="956" spans="3:13" ht="24" x14ac:dyDescent="0.2">
      <c r="C956" s="93"/>
      <c r="D956" s="93"/>
      <c r="E956" s="250">
        <v>45589</v>
      </c>
      <c r="F956" s="259">
        <v>55.3</v>
      </c>
      <c r="G956" s="259" t="s">
        <v>604</v>
      </c>
      <c r="H956" s="259">
        <v>55.2</v>
      </c>
      <c r="I956" s="307"/>
      <c r="J956" s="308"/>
      <c r="K956" s="309"/>
      <c r="L956" s="117"/>
      <c r="M956" s="118"/>
    </row>
    <row r="957" spans="3:13" ht="24" x14ac:dyDescent="0.2">
      <c r="C957" s="93"/>
      <c r="D957" s="93"/>
      <c r="E957" s="250">
        <v>45568</v>
      </c>
      <c r="F957" s="259">
        <v>55.2</v>
      </c>
      <c r="G957" s="259" t="s">
        <v>759</v>
      </c>
      <c r="H957" s="259">
        <v>55.7</v>
      </c>
      <c r="I957" s="307"/>
      <c r="J957" s="308"/>
      <c r="K957" s="309"/>
      <c r="L957" s="117"/>
      <c r="M957" s="118"/>
    </row>
    <row r="958" spans="3:13" ht="24" x14ac:dyDescent="0.2">
      <c r="C958" s="93"/>
      <c r="D958" s="93"/>
      <c r="E958" s="250">
        <v>45558</v>
      </c>
      <c r="F958" s="259">
        <v>55.4</v>
      </c>
      <c r="G958" s="259" t="s">
        <v>585</v>
      </c>
      <c r="H958" s="259">
        <v>55.7</v>
      </c>
      <c r="I958" s="307"/>
      <c r="J958" s="308"/>
      <c r="K958" s="309"/>
      <c r="L958" s="119"/>
      <c r="M958" s="118"/>
    </row>
    <row r="959" spans="3:13" ht="24" x14ac:dyDescent="0.2">
      <c r="C959" s="93"/>
      <c r="D959" s="93"/>
      <c r="E959" s="250">
        <v>45540</v>
      </c>
      <c r="F959" s="259">
        <v>55.7</v>
      </c>
      <c r="G959" s="259" t="s">
        <v>586</v>
      </c>
      <c r="H959" s="259">
        <v>55</v>
      </c>
      <c r="I959" s="307"/>
      <c r="J959" s="308"/>
      <c r="K959" s="309"/>
      <c r="L959" s="117"/>
      <c r="M959" s="118"/>
    </row>
    <row r="960" spans="3:13" ht="24" x14ac:dyDescent="0.2">
      <c r="C960" s="93"/>
      <c r="D960" s="93"/>
      <c r="E960" s="250">
        <v>45526</v>
      </c>
      <c r="F960" s="259">
        <v>55.2</v>
      </c>
      <c r="G960" s="259" t="s">
        <v>587</v>
      </c>
      <c r="H960" s="259">
        <v>55</v>
      </c>
      <c r="I960" s="307"/>
      <c r="J960" s="308"/>
      <c r="K960" s="309"/>
      <c r="L960" s="117"/>
      <c r="M960" s="118"/>
    </row>
    <row r="961" spans="3:13" ht="25" thickBot="1" x14ac:dyDescent="0.25">
      <c r="C961" s="93"/>
      <c r="D961" s="93"/>
      <c r="E961" s="250">
        <v>45509</v>
      </c>
      <c r="F961" s="259">
        <v>55</v>
      </c>
      <c r="G961" s="259" t="s">
        <v>589</v>
      </c>
      <c r="H961" s="259">
        <v>55.3</v>
      </c>
      <c r="I961" s="310"/>
      <c r="J961" s="311"/>
      <c r="K961" s="312"/>
      <c r="L961" s="120"/>
      <c r="M961" s="121"/>
    </row>
    <row r="962" spans="3:13" ht="49" thickBot="1" x14ac:dyDescent="0.25">
      <c r="C962" s="93"/>
      <c r="D962" s="93" t="s">
        <v>105</v>
      </c>
      <c r="E962" s="252" t="s">
        <v>30</v>
      </c>
      <c r="F962" s="322" t="s">
        <v>920</v>
      </c>
      <c r="G962" s="323"/>
      <c r="H962" s="324"/>
      <c r="I962" s="325" t="s">
        <v>633</v>
      </c>
      <c r="J962" s="326"/>
      <c r="K962" s="327"/>
      <c r="L962" s="189" t="s">
        <v>430</v>
      </c>
      <c r="M962" s="125" t="s">
        <v>431</v>
      </c>
    </row>
    <row r="963" spans="3:13" ht="24" x14ac:dyDescent="0.2">
      <c r="C963" s="93"/>
      <c r="D963" s="93"/>
      <c r="E963" s="248" t="s">
        <v>432</v>
      </c>
      <c r="F963" s="304"/>
      <c r="G963" s="305"/>
      <c r="H963" s="306"/>
      <c r="I963" s="307" t="s">
        <v>921</v>
      </c>
      <c r="J963" s="308"/>
      <c r="K963" s="309"/>
      <c r="L963" s="117"/>
      <c r="M963" s="118"/>
    </row>
    <row r="964" spans="3:13" ht="24" x14ac:dyDescent="0.2">
      <c r="C964" s="93"/>
      <c r="D964" s="93"/>
      <c r="E964" s="253" t="s">
        <v>433</v>
      </c>
      <c r="F964" s="331">
        <v>53.3</v>
      </c>
      <c r="G964" s="332"/>
      <c r="H964" s="333"/>
      <c r="I964" s="307"/>
      <c r="J964" s="308"/>
      <c r="K964" s="309"/>
      <c r="L964" s="117"/>
      <c r="M964" s="118"/>
    </row>
    <row r="965" spans="3:13" ht="25" thickBot="1" x14ac:dyDescent="0.25">
      <c r="C965" s="93"/>
      <c r="D965" s="93"/>
      <c r="E965" s="253" t="s">
        <v>434</v>
      </c>
      <c r="F965" s="331">
        <v>54.9</v>
      </c>
      <c r="G965" s="332"/>
      <c r="H965" s="333"/>
      <c r="I965" s="307"/>
      <c r="J965" s="308"/>
      <c r="K965" s="309"/>
      <c r="L965" s="117"/>
      <c r="M965" s="118"/>
    </row>
    <row r="966" spans="3:13" ht="25" thickBot="1" x14ac:dyDescent="0.25">
      <c r="C966" s="93"/>
      <c r="D966" s="93"/>
      <c r="E966" s="254" t="s">
        <v>435</v>
      </c>
      <c r="F966" s="319">
        <v>0.625</v>
      </c>
      <c r="G966" s="320"/>
      <c r="H966" s="321"/>
      <c r="I966" s="307"/>
      <c r="J966" s="308"/>
      <c r="K966" s="309"/>
      <c r="L966" s="126">
        <v>0.85416666666666663</v>
      </c>
      <c r="M966" s="127">
        <v>0.70833333333333326</v>
      </c>
    </row>
    <row r="967" spans="3:13" ht="25" thickBot="1" x14ac:dyDescent="0.25">
      <c r="C967" s="93"/>
      <c r="D967" s="93"/>
      <c r="E967" s="249" t="s">
        <v>436</v>
      </c>
      <c r="F967" s="255" t="s">
        <v>29</v>
      </c>
      <c r="G967" s="255" t="s">
        <v>28</v>
      </c>
      <c r="H967" s="256" t="s">
        <v>27</v>
      </c>
      <c r="I967" s="307"/>
      <c r="J967" s="308"/>
      <c r="K967" s="309"/>
      <c r="L967" s="117"/>
      <c r="M967" s="118"/>
    </row>
    <row r="968" spans="3:13" ht="24" x14ac:dyDescent="0.2">
      <c r="C968" s="93"/>
      <c r="D968" s="93"/>
      <c r="E968" s="250">
        <v>45568</v>
      </c>
      <c r="F968" s="259">
        <v>54.9</v>
      </c>
      <c r="G968" s="259" t="s">
        <v>506</v>
      </c>
      <c r="H968" s="259">
        <v>51.5</v>
      </c>
      <c r="I968" s="307"/>
      <c r="J968" s="308"/>
      <c r="K968" s="309"/>
      <c r="L968" s="117"/>
      <c r="M968" s="118"/>
    </row>
    <row r="969" spans="3:13" ht="24" x14ac:dyDescent="0.2">
      <c r="C969" s="93"/>
      <c r="D969" s="93"/>
      <c r="E969" s="250">
        <v>45540</v>
      </c>
      <c r="F969" s="259">
        <v>51.5</v>
      </c>
      <c r="G969" s="259" t="s">
        <v>594</v>
      </c>
      <c r="H969" s="259">
        <v>51.4</v>
      </c>
      <c r="I969" s="307"/>
      <c r="J969" s="308"/>
      <c r="K969" s="309"/>
      <c r="L969" s="117"/>
      <c r="M969" s="118"/>
    </row>
    <row r="970" spans="3:13" ht="24" x14ac:dyDescent="0.2">
      <c r="C970" s="93"/>
      <c r="D970" s="93"/>
      <c r="E970" s="250">
        <v>45509</v>
      </c>
      <c r="F970" s="259">
        <v>51.4</v>
      </c>
      <c r="G970" s="259" t="s">
        <v>595</v>
      </c>
      <c r="H970" s="259">
        <v>48.8</v>
      </c>
      <c r="I970" s="307"/>
      <c r="J970" s="308"/>
      <c r="K970" s="309"/>
      <c r="L970" s="119"/>
      <c r="M970" s="118"/>
    </row>
    <row r="971" spans="3:13" ht="24" x14ac:dyDescent="0.2">
      <c r="C971" s="93"/>
      <c r="D971" s="93"/>
      <c r="E971" s="250">
        <v>45476</v>
      </c>
      <c r="F971" s="259">
        <v>48.8</v>
      </c>
      <c r="G971" s="259" t="s">
        <v>596</v>
      </c>
      <c r="H971" s="259">
        <v>53.8</v>
      </c>
      <c r="I971" s="307"/>
      <c r="J971" s="308"/>
      <c r="K971" s="309"/>
      <c r="L971" s="117"/>
      <c r="M971" s="118"/>
    </row>
    <row r="972" spans="3:13" ht="24" x14ac:dyDescent="0.2">
      <c r="C972" s="93"/>
      <c r="D972" s="93"/>
      <c r="E972" s="250">
        <v>45448</v>
      </c>
      <c r="F972" s="259">
        <v>53.8</v>
      </c>
      <c r="G972" s="259" t="s">
        <v>597</v>
      </c>
      <c r="H972" s="259">
        <v>49.4</v>
      </c>
      <c r="I972" s="307"/>
      <c r="J972" s="308"/>
      <c r="K972" s="309"/>
      <c r="L972" s="117"/>
      <c r="M972" s="118"/>
    </row>
    <row r="973" spans="3:13" ht="25" thickBot="1" x14ac:dyDescent="0.25">
      <c r="C973" s="93"/>
      <c r="D973" s="93"/>
      <c r="E973" s="250">
        <v>45415</v>
      </c>
      <c r="F973" s="259">
        <v>49.4</v>
      </c>
      <c r="G973" s="259" t="s">
        <v>599</v>
      </c>
      <c r="H973" s="259">
        <v>51.4</v>
      </c>
      <c r="I973" s="310"/>
      <c r="J973" s="311"/>
      <c r="K973" s="312"/>
      <c r="L973" s="120"/>
      <c r="M973" s="121"/>
    </row>
    <row r="974" spans="3:13" ht="49" thickBot="1" x14ac:dyDescent="0.25">
      <c r="C974" s="93"/>
      <c r="D974" s="93" t="s">
        <v>105</v>
      </c>
      <c r="E974" s="252" t="s">
        <v>30</v>
      </c>
      <c r="F974" s="322" t="s">
        <v>922</v>
      </c>
      <c r="G974" s="323"/>
      <c r="H974" s="324"/>
      <c r="I974" s="325" t="s">
        <v>633</v>
      </c>
      <c r="J974" s="326"/>
      <c r="K974" s="327"/>
      <c r="L974" s="189" t="s">
        <v>430</v>
      </c>
      <c r="M974" s="125" t="s">
        <v>431</v>
      </c>
    </row>
    <row r="975" spans="3:13" ht="24" x14ac:dyDescent="0.2">
      <c r="C975" s="93"/>
      <c r="D975" s="93"/>
      <c r="E975" s="248" t="s">
        <v>432</v>
      </c>
      <c r="F975" s="304"/>
      <c r="G975" s="305"/>
      <c r="H975" s="306"/>
      <c r="I975" s="307" t="s">
        <v>923</v>
      </c>
      <c r="J975" s="308"/>
      <c r="K975" s="309"/>
      <c r="L975" s="117"/>
      <c r="M975" s="118"/>
    </row>
    <row r="976" spans="3:13" ht="24" x14ac:dyDescent="0.2">
      <c r="C976" s="93"/>
      <c r="D976" s="93"/>
      <c r="E976" s="253" t="s">
        <v>433</v>
      </c>
      <c r="F976" s="331">
        <v>0</v>
      </c>
      <c r="G976" s="332"/>
      <c r="H976" s="333"/>
      <c r="I976" s="307"/>
      <c r="J976" s="308"/>
      <c r="K976" s="309"/>
      <c r="L976" s="117"/>
      <c r="M976" s="118"/>
    </row>
    <row r="977" spans="3:13" ht="25" thickBot="1" x14ac:dyDescent="0.25">
      <c r="C977" s="93"/>
      <c r="D977" s="93"/>
      <c r="E977" s="253" t="s">
        <v>434</v>
      </c>
      <c r="F977" s="331">
        <v>59.4</v>
      </c>
      <c r="G977" s="332"/>
      <c r="H977" s="333"/>
      <c r="I977" s="307"/>
      <c r="J977" s="308"/>
      <c r="K977" s="309"/>
      <c r="L977" s="117"/>
      <c r="M977" s="118"/>
    </row>
    <row r="978" spans="3:13" ht="25" thickBot="1" x14ac:dyDescent="0.25">
      <c r="C978" s="93"/>
      <c r="D978" s="93"/>
      <c r="E978" s="254" t="s">
        <v>435</v>
      </c>
      <c r="F978" s="319">
        <v>0.625</v>
      </c>
      <c r="G978" s="320"/>
      <c r="H978" s="321"/>
      <c r="I978" s="307"/>
      <c r="J978" s="308"/>
      <c r="K978" s="309"/>
      <c r="L978" s="126">
        <v>0.85416666666666663</v>
      </c>
      <c r="M978" s="127">
        <v>0.70833333333333326</v>
      </c>
    </row>
    <row r="979" spans="3:13" ht="25" thickBot="1" x14ac:dyDescent="0.25">
      <c r="C979" s="93"/>
      <c r="D979" s="93"/>
      <c r="E979" s="249" t="s">
        <v>436</v>
      </c>
      <c r="F979" s="255" t="s">
        <v>29</v>
      </c>
      <c r="G979" s="255" t="s">
        <v>28</v>
      </c>
      <c r="H979" s="256" t="s">
        <v>27</v>
      </c>
      <c r="I979" s="307"/>
      <c r="J979" s="308"/>
      <c r="K979" s="309"/>
      <c r="L979" s="117"/>
      <c r="M979" s="118"/>
    </row>
    <row r="980" spans="3:13" ht="24" x14ac:dyDescent="0.2">
      <c r="C980" s="93"/>
      <c r="D980" s="93"/>
      <c r="E980" s="250">
        <v>45568</v>
      </c>
      <c r="F980" s="259">
        <v>59.4</v>
      </c>
      <c r="G980" s="259" t="s">
        <v>943</v>
      </c>
      <c r="H980" s="259">
        <v>57.3</v>
      </c>
      <c r="I980" s="307"/>
      <c r="J980" s="308"/>
      <c r="K980" s="309"/>
      <c r="L980" s="117"/>
      <c r="M980" s="118"/>
    </row>
    <row r="981" spans="3:13" ht="24" x14ac:dyDescent="0.2">
      <c r="C981" s="93"/>
      <c r="D981" s="93"/>
      <c r="E981" s="250">
        <v>45540</v>
      </c>
      <c r="F981" s="259">
        <v>57.3</v>
      </c>
      <c r="G981" s="259" t="s">
        <v>589</v>
      </c>
      <c r="H981" s="259">
        <v>57</v>
      </c>
      <c r="I981" s="307"/>
      <c r="J981" s="308"/>
      <c r="K981" s="309"/>
      <c r="L981" s="117"/>
      <c r="M981" s="118"/>
    </row>
    <row r="982" spans="3:13" ht="24" x14ac:dyDescent="0.2">
      <c r="C982" s="93"/>
      <c r="D982" s="93"/>
      <c r="E982" s="250">
        <v>45509</v>
      </c>
      <c r="F982" s="259">
        <v>57</v>
      </c>
      <c r="G982" s="259" t="s">
        <v>589</v>
      </c>
      <c r="H982" s="259">
        <v>56.3</v>
      </c>
      <c r="I982" s="307"/>
      <c r="J982" s="308"/>
      <c r="K982" s="309"/>
      <c r="L982" s="119"/>
      <c r="M982" s="118"/>
    </row>
    <row r="983" spans="3:13" ht="24" x14ac:dyDescent="0.2">
      <c r="C983" s="93"/>
      <c r="D983" s="93"/>
      <c r="E983" s="250">
        <v>45476</v>
      </c>
      <c r="F983" s="259">
        <v>56.3</v>
      </c>
      <c r="G983" s="259" t="s">
        <v>602</v>
      </c>
      <c r="H983" s="259">
        <v>58.1</v>
      </c>
      <c r="I983" s="307"/>
      <c r="J983" s="308"/>
      <c r="K983" s="309"/>
      <c r="L983" s="117"/>
      <c r="M983" s="118"/>
    </row>
    <row r="984" spans="3:13" ht="24" x14ac:dyDescent="0.2">
      <c r="C984" s="93"/>
      <c r="D984" s="93"/>
      <c r="E984" s="250">
        <v>45448</v>
      </c>
      <c r="F984" s="259">
        <v>58.1</v>
      </c>
      <c r="G984" s="259" t="s">
        <v>603</v>
      </c>
      <c r="H984" s="259">
        <v>59.2</v>
      </c>
      <c r="I984" s="307"/>
      <c r="J984" s="308"/>
      <c r="K984" s="309"/>
      <c r="L984" s="117"/>
      <c r="M984" s="118"/>
    </row>
    <row r="985" spans="3:13" ht="25" thickBot="1" x14ac:dyDescent="0.25">
      <c r="C985" s="93"/>
      <c r="D985" s="93"/>
      <c r="E985" s="250">
        <v>45415</v>
      </c>
      <c r="F985" s="259">
        <v>59.2</v>
      </c>
      <c r="G985" s="259" t="s">
        <v>604</v>
      </c>
      <c r="H985" s="259">
        <v>53.4</v>
      </c>
      <c r="I985" s="310"/>
      <c r="J985" s="311"/>
      <c r="K985" s="312"/>
      <c r="L985" s="120"/>
      <c r="M985" s="121"/>
    </row>
    <row r="986" spans="3:13" ht="49" thickBot="1" x14ac:dyDescent="0.25">
      <c r="C986" s="93"/>
      <c r="D986" s="89" t="s">
        <v>105</v>
      </c>
      <c r="E986" s="252" t="s">
        <v>30</v>
      </c>
      <c r="F986" s="322" t="s">
        <v>52</v>
      </c>
      <c r="G986" s="323"/>
      <c r="H986" s="324"/>
      <c r="I986" s="325" t="s">
        <v>633</v>
      </c>
      <c r="J986" s="326"/>
      <c r="K986" s="327"/>
      <c r="L986" s="189" t="s">
        <v>430</v>
      </c>
      <c r="M986" s="125" t="s">
        <v>431</v>
      </c>
    </row>
    <row r="987" spans="3:13" ht="24" x14ac:dyDescent="0.2">
      <c r="C987" s="93"/>
      <c r="D987" s="195"/>
      <c r="E987" s="248" t="s">
        <v>432</v>
      </c>
      <c r="F987" s="304"/>
      <c r="G987" s="305"/>
      <c r="H987" s="306"/>
      <c r="I987" s="307" t="s">
        <v>924</v>
      </c>
      <c r="J987" s="308"/>
      <c r="K987" s="309"/>
      <c r="L987" s="117"/>
      <c r="M987" s="118"/>
    </row>
    <row r="988" spans="3:13" ht="24" x14ac:dyDescent="0.2">
      <c r="C988" s="93"/>
      <c r="D988" s="195"/>
      <c r="E988" s="253" t="s">
        <v>433</v>
      </c>
      <c r="F988" s="313"/>
      <c r="G988" s="314"/>
      <c r="H988" s="315"/>
      <c r="I988" s="307"/>
      <c r="J988" s="308"/>
      <c r="K988" s="309"/>
      <c r="L988" s="117"/>
      <c r="M988" s="118"/>
    </row>
    <row r="989" spans="3:13" ht="25" thickBot="1" x14ac:dyDescent="0.25">
      <c r="C989" s="93"/>
      <c r="D989" s="195"/>
      <c r="E989" s="253" t="s">
        <v>434</v>
      </c>
      <c r="F989" s="328">
        <v>4.0660000000000002E-2</v>
      </c>
      <c r="G989" s="329"/>
      <c r="H989" s="330"/>
      <c r="I989" s="307"/>
      <c r="J989" s="308"/>
      <c r="K989" s="309"/>
      <c r="L989" s="117"/>
      <c r="M989" s="118"/>
    </row>
    <row r="990" spans="3:13" ht="25" thickBot="1" x14ac:dyDescent="0.25">
      <c r="C990" s="93"/>
      <c r="D990" s="195"/>
      <c r="E990" s="254" t="s">
        <v>435</v>
      </c>
      <c r="F990" s="319">
        <v>0.75</v>
      </c>
      <c r="G990" s="320"/>
      <c r="H990" s="321"/>
      <c r="I990" s="307"/>
      <c r="J990" s="308"/>
      <c r="K990" s="309"/>
      <c r="L990" s="126">
        <v>0.97916666666666663</v>
      </c>
      <c r="M990" s="127">
        <v>0.83333333333333326</v>
      </c>
    </row>
    <row r="991" spans="3:13" ht="25" thickBot="1" x14ac:dyDescent="0.25">
      <c r="C991" s="93"/>
      <c r="D991" s="195"/>
      <c r="E991" s="249" t="s">
        <v>436</v>
      </c>
      <c r="F991" s="255" t="s">
        <v>29</v>
      </c>
      <c r="G991" s="255" t="s">
        <v>28</v>
      </c>
      <c r="H991" s="256" t="s">
        <v>27</v>
      </c>
      <c r="I991" s="307"/>
      <c r="J991" s="308"/>
      <c r="K991" s="309"/>
      <c r="L991" s="117"/>
      <c r="M991" s="118"/>
    </row>
    <row r="992" spans="3:13" ht="24" x14ac:dyDescent="0.2">
      <c r="C992" s="93"/>
      <c r="D992" s="195"/>
      <c r="E992" s="250">
        <v>45574</v>
      </c>
      <c r="F992" s="260">
        <v>4.0660000000000002E-2</v>
      </c>
      <c r="G992" s="260" t="s">
        <v>754</v>
      </c>
      <c r="H992" s="260">
        <v>3.6479999999999999E-2</v>
      </c>
      <c r="I992" s="307"/>
      <c r="J992" s="308"/>
      <c r="K992" s="309"/>
      <c r="L992" s="117"/>
      <c r="M992" s="118"/>
    </row>
    <row r="993" spans="3:13" ht="24" x14ac:dyDescent="0.2">
      <c r="C993" s="93"/>
      <c r="D993" s="195"/>
      <c r="E993" s="250">
        <v>45546</v>
      </c>
      <c r="F993" s="260">
        <v>3.6479999999999999E-2</v>
      </c>
      <c r="G993" s="260" t="s">
        <v>754</v>
      </c>
      <c r="H993" s="260">
        <v>3.9600000000000003E-2</v>
      </c>
      <c r="I993" s="307"/>
      <c r="J993" s="308"/>
      <c r="K993" s="309"/>
      <c r="L993" s="117"/>
      <c r="M993" s="118"/>
    </row>
    <row r="994" spans="3:13" ht="24" x14ac:dyDescent="0.2">
      <c r="C994" s="93"/>
      <c r="D994" s="195"/>
      <c r="E994" s="250">
        <v>45511</v>
      </c>
      <c r="F994" s="260">
        <v>3.9600000000000003E-2</v>
      </c>
      <c r="G994" s="260" t="s">
        <v>754</v>
      </c>
      <c r="H994" s="260">
        <v>4.2759999999999999E-2</v>
      </c>
      <c r="I994" s="307"/>
      <c r="J994" s="308"/>
      <c r="K994" s="309"/>
      <c r="L994" s="119"/>
      <c r="M994" s="118"/>
    </row>
    <row r="995" spans="3:13" ht="24" x14ac:dyDescent="0.2">
      <c r="C995" s="93"/>
      <c r="D995" s="195"/>
      <c r="E995" s="250">
        <v>45483</v>
      </c>
      <c r="F995" s="260">
        <v>4.2759999999999999E-2</v>
      </c>
      <c r="G995" s="260" t="s">
        <v>754</v>
      </c>
      <c r="H995" s="260">
        <v>4.4380000000000003E-2</v>
      </c>
      <c r="I995" s="307"/>
      <c r="J995" s="308"/>
      <c r="K995" s="309"/>
      <c r="L995" s="117"/>
      <c r="M995" s="118"/>
    </row>
    <row r="996" spans="3:13" ht="24" x14ac:dyDescent="0.2">
      <c r="C996" s="93"/>
      <c r="D996" s="195"/>
      <c r="E996" s="250">
        <v>45454</v>
      </c>
      <c r="F996" s="260">
        <v>4.4380000000000003E-2</v>
      </c>
      <c r="G996" s="260" t="s">
        <v>754</v>
      </c>
      <c r="H996" s="260">
        <v>4.4830000000000002E-2</v>
      </c>
      <c r="I996" s="307"/>
      <c r="J996" s="308"/>
      <c r="K996" s="309"/>
      <c r="L996" s="117"/>
      <c r="M996" s="118"/>
    </row>
    <row r="997" spans="3:13" ht="25" thickBot="1" x14ac:dyDescent="0.25">
      <c r="C997" s="93"/>
      <c r="D997" s="195"/>
      <c r="E997" s="250">
        <v>45420</v>
      </c>
      <c r="F997" s="260">
        <v>4.4830000000000002E-2</v>
      </c>
      <c r="G997" s="260" t="s">
        <v>754</v>
      </c>
      <c r="H997" s="260">
        <v>4.5600000000000002E-2</v>
      </c>
      <c r="I997" s="310"/>
      <c r="J997" s="311"/>
      <c r="K997" s="312"/>
      <c r="L997" s="120"/>
      <c r="M997" s="121"/>
    </row>
    <row r="998" spans="3:13" ht="49" thickBot="1" x14ac:dyDescent="0.25">
      <c r="C998" s="93"/>
      <c r="D998" s="89" t="s">
        <v>105</v>
      </c>
      <c r="E998" s="252" t="s">
        <v>30</v>
      </c>
      <c r="F998" s="322" t="s">
        <v>9</v>
      </c>
      <c r="G998" s="323"/>
      <c r="H998" s="324"/>
      <c r="I998" s="325" t="s">
        <v>633</v>
      </c>
      <c r="J998" s="326"/>
      <c r="K998" s="327"/>
      <c r="L998" s="189" t="s">
        <v>430</v>
      </c>
      <c r="M998" s="125" t="s">
        <v>431</v>
      </c>
    </row>
    <row r="999" spans="3:13" ht="24" x14ac:dyDescent="0.2">
      <c r="C999" s="93"/>
      <c r="D999" s="195"/>
      <c r="E999" s="248" t="s">
        <v>432</v>
      </c>
      <c r="F999" s="304"/>
      <c r="G999" s="305"/>
      <c r="H999" s="306"/>
      <c r="I999" s="307" t="s">
        <v>926</v>
      </c>
      <c r="J999" s="308"/>
      <c r="K999" s="309"/>
      <c r="L999" s="117"/>
      <c r="M999" s="118"/>
    </row>
    <row r="1000" spans="3:13" ht="24" x14ac:dyDescent="0.2">
      <c r="C1000" s="93"/>
      <c r="D1000" s="195"/>
      <c r="E1000" s="253" t="s">
        <v>433</v>
      </c>
      <c r="F1000" s="331">
        <v>0</v>
      </c>
      <c r="G1000" s="332"/>
      <c r="H1000" s="333"/>
      <c r="I1000" s="307"/>
      <c r="J1000" s="308"/>
      <c r="K1000" s="309"/>
      <c r="L1000" s="117"/>
      <c r="M1000" s="118"/>
    </row>
    <row r="1001" spans="3:13" ht="25" thickBot="1" x14ac:dyDescent="0.25">
      <c r="C1001" s="93"/>
      <c r="D1001" s="195"/>
      <c r="E1001" s="253" t="s">
        <v>434</v>
      </c>
      <c r="F1001" s="313" t="s">
        <v>925</v>
      </c>
      <c r="G1001" s="314"/>
      <c r="H1001" s="315"/>
      <c r="I1001" s="307"/>
      <c r="J1001" s="308"/>
      <c r="K1001" s="309"/>
      <c r="L1001" s="117"/>
      <c r="M1001" s="118"/>
    </row>
    <row r="1002" spans="3:13" ht="25" thickBot="1" x14ac:dyDescent="0.25">
      <c r="C1002" s="93"/>
      <c r="D1002" s="195"/>
      <c r="E1002" s="254" t="s">
        <v>435</v>
      </c>
      <c r="F1002" s="319">
        <v>0.64583333333333337</v>
      </c>
      <c r="G1002" s="320"/>
      <c r="H1002" s="321"/>
      <c r="I1002" s="307"/>
      <c r="J1002" s="308"/>
      <c r="K1002" s="309"/>
      <c r="L1002" s="126">
        <v>0.875</v>
      </c>
      <c r="M1002" s="127">
        <v>0.72916666666666663</v>
      </c>
    </row>
    <row r="1003" spans="3:13" ht="25" thickBot="1" x14ac:dyDescent="0.25">
      <c r="C1003" s="93"/>
      <c r="D1003" s="195"/>
      <c r="E1003" s="249" t="s">
        <v>436</v>
      </c>
      <c r="F1003" s="255" t="s">
        <v>29</v>
      </c>
      <c r="G1003" s="255" t="s">
        <v>28</v>
      </c>
      <c r="H1003" s="256" t="s">
        <v>27</v>
      </c>
      <c r="I1003" s="307"/>
      <c r="J1003" s="308"/>
      <c r="K1003" s="309"/>
      <c r="L1003" s="117"/>
      <c r="M1003" s="118"/>
    </row>
    <row r="1004" spans="3:13" ht="24" x14ac:dyDescent="0.2">
      <c r="C1004" s="93"/>
      <c r="D1004" s="195"/>
      <c r="E1004" s="250">
        <v>45595</v>
      </c>
      <c r="F1004" s="261" t="s">
        <v>925</v>
      </c>
      <c r="G1004" s="261" t="s">
        <v>939</v>
      </c>
      <c r="H1004" s="261" t="s">
        <v>839</v>
      </c>
      <c r="I1004" s="307"/>
      <c r="J1004" s="308"/>
      <c r="K1004" s="309"/>
      <c r="L1004" s="117"/>
      <c r="M1004" s="118"/>
    </row>
    <row r="1005" spans="3:13" ht="24" x14ac:dyDescent="0.2">
      <c r="C1005" s="93"/>
      <c r="D1005" s="195"/>
      <c r="E1005" s="250">
        <v>45588</v>
      </c>
      <c r="F1005" s="261" t="s">
        <v>839</v>
      </c>
      <c r="G1005" s="261" t="s">
        <v>891</v>
      </c>
      <c r="H1005" s="261" t="s">
        <v>699</v>
      </c>
      <c r="I1005" s="307"/>
      <c r="J1005" s="308"/>
      <c r="K1005" s="309"/>
      <c r="L1005" s="117"/>
      <c r="M1005" s="118"/>
    </row>
    <row r="1006" spans="3:13" ht="24" x14ac:dyDescent="0.2">
      <c r="C1006" s="93"/>
      <c r="D1006" s="195"/>
      <c r="E1006" s="250">
        <v>45582</v>
      </c>
      <c r="F1006" s="261" t="s">
        <v>699</v>
      </c>
      <c r="G1006" s="261" t="s">
        <v>731</v>
      </c>
      <c r="H1006" s="261" t="s">
        <v>677</v>
      </c>
      <c r="I1006" s="307"/>
      <c r="J1006" s="308"/>
      <c r="K1006" s="309"/>
      <c r="L1006" s="119"/>
      <c r="M1006" s="118"/>
    </row>
    <row r="1007" spans="3:13" ht="24" x14ac:dyDescent="0.2">
      <c r="C1007" s="93"/>
      <c r="D1007" s="195"/>
      <c r="E1007" s="250">
        <v>45574</v>
      </c>
      <c r="F1007" s="261" t="s">
        <v>677</v>
      </c>
      <c r="G1007" s="261" t="s">
        <v>732</v>
      </c>
      <c r="H1007" s="261" t="s">
        <v>637</v>
      </c>
      <c r="I1007" s="307"/>
      <c r="J1007" s="308"/>
      <c r="K1007" s="309"/>
      <c r="L1007" s="117"/>
      <c r="M1007" s="118"/>
    </row>
    <row r="1008" spans="3:13" ht="24" x14ac:dyDescent="0.2">
      <c r="C1008" s="93"/>
      <c r="D1008" s="195"/>
      <c r="E1008" s="250">
        <v>45567</v>
      </c>
      <c r="F1008" s="261" t="s">
        <v>637</v>
      </c>
      <c r="G1008" s="261" t="s">
        <v>733</v>
      </c>
      <c r="H1008" s="261" t="s">
        <v>380</v>
      </c>
      <c r="I1008" s="307"/>
      <c r="J1008" s="308"/>
      <c r="K1008" s="309"/>
      <c r="L1008" s="117"/>
      <c r="M1008" s="118"/>
    </row>
    <row r="1009" spans="3:13" ht="25" thickBot="1" x14ac:dyDescent="0.25">
      <c r="C1009" s="93"/>
      <c r="D1009" s="195"/>
      <c r="E1009" s="250">
        <v>45560</v>
      </c>
      <c r="F1009" s="261" t="s">
        <v>380</v>
      </c>
      <c r="G1009" s="261" t="s">
        <v>564</v>
      </c>
      <c r="H1009" s="261" t="s">
        <v>337</v>
      </c>
      <c r="I1009" s="310"/>
      <c r="J1009" s="311"/>
      <c r="K1009" s="312"/>
      <c r="L1009" s="120"/>
      <c r="M1009" s="121"/>
    </row>
    <row r="1010" spans="3:13" ht="49" thickBot="1" x14ac:dyDescent="0.25">
      <c r="C1010" s="93"/>
      <c r="D1010" s="89" t="s">
        <v>105</v>
      </c>
      <c r="E1010" s="252" t="s">
        <v>30</v>
      </c>
      <c r="F1010" s="322" t="s">
        <v>927</v>
      </c>
      <c r="G1010" s="323"/>
      <c r="H1010" s="324"/>
      <c r="I1010" s="325" t="s">
        <v>633</v>
      </c>
      <c r="J1010" s="326"/>
      <c r="K1010" s="327"/>
      <c r="L1010" s="189" t="s">
        <v>430</v>
      </c>
      <c r="M1010" s="125" t="s">
        <v>431</v>
      </c>
    </row>
    <row r="1011" spans="3:13" ht="24" x14ac:dyDescent="0.2">
      <c r="C1011" s="93"/>
      <c r="D1011" s="195"/>
      <c r="E1011" s="248" t="s">
        <v>432</v>
      </c>
      <c r="F1011" s="304"/>
      <c r="G1011" s="305"/>
      <c r="H1011" s="306"/>
      <c r="I1011" s="307" t="s">
        <v>928</v>
      </c>
      <c r="J1011" s="308"/>
      <c r="K1011" s="309"/>
      <c r="L1011" s="117"/>
      <c r="M1011" s="118"/>
    </row>
    <row r="1012" spans="3:13" ht="24" x14ac:dyDescent="0.2">
      <c r="C1012" s="93"/>
      <c r="D1012" s="195"/>
      <c r="E1012" s="253" t="s">
        <v>433</v>
      </c>
      <c r="F1012" s="331">
        <v>0</v>
      </c>
      <c r="G1012" s="332"/>
      <c r="H1012" s="333"/>
      <c r="I1012" s="307"/>
      <c r="J1012" s="308"/>
      <c r="K1012" s="309"/>
      <c r="L1012" s="117"/>
      <c r="M1012" s="118"/>
    </row>
    <row r="1013" spans="3:13" ht="25" thickBot="1" x14ac:dyDescent="0.25">
      <c r="C1013" s="93"/>
      <c r="D1013" s="195"/>
      <c r="E1013" s="253" t="s">
        <v>434</v>
      </c>
      <c r="F1013" s="328">
        <v>4.3889999999999998E-2</v>
      </c>
      <c r="G1013" s="329"/>
      <c r="H1013" s="330"/>
      <c r="I1013" s="307"/>
      <c r="J1013" s="308"/>
      <c r="K1013" s="309"/>
      <c r="L1013" s="117"/>
      <c r="M1013" s="118"/>
    </row>
    <row r="1014" spans="3:13" ht="25" thickBot="1" x14ac:dyDescent="0.25">
      <c r="C1014" s="93"/>
      <c r="D1014" s="195"/>
      <c r="E1014" s="254" t="s">
        <v>435</v>
      </c>
      <c r="F1014" s="319">
        <v>0.75</v>
      </c>
      <c r="G1014" s="320"/>
      <c r="H1014" s="321"/>
      <c r="I1014" s="307"/>
      <c r="J1014" s="308"/>
      <c r="K1014" s="309"/>
      <c r="L1014" s="126">
        <v>0.97916666666666663</v>
      </c>
      <c r="M1014" s="127">
        <v>0.83333333333333326</v>
      </c>
    </row>
    <row r="1015" spans="3:13" ht="25" thickBot="1" x14ac:dyDescent="0.25">
      <c r="C1015" s="93"/>
      <c r="D1015" s="195"/>
      <c r="E1015" s="249" t="s">
        <v>436</v>
      </c>
      <c r="F1015" s="255" t="s">
        <v>29</v>
      </c>
      <c r="G1015" s="255" t="s">
        <v>28</v>
      </c>
      <c r="H1015" s="256" t="s">
        <v>27</v>
      </c>
      <c r="I1015" s="307"/>
      <c r="J1015" s="308"/>
      <c r="K1015" s="309"/>
      <c r="L1015" s="117"/>
      <c r="M1015" s="118"/>
    </row>
    <row r="1016" spans="3:13" ht="24" x14ac:dyDescent="0.2">
      <c r="C1016" s="93"/>
      <c r="D1016" s="195"/>
      <c r="E1016" s="250">
        <v>45575</v>
      </c>
      <c r="F1016" s="260">
        <v>4.3889999999999998E-2</v>
      </c>
      <c r="G1016" s="260" t="s">
        <v>754</v>
      </c>
      <c r="H1016" s="260">
        <v>4.0149999999999998E-2</v>
      </c>
      <c r="I1016" s="307"/>
      <c r="J1016" s="308"/>
      <c r="K1016" s="309"/>
      <c r="L1016" s="117"/>
      <c r="M1016" s="118"/>
    </row>
    <row r="1017" spans="3:13" ht="24" x14ac:dyDescent="0.2">
      <c r="C1017" s="93"/>
      <c r="D1017" s="195"/>
      <c r="E1017" s="250">
        <v>45547</v>
      </c>
      <c r="F1017" s="260">
        <v>4.0149999999999998E-2</v>
      </c>
      <c r="G1017" s="260" t="s">
        <v>754</v>
      </c>
      <c r="H1017" s="260">
        <v>4.3139999999999998E-2</v>
      </c>
      <c r="I1017" s="307"/>
      <c r="J1017" s="308"/>
      <c r="K1017" s="309"/>
      <c r="L1017" s="117"/>
      <c r="M1017" s="118"/>
    </row>
    <row r="1018" spans="3:13" ht="24" x14ac:dyDescent="0.2">
      <c r="C1018" s="93"/>
      <c r="D1018" s="195"/>
      <c r="E1018" s="250">
        <v>45512</v>
      </c>
      <c r="F1018" s="260">
        <v>4.3139999999999998E-2</v>
      </c>
      <c r="G1018" s="260" t="s">
        <v>754</v>
      </c>
      <c r="H1018" s="260">
        <v>4.4049999999999999E-2</v>
      </c>
      <c r="I1018" s="307"/>
      <c r="J1018" s="308"/>
      <c r="K1018" s="309"/>
      <c r="L1018" s="119"/>
      <c r="M1018" s="118"/>
    </row>
    <row r="1019" spans="3:13" ht="24" x14ac:dyDescent="0.2">
      <c r="C1019" s="93"/>
      <c r="D1019" s="195"/>
      <c r="E1019" s="250">
        <v>45484</v>
      </c>
      <c r="F1019" s="260">
        <v>4.4049999999999999E-2</v>
      </c>
      <c r="G1019" s="260" t="s">
        <v>754</v>
      </c>
      <c r="H1019" s="260">
        <v>4.403E-2</v>
      </c>
      <c r="I1019" s="307"/>
      <c r="J1019" s="308"/>
      <c r="K1019" s="309"/>
      <c r="L1019" s="117"/>
      <c r="M1019" s="118"/>
    </row>
    <row r="1020" spans="3:13" ht="24" x14ac:dyDescent="0.2">
      <c r="C1020" s="93"/>
      <c r="D1020" s="195"/>
      <c r="E1020" s="250">
        <v>45456</v>
      </c>
      <c r="F1020" s="260">
        <v>4.403E-2</v>
      </c>
      <c r="G1020" s="260" t="s">
        <v>754</v>
      </c>
      <c r="H1020" s="260">
        <v>4.6350000000000002E-2</v>
      </c>
      <c r="I1020" s="307"/>
      <c r="J1020" s="308"/>
      <c r="K1020" s="309"/>
      <c r="L1020" s="117"/>
      <c r="M1020" s="118"/>
    </row>
    <row r="1021" spans="3:13" ht="25" thickBot="1" x14ac:dyDescent="0.25">
      <c r="C1021" s="93"/>
      <c r="D1021" s="195"/>
      <c r="E1021" s="250">
        <v>45421</v>
      </c>
      <c r="F1021" s="260">
        <v>4.6350000000000002E-2</v>
      </c>
      <c r="G1021" s="260" t="s">
        <v>754</v>
      </c>
      <c r="H1021" s="260">
        <v>4.6710000000000002E-2</v>
      </c>
      <c r="I1021" s="310"/>
      <c r="J1021" s="311"/>
      <c r="K1021" s="312"/>
      <c r="L1021" s="120"/>
      <c r="M1021" s="121"/>
    </row>
    <row r="1022" spans="3:13" ht="49" thickBot="1" x14ac:dyDescent="0.25">
      <c r="C1022" s="93"/>
      <c r="D1022" s="89" t="s">
        <v>105</v>
      </c>
      <c r="E1022" s="252" t="s">
        <v>30</v>
      </c>
      <c r="F1022" s="322" t="s">
        <v>929</v>
      </c>
      <c r="G1022" s="323"/>
      <c r="H1022" s="324"/>
      <c r="I1022" s="334" t="s">
        <v>633</v>
      </c>
      <c r="J1022" s="326"/>
      <c r="K1022" s="327"/>
      <c r="L1022" s="189" t="s">
        <v>430</v>
      </c>
      <c r="M1022" s="125" t="s">
        <v>431</v>
      </c>
    </row>
    <row r="1023" spans="3:13" ht="24" x14ac:dyDescent="0.2">
      <c r="C1023" s="93"/>
      <c r="D1023" s="195"/>
      <c r="E1023" s="248" t="s">
        <v>432</v>
      </c>
      <c r="F1023" s="304"/>
      <c r="G1023" s="305"/>
      <c r="H1023" s="306"/>
      <c r="I1023" s="307" t="s">
        <v>930</v>
      </c>
      <c r="J1023" s="308"/>
      <c r="K1023" s="309"/>
      <c r="L1023" s="117"/>
      <c r="M1023" s="118"/>
    </row>
    <row r="1024" spans="3:13" ht="24" x14ac:dyDescent="0.2">
      <c r="C1024" s="93"/>
      <c r="D1024" s="195"/>
      <c r="E1024" s="253" t="s">
        <v>433</v>
      </c>
      <c r="F1024" s="313">
        <v>4.7500000000000001E-2</v>
      </c>
      <c r="G1024" s="314"/>
      <c r="H1024" s="315"/>
      <c r="I1024" s="307"/>
      <c r="J1024" s="308"/>
      <c r="K1024" s="309"/>
      <c r="L1024" s="117"/>
      <c r="M1024" s="118"/>
    </row>
    <row r="1025" spans="3:13" ht="25" thickBot="1" x14ac:dyDescent="0.25">
      <c r="C1025" s="93"/>
      <c r="D1025" s="195"/>
      <c r="E1025" s="253" t="s">
        <v>434</v>
      </c>
      <c r="F1025" s="313">
        <v>0.05</v>
      </c>
      <c r="G1025" s="314"/>
      <c r="H1025" s="315"/>
      <c r="I1025" s="307"/>
      <c r="J1025" s="308"/>
      <c r="K1025" s="309"/>
      <c r="L1025" s="117"/>
      <c r="M1025" s="118"/>
    </row>
    <row r="1026" spans="3:13" ht="25" thickBot="1" x14ac:dyDescent="0.25">
      <c r="C1026" s="93"/>
      <c r="D1026" s="195"/>
      <c r="E1026" s="254" t="s">
        <v>435</v>
      </c>
      <c r="F1026" s="319">
        <v>0.5</v>
      </c>
      <c r="G1026" s="320"/>
      <c r="H1026" s="321"/>
      <c r="I1026" s="307"/>
      <c r="J1026" s="308"/>
      <c r="K1026" s="309"/>
      <c r="L1026" s="126">
        <v>0.72916666666666663</v>
      </c>
      <c r="M1026" s="127">
        <v>0.58333333333333326</v>
      </c>
    </row>
    <row r="1027" spans="3:13" ht="25" thickBot="1" x14ac:dyDescent="0.25">
      <c r="C1027" s="93"/>
      <c r="D1027" s="195"/>
      <c r="E1027" s="249" t="s">
        <v>436</v>
      </c>
      <c r="F1027" s="255" t="s">
        <v>29</v>
      </c>
      <c r="G1027" s="255" t="s">
        <v>28</v>
      </c>
      <c r="H1027" s="256" t="s">
        <v>27</v>
      </c>
      <c r="I1027" s="307"/>
      <c r="J1027" s="308"/>
      <c r="K1027" s="309"/>
      <c r="L1027" s="117"/>
      <c r="M1027" s="118"/>
    </row>
    <row r="1028" spans="3:13" ht="24" x14ac:dyDescent="0.2">
      <c r="C1028" s="93"/>
      <c r="D1028" s="195"/>
      <c r="E1028" s="250">
        <v>45554</v>
      </c>
      <c r="F1028" s="257">
        <v>0.05</v>
      </c>
      <c r="G1028" s="257" t="s">
        <v>728</v>
      </c>
      <c r="H1028" s="257">
        <v>0.05</v>
      </c>
      <c r="I1028" s="307"/>
      <c r="J1028" s="308"/>
      <c r="K1028" s="309"/>
      <c r="L1028" s="117"/>
      <c r="M1028" s="262">
        <v>0.14583333333333337</v>
      </c>
    </row>
    <row r="1029" spans="3:13" ht="24" x14ac:dyDescent="0.2">
      <c r="C1029" s="93"/>
      <c r="D1029" s="195"/>
      <c r="E1029" s="250">
        <v>45505</v>
      </c>
      <c r="F1029" s="257">
        <v>0.05</v>
      </c>
      <c r="G1029" s="257" t="s">
        <v>728</v>
      </c>
      <c r="H1029" s="257">
        <v>5.2499999999999998E-2</v>
      </c>
      <c r="I1029" s="307"/>
      <c r="J1029" s="308"/>
      <c r="K1029" s="309"/>
      <c r="L1029" s="117"/>
      <c r="M1029" s="118"/>
    </row>
    <row r="1030" spans="3:13" ht="24" x14ac:dyDescent="0.2">
      <c r="C1030" s="93"/>
      <c r="D1030" s="195"/>
      <c r="E1030" s="250">
        <v>45463</v>
      </c>
      <c r="F1030" s="257">
        <v>5.2499999999999998E-2</v>
      </c>
      <c r="G1030" s="257" t="s">
        <v>940</v>
      </c>
      <c r="H1030" s="257">
        <v>5.2499999999999998E-2</v>
      </c>
      <c r="I1030" s="307"/>
      <c r="J1030" s="308"/>
      <c r="K1030" s="309"/>
      <c r="L1030" s="119"/>
      <c r="M1030" s="118"/>
    </row>
    <row r="1031" spans="3:13" ht="24" x14ac:dyDescent="0.2">
      <c r="C1031" s="93"/>
      <c r="D1031" s="195"/>
      <c r="E1031" s="250">
        <v>45421</v>
      </c>
      <c r="F1031" s="257">
        <v>5.2499999999999998E-2</v>
      </c>
      <c r="G1031" s="257" t="s">
        <v>940</v>
      </c>
      <c r="H1031" s="257">
        <v>5.2499999999999998E-2</v>
      </c>
      <c r="I1031" s="307"/>
      <c r="J1031" s="308"/>
      <c r="K1031" s="309"/>
      <c r="L1031" s="117"/>
      <c r="M1031" s="118"/>
    </row>
    <row r="1032" spans="3:13" ht="24" x14ac:dyDescent="0.2">
      <c r="C1032" s="93"/>
      <c r="D1032" s="195"/>
      <c r="E1032" s="250">
        <v>45372</v>
      </c>
      <c r="F1032" s="257">
        <v>5.2499999999999998E-2</v>
      </c>
      <c r="G1032" s="257" t="s">
        <v>940</v>
      </c>
      <c r="H1032" s="257">
        <v>5.2499999999999998E-2</v>
      </c>
      <c r="I1032" s="307"/>
      <c r="J1032" s="308"/>
      <c r="K1032" s="309"/>
      <c r="L1032" s="117"/>
      <c r="M1032" s="118"/>
    </row>
    <row r="1033" spans="3:13" ht="25" thickBot="1" x14ac:dyDescent="0.25">
      <c r="C1033" s="93"/>
      <c r="D1033" s="195"/>
      <c r="E1033" s="250">
        <v>45323</v>
      </c>
      <c r="F1033" s="257">
        <v>5.2499999999999998E-2</v>
      </c>
      <c r="G1033" s="257" t="s">
        <v>940</v>
      </c>
      <c r="H1033" s="257">
        <v>5.2499999999999998E-2</v>
      </c>
      <c r="I1033" s="310"/>
      <c r="J1033" s="311"/>
      <c r="K1033" s="312"/>
      <c r="L1033" s="120"/>
      <c r="M1033" s="121"/>
    </row>
    <row r="1034" spans="3:13" ht="49" thickBot="1" x14ac:dyDescent="0.25">
      <c r="C1034" s="93"/>
      <c r="D1034" s="89" t="s">
        <v>105</v>
      </c>
      <c r="E1034" s="252" t="s">
        <v>30</v>
      </c>
      <c r="F1034" s="322" t="s">
        <v>14</v>
      </c>
      <c r="G1034" s="323"/>
      <c r="H1034" s="324"/>
      <c r="I1034" s="334" t="s">
        <v>633</v>
      </c>
      <c r="J1034" s="326"/>
      <c r="K1034" s="327"/>
      <c r="L1034" s="189" t="s">
        <v>430</v>
      </c>
      <c r="M1034" s="125" t="s">
        <v>431</v>
      </c>
    </row>
    <row r="1035" spans="3:13" ht="24" x14ac:dyDescent="0.2">
      <c r="C1035" s="93"/>
      <c r="D1035" s="195"/>
      <c r="E1035" s="248" t="s">
        <v>432</v>
      </c>
      <c r="F1035" s="339"/>
      <c r="G1035" s="340"/>
      <c r="H1035" s="341"/>
      <c r="I1035" s="307" t="s">
        <v>933</v>
      </c>
      <c r="J1035" s="308"/>
      <c r="K1035" s="309"/>
      <c r="L1035" s="117"/>
      <c r="M1035" s="118"/>
    </row>
    <row r="1036" spans="3:13" ht="24" x14ac:dyDescent="0.2">
      <c r="C1036" s="93"/>
      <c r="D1036" s="195"/>
      <c r="E1036" s="253" t="s">
        <v>433</v>
      </c>
      <c r="F1036" s="313" t="s">
        <v>931</v>
      </c>
      <c r="G1036" s="314"/>
      <c r="H1036" s="315"/>
      <c r="I1036" s="307"/>
      <c r="J1036" s="308"/>
      <c r="K1036" s="309"/>
      <c r="L1036" s="117"/>
      <c r="M1036" s="118"/>
    </row>
    <row r="1037" spans="3:13" ht="25" thickBot="1" x14ac:dyDescent="0.25">
      <c r="C1037" s="93"/>
      <c r="D1037" s="195"/>
      <c r="E1037" s="253" t="s">
        <v>434</v>
      </c>
      <c r="F1037" s="313" t="s">
        <v>932</v>
      </c>
      <c r="G1037" s="314"/>
      <c r="H1037" s="315"/>
      <c r="I1037" s="307"/>
      <c r="J1037" s="308"/>
      <c r="K1037" s="309"/>
      <c r="L1037" s="117"/>
      <c r="M1037" s="118"/>
    </row>
    <row r="1038" spans="3:13" ht="25" thickBot="1" x14ac:dyDescent="0.25">
      <c r="C1038" s="93"/>
      <c r="D1038" s="195"/>
      <c r="E1038" s="254" t="s">
        <v>435</v>
      </c>
      <c r="F1038" s="319">
        <v>0.5625</v>
      </c>
      <c r="G1038" s="320"/>
      <c r="H1038" s="321"/>
      <c r="I1038" s="307"/>
      <c r="J1038" s="308"/>
      <c r="K1038" s="309"/>
      <c r="L1038" s="126">
        <v>0.79166666666666663</v>
      </c>
      <c r="M1038" s="127">
        <v>0.64583333333333326</v>
      </c>
    </row>
    <row r="1039" spans="3:13" ht="25" thickBot="1" x14ac:dyDescent="0.25">
      <c r="C1039" s="93"/>
      <c r="D1039" s="195"/>
      <c r="E1039" s="249" t="s">
        <v>436</v>
      </c>
      <c r="F1039" s="255" t="s">
        <v>29</v>
      </c>
      <c r="G1039" s="255" t="s">
        <v>28</v>
      </c>
      <c r="H1039" s="256" t="s">
        <v>27</v>
      </c>
      <c r="I1039" s="307"/>
      <c r="J1039" s="308"/>
      <c r="K1039" s="309"/>
      <c r="L1039" s="117"/>
      <c r="M1039" s="118"/>
    </row>
    <row r="1040" spans="3:13" ht="24" x14ac:dyDescent="0.2">
      <c r="C1040" s="93"/>
      <c r="D1040" s="195"/>
      <c r="E1040" s="250">
        <v>45596</v>
      </c>
      <c r="F1040" s="258" t="s">
        <v>932</v>
      </c>
      <c r="G1040" s="258" t="s">
        <v>941</v>
      </c>
      <c r="H1040" s="258" t="s">
        <v>579</v>
      </c>
      <c r="I1040" s="307"/>
      <c r="J1040" s="308"/>
      <c r="K1040" s="309"/>
      <c r="L1040" s="117"/>
      <c r="M1040" s="118"/>
    </row>
    <row r="1041" spans="3:13" ht="24" x14ac:dyDescent="0.2">
      <c r="C1041" s="93"/>
      <c r="D1041" s="195"/>
      <c r="E1041" s="250">
        <v>45589</v>
      </c>
      <c r="F1041" s="258" t="s">
        <v>209</v>
      </c>
      <c r="G1041" s="258" t="s">
        <v>896</v>
      </c>
      <c r="H1041" s="258" t="s">
        <v>897</v>
      </c>
      <c r="I1041" s="307"/>
      <c r="J1041" s="308"/>
      <c r="K1041" s="309"/>
      <c r="L1041" s="117"/>
      <c r="M1041" s="118"/>
    </row>
    <row r="1042" spans="3:13" ht="24" x14ac:dyDescent="0.2">
      <c r="C1042" s="93"/>
      <c r="D1042" s="195"/>
      <c r="E1042" s="250">
        <v>45582</v>
      </c>
      <c r="F1042" s="258" t="s">
        <v>171</v>
      </c>
      <c r="G1042" s="258" t="s">
        <v>898</v>
      </c>
      <c r="H1042" s="258" t="s">
        <v>692</v>
      </c>
      <c r="I1042" s="307"/>
      <c r="J1042" s="308"/>
      <c r="K1042" s="309"/>
      <c r="L1042" s="119"/>
      <c r="M1042" s="118"/>
    </row>
    <row r="1043" spans="3:13" ht="24" x14ac:dyDescent="0.2">
      <c r="C1043" s="93"/>
      <c r="D1043" s="195"/>
      <c r="E1043" s="250">
        <v>45575</v>
      </c>
      <c r="F1043" s="258" t="s">
        <v>678</v>
      </c>
      <c r="G1043" s="258" t="s">
        <v>580</v>
      </c>
      <c r="H1043" s="258" t="s">
        <v>638</v>
      </c>
      <c r="I1043" s="307"/>
      <c r="J1043" s="308"/>
      <c r="K1043" s="309"/>
      <c r="L1043" s="117"/>
      <c r="M1043" s="118"/>
    </row>
    <row r="1044" spans="3:13" ht="24" x14ac:dyDescent="0.2">
      <c r="C1044" s="93"/>
      <c r="D1044" s="195"/>
      <c r="E1044" s="250">
        <v>45568</v>
      </c>
      <c r="F1044" s="258" t="s">
        <v>638</v>
      </c>
      <c r="G1044" s="258" t="s">
        <v>734</v>
      </c>
      <c r="H1044" s="258" t="s">
        <v>345</v>
      </c>
      <c r="I1044" s="307"/>
      <c r="J1044" s="308"/>
      <c r="K1044" s="309"/>
      <c r="L1044" s="117"/>
      <c r="M1044" s="118"/>
    </row>
    <row r="1045" spans="3:13" ht="25" thickBot="1" x14ac:dyDescent="0.25">
      <c r="C1045" s="93"/>
      <c r="D1045" s="195"/>
      <c r="E1045" s="250">
        <v>45561</v>
      </c>
      <c r="F1045" s="258" t="s">
        <v>382</v>
      </c>
      <c r="G1045" s="258" t="s">
        <v>574</v>
      </c>
      <c r="H1045" s="258" t="s">
        <v>72</v>
      </c>
      <c r="I1045" s="310"/>
      <c r="J1045" s="311"/>
      <c r="K1045" s="312"/>
      <c r="L1045" s="120"/>
      <c r="M1045" s="121"/>
    </row>
    <row r="1046" spans="3:13" ht="49" thickBot="1" x14ac:dyDescent="0.25">
      <c r="C1046" s="93"/>
      <c r="D1046" s="89" t="s">
        <v>105</v>
      </c>
      <c r="E1046" s="252" t="s">
        <v>30</v>
      </c>
      <c r="F1046" s="322" t="s">
        <v>127</v>
      </c>
      <c r="G1046" s="323"/>
      <c r="H1046" s="324"/>
      <c r="I1046" s="325" t="s">
        <v>633</v>
      </c>
      <c r="J1046" s="326"/>
      <c r="K1046" s="327"/>
      <c r="L1046" s="189" t="s">
        <v>430</v>
      </c>
      <c r="M1046" s="125" t="s">
        <v>431</v>
      </c>
    </row>
    <row r="1047" spans="3:13" ht="24" x14ac:dyDescent="0.2">
      <c r="C1047" s="93"/>
      <c r="D1047" s="195"/>
      <c r="E1047" s="248" t="s">
        <v>432</v>
      </c>
      <c r="F1047" s="304"/>
      <c r="G1047" s="305"/>
      <c r="H1047" s="306"/>
      <c r="I1047" s="307" t="s">
        <v>934</v>
      </c>
      <c r="J1047" s="308"/>
      <c r="K1047" s="309"/>
      <c r="L1047" s="117"/>
      <c r="M1047" s="118"/>
    </row>
    <row r="1048" spans="3:13" ht="24" x14ac:dyDescent="0.2">
      <c r="C1048" s="93"/>
      <c r="D1048" s="195"/>
      <c r="E1048" s="253" t="s">
        <v>433</v>
      </c>
      <c r="F1048" s="313">
        <v>4.6199999999999998E-2</v>
      </c>
      <c r="G1048" s="314"/>
      <c r="H1048" s="315"/>
      <c r="I1048" s="307"/>
      <c r="J1048" s="308"/>
      <c r="K1048" s="309"/>
      <c r="L1048" s="117"/>
      <c r="M1048" s="118"/>
    </row>
    <row r="1049" spans="3:13" ht="25" thickBot="1" x14ac:dyDescent="0.25">
      <c r="C1049" s="93"/>
      <c r="D1049" s="195"/>
      <c r="E1049" s="253" t="s">
        <v>434</v>
      </c>
      <c r="F1049" s="313">
        <v>4.8800000000000003E-2</v>
      </c>
      <c r="G1049" s="314"/>
      <c r="H1049" s="315"/>
      <c r="I1049" s="307"/>
      <c r="J1049" s="308"/>
      <c r="K1049" s="309"/>
      <c r="L1049" s="117"/>
      <c r="M1049" s="118"/>
    </row>
    <row r="1050" spans="3:13" ht="25" thickBot="1" x14ac:dyDescent="0.25">
      <c r="C1050" s="93"/>
      <c r="D1050" s="195"/>
      <c r="E1050" s="254" t="s">
        <v>435</v>
      </c>
      <c r="F1050" s="319">
        <v>0.79166666666666663</v>
      </c>
      <c r="G1050" s="320"/>
      <c r="H1050" s="321"/>
      <c r="I1050" s="307"/>
      <c r="J1050" s="308"/>
      <c r="K1050" s="309"/>
      <c r="L1050" s="126">
        <v>2.0833333333333332E-2</v>
      </c>
      <c r="M1050" s="127">
        <v>0.875</v>
      </c>
    </row>
    <row r="1051" spans="3:13" ht="25" thickBot="1" x14ac:dyDescent="0.25">
      <c r="C1051" s="93"/>
      <c r="D1051" s="195"/>
      <c r="E1051" s="249" t="s">
        <v>436</v>
      </c>
      <c r="F1051" s="255" t="s">
        <v>29</v>
      </c>
      <c r="G1051" s="255" t="s">
        <v>28</v>
      </c>
      <c r="H1051" s="256" t="s">
        <v>27</v>
      </c>
      <c r="I1051" s="307"/>
      <c r="J1051" s="308"/>
      <c r="K1051" s="309"/>
      <c r="L1051" s="117"/>
      <c r="M1051" s="262"/>
    </row>
    <row r="1052" spans="3:13" ht="24" x14ac:dyDescent="0.2">
      <c r="C1052" s="93"/>
      <c r="D1052" s="195"/>
      <c r="E1052" s="250">
        <v>45553</v>
      </c>
      <c r="F1052" s="258">
        <v>0.05</v>
      </c>
      <c r="G1052" s="258" t="s">
        <v>940</v>
      </c>
      <c r="H1052" s="258">
        <v>5.5E-2</v>
      </c>
      <c r="I1052" s="307"/>
      <c r="J1052" s="308"/>
      <c r="K1052" s="309"/>
      <c r="L1052" s="117"/>
      <c r="M1052" s="118"/>
    </row>
    <row r="1053" spans="3:13" ht="24" x14ac:dyDescent="0.2">
      <c r="C1053" s="93"/>
      <c r="D1053" s="195"/>
      <c r="E1053" s="250">
        <v>45504</v>
      </c>
      <c r="F1053" s="258">
        <v>5.5E-2</v>
      </c>
      <c r="G1053" s="258" t="s">
        <v>942</v>
      </c>
      <c r="H1053" s="258">
        <v>5.5E-2</v>
      </c>
      <c r="I1053" s="307"/>
      <c r="J1053" s="308"/>
      <c r="K1053" s="309"/>
      <c r="L1053" s="117"/>
      <c r="M1053" s="118"/>
    </row>
    <row r="1054" spans="3:13" ht="24" x14ac:dyDescent="0.2">
      <c r="C1054" s="93"/>
      <c r="D1054" s="195"/>
      <c r="E1054" s="250">
        <v>45455</v>
      </c>
      <c r="F1054" s="258">
        <v>5.5E-2</v>
      </c>
      <c r="G1054" s="258" t="s">
        <v>942</v>
      </c>
      <c r="H1054" s="258">
        <v>5.5E-2</v>
      </c>
      <c r="I1054" s="307"/>
      <c r="J1054" s="308"/>
      <c r="K1054" s="309"/>
      <c r="L1054" s="119"/>
      <c r="M1054" s="118"/>
    </row>
    <row r="1055" spans="3:13" ht="24" x14ac:dyDescent="0.2">
      <c r="C1055" s="93"/>
      <c r="D1055" s="195"/>
      <c r="E1055" s="250">
        <v>45413</v>
      </c>
      <c r="F1055" s="258">
        <v>5.5E-2</v>
      </c>
      <c r="G1055" s="258" t="s">
        <v>942</v>
      </c>
      <c r="H1055" s="258">
        <v>5.5E-2</v>
      </c>
      <c r="I1055" s="307"/>
      <c r="J1055" s="308"/>
      <c r="K1055" s="309"/>
      <c r="L1055" s="117"/>
      <c r="M1055" s="118"/>
    </row>
    <row r="1056" spans="3:13" ht="24" x14ac:dyDescent="0.2">
      <c r="C1056" s="93"/>
      <c r="D1056" s="195"/>
      <c r="E1056" s="250">
        <v>45371</v>
      </c>
      <c r="F1056" s="258">
        <v>5.5E-2</v>
      </c>
      <c r="G1056" s="258" t="s">
        <v>942</v>
      </c>
      <c r="H1056" s="258">
        <v>5.5E-2</v>
      </c>
      <c r="I1056" s="307"/>
      <c r="J1056" s="308"/>
      <c r="K1056" s="309"/>
      <c r="L1056" s="117"/>
      <c r="M1056" s="118"/>
    </row>
    <row r="1057" spans="3:13" ht="25" thickBot="1" x14ac:dyDescent="0.25">
      <c r="C1057" s="93"/>
      <c r="D1057" s="195"/>
      <c r="E1057" s="250">
        <v>45322</v>
      </c>
      <c r="F1057" s="258">
        <v>5.5E-2</v>
      </c>
      <c r="G1057" s="258" t="s">
        <v>942</v>
      </c>
      <c r="H1057" s="258">
        <v>5.5E-2</v>
      </c>
      <c r="I1057" s="310"/>
      <c r="J1057" s="311"/>
      <c r="K1057" s="312"/>
      <c r="L1057" s="120"/>
      <c r="M1057" s="121"/>
    </row>
    <row r="1058" spans="3:13" ht="49" thickBot="1" x14ac:dyDescent="0.25">
      <c r="C1058" s="93"/>
      <c r="D1058" s="89" t="s">
        <v>105</v>
      </c>
      <c r="E1058" s="252" t="s">
        <v>30</v>
      </c>
      <c r="F1058" s="322" t="s">
        <v>125</v>
      </c>
      <c r="G1058" s="323"/>
      <c r="H1058" s="324"/>
      <c r="I1058" s="325" t="s">
        <v>633</v>
      </c>
      <c r="J1058" s="326"/>
      <c r="K1058" s="327"/>
      <c r="L1058" s="189" t="s">
        <v>430</v>
      </c>
      <c r="M1058" s="125" t="s">
        <v>431</v>
      </c>
    </row>
    <row r="1059" spans="3:13" ht="24" x14ac:dyDescent="0.2">
      <c r="C1059" s="93"/>
      <c r="D1059" s="195"/>
      <c r="E1059" s="248" t="s">
        <v>432</v>
      </c>
      <c r="F1059" s="304"/>
      <c r="G1059" s="305"/>
      <c r="H1059" s="306"/>
      <c r="I1059" s="307" t="s">
        <v>935</v>
      </c>
      <c r="J1059" s="308"/>
      <c r="K1059" s="309"/>
      <c r="L1059" s="117"/>
      <c r="M1059" s="118"/>
    </row>
    <row r="1060" spans="3:13" ht="24" x14ac:dyDescent="0.2">
      <c r="C1060" s="93"/>
      <c r="D1060" s="195"/>
      <c r="E1060" s="253" t="s">
        <v>433</v>
      </c>
      <c r="F1060" s="316">
        <v>0</v>
      </c>
      <c r="G1060" s="317"/>
      <c r="H1060" s="318"/>
      <c r="I1060" s="307"/>
      <c r="J1060" s="308"/>
      <c r="K1060" s="309"/>
      <c r="L1060" s="117"/>
      <c r="M1060" s="118"/>
    </row>
    <row r="1061" spans="3:13" ht="25" thickBot="1" x14ac:dyDescent="0.25">
      <c r="C1061" s="93"/>
      <c r="D1061" s="195"/>
      <c r="E1061" s="253" t="s">
        <v>434</v>
      </c>
      <c r="F1061" s="316">
        <v>0</v>
      </c>
      <c r="G1061" s="317"/>
      <c r="H1061" s="318"/>
      <c r="I1061" s="307"/>
      <c r="J1061" s="308"/>
      <c r="K1061" s="309"/>
      <c r="L1061" s="117"/>
      <c r="M1061" s="118"/>
    </row>
    <row r="1062" spans="3:13" ht="25" thickBot="1" x14ac:dyDescent="0.25">
      <c r="C1062" s="93"/>
      <c r="D1062" s="195"/>
      <c r="E1062" s="254" t="s">
        <v>435</v>
      </c>
      <c r="F1062" s="319">
        <v>0.79166666666666663</v>
      </c>
      <c r="G1062" s="320"/>
      <c r="H1062" s="321"/>
      <c r="I1062" s="307"/>
      <c r="J1062" s="308"/>
      <c r="K1062" s="309"/>
      <c r="L1062" s="126">
        <v>2.0833333333333332E-2</v>
      </c>
      <c r="M1062" s="127">
        <v>0.875</v>
      </c>
    </row>
    <row r="1063" spans="3:13" ht="25" thickBot="1" x14ac:dyDescent="0.25">
      <c r="C1063" s="93"/>
      <c r="D1063" s="195"/>
      <c r="E1063" s="249" t="s">
        <v>436</v>
      </c>
      <c r="F1063" s="255" t="s">
        <v>29</v>
      </c>
      <c r="G1063" s="255" t="s">
        <v>28</v>
      </c>
      <c r="H1063" s="256" t="s">
        <v>27</v>
      </c>
      <c r="I1063" s="307"/>
      <c r="J1063" s="308"/>
      <c r="K1063" s="309"/>
      <c r="L1063" s="117"/>
      <c r="M1063" s="118"/>
    </row>
    <row r="1064" spans="3:13" ht="24" x14ac:dyDescent="0.2">
      <c r="C1064" s="93"/>
      <c r="D1064" s="195"/>
      <c r="E1064" s="250">
        <v>45553</v>
      </c>
      <c r="F1064" s="263">
        <v>0</v>
      </c>
      <c r="G1064" s="263" t="s">
        <v>754</v>
      </c>
      <c r="H1064" s="263">
        <v>0</v>
      </c>
      <c r="I1064" s="307"/>
      <c r="J1064" s="308"/>
      <c r="K1064" s="309"/>
      <c r="L1064" s="117"/>
      <c r="M1064" s="118"/>
    </row>
    <row r="1065" spans="3:13" ht="24" x14ac:dyDescent="0.2">
      <c r="C1065" s="93"/>
      <c r="D1065" s="195"/>
      <c r="E1065" s="250">
        <v>45504</v>
      </c>
      <c r="F1065" s="263">
        <v>0</v>
      </c>
      <c r="G1065" s="263" t="s">
        <v>754</v>
      </c>
      <c r="H1065" s="263">
        <v>0</v>
      </c>
      <c r="I1065" s="307"/>
      <c r="J1065" s="308"/>
      <c r="K1065" s="309"/>
      <c r="L1065" s="117"/>
      <c r="M1065" s="118"/>
    </row>
    <row r="1066" spans="3:13" ht="24" x14ac:dyDescent="0.2">
      <c r="C1066" s="93"/>
      <c r="D1066" s="195"/>
      <c r="E1066" s="250">
        <v>45455</v>
      </c>
      <c r="F1066" s="263">
        <v>0</v>
      </c>
      <c r="G1066" s="263" t="s">
        <v>754</v>
      </c>
      <c r="H1066" s="263">
        <v>0</v>
      </c>
      <c r="I1066" s="307"/>
      <c r="J1066" s="308"/>
      <c r="K1066" s="309"/>
      <c r="L1066" s="119"/>
      <c r="M1066" s="118"/>
    </row>
    <row r="1067" spans="3:13" ht="24" x14ac:dyDescent="0.2">
      <c r="C1067" s="93"/>
      <c r="D1067" s="195"/>
      <c r="E1067" s="250">
        <v>45413</v>
      </c>
      <c r="F1067" s="263">
        <v>0</v>
      </c>
      <c r="G1067" s="263" t="s">
        <v>754</v>
      </c>
      <c r="H1067" s="263">
        <v>0</v>
      </c>
      <c r="I1067" s="307"/>
      <c r="J1067" s="308"/>
      <c r="K1067" s="309"/>
      <c r="L1067" s="117"/>
      <c r="M1067" s="118"/>
    </row>
    <row r="1068" spans="3:13" ht="24" x14ac:dyDescent="0.2">
      <c r="C1068" s="93"/>
      <c r="D1068" s="195"/>
      <c r="E1068" s="250">
        <v>45371</v>
      </c>
      <c r="F1068" s="263">
        <v>0</v>
      </c>
      <c r="G1068" s="263" t="s">
        <v>754</v>
      </c>
      <c r="H1068" s="263">
        <v>0</v>
      </c>
      <c r="I1068" s="307"/>
      <c r="J1068" s="308"/>
      <c r="K1068" s="309"/>
      <c r="L1068" s="117"/>
      <c r="M1068" s="118"/>
    </row>
    <row r="1069" spans="3:13" ht="24" thickBot="1" x14ac:dyDescent="0.25">
      <c r="C1069" s="93"/>
      <c r="D1069" s="195"/>
      <c r="E1069" s="250">
        <v>45322</v>
      </c>
      <c r="F1069" s="263">
        <v>0</v>
      </c>
      <c r="G1069" s="263">
        <v>0</v>
      </c>
      <c r="H1069" s="263">
        <v>0</v>
      </c>
      <c r="I1069" s="310"/>
      <c r="J1069" s="311"/>
      <c r="K1069" s="312"/>
      <c r="L1069" s="120"/>
      <c r="M1069" s="121"/>
    </row>
    <row r="1070" spans="3:13" ht="49" thickBot="1" x14ac:dyDescent="0.25">
      <c r="C1070" s="93"/>
      <c r="D1070" s="89" t="s">
        <v>105</v>
      </c>
      <c r="E1070" s="252" t="s">
        <v>30</v>
      </c>
      <c r="F1070" s="322" t="s">
        <v>129</v>
      </c>
      <c r="G1070" s="323"/>
      <c r="H1070" s="324"/>
      <c r="I1070" s="325" t="s">
        <v>633</v>
      </c>
      <c r="J1070" s="326"/>
      <c r="K1070" s="327"/>
      <c r="L1070" s="189" t="s">
        <v>430</v>
      </c>
      <c r="M1070" s="125" t="s">
        <v>431</v>
      </c>
    </row>
    <row r="1071" spans="3:13" ht="24" x14ac:dyDescent="0.2">
      <c r="C1071" s="93"/>
      <c r="D1071" s="195"/>
      <c r="E1071" s="248" t="s">
        <v>432</v>
      </c>
      <c r="F1071" s="304"/>
      <c r="G1071" s="305"/>
      <c r="H1071" s="306"/>
      <c r="I1071" s="307" t="s">
        <v>936</v>
      </c>
      <c r="J1071" s="308"/>
      <c r="K1071" s="309"/>
      <c r="L1071" s="117"/>
      <c r="M1071" s="118"/>
    </row>
    <row r="1072" spans="3:13" ht="24" x14ac:dyDescent="0.2">
      <c r="C1072" s="93"/>
      <c r="D1072" s="195"/>
      <c r="E1072" s="253" t="s">
        <v>433</v>
      </c>
      <c r="F1072" s="316">
        <v>0</v>
      </c>
      <c r="G1072" s="317"/>
      <c r="H1072" s="318"/>
      <c r="I1072" s="307"/>
      <c r="J1072" s="308"/>
      <c r="K1072" s="309"/>
      <c r="L1072" s="117"/>
      <c r="M1072" s="118"/>
    </row>
    <row r="1073" spans="3:13" ht="25" thickBot="1" x14ac:dyDescent="0.25">
      <c r="C1073" s="93"/>
      <c r="D1073" s="195"/>
      <c r="E1073" s="253" t="s">
        <v>434</v>
      </c>
      <c r="F1073" s="316">
        <v>0</v>
      </c>
      <c r="G1073" s="317"/>
      <c r="H1073" s="318"/>
      <c r="I1073" s="307"/>
      <c r="J1073" s="308"/>
      <c r="K1073" s="309"/>
      <c r="L1073" s="117"/>
      <c r="M1073" s="118"/>
    </row>
    <row r="1074" spans="3:13" ht="25" thickBot="1" x14ac:dyDescent="0.25">
      <c r="C1074" s="93"/>
      <c r="D1074" s="195"/>
      <c r="E1074" s="254" t="s">
        <v>435</v>
      </c>
      <c r="F1074" s="319">
        <v>0.8125</v>
      </c>
      <c r="G1074" s="320"/>
      <c r="H1074" s="321"/>
      <c r="I1074" s="307"/>
      <c r="J1074" s="308"/>
      <c r="K1074" s="309"/>
      <c r="L1074" s="126">
        <v>4.1666666666666664E-2</v>
      </c>
      <c r="M1074" s="127">
        <v>0.89583333333333337</v>
      </c>
    </row>
    <row r="1075" spans="3:13" ht="25" thickBot="1" x14ac:dyDescent="0.25">
      <c r="C1075" s="93"/>
      <c r="D1075" s="195"/>
      <c r="E1075" s="249" t="s">
        <v>436</v>
      </c>
      <c r="F1075" s="255" t="s">
        <v>29</v>
      </c>
      <c r="G1075" s="255" t="s">
        <v>28</v>
      </c>
      <c r="H1075" s="256" t="s">
        <v>27</v>
      </c>
      <c r="I1075" s="307"/>
      <c r="J1075" s="308"/>
      <c r="K1075" s="309"/>
      <c r="L1075" s="117"/>
      <c r="M1075" s="118"/>
    </row>
    <row r="1076" spans="3:13" ht="24" x14ac:dyDescent="0.2">
      <c r="C1076" s="93"/>
      <c r="D1076" s="195"/>
      <c r="E1076" s="250">
        <v>45553</v>
      </c>
      <c r="F1076" s="263">
        <v>0</v>
      </c>
      <c r="G1076" s="263" t="s">
        <v>754</v>
      </c>
      <c r="H1076" s="263">
        <v>0</v>
      </c>
      <c r="I1076" s="307"/>
      <c r="J1076" s="308"/>
      <c r="K1076" s="309"/>
      <c r="L1076" s="117"/>
      <c r="M1076" s="118"/>
    </row>
    <row r="1077" spans="3:13" ht="24" x14ac:dyDescent="0.2">
      <c r="C1077" s="93"/>
      <c r="D1077" s="195"/>
      <c r="E1077" s="250">
        <v>45504</v>
      </c>
      <c r="F1077" s="263">
        <v>0</v>
      </c>
      <c r="G1077" s="263" t="s">
        <v>754</v>
      </c>
      <c r="H1077" s="263">
        <v>0</v>
      </c>
      <c r="I1077" s="307"/>
      <c r="J1077" s="308"/>
      <c r="K1077" s="309"/>
      <c r="L1077" s="117"/>
      <c r="M1077" s="118"/>
    </row>
    <row r="1078" spans="3:13" ht="24" x14ac:dyDescent="0.2">
      <c r="C1078" s="93"/>
      <c r="D1078" s="195"/>
      <c r="E1078" s="250">
        <v>45455</v>
      </c>
      <c r="F1078" s="263">
        <v>0</v>
      </c>
      <c r="G1078" s="263" t="s">
        <v>754</v>
      </c>
      <c r="H1078" s="263">
        <v>0</v>
      </c>
      <c r="I1078" s="307"/>
      <c r="J1078" s="308"/>
      <c r="K1078" s="309"/>
      <c r="L1078" s="119"/>
      <c r="M1078" s="118"/>
    </row>
    <row r="1079" spans="3:13" ht="24" x14ac:dyDescent="0.2">
      <c r="C1079" s="93"/>
      <c r="D1079" s="195"/>
      <c r="E1079" s="250">
        <v>45413</v>
      </c>
      <c r="F1079" s="263">
        <v>0</v>
      </c>
      <c r="G1079" s="263" t="s">
        <v>754</v>
      </c>
      <c r="H1079" s="263">
        <v>0</v>
      </c>
      <c r="I1079" s="307"/>
      <c r="J1079" s="308"/>
      <c r="K1079" s="309"/>
      <c r="L1079" s="117"/>
      <c r="M1079" s="118"/>
    </row>
    <row r="1080" spans="3:13" ht="24" x14ac:dyDescent="0.2">
      <c r="C1080" s="93"/>
      <c r="D1080" s="195"/>
      <c r="E1080" s="250">
        <v>45371</v>
      </c>
      <c r="F1080" s="263">
        <v>0</v>
      </c>
      <c r="G1080" s="263" t="s">
        <v>754</v>
      </c>
      <c r="H1080" s="263">
        <v>0</v>
      </c>
      <c r="I1080" s="307"/>
      <c r="J1080" s="308"/>
      <c r="K1080" s="309"/>
      <c r="L1080" s="117"/>
      <c r="M1080" s="118"/>
    </row>
    <row r="1081" spans="3:13" ht="25" thickBot="1" x14ac:dyDescent="0.25">
      <c r="C1081" s="93"/>
      <c r="D1081" s="195"/>
      <c r="E1081" s="251">
        <v>45322</v>
      </c>
      <c r="F1081" s="264">
        <v>0</v>
      </c>
      <c r="G1081" s="264" t="s">
        <v>754</v>
      </c>
      <c r="H1081" s="264">
        <v>0</v>
      </c>
      <c r="I1081" s="310"/>
      <c r="J1081" s="311"/>
      <c r="K1081" s="312"/>
      <c r="L1081" s="120"/>
      <c r="M1081" s="121"/>
    </row>
    <row r="1082" spans="3:13" ht="49" thickBot="1" x14ac:dyDescent="0.25">
      <c r="C1082" s="93" t="s">
        <v>105</v>
      </c>
      <c r="D1082" s="93" t="s">
        <v>105</v>
      </c>
      <c r="E1082" s="252" t="s">
        <v>30</v>
      </c>
      <c r="F1082" s="322" t="s">
        <v>948</v>
      </c>
      <c r="G1082" s="323"/>
      <c r="H1082" s="324"/>
      <c r="I1082" s="325" t="s">
        <v>633</v>
      </c>
      <c r="J1082" s="326"/>
      <c r="K1082" s="327"/>
      <c r="L1082" s="189" t="s">
        <v>430</v>
      </c>
      <c r="M1082" s="125" t="s">
        <v>431</v>
      </c>
    </row>
    <row r="1083" spans="3:13" ht="24" x14ac:dyDescent="0.2">
      <c r="E1083" s="248" t="s">
        <v>432</v>
      </c>
      <c r="F1083" s="304"/>
      <c r="G1083" s="305"/>
      <c r="H1083" s="306"/>
      <c r="I1083" s="307" t="s">
        <v>949</v>
      </c>
      <c r="J1083" s="308"/>
      <c r="K1083" s="309"/>
      <c r="L1083" s="117"/>
      <c r="M1083" s="118"/>
    </row>
    <row r="1084" spans="3:13" ht="24" x14ac:dyDescent="0.2">
      <c r="E1084" s="253" t="s">
        <v>433</v>
      </c>
      <c r="F1084" s="313">
        <v>4.0000000000000001E-3</v>
      </c>
      <c r="G1084" s="314"/>
      <c r="H1084" s="315"/>
      <c r="I1084" s="307"/>
      <c r="J1084" s="308"/>
      <c r="K1084" s="309"/>
      <c r="L1084" s="117"/>
      <c r="M1084" s="118"/>
    </row>
    <row r="1085" spans="3:13" ht="25" thickBot="1" x14ac:dyDescent="0.25">
      <c r="E1085" s="253" t="s">
        <v>434</v>
      </c>
      <c r="F1085" s="313">
        <v>0</v>
      </c>
      <c r="G1085" s="314"/>
      <c r="H1085" s="315"/>
      <c r="I1085" s="307"/>
      <c r="J1085" s="308"/>
      <c r="K1085" s="309"/>
      <c r="L1085" s="117"/>
      <c r="M1085" s="118"/>
    </row>
    <row r="1086" spans="3:13" ht="25" thickBot="1" x14ac:dyDescent="0.25">
      <c r="E1086" s="254" t="s">
        <v>435</v>
      </c>
      <c r="F1086" s="319">
        <v>0.29166666666666674</v>
      </c>
      <c r="G1086" s="320"/>
      <c r="H1086" s="321"/>
      <c r="I1086" s="307"/>
      <c r="J1086" s="308"/>
      <c r="K1086" s="309"/>
      <c r="L1086" s="126">
        <v>0.52083333333333337</v>
      </c>
      <c r="M1086" s="127">
        <v>0.375</v>
      </c>
    </row>
    <row r="1087" spans="3:13" ht="25" thickBot="1" x14ac:dyDescent="0.25">
      <c r="E1087" s="249" t="s">
        <v>436</v>
      </c>
      <c r="F1087" s="255" t="s">
        <v>29</v>
      </c>
      <c r="G1087" s="255" t="s">
        <v>28</v>
      </c>
      <c r="H1087" s="256" t="s">
        <v>27</v>
      </c>
      <c r="I1087" s="307"/>
      <c r="J1087" s="308"/>
      <c r="K1087" s="309"/>
      <c r="L1087" s="117"/>
      <c r="M1087" s="118"/>
    </row>
    <row r="1088" spans="3:13" ht="24" x14ac:dyDescent="0.2">
      <c r="E1088" s="250">
        <v>45595</v>
      </c>
      <c r="F1088" s="257">
        <v>4.0000000000000001E-3</v>
      </c>
      <c r="G1088" s="257" t="s">
        <v>460</v>
      </c>
      <c r="H1088" s="257">
        <v>0</v>
      </c>
      <c r="I1088" s="307"/>
      <c r="J1088" s="308"/>
      <c r="K1088" s="309"/>
      <c r="L1088" s="117"/>
      <c r="M1088" s="118"/>
    </row>
    <row r="1089" spans="4:13" ht="24" x14ac:dyDescent="0.2">
      <c r="E1089" s="250">
        <v>45576</v>
      </c>
      <c r="F1089" s="257">
        <v>0</v>
      </c>
      <c r="G1089" s="257" t="s">
        <v>458</v>
      </c>
      <c r="H1089" s="257">
        <v>-1E-3</v>
      </c>
      <c r="I1089" s="307"/>
      <c r="J1089" s="308"/>
      <c r="K1089" s="309"/>
      <c r="L1089" s="117"/>
      <c r="M1089" s="118"/>
    </row>
    <row r="1090" spans="4:13" ht="24" x14ac:dyDescent="0.2">
      <c r="E1090" s="250">
        <v>45565</v>
      </c>
      <c r="F1090" s="257">
        <v>0</v>
      </c>
      <c r="G1090" s="257" t="s">
        <v>462</v>
      </c>
      <c r="H1090" s="257">
        <v>-1E-3</v>
      </c>
      <c r="I1090" s="307"/>
      <c r="J1090" s="308"/>
      <c r="K1090" s="309"/>
      <c r="L1090" s="119"/>
      <c r="M1090" s="118"/>
    </row>
    <row r="1091" spans="4:13" ht="24" x14ac:dyDescent="0.2">
      <c r="E1091" s="250">
        <v>45545</v>
      </c>
      <c r="F1091" s="257">
        <v>-1E-3</v>
      </c>
      <c r="G1091" s="257" t="s">
        <v>456</v>
      </c>
      <c r="H1091" s="257">
        <v>3.0000000000000001E-3</v>
      </c>
      <c r="I1091" s="307"/>
      <c r="J1091" s="308"/>
      <c r="K1091" s="309"/>
      <c r="L1091" s="117"/>
      <c r="M1091" s="118"/>
    </row>
    <row r="1092" spans="4:13" ht="24" x14ac:dyDescent="0.2">
      <c r="E1092" s="250">
        <v>45533</v>
      </c>
      <c r="F1092" s="257">
        <v>-1E-3</v>
      </c>
      <c r="G1092" s="257" t="s">
        <v>458</v>
      </c>
      <c r="H1092" s="257">
        <v>3.0000000000000001E-3</v>
      </c>
      <c r="I1092" s="307"/>
      <c r="J1092" s="308"/>
      <c r="K1092" s="309"/>
      <c r="L1092" s="117"/>
      <c r="M1092" s="118"/>
    </row>
    <row r="1093" spans="4:13" ht="25" thickBot="1" x14ac:dyDescent="0.25">
      <c r="E1093" s="250">
        <v>45513</v>
      </c>
      <c r="F1093" s="257">
        <v>3.0000000000000001E-3</v>
      </c>
      <c r="G1093" s="257" t="s">
        <v>467</v>
      </c>
      <c r="H1093" s="257">
        <v>1E-3</v>
      </c>
      <c r="I1093" s="310"/>
      <c r="J1093" s="311"/>
      <c r="K1093" s="312"/>
      <c r="L1093" s="120"/>
      <c r="M1093" s="121"/>
    </row>
    <row r="1094" spans="4:13" ht="49" thickBot="1" x14ac:dyDescent="0.25">
      <c r="D1094" t="s">
        <v>105</v>
      </c>
      <c r="E1094" s="252" t="s">
        <v>30</v>
      </c>
      <c r="F1094" s="322" t="s">
        <v>950</v>
      </c>
      <c r="G1094" s="323"/>
      <c r="H1094" s="324"/>
      <c r="I1094" s="325" t="s">
        <v>633</v>
      </c>
      <c r="J1094" s="326"/>
      <c r="K1094" s="327"/>
      <c r="L1094" s="189" t="s">
        <v>430</v>
      </c>
      <c r="M1094" s="125" t="s">
        <v>431</v>
      </c>
    </row>
    <row r="1095" spans="4:13" ht="24" x14ac:dyDescent="0.2">
      <c r="E1095" s="248" t="s">
        <v>432</v>
      </c>
      <c r="F1095" s="304"/>
      <c r="G1095" s="305"/>
      <c r="H1095" s="306"/>
      <c r="I1095" s="307" t="s">
        <v>951</v>
      </c>
      <c r="J1095" s="308"/>
      <c r="K1095" s="309"/>
      <c r="L1095" s="117"/>
      <c r="M1095" s="118"/>
    </row>
    <row r="1096" spans="4:13" ht="24" x14ac:dyDescent="0.2">
      <c r="E1096" s="253" t="s">
        <v>433</v>
      </c>
      <c r="F1096" s="313">
        <v>3.0000000000000001E-3</v>
      </c>
      <c r="G1096" s="314"/>
      <c r="H1096" s="315"/>
      <c r="I1096" s="307"/>
      <c r="J1096" s="308"/>
      <c r="K1096" s="309"/>
      <c r="L1096" s="117"/>
      <c r="M1096" s="118"/>
    </row>
    <row r="1097" spans="4:13" ht="25" thickBot="1" x14ac:dyDescent="0.25">
      <c r="E1097" s="253" t="s">
        <v>434</v>
      </c>
      <c r="F1097" s="313">
        <v>3.0000000000000001E-3</v>
      </c>
      <c r="G1097" s="314"/>
      <c r="H1097" s="315"/>
      <c r="I1097" s="307"/>
      <c r="J1097" s="308"/>
      <c r="K1097" s="309"/>
      <c r="L1097" s="117"/>
      <c r="M1097" s="118"/>
    </row>
    <row r="1098" spans="4:13" ht="25" thickBot="1" x14ac:dyDescent="0.25">
      <c r="E1098" s="254" t="s">
        <v>435</v>
      </c>
      <c r="F1098" s="319">
        <v>0.5625</v>
      </c>
      <c r="G1098" s="320"/>
      <c r="H1098" s="321"/>
      <c r="I1098" s="307"/>
      <c r="J1098" s="308"/>
      <c r="K1098" s="309"/>
      <c r="L1098" s="126">
        <v>0.79166666666666663</v>
      </c>
      <c r="M1098" s="127">
        <v>0.64583333333333326</v>
      </c>
    </row>
    <row r="1099" spans="4:13" ht="25" thickBot="1" x14ac:dyDescent="0.25">
      <c r="E1099" s="249" t="s">
        <v>436</v>
      </c>
      <c r="F1099" s="255" t="s">
        <v>29</v>
      </c>
      <c r="G1099" s="255" t="s">
        <v>28</v>
      </c>
      <c r="H1099" s="256" t="s">
        <v>27</v>
      </c>
      <c r="I1099" s="307"/>
      <c r="J1099" s="308"/>
      <c r="K1099" s="309"/>
      <c r="L1099" s="117"/>
      <c r="M1099" s="118"/>
    </row>
    <row r="1100" spans="4:13" ht="24" x14ac:dyDescent="0.2">
      <c r="E1100" s="250">
        <v>45575</v>
      </c>
      <c r="F1100" s="257">
        <v>3.0000000000000001E-3</v>
      </c>
      <c r="G1100" s="257" t="s">
        <v>460</v>
      </c>
      <c r="H1100" s="257">
        <v>3.0000000000000001E-3</v>
      </c>
      <c r="I1100" s="307"/>
      <c r="J1100" s="308"/>
      <c r="K1100" s="309"/>
      <c r="L1100" s="117"/>
      <c r="M1100" s="118"/>
    </row>
    <row r="1101" spans="4:13" ht="24" x14ac:dyDescent="0.2">
      <c r="E1101" s="250">
        <v>45546</v>
      </c>
      <c r="F1101" s="257">
        <v>3.0000000000000001E-3</v>
      </c>
      <c r="G1101" s="257" t="s">
        <v>460</v>
      </c>
      <c r="H1101" s="257">
        <v>2E-3</v>
      </c>
      <c r="I1101" s="307"/>
      <c r="J1101" s="308"/>
      <c r="K1101" s="309"/>
      <c r="L1101" s="117"/>
      <c r="M1101" s="118"/>
    </row>
    <row r="1102" spans="4:13" ht="24" x14ac:dyDescent="0.2">
      <c r="E1102" s="250">
        <v>45518</v>
      </c>
      <c r="F1102" s="257">
        <v>2E-3</v>
      </c>
      <c r="G1102" s="257" t="s">
        <v>460</v>
      </c>
      <c r="H1102" s="257">
        <v>1E-3</v>
      </c>
      <c r="I1102" s="307"/>
      <c r="J1102" s="308"/>
      <c r="K1102" s="309"/>
      <c r="L1102" s="119"/>
      <c r="M1102" s="118"/>
    </row>
    <row r="1103" spans="4:13" ht="24" x14ac:dyDescent="0.2">
      <c r="E1103" s="250">
        <v>45484</v>
      </c>
      <c r="F1103" s="257">
        <v>1E-3</v>
      </c>
      <c r="G1103" s="257" t="s">
        <v>460</v>
      </c>
      <c r="H1103" s="257">
        <v>2E-3</v>
      </c>
      <c r="I1103" s="307"/>
      <c r="J1103" s="308"/>
      <c r="K1103" s="309"/>
      <c r="L1103" s="117"/>
      <c r="M1103" s="118"/>
    </row>
    <row r="1104" spans="4:13" ht="24" x14ac:dyDescent="0.2">
      <c r="E1104" s="250">
        <v>45455</v>
      </c>
      <c r="F1104" s="257">
        <v>2E-3</v>
      </c>
      <c r="G1104" s="257" t="s">
        <v>467</v>
      </c>
      <c r="H1104" s="257">
        <v>3.0000000000000001E-3</v>
      </c>
      <c r="I1104" s="307"/>
      <c r="J1104" s="308"/>
      <c r="K1104" s="309"/>
      <c r="L1104" s="117"/>
      <c r="M1104" s="118"/>
    </row>
    <row r="1105" spans="4:13" ht="25" thickBot="1" x14ac:dyDescent="0.25">
      <c r="E1105" s="250">
        <v>45427</v>
      </c>
      <c r="F1105" s="257">
        <v>3.0000000000000001E-3</v>
      </c>
      <c r="G1105" s="257" t="s">
        <v>467</v>
      </c>
      <c r="H1105" s="257">
        <v>4.0000000000000001E-3</v>
      </c>
      <c r="I1105" s="310"/>
      <c r="J1105" s="311"/>
      <c r="K1105" s="312"/>
      <c r="L1105" s="120"/>
      <c r="M1105" s="121"/>
    </row>
    <row r="1106" spans="4:13" ht="49" thickBot="1" x14ac:dyDescent="0.25">
      <c r="D1106" t="s">
        <v>105</v>
      </c>
      <c r="E1106" s="252" t="s">
        <v>30</v>
      </c>
      <c r="F1106" s="322" t="s">
        <v>952</v>
      </c>
      <c r="G1106" s="323"/>
      <c r="H1106" s="324"/>
      <c r="I1106" s="325" t="s">
        <v>633</v>
      </c>
      <c r="J1106" s="326"/>
      <c r="K1106" s="327"/>
      <c r="L1106" s="189" t="s">
        <v>430</v>
      </c>
      <c r="M1106" s="125" t="s">
        <v>431</v>
      </c>
    </row>
    <row r="1107" spans="4:13" ht="24" x14ac:dyDescent="0.2">
      <c r="E1107" s="248" t="s">
        <v>432</v>
      </c>
      <c r="F1107" s="304"/>
      <c r="G1107" s="305"/>
      <c r="H1107" s="306"/>
      <c r="I1107" s="307" t="s">
        <v>953</v>
      </c>
      <c r="J1107" s="308"/>
      <c r="K1107" s="309"/>
      <c r="L1107" s="117"/>
      <c r="M1107" s="118"/>
    </row>
    <row r="1108" spans="4:13" ht="24" x14ac:dyDescent="0.2">
      <c r="E1108" s="253" t="s">
        <v>433</v>
      </c>
      <c r="F1108" s="313">
        <v>2.4E-2</v>
      </c>
      <c r="G1108" s="314"/>
      <c r="H1108" s="315"/>
      <c r="I1108" s="307"/>
      <c r="J1108" s="308"/>
      <c r="K1108" s="309"/>
      <c r="L1108" s="117"/>
      <c r="M1108" s="118"/>
    </row>
    <row r="1109" spans="4:13" ht="25" thickBot="1" x14ac:dyDescent="0.25">
      <c r="E1109" s="253" t="s">
        <v>434</v>
      </c>
      <c r="F1109" s="313">
        <v>2.4E-2</v>
      </c>
      <c r="G1109" s="314"/>
      <c r="H1109" s="315"/>
      <c r="I1109" s="307"/>
      <c r="J1109" s="308"/>
      <c r="K1109" s="309"/>
      <c r="L1109" s="117"/>
      <c r="M1109" s="118"/>
    </row>
    <row r="1110" spans="4:13" ht="25" thickBot="1" x14ac:dyDescent="0.25">
      <c r="E1110" s="254" t="s">
        <v>435</v>
      </c>
      <c r="F1110" s="319">
        <v>0.5625</v>
      </c>
      <c r="G1110" s="320"/>
      <c r="H1110" s="321"/>
      <c r="I1110" s="307"/>
      <c r="J1110" s="308"/>
      <c r="K1110" s="309"/>
      <c r="L1110" s="126">
        <v>0.79166666666666663</v>
      </c>
      <c r="M1110" s="127">
        <v>0.64583333333333326</v>
      </c>
    </row>
    <row r="1111" spans="4:13" ht="25" thickBot="1" x14ac:dyDescent="0.25">
      <c r="E1111" s="249" t="s">
        <v>436</v>
      </c>
      <c r="F1111" s="255" t="s">
        <v>29</v>
      </c>
      <c r="G1111" s="255" t="s">
        <v>28</v>
      </c>
      <c r="H1111" s="256" t="s">
        <v>27</v>
      </c>
      <c r="I1111" s="307"/>
      <c r="J1111" s="308"/>
      <c r="K1111" s="309"/>
      <c r="L1111" s="117"/>
      <c r="M1111" s="118"/>
    </row>
    <row r="1112" spans="4:13" ht="24" x14ac:dyDescent="0.2">
      <c r="E1112" s="250">
        <v>45575</v>
      </c>
      <c r="F1112" s="257">
        <v>2.4E-2</v>
      </c>
      <c r="G1112" s="257" t="s">
        <v>971</v>
      </c>
      <c r="H1112" s="257">
        <v>2.5000000000000001E-2</v>
      </c>
      <c r="I1112" s="307"/>
      <c r="J1112" s="308"/>
      <c r="K1112" s="309"/>
      <c r="L1112" s="117"/>
      <c r="M1112" s="118"/>
    </row>
    <row r="1113" spans="4:13" ht="24" x14ac:dyDescent="0.2">
      <c r="E1113" s="250">
        <v>45546</v>
      </c>
      <c r="F1113" s="257">
        <v>2.5000000000000001E-2</v>
      </c>
      <c r="G1113" s="257" t="s">
        <v>495</v>
      </c>
      <c r="H1113" s="257">
        <v>2.9000000000000001E-2</v>
      </c>
      <c r="I1113" s="307"/>
      <c r="J1113" s="308"/>
      <c r="K1113" s="309"/>
      <c r="L1113" s="117"/>
      <c r="M1113" s="118"/>
    </row>
    <row r="1114" spans="4:13" ht="24" x14ac:dyDescent="0.2">
      <c r="E1114" s="250">
        <v>45518</v>
      </c>
      <c r="F1114" s="257">
        <v>2.9000000000000001E-2</v>
      </c>
      <c r="G1114" s="257" t="s">
        <v>669</v>
      </c>
      <c r="H1114" s="257">
        <v>0.03</v>
      </c>
      <c r="I1114" s="307"/>
      <c r="J1114" s="308"/>
      <c r="K1114" s="309"/>
      <c r="L1114" s="119"/>
      <c r="M1114" s="118"/>
    </row>
    <row r="1115" spans="4:13" ht="24" x14ac:dyDescent="0.2">
      <c r="E1115" s="250">
        <v>45484</v>
      </c>
      <c r="F1115" s="257">
        <v>0.03</v>
      </c>
      <c r="G1115" s="257" t="s">
        <v>668</v>
      </c>
      <c r="H1115" s="257">
        <v>3.3000000000000002E-2</v>
      </c>
      <c r="I1115" s="307"/>
      <c r="J1115" s="308"/>
      <c r="K1115" s="309"/>
      <c r="L1115" s="117"/>
      <c r="M1115" s="118"/>
    </row>
    <row r="1116" spans="4:13" ht="24" x14ac:dyDescent="0.2">
      <c r="E1116" s="250">
        <v>45455</v>
      </c>
      <c r="F1116" s="257">
        <v>3.3000000000000002E-2</v>
      </c>
      <c r="G1116" s="257" t="s">
        <v>882</v>
      </c>
      <c r="H1116" s="257">
        <v>3.4000000000000002E-2</v>
      </c>
      <c r="I1116" s="307"/>
      <c r="J1116" s="308"/>
      <c r="K1116" s="309"/>
      <c r="L1116" s="117"/>
      <c r="M1116" s="118"/>
    </row>
    <row r="1117" spans="4:13" ht="25" thickBot="1" x14ac:dyDescent="0.25">
      <c r="E1117" s="250">
        <v>45427</v>
      </c>
      <c r="F1117" s="257">
        <v>3.4000000000000002E-2</v>
      </c>
      <c r="G1117" s="257" t="s">
        <v>882</v>
      </c>
      <c r="H1117" s="257">
        <v>3.5000000000000003E-2</v>
      </c>
      <c r="I1117" s="310"/>
      <c r="J1117" s="311"/>
      <c r="K1117" s="312"/>
      <c r="L1117" s="120"/>
      <c r="M1117" s="121"/>
    </row>
    <row r="1118" spans="4:13" ht="49" thickBot="1" x14ac:dyDescent="0.25">
      <c r="D1118" t="s">
        <v>105</v>
      </c>
      <c r="E1118" s="252" t="s">
        <v>30</v>
      </c>
      <c r="F1118" s="322" t="s">
        <v>954</v>
      </c>
      <c r="G1118" s="323"/>
      <c r="H1118" s="324"/>
      <c r="I1118" s="325" t="s">
        <v>633</v>
      </c>
      <c r="J1118" s="326"/>
      <c r="K1118" s="327"/>
      <c r="L1118" s="189" t="s">
        <v>430</v>
      </c>
      <c r="M1118" s="125" t="s">
        <v>431</v>
      </c>
    </row>
    <row r="1119" spans="4:13" ht="24" x14ac:dyDescent="0.2">
      <c r="E1119" s="248" t="s">
        <v>432</v>
      </c>
      <c r="F1119" s="304"/>
      <c r="G1119" s="305"/>
      <c r="H1119" s="306"/>
      <c r="I1119" s="307" t="s">
        <v>953</v>
      </c>
      <c r="J1119" s="308"/>
      <c r="K1119" s="309"/>
      <c r="L1119" s="117"/>
      <c r="M1119" s="118"/>
    </row>
    <row r="1120" spans="4:13" ht="24" x14ac:dyDescent="0.2">
      <c r="E1120" s="253" t="s">
        <v>433</v>
      </c>
      <c r="F1120" s="313">
        <v>2E-3</v>
      </c>
      <c r="G1120" s="314"/>
      <c r="H1120" s="315"/>
      <c r="I1120" s="307"/>
      <c r="J1120" s="308"/>
      <c r="K1120" s="309"/>
      <c r="L1120" s="117"/>
      <c r="M1120" s="118"/>
    </row>
    <row r="1121" spans="4:13" ht="25" thickBot="1" x14ac:dyDescent="0.25">
      <c r="E1121" s="253" t="s">
        <v>434</v>
      </c>
      <c r="F1121" s="313">
        <v>2E-3</v>
      </c>
      <c r="G1121" s="314"/>
      <c r="H1121" s="315"/>
      <c r="I1121" s="307"/>
      <c r="J1121" s="308"/>
      <c r="K1121" s="309"/>
      <c r="L1121" s="117"/>
      <c r="M1121" s="118"/>
    </row>
    <row r="1122" spans="4:13" ht="25" thickBot="1" x14ac:dyDescent="0.25">
      <c r="E1122" s="254" t="s">
        <v>435</v>
      </c>
      <c r="F1122" s="319">
        <v>0.5625</v>
      </c>
      <c r="G1122" s="320"/>
      <c r="H1122" s="321"/>
      <c r="I1122" s="307"/>
      <c r="J1122" s="308"/>
      <c r="K1122" s="309"/>
      <c r="L1122" s="126">
        <v>0.79166666666666663</v>
      </c>
      <c r="M1122" s="127">
        <v>0.64583333333333326</v>
      </c>
    </row>
    <row r="1123" spans="4:13" ht="25" thickBot="1" x14ac:dyDescent="0.25">
      <c r="E1123" s="249" t="s">
        <v>436</v>
      </c>
      <c r="F1123" s="255" t="s">
        <v>29</v>
      </c>
      <c r="G1123" s="255" t="s">
        <v>28</v>
      </c>
      <c r="H1123" s="256" t="s">
        <v>27</v>
      </c>
      <c r="I1123" s="307"/>
      <c r="J1123" s="308"/>
      <c r="K1123" s="309"/>
      <c r="L1123" s="117"/>
      <c r="M1123" s="118"/>
    </row>
    <row r="1124" spans="4:13" ht="24" x14ac:dyDescent="0.2">
      <c r="E1124" s="250">
        <v>45575</v>
      </c>
      <c r="F1124" s="257">
        <v>2E-3</v>
      </c>
      <c r="G1124" s="257" t="s">
        <v>462</v>
      </c>
      <c r="H1124" s="257">
        <v>2E-3</v>
      </c>
      <c r="I1124" s="307"/>
      <c r="J1124" s="308"/>
      <c r="K1124" s="309"/>
      <c r="L1124" s="117"/>
      <c r="M1124" s="118"/>
    </row>
    <row r="1125" spans="4:13" ht="24" x14ac:dyDescent="0.2">
      <c r="E1125" s="250">
        <v>45546</v>
      </c>
      <c r="F1125" s="257">
        <v>2E-3</v>
      </c>
      <c r="G1125" s="257" t="s">
        <v>460</v>
      </c>
      <c r="H1125" s="257">
        <v>2E-3</v>
      </c>
      <c r="I1125" s="307"/>
      <c r="J1125" s="308"/>
      <c r="K1125" s="309"/>
      <c r="L1125" s="117"/>
      <c r="M1125" s="118"/>
    </row>
    <row r="1126" spans="4:13" ht="24" x14ac:dyDescent="0.2">
      <c r="E1126" s="250">
        <v>45518</v>
      </c>
      <c r="F1126" s="257">
        <v>2E-3</v>
      </c>
      <c r="G1126" s="257" t="s">
        <v>460</v>
      </c>
      <c r="H1126" s="257">
        <v>-1E-3</v>
      </c>
      <c r="I1126" s="307"/>
      <c r="J1126" s="308"/>
      <c r="K1126" s="309"/>
      <c r="L1126" s="119"/>
      <c r="M1126" s="118"/>
    </row>
    <row r="1127" spans="4:13" ht="24" x14ac:dyDescent="0.2">
      <c r="E1127" s="250">
        <v>45484</v>
      </c>
      <c r="F1127" s="257">
        <v>-1E-3</v>
      </c>
      <c r="G1127" s="257" t="s">
        <v>462</v>
      </c>
      <c r="H1127" s="257">
        <v>0</v>
      </c>
      <c r="I1127" s="307"/>
      <c r="J1127" s="308"/>
      <c r="K1127" s="309"/>
      <c r="L1127" s="117"/>
      <c r="M1127" s="118"/>
    </row>
    <row r="1128" spans="4:13" ht="24" x14ac:dyDescent="0.2">
      <c r="E1128" s="250">
        <v>45455</v>
      </c>
      <c r="F1128" s="257">
        <v>0</v>
      </c>
      <c r="G1128" s="257" t="s">
        <v>462</v>
      </c>
      <c r="H1128" s="257">
        <v>3.0000000000000001E-3</v>
      </c>
      <c r="I1128" s="307"/>
      <c r="J1128" s="308"/>
      <c r="K1128" s="309"/>
      <c r="L1128" s="117"/>
      <c r="M1128" s="118"/>
    </row>
    <row r="1129" spans="4:13" ht="25" thickBot="1" x14ac:dyDescent="0.25">
      <c r="E1129" s="250">
        <v>45427</v>
      </c>
      <c r="F1129" s="257">
        <v>3.0000000000000001E-3</v>
      </c>
      <c r="G1129" s="257" t="s">
        <v>452</v>
      </c>
      <c r="H1129" s="257">
        <v>4.0000000000000001E-3</v>
      </c>
      <c r="I1129" s="310"/>
      <c r="J1129" s="311"/>
      <c r="K1129" s="312"/>
      <c r="L1129" s="120"/>
      <c r="M1129" s="121"/>
    </row>
    <row r="1130" spans="4:13" ht="49" thickBot="1" x14ac:dyDescent="0.25">
      <c r="D1130" t="s">
        <v>105</v>
      </c>
      <c r="E1130" s="252" t="s">
        <v>30</v>
      </c>
      <c r="F1130" s="322" t="s">
        <v>14</v>
      </c>
      <c r="G1130" s="323"/>
      <c r="H1130" s="324"/>
      <c r="I1130" s="325" t="s">
        <v>633</v>
      </c>
      <c r="J1130" s="326"/>
      <c r="K1130" s="327"/>
      <c r="L1130" s="189" t="s">
        <v>430</v>
      </c>
      <c r="M1130" s="125" t="s">
        <v>431</v>
      </c>
    </row>
    <row r="1131" spans="4:13" ht="24" x14ac:dyDescent="0.2">
      <c r="E1131" s="248" t="s">
        <v>432</v>
      </c>
      <c r="F1131" s="304"/>
      <c r="G1131" s="305"/>
      <c r="H1131" s="306"/>
      <c r="I1131" s="307" t="s">
        <v>955</v>
      </c>
      <c r="J1131" s="308"/>
      <c r="K1131" s="309"/>
      <c r="L1131" s="117"/>
      <c r="M1131" s="118"/>
    </row>
    <row r="1132" spans="4:13" ht="24" x14ac:dyDescent="0.2">
      <c r="E1132" s="253" t="s">
        <v>433</v>
      </c>
      <c r="F1132" s="331" t="s">
        <v>72</v>
      </c>
      <c r="G1132" s="332"/>
      <c r="H1132" s="333"/>
      <c r="I1132" s="307"/>
      <c r="J1132" s="308"/>
      <c r="K1132" s="309"/>
      <c r="L1132" s="117"/>
      <c r="M1132" s="118"/>
    </row>
    <row r="1133" spans="4:13" ht="25" thickBot="1" x14ac:dyDescent="0.25">
      <c r="E1133" s="253" t="s">
        <v>434</v>
      </c>
      <c r="F1133" s="331" t="s">
        <v>413</v>
      </c>
      <c r="G1133" s="332"/>
      <c r="H1133" s="333"/>
      <c r="I1133" s="307"/>
      <c r="J1133" s="308"/>
      <c r="K1133" s="309"/>
      <c r="L1133" s="117"/>
      <c r="M1133" s="118"/>
    </row>
    <row r="1134" spans="4:13" ht="25" thickBot="1" x14ac:dyDescent="0.25">
      <c r="E1134" s="254" t="s">
        <v>435</v>
      </c>
      <c r="F1134" s="319">
        <v>0.5625</v>
      </c>
      <c r="G1134" s="320"/>
      <c r="H1134" s="321"/>
      <c r="I1134" s="307"/>
      <c r="J1134" s="308"/>
      <c r="K1134" s="309"/>
      <c r="L1134" s="126">
        <v>0.79166666666666663</v>
      </c>
      <c r="M1134" s="127">
        <v>0.64583333333333326</v>
      </c>
    </row>
    <row r="1135" spans="4:13" ht="25" thickBot="1" x14ac:dyDescent="0.25">
      <c r="E1135" s="249" t="s">
        <v>436</v>
      </c>
      <c r="F1135" s="255" t="s">
        <v>29</v>
      </c>
      <c r="G1135" s="255" t="s">
        <v>28</v>
      </c>
      <c r="H1135" s="256" t="s">
        <v>27</v>
      </c>
      <c r="I1135" s="307"/>
      <c r="J1135" s="308"/>
      <c r="K1135" s="309"/>
      <c r="L1135" s="117"/>
      <c r="M1135" s="118"/>
    </row>
    <row r="1136" spans="4:13" ht="24" x14ac:dyDescent="0.2">
      <c r="E1136" s="250">
        <v>45603</v>
      </c>
      <c r="F1136" s="259" t="s">
        <v>972</v>
      </c>
      <c r="G1136" s="259" t="s">
        <v>973</v>
      </c>
      <c r="H1136" s="259" t="s">
        <v>974</v>
      </c>
      <c r="I1136" s="307"/>
      <c r="J1136" s="308"/>
      <c r="K1136" s="309"/>
      <c r="L1136" s="117"/>
      <c r="M1136" s="118"/>
    </row>
    <row r="1137" spans="4:13" ht="24" x14ac:dyDescent="0.2">
      <c r="E1137" s="250">
        <v>45596</v>
      </c>
      <c r="F1137" s="259" t="s">
        <v>975</v>
      </c>
      <c r="G1137" s="259" t="s">
        <v>976</v>
      </c>
      <c r="H1137" s="259" t="s">
        <v>977</v>
      </c>
      <c r="I1137" s="307"/>
      <c r="J1137" s="308"/>
      <c r="K1137" s="309"/>
      <c r="L1137" s="117"/>
      <c r="M1137" s="118"/>
    </row>
    <row r="1138" spans="4:13" ht="24" x14ac:dyDescent="0.2">
      <c r="E1138" s="250">
        <v>45589</v>
      </c>
      <c r="F1138" s="259" t="s">
        <v>978</v>
      </c>
      <c r="G1138" s="259" t="s">
        <v>979</v>
      </c>
      <c r="H1138" s="259" t="s">
        <v>980</v>
      </c>
      <c r="I1138" s="307"/>
      <c r="J1138" s="308"/>
      <c r="K1138" s="309"/>
      <c r="L1138" s="119"/>
      <c r="M1138" s="118"/>
    </row>
    <row r="1139" spans="4:13" ht="24" x14ac:dyDescent="0.2">
      <c r="E1139" s="250">
        <v>45582</v>
      </c>
      <c r="F1139" s="259" t="s">
        <v>981</v>
      </c>
      <c r="G1139" s="259" t="s">
        <v>981</v>
      </c>
      <c r="H1139" s="259" t="s">
        <v>982</v>
      </c>
      <c r="I1139" s="307"/>
      <c r="J1139" s="308"/>
      <c r="K1139" s="309"/>
      <c r="L1139" s="117"/>
      <c r="M1139" s="118"/>
    </row>
    <row r="1140" spans="4:13" ht="24" x14ac:dyDescent="0.2">
      <c r="E1140" s="250">
        <v>45575</v>
      </c>
      <c r="F1140" s="259" t="s">
        <v>983</v>
      </c>
      <c r="G1140" s="259" t="s">
        <v>984</v>
      </c>
      <c r="H1140" s="259" t="s">
        <v>985</v>
      </c>
      <c r="I1140" s="307"/>
      <c r="J1140" s="308"/>
      <c r="K1140" s="309"/>
      <c r="L1140" s="117"/>
      <c r="M1140" s="118"/>
    </row>
    <row r="1141" spans="4:13" ht="25" thickBot="1" x14ac:dyDescent="0.25">
      <c r="E1141" s="250">
        <v>45568</v>
      </c>
      <c r="F1141" s="259" t="s">
        <v>985</v>
      </c>
      <c r="G1141" s="259" t="s">
        <v>986</v>
      </c>
      <c r="H1141" s="259" t="s">
        <v>987</v>
      </c>
      <c r="I1141" s="310"/>
      <c r="J1141" s="311"/>
      <c r="K1141" s="312"/>
      <c r="L1141" s="120"/>
      <c r="M1141" s="121"/>
    </row>
    <row r="1142" spans="4:13" ht="49" thickBot="1" x14ac:dyDescent="0.25">
      <c r="D1142" s="89" t="s">
        <v>105</v>
      </c>
      <c r="E1142" s="252" t="s">
        <v>30</v>
      </c>
      <c r="F1142" s="322" t="s">
        <v>956</v>
      </c>
      <c r="G1142" s="323"/>
      <c r="H1142" s="324"/>
      <c r="I1142" s="325" t="s">
        <v>633</v>
      </c>
      <c r="J1142" s="326"/>
      <c r="K1142" s="327"/>
      <c r="L1142" s="189" t="s">
        <v>430</v>
      </c>
      <c r="M1142" s="125" t="s">
        <v>431</v>
      </c>
    </row>
    <row r="1143" spans="4:13" ht="24" x14ac:dyDescent="0.2">
      <c r="D1143" s="91"/>
      <c r="E1143" s="248" t="s">
        <v>432</v>
      </c>
      <c r="F1143" s="304"/>
      <c r="G1143" s="305"/>
      <c r="H1143" s="306"/>
      <c r="I1143" s="307" t="s">
        <v>957</v>
      </c>
      <c r="J1143" s="308"/>
      <c r="K1143" s="309"/>
      <c r="L1143" s="117"/>
      <c r="M1143" s="118"/>
    </row>
    <row r="1144" spans="4:13" ht="24" x14ac:dyDescent="0.2">
      <c r="D1144" s="91"/>
      <c r="E1144" s="253" t="s">
        <v>433</v>
      </c>
      <c r="F1144" s="313">
        <v>2E-3</v>
      </c>
      <c r="G1144" s="314"/>
      <c r="H1144" s="315"/>
      <c r="I1144" s="307"/>
      <c r="J1144" s="308"/>
      <c r="K1144" s="309"/>
      <c r="L1144" s="117"/>
      <c r="M1144" s="118"/>
    </row>
    <row r="1145" spans="4:13" ht="25" thickBot="1" x14ac:dyDescent="0.25">
      <c r="D1145" s="91"/>
      <c r="E1145" s="253" t="s">
        <v>434</v>
      </c>
      <c r="F1145" s="328">
        <v>0</v>
      </c>
      <c r="G1145" s="329"/>
      <c r="H1145" s="330"/>
      <c r="I1145" s="307"/>
      <c r="J1145" s="308"/>
      <c r="K1145" s="309"/>
      <c r="L1145" s="117"/>
      <c r="M1145" s="118"/>
    </row>
    <row r="1146" spans="4:13" ht="25" thickBot="1" x14ac:dyDescent="0.25">
      <c r="D1146" s="91"/>
      <c r="E1146" s="254" t="s">
        <v>435</v>
      </c>
      <c r="F1146" s="319">
        <v>0.5625</v>
      </c>
      <c r="G1146" s="320"/>
      <c r="H1146" s="321"/>
      <c r="I1146" s="307"/>
      <c r="J1146" s="308"/>
      <c r="K1146" s="309"/>
      <c r="L1146" s="126">
        <v>0.79166666666666663</v>
      </c>
      <c r="M1146" s="127">
        <v>0.64583333333333326</v>
      </c>
    </row>
    <row r="1147" spans="4:13" ht="25" thickBot="1" x14ac:dyDescent="0.25">
      <c r="D1147" s="91"/>
      <c r="E1147" s="249" t="s">
        <v>436</v>
      </c>
      <c r="F1147" s="255" t="s">
        <v>29</v>
      </c>
      <c r="G1147" s="255" t="s">
        <v>28</v>
      </c>
      <c r="H1147" s="256" t="s">
        <v>27</v>
      </c>
      <c r="I1147" s="307"/>
      <c r="J1147" s="308"/>
      <c r="K1147" s="309"/>
      <c r="L1147" s="117"/>
      <c r="M1147" s="118"/>
    </row>
    <row r="1148" spans="4:13" ht="24" x14ac:dyDescent="0.2">
      <c r="D1148" s="91"/>
      <c r="E1148" s="250">
        <v>45576</v>
      </c>
      <c r="F1148" s="260">
        <v>0</v>
      </c>
      <c r="G1148" s="260" t="s">
        <v>462</v>
      </c>
      <c r="H1148" s="260">
        <v>2E-3</v>
      </c>
      <c r="I1148" s="307"/>
      <c r="J1148" s="308"/>
      <c r="K1148" s="309"/>
      <c r="L1148" s="117"/>
      <c r="M1148" s="118"/>
    </row>
    <row r="1149" spans="4:13" ht="24" x14ac:dyDescent="0.2">
      <c r="D1149" s="91"/>
      <c r="E1149" s="250">
        <v>45547</v>
      </c>
      <c r="F1149" s="260">
        <v>2E-3</v>
      </c>
      <c r="G1149" s="260" t="s">
        <v>462</v>
      </c>
      <c r="H1149" s="260">
        <v>0</v>
      </c>
      <c r="I1149" s="307"/>
      <c r="J1149" s="308"/>
      <c r="K1149" s="309"/>
      <c r="L1149" s="117"/>
      <c r="M1149" s="118"/>
    </row>
    <row r="1150" spans="4:13" ht="24" x14ac:dyDescent="0.2">
      <c r="D1150" s="91"/>
      <c r="E1150" s="250">
        <v>45517</v>
      </c>
      <c r="F1150" s="260">
        <v>1E-3</v>
      </c>
      <c r="G1150" s="260" t="s">
        <v>460</v>
      </c>
      <c r="H1150" s="260">
        <v>2E-3</v>
      </c>
      <c r="I1150" s="307"/>
      <c r="J1150" s="308"/>
      <c r="K1150" s="309"/>
      <c r="L1150" s="119"/>
      <c r="M1150" s="118"/>
    </row>
    <row r="1151" spans="4:13" ht="24" x14ac:dyDescent="0.2">
      <c r="D1151" s="91"/>
      <c r="E1151" s="250">
        <v>45485</v>
      </c>
      <c r="F1151" s="260">
        <v>2E-3</v>
      </c>
      <c r="G1151" s="260" t="s">
        <v>462</v>
      </c>
      <c r="H1151" s="260">
        <v>0</v>
      </c>
      <c r="I1151" s="307"/>
      <c r="J1151" s="308"/>
      <c r="K1151" s="309"/>
      <c r="L1151" s="117"/>
      <c r="M1151" s="118"/>
    </row>
    <row r="1152" spans="4:13" ht="24" x14ac:dyDescent="0.2">
      <c r="D1152" s="91"/>
      <c r="E1152" s="250">
        <v>45456</v>
      </c>
      <c r="F1152" s="260">
        <v>-2E-3</v>
      </c>
      <c r="G1152" s="260" t="s">
        <v>462</v>
      </c>
      <c r="H1152" s="260">
        <v>5.0000000000000001E-3</v>
      </c>
      <c r="I1152" s="307"/>
      <c r="J1152" s="308"/>
      <c r="K1152" s="309"/>
      <c r="L1152" s="117"/>
      <c r="M1152" s="118"/>
    </row>
    <row r="1153" spans="4:13" ht="25" thickBot="1" x14ac:dyDescent="0.25">
      <c r="D1153" s="91"/>
      <c r="E1153" s="250">
        <v>45426</v>
      </c>
      <c r="F1153" s="260">
        <v>5.0000000000000001E-3</v>
      </c>
      <c r="G1153" s="260" t="s">
        <v>467</v>
      </c>
      <c r="H1153" s="260">
        <v>-1E-3</v>
      </c>
      <c r="I1153" s="310"/>
      <c r="J1153" s="311"/>
      <c r="K1153" s="312"/>
      <c r="L1153" s="120"/>
      <c r="M1153" s="121"/>
    </row>
    <row r="1154" spans="4:13" ht="49" thickBot="1" x14ac:dyDescent="0.25">
      <c r="D1154" s="89" t="s">
        <v>105</v>
      </c>
      <c r="E1154" s="252" t="s">
        <v>30</v>
      </c>
      <c r="F1154" s="322" t="s">
        <v>9</v>
      </c>
      <c r="G1154" s="323"/>
      <c r="H1154" s="324"/>
      <c r="I1154" s="325" t="s">
        <v>633</v>
      </c>
      <c r="J1154" s="326"/>
      <c r="K1154" s="327"/>
      <c r="L1154" s="189" t="s">
        <v>430</v>
      </c>
      <c r="M1154" s="125" t="s">
        <v>431</v>
      </c>
    </row>
    <row r="1155" spans="4:13" ht="24" x14ac:dyDescent="0.2">
      <c r="D1155" s="91"/>
      <c r="E1155" s="248" t="s">
        <v>432</v>
      </c>
      <c r="F1155" s="304"/>
      <c r="G1155" s="305"/>
      <c r="H1155" s="306"/>
      <c r="I1155" s="307" t="s">
        <v>926</v>
      </c>
      <c r="J1155" s="308"/>
      <c r="K1155" s="309"/>
      <c r="L1155" s="117"/>
      <c r="M1155" s="118"/>
    </row>
    <row r="1156" spans="4:13" ht="24" x14ac:dyDescent="0.2">
      <c r="D1156" s="91"/>
      <c r="E1156" s="253" t="s">
        <v>433</v>
      </c>
      <c r="F1156" s="331">
        <v>0</v>
      </c>
      <c r="G1156" s="332"/>
      <c r="H1156" s="333"/>
      <c r="I1156" s="307"/>
      <c r="J1156" s="308"/>
      <c r="K1156" s="309"/>
      <c r="L1156" s="117"/>
      <c r="M1156" s="118"/>
    </row>
    <row r="1157" spans="4:13" ht="25" thickBot="1" x14ac:dyDescent="0.25">
      <c r="D1157" s="91"/>
      <c r="E1157" s="253" t="s">
        <v>434</v>
      </c>
      <c r="F1157" s="313" t="s">
        <v>958</v>
      </c>
      <c r="G1157" s="314"/>
      <c r="H1157" s="315"/>
      <c r="I1157" s="307"/>
      <c r="J1157" s="308"/>
      <c r="K1157" s="309"/>
      <c r="L1157" s="117"/>
      <c r="M1157" s="118"/>
    </row>
    <row r="1158" spans="4:13" ht="25" thickBot="1" x14ac:dyDescent="0.25">
      <c r="D1158" s="91"/>
      <c r="E1158" s="254" t="s">
        <v>435</v>
      </c>
      <c r="F1158" s="319">
        <v>0.66666666666666674</v>
      </c>
      <c r="G1158" s="320"/>
      <c r="H1158" s="321"/>
      <c r="I1158" s="307"/>
      <c r="J1158" s="308"/>
      <c r="K1158" s="309"/>
      <c r="L1158" s="126">
        <v>0.89583333333333337</v>
      </c>
      <c r="M1158" s="127">
        <v>0.75</v>
      </c>
    </row>
    <row r="1159" spans="4:13" ht="25" thickBot="1" x14ac:dyDescent="0.25">
      <c r="D1159" s="91"/>
      <c r="E1159" s="249" t="s">
        <v>436</v>
      </c>
      <c r="F1159" s="255" t="s">
        <v>29</v>
      </c>
      <c r="G1159" s="255" t="s">
        <v>28</v>
      </c>
      <c r="H1159" s="256" t="s">
        <v>27</v>
      </c>
      <c r="I1159" s="307"/>
      <c r="J1159" s="308"/>
      <c r="K1159" s="309"/>
      <c r="L1159" s="117"/>
      <c r="M1159" s="118"/>
    </row>
    <row r="1160" spans="4:13" ht="24" x14ac:dyDescent="0.2">
      <c r="D1160" s="91"/>
      <c r="E1160" s="250">
        <v>45602</v>
      </c>
      <c r="F1160" s="259" t="s">
        <v>988</v>
      </c>
      <c r="G1160" s="259" t="s">
        <v>989</v>
      </c>
      <c r="H1160" s="259" t="s">
        <v>990</v>
      </c>
      <c r="I1160" s="307"/>
      <c r="J1160" s="308"/>
      <c r="K1160" s="309"/>
      <c r="L1160" s="117"/>
      <c r="M1160" s="118"/>
    </row>
    <row r="1161" spans="4:13" ht="24" x14ac:dyDescent="0.2">
      <c r="D1161" s="91"/>
      <c r="E1161" s="250">
        <v>45595</v>
      </c>
      <c r="F1161" s="259" t="s">
        <v>990</v>
      </c>
      <c r="G1161" s="259" t="s">
        <v>991</v>
      </c>
      <c r="H1161" s="259" t="s">
        <v>992</v>
      </c>
      <c r="I1161" s="307"/>
      <c r="J1161" s="308"/>
      <c r="K1161" s="309"/>
      <c r="L1161" s="117"/>
      <c r="M1161" s="118"/>
    </row>
    <row r="1162" spans="4:13" ht="24" x14ac:dyDescent="0.2">
      <c r="D1162" s="91"/>
      <c r="E1162" s="250">
        <v>45588</v>
      </c>
      <c r="F1162" s="259" t="s">
        <v>992</v>
      </c>
      <c r="G1162" s="259" t="s">
        <v>993</v>
      </c>
      <c r="H1162" s="259" t="s">
        <v>994</v>
      </c>
      <c r="I1162" s="307"/>
      <c r="J1162" s="308"/>
      <c r="K1162" s="309"/>
      <c r="L1162" s="119"/>
      <c r="M1162" s="118"/>
    </row>
    <row r="1163" spans="4:13" ht="24" x14ac:dyDescent="0.2">
      <c r="D1163" s="91"/>
      <c r="E1163" s="250">
        <v>45582</v>
      </c>
      <c r="F1163" s="259" t="s">
        <v>994</v>
      </c>
      <c r="G1163" s="259" t="s">
        <v>995</v>
      </c>
      <c r="H1163" s="259" t="s">
        <v>996</v>
      </c>
      <c r="I1163" s="307"/>
      <c r="J1163" s="308"/>
      <c r="K1163" s="309"/>
      <c r="L1163" s="117"/>
      <c r="M1163" s="118"/>
    </row>
    <row r="1164" spans="4:13" ht="24" x14ac:dyDescent="0.2">
      <c r="D1164" s="91"/>
      <c r="E1164" s="250">
        <v>45574</v>
      </c>
      <c r="F1164" s="259" t="s">
        <v>996</v>
      </c>
      <c r="G1164" s="259" t="s">
        <v>997</v>
      </c>
      <c r="H1164" s="259" t="s">
        <v>998</v>
      </c>
      <c r="I1164" s="307"/>
      <c r="J1164" s="308"/>
      <c r="K1164" s="309"/>
      <c r="L1164" s="117"/>
      <c r="M1164" s="118"/>
    </row>
    <row r="1165" spans="4:13" ht="25" thickBot="1" x14ac:dyDescent="0.25">
      <c r="D1165" s="91"/>
      <c r="E1165" s="250">
        <v>45567</v>
      </c>
      <c r="F1165" s="259" t="s">
        <v>998</v>
      </c>
      <c r="G1165" s="259" t="s">
        <v>999</v>
      </c>
      <c r="H1165" s="259" t="s">
        <v>1000</v>
      </c>
      <c r="I1165" s="310"/>
      <c r="J1165" s="311"/>
      <c r="K1165" s="312"/>
      <c r="L1165" s="120"/>
      <c r="M1165" s="121"/>
    </row>
    <row r="1166" spans="4:13" ht="49" thickBot="1" x14ac:dyDescent="0.25">
      <c r="D1166" s="89" t="s">
        <v>105</v>
      </c>
      <c r="E1166" s="252" t="s">
        <v>30</v>
      </c>
      <c r="F1166" s="322" t="s">
        <v>959</v>
      </c>
      <c r="G1166" s="323"/>
      <c r="H1166" s="324"/>
      <c r="I1166" s="325" t="s">
        <v>633</v>
      </c>
      <c r="J1166" s="326"/>
      <c r="K1166" s="327"/>
      <c r="L1166" s="189" t="s">
        <v>430</v>
      </c>
      <c r="M1166" s="125" t="s">
        <v>431</v>
      </c>
    </row>
    <row r="1167" spans="4:13" ht="24" x14ac:dyDescent="0.2">
      <c r="D1167" s="91"/>
      <c r="E1167" s="248" t="s">
        <v>432</v>
      </c>
      <c r="F1167" s="304"/>
      <c r="G1167" s="305"/>
      <c r="H1167" s="306"/>
      <c r="I1167" s="307" t="s">
        <v>960</v>
      </c>
      <c r="J1167" s="308"/>
      <c r="K1167" s="309"/>
      <c r="L1167" s="117"/>
      <c r="M1167" s="118"/>
    </row>
    <row r="1168" spans="4:13" ht="24" x14ac:dyDescent="0.2">
      <c r="D1168" s="91"/>
      <c r="E1168" s="253" t="s">
        <v>433</v>
      </c>
      <c r="F1168" s="328">
        <v>2E-3</v>
      </c>
      <c r="G1168" s="329"/>
      <c r="H1168" s="330"/>
      <c r="I1168" s="307"/>
      <c r="J1168" s="308"/>
      <c r="K1168" s="309"/>
      <c r="L1168" s="117"/>
      <c r="M1168" s="118"/>
    </row>
    <row r="1169" spans="4:13" ht="25" thickBot="1" x14ac:dyDescent="0.25">
      <c r="D1169" s="91"/>
      <c r="E1169" s="253" t="s">
        <v>434</v>
      </c>
      <c r="F1169" s="328">
        <v>7.0000000000000001E-3</v>
      </c>
      <c r="G1169" s="329"/>
      <c r="H1169" s="330"/>
      <c r="I1169" s="307"/>
      <c r="J1169" s="308"/>
      <c r="K1169" s="309"/>
      <c r="L1169" s="117"/>
      <c r="M1169" s="118"/>
    </row>
    <row r="1170" spans="4:13" ht="25" thickBot="1" x14ac:dyDescent="0.25">
      <c r="D1170" s="91"/>
      <c r="E1170" s="254" t="s">
        <v>435</v>
      </c>
      <c r="F1170" s="319">
        <v>0.99305555555555558</v>
      </c>
      <c r="G1170" s="320"/>
      <c r="H1170" s="321"/>
      <c r="I1170" s="307"/>
      <c r="J1170" s="308"/>
      <c r="K1170" s="309"/>
      <c r="L1170" s="126">
        <v>0.22222222222222221</v>
      </c>
      <c r="M1170" s="127">
        <v>7.6388888888888867E-2</v>
      </c>
    </row>
    <row r="1171" spans="4:13" ht="25" thickBot="1" x14ac:dyDescent="0.25">
      <c r="D1171" s="91"/>
      <c r="E1171" s="249" t="s">
        <v>436</v>
      </c>
      <c r="F1171" s="255" t="s">
        <v>29</v>
      </c>
      <c r="G1171" s="255" t="s">
        <v>28</v>
      </c>
      <c r="H1171" s="256" t="s">
        <v>27</v>
      </c>
      <c r="I1171" s="307"/>
      <c r="J1171" s="308"/>
      <c r="K1171" s="309"/>
      <c r="L1171" s="117"/>
      <c r="M1171" s="118"/>
    </row>
    <row r="1172" spans="4:13" ht="24" x14ac:dyDescent="0.2">
      <c r="D1172" s="91"/>
      <c r="E1172" s="250">
        <v>45542</v>
      </c>
      <c r="F1172" s="260">
        <v>7.0000000000000001E-3</v>
      </c>
      <c r="G1172" s="260" t="s">
        <v>1001</v>
      </c>
      <c r="H1172" s="260">
        <v>-6.0000000000000001E-3</v>
      </c>
      <c r="I1172" s="307"/>
      <c r="J1172" s="308"/>
      <c r="K1172" s="309"/>
      <c r="L1172" s="117"/>
      <c r="M1172" s="118"/>
    </row>
    <row r="1173" spans="4:13" ht="24" x14ac:dyDescent="0.2">
      <c r="D1173" s="91" t="s">
        <v>105</v>
      </c>
      <c r="E1173" s="250">
        <v>45517</v>
      </c>
      <c r="F1173" s="260">
        <v>8.0000000000000002E-3</v>
      </c>
      <c r="G1173" s="260" t="s">
        <v>449</v>
      </c>
      <c r="H1173" s="260">
        <v>-6.0000000000000001E-3</v>
      </c>
      <c r="I1173" s="307"/>
      <c r="J1173" s="308"/>
      <c r="K1173" s="309"/>
      <c r="L1173" s="117"/>
      <c r="M1173" s="118"/>
    </row>
    <row r="1174" spans="4:13" ht="24" x14ac:dyDescent="0.2">
      <c r="D1174" s="91"/>
      <c r="E1174" s="250">
        <v>45451</v>
      </c>
      <c r="F1174" s="260">
        <v>-5.0000000000000001E-3</v>
      </c>
      <c r="G1174" s="260" t="s">
        <v>782</v>
      </c>
      <c r="H1174" s="260">
        <v>1E-3</v>
      </c>
      <c r="I1174" s="307"/>
      <c r="J1174" s="308"/>
      <c r="K1174" s="309"/>
      <c r="L1174" s="119"/>
      <c r="M1174" s="118"/>
    </row>
    <row r="1175" spans="4:13" ht="24" x14ac:dyDescent="0.2">
      <c r="D1175" s="91" t="s">
        <v>105</v>
      </c>
      <c r="E1175" s="250">
        <v>45426</v>
      </c>
      <c r="F1175" s="260">
        <v>-5.0000000000000001E-3</v>
      </c>
      <c r="G1175" s="260" t="s">
        <v>454</v>
      </c>
      <c r="H1175" s="260">
        <v>0</v>
      </c>
      <c r="I1175" s="307"/>
      <c r="J1175" s="308"/>
      <c r="K1175" s="309"/>
      <c r="L1175" s="117"/>
      <c r="M1175" s="118"/>
    </row>
    <row r="1176" spans="4:13" ht="24" x14ac:dyDescent="0.2">
      <c r="D1176" s="91"/>
      <c r="E1176" s="250">
        <v>45360</v>
      </c>
      <c r="F1176" s="260">
        <v>1E-3</v>
      </c>
      <c r="G1176" s="260" t="s">
        <v>456</v>
      </c>
      <c r="H1176" s="260">
        <v>-7.0000000000000001E-3</v>
      </c>
      <c r="I1176" s="307"/>
      <c r="J1176" s="308"/>
      <c r="K1176" s="309"/>
      <c r="L1176" s="117"/>
      <c r="M1176" s="118"/>
    </row>
    <row r="1177" spans="4:13" ht="25" thickBot="1" x14ac:dyDescent="0.25">
      <c r="D1177" s="91">
        <v>1</v>
      </c>
      <c r="E1177" s="250">
        <v>45335</v>
      </c>
      <c r="F1177" s="260">
        <v>-1E-3</v>
      </c>
      <c r="G1177" s="260" t="s">
        <v>460</v>
      </c>
      <c r="H1177" s="260">
        <v>-8.0000000000000002E-3</v>
      </c>
      <c r="I1177" s="310"/>
      <c r="J1177" s="311"/>
      <c r="K1177" s="312"/>
      <c r="L1177" s="120"/>
      <c r="M1177" s="121"/>
    </row>
    <row r="1178" spans="4:13" ht="49" thickBot="1" x14ac:dyDescent="0.25">
      <c r="D1178" s="89" t="s">
        <v>105</v>
      </c>
      <c r="E1178" s="252" t="s">
        <v>30</v>
      </c>
      <c r="F1178" s="322" t="s">
        <v>961</v>
      </c>
      <c r="G1178" s="323"/>
      <c r="H1178" s="324"/>
      <c r="I1178" s="334" t="s">
        <v>633</v>
      </c>
      <c r="J1178" s="326"/>
      <c r="K1178" s="327"/>
      <c r="L1178" s="189" t="s">
        <v>430</v>
      </c>
      <c r="M1178" s="125" t="s">
        <v>431</v>
      </c>
    </row>
    <row r="1179" spans="4:13" ht="24" x14ac:dyDescent="0.2">
      <c r="D1179" s="91"/>
      <c r="E1179" s="248" t="s">
        <v>432</v>
      </c>
      <c r="F1179" s="304"/>
      <c r="G1179" s="305"/>
      <c r="H1179" s="306"/>
      <c r="I1179" s="307" t="s">
        <v>962</v>
      </c>
      <c r="J1179" s="308"/>
      <c r="K1179" s="309"/>
      <c r="L1179" s="117"/>
      <c r="M1179" s="118"/>
    </row>
    <row r="1180" spans="4:13" ht="24" x14ac:dyDescent="0.2">
      <c r="D1180" s="91"/>
      <c r="E1180" s="253" t="s">
        <v>433</v>
      </c>
      <c r="F1180" s="313">
        <v>1E-3</v>
      </c>
      <c r="G1180" s="314"/>
      <c r="H1180" s="315"/>
      <c r="I1180" s="307"/>
      <c r="J1180" s="308"/>
      <c r="K1180" s="309"/>
      <c r="L1180" s="117"/>
      <c r="M1180" s="118"/>
    </row>
    <row r="1181" spans="4:13" ht="25" thickBot="1" x14ac:dyDescent="0.25">
      <c r="D1181" s="91"/>
      <c r="E1181" s="253" t="s">
        <v>434</v>
      </c>
      <c r="F1181" s="313">
        <v>7.0000000000000001E-3</v>
      </c>
      <c r="G1181" s="314"/>
      <c r="H1181" s="315"/>
      <c r="I1181" s="307"/>
      <c r="J1181" s="308"/>
      <c r="K1181" s="309"/>
      <c r="L1181" s="117"/>
      <c r="M1181" s="118"/>
    </row>
    <row r="1182" spans="4:13" ht="25" thickBot="1" x14ac:dyDescent="0.25">
      <c r="D1182" s="91"/>
      <c r="E1182" s="254" t="s">
        <v>435</v>
      </c>
      <c r="F1182" s="319">
        <v>0.29166666666666674</v>
      </c>
      <c r="G1182" s="320"/>
      <c r="H1182" s="321"/>
      <c r="I1182" s="307"/>
      <c r="J1182" s="308"/>
      <c r="K1182" s="309"/>
      <c r="L1182" s="126">
        <v>0.52083333333333337</v>
      </c>
      <c r="M1182" s="127">
        <v>0.375</v>
      </c>
    </row>
    <row r="1183" spans="4:13" ht="25" thickBot="1" x14ac:dyDescent="0.25">
      <c r="D1183" s="91"/>
      <c r="E1183" s="249" t="s">
        <v>436</v>
      </c>
      <c r="F1183" s="255" t="s">
        <v>29</v>
      </c>
      <c r="G1183" s="255" t="s">
        <v>28</v>
      </c>
      <c r="H1183" s="256" t="s">
        <v>27</v>
      </c>
      <c r="I1183" s="307"/>
      <c r="J1183" s="308"/>
      <c r="K1183" s="309"/>
      <c r="L1183" s="117"/>
      <c r="M1183" s="118"/>
    </row>
    <row r="1184" spans="4:13" ht="24" x14ac:dyDescent="0.2">
      <c r="D1184" s="91" t="s">
        <v>105</v>
      </c>
      <c r="E1184" s="250">
        <v>45565</v>
      </c>
      <c r="F1184" s="257">
        <v>7.0000000000000001E-3</v>
      </c>
      <c r="G1184" s="257" t="s">
        <v>459</v>
      </c>
      <c r="H1184" s="257">
        <v>3.0000000000000001E-3</v>
      </c>
      <c r="I1184" s="307"/>
      <c r="J1184" s="308"/>
      <c r="K1184" s="309"/>
      <c r="L1184" s="117"/>
      <c r="M1184" s="262">
        <v>0.14583333333333337</v>
      </c>
    </row>
    <row r="1185" spans="4:13" ht="24" x14ac:dyDescent="0.2">
      <c r="D1185" s="91" t="s">
        <v>105</v>
      </c>
      <c r="E1185" s="250">
        <v>45519</v>
      </c>
      <c r="F1185" s="257">
        <v>8.9999999999999993E-3</v>
      </c>
      <c r="G1185" s="257" t="s">
        <v>459</v>
      </c>
      <c r="H1185" s="257">
        <v>3.0000000000000001E-3</v>
      </c>
      <c r="I1185" s="307"/>
      <c r="J1185" s="308"/>
      <c r="K1185" s="309"/>
      <c r="L1185" s="117"/>
      <c r="M1185" s="118"/>
    </row>
    <row r="1186" spans="4:13" ht="24" x14ac:dyDescent="0.2">
      <c r="D1186" s="91"/>
      <c r="E1186" s="250">
        <v>45471</v>
      </c>
      <c r="F1186" s="257">
        <v>3.0000000000000001E-3</v>
      </c>
      <c r="G1186" s="257" t="s">
        <v>460</v>
      </c>
      <c r="H1186" s="257">
        <v>-2E-3</v>
      </c>
      <c r="I1186" s="307"/>
      <c r="J1186" s="308"/>
      <c r="K1186" s="309"/>
      <c r="L1186" s="119"/>
      <c r="M1186" s="118"/>
    </row>
    <row r="1187" spans="4:13" ht="24" x14ac:dyDescent="0.2">
      <c r="D1187" s="91" t="s">
        <v>105</v>
      </c>
      <c r="E1187" s="250">
        <v>45422</v>
      </c>
      <c r="F1187" s="257">
        <v>2E-3</v>
      </c>
      <c r="G1187" s="257" t="s">
        <v>458</v>
      </c>
      <c r="H1187" s="257">
        <v>-2E-3</v>
      </c>
      <c r="I1187" s="307"/>
      <c r="J1187" s="308"/>
      <c r="K1187" s="309"/>
      <c r="L1187" s="117"/>
      <c r="M1187" s="118"/>
    </row>
    <row r="1188" spans="4:13" ht="24" x14ac:dyDescent="0.2">
      <c r="D1188" s="91" t="s">
        <v>105</v>
      </c>
      <c r="E1188" s="250">
        <v>45379</v>
      </c>
      <c r="F1188" s="257">
        <v>-2E-3</v>
      </c>
      <c r="G1188" s="257" t="s">
        <v>461</v>
      </c>
      <c r="H1188" s="257">
        <v>3.0000000000000001E-3</v>
      </c>
      <c r="I1188" s="307"/>
      <c r="J1188" s="308"/>
      <c r="K1188" s="309"/>
      <c r="L1188" s="117"/>
      <c r="M1188" s="118"/>
    </row>
    <row r="1189" spans="4:13" ht="25" thickBot="1" x14ac:dyDescent="0.25">
      <c r="D1189" s="91" t="s">
        <v>105</v>
      </c>
      <c r="E1189" s="250">
        <v>45337</v>
      </c>
      <c r="F1189" s="257">
        <v>-2E-3</v>
      </c>
      <c r="G1189" s="257" t="s">
        <v>462</v>
      </c>
      <c r="H1189" s="257">
        <v>2E-3</v>
      </c>
      <c r="I1189" s="310"/>
      <c r="J1189" s="311"/>
      <c r="K1189" s="312"/>
      <c r="L1189" s="120"/>
      <c r="M1189" s="121"/>
    </row>
    <row r="1190" spans="4:13" ht="49" thickBot="1" x14ac:dyDescent="0.25">
      <c r="D1190" s="89" t="s">
        <v>105</v>
      </c>
      <c r="E1190" s="252" t="s">
        <v>30</v>
      </c>
      <c r="F1190" s="322" t="s">
        <v>963</v>
      </c>
      <c r="G1190" s="323"/>
      <c r="H1190" s="324"/>
      <c r="I1190" s="334" t="s">
        <v>633</v>
      </c>
      <c r="J1190" s="326"/>
      <c r="K1190" s="327"/>
      <c r="L1190" s="189" t="s">
        <v>430</v>
      </c>
      <c r="M1190" s="125" t="s">
        <v>431</v>
      </c>
    </row>
    <row r="1191" spans="4:13" ht="24" x14ac:dyDescent="0.2">
      <c r="D1191" s="91"/>
      <c r="E1191" s="248" t="s">
        <v>432</v>
      </c>
      <c r="F1191" s="339"/>
      <c r="G1191" s="340"/>
      <c r="H1191" s="341"/>
      <c r="I1191" s="307" t="s">
        <v>964</v>
      </c>
      <c r="J1191" s="308"/>
      <c r="K1191" s="309"/>
      <c r="L1191" s="117"/>
      <c r="M1191" s="118"/>
    </row>
    <row r="1192" spans="4:13" ht="24" x14ac:dyDescent="0.2">
      <c r="D1192" s="91"/>
      <c r="E1192" s="253" t="s">
        <v>433</v>
      </c>
      <c r="F1192" s="313">
        <v>2E-3</v>
      </c>
      <c r="G1192" s="314"/>
      <c r="H1192" s="315"/>
      <c r="I1192" s="307"/>
      <c r="J1192" s="308"/>
      <c r="K1192" s="309"/>
      <c r="L1192" s="117"/>
      <c r="M1192" s="118"/>
    </row>
    <row r="1193" spans="4:13" ht="25" thickBot="1" x14ac:dyDescent="0.25">
      <c r="D1193" s="91"/>
      <c r="E1193" s="253" t="s">
        <v>434</v>
      </c>
      <c r="F1193" s="313">
        <v>2E-3</v>
      </c>
      <c r="G1193" s="314"/>
      <c r="H1193" s="315"/>
      <c r="I1193" s="307"/>
      <c r="J1193" s="308"/>
      <c r="K1193" s="309"/>
      <c r="L1193" s="117"/>
      <c r="M1193" s="118"/>
    </row>
    <row r="1194" spans="4:13" ht="25" thickBot="1" x14ac:dyDescent="0.25">
      <c r="D1194" s="91"/>
      <c r="E1194" s="254" t="s">
        <v>435</v>
      </c>
      <c r="F1194" s="319">
        <v>0.29166666666666674</v>
      </c>
      <c r="G1194" s="320"/>
      <c r="H1194" s="321"/>
      <c r="I1194" s="307"/>
      <c r="J1194" s="308"/>
      <c r="K1194" s="309"/>
      <c r="L1194" s="126">
        <v>0.52083333333333337</v>
      </c>
      <c r="M1194" s="127">
        <v>0.375</v>
      </c>
    </row>
    <row r="1195" spans="4:13" ht="25" thickBot="1" x14ac:dyDescent="0.25">
      <c r="D1195" s="91"/>
      <c r="E1195" s="249" t="s">
        <v>436</v>
      </c>
      <c r="F1195" s="255" t="s">
        <v>29</v>
      </c>
      <c r="G1195" s="255" t="s">
        <v>28</v>
      </c>
      <c r="H1195" s="256" t="s">
        <v>27</v>
      </c>
      <c r="I1195" s="307"/>
      <c r="J1195" s="308"/>
      <c r="K1195" s="309"/>
      <c r="L1195" s="117"/>
      <c r="M1195" s="118"/>
    </row>
    <row r="1196" spans="4:13" ht="24" x14ac:dyDescent="0.2">
      <c r="D1196" s="91"/>
      <c r="E1196" s="250">
        <v>45565</v>
      </c>
      <c r="F1196" s="258">
        <v>5.0000000000000001E-3</v>
      </c>
      <c r="G1196" s="258" t="s">
        <v>449</v>
      </c>
      <c r="H1196" s="258">
        <v>7.0000000000000001E-3</v>
      </c>
      <c r="I1196" s="307"/>
      <c r="J1196" s="308"/>
      <c r="K1196" s="309"/>
      <c r="L1196" s="117"/>
      <c r="M1196" s="118"/>
    </row>
    <row r="1197" spans="4:13" ht="24" x14ac:dyDescent="0.2">
      <c r="D1197" s="91"/>
      <c r="E1197" s="250">
        <v>45519</v>
      </c>
      <c r="F1197" s="258">
        <v>6.0000000000000001E-3</v>
      </c>
      <c r="G1197" s="258" t="s">
        <v>449</v>
      </c>
      <c r="H1197" s="258">
        <v>7.0000000000000001E-3</v>
      </c>
      <c r="I1197" s="307"/>
      <c r="J1197" s="308"/>
      <c r="K1197" s="309"/>
      <c r="L1197" s="117"/>
      <c r="M1197" s="118"/>
    </row>
    <row r="1198" spans="4:13" ht="24" x14ac:dyDescent="0.2">
      <c r="D1198" s="91"/>
      <c r="E1198" s="250">
        <v>45471</v>
      </c>
      <c r="F1198" s="258">
        <v>7.0000000000000001E-3</v>
      </c>
      <c r="G1198" s="258" t="s">
        <v>449</v>
      </c>
      <c r="H1198" s="258">
        <v>-3.0000000000000001E-3</v>
      </c>
      <c r="I1198" s="307"/>
      <c r="J1198" s="308"/>
      <c r="K1198" s="309"/>
      <c r="L1198" s="119"/>
      <c r="M1198" s="118"/>
    </row>
    <row r="1199" spans="4:13" ht="24" x14ac:dyDescent="0.2">
      <c r="D1199" s="91"/>
      <c r="E1199" s="250">
        <v>45422</v>
      </c>
      <c r="F1199" s="258">
        <v>6.0000000000000001E-3</v>
      </c>
      <c r="G1199" s="258" t="s">
        <v>452</v>
      </c>
      <c r="H1199" s="258">
        <v>-3.0000000000000001E-3</v>
      </c>
      <c r="I1199" s="307"/>
      <c r="J1199" s="308"/>
      <c r="K1199" s="309"/>
      <c r="L1199" s="117"/>
      <c r="M1199" s="118"/>
    </row>
    <row r="1200" spans="4:13" ht="24" x14ac:dyDescent="0.2">
      <c r="D1200" s="91"/>
      <c r="E1200" s="250">
        <v>45379</v>
      </c>
      <c r="F1200" s="258">
        <v>-3.0000000000000001E-3</v>
      </c>
      <c r="G1200" s="258" t="s">
        <v>454</v>
      </c>
      <c r="H1200" s="258">
        <v>-1E-3</v>
      </c>
      <c r="I1200" s="307"/>
      <c r="J1200" s="308"/>
      <c r="K1200" s="309"/>
      <c r="L1200" s="117"/>
      <c r="M1200" s="118"/>
    </row>
    <row r="1201" spans="4:13" ht="25" thickBot="1" x14ac:dyDescent="0.25">
      <c r="D1201" s="91"/>
      <c r="E1201" s="250">
        <v>45337</v>
      </c>
      <c r="F1201" s="258">
        <v>-3.0000000000000001E-3</v>
      </c>
      <c r="G1201" s="258" t="s">
        <v>456</v>
      </c>
      <c r="H1201" s="258">
        <v>-1E-3</v>
      </c>
      <c r="I1201" s="310"/>
      <c r="J1201" s="311"/>
      <c r="K1201" s="312"/>
      <c r="L1201" s="120"/>
      <c r="M1201" s="121"/>
    </row>
    <row r="1202" spans="4:13" ht="49" thickBot="1" x14ac:dyDescent="0.25">
      <c r="D1202" s="89" t="s">
        <v>105</v>
      </c>
      <c r="E1202" s="252" t="s">
        <v>30</v>
      </c>
      <c r="F1202" s="322" t="s">
        <v>965</v>
      </c>
      <c r="G1202" s="323"/>
      <c r="H1202" s="324"/>
      <c r="I1202" s="325" t="s">
        <v>633</v>
      </c>
      <c r="J1202" s="326"/>
      <c r="K1202" s="327"/>
      <c r="L1202" s="189" t="s">
        <v>430</v>
      </c>
      <c r="M1202" s="125" t="s">
        <v>431</v>
      </c>
    </row>
    <row r="1203" spans="4:13" ht="24" x14ac:dyDescent="0.2">
      <c r="D1203" s="91"/>
      <c r="E1203" s="248" t="s">
        <v>432</v>
      </c>
      <c r="F1203" s="304"/>
      <c r="G1203" s="305"/>
      <c r="H1203" s="306"/>
      <c r="I1203" s="307" t="s">
        <v>966</v>
      </c>
      <c r="J1203" s="308"/>
      <c r="K1203" s="309"/>
      <c r="L1203" s="117"/>
      <c r="M1203" s="118"/>
    </row>
    <row r="1204" spans="4:13" ht="24" x14ac:dyDescent="0.2">
      <c r="D1204" s="91"/>
      <c r="E1204" s="253" t="s">
        <v>433</v>
      </c>
      <c r="F1204" s="313">
        <v>2E-3</v>
      </c>
      <c r="G1204" s="314"/>
      <c r="H1204" s="315"/>
      <c r="I1204" s="307"/>
      <c r="J1204" s="308"/>
      <c r="K1204" s="309"/>
      <c r="L1204" s="117"/>
      <c r="M1204" s="118"/>
    </row>
    <row r="1205" spans="4:13" ht="25" thickBot="1" x14ac:dyDescent="0.25">
      <c r="D1205" s="91"/>
      <c r="E1205" s="253" t="s">
        <v>434</v>
      </c>
      <c r="F1205" s="313">
        <v>5.0000000000000001E-3</v>
      </c>
      <c r="G1205" s="314"/>
      <c r="H1205" s="315"/>
      <c r="I1205" s="307"/>
      <c r="J1205" s="308"/>
      <c r="K1205" s="309"/>
      <c r="L1205" s="117"/>
      <c r="M1205" s="118"/>
    </row>
    <row r="1206" spans="4:13" ht="25" thickBot="1" x14ac:dyDescent="0.25">
      <c r="D1206" s="91"/>
      <c r="E1206" s="254" t="s">
        <v>435</v>
      </c>
      <c r="F1206" s="319">
        <v>0.29166666666666674</v>
      </c>
      <c r="G1206" s="320"/>
      <c r="H1206" s="321"/>
      <c r="I1206" s="307"/>
      <c r="J1206" s="308"/>
      <c r="K1206" s="309"/>
      <c r="L1206" s="126">
        <v>0.52083333333333337</v>
      </c>
      <c r="M1206" s="127">
        <v>0.375</v>
      </c>
    </row>
    <row r="1207" spans="4:13" ht="25" thickBot="1" x14ac:dyDescent="0.25">
      <c r="D1207" s="91"/>
      <c r="E1207" s="249" t="s">
        <v>436</v>
      </c>
      <c r="F1207" s="255" t="s">
        <v>29</v>
      </c>
      <c r="G1207" s="255" t="s">
        <v>28</v>
      </c>
      <c r="H1207" s="256" t="s">
        <v>27</v>
      </c>
      <c r="I1207" s="307"/>
      <c r="J1207" s="308"/>
      <c r="K1207" s="309"/>
      <c r="L1207" s="117"/>
      <c r="M1207" s="262"/>
    </row>
    <row r="1208" spans="4:13" ht="24" x14ac:dyDescent="0.2">
      <c r="D1208" s="91"/>
      <c r="E1208" s="250">
        <v>45565</v>
      </c>
      <c r="F1208" s="258">
        <v>5.0000000000000001E-3</v>
      </c>
      <c r="G1208" s="258" t="s">
        <v>449</v>
      </c>
      <c r="H1208" s="258">
        <v>7.0000000000000001E-3</v>
      </c>
      <c r="I1208" s="307"/>
      <c r="J1208" s="308"/>
      <c r="K1208" s="309"/>
      <c r="L1208" s="117"/>
      <c r="M1208" s="118"/>
    </row>
    <row r="1209" spans="4:13" ht="24" x14ac:dyDescent="0.2">
      <c r="D1209" s="91"/>
      <c r="E1209" s="250">
        <v>45519</v>
      </c>
      <c r="F1209" s="258">
        <v>6.0000000000000001E-3</v>
      </c>
      <c r="G1209" s="258" t="s">
        <v>449</v>
      </c>
      <c r="H1209" s="258">
        <v>7.0000000000000001E-3</v>
      </c>
      <c r="I1209" s="307"/>
      <c r="J1209" s="308"/>
      <c r="K1209" s="309"/>
      <c r="L1209" s="117"/>
      <c r="M1209" s="118"/>
    </row>
    <row r="1210" spans="4:13" ht="24" x14ac:dyDescent="0.2">
      <c r="D1210" s="91"/>
      <c r="E1210" s="250">
        <v>45471</v>
      </c>
      <c r="F1210" s="258">
        <v>7.0000000000000001E-3</v>
      </c>
      <c r="G1210" s="258" t="s">
        <v>449</v>
      </c>
      <c r="H1210" s="258">
        <v>-3.0000000000000001E-3</v>
      </c>
      <c r="I1210" s="307"/>
      <c r="J1210" s="308"/>
      <c r="K1210" s="309"/>
      <c r="L1210" s="119"/>
      <c r="M1210" s="118"/>
    </row>
    <row r="1211" spans="4:13" ht="24" x14ac:dyDescent="0.2">
      <c r="D1211" s="91"/>
      <c r="E1211" s="250">
        <v>45422</v>
      </c>
      <c r="F1211" s="258">
        <v>6.0000000000000001E-3</v>
      </c>
      <c r="G1211" s="258" t="s">
        <v>452</v>
      </c>
      <c r="H1211" s="258">
        <v>-3.0000000000000001E-3</v>
      </c>
      <c r="I1211" s="307"/>
      <c r="J1211" s="308"/>
      <c r="K1211" s="309"/>
      <c r="L1211" s="117"/>
      <c r="M1211" s="118"/>
    </row>
    <row r="1212" spans="4:13" ht="24" x14ac:dyDescent="0.2">
      <c r="D1212" s="91"/>
      <c r="E1212" s="250">
        <v>45379</v>
      </c>
      <c r="F1212" s="258">
        <v>-3.0000000000000001E-3</v>
      </c>
      <c r="G1212" s="258" t="s">
        <v>454</v>
      </c>
      <c r="H1212" s="258">
        <v>-1E-3</v>
      </c>
      <c r="I1212" s="307"/>
      <c r="J1212" s="308"/>
      <c r="K1212" s="309"/>
      <c r="L1212" s="117"/>
      <c r="M1212" s="118"/>
    </row>
    <row r="1213" spans="4:13" ht="25" thickBot="1" x14ac:dyDescent="0.25">
      <c r="D1213" s="91"/>
      <c r="E1213" s="250">
        <v>45337</v>
      </c>
      <c r="F1213" s="258">
        <v>-3.0000000000000001E-3</v>
      </c>
      <c r="G1213" s="258" t="s">
        <v>456</v>
      </c>
      <c r="H1213" s="258">
        <v>-1E-3</v>
      </c>
      <c r="I1213" s="310"/>
      <c r="J1213" s="311"/>
      <c r="K1213" s="312"/>
      <c r="L1213" s="120"/>
      <c r="M1213" s="121"/>
    </row>
    <row r="1214" spans="4:13" ht="49" thickBot="1" x14ac:dyDescent="0.25">
      <c r="D1214" s="89" t="s">
        <v>105</v>
      </c>
      <c r="E1214" s="252" t="s">
        <v>30</v>
      </c>
      <c r="F1214" s="322" t="s">
        <v>967</v>
      </c>
      <c r="G1214" s="323"/>
      <c r="H1214" s="324"/>
      <c r="I1214" s="325" t="s">
        <v>633</v>
      </c>
      <c r="J1214" s="326"/>
      <c r="K1214" s="327"/>
      <c r="L1214" s="189" t="s">
        <v>430</v>
      </c>
      <c r="M1214" s="125" t="s">
        <v>431</v>
      </c>
    </row>
    <row r="1215" spans="4:13" ht="24" x14ac:dyDescent="0.2">
      <c r="D1215" s="91"/>
      <c r="E1215" s="248" t="s">
        <v>432</v>
      </c>
      <c r="F1215" s="304"/>
      <c r="G1215" s="305"/>
      <c r="H1215" s="306"/>
      <c r="I1215" s="307" t="s">
        <v>691</v>
      </c>
      <c r="J1215" s="308"/>
      <c r="K1215" s="309"/>
      <c r="L1215" s="117"/>
      <c r="M1215" s="118"/>
    </row>
    <row r="1216" spans="4:13" ht="24" x14ac:dyDescent="0.2">
      <c r="D1216" s="91"/>
      <c r="E1216" s="253" t="s">
        <v>433</v>
      </c>
      <c r="F1216" s="313">
        <v>2E-3</v>
      </c>
      <c r="G1216" s="314"/>
      <c r="H1216" s="315"/>
      <c r="I1216" s="307"/>
      <c r="J1216" s="308"/>
      <c r="K1216" s="309"/>
      <c r="L1216" s="117"/>
      <c r="M1216" s="118"/>
    </row>
    <row r="1217" spans="4:13" ht="25" thickBot="1" x14ac:dyDescent="0.25">
      <c r="D1217" s="91"/>
      <c r="E1217" s="253" t="s">
        <v>434</v>
      </c>
      <c r="F1217" s="313">
        <v>5.0000000000000001E-3</v>
      </c>
      <c r="G1217" s="314"/>
      <c r="H1217" s="315"/>
      <c r="I1217" s="307"/>
      <c r="J1217" s="308"/>
      <c r="K1217" s="309"/>
      <c r="L1217" s="117"/>
      <c r="M1217" s="118"/>
    </row>
    <row r="1218" spans="4:13" ht="25" thickBot="1" x14ac:dyDescent="0.25">
      <c r="D1218" s="91"/>
      <c r="E1218" s="254" t="s">
        <v>435</v>
      </c>
      <c r="F1218" s="319">
        <v>0.5625</v>
      </c>
      <c r="G1218" s="320"/>
      <c r="H1218" s="321"/>
      <c r="I1218" s="307"/>
      <c r="J1218" s="308"/>
      <c r="K1218" s="309"/>
      <c r="L1218" s="126">
        <v>0.79166666666666663</v>
      </c>
      <c r="M1218" s="127">
        <v>0.64583333333333326</v>
      </c>
    </row>
    <row r="1219" spans="4:13" ht="25" thickBot="1" x14ac:dyDescent="0.25">
      <c r="D1219" s="91"/>
      <c r="E1219" s="249" t="s">
        <v>436</v>
      </c>
      <c r="F1219" s="255" t="s">
        <v>29</v>
      </c>
      <c r="G1219" s="255" t="s">
        <v>28</v>
      </c>
      <c r="H1219" s="256" t="s">
        <v>27</v>
      </c>
      <c r="I1219" s="307"/>
      <c r="J1219" s="308"/>
      <c r="K1219" s="309"/>
      <c r="L1219" s="117"/>
      <c r="M1219" s="118"/>
    </row>
    <row r="1220" spans="4:13" ht="24" x14ac:dyDescent="0.2">
      <c r="D1220" s="91"/>
      <c r="E1220" s="250">
        <v>45582</v>
      </c>
      <c r="F1220" s="258">
        <v>5.0000000000000001E-3</v>
      </c>
      <c r="G1220" s="258" t="s">
        <v>462</v>
      </c>
      <c r="H1220" s="258">
        <v>2E-3</v>
      </c>
      <c r="I1220" s="307"/>
      <c r="J1220" s="308"/>
      <c r="K1220" s="309"/>
      <c r="L1220" s="117"/>
      <c r="M1220" s="118"/>
    </row>
    <row r="1221" spans="4:13" ht="24" x14ac:dyDescent="0.2">
      <c r="D1221" s="91"/>
      <c r="E1221" s="250">
        <v>45552</v>
      </c>
      <c r="F1221" s="258">
        <v>1E-3</v>
      </c>
      <c r="G1221" s="258" t="s">
        <v>460</v>
      </c>
      <c r="H1221" s="258">
        <v>4.0000000000000001E-3</v>
      </c>
      <c r="I1221" s="307"/>
      <c r="J1221" s="308"/>
      <c r="K1221" s="309"/>
      <c r="L1221" s="117"/>
      <c r="M1221" s="118"/>
    </row>
    <row r="1222" spans="4:13" ht="24" x14ac:dyDescent="0.2">
      <c r="D1222" s="91"/>
      <c r="E1222" s="250">
        <v>45519</v>
      </c>
      <c r="F1222" s="258">
        <v>4.0000000000000001E-3</v>
      </c>
      <c r="G1222" s="258" t="s">
        <v>462</v>
      </c>
      <c r="H1222" s="258">
        <v>5.0000000000000001E-3</v>
      </c>
      <c r="I1222" s="307"/>
      <c r="J1222" s="308"/>
      <c r="K1222" s="309"/>
      <c r="L1222" s="119"/>
      <c r="M1222" s="118"/>
    </row>
    <row r="1223" spans="4:13" ht="24" x14ac:dyDescent="0.2">
      <c r="D1223" s="91"/>
      <c r="E1223" s="250">
        <v>45489</v>
      </c>
      <c r="F1223" s="258">
        <v>4.0000000000000001E-3</v>
      </c>
      <c r="G1223" s="258" t="s">
        <v>462</v>
      </c>
      <c r="H1223" s="258">
        <v>1E-3</v>
      </c>
      <c r="I1223" s="307"/>
      <c r="J1223" s="308"/>
      <c r="K1223" s="309"/>
      <c r="L1223" s="117"/>
      <c r="M1223" s="118"/>
    </row>
    <row r="1224" spans="4:13" ht="24" x14ac:dyDescent="0.2">
      <c r="D1224" s="91"/>
      <c r="E1224" s="250">
        <v>45461</v>
      </c>
      <c r="F1224" s="258">
        <v>-1E-3</v>
      </c>
      <c r="G1224" s="258" t="s">
        <v>460</v>
      </c>
      <c r="H1224" s="258">
        <v>-1E-3</v>
      </c>
      <c r="I1224" s="307"/>
      <c r="J1224" s="308"/>
      <c r="K1224" s="309"/>
      <c r="L1224" s="117"/>
      <c r="M1224" s="118"/>
    </row>
    <row r="1225" spans="4:13" ht="25" thickBot="1" x14ac:dyDescent="0.25">
      <c r="D1225" s="91"/>
      <c r="E1225" s="250">
        <v>45427</v>
      </c>
      <c r="F1225" s="258">
        <v>2E-3</v>
      </c>
      <c r="G1225" s="258" t="s">
        <v>460</v>
      </c>
      <c r="H1225" s="258">
        <v>8.9999999999999993E-3</v>
      </c>
      <c r="I1225" s="310"/>
      <c r="J1225" s="311"/>
      <c r="K1225" s="312"/>
      <c r="L1225" s="120"/>
      <c r="M1225" s="121"/>
    </row>
    <row r="1226" spans="4:13" ht="49" thickBot="1" x14ac:dyDescent="0.25">
      <c r="D1226" s="89" t="s">
        <v>105</v>
      </c>
      <c r="E1226" s="252" t="s">
        <v>30</v>
      </c>
      <c r="F1226" s="322" t="s">
        <v>968</v>
      </c>
      <c r="G1226" s="323"/>
      <c r="H1226" s="324"/>
      <c r="I1226" s="325" t="s">
        <v>633</v>
      </c>
      <c r="J1226" s="326"/>
      <c r="K1226" s="327"/>
      <c r="L1226" s="189" t="s">
        <v>430</v>
      </c>
      <c r="M1226" s="125" t="s">
        <v>431</v>
      </c>
    </row>
    <row r="1227" spans="4:13" ht="24" x14ac:dyDescent="0.2">
      <c r="D1227" s="91"/>
      <c r="E1227" s="248" t="s">
        <v>432</v>
      </c>
      <c r="F1227" s="304"/>
      <c r="G1227" s="305"/>
      <c r="H1227" s="306"/>
      <c r="I1227" s="307" t="s">
        <v>969</v>
      </c>
      <c r="J1227" s="308"/>
      <c r="K1227" s="309"/>
      <c r="L1227" s="117"/>
      <c r="M1227" s="118"/>
    </row>
    <row r="1228" spans="4:13" ht="24" x14ac:dyDescent="0.2">
      <c r="D1228" s="91"/>
      <c r="E1228" s="253" t="s">
        <v>433</v>
      </c>
      <c r="F1228" s="313">
        <v>3.0000000000000001E-3</v>
      </c>
      <c r="G1228" s="314"/>
      <c r="H1228" s="315"/>
      <c r="I1228" s="307"/>
      <c r="J1228" s="308"/>
      <c r="K1228" s="309"/>
      <c r="L1228" s="117"/>
      <c r="M1228" s="118"/>
    </row>
    <row r="1229" spans="4:13" ht="25" thickBot="1" x14ac:dyDescent="0.25">
      <c r="D1229" s="91"/>
      <c r="E1229" s="253" t="s">
        <v>434</v>
      </c>
      <c r="F1229" s="313">
        <v>4.0000000000000001E-3</v>
      </c>
      <c r="G1229" s="314"/>
      <c r="H1229" s="315"/>
      <c r="I1229" s="307"/>
      <c r="J1229" s="308"/>
      <c r="K1229" s="309"/>
      <c r="L1229" s="117"/>
      <c r="M1229" s="118"/>
    </row>
    <row r="1230" spans="4:13" ht="25" thickBot="1" x14ac:dyDescent="0.25">
      <c r="D1230" s="91"/>
      <c r="E1230" s="254" t="s">
        <v>435</v>
      </c>
      <c r="F1230" s="319">
        <v>0.5625</v>
      </c>
      <c r="G1230" s="320"/>
      <c r="H1230" s="321"/>
      <c r="I1230" s="307"/>
      <c r="J1230" s="308"/>
      <c r="K1230" s="309"/>
      <c r="L1230" s="126">
        <v>0.79166666666666663</v>
      </c>
      <c r="M1230" s="127">
        <v>0.64583333333333326</v>
      </c>
    </row>
    <row r="1231" spans="4:13" ht="25" thickBot="1" x14ac:dyDescent="0.25">
      <c r="D1231" s="91"/>
      <c r="E1231" s="249" t="s">
        <v>436</v>
      </c>
      <c r="F1231" s="255" t="s">
        <v>29</v>
      </c>
      <c r="G1231" s="255" t="s">
        <v>28</v>
      </c>
      <c r="H1231" s="256" t="s">
        <v>27</v>
      </c>
      <c r="I1231" s="307"/>
      <c r="J1231" s="308"/>
      <c r="K1231" s="309"/>
      <c r="L1231" s="117"/>
      <c r="M1231" s="118"/>
    </row>
    <row r="1232" spans="4:13" ht="24" x14ac:dyDescent="0.2">
      <c r="D1232" s="91"/>
      <c r="E1232" s="250">
        <v>45582</v>
      </c>
      <c r="F1232" s="258">
        <v>4.0000000000000001E-3</v>
      </c>
      <c r="G1232" s="258" t="s">
        <v>467</v>
      </c>
      <c r="H1232" s="258">
        <v>1E-3</v>
      </c>
      <c r="I1232" s="307"/>
      <c r="J1232" s="308"/>
      <c r="K1232" s="309"/>
      <c r="L1232" s="117"/>
      <c r="M1232" s="118"/>
    </row>
    <row r="1233" spans="3:13" ht="24" x14ac:dyDescent="0.2">
      <c r="D1233" s="91"/>
      <c r="E1233" s="250">
        <v>45552</v>
      </c>
      <c r="F1233" s="258">
        <v>1E-3</v>
      </c>
      <c r="G1233" s="258" t="s">
        <v>461</v>
      </c>
      <c r="H1233" s="258">
        <v>1.0999999999999999E-2</v>
      </c>
      <c r="I1233" s="307"/>
      <c r="J1233" s="308"/>
      <c r="K1233" s="309"/>
      <c r="L1233" s="117"/>
      <c r="M1233" s="118"/>
    </row>
    <row r="1234" spans="3:13" ht="24" x14ac:dyDescent="0.2">
      <c r="D1234" s="91"/>
      <c r="E1234" s="250">
        <v>45519</v>
      </c>
      <c r="F1234" s="258">
        <v>0.01</v>
      </c>
      <c r="G1234" s="258" t="s">
        <v>452</v>
      </c>
      <c r="H1234" s="258">
        <v>-2E-3</v>
      </c>
      <c r="I1234" s="307"/>
      <c r="J1234" s="308"/>
      <c r="K1234" s="309"/>
      <c r="L1234" s="119"/>
      <c r="M1234" s="118"/>
    </row>
    <row r="1235" spans="3:13" ht="24" x14ac:dyDescent="0.2">
      <c r="D1235" s="91"/>
      <c r="E1235" s="250">
        <v>45489</v>
      </c>
      <c r="F1235" s="258">
        <v>0</v>
      </c>
      <c r="G1235" s="258" t="s">
        <v>454</v>
      </c>
      <c r="H1235" s="258">
        <v>3.0000000000000001E-3</v>
      </c>
      <c r="I1235" s="307"/>
      <c r="J1235" s="308"/>
      <c r="K1235" s="309"/>
      <c r="L1235" s="117"/>
      <c r="M1235" s="118"/>
    </row>
    <row r="1236" spans="3:13" ht="24" x14ac:dyDescent="0.2">
      <c r="D1236" s="91"/>
      <c r="E1236" s="250">
        <v>45461</v>
      </c>
      <c r="F1236" s="258">
        <v>1E-3</v>
      </c>
      <c r="G1236" s="258" t="s">
        <v>467</v>
      </c>
      <c r="H1236" s="258">
        <v>-2E-3</v>
      </c>
      <c r="I1236" s="307"/>
      <c r="J1236" s="308"/>
      <c r="K1236" s="309"/>
      <c r="L1236" s="117"/>
      <c r="M1236" s="118"/>
    </row>
    <row r="1237" spans="3:13" ht="25" thickBot="1" x14ac:dyDescent="0.25">
      <c r="D1237" s="91"/>
      <c r="E1237" s="251">
        <v>45427</v>
      </c>
      <c r="F1237" s="285">
        <v>0</v>
      </c>
      <c r="G1237" s="285" t="s">
        <v>452</v>
      </c>
      <c r="H1237" s="285">
        <v>6.0000000000000001E-3</v>
      </c>
      <c r="I1237" s="310"/>
      <c r="J1237" s="311"/>
      <c r="K1237" s="312"/>
      <c r="L1237" s="120"/>
      <c r="M1237" s="121"/>
    </row>
    <row r="1238" spans="3:13" ht="25" thickBot="1" x14ac:dyDescent="0.25">
      <c r="C1238" t="s">
        <v>105</v>
      </c>
      <c r="D1238" t="s">
        <v>105</v>
      </c>
      <c r="E1238" s="252" t="s">
        <v>30</v>
      </c>
      <c r="F1238" s="322" t="s">
        <v>1005</v>
      </c>
      <c r="G1238" s="323"/>
      <c r="H1238" s="324"/>
      <c r="I1238" s="325" t="s">
        <v>633</v>
      </c>
      <c r="J1238" s="326"/>
      <c r="K1238" s="327"/>
      <c r="L1238" s="189" t="s">
        <v>430</v>
      </c>
      <c r="M1238" s="125" t="s">
        <v>431</v>
      </c>
    </row>
    <row r="1239" spans="3:13" ht="24" x14ac:dyDescent="0.2">
      <c r="E1239" s="248" t="s">
        <v>432</v>
      </c>
      <c r="F1239" s="304"/>
      <c r="G1239" s="305"/>
      <c r="H1239" s="306"/>
      <c r="I1239" s="307" t="s">
        <v>1006</v>
      </c>
      <c r="J1239" s="308"/>
      <c r="K1239" s="309"/>
      <c r="L1239" s="117"/>
      <c r="M1239" s="118"/>
    </row>
    <row r="1240" spans="3:13" ht="24" x14ac:dyDescent="0.2">
      <c r="E1240" s="253" t="s">
        <v>433</v>
      </c>
      <c r="F1240" s="313">
        <v>0.02</v>
      </c>
      <c r="G1240" s="314"/>
      <c r="H1240" s="315"/>
      <c r="I1240" s="307"/>
      <c r="J1240" s="308"/>
      <c r="K1240" s="309"/>
      <c r="L1240" s="117"/>
      <c r="M1240" s="118"/>
    </row>
    <row r="1241" spans="3:13" ht="25" thickBot="1" x14ac:dyDescent="0.25">
      <c r="E1241" s="253" t="s">
        <v>434</v>
      </c>
      <c r="F1241" s="313">
        <v>0.02</v>
      </c>
      <c r="G1241" s="314"/>
      <c r="H1241" s="315"/>
      <c r="I1241" s="307"/>
      <c r="J1241" s="308"/>
      <c r="K1241" s="309"/>
      <c r="L1241" s="117"/>
      <c r="M1241" s="118"/>
    </row>
    <row r="1242" spans="3:13" ht="25" thickBot="1" x14ac:dyDescent="0.25">
      <c r="E1242" s="254" t="s">
        <v>435</v>
      </c>
      <c r="F1242" s="319">
        <v>0.41666666666666674</v>
      </c>
      <c r="G1242" s="320"/>
      <c r="H1242" s="321"/>
      <c r="I1242" s="307"/>
      <c r="J1242" s="308"/>
      <c r="K1242" s="309"/>
      <c r="L1242" s="126">
        <v>0.64583333333333337</v>
      </c>
      <c r="M1242" s="127">
        <v>0.5</v>
      </c>
    </row>
    <row r="1243" spans="3:13" ht="25" thickBot="1" x14ac:dyDescent="0.25">
      <c r="E1243" s="249" t="s">
        <v>436</v>
      </c>
      <c r="F1243" s="255" t="s">
        <v>29</v>
      </c>
      <c r="G1243" s="255" t="s">
        <v>28</v>
      </c>
      <c r="H1243" s="256" t="s">
        <v>27</v>
      </c>
      <c r="I1243" s="307"/>
      <c r="J1243" s="308"/>
      <c r="K1243" s="309"/>
      <c r="L1243" s="117"/>
      <c r="M1243" s="118"/>
    </row>
    <row r="1244" spans="3:13" ht="24" x14ac:dyDescent="0.2">
      <c r="E1244" s="250">
        <v>45596</v>
      </c>
      <c r="F1244" s="257">
        <v>0.02</v>
      </c>
      <c r="G1244" s="257" t="s">
        <v>789</v>
      </c>
      <c r="H1244" s="257">
        <v>1.7000000000000001E-2</v>
      </c>
      <c r="I1244" s="307"/>
      <c r="J1244" s="308"/>
      <c r="K1244" s="309"/>
      <c r="L1244" s="117"/>
      <c r="M1244" s="118"/>
    </row>
    <row r="1245" spans="3:13" ht="24" x14ac:dyDescent="0.2">
      <c r="E1245" s="250">
        <v>45582</v>
      </c>
      <c r="F1245" s="257">
        <v>1.7000000000000001E-2</v>
      </c>
      <c r="G1245" s="257" t="s">
        <v>895</v>
      </c>
      <c r="H1245" s="257">
        <v>2.1999999999999999E-2</v>
      </c>
      <c r="I1245" s="307"/>
      <c r="J1245" s="308"/>
      <c r="K1245" s="309"/>
      <c r="L1245" s="117"/>
      <c r="M1245" s="118"/>
    </row>
    <row r="1246" spans="3:13" ht="24" x14ac:dyDescent="0.2">
      <c r="E1246" s="250">
        <v>45566</v>
      </c>
      <c r="F1246" s="257">
        <v>1.7999999999999999E-2</v>
      </c>
      <c r="G1246" s="257" t="s">
        <v>895</v>
      </c>
      <c r="H1246" s="257">
        <v>2.1999999999999999E-2</v>
      </c>
      <c r="I1246" s="307"/>
      <c r="J1246" s="308"/>
      <c r="K1246" s="309"/>
      <c r="L1246" s="119"/>
      <c r="M1246" s="118"/>
    </row>
    <row r="1247" spans="3:13" ht="24" x14ac:dyDescent="0.2">
      <c r="E1247" s="250">
        <v>45553</v>
      </c>
      <c r="F1247" s="257">
        <v>2.1999999999999999E-2</v>
      </c>
      <c r="G1247" s="257" t="s">
        <v>490</v>
      </c>
      <c r="H1247" s="257">
        <v>2.5999999999999999E-2</v>
      </c>
      <c r="I1247" s="307"/>
      <c r="J1247" s="308"/>
      <c r="K1247" s="309"/>
      <c r="L1247" s="117"/>
      <c r="M1247" s="118"/>
    </row>
    <row r="1248" spans="3:13" ht="24" x14ac:dyDescent="0.2">
      <c r="E1248" s="250">
        <v>45534</v>
      </c>
      <c r="F1248" s="257">
        <v>2.1999999999999999E-2</v>
      </c>
      <c r="G1248" s="257" t="s">
        <v>490</v>
      </c>
      <c r="H1248" s="257">
        <v>2.5999999999999999E-2</v>
      </c>
      <c r="I1248" s="307"/>
      <c r="J1248" s="308"/>
      <c r="K1248" s="309"/>
      <c r="L1248" s="117"/>
      <c r="M1248" s="118"/>
    </row>
    <row r="1249" spans="4:13" ht="25" thickBot="1" x14ac:dyDescent="0.25">
      <c r="E1249" s="250">
        <v>45524</v>
      </c>
      <c r="F1249" s="257">
        <v>2.5999999999999999E-2</v>
      </c>
      <c r="G1249" s="257" t="s">
        <v>493</v>
      </c>
      <c r="H1249" s="257">
        <v>2.5000000000000001E-2</v>
      </c>
      <c r="I1249" s="310"/>
      <c r="J1249" s="311"/>
      <c r="K1249" s="312"/>
      <c r="L1249" s="120"/>
      <c r="M1249" s="121"/>
    </row>
    <row r="1250" spans="4:13" ht="25" thickBot="1" x14ac:dyDescent="0.25">
      <c r="E1250" s="252" t="s">
        <v>30</v>
      </c>
      <c r="F1250" s="322" t="s">
        <v>1007</v>
      </c>
      <c r="G1250" s="323"/>
      <c r="H1250" s="324"/>
      <c r="I1250" s="325" t="s">
        <v>633</v>
      </c>
      <c r="J1250" s="326"/>
      <c r="K1250" s="327"/>
      <c r="L1250" s="189" t="s">
        <v>430</v>
      </c>
      <c r="M1250" s="125" t="s">
        <v>431</v>
      </c>
    </row>
    <row r="1251" spans="4:13" ht="24" x14ac:dyDescent="0.2">
      <c r="E1251" s="248" t="s">
        <v>432</v>
      </c>
      <c r="F1251" s="304"/>
      <c r="G1251" s="305"/>
      <c r="H1251" s="306"/>
      <c r="I1251" s="307" t="s">
        <v>1008</v>
      </c>
      <c r="J1251" s="308"/>
      <c r="K1251" s="309"/>
      <c r="L1251" s="117"/>
      <c r="M1251" s="118"/>
    </row>
    <row r="1252" spans="4:13" ht="24" x14ac:dyDescent="0.2">
      <c r="E1252" s="253" t="s">
        <v>433</v>
      </c>
      <c r="F1252" s="313"/>
      <c r="G1252" s="314"/>
      <c r="H1252" s="315"/>
      <c r="I1252" s="307"/>
      <c r="J1252" s="308"/>
      <c r="K1252" s="309"/>
      <c r="L1252" s="117"/>
      <c r="M1252" s="118"/>
    </row>
    <row r="1253" spans="4:13" ht="25" thickBot="1" x14ac:dyDescent="0.25">
      <c r="E1253" s="253" t="s">
        <v>434</v>
      </c>
      <c r="F1253" s="313">
        <v>1.6E-2</v>
      </c>
      <c r="G1253" s="314"/>
      <c r="H1253" s="315"/>
      <c r="I1253" s="307"/>
      <c r="J1253" s="308"/>
      <c r="K1253" s="309"/>
      <c r="L1253" s="117"/>
      <c r="M1253" s="118"/>
    </row>
    <row r="1254" spans="4:13" ht="25" thickBot="1" x14ac:dyDescent="0.25">
      <c r="E1254" s="254" t="s">
        <v>435</v>
      </c>
      <c r="F1254" s="319">
        <v>0.5625</v>
      </c>
      <c r="G1254" s="320"/>
      <c r="H1254" s="321"/>
      <c r="I1254" s="307"/>
      <c r="J1254" s="308"/>
      <c r="K1254" s="309"/>
      <c r="L1254" s="126">
        <v>0.79166666666666663</v>
      </c>
      <c r="M1254" s="127">
        <v>0.64583333333333326</v>
      </c>
    </row>
    <row r="1255" spans="4:13" ht="25" thickBot="1" x14ac:dyDescent="0.25">
      <c r="E1255" s="249" t="s">
        <v>436</v>
      </c>
      <c r="F1255" s="255" t="s">
        <v>29</v>
      </c>
      <c r="G1255" s="255" t="s">
        <v>28</v>
      </c>
      <c r="H1255" s="256" t="s">
        <v>27</v>
      </c>
      <c r="I1255" s="307"/>
      <c r="J1255" s="308"/>
      <c r="K1255" s="309"/>
      <c r="L1255" s="117"/>
      <c r="M1255" s="118"/>
    </row>
    <row r="1256" spans="4:13" ht="24" x14ac:dyDescent="0.2">
      <c r="E1256" s="250">
        <v>45580</v>
      </c>
      <c r="F1256" s="257">
        <v>1.6E-2</v>
      </c>
      <c r="G1256" s="257" t="s">
        <v>895</v>
      </c>
      <c r="H1256" s="257">
        <v>0.02</v>
      </c>
      <c r="I1256" s="307"/>
      <c r="J1256" s="308"/>
      <c r="K1256" s="309"/>
      <c r="L1256" s="117"/>
      <c r="M1256" s="118"/>
    </row>
    <row r="1257" spans="4:13" ht="24" x14ac:dyDescent="0.2">
      <c r="E1257" s="250">
        <v>45552</v>
      </c>
      <c r="F1257" s="257">
        <v>0.02</v>
      </c>
      <c r="G1257" s="257" t="s">
        <v>754</v>
      </c>
      <c r="H1257" s="257">
        <v>2.5000000000000001E-2</v>
      </c>
      <c r="I1257" s="307"/>
      <c r="J1257" s="308"/>
      <c r="K1257" s="309"/>
      <c r="L1257" s="117"/>
      <c r="M1257" s="118"/>
    </row>
    <row r="1258" spans="4:13" ht="24" x14ac:dyDescent="0.2">
      <c r="E1258" s="250">
        <v>45524</v>
      </c>
      <c r="F1258" s="257">
        <v>2.5000000000000001E-2</v>
      </c>
      <c r="G1258" s="257" t="s">
        <v>495</v>
      </c>
      <c r="H1258" s="257">
        <v>2.7E-2</v>
      </c>
      <c r="I1258" s="307"/>
      <c r="J1258" s="308"/>
      <c r="K1258" s="309"/>
      <c r="L1258" s="119"/>
      <c r="M1258" s="118"/>
    </row>
    <row r="1259" spans="4:13" ht="24" x14ac:dyDescent="0.2">
      <c r="E1259" s="250">
        <v>45489</v>
      </c>
      <c r="F1259" s="257">
        <v>2.7E-2</v>
      </c>
      <c r="G1259" s="257" t="s">
        <v>754</v>
      </c>
      <c r="H1259" s="257">
        <v>2.9000000000000001E-2</v>
      </c>
      <c r="I1259" s="307"/>
      <c r="J1259" s="308"/>
      <c r="K1259" s="309"/>
      <c r="L1259" s="117"/>
      <c r="M1259" s="118"/>
    </row>
    <row r="1260" spans="4:13" ht="24" x14ac:dyDescent="0.2">
      <c r="E1260" s="250">
        <v>45468</v>
      </c>
      <c r="F1260" s="257">
        <v>2.9000000000000001E-2</v>
      </c>
      <c r="G1260" s="257" t="s">
        <v>493</v>
      </c>
      <c r="H1260" s="257">
        <v>2.7E-2</v>
      </c>
      <c r="I1260" s="307"/>
      <c r="J1260" s="308"/>
      <c r="K1260" s="309"/>
      <c r="L1260" s="117"/>
      <c r="M1260" s="118"/>
    </row>
    <row r="1261" spans="4:13" ht="25" thickBot="1" x14ac:dyDescent="0.25">
      <c r="E1261" s="250">
        <v>45433</v>
      </c>
      <c r="F1261" s="257">
        <v>2.7E-2</v>
      </c>
      <c r="G1261" s="257" t="s">
        <v>665</v>
      </c>
      <c r="H1261" s="257">
        <v>2.9000000000000001E-2</v>
      </c>
      <c r="I1261" s="310"/>
      <c r="J1261" s="311"/>
      <c r="K1261" s="312"/>
      <c r="L1261" s="120"/>
      <c r="M1261" s="121"/>
    </row>
    <row r="1262" spans="4:13" ht="25" thickBot="1" x14ac:dyDescent="0.25">
      <c r="D1262" t="s">
        <v>105</v>
      </c>
      <c r="E1262" s="252" t="s">
        <v>30</v>
      </c>
      <c r="F1262" s="322" t="s">
        <v>1009</v>
      </c>
      <c r="G1262" s="323"/>
      <c r="H1262" s="324"/>
      <c r="I1262" s="325" t="s">
        <v>633</v>
      </c>
      <c r="J1262" s="326"/>
      <c r="K1262" s="327"/>
      <c r="L1262" s="189" t="s">
        <v>430</v>
      </c>
      <c r="M1262" s="125" t="s">
        <v>431</v>
      </c>
    </row>
    <row r="1263" spans="4:13" ht="24" x14ac:dyDescent="0.2">
      <c r="E1263" s="248" t="s">
        <v>432</v>
      </c>
      <c r="F1263" s="304"/>
      <c r="G1263" s="305"/>
      <c r="H1263" s="306"/>
      <c r="I1263" s="307" t="s">
        <v>1010</v>
      </c>
      <c r="J1263" s="308"/>
      <c r="K1263" s="309"/>
      <c r="L1263" s="117"/>
      <c r="M1263" s="118"/>
    </row>
    <row r="1264" spans="4:13" ht="24" x14ac:dyDescent="0.2">
      <c r="E1264" s="253" t="s">
        <v>433</v>
      </c>
      <c r="F1264" s="313"/>
      <c r="G1264" s="314"/>
      <c r="H1264" s="315"/>
      <c r="I1264" s="307"/>
      <c r="J1264" s="308"/>
      <c r="K1264" s="309"/>
      <c r="L1264" s="117"/>
      <c r="M1264" s="118"/>
    </row>
    <row r="1265" spans="4:13" ht="25" thickBot="1" x14ac:dyDescent="0.25">
      <c r="E1265" s="253" t="s">
        <v>434</v>
      </c>
      <c r="F1265" s="313">
        <v>1.7000000000000001E-2</v>
      </c>
      <c r="G1265" s="314"/>
      <c r="H1265" s="315"/>
      <c r="I1265" s="307"/>
      <c r="J1265" s="308"/>
      <c r="K1265" s="309"/>
      <c r="L1265" s="117"/>
      <c r="M1265" s="118"/>
    </row>
    <row r="1266" spans="4:13" ht="25" thickBot="1" x14ac:dyDescent="0.25">
      <c r="E1266" s="254" t="s">
        <v>435</v>
      </c>
      <c r="F1266" s="319">
        <v>0.29166666666666674</v>
      </c>
      <c r="G1266" s="320"/>
      <c r="H1266" s="321"/>
      <c r="I1266" s="307"/>
      <c r="J1266" s="308"/>
      <c r="K1266" s="309"/>
      <c r="L1266" s="126">
        <v>0.52083333333333337</v>
      </c>
      <c r="M1266" s="127">
        <v>0.375</v>
      </c>
    </row>
    <row r="1267" spans="4:13" ht="25" thickBot="1" x14ac:dyDescent="0.25">
      <c r="E1267" s="249" t="s">
        <v>436</v>
      </c>
      <c r="F1267" s="255" t="s">
        <v>29</v>
      </c>
      <c r="G1267" s="255" t="s">
        <v>28</v>
      </c>
      <c r="H1267" s="256" t="s">
        <v>27</v>
      </c>
      <c r="I1267" s="307"/>
      <c r="J1267" s="308"/>
      <c r="K1267" s="309"/>
      <c r="L1267" s="117"/>
      <c r="M1267" s="118"/>
    </row>
    <row r="1268" spans="4:13" ht="24" x14ac:dyDescent="0.2">
      <c r="E1268" s="250">
        <v>45581</v>
      </c>
      <c r="F1268" s="257">
        <v>1.7000000000000001E-2</v>
      </c>
      <c r="G1268" s="257" t="s">
        <v>789</v>
      </c>
      <c r="H1268" s="257">
        <v>2.1999999999999999E-2</v>
      </c>
      <c r="I1268" s="307"/>
      <c r="J1268" s="308"/>
      <c r="K1268" s="309"/>
      <c r="L1268" s="117"/>
      <c r="M1268" s="118"/>
    </row>
    <row r="1269" spans="4:13" ht="24" x14ac:dyDescent="0.2">
      <c r="E1269" s="250">
        <v>45553</v>
      </c>
      <c r="F1269" s="257">
        <v>2.1999999999999999E-2</v>
      </c>
      <c r="G1269" s="257" t="s">
        <v>490</v>
      </c>
      <c r="H1269" s="257">
        <v>2.1999999999999999E-2</v>
      </c>
      <c r="I1269" s="307"/>
      <c r="J1269" s="308"/>
      <c r="K1269" s="309"/>
      <c r="L1269" s="117"/>
      <c r="M1269" s="118"/>
    </row>
    <row r="1270" spans="4:13" ht="24" x14ac:dyDescent="0.2">
      <c r="E1270" s="250">
        <v>45518</v>
      </c>
      <c r="F1270" s="257">
        <v>2.1999999999999999E-2</v>
      </c>
      <c r="G1270" s="257" t="s">
        <v>971</v>
      </c>
      <c r="H1270" s="257">
        <v>0.02</v>
      </c>
      <c r="I1270" s="307"/>
      <c r="J1270" s="308"/>
      <c r="K1270" s="309"/>
      <c r="L1270" s="119"/>
      <c r="M1270" s="118"/>
    </row>
    <row r="1271" spans="4:13" ht="24" x14ac:dyDescent="0.2">
      <c r="E1271" s="250">
        <v>45490</v>
      </c>
      <c r="F1271" s="257">
        <v>0.02</v>
      </c>
      <c r="G1271" s="257" t="s">
        <v>789</v>
      </c>
      <c r="H1271" s="257">
        <v>0.02</v>
      </c>
      <c r="I1271" s="307"/>
      <c r="J1271" s="308"/>
      <c r="K1271" s="309"/>
      <c r="L1271" s="117"/>
      <c r="M1271" s="118"/>
    </row>
    <row r="1272" spans="4:13" ht="24" x14ac:dyDescent="0.2">
      <c r="E1272" s="250">
        <v>45462</v>
      </c>
      <c r="F1272" s="257">
        <v>0.02</v>
      </c>
      <c r="G1272" s="257" t="s">
        <v>788</v>
      </c>
      <c r="H1272" s="257">
        <v>2.3E-2</v>
      </c>
      <c r="I1272" s="307"/>
      <c r="J1272" s="308"/>
      <c r="K1272" s="309"/>
      <c r="L1272" s="117"/>
      <c r="M1272" s="118"/>
    </row>
    <row r="1273" spans="4:13" ht="25" thickBot="1" x14ac:dyDescent="0.25">
      <c r="E1273" s="250">
        <v>45434</v>
      </c>
      <c r="F1273" s="257">
        <v>2.3E-2</v>
      </c>
      <c r="G1273" s="257" t="s">
        <v>1028</v>
      </c>
      <c r="H1273" s="257">
        <v>3.2000000000000001E-2</v>
      </c>
      <c r="I1273" s="310"/>
      <c r="J1273" s="311"/>
      <c r="K1273" s="312"/>
      <c r="L1273" s="120"/>
      <c r="M1273" s="121"/>
    </row>
    <row r="1274" spans="4:13" ht="25" thickBot="1" x14ac:dyDescent="0.25">
      <c r="D1274" t="s">
        <v>105</v>
      </c>
      <c r="E1274" s="252" t="s">
        <v>30</v>
      </c>
      <c r="F1274" s="322" t="s">
        <v>9</v>
      </c>
      <c r="G1274" s="323"/>
      <c r="H1274" s="324"/>
      <c r="I1274" s="325" t="s">
        <v>633</v>
      </c>
      <c r="J1274" s="326"/>
      <c r="K1274" s="327"/>
      <c r="L1274" s="189" t="s">
        <v>430</v>
      </c>
      <c r="M1274" s="125" t="s">
        <v>431</v>
      </c>
    </row>
    <row r="1275" spans="4:13" ht="24" x14ac:dyDescent="0.2">
      <c r="E1275" s="248" t="s">
        <v>432</v>
      </c>
      <c r="F1275" s="304"/>
      <c r="G1275" s="305"/>
      <c r="H1275" s="306"/>
      <c r="I1275" s="307" t="s">
        <v>926</v>
      </c>
      <c r="J1275" s="308"/>
      <c r="K1275" s="309"/>
      <c r="L1275" s="117"/>
      <c r="M1275" s="118"/>
    </row>
    <row r="1276" spans="4:13" ht="24" x14ac:dyDescent="0.2">
      <c r="E1276" s="253" t="s">
        <v>433</v>
      </c>
      <c r="F1276" s="313"/>
      <c r="G1276" s="314"/>
      <c r="H1276" s="315"/>
      <c r="I1276" s="307"/>
      <c r="J1276" s="308"/>
      <c r="K1276" s="309"/>
      <c r="L1276" s="117"/>
      <c r="M1276" s="118"/>
    </row>
    <row r="1277" spans="4:13" ht="25" thickBot="1" x14ac:dyDescent="0.25">
      <c r="E1277" s="253" t="s">
        <v>434</v>
      </c>
      <c r="F1277" s="313" t="s">
        <v>1011</v>
      </c>
      <c r="G1277" s="314"/>
      <c r="H1277" s="315"/>
      <c r="I1277" s="307"/>
      <c r="J1277" s="308"/>
      <c r="K1277" s="309"/>
      <c r="L1277" s="117"/>
      <c r="M1277" s="118"/>
    </row>
    <row r="1278" spans="4:13" ht="25" thickBot="1" x14ac:dyDescent="0.25">
      <c r="E1278" s="254" t="s">
        <v>435</v>
      </c>
      <c r="F1278" s="319">
        <v>0.64583333333333337</v>
      </c>
      <c r="G1278" s="320"/>
      <c r="H1278" s="321"/>
      <c r="I1278" s="307"/>
      <c r="J1278" s="308"/>
      <c r="K1278" s="309"/>
      <c r="L1278" s="126">
        <v>0.875</v>
      </c>
      <c r="M1278" s="127">
        <v>0.72916666666666663</v>
      </c>
    </row>
    <row r="1279" spans="4:13" ht="25" thickBot="1" x14ac:dyDescent="0.25">
      <c r="E1279" s="249" t="s">
        <v>436</v>
      </c>
      <c r="F1279" s="255" t="s">
        <v>29</v>
      </c>
      <c r="G1279" s="255" t="s">
        <v>28</v>
      </c>
      <c r="H1279" s="256" t="s">
        <v>27</v>
      </c>
      <c r="I1279" s="307"/>
      <c r="J1279" s="308"/>
      <c r="K1279" s="309"/>
      <c r="L1279" s="117"/>
      <c r="M1279" s="118"/>
    </row>
    <row r="1280" spans="4:13" ht="24" x14ac:dyDescent="0.2">
      <c r="E1280" s="250">
        <v>45610</v>
      </c>
      <c r="F1280" s="259" t="s">
        <v>1029</v>
      </c>
      <c r="G1280" s="259" t="s">
        <v>1030</v>
      </c>
      <c r="H1280" s="259" t="s">
        <v>988</v>
      </c>
      <c r="I1280" s="307"/>
      <c r="J1280" s="308"/>
      <c r="K1280" s="309"/>
      <c r="L1280" s="117"/>
      <c r="M1280" s="118"/>
    </row>
    <row r="1281" spans="5:13" ht="24" x14ac:dyDescent="0.2">
      <c r="E1281" s="250">
        <v>45602</v>
      </c>
      <c r="F1281" s="259" t="s">
        <v>988</v>
      </c>
      <c r="G1281" s="259" t="s">
        <v>989</v>
      </c>
      <c r="H1281" s="259" t="s">
        <v>990</v>
      </c>
      <c r="I1281" s="307"/>
      <c r="J1281" s="308"/>
      <c r="K1281" s="309"/>
      <c r="L1281" s="117"/>
      <c r="M1281" s="118"/>
    </row>
    <row r="1282" spans="5:13" ht="24" x14ac:dyDescent="0.2">
      <c r="E1282" s="250">
        <v>45595</v>
      </c>
      <c r="F1282" s="259" t="s">
        <v>990</v>
      </c>
      <c r="G1282" s="259" t="s">
        <v>991</v>
      </c>
      <c r="H1282" s="259" t="s">
        <v>992</v>
      </c>
      <c r="I1282" s="307"/>
      <c r="J1282" s="308"/>
      <c r="K1282" s="309"/>
      <c r="L1282" s="119"/>
      <c r="M1282" s="118"/>
    </row>
    <row r="1283" spans="5:13" ht="24" x14ac:dyDescent="0.2">
      <c r="E1283" s="250">
        <v>45588</v>
      </c>
      <c r="F1283" s="259" t="s">
        <v>992</v>
      </c>
      <c r="G1283" s="259" t="s">
        <v>993</v>
      </c>
      <c r="H1283" s="259" t="s">
        <v>994</v>
      </c>
      <c r="I1283" s="307"/>
      <c r="J1283" s="308"/>
      <c r="K1283" s="309"/>
      <c r="L1283" s="117"/>
      <c r="M1283" s="118"/>
    </row>
    <row r="1284" spans="5:13" ht="24" x14ac:dyDescent="0.2">
      <c r="E1284" s="250">
        <v>45582</v>
      </c>
      <c r="F1284" s="259" t="s">
        <v>994</v>
      </c>
      <c r="G1284" s="259" t="s">
        <v>995</v>
      </c>
      <c r="H1284" s="259" t="s">
        <v>996</v>
      </c>
      <c r="I1284" s="307"/>
      <c r="J1284" s="308"/>
      <c r="K1284" s="309"/>
      <c r="L1284" s="117"/>
      <c r="M1284" s="118"/>
    </row>
    <row r="1285" spans="5:13" ht="25" thickBot="1" x14ac:dyDescent="0.25">
      <c r="E1285" s="250">
        <v>45574</v>
      </c>
      <c r="F1285" s="259" t="s">
        <v>996</v>
      </c>
      <c r="G1285" s="259" t="s">
        <v>997</v>
      </c>
      <c r="H1285" s="259" t="s">
        <v>998</v>
      </c>
      <c r="I1285" s="310"/>
      <c r="J1285" s="311"/>
      <c r="K1285" s="312"/>
      <c r="L1285" s="120"/>
      <c r="M1285" s="121"/>
    </row>
    <row r="1286" spans="5:13" ht="25" thickBot="1" x14ac:dyDescent="0.25">
      <c r="E1286" s="252" t="s">
        <v>30</v>
      </c>
      <c r="F1286" s="322" t="s">
        <v>1012</v>
      </c>
      <c r="G1286" s="323"/>
      <c r="H1286" s="324"/>
      <c r="I1286" s="325" t="s">
        <v>633</v>
      </c>
      <c r="J1286" s="326"/>
      <c r="K1286" s="327"/>
      <c r="L1286" s="189" t="s">
        <v>430</v>
      </c>
      <c r="M1286" s="125" t="s">
        <v>431</v>
      </c>
    </row>
    <row r="1287" spans="5:13" ht="24" x14ac:dyDescent="0.2">
      <c r="E1287" s="248" t="s">
        <v>432</v>
      </c>
      <c r="F1287" s="304"/>
      <c r="G1287" s="305"/>
      <c r="H1287" s="306"/>
      <c r="I1287" s="307" t="s">
        <v>1013</v>
      </c>
      <c r="J1287" s="308"/>
      <c r="K1287" s="309"/>
      <c r="L1287" s="117"/>
      <c r="M1287" s="118"/>
    </row>
    <row r="1288" spans="5:13" ht="24" x14ac:dyDescent="0.2">
      <c r="E1288" s="253" t="s">
        <v>433</v>
      </c>
      <c r="F1288" s="335">
        <v>32.97</v>
      </c>
      <c r="G1288" s="314"/>
      <c r="H1288" s="315"/>
      <c r="I1288" s="307"/>
      <c r="J1288" s="308"/>
      <c r="K1288" s="309"/>
      <c r="L1288" s="117"/>
      <c r="M1288" s="118"/>
    </row>
    <row r="1289" spans="5:13" ht="25" thickBot="1" x14ac:dyDescent="0.25">
      <c r="E1289" s="253" t="s">
        <v>434</v>
      </c>
      <c r="F1289" s="313"/>
      <c r="G1289" s="314"/>
      <c r="H1289" s="315"/>
      <c r="I1289" s="307"/>
      <c r="J1289" s="308"/>
      <c r="K1289" s="309"/>
      <c r="L1289" s="117"/>
      <c r="M1289" s="118"/>
    </row>
    <row r="1290" spans="5:13" ht="25" thickBot="1" x14ac:dyDescent="0.25">
      <c r="E1290" s="254" t="s">
        <v>435</v>
      </c>
      <c r="F1290" s="336">
        <v>0.875</v>
      </c>
      <c r="G1290" s="337"/>
      <c r="H1290" s="338"/>
      <c r="I1290" s="307"/>
      <c r="J1290" s="308"/>
      <c r="K1290" s="309"/>
      <c r="L1290" s="126">
        <v>0.10416666666666667</v>
      </c>
      <c r="M1290" s="127">
        <v>1</v>
      </c>
    </row>
    <row r="1291" spans="5:13" ht="25" thickBot="1" x14ac:dyDescent="0.25">
      <c r="E1291" s="249" t="s">
        <v>436</v>
      </c>
      <c r="F1291" s="255" t="s">
        <v>29</v>
      </c>
      <c r="G1291" s="255" t="s">
        <v>28</v>
      </c>
      <c r="H1291" s="256" t="s">
        <v>27</v>
      </c>
      <c r="I1291" s="307"/>
      <c r="J1291" s="308"/>
      <c r="K1291" s="309"/>
      <c r="L1291" s="117"/>
      <c r="M1291" s="118"/>
    </row>
    <row r="1292" spans="5:13" ht="23" x14ac:dyDescent="0.2">
      <c r="E1292" s="250">
        <v>45532</v>
      </c>
      <c r="F1292" s="259">
        <v>0.68</v>
      </c>
      <c r="G1292" s="259">
        <v>0.64</v>
      </c>
      <c r="H1292" s="259">
        <v>0</v>
      </c>
      <c r="I1292" s="307"/>
      <c r="J1292" s="308"/>
      <c r="K1292" s="309"/>
      <c r="L1292" s="117"/>
      <c r="M1292" s="118"/>
    </row>
    <row r="1293" spans="5:13" ht="23" x14ac:dyDescent="0.2">
      <c r="E1293" s="250">
        <v>45434</v>
      </c>
      <c r="F1293" s="259">
        <v>0.61</v>
      </c>
      <c r="G1293" s="259">
        <v>0.55000000000000004</v>
      </c>
      <c r="H1293" s="259">
        <v>0</v>
      </c>
      <c r="I1293" s="307"/>
      <c r="J1293" s="308"/>
      <c r="K1293" s="309"/>
      <c r="L1293" s="117"/>
      <c r="M1293" s="118"/>
    </row>
    <row r="1294" spans="5:13" ht="23" x14ac:dyDescent="0.2">
      <c r="E1294" s="250">
        <v>45343</v>
      </c>
      <c r="F1294" s="259">
        <v>0.52</v>
      </c>
      <c r="G1294" s="259">
        <v>0.46</v>
      </c>
      <c r="H1294" s="259">
        <v>0</v>
      </c>
      <c r="I1294" s="307"/>
      <c r="J1294" s="308"/>
      <c r="K1294" s="309"/>
      <c r="L1294" s="119"/>
      <c r="M1294" s="118"/>
    </row>
    <row r="1295" spans="5:13" ht="23" x14ac:dyDescent="0.2">
      <c r="E1295" s="250">
        <v>45251</v>
      </c>
      <c r="F1295" s="259">
        <v>0.4</v>
      </c>
      <c r="G1295" s="259">
        <v>0.34</v>
      </c>
      <c r="H1295" s="259">
        <v>0</v>
      </c>
      <c r="I1295" s="307"/>
      <c r="J1295" s="308"/>
      <c r="K1295" s="309"/>
      <c r="L1295" s="117"/>
      <c r="M1295" s="118"/>
    </row>
    <row r="1296" spans="5:13" ht="23" x14ac:dyDescent="0.2">
      <c r="E1296" s="250">
        <v>45161</v>
      </c>
      <c r="F1296" s="259">
        <v>0.27</v>
      </c>
      <c r="G1296" s="259">
        <v>0.21</v>
      </c>
      <c r="H1296" s="259">
        <v>0</v>
      </c>
      <c r="I1296" s="307"/>
      <c r="J1296" s="308"/>
      <c r="K1296" s="309"/>
      <c r="L1296" s="117"/>
      <c r="M1296" s="118"/>
    </row>
    <row r="1297" spans="4:13" ht="24" thickBot="1" x14ac:dyDescent="0.25">
      <c r="E1297" s="250">
        <v>45070</v>
      </c>
      <c r="F1297" s="259">
        <v>0.11</v>
      </c>
      <c r="G1297" s="259">
        <v>0.09</v>
      </c>
      <c r="H1297" s="259">
        <v>0</v>
      </c>
      <c r="I1297" s="310"/>
      <c r="J1297" s="311"/>
      <c r="K1297" s="312"/>
      <c r="L1297" s="120"/>
      <c r="M1297" s="121"/>
    </row>
    <row r="1298" spans="4:13" ht="25" thickBot="1" x14ac:dyDescent="0.25">
      <c r="D1298" t="s">
        <v>105</v>
      </c>
      <c r="E1298" s="252" t="s">
        <v>30</v>
      </c>
      <c r="F1298" s="322" t="s">
        <v>14</v>
      </c>
      <c r="G1298" s="323"/>
      <c r="H1298" s="324"/>
      <c r="I1298" s="325" t="s">
        <v>633</v>
      </c>
      <c r="J1298" s="326"/>
      <c r="K1298" s="327"/>
      <c r="L1298" s="189" t="s">
        <v>430</v>
      </c>
      <c r="M1298" s="125" t="s">
        <v>431</v>
      </c>
    </row>
    <row r="1299" spans="4:13" ht="24" x14ac:dyDescent="0.2">
      <c r="E1299" s="248" t="s">
        <v>432</v>
      </c>
      <c r="F1299" s="304"/>
      <c r="G1299" s="305"/>
      <c r="H1299" s="306"/>
      <c r="I1299" s="307" t="s">
        <v>955</v>
      </c>
      <c r="J1299" s="308"/>
      <c r="K1299" s="309"/>
      <c r="L1299" s="117"/>
      <c r="M1299" s="118"/>
    </row>
    <row r="1300" spans="4:13" ht="24" x14ac:dyDescent="0.2">
      <c r="E1300" s="253" t="s">
        <v>433</v>
      </c>
      <c r="F1300" s="313" t="s">
        <v>1014</v>
      </c>
      <c r="G1300" s="314"/>
      <c r="H1300" s="315"/>
      <c r="I1300" s="307"/>
      <c r="J1300" s="308"/>
      <c r="K1300" s="309"/>
      <c r="L1300" s="117"/>
      <c r="M1300" s="118"/>
    </row>
    <row r="1301" spans="4:13" ht="25" thickBot="1" x14ac:dyDescent="0.25">
      <c r="E1301" s="253" t="s">
        <v>434</v>
      </c>
      <c r="F1301" s="313" t="s">
        <v>1015</v>
      </c>
      <c r="G1301" s="314"/>
      <c r="H1301" s="315"/>
      <c r="I1301" s="307"/>
      <c r="J1301" s="308"/>
      <c r="K1301" s="309"/>
      <c r="L1301" s="117"/>
      <c r="M1301" s="118"/>
    </row>
    <row r="1302" spans="4:13" ht="25" thickBot="1" x14ac:dyDescent="0.25">
      <c r="E1302" s="254" t="s">
        <v>435</v>
      </c>
      <c r="F1302" s="319">
        <v>0.5625</v>
      </c>
      <c r="G1302" s="320"/>
      <c r="H1302" s="321"/>
      <c r="I1302" s="307"/>
      <c r="J1302" s="308"/>
      <c r="K1302" s="309"/>
      <c r="L1302" s="126">
        <v>0.79166666666666663</v>
      </c>
      <c r="M1302" s="127">
        <v>0.64583333333333326</v>
      </c>
    </row>
    <row r="1303" spans="4:13" ht="25" thickBot="1" x14ac:dyDescent="0.25">
      <c r="E1303" s="249" t="s">
        <v>436</v>
      </c>
      <c r="F1303" s="255" t="s">
        <v>29</v>
      </c>
      <c r="G1303" s="255" t="s">
        <v>28</v>
      </c>
      <c r="H1303" s="256" t="s">
        <v>27</v>
      </c>
      <c r="I1303" s="307"/>
      <c r="J1303" s="308"/>
      <c r="K1303" s="309"/>
      <c r="L1303" s="117"/>
      <c r="M1303" s="118"/>
    </row>
    <row r="1304" spans="4:13" ht="24" x14ac:dyDescent="0.2">
      <c r="E1304" s="250">
        <v>45610</v>
      </c>
      <c r="F1304" s="259" t="s">
        <v>1031</v>
      </c>
      <c r="G1304" s="259" t="s">
        <v>1032</v>
      </c>
      <c r="H1304" s="259" t="s">
        <v>972</v>
      </c>
      <c r="I1304" s="307"/>
      <c r="J1304" s="308"/>
      <c r="K1304" s="309"/>
      <c r="L1304" s="117"/>
      <c r="M1304" s="118"/>
    </row>
    <row r="1305" spans="4:13" ht="24" x14ac:dyDescent="0.2">
      <c r="E1305" s="250">
        <v>45603</v>
      </c>
      <c r="F1305" s="259" t="s">
        <v>972</v>
      </c>
      <c r="G1305" s="259" t="s">
        <v>973</v>
      </c>
      <c r="H1305" s="259" t="s">
        <v>974</v>
      </c>
      <c r="I1305" s="307"/>
      <c r="J1305" s="308"/>
      <c r="K1305" s="309"/>
      <c r="L1305" s="117"/>
      <c r="M1305" s="118"/>
    </row>
    <row r="1306" spans="4:13" ht="24" x14ac:dyDescent="0.2">
      <c r="E1306" s="250">
        <v>45596</v>
      </c>
      <c r="F1306" s="259" t="s">
        <v>975</v>
      </c>
      <c r="G1306" s="259" t="s">
        <v>976</v>
      </c>
      <c r="H1306" s="259" t="s">
        <v>977</v>
      </c>
      <c r="I1306" s="307"/>
      <c r="J1306" s="308"/>
      <c r="K1306" s="309"/>
      <c r="L1306" s="119"/>
      <c r="M1306" s="118"/>
    </row>
    <row r="1307" spans="4:13" ht="24" x14ac:dyDescent="0.2">
      <c r="E1307" s="250">
        <v>45589</v>
      </c>
      <c r="F1307" s="259" t="s">
        <v>978</v>
      </c>
      <c r="G1307" s="259" t="s">
        <v>979</v>
      </c>
      <c r="H1307" s="259" t="s">
        <v>980</v>
      </c>
      <c r="I1307" s="307"/>
      <c r="J1307" s="308"/>
      <c r="K1307" s="309"/>
      <c r="L1307" s="117"/>
      <c r="M1307" s="118"/>
    </row>
    <row r="1308" spans="4:13" ht="24" x14ac:dyDescent="0.2">
      <c r="E1308" s="250">
        <v>45582</v>
      </c>
      <c r="F1308" s="259" t="s">
        <v>981</v>
      </c>
      <c r="G1308" s="259" t="s">
        <v>981</v>
      </c>
      <c r="H1308" s="259" t="s">
        <v>982</v>
      </c>
      <c r="I1308" s="307"/>
      <c r="J1308" s="308"/>
      <c r="K1308" s="309"/>
      <c r="L1308" s="117"/>
      <c r="M1308" s="118"/>
    </row>
    <row r="1309" spans="4:13" ht="25" thickBot="1" x14ac:dyDescent="0.25">
      <c r="E1309" s="250">
        <v>45575</v>
      </c>
      <c r="F1309" s="259" t="s">
        <v>983</v>
      </c>
      <c r="G1309" s="259" t="s">
        <v>984</v>
      </c>
      <c r="H1309" s="259" t="s">
        <v>985</v>
      </c>
      <c r="I1309" s="310"/>
      <c r="J1309" s="311"/>
      <c r="K1309" s="312"/>
      <c r="L1309" s="120"/>
      <c r="M1309" s="121"/>
    </row>
    <row r="1310" spans="4:13" ht="25" thickBot="1" x14ac:dyDescent="0.25">
      <c r="D1310" t="s">
        <v>105</v>
      </c>
      <c r="E1310" s="252" t="s">
        <v>30</v>
      </c>
      <c r="F1310" s="322" t="s">
        <v>1016</v>
      </c>
      <c r="G1310" s="323"/>
      <c r="H1310" s="324"/>
      <c r="I1310" s="325" t="s">
        <v>633</v>
      </c>
      <c r="J1310" s="326"/>
      <c r="K1310" s="327"/>
      <c r="L1310" s="189" t="s">
        <v>430</v>
      </c>
      <c r="M1310" s="125" t="s">
        <v>431</v>
      </c>
    </row>
    <row r="1311" spans="4:13" ht="24" x14ac:dyDescent="0.2">
      <c r="E1311" s="248" t="s">
        <v>432</v>
      </c>
      <c r="F1311" s="304"/>
      <c r="G1311" s="305"/>
      <c r="H1311" s="306"/>
      <c r="I1311" s="307" t="s">
        <v>1017</v>
      </c>
      <c r="J1311" s="308"/>
      <c r="K1311" s="309"/>
      <c r="L1311" s="117"/>
      <c r="M1311" s="118"/>
    </row>
    <row r="1312" spans="4:13" ht="24" x14ac:dyDescent="0.2">
      <c r="E1312" s="253" t="s">
        <v>433</v>
      </c>
      <c r="F1312" s="331"/>
      <c r="G1312" s="332"/>
      <c r="H1312" s="333"/>
      <c r="I1312" s="307"/>
      <c r="J1312" s="308"/>
      <c r="K1312" s="309"/>
      <c r="L1312" s="117"/>
      <c r="M1312" s="118"/>
    </row>
    <row r="1313" spans="4:13" ht="25" thickBot="1" x14ac:dyDescent="0.25">
      <c r="E1313" s="253" t="s">
        <v>434</v>
      </c>
      <c r="F1313" s="331">
        <v>10.3</v>
      </c>
      <c r="G1313" s="332"/>
      <c r="H1313" s="333"/>
      <c r="I1313" s="307"/>
      <c r="J1313" s="308"/>
      <c r="K1313" s="309"/>
      <c r="L1313" s="117"/>
      <c r="M1313" s="118"/>
    </row>
    <row r="1314" spans="4:13" ht="25" thickBot="1" x14ac:dyDescent="0.25">
      <c r="E1314" s="254" t="s">
        <v>435</v>
      </c>
      <c r="F1314" s="319">
        <v>0.5625</v>
      </c>
      <c r="G1314" s="320"/>
      <c r="H1314" s="321"/>
      <c r="I1314" s="307"/>
      <c r="J1314" s="308"/>
      <c r="K1314" s="309"/>
      <c r="L1314" s="126">
        <v>0.79166666666666663</v>
      </c>
      <c r="M1314" s="127">
        <v>0.64583333333333326</v>
      </c>
    </row>
    <row r="1315" spans="4:13" ht="25" thickBot="1" x14ac:dyDescent="0.25">
      <c r="E1315" s="249" t="s">
        <v>436</v>
      </c>
      <c r="F1315" s="255" t="s">
        <v>29</v>
      </c>
      <c r="G1315" s="255" t="s">
        <v>28</v>
      </c>
      <c r="H1315" s="256" t="s">
        <v>27</v>
      </c>
      <c r="I1315" s="307"/>
      <c r="J1315" s="308"/>
      <c r="K1315" s="309"/>
      <c r="L1315" s="117"/>
      <c r="M1315" s="118"/>
    </row>
    <row r="1316" spans="4:13" ht="24" x14ac:dyDescent="0.2">
      <c r="E1316" s="250">
        <v>45582</v>
      </c>
      <c r="F1316" s="263">
        <v>10.3</v>
      </c>
      <c r="G1316" s="263" t="s">
        <v>1033</v>
      </c>
      <c r="H1316" s="263">
        <v>1.7</v>
      </c>
      <c r="I1316" s="307"/>
      <c r="J1316" s="308"/>
      <c r="K1316" s="309"/>
      <c r="L1316" s="117"/>
      <c r="M1316" s="118"/>
    </row>
    <row r="1317" spans="4:13" ht="24" x14ac:dyDescent="0.2">
      <c r="E1317" s="250">
        <v>45554</v>
      </c>
      <c r="F1317" s="263">
        <v>1.7</v>
      </c>
      <c r="G1317" s="263" t="s">
        <v>1034</v>
      </c>
      <c r="H1317" s="263">
        <v>-7</v>
      </c>
      <c r="I1317" s="307"/>
      <c r="J1317" s="308"/>
      <c r="K1317" s="309"/>
      <c r="L1317" s="117"/>
      <c r="M1317" s="118"/>
    </row>
    <row r="1318" spans="4:13" ht="24" x14ac:dyDescent="0.2">
      <c r="E1318" s="250">
        <v>45519</v>
      </c>
      <c r="F1318" s="263">
        <v>-7</v>
      </c>
      <c r="G1318" s="263" t="s">
        <v>1035</v>
      </c>
      <c r="H1318" s="263">
        <v>13.9</v>
      </c>
      <c r="I1318" s="307"/>
      <c r="J1318" s="308"/>
      <c r="K1318" s="309"/>
      <c r="L1318" s="119"/>
      <c r="M1318" s="118"/>
    </row>
    <row r="1319" spans="4:13" ht="24" x14ac:dyDescent="0.2">
      <c r="E1319" s="250">
        <v>45491</v>
      </c>
      <c r="F1319" s="263">
        <v>13.9</v>
      </c>
      <c r="G1319" s="263" t="s">
        <v>1036</v>
      </c>
      <c r="H1319" s="263">
        <v>1.3</v>
      </c>
      <c r="I1319" s="307"/>
      <c r="J1319" s="308"/>
      <c r="K1319" s="309"/>
      <c r="L1319" s="117"/>
      <c r="M1319" s="118"/>
    </row>
    <row r="1320" spans="4:13" ht="24" x14ac:dyDescent="0.2">
      <c r="E1320" s="250">
        <v>45463</v>
      </c>
      <c r="F1320" s="263">
        <v>1.3</v>
      </c>
      <c r="G1320" s="263" t="s">
        <v>1037</v>
      </c>
      <c r="H1320" s="263">
        <v>4.5</v>
      </c>
      <c r="I1320" s="307"/>
      <c r="J1320" s="308"/>
      <c r="K1320" s="309"/>
      <c r="L1320" s="117"/>
      <c r="M1320" s="118"/>
    </row>
    <row r="1321" spans="4:13" ht="25" thickBot="1" x14ac:dyDescent="0.25">
      <c r="E1321" s="250">
        <v>45428</v>
      </c>
      <c r="F1321" s="263">
        <v>4.5</v>
      </c>
      <c r="G1321" s="263" t="s">
        <v>1038</v>
      </c>
      <c r="H1321" s="263">
        <v>15.5</v>
      </c>
      <c r="I1321" s="310"/>
      <c r="J1321" s="311"/>
      <c r="K1321" s="312"/>
      <c r="L1321" s="120"/>
      <c r="M1321" s="121"/>
    </row>
    <row r="1322" spans="4:13" ht="25" thickBot="1" x14ac:dyDescent="0.25">
      <c r="D1322" s="89" t="s">
        <v>105</v>
      </c>
      <c r="E1322" s="252" t="s">
        <v>30</v>
      </c>
      <c r="F1322" s="322" t="s">
        <v>1018</v>
      </c>
      <c r="G1322" s="323"/>
      <c r="H1322" s="324"/>
      <c r="I1322" s="325" t="s">
        <v>633</v>
      </c>
      <c r="J1322" s="326"/>
      <c r="K1322" s="327"/>
      <c r="L1322" s="189" t="s">
        <v>430</v>
      </c>
      <c r="M1322" s="125" t="s">
        <v>431</v>
      </c>
    </row>
    <row r="1323" spans="4:13" ht="24" x14ac:dyDescent="0.2">
      <c r="D1323" s="91"/>
      <c r="E1323" s="248" t="s">
        <v>432</v>
      </c>
      <c r="F1323" s="304"/>
      <c r="G1323" s="305"/>
      <c r="H1323" s="306"/>
      <c r="I1323" s="307" t="s">
        <v>1020</v>
      </c>
      <c r="J1323" s="308"/>
      <c r="K1323" s="309"/>
      <c r="L1323" s="117"/>
      <c r="M1323" s="118"/>
    </row>
    <row r="1324" spans="4:13" ht="24" x14ac:dyDescent="0.2">
      <c r="D1324" s="91"/>
      <c r="E1324" s="253" t="s">
        <v>433</v>
      </c>
      <c r="F1324" s="313" t="s">
        <v>707</v>
      </c>
      <c r="G1324" s="314"/>
      <c r="H1324" s="315"/>
      <c r="I1324" s="307"/>
      <c r="J1324" s="308"/>
      <c r="K1324" s="309"/>
      <c r="L1324" s="117"/>
      <c r="M1324" s="118"/>
    </row>
    <row r="1325" spans="4:13" ht="25" thickBot="1" x14ac:dyDescent="0.25">
      <c r="D1325" s="91"/>
      <c r="E1325" s="253" t="s">
        <v>434</v>
      </c>
      <c r="F1325" s="328" t="s">
        <v>1019</v>
      </c>
      <c r="G1325" s="329"/>
      <c r="H1325" s="330"/>
      <c r="I1325" s="307"/>
      <c r="J1325" s="308"/>
      <c r="K1325" s="309"/>
      <c r="L1325" s="117"/>
      <c r="M1325" s="118"/>
    </row>
    <row r="1326" spans="4:13" ht="25" thickBot="1" x14ac:dyDescent="0.25">
      <c r="D1326" s="91"/>
      <c r="E1326" s="254" t="s">
        <v>435</v>
      </c>
      <c r="F1326" s="319">
        <v>0.625</v>
      </c>
      <c r="G1326" s="320"/>
      <c r="H1326" s="321"/>
      <c r="I1326" s="307"/>
      <c r="J1326" s="308"/>
      <c r="K1326" s="309"/>
      <c r="L1326" s="126">
        <v>0.85416666666666663</v>
      </c>
      <c r="M1326" s="127">
        <v>0.70833333333333326</v>
      </c>
    </row>
    <row r="1327" spans="4:13" ht="25" thickBot="1" x14ac:dyDescent="0.25">
      <c r="D1327" s="91"/>
      <c r="E1327" s="249" t="s">
        <v>436</v>
      </c>
      <c r="F1327" s="255" t="s">
        <v>29</v>
      </c>
      <c r="G1327" s="255" t="s">
        <v>28</v>
      </c>
      <c r="H1327" s="256" t="s">
        <v>27</v>
      </c>
      <c r="I1327" s="307"/>
      <c r="J1327" s="308"/>
      <c r="K1327" s="309"/>
      <c r="L1327" s="117"/>
      <c r="M1327" s="118"/>
    </row>
    <row r="1328" spans="4:13" ht="24" x14ac:dyDescent="0.2">
      <c r="D1328" s="91"/>
      <c r="E1328" s="250">
        <v>45588</v>
      </c>
      <c r="F1328" s="259" t="s">
        <v>1039</v>
      </c>
      <c r="G1328" s="259" t="s">
        <v>1040</v>
      </c>
      <c r="H1328" s="259" t="s">
        <v>1040</v>
      </c>
      <c r="I1328" s="307"/>
      <c r="J1328" s="308"/>
      <c r="K1328" s="309"/>
      <c r="L1328" s="117"/>
      <c r="M1328" s="118"/>
    </row>
    <row r="1329" spans="4:13" ht="24" x14ac:dyDescent="0.2">
      <c r="D1329" s="91"/>
      <c r="E1329" s="250">
        <v>45554</v>
      </c>
      <c r="F1329" s="259" t="s">
        <v>1041</v>
      </c>
      <c r="G1329" s="259" t="s">
        <v>1042</v>
      </c>
      <c r="H1329" s="259" t="s">
        <v>1043</v>
      </c>
      <c r="I1329" s="307"/>
      <c r="J1329" s="308"/>
      <c r="K1329" s="309"/>
      <c r="L1329" s="117"/>
      <c r="M1329" s="118"/>
    </row>
    <row r="1330" spans="4:13" ht="24" x14ac:dyDescent="0.2">
      <c r="D1330" s="91"/>
      <c r="E1330" s="250">
        <v>45526</v>
      </c>
      <c r="F1330" s="259" t="s">
        <v>1044</v>
      </c>
      <c r="G1330" s="259" t="s">
        <v>1045</v>
      </c>
      <c r="H1330" s="259" t="s">
        <v>1046</v>
      </c>
      <c r="I1330" s="307"/>
      <c r="J1330" s="308"/>
      <c r="K1330" s="309"/>
      <c r="L1330" s="119"/>
      <c r="M1330" s="118"/>
    </row>
    <row r="1331" spans="4:13" ht="24" x14ac:dyDescent="0.2">
      <c r="D1331" s="91"/>
      <c r="E1331" s="250">
        <v>45496</v>
      </c>
      <c r="F1331" s="259" t="s">
        <v>1047</v>
      </c>
      <c r="G1331" s="259" t="s">
        <v>1048</v>
      </c>
      <c r="H1331" s="259" t="s">
        <v>1049</v>
      </c>
      <c r="I1331" s="307"/>
      <c r="J1331" s="308"/>
      <c r="K1331" s="309"/>
      <c r="L1331" s="117"/>
      <c r="M1331" s="118"/>
    </row>
    <row r="1332" spans="4:13" ht="24" x14ac:dyDescent="0.2">
      <c r="D1332" s="91"/>
      <c r="E1332" s="250">
        <v>45464</v>
      </c>
      <c r="F1332" s="259" t="s">
        <v>1049</v>
      </c>
      <c r="G1332" s="259" t="s">
        <v>1050</v>
      </c>
      <c r="H1332" s="259" t="s">
        <v>1051</v>
      </c>
      <c r="I1332" s="307"/>
      <c r="J1332" s="308"/>
      <c r="K1332" s="309"/>
      <c r="L1332" s="117"/>
      <c r="M1332" s="118"/>
    </row>
    <row r="1333" spans="4:13" ht="25" thickBot="1" x14ac:dyDescent="0.25">
      <c r="D1333" s="91"/>
      <c r="E1333" s="250">
        <v>45434</v>
      </c>
      <c r="F1333" s="259" t="s">
        <v>1051</v>
      </c>
      <c r="G1333" s="259" t="s">
        <v>1052</v>
      </c>
      <c r="H1333" s="259" t="s">
        <v>1053</v>
      </c>
      <c r="I1333" s="310"/>
      <c r="J1333" s="311"/>
      <c r="K1333" s="312"/>
      <c r="L1333" s="120"/>
      <c r="M1333" s="121"/>
    </row>
    <row r="1334" spans="4:13" ht="25" thickBot="1" x14ac:dyDescent="0.25">
      <c r="D1334" s="89" t="s">
        <v>105</v>
      </c>
      <c r="E1334" s="252" t="s">
        <v>30</v>
      </c>
      <c r="F1334" s="322" t="s">
        <v>1021</v>
      </c>
      <c r="G1334" s="323"/>
      <c r="H1334" s="324"/>
      <c r="I1334" s="325" t="s">
        <v>633</v>
      </c>
      <c r="J1334" s="326"/>
      <c r="K1334" s="327"/>
      <c r="L1334" s="189" t="s">
        <v>430</v>
      </c>
      <c r="M1334" s="125" t="s">
        <v>431</v>
      </c>
    </row>
    <row r="1335" spans="4:13" ht="24" x14ac:dyDescent="0.2">
      <c r="D1335" s="91"/>
      <c r="E1335" s="248" t="s">
        <v>432</v>
      </c>
      <c r="F1335" s="304"/>
      <c r="G1335" s="305"/>
      <c r="H1335" s="306"/>
      <c r="I1335" s="307" t="s">
        <v>1022</v>
      </c>
      <c r="J1335" s="308"/>
      <c r="K1335" s="309"/>
      <c r="L1335" s="117"/>
      <c r="M1335" s="118"/>
    </row>
    <row r="1336" spans="4:13" ht="24" x14ac:dyDescent="0.2">
      <c r="D1336" s="91"/>
      <c r="E1336" s="253" t="s">
        <v>433</v>
      </c>
      <c r="F1336" s="331"/>
      <c r="G1336" s="332"/>
      <c r="H1336" s="333"/>
      <c r="I1336" s="307"/>
      <c r="J1336" s="308"/>
      <c r="K1336" s="309"/>
      <c r="L1336" s="117"/>
      <c r="M1336" s="118"/>
    </row>
    <row r="1337" spans="4:13" ht="25" thickBot="1" x14ac:dyDescent="0.25">
      <c r="D1337" s="91"/>
      <c r="E1337" s="253" t="s">
        <v>434</v>
      </c>
      <c r="F1337" s="313">
        <v>2E-3</v>
      </c>
      <c r="G1337" s="314"/>
      <c r="H1337" s="315"/>
      <c r="I1337" s="307"/>
      <c r="J1337" s="308"/>
      <c r="K1337" s="309"/>
      <c r="L1337" s="117"/>
      <c r="M1337" s="118"/>
    </row>
    <row r="1338" spans="4:13" ht="25" thickBot="1" x14ac:dyDescent="0.25">
      <c r="D1338" s="91"/>
      <c r="E1338" s="254" t="s">
        <v>435</v>
      </c>
      <c r="F1338" s="319">
        <v>0.29166666666666674</v>
      </c>
      <c r="G1338" s="320"/>
      <c r="H1338" s="321"/>
      <c r="I1338" s="307"/>
      <c r="J1338" s="308"/>
      <c r="K1338" s="309"/>
      <c r="L1338" s="126">
        <v>0.52083333333333337</v>
      </c>
      <c r="M1338" s="127">
        <v>0.375</v>
      </c>
    </row>
    <row r="1339" spans="4:13" ht="25" thickBot="1" x14ac:dyDescent="0.25">
      <c r="D1339" s="91"/>
      <c r="E1339" s="249" t="s">
        <v>436</v>
      </c>
      <c r="F1339" s="255" t="s">
        <v>29</v>
      </c>
      <c r="G1339" s="255" t="s">
        <v>28</v>
      </c>
      <c r="H1339" s="256" t="s">
        <v>27</v>
      </c>
      <c r="I1339" s="307"/>
      <c r="J1339" s="308"/>
      <c r="K1339" s="309"/>
      <c r="L1339" s="117"/>
      <c r="M1339" s="118"/>
    </row>
    <row r="1340" spans="4:13" ht="24" x14ac:dyDescent="0.2">
      <c r="D1340" s="91"/>
      <c r="E1340" s="250">
        <v>45595</v>
      </c>
      <c r="F1340" s="258">
        <v>2E-3</v>
      </c>
      <c r="G1340" s="258" t="s">
        <v>456</v>
      </c>
      <c r="H1340" s="258">
        <v>-3.0000000000000001E-3</v>
      </c>
      <c r="I1340" s="307"/>
      <c r="J1340" s="308"/>
      <c r="K1340" s="309"/>
      <c r="L1340" s="117"/>
      <c r="M1340" s="118"/>
    </row>
    <row r="1341" spans="4:13" ht="24" x14ac:dyDescent="0.2">
      <c r="D1341" s="91"/>
      <c r="E1341" s="250">
        <v>45531</v>
      </c>
      <c r="F1341" s="258">
        <v>-1E-3</v>
      </c>
      <c r="G1341" s="258" t="s">
        <v>456</v>
      </c>
      <c r="H1341" s="258">
        <v>2E-3</v>
      </c>
      <c r="I1341" s="307"/>
      <c r="J1341" s="308"/>
      <c r="K1341" s="309"/>
      <c r="L1341" s="117"/>
      <c r="M1341" s="118"/>
    </row>
    <row r="1342" spans="4:13" ht="24" x14ac:dyDescent="0.2">
      <c r="D1342" s="91"/>
      <c r="E1342" s="250">
        <v>45503</v>
      </c>
      <c r="F1342" s="258">
        <v>-1E-3</v>
      </c>
      <c r="G1342" s="258" t="s">
        <v>462</v>
      </c>
      <c r="H1342" s="258">
        <v>2E-3</v>
      </c>
      <c r="I1342" s="307"/>
      <c r="J1342" s="308"/>
      <c r="K1342" s="309"/>
      <c r="L1342" s="119"/>
      <c r="M1342" s="118"/>
    </row>
    <row r="1343" spans="4:13" ht="24" x14ac:dyDescent="0.2">
      <c r="D1343" s="91"/>
      <c r="E1343" s="250">
        <v>45436</v>
      </c>
      <c r="F1343" s="258">
        <v>2E-3</v>
      </c>
      <c r="G1343" s="258" t="s">
        <v>460</v>
      </c>
      <c r="H1343" s="258">
        <v>-3.0000000000000001E-3</v>
      </c>
      <c r="I1343" s="307"/>
      <c r="J1343" s="308"/>
      <c r="K1343" s="309"/>
      <c r="L1343" s="117"/>
      <c r="M1343" s="118"/>
    </row>
    <row r="1344" spans="4:13" ht="24" x14ac:dyDescent="0.2">
      <c r="D1344" s="91"/>
      <c r="E1344" s="250">
        <v>45412</v>
      </c>
      <c r="F1344" s="258">
        <v>2E-3</v>
      </c>
      <c r="G1344" s="258" t="s">
        <v>462</v>
      </c>
      <c r="H1344" s="258">
        <v>-5.0000000000000001E-3</v>
      </c>
      <c r="I1344" s="307"/>
      <c r="J1344" s="308"/>
      <c r="K1344" s="309"/>
      <c r="L1344" s="117"/>
      <c r="M1344" s="118"/>
    </row>
    <row r="1345" spans="4:13" ht="25" thickBot="1" x14ac:dyDescent="0.25">
      <c r="D1345" s="91"/>
      <c r="E1345" s="250">
        <v>45345</v>
      </c>
      <c r="F1345" s="258">
        <v>-3.0000000000000001E-3</v>
      </c>
      <c r="G1345" s="258" t="s">
        <v>454</v>
      </c>
      <c r="H1345" s="258">
        <v>-1E-3</v>
      </c>
      <c r="I1345" s="310"/>
      <c r="J1345" s="311"/>
      <c r="K1345" s="312"/>
      <c r="L1345" s="120"/>
      <c r="M1345" s="121"/>
    </row>
    <row r="1346" spans="4:13" ht="25" thickBot="1" x14ac:dyDescent="0.25">
      <c r="D1346" s="89" t="s">
        <v>105</v>
      </c>
      <c r="E1346" s="252" t="s">
        <v>30</v>
      </c>
      <c r="F1346" s="322" t="s">
        <v>1023</v>
      </c>
      <c r="G1346" s="323"/>
      <c r="H1346" s="324"/>
      <c r="I1346" s="325" t="s">
        <v>633</v>
      </c>
      <c r="J1346" s="326"/>
      <c r="K1346" s="327"/>
      <c r="L1346" s="189" t="s">
        <v>430</v>
      </c>
      <c r="M1346" s="125" t="s">
        <v>431</v>
      </c>
    </row>
    <row r="1347" spans="4:13" ht="24" x14ac:dyDescent="0.2">
      <c r="D1347" s="91"/>
      <c r="E1347" s="248" t="s">
        <v>432</v>
      </c>
      <c r="F1347" s="304"/>
      <c r="G1347" s="305"/>
      <c r="H1347" s="306"/>
      <c r="I1347" s="307" t="s">
        <v>1024</v>
      </c>
      <c r="J1347" s="308"/>
      <c r="K1347" s="309"/>
      <c r="L1347" s="117"/>
      <c r="M1347" s="118"/>
    </row>
    <row r="1348" spans="4:13" ht="24" x14ac:dyDescent="0.2">
      <c r="D1348" s="91"/>
      <c r="E1348" s="253" t="s">
        <v>433</v>
      </c>
      <c r="F1348" s="328"/>
      <c r="G1348" s="329"/>
      <c r="H1348" s="330"/>
      <c r="I1348" s="307"/>
      <c r="J1348" s="308"/>
      <c r="K1348" s="309"/>
      <c r="L1348" s="117"/>
      <c r="M1348" s="118"/>
    </row>
    <row r="1349" spans="4:13" ht="25" thickBot="1" x14ac:dyDescent="0.25">
      <c r="D1349" s="91"/>
      <c r="E1349" s="253" t="s">
        <v>434</v>
      </c>
      <c r="F1349" s="331">
        <v>48.5</v>
      </c>
      <c r="G1349" s="332"/>
      <c r="H1349" s="333"/>
      <c r="I1349" s="307"/>
      <c r="J1349" s="308"/>
      <c r="K1349" s="309"/>
      <c r="L1349" s="117"/>
      <c r="M1349" s="118"/>
    </row>
    <row r="1350" spans="4:13" ht="25" thickBot="1" x14ac:dyDescent="0.25">
      <c r="D1350" s="91"/>
      <c r="E1350" s="254" t="s">
        <v>435</v>
      </c>
      <c r="F1350" s="319">
        <v>0.61458333333333337</v>
      </c>
      <c r="G1350" s="320"/>
      <c r="H1350" s="321"/>
      <c r="I1350" s="307"/>
      <c r="J1350" s="308"/>
      <c r="K1350" s="309"/>
      <c r="L1350" s="126">
        <v>0.84375</v>
      </c>
      <c r="M1350" s="127">
        <v>0.69791666666666663</v>
      </c>
    </row>
    <row r="1351" spans="4:13" ht="25" thickBot="1" x14ac:dyDescent="0.25">
      <c r="D1351" s="91"/>
      <c r="E1351" s="249" t="s">
        <v>436</v>
      </c>
      <c r="F1351" s="255" t="s">
        <v>29</v>
      </c>
      <c r="G1351" s="255" t="s">
        <v>28</v>
      </c>
      <c r="H1351" s="256" t="s">
        <v>27</v>
      </c>
      <c r="I1351" s="307"/>
      <c r="J1351" s="308"/>
      <c r="K1351" s="309"/>
      <c r="L1351" s="117"/>
      <c r="M1351" s="118"/>
    </row>
    <row r="1352" spans="4:13" ht="24" x14ac:dyDescent="0.2">
      <c r="D1352" s="91"/>
      <c r="E1352" s="250">
        <v>45597</v>
      </c>
      <c r="F1352" s="302">
        <v>48.5</v>
      </c>
      <c r="G1352" s="302" t="s">
        <v>1054</v>
      </c>
      <c r="H1352" s="302">
        <v>47.8</v>
      </c>
      <c r="I1352" s="307"/>
      <c r="J1352" s="308"/>
      <c r="K1352" s="309"/>
      <c r="L1352" s="117"/>
      <c r="M1352" s="118"/>
    </row>
    <row r="1353" spans="4:13" ht="24" x14ac:dyDescent="0.2">
      <c r="D1353" s="91"/>
      <c r="E1353" s="250">
        <v>45589</v>
      </c>
      <c r="F1353" s="302">
        <v>47.8</v>
      </c>
      <c r="G1353" s="302" t="s">
        <v>509</v>
      </c>
      <c r="H1353" s="302">
        <v>47.3</v>
      </c>
      <c r="I1353" s="307"/>
      <c r="J1353" s="308"/>
      <c r="K1353" s="309"/>
      <c r="L1353" s="117"/>
      <c r="M1353" s="118"/>
    </row>
    <row r="1354" spans="4:13" ht="24" x14ac:dyDescent="0.2">
      <c r="D1354" s="91"/>
      <c r="E1354" s="250">
        <v>45566</v>
      </c>
      <c r="F1354" s="302">
        <v>47.3</v>
      </c>
      <c r="G1354" s="302" t="s">
        <v>758</v>
      </c>
      <c r="H1354" s="302">
        <v>47.9</v>
      </c>
      <c r="I1354" s="307"/>
      <c r="J1354" s="308"/>
      <c r="K1354" s="309"/>
      <c r="L1354" s="119"/>
      <c r="M1354" s="118"/>
    </row>
    <row r="1355" spans="4:13" ht="24" x14ac:dyDescent="0.2">
      <c r="D1355" s="91"/>
      <c r="E1355" s="250">
        <v>45558</v>
      </c>
      <c r="F1355" s="302">
        <v>47</v>
      </c>
      <c r="G1355" s="302" t="s">
        <v>500</v>
      </c>
      <c r="H1355" s="302">
        <v>47.9</v>
      </c>
      <c r="I1355" s="307"/>
      <c r="J1355" s="308"/>
      <c r="K1355" s="309"/>
      <c r="L1355" s="117"/>
      <c r="M1355" s="118"/>
    </row>
    <row r="1356" spans="4:13" ht="24" x14ac:dyDescent="0.2">
      <c r="D1356" s="91"/>
      <c r="E1356" s="250">
        <v>45538</v>
      </c>
      <c r="F1356" s="302">
        <v>47.9</v>
      </c>
      <c r="G1356" s="302" t="s">
        <v>502</v>
      </c>
      <c r="H1356" s="302">
        <v>49.6</v>
      </c>
      <c r="I1356" s="307"/>
      <c r="J1356" s="308"/>
      <c r="K1356" s="309"/>
      <c r="L1356" s="117"/>
      <c r="M1356" s="118"/>
    </row>
    <row r="1357" spans="4:13" ht="25" thickBot="1" x14ac:dyDescent="0.25">
      <c r="D1357" s="91"/>
      <c r="E1357" s="250">
        <v>45526</v>
      </c>
      <c r="F1357" s="302">
        <v>48</v>
      </c>
      <c r="G1357" s="302" t="s">
        <v>438</v>
      </c>
      <c r="H1357" s="302">
        <v>49.6</v>
      </c>
      <c r="I1357" s="310"/>
      <c r="J1357" s="311"/>
      <c r="K1357" s="312"/>
      <c r="L1357" s="120"/>
      <c r="M1357" s="121"/>
    </row>
    <row r="1358" spans="4:13" ht="25" thickBot="1" x14ac:dyDescent="0.25">
      <c r="D1358" s="89" t="s">
        <v>105</v>
      </c>
      <c r="E1358" s="252" t="s">
        <v>30</v>
      </c>
      <c r="F1358" s="322" t="s">
        <v>1025</v>
      </c>
      <c r="G1358" s="323"/>
      <c r="H1358" s="324"/>
      <c r="I1358" s="334" t="s">
        <v>633</v>
      </c>
      <c r="J1358" s="326"/>
      <c r="K1358" s="327"/>
      <c r="L1358" s="189" t="s">
        <v>430</v>
      </c>
      <c r="M1358" s="125" t="s">
        <v>431</v>
      </c>
    </row>
    <row r="1359" spans="4:13" ht="24" x14ac:dyDescent="0.2">
      <c r="D1359" s="91"/>
      <c r="E1359" s="248" t="s">
        <v>432</v>
      </c>
      <c r="F1359" s="304"/>
      <c r="G1359" s="305"/>
      <c r="H1359" s="306"/>
      <c r="I1359" s="307" t="s">
        <v>1026</v>
      </c>
      <c r="J1359" s="308"/>
      <c r="K1359" s="309"/>
      <c r="L1359" s="117"/>
      <c r="M1359" s="118"/>
    </row>
    <row r="1360" spans="4:13" ht="24" x14ac:dyDescent="0.2">
      <c r="D1360" s="91"/>
      <c r="E1360" s="253" t="s">
        <v>433</v>
      </c>
      <c r="F1360" s="313"/>
      <c r="G1360" s="314"/>
      <c r="H1360" s="315"/>
      <c r="I1360" s="307"/>
      <c r="J1360" s="308"/>
      <c r="K1360" s="309"/>
      <c r="L1360" s="117"/>
      <c r="M1360" s="118"/>
    </row>
    <row r="1361" spans="3:13" ht="25" thickBot="1" x14ac:dyDescent="0.25">
      <c r="D1361" s="91"/>
      <c r="E1361" s="253" t="s">
        <v>434</v>
      </c>
      <c r="F1361" s="316">
        <v>55</v>
      </c>
      <c r="G1361" s="317"/>
      <c r="H1361" s="318"/>
      <c r="I1361" s="307"/>
      <c r="J1361" s="308"/>
      <c r="K1361" s="309"/>
      <c r="L1361" s="117"/>
      <c r="M1361" s="118"/>
    </row>
    <row r="1362" spans="3:13" ht="25" thickBot="1" x14ac:dyDescent="0.25">
      <c r="D1362" s="91"/>
      <c r="E1362" s="254" t="s">
        <v>435</v>
      </c>
      <c r="F1362" s="319">
        <v>0.61458333333333337</v>
      </c>
      <c r="G1362" s="320"/>
      <c r="H1362" s="321"/>
      <c r="I1362" s="307"/>
      <c r="J1362" s="308"/>
      <c r="K1362" s="309"/>
      <c r="L1362" s="126">
        <v>0.84375</v>
      </c>
      <c r="M1362" s="127">
        <v>0.69791666666666663</v>
      </c>
    </row>
    <row r="1363" spans="3:13" ht="25" thickBot="1" x14ac:dyDescent="0.25">
      <c r="D1363" s="91"/>
      <c r="E1363" s="249" t="s">
        <v>436</v>
      </c>
      <c r="F1363" s="255" t="s">
        <v>29</v>
      </c>
      <c r="G1363" s="255" t="s">
        <v>28</v>
      </c>
      <c r="H1363" s="256" t="s">
        <v>27</v>
      </c>
      <c r="I1363" s="307"/>
      <c r="J1363" s="308"/>
      <c r="K1363" s="309"/>
      <c r="L1363" s="117"/>
      <c r="M1363" s="118"/>
    </row>
    <row r="1364" spans="3:13" ht="24" x14ac:dyDescent="0.2">
      <c r="D1364" s="91"/>
      <c r="E1364" s="250">
        <v>45601</v>
      </c>
      <c r="F1364" s="302">
        <v>55</v>
      </c>
      <c r="G1364" s="302" t="s">
        <v>585</v>
      </c>
      <c r="H1364" s="302">
        <v>55.2</v>
      </c>
      <c r="I1364" s="307"/>
      <c r="J1364" s="308"/>
      <c r="K1364" s="309"/>
      <c r="L1364" s="117"/>
      <c r="M1364" s="262"/>
    </row>
    <row r="1365" spans="3:13" ht="24" x14ac:dyDescent="0.2">
      <c r="D1365" s="91"/>
      <c r="E1365" s="250">
        <v>45589</v>
      </c>
      <c r="F1365" s="302">
        <v>55.3</v>
      </c>
      <c r="G1365" s="302" t="s">
        <v>604</v>
      </c>
      <c r="H1365" s="302">
        <v>55.2</v>
      </c>
      <c r="I1365" s="307"/>
      <c r="J1365" s="308"/>
      <c r="K1365" s="309"/>
      <c r="L1365" s="117"/>
      <c r="M1365" s="118"/>
    </row>
    <row r="1366" spans="3:13" ht="24" x14ac:dyDescent="0.2">
      <c r="D1366" s="91"/>
      <c r="E1366" s="250">
        <v>45568</v>
      </c>
      <c r="F1366" s="302">
        <v>55.2</v>
      </c>
      <c r="G1366" s="302" t="s">
        <v>759</v>
      </c>
      <c r="H1366" s="302">
        <v>55.7</v>
      </c>
      <c r="I1366" s="307"/>
      <c r="J1366" s="308"/>
      <c r="K1366" s="309"/>
      <c r="L1366" s="119"/>
      <c r="M1366" s="118"/>
    </row>
    <row r="1367" spans="3:13" ht="24" x14ac:dyDescent="0.2">
      <c r="D1367" s="91"/>
      <c r="E1367" s="250">
        <v>45558</v>
      </c>
      <c r="F1367" s="302">
        <v>55.4</v>
      </c>
      <c r="G1367" s="302" t="s">
        <v>585</v>
      </c>
      <c r="H1367" s="302">
        <v>55.7</v>
      </c>
      <c r="I1367" s="307"/>
      <c r="J1367" s="308"/>
      <c r="K1367" s="309"/>
      <c r="L1367" s="117"/>
      <c r="M1367" s="118"/>
    </row>
    <row r="1368" spans="3:13" ht="24" x14ac:dyDescent="0.2">
      <c r="D1368" s="91"/>
      <c r="E1368" s="250">
        <v>45540</v>
      </c>
      <c r="F1368" s="302">
        <v>55.7</v>
      </c>
      <c r="G1368" s="302" t="s">
        <v>586</v>
      </c>
      <c r="H1368" s="302">
        <v>55</v>
      </c>
      <c r="I1368" s="307"/>
      <c r="J1368" s="308"/>
      <c r="K1368" s="309"/>
      <c r="L1368" s="117"/>
      <c r="M1368" s="118"/>
    </row>
    <row r="1369" spans="3:13" ht="25" thickBot="1" x14ac:dyDescent="0.25">
      <c r="D1369" s="91"/>
      <c r="E1369" s="251">
        <v>45526</v>
      </c>
      <c r="F1369" s="303">
        <v>55.2</v>
      </c>
      <c r="G1369" s="303" t="s">
        <v>587</v>
      </c>
      <c r="H1369" s="303">
        <v>55</v>
      </c>
      <c r="I1369" s="310"/>
      <c r="J1369" s="311"/>
      <c r="K1369" s="312"/>
      <c r="L1369" s="120"/>
      <c r="M1369" s="121"/>
    </row>
    <row r="1370" spans="3:13" ht="25" thickBot="1" x14ac:dyDescent="0.25">
      <c r="C1370" t="s">
        <v>105</v>
      </c>
      <c r="D1370">
        <v>1</v>
      </c>
      <c r="E1370" s="252" t="s">
        <v>30</v>
      </c>
      <c r="F1370" s="322" t="s">
        <v>1060</v>
      </c>
      <c r="G1370" s="323"/>
      <c r="H1370" s="324"/>
      <c r="I1370" s="325" t="s">
        <v>633</v>
      </c>
      <c r="J1370" s="326"/>
      <c r="K1370" s="327"/>
      <c r="L1370" s="189" t="s">
        <v>430</v>
      </c>
      <c r="M1370" s="125" t="s">
        <v>431</v>
      </c>
    </row>
    <row r="1371" spans="3:13" ht="24" x14ac:dyDescent="0.2">
      <c r="E1371" s="248" t="s">
        <v>432</v>
      </c>
      <c r="F1371" s="304"/>
      <c r="G1371" s="305"/>
      <c r="H1371" s="306"/>
      <c r="I1371" s="307" t="s">
        <v>1061</v>
      </c>
      <c r="J1371" s="308"/>
      <c r="K1371" s="309"/>
      <c r="L1371" s="117"/>
      <c r="M1371" s="118"/>
    </row>
    <row r="1372" spans="3:13" ht="24" x14ac:dyDescent="0.2">
      <c r="E1372" s="253" t="s">
        <v>433</v>
      </c>
      <c r="F1372" s="331" t="s">
        <v>1090</v>
      </c>
      <c r="G1372" s="332"/>
      <c r="H1372" s="333"/>
      <c r="I1372" s="307"/>
      <c r="J1372" s="308"/>
      <c r="K1372" s="309"/>
      <c r="L1372" s="117"/>
      <c r="M1372" s="118"/>
    </row>
    <row r="1373" spans="3:13" ht="25" thickBot="1" x14ac:dyDescent="0.25">
      <c r="E1373" s="253" t="s">
        <v>434</v>
      </c>
      <c r="F1373" s="331">
        <v>108.7</v>
      </c>
      <c r="G1373" s="332"/>
      <c r="H1373" s="333"/>
      <c r="I1373" s="307"/>
      <c r="J1373" s="308"/>
      <c r="K1373" s="309"/>
      <c r="L1373" s="117"/>
      <c r="M1373" s="118"/>
    </row>
    <row r="1374" spans="3:13" ht="25" thickBot="1" x14ac:dyDescent="0.25">
      <c r="E1374" s="254" t="s">
        <v>435</v>
      </c>
      <c r="F1374" s="319">
        <v>0.625</v>
      </c>
      <c r="G1374" s="320"/>
      <c r="H1374" s="321"/>
      <c r="I1374" s="307"/>
      <c r="J1374" s="308"/>
      <c r="K1374" s="309"/>
      <c r="L1374" s="126">
        <v>0.85416666666666663</v>
      </c>
      <c r="M1374" s="127">
        <v>0.70833333333333326</v>
      </c>
    </row>
    <row r="1375" spans="3:13" ht="25" thickBot="1" x14ac:dyDescent="0.25">
      <c r="E1375" s="249" t="s">
        <v>436</v>
      </c>
      <c r="F1375" s="255" t="s">
        <v>29</v>
      </c>
      <c r="G1375" s="255" t="s">
        <v>28</v>
      </c>
      <c r="H1375" s="256" t="s">
        <v>27</v>
      </c>
      <c r="I1375" s="307"/>
      <c r="J1375" s="308"/>
      <c r="K1375" s="309"/>
      <c r="L1375" s="117"/>
      <c r="M1375" s="118"/>
    </row>
    <row r="1376" spans="3:13" ht="24" x14ac:dyDescent="0.2">
      <c r="E1376" s="250">
        <v>45594</v>
      </c>
      <c r="F1376" s="263">
        <v>108.7</v>
      </c>
      <c r="G1376" s="263" t="s">
        <v>1091</v>
      </c>
      <c r="H1376" s="263">
        <v>99.2</v>
      </c>
      <c r="I1376" s="307"/>
      <c r="J1376" s="308"/>
      <c r="K1376" s="309"/>
      <c r="L1376" s="117"/>
      <c r="M1376" s="118"/>
    </row>
    <row r="1377" spans="4:13" ht="24" x14ac:dyDescent="0.2">
      <c r="E1377" s="250">
        <v>45559</v>
      </c>
      <c r="F1377" s="263">
        <v>98.7</v>
      </c>
      <c r="G1377" s="263" t="s">
        <v>874</v>
      </c>
      <c r="H1377" s="263">
        <v>105.6</v>
      </c>
      <c r="I1377" s="307"/>
      <c r="J1377" s="308"/>
      <c r="K1377" s="309"/>
      <c r="L1377" s="117"/>
      <c r="M1377" s="118"/>
    </row>
    <row r="1378" spans="4:13" ht="24" x14ac:dyDescent="0.2">
      <c r="E1378" s="250">
        <v>45531</v>
      </c>
      <c r="F1378" s="263">
        <v>103.3</v>
      </c>
      <c r="G1378" s="263" t="s">
        <v>875</v>
      </c>
      <c r="H1378" s="263">
        <v>101.9</v>
      </c>
      <c r="I1378" s="307"/>
      <c r="J1378" s="308"/>
      <c r="K1378" s="309"/>
      <c r="L1378" s="119"/>
      <c r="M1378" s="118"/>
    </row>
    <row r="1379" spans="4:13" ht="24" x14ac:dyDescent="0.2">
      <c r="E1379" s="250">
        <v>45503</v>
      </c>
      <c r="F1379" s="263">
        <v>100.3</v>
      </c>
      <c r="G1379" s="263" t="s">
        <v>876</v>
      </c>
      <c r="H1379" s="263">
        <v>97.8</v>
      </c>
      <c r="I1379" s="307"/>
      <c r="J1379" s="308"/>
      <c r="K1379" s="309"/>
      <c r="L1379" s="117"/>
      <c r="M1379" s="118"/>
    </row>
    <row r="1380" spans="4:13" ht="24" x14ac:dyDescent="0.2">
      <c r="E1380" s="250">
        <v>45468</v>
      </c>
      <c r="F1380" s="263">
        <v>100.4</v>
      </c>
      <c r="G1380" s="263" t="s">
        <v>877</v>
      </c>
      <c r="H1380" s="263">
        <v>101.3</v>
      </c>
      <c r="I1380" s="307"/>
      <c r="J1380" s="308"/>
      <c r="K1380" s="309"/>
      <c r="L1380" s="117"/>
      <c r="M1380" s="118"/>
    </row>
    <row r="1381" spans="4:13" ht="25" thickBot="1" x14ac:dyDescent="0.25">
      <c r="E1381" s="250">
        <v>45440</v>
      </c>
      <c r="F1381" s="263">
        <v>102</v>
      </c>
      <c r="G1381" s="263" t="s">
        <v>878</v>
      </c>
      <c r="H1381" s="263">
        <v>97.5</v>
      </c>
      <c r="I1381" s="310"/>
      <c r="J1381" s="311"/>
      <c r="K1381" s="312"/>
      <c r="L1381" s="120"/>
      <c r="M1381" s="121"/>
    </row>
    <row r="1382" spans="4:13" ht="25" thickBot="1" x14ac:dyDescent="0.25">
      <c r="D1382">
        <v>2</v>
      </c>
      <c r="E1382" s="252" t="s">
        <v>30</v>
      </c>
      <c r="F1382" s="322" t="s">
        <v>1062</v>
      </c>
      <c r="G1382" s="323"/>
      <c r="H1382" s="324"/>
      <c r="I1382" s="325" t="s">
        <v>633</v>
      </c>
      <c r="J1382" s="326"/>
      <c r="K1382" s="327"/>
      <c r="L1382" s="189" t="s">
        <v>430</v>
      </c>
      <c r="M1382" s="125" t="s">
        <v>431</v>
      </c>
    </row>
    <row r="1383" spans="4:13" ht="24" x14ac:dyDescent="0.2">
      <c r="E1383" s="248" t="s">
        <v>432</v>
      </c>
      <c r="F1383" s="304"/>
      <c r="G1383" s="305"/>
      <c r="H1383" s="306"/>
      <c r="I1383" s="307" t="s">
        <v>1064</v>
      </c>
      <c r="J1383" s="308"/>
      <c r="K1383" s="309"/>
      <c r="L1383" s="117"/>
      <c r="M1383" s="118"/>
    </row>
    <row r="1384" spans="4:13" ht="24" x14ac:dyDescent="0.2">
      <c r="E1384" s="253" t="s">
        <v>433</v>
      </c>
      <c r="F1384" s="313"/>
      <c r="G1384" s="314"/>
      <c r="H1384" s="315"/>
      <c r="I1384" s="307"/>
      <c r="J1384" s="308"/>
      <c r="K1384" s="309"/>
      <c r="L1384" s="117"/>
      <c r="M1384" s="118"/>
    </row>
    <row r="1385" spans="4:13" ht="25" thickBot="1" x14ac:dyDescent="0.25">
      <c r="E1385" s="253" t="s">
        <v>434</v>
      </c>
      <c r="F1385" s="313" t="s">
        <v>1063</v>
      </c>
      <c r="G1385" s="314"/>
      <c r="H1385" s="315"/>
      <c r="I1385" s="307"/>
      <c r="J1385" s="308"/>
      <c r="K1385" s="309"/>
      <c r="L1385" s="117"/>
      <c r="M1385" s="118"/>
    </row>
    <row r="1386" spans="4:13" ht="25" thickBot="1" x14ac:dyDescent="0.25">
      <c r="E1386" s="254" t="s">
        <v>435</v>
      </c>
      <c r="F1386" s="319">
        <v>0.625</v>
      </c>
      <c r="G1386" s="320"/>
      <c r="H1386" s="321"/>
      <c r="I1386" s="307"/>
      <c r="J1386" s="308"/>
      <c r="K1386" s="309"/>
      <c r="L1386" s="126">
        <v>0.85416666666666663</v>
      </c>
      <c r="M1386" s="127">
        <v>0.70833333333333326</v>
      </c>
    </row>
    <row r="1387" spans="4:13" ht="25" thickBot="1" x14ac:dyDescent="0.25">
      <c r="E1387" s="249" t="s">
        <v>436</v>
      </c>
      <c r="F1387" s="255" t="s">
        <v>29</v>
      </c>
      <c r="G1387" s="255" t="s">
        <v>28</v>
      </c>
      <c r="H1387" s="256" t="s">
        <v>27</v>
      </c>
      <c r="I1387" s="307"/>
      <c r="J1387" s="308"/>
      <c r="K1387" s="309"/>
      <c r="L1387" s="117"/>
      <c r="M1387" s="118"/>
    </row>
    <row r="1388" spans="4:13" ht="24" x14ac:dyDescent="0.2">
      <c r="E1388" s="250">
        <v>45589</v>
      </c>
      <c r="F1388" s="259" t="s">
        <v>1092</v>
      </c>
      <c r="G1388" s="259" t="s">
        <v>1093</v>
      </c>
      <c r="H1388" s="259" t="s">
        <v>1094</v>
      </c>
      <c r="I1388" s="307"/>
      <c r="J1388" s="308"/>
      <c r="K1388" s="309"/>
      <c r="L1388" s="117"/>
      <c r="M1388" s="118"/>
    </row>
    <row r="1389" spans="4:13" ht="24" x14ac:dyDescent="0.2">
      <c r="E1389" s="250">
        <v>45560</v>
      </c>
      <c r="F1389" s="259" t="s">
        <v>1095</v>
      </c>
      <c r="G1389" s="259" t="s">
        <v>1096</v>
      </c>
      <c r="H1389" s="259" t="s">
        <v>1097</v>
      </c>
      <c r="I1389" s="307"/>
      <c r="J1389" s="308"/>
      <c r="K1389" s="309"/>
      <c r="L1389" s="117"/>
      <c r="M1389" s="118"/>
    </row>
    <row r="1390" spans="4:13" ht="24" x14ac:dyDescent="0.2">
      <c r="E1390" s="250">
        <v>45527</v>
      </c>
      <c r="F1390" s="259" t="s">
        <v>1098</v>
      </c>
      <c r="G1390" s="259" t="s">
        <v>1099</v>
      </c>
      <c r="H1390" s="259" t="s">
        <v>1100</v>
      </c>
      <c r="I1390" s="307"/>
      <c r="J1390" s="308"/>
      <c r="K1390" s="309"/>
      <c r="L1390" s="119"/>
      <c r="M1390" s="118"/>
    </row>
    <row r="1391" spans="4:13" ht="24" x14ac:dyDescent="0.2">
      <c r="E1391" s="250">
        <v>45497</v>
      </c>
      <c r="F1391" s="259" t="s">
        <v>1101</v>
      </c>
      <c r="G1391" s="259" t="s">
        <v>1102</v>
      </c>
      <c r="H1391" s="259" t="s">
        <v>1103</v>
      </c>
      <c r="I1391" s="307"/>
      <c r="J1391" s="308"/>
      <c r="K1391" s="309"/>
      <c r="L1391" s="117"/>
      <c r="M1391" s="118"/>
    </row>
    <row r="1392" spans="4:13" ht="24" x14ac:dyDescent="0.2">
      <c r="E1392" s="250">
        <v>45469</v>
      </c>
      <c r="F1392" s="259" t="s">
        <v>1104</v>
      </c>
      <c r="G1392" s="259" t="s">
        <v>1105</v>
      </c>
      <c r="H1392" s="259" t="s">
        <v>1106</v>
      </c>
      <c r="I1392" s="307"/>
      <c r="J1392" s="308"/>
      <c r="K1392" s="309"/>
      <c r="L1392" s="117"/>
      <c r="M1392" s="118"/>
    </row>
    <row r="1393" spans="4:13" ht="25" thickBot="1" x14ac:dyDescent="0.25">
      <c r="E1393" s="250">
        <v>45435</v>
      </c>
      <c r="F1393" s="259" t="s">
        <v>1107</v>
      </c>
      <c r="G1393" s="259" t="s">
        <v>1108</v>
      </c>
      <c r="H1393" s="259" t="s">
        <v>1109</v>
      </c>
      <c r="I1393" s="310"/>
      <c r="J1393" s="311"/>
      <c r="K1393" s="312"/>
      <c r="L1393" s="120"/>
      <c r="M1393" s="121"/>
    </row>
    <row r="1394" spans="4:13" ht="25" thickBot="1" x14ac:dyDescent="0.25">
      <c r="D1394" t="s">
        <v>105</v>
      </c>
      <c r="E1394" s="252" t="s">
        <v>30</v>
      </c>
      <c r="F1394" s="322" t="s">
        <v>7</v>
      </c>
      <c r="G1394" s="323"/>
      <c r="H1394" s="324"/>
      <c r="I1394" s="325" t="s">
        <v>633</v>
      </c>
      <c r="J1394" s="326"/>
      <c r="K1394" s="327"/>
      <c r="L1394" s="189" t="s">
        <v>430</v>
      </c>
      <c r="M1394" s="125" t="s">
        <v>431</v>
      </c>
    </row>
    <row r="1395" spans="4:13" ht="24" x14ac:dyDescent="0.2">
      <c r="E1395" s="248" t="s">
        <v>432</v>
      </c>
      <c r="F1395" s="304"/>
      <c r="G1395" s="305"/>
      <c r="H1395" s="306"/>
      <c r="I1395" s="307" t="s">
        <v>1065</v>
      </c>
      <c r="J1395" s="308"/>
      <c r="K1395" s="309"/>
      <c r="L1395" s="117"/>
      <c r="M1395" s="118"/>
    </row>
    <row r="1396" spans="4:13" ht="24" x14ac:dyDescent="0.2">
      <c r="E1396" s="253" t="s">
        <v>433</v>
      </c>
      <c r="F1396" s="313"/>
      <c r="G1396" s="314"/>
      <c r="H1396" s="315"/>
      <c r="I1396" s="307"/>
      <c r="J1396" s="308"/>
      <c r="K1396" s="309"/>
      <c r="L1396" s="117"/>
      <c r="M1396" s="118"/>
    </row>
    <row r="1397" spans="4:13" ht="25" thickBot="1" x14ac:dyDescent="0.25">
      <c r="E1397" s="253" t="s">
        <v>434</v>
      </c>
      <c r="F1397" s="313">
        <v>0</v>
      </c>
      <c r="G1397" s="314"/>
      <c r="H1397" s="315"/>
      <c r="I1397" s="307"/>
      <c r="J1397" s="308"/>
      <c r="K1397" s="309"/>
      <c r="L1397" s="117"/>
      <c r="M1397" s="118"/>
    </row>
    <row r="1398" spans="4:13" ht="25" thickBot="1" x14ac:dyDescent="0.25">
      <c r="E1398" s="254" t="s">
        <v>435</v>
      </c>
      <c r="F1398" s="319">
        <v>0.79166666666666663</v>
      </c>
      <c r="G1398" s="320"/>
      <c r="H1398" s="321"/>
      <c r="I1398" s="307"/>
      <c r="J1398" s="308"/>
      <c r="K1398" s="309"/>
      <c r="L1398" s="126">
        <v>2.0833333333333332E-2</v>
      </c>
      <c r="M1398" s="127">
        <v>0.875</v>
      </c>
    </row>
    <row r="1399" spans="4:13" ht="25" thickBot="1" x14ac:dyDescent="0.25">
      <c r="E1399" s="249" t="s">
        <v>436</v>
      </c>
      <c r="F1399" s="255" t="s">
        <v>29</v>
      </c>
      <c r="G1399" s="255" t="s">
        <v>28</v>
      </c>
      <c r="H1399" s="256" t="s">
        <v>27</v>
      </c>
      <c r="I1399" s="307"/>
      <c r="J1399" s="308"/>
      <c r="K1399" s="309"/>
      <c r="L1399" s="117"/>
      <c r="M1399" s="118"/>
    </row>
    <row r="1400" spans="4:13" ht="24" x14ac:dyDescent="0.2">
      <c r="E1400" s="250">
        <v>45574</v>
      </c>
      <c r="F1400" s="259">
        <v>0</v>
      </c>
      <c r="G1400" s="259" t="s">
        <v>754</v>
      </c>
      <c r="H1400" s="259">
        <v>0</v>
      </c>
      <c r="I1400" s="307"/>
      <c r="J1400" s="308"/>
      <c r="K1400" s="309"/>
      <c r="L1400" s="117"/>
      <c r="M1400" s="118"/>
    </row>
    <row r="1401" spans="4:13" ht="24" x14ac:dyDescent="0.2">
      <c r="E1401" s="250">
        <v>45525</v>
      </c>
      <c r="F1401" s="259">
        <v>0</v>
      </c>
      <c r="G1401" s="259" t="s">
        <v>754</v>
      </c>
      <c r="H1401" s="259">
        <v>0</v>
      </c>
      <c r="I1401" s="307"/>
      <c r="J1401" s="308"/>
      <c r="K1401" s="309"/>
      <c r="L1401" s="117"/>
      <c r="M1401" s="118"/>
    </row>
    <row r="1402" spans="4:13" ht="24" x14ac:dyDescent="0.2">
      <c r="E1402" s="250">
        <v>45476</v>
      </c>
      <c r="F1402" s="259">
        <v>0</v>
      </c>
      <c r="G1402" s="259" t="s">
        <v>754</v>
      </c>
      <c r="H1402" s="259">
        <v>0</v>
      </c>
      <c r="I1402" s="307"/>
      <c r="J1402" s="308"/>
      <c r="K1402" s="309"/>
      <c r="L1402" s="119"/>
      <c r="M1402" s="118"/>
    </row>
    <row r="1403" spans="4:13" ht="24" x14ac:dyDescent="0.2">
      <c r="E1403" s="250">
        <v>45434</v>
      </c>
      <c r="F1403" s="259">
        <v>0</v>
      </c>
      <c r="G1403" s="259" t="s">
        <v>754</v>
      </c>
      <c r="H1403" s="259">
        <v>0</v>
      </c>
      <c r="I1403" s="307"/>
      <c r="J1403" s="308"/>
      <c r="K1403" s="309"/>
      <c r="L1403" s="117"/>
      <c r="M1403" s="118"/>
    </row>
    <row r="1404" spans="4:13" ht="24" x14ac:dyDescent="0.2">
      <c r="E1404" s="250">
        <v>45392</v>
      </c>
      <c r="F1404" s="259">
        <v>0</v>
      </c>
      <c r="G1404" s="259" t="s">
        <v>754</v>
      </c>
      <c r="H1404" s="259">
        <v>0</v>
      </c>
      <c r="I1404" s="307"/>
      <c r="J1404" s="308"/>
      <c r="K1404" s="309"/>
      <c r="L1404" s="117"/>
      <c r="M1404" s="118"/>
    </row>
    <row r="1405" spans="4:13" ht="25" thickBot="1" x14ac:dyDescent="0.25">
      <c r="E1405" s="250">
        <v>45343</v>
      </c>
      <c r="F1405" s="259">
        <v>0</v>
      </c>
      <c r="G1405" s="259" t="s">
        <v>754</v>
      </c>
      <c r="H1405" s="259">
        <v>0</v>
      </c>
      <c r="I1405" s="310"/>
      <c r="J1405" s="311"/>
      <c r="K1405" s="312"/>
      <c r="L1405" s="120"/>
      <c r="M1405" s="121"/>
    </row>
    <row r="1406" spans="4:13" ht="25" thickBot="1" x14ac:dyDescent="0.25">
      <c r="D1406">
        <v>3</v>
      </c>
      <c r="E1406" s="252" t="s">
        <v>30</v>
      </c>
      <c r="F1406" s="322" t="s">
        <v>50</v>
      </c>
      <c r="G1406" s="323"/>
      <c r="H1406" s="324"/>
      <c r="I1406" s="325" t="s">
        <v>633</v>
      </c>
      <c r="J1406" s="326"/>
      <c r="K1406" s="327"/>
      <c r="L1406" s="189" t="s">
        <v>430</v>
      </c>
      <c r="M1406" s="125" t="s">
        <v>431</v>
      </c>
    </row>
    <row r="1407" spans="4:13" ht="24" x14ac:dyDescent="0.2">
      <c r="E1407" s="248" t="s">
        <v>432</v>
      </c>
      <c r="F1407" s="304"/>
      <c r="G1407" s="305"/>
      <c r="H1407" s="306"/>
      <c r="I1407" s="307" t="s">
        <v>1066</v>
      </c>
      <c r="J1407" s="308"/>
      <c r="K1407" s="309"/>
      <c r="L1407" s="117"/>
      <c r="M1407" s="118"/>
    </row>
    <row r="1408" spans="4:13" ht="24" x14ac:dyDescent="0.2">
      <c r="E1408" s="253" t="s">
        <v>433</v>
      </c>
      <c r="F1408" s="313">
        <v>4.2500000000000003E-2</v>
      </c>
      <c r="G1408" s="314"/>
      <c r="H1408" s="315"/>
      <c r="I1408" s="307"/>
      <c r="J1408" s="308"/>
      <c r="K1408" s="309"/>
      <c r="L1408" s="117"/>
      <c r="M1408" s="118"/>
    </row>
    <row r="1409" spans="4:13" ht="25" thickBot="1" x14ac:dyDescent="0.25">
      <c r="E1409" s="253" t="s">
        <v>434</v>
      </c>
      <c r="F1409" s="313">
        <v>4.7500000000000001E-2</v>
      </c>
      <c r="G1409" s="314"/>
      <c r="H1409" s="315"/>
      <c r="I1409" s="307"/>
      <c r="J1409" s="308"/>
      <c r="K1409" s="309"/>
      <c r="L1409" s="117"/>
      <c r="M1409" s="118"/>
    </row>
    <row r="1410" spans="4:13" ht="25" thickBot="1" x14ac:dyDescent="0.25">
      <c r="E1410" s="254" t="s">
        <v>435</v>
      </c>
      <c r="F1410" s="319">
        <v>4.1666666666666657E-2</v>
      </c>
      <c r="G1410" s="320"/>
      <c r="H1410" s="321"/>
      <c r="I1410" s="307"/>
      <c r="J1410" s="308"/>
      <c r="K1410" s="309"/>
      <c r="L1410" s="126">
        <v>0.27083333333333331</v>
      </c>
      <c r="M1410" s="127">
        <v>0.12499999999999997</v>
      </c>
    </row>
    <row r="1411" spans="4:13" ht="25" thickBot="1" x14ac:dyDescent="0.25">
      <c r="E1411" s="249" t="s">
        <v>436</v>
      </c>
      <c r="F1411" s="255" t="s">
        <v>29</v>
      </c>
      <c r="G1411" s="255" t="s">
        <v>28</v>
      </c>
      <c r="H1411" s="256" t="s">
        <v>27</v>
      </c>
      <c r="I1411" s="307"/>
      <c r="J1411" s="308"/>
      <c r="K1411" s="309"/>
      <c r="L1411" s="117"/>
      <c r="M1411" s="118"/>
    </row>
    <row r="1412" spans="4:13" ht="24" x14ac:dyDescent="0.2">
      <c r="E1412" s="250">
        <v>45574</v>
      </c>
      <c r="F1412" s="257">
        <v>4.7500000000000001E-2</v>
      </c>
      <c r="G1412" s="257" t="s">
        <v>726</v>
      </c>
      <c r="H1412" s="257">
        <v>5.2499999999999998E-2</v>
      </c>
      <c r="I1412" s="307"/>
      <c r="J1412" s="308"/>
      <c r="K1412" s="309"/>
      <c r="L1412" s="117"/>
      <c r="M1412" s="118"/>
    </row>
    <row r="1413" spans="4:13" ht="24" x14ac:dyDescent="0.2">
      <c r="E1413" s="250">
        <v>45518</v>
      </c>
      <c r="F1413" s="257">
        <v>5.2499999999999998E-2</v>
      </c>
      <c r="G1413" s="257" t="s">
        <v>942</v>
      </c>
      <c r="H1413" s="257">
        <v>5.5E-2</v>
      </c>
      <c r="I1413" s="307"/>
      <c r="J1413" s="308"/>
      <c r="K1413" s="309"/>
      <c r="L1413" s="117"/>
      <c r="M1413" s="118"/>
    </row>
    <row r="1414" spans="4:13" ht="24" x14ac:dyDescent="0.2">
      <c r="E1414" s="250">
        <v>45483</v>
      </c>
      <c r="F1414" s="257">
        <v>5.5E-2</v>
      </c>
      <c r="G1414" s="257" t="s">
        <v>942</v>
      </c>
      <c r="H1414" s="257">
        <v>5.5E-2</v>
      </c>
      <c r="I1414" s="307"/>
      <c r="J1414" s="308"/>
      <c r="K1414" s="309"/>
      <c r="L1414" s="119"/>
      <c r="M1414" s="118"/>
    </row>
    <row r="1415" spans="4:13" ht="24" x14ac:dyDescent="0.2">
      <c r="E1415" s="250">
        <v>45434</v>
      </c>
      <c r="F1415" s="257">
        <v>5.5E-2</v>
      </c>
      <c r="G1415" s="257" t="s">
        <v>942</v>
      </c>
      <c r="H1415" s="257">
        <v>5.5E-2</v>
      </c>
      <c r="I1415" s="307"/>
      <c r="J1415" s="308"/>
      <c r="K1415" s="309"/>
      <c r="L1415" s="117"/>
      <c r="M1415" s="118"/>
    </row>
    <row r="1416" spans="4:13" ht="24" x14ac:dyDescent="0.2">
      <c r="E1416" s="250">
        <v>45392</v>
      </c>
      <c r="F1416" s="257">
        <v>5.5E-2</v>
      </c>
      <c r="G1416" s="257" t="s">
        <v>942</v>
      </c>
      <c r="H1416" s="257">
        <v>5.5E-2</v>
      </c>
      <c r="I1416" s="307"/>
      <c r="J1416" s="308"/>
      <c r="K1416" s="309"/>
      <c r="L1416" s="117"/>
      <c r="M1416" s="118"/>
    </row>
    <row r="1417" spans="4:13" ht="25" thickBot="1" x14ac:dyDescent="0.25">
      <c r="E1417" s="250">
        <v>45350</v>
      </c>
      <c r="F1417" s="257">
        <v>5.5E-2</v>
      </c>
      <c r="G1417" s="257" t="s">
        <v>942</v>
      </c>
      <c r="H1417" s="257">
        <v>5.5E-2</v>
      </c>
      <c r="I1417" s="310"/>
      <c r="J1417" s="311"/>
      <c r="K1417" s="312"/>
      <c r="L1417" s="120"/>
      <c r="M1417" s="121"/>
    </row>
    <row r="1418" spans="4:13" ht="25" thickBot="1" x14ac:dyDescent="0.25">
      <c r="D1418">
        <v>4</v>
      </c>
      <c r="E1418" s="252" t="s">
        <v>30</v>
      </c>
      <c r="F1418" s="322" t="s">
        <v>1067</v>
      </c>
      <c r="G1418" s="323"/>
      <c r="H1418" s="324"/>
      <c r="I1418" s="325" t="s">
        <v>633</v>
      </c>
      <c r="J1418" s="326"/>
      <c r="K1418" s="327"/>
      <c r="L1418" s="189" t="s">
        <v>430</v>
      </c>
      <c r="M1418" s="125" t="s">
        <v>431</v>
      </c>
    </row>
    <row r="1419" spans="4:13" ht="24" x14ac:dyDescent="0.2">
      <c r="E1419" s="248" t="s">
        <v>432</v>
      </c>
      <c r="F1419" s="304"/>
      <c r="G1419" s="305"/>
      <c r="H1419" s="306"/>
      <c r="I1419" s="307" t="s">
        <v>1068</v>
      </c>
      <c r="J1419" s="308"/>
      <c r="K1419" s="309"/>
      <c r="L1419" s="117"/>
      <c r="M1419" s="118"/>
    </row>
    <row r="1420" spans="4:13" ht="24" x14ac:dyDescent="0.2">
      <c r="E1420" s="253" t="s">
        <v>433</v>
      </c>
      <c r="F1420" s="335"/>
      <c r="G1420" s="314"/>
      <c r="H1420" s="315"/>
      <c r="I1420" s="307"/>
      <c r="J1420" s="308"/>
      <c r="K1420" s="309"/>
      <c r="L1420" s="117"/>
      <c r="M1420" s="118"/>
    </row>
    <row r="1421" spans="4:13" ht="25" thickBot="1" x14ac:dyDescent="0.25">
      <c r="E1421" s="253" t="s">
        <v>434</v>
      </c>
      <c r="F1421" s="313">
        <v>-6.9999999999999993E-3</v>
      </c>
      <c r="G1421" s="314"/>
      <c r="H1421" s="315"/>
      <c r="I1421" s="307"/>
      <c r="J1421" s="308"/>
      <c r="K1421" s="309"/>
      <c r="L1421" s="117"/>
      <c r="M1421" s="118"/>
    </row>
    <row r="1422" spans="4:13" ht="25" thickBot="1" x14ac:dyDescent="0.25">
      <c r="E1422" s="254" t="s">
        <v>435</v>
      </c>
      <c r="F1422" s="319">
        <v>0.5625</v>
      </c>
      <c r="G1422" s="320"/>
      <c r="H1422" s="321"/>
      <c r="I1422" s="307"/>
      <c r="J1422" s="308"/>
      <c r="K1422" s="309"/>
      <c r="L1422" s="126">
        <v>0.79166666666666663</v>
      </c>
      <c r="M1422" s="127">
        <v>0.6875</v>
      </c>
    </row>
    <row r="1423" spans="4:13" ht="25" thickBot="1" x14ac:dyDescent="0.25">
      <c r="E1423" s="249" t="s">
        <v>436</v>
      </c>
      <c r="F1423" s="255" t="s">
        <v>29</v>
      </c>
      <c r="G1423" s="255" t="s">
        <v>28</v>
      </c>
      <c r="H1423" s="256" t="s">
        <v>27</v>
      </c>
      <c r="I1423" s="307"/>
      <c r="J1423" s="308"/>
      <c r="K1423" s="309"/>
      <c r="L1423" s="117"/>
      <c r="M1423" s="118"/>
    </row>
    <row r="1424" spans="4:13" ht="24" x14ac:dyDescent="0.2">
      <c r="E1424" s="250">
        <v>45590</v>
      </c>
      <c r="F1424" s="257">
        <v>-8.0000000000000002E-3</v>
      </c>
      <c r="G1424" s="257" t="s">
        <v>1110</v>
      </c>
      <c r="H1424" s="257">
        <v>-8.0000000000000002E-3</v>
      </c>
      <c r="I1424" s="307"/>
      <c r="J1424" s="308"/>
      <c r="K1424" s="309"/>
      <c r="L1424" s="117"/>
      <c r="M1424" s="118"/>
    </row>
    <row r="1425" spans="4:13" ht="24" x14ac:dyDescent="0.2">
      <c r="E1425" s="250">
        <v>45561</v>
      </c>
      <c r="F1425" s="257">
        <v>0</v>
      </c>
      <c r="G1425" s="257" t="s">
        <v>778</v>
      </c>
      <c r="H1425" s="257">
        <v>9.9000000000000005E-2</v>
      </c>
      <c r="I1425" s="307"/>
      <c r="J1425" s="308"/>
      <c r="K1425" s="309"/>
      <c r="L1425" s="117"/>
      <c r="M1425" s="118"/>
    </row>
    <row r="1426" spans="4:13" ht="24" x14ac:dyDescent="0.2">
      <c r="E1426" s="250">
        <v>45530</v>
      </c>
      <c r="F1426" s="257">
        <v>9.9000000000000005E-2</v>
      </c>
      <c r="G1426" s="257" t="s">
        <v>630</v>
      </c>
      <c r="H1426" s="257">
        <v>-6.9000000000000006E-2</v>
      </c>
      <c r="I1426" s="307"/>
      <c r="J1426" s="308"/>
      <c r="K1426" s="309"/>
      <c r="L1426" s="119"/>
      <c r="M1426" s="118"/>
    </row>
    <row r="1427" spans="4:13" ht="24" x14ac:dyDescent="0.2">
      <c r="E1427" s="250">
        <v>45498</v>
      </c>
      <c r="F1427" s="257">
        <v>-6.6000000000000003E-2</v>
      </c>
      <c r="G1427" s="257" t="s">
        <v>467</v>
      </c>
      <c r="H1427" s="257">
        <v>1E-3</v>
      </c>
      <c r="I1427" s="307"/>
      <c r="J1427" s="308"/>
      <c r="K1427" s="309"/>
      <c r="L1427" s="117"/>
      <c r="M1427" s="118"/>
    </row>
    <row r="1428" spans="4:13" ht="24" x14ac:dyDescent="0.2">
      <c r="E1428" s="250">
        <v>45470</v>
      </c>
      <c r="F1428" s="257">
        <v>1E-3</v>
      </c>
      <c r="G1428" s="257" t="s">
        <v>782</v>
      </c>
      <c r="H1428" s="257">
        <v>2E-3</v>
      </c>
      <c r="I1428" s="307"/>
      <c r="J1428" s="308"/>
      <c r="K1428" s="309"/>
      <c r="L1428" s="117"/>
      <c r="M1428" s="118"/>
    </row>
    <row r="1429" spans="4:13" ht="25" thickBot="1" x14ac:dyDescent="0.25">
      <c r="E1429" s="250">
        <v>45436</v>
      </c>
      <c r="F1429" s="257">
        <v>7.0000000000000001E-3</v>
      </c>
      <c r="G1429" s="257" t="s">
        <v>784</v>
      </c>
      <c r="H1429" s="257">
        <v>8.0000000000000002E-3</v>
      </c>
      <c r="I1429" s="310"/>
      <c r="J1429" s="311"/>
      <c r="K1429" s="312"/>
      <c r="L1429" s="120"/>
      <c r="M1429" s="121"/>
    </row>
    <row r="1430" spans="4:13" ht="25" thickBot="1" x14ac:dyDescent="0.25">
      <c r="D1430">
        <v>5</v>
      </c>
      <c r="E1430" s="252" t="s">
        <v>30</v>
      </c>
      <c r="F1430" s="322" t="s">
        <v>1069</v>
      </c>
      <c r="G1430" s="323"/>
      <c r="H1430" s="324"/>
      <c r="I1430" s="325" t="s">
        <v>633</v>
      </c>
      <c r="J1430" s="326"/>
      <c r="K1430" s="327"/>
      <c r="L1430" s="189" t="s">
        <v>430</v>
      </c>
      <c r="M1430" s="125" t="s">
        <v>431</v>
      </c>
    </row>
    <row r="1431" spans="4:13" ht="24" x14ac:dyDescent="0.2">
      <c r="E1431" s="248" t="s">
        <v>432</v>
      </c>
      <c r="F1431" s="304"/>
      <c r="G1431" s="305"/>
      <c r="H1431" s="306"/>
      <c r="I1431" s="307" t="s">
        <v>1070</v>
      </c>
      <c r="J1431" s="308"/>
      <c r="K1431" s="309"/>
      <c r="L1431" s="117"/>
      <c r="M1431" s="118"/>
    </row>
    <row r="1432" spans="4:13" ht="24" x14ac:dyDescent="0.2">
      <c r="E1432" s="253" t="s">
        <v>433</v>
      </c>
      <c r="F1432" s="313"/>
      <c r="G1432" s="314"/>
      <c r="H1432" s="315"/>
      <c r="I1432" s="307"/>
      <c r="J1432" s="308"/>
      <c r="K1432" s="309"/>
      <c r="L1432" s="117"/>
      <c r="M1432" s="118"/>
    </row>
    <row r="1433" spans="4:13" ht="25" thickBot="1" x14ac:dyDescent="0.25">
      <c r="E1433" s="253" t="s">
        <v>434</v>
      </c>
      <c r="F1433" s="313">
        <v>2.8000000000000001E-2</v>
      </c>
      <c r="G1433" s="314"/>
      <c r="H1433" s="315"/>
      <c r="I1433" s="307"/>
      <c r="J1433" s="308"/>
      <c r="K1433" s="309"/>
      <c r="L1433" s="117"/>
      <c r="M1433" s="118"/>
    </row>
    <row r="1434" spans="4:13" ht="25" thickBot="1" x14ac:dyDescent="0.25">
      <c r="E1434" s="254" t="s">
        <v>435</v>
      </c>
      <c r="F1434" s="319">
        <v>0.5625</v>
      </c>
      <c r="G1434" s="320"/>
      <c r="H1434" s="321"/>
      <c r="I1434" s="307"/>
      <c r="J1434" s="308"/>
      <c r="K1434" s="309"/>
      <c r="L1434" s="126">
        <v>0.79166666666666663</v>
      </c>
      <c r="M1434" s="127">
        <v>0.64583333333333326</v>
      </c>
    </row>
    <row r="1435" spans="4:13" ht="25" thickBot="1" x14ac:dyDescent="0.25">
      <c r="E1435" s="249" t="s">
        <v>436</v>
      </c>
      <c r="F1435" s="255" t="s">
        <v>29</v>
      </c>
      <c r="G1435" s="255" t="s">
        <v>28</v>
      </c>
      <c r="H1435" s="256" t="s">
        <v>27</v>
      </c>
      <c r="I1435" s="307"/>
      <c r="J1435" s="308"/>
      <c r="K1435" s="309"/>
      <c r="L1435" s="117"/>
      <c r="M1435" s="118"/>
    </row>
    <row r="1436" spans="4:13" ht="24" x14ac:dyDescent="0.2">
      <c r="E1436" s="250">
        <v>45595</v>
      </c>
      <c r="F1436" s="257">
        <v>2.8000000000000001E-2</v>
      </c>
      <c r="G1436" s="257" t="s">
        <v>669</v>
      </c>
      <c r="H1436" s="257">
        <v>0.03</v>
      </c>
      <c r="I1436" s="307"/>
      <c r="J1436" s="308"/>
      <c r="K1436" s="309"/>
      <c r="L1436" s="117"/>
      <c r="M1436" s="118"/>
    </row>
    <row r="1437" spans="4:13" ht="24" x14ac:dyDescent="0.2">
      <c r="E1437" s="250">
        <v>45561</v>
      </c>
      <c r="F1437" s="257">
        <v>0.03</v>
      </c>
      <c r="G1437" s="257" t="s">
        <v>669</v>
      </c>
      <c r="H1437" s="257">
        <v>1.6E-2</v>
      </c>
      <c r="I1437" s="307"/>
      <c r="J1437" s="308"/>
      <c r="K1437" s="309"/>
      <c r="L1437" s="117"/>
      <c r="M1437" s="118"/>
    </row>
    <row r="1438" spans="4:13" ht="24" x14ac:dyDescent="0.2">
      <c r="E1438" s="250">
        <v>45533</v>
      </c>
      <c r="F1438" s="257">
        <v>0.03</v>
      </c>
      <c r="G1438" s="257" t="s">
        <v>666</v>
      </c>
      <c r="H1438" s="257">
        <v>1.4E-2</v>
      </c>
      <c r="I1438" s="307"/>
      <c r="J1438" s="308"/>
      <c r="K1438" s="309"/>
      <c r="L1438" s="119"/>
      <c r="M1438" s="118"/>
    </row>
    <row r="1439" spans="4:13" ht="24" x14ac:dyDescent="0.2">
      <c r="E1439" s="250">
        <v>45498</v>
      </c>
      <c r="F1439" s="257">
        <v>2.8000000000000001E-2</v>
      </c>
      <c r="G1439" s="257" t="s">
        <v>788</v>
      </c>
      <c r="H1439" s="257">
        <v>1.4E-2</v>
      </c>
      <c r="I1439" s="307"/>
      <c r="J1439" s="308"/>
      <c r="K1439" s="309"/>
      <c r="L1439" s="117"/>
      <c r="M1439" s="118"/>
    </row>
    <row r="1440" spans="4:13" ht="24" x14ac:dyDescent="0.2">
      <c r="E1440" s="250">
        <v>45470</v>
      </c>
      <c r="F1440" s="257">
        <v>1.4E-2</v>
      </c>
      <c r="G1440" s="257" t="s">
        <v>889</v>
      </c>
      <c r="H1440" s="257">
        <v>3.4000000000000002E-2</v>
      </c>
      <c r="I1440" s="307"/>
      <c r="J1440" s="308"/>
      <c r="K1440" s="309"/>
      <c r="L1440" s="117"/>
      <c r="M1440" s="118"/>
    </row>
    <row r="1441" spans="4:13" ht="25" thickBot="1" x14ac:dyDescent="0.25">
      <c r="E1441" s="250">
        <v>45442</v>
      </c>
      <c r="F1441" s="257">
        <v>1.2999999999999999E-2</v>
      </c>
      <c r="G1441" s="257" t="s">
        <v>890</v>
      </c>
      <c r="H1441" s="257">
        <v>3.4000000000000002E-2</v>
      </c>
      <c r="I1441" s="310"/>
      <c r="J1441" s="311"/>
      <c r="K1441" s="312"/>
      <c r="L1441" s="120"/>
      <c r="M1441" s="121"/>
    </row>
    <row r="1442" spans="4:13" ht="25" thickBot="1" x14ac:dyDescent="0.25">
      <c r="D1442">
        <v>6</v>
      </c>
      <c r="E1442" s="252" t="s">
        <v>30</v>
      </c>
      <c r="F1442" s="322" t="s">
        <v>14</v>
      </c>
      <c r="G1442" s="323"/>
      <c r="H1442" s="324"/>
      <c r="I1442" s="325" t="s">
        <v>633</v>
      </c>
      <c r="J1442" s="326"/>
      <c r="K1442" s="327"/>
      <c r="L1442" s="189" t="s">
        <v>430</v>
      </c>
      <c r="M1442" s="125" t="s">
        <v>431</v>
      </c>
    </row>
    <row r="1443" spans="4:13" ht="24" x14ac:dyDescent="0.2">
      <c r="E1443" s="248" t="s">
        <v>432</v>
      </c>
      <c r="F1443" s="304"/>
      <c r="G1443" s="305"/>
      <c r="H1443" s="306"/>
      <c r="I1443" s="307" t="s">
        <v>1072</v>
      </c>
      <c r="J1443" s="308"/>
      <c r="K1443" s="309"/>
      <c r="L1443" s="117"/>
      <c r="M1443" s="118"/>
    </row>
    <row r="1444" spans="4:13" ht="24" x14ac:dyDescent="0.2">
      <c r="E1444" s="253" t="s">
        <v>433</v>
      </c>
      <c r="F1444" s="331"/>
      <c r="G1444" s="332"/>
      <c r="H1444" s="333"/>
      <c r="I1444" s="307"/>
      <c r="J1444" s="308"/>
      <c r="K1444" s="309"/>
      <c r="L1444" s="117"/>
      <c r="M1444" s="118"/>
    </row>
    <row r="1445" spans="4:13" ht="25" thickBot="1" x14ac:dyDescent="0.25">
      <c r="E1445" s="253" t="s">
        <v>434</v>
      </c>
      <c r="F1445" s="331" t="s">
        <v>1071</v>
      </c>
      <c r="G1445" s="332"/>
      <c r="H1445" s="333"/>
      <c r="I1445" s="307"/>
      <c r="J1445" s="308"/>
      <c r="K1445" s="309"/>
      <c r="L1445" s="117"/>
      <c r="M1445" s="118"/>
    </row>
    <row r="1446" spans="4:13" ht="25" thickBot="1" x14ac:dyDescent="0.25">
      <c r="E1446" s="254" t="s">
        <v>435</v>
      </c>
      <c r="F1446" s="319">
        <v>0.5625</v>
      </c>
      <c r="G1446" s="320"/>
      <c r="H1446" s="321"/>
      <c r="I1446" s="307"/>
      <c r="J1446" s="308"/>
      <c r="K1446" s="309"/>
      <c r="L1446" s="126">
        <v>0.79166666666666663</v>
      </c>
      <c r="M1446" s="127">
        <v>0.64583333333333326</v>
      </c>
    </row>
    <row r="1447" spans="4:13" ht="25" thickBot="1" x14ac:dyDescent="0.25">
      <c r="E1447" s="249" t="s">
        <v>436</v>
      </c>
      <c r="F1447" s="255" t="s">
        <v>29</v>
      </c>
      <c r="G1447" s="255" t="s">
        <v>28</v>
      </c>
      <c r="H1447" s="256" t="s">
        <v>27</v>
      </c>
      <c r="I1447" s="307"/>
      <c r="J1447" s="308"/>
      <c r="K1447" s="309"/>
      <c r="L1447" s="117"/>
      <c r="M1447" s="118"/>
    </row>
    <row r="1448" spans="4:13" ht="24" x14ac:dyDescent="0.2">
      <c r="E1448" s="250">
        <v>45617</v>
      </c>
      <c r="F1448" s="263" t="s">
        <v>1111</v>
      </c>
      <c r="G1448" s="263" t="s">
        <v>1112</v>
      </c>
      <c r="H1448" s="263" t="s">
        <v>987</v>
      </c>
      <c r="I1448" s="307"/>
      <c r="J1448" s="308"/>
      <c r="K1448" s="309"/>
      <c r="L1448" s="117"/>
      <c r="M1448" s="118"/>
    </row>
    <row r="1449" spans="4:13" ht="24" x14ac:dyDescent="0.2">
      <c r="E1449" s="250">
        <v>45610</v>
      </c>
      <c r="F1449" s="263" t="s">
        <v>1031</v>
      </c>
      <c r="G1449" s="263" t="s">
        <v>1032</v>
      </c>
      <c r="H1449" s="263" t="s">
        <v>972</v>
      </c>
      <c r="I1449" s="307"/>
      <c r="J1449" s="308"/>
      <c r="K1449" s="309"/>
      <c r="L1449" s="117"/>
      <c r="M1449" s="118"/>
    </row>
    <row r="1450" spans="4:13" ht="24" x14ac:dyDescent="0.2">
      <c r="E1450" s="250">
        <v>45603</v>
      </c>
      <c r="F1450" s="263" t="s">
        <v>972</v>
      </c>
      <c r="G1450" s="263" t="s">
        <v>973</v>
      </c>
      <c r="H1450" s="263" t="s">
        <v>974</v>
      </c>
      <c r="I1450" s="307"/>
      <c r="J1450" s="308"/>
      <c r="K1450" s="309"/>
      <c r="L1450" s="119"/>
      <c r="M1450" s="118"/>
    </row>
    <row r="1451" spans="4:13" ht="24" x14ac:dyDescent="0.2">
      <c r="E1451" s="250">
        <v>45596</v>
      </c>
      <c r="F1451" s="263" t="s">
        <v>975</v>
      </c>
      <c r="G1451" s="263" t="s">
        <v>976</v>
      </c>
      <c r="H1451" s="263" t="s">
        <v>977</v>
      </c>
      <c r="I1451" s="307"/>
      <c r="J1451" s="308"/>
      <c r="K1451" s="309"/>
      <c r="L1451" s="117"/>
      <c r="M1451" s="118"/>
    </row>
    <row r="1452" spans="4:13" ht="24" x14ac:dyDescent="0.2">
      <c r="E1452" s="250">
        <v>45589</v>
      </c>
      <c r="F1452" s="263" t="s">
        <v>978</v>
      </c>
      <c r="G1452" s="263" t="s">
        <v>979</v>
      </c>
      <c r="H1452" s="263" t="s">
        <v>980</v>
      </c>
      <c r="I1452" s="307"/>
      <c r="J1452" s="308"/>
      <c r="K1452" s="309"/>
      <c r="L1452" s="117"/>
      <c r="M1452" s="118"/>
    </row>
    <row r="1453" spans="4:13" ht="25" thickBot="1" x14ac:dyDescent="0.25">
      <c r="E1453" s="250">
        <v>45582</v>
      </c>
      <c r="F1453" s="263" t="s">
        <v>981</v>
      </c>
      <c r="G1453" s="263" t="s">
        <v>981</v>
      </c>
      <c r="H1453" s="263" t="s">
        <v>982</v>
      </c>
      <c r="I1453" s="310"/>
      <c r="J1453" s="311"/>
      <c r="K1453" s="312"/>
      <c r="L1453" s="120"/>
      <c r="M1453" s="121"/>
    </row>
    <row r="1454" spans="4:13" ht="25" thickBot="1" x14ac:dyDescent="0.25">
      <c r="D1454" s="89" t="s">
        <v>105</v>
      </c>
      <c r="E1454" s="252" t="s">
        <v>30</v>
      </c>
      <c r="F1454" s="322" t="s">
        <v>1073</v>
      </c>
      <c r="G1454" s="323"/>
      <c r="H1454" s="324"/>
      <c r="I1454" s="325" t="s">
        <v>633</v>
      </c>
      <c r="J1454" s="326"/>
      <c r="K1454" s="327"/>
      <c r="L1454" s="189" t="s">
        <v>430</v>
      </c>
      <c r="M1454" s="125" t="s">
        <v>431</v>
      </c>
    </row>
    <row r="1455" spans="4:13" ht="24" x14ac:dyDescent="0.2">
      <c r="D1455" s="91"/>
      <c r="E1455" s="248" t="s">
        <v>432</v>
      </c>
      <c r="F1455" s="304"/>
      <c r="G1455" s="305"/>
      <c r="H1455" s="306"/>
      <c r="I1455" s="307" t="s">
        <v>1074</v>
      </c>
      <c r="J1455" s="308"/>
      <c r="K1455" s="309"/>
      <c r="L1455" s="117"/>
      <c r="M1455" s="118"/>
    </row>
    <row r="1456" spans="4:13" ht="24" x14ac:dyDescent="0.2">
      <c r="D1456" s="91"/>
      <c r="E1456" s="253" t="s">
        <v>433</v>
      </c>
      <c r="F1456" s="331">
        <v>44.9</v>
      </c>
      <c r="G1456" s="332"/>
      <c r="H1456" s="333"/>
      <c r="I1456" s="307"/>
      <c r="J1456" s="308"/>
      <c r="K1456" s="309"/>
      <c r="L1456" s="117"/>
      <c r="M1456" s="118"/>
    </row>
    <row r="1457" spans="4:13" ht="25" thickBot="1" x14ac:dyDescent="0.25">
      <c r="D1457" s="91"/>
      <c r="E1457" s="253" t="s">
        <v>434</v>
      </c>
      <c r="F1457" s="331">
        <v>41.6</v>
      </c>
      <c r="G1457" s="332"/>
      <c r="H1457" s="333"/>
      <c r="I1457" s="307"/>
      <c r="J1457" s="308"/>
      <c r="K1457" s="309"/>
      <c r="L1457" s="117"/>
      <c r="M1457" s="118"/>
    </row>
    <row r="1458" spans="4:13" ht="25" thickBot="1" x14ac:dyDescent="0.25">
      <c r="D1458" s="91"/>
      <c r="E1458" s="254" t="s">
        <v>435</v>
      </c>
      <c r="F1458" s="319">
        <v>0.61458333333333337</v>
      </c>
      <c r="G1458" s="320"/>
      <c r="H1458" s="321"/>
      <c r="I1458" s="307"/>
      <c r="J1458" s="308"/>
      <c r="K1458" s="309"/>
      <c r="L1458" s="126">
        <v>0.84375</v>
      </c>
      <c r="M1458" s="127">
        <v>0.69791666666666663</v>
      </c>
    </row>
    <row r="1459" spans="4:13" ht="25" thickBot="1" x14ac:dyDescent="0.25">
      <c r="D1459" s="91"/>
      <c r="E1459" s="249" t="s">
        <v>436</v>
      </c>
      <c r="F1459" s="255" t="s">
        <v>29</v>
      </c>
      <c r="G1459" s="255" t="s">
        <v>28</v>
      </c>
      <c r="H1459" s="256" t="s">
        <v>27</v>
      </c>
      <c r="I1459" s="307"/>
      <c r="J1459" s="308"/>
      <c r="K1459" s="309"/>
      <c r="L1459" s="117"/>
      <c r="M1459" s="118"/>
    </row>
    <row r="1460" spans="4:13" ht="24" x14ac:dyDescent="0.2">
      <c r="D1460" s="91"/>
      <c r="E1460" s="250">
        <v>45596</v>
      </c>
      <c r="F1460" s="259" t="s">
        <v>1113</v>
      </c>
      <c r="G1460" s="259" t="s">
        <v>1114</v>
      </c>
      <c r="H1460" s="259" t="s">
        <v>1115</v>
      </c>
      <c r="I1460" s="307"/>
      <c r="J1460" s="308"/>
      <c r="K1460" s="309"/>
      <c r="L1460" s="117"/>
      <c r="M1460" s="118"/>
    </row>
    <row r="1461" spans="4:13" ht="24" x14ac:dyDescent="0.2">
      <c r="D1461" s="91"/>
      <c r="E1461" s="250">
        <v>45565</v>
      </c>
      <c r="F1461" s="259" t="s">
        <v>1115</v>
      </c>
      <c r="G1461" s="259" t="s">
        <v>1116</v>
      </c>
      <c r="H1461" s="259" t="s">
        <v>1116</v>
      </c>
      <c r="I1461" s="307"/>
      <c r="J1461" s="308"/>
      <c r="K1461" s="309"/>
      <c r="L1461" s="117"/>
      <c r="M1461" s="118"/>
    </row>
    <row r="1462" spans="4:13" ht="24" x14ac:dyDescent="0.2">
      <c r="D1462" s="91"/>
      <c r="E1462" s="250">
        <v>45534</v>
      </c>
      <c r="F1462" s="259" t="s">
        <v>1116</v>
      </c>
      <c r="G1462" s="259" t="s">
        <v>1117</v>
      </c>
      <c r="H1462" s="259" t="s">
        <v>1118</v>
      </c>
      <c r="I1462" s="307"/>
      <c r="J1462" s="308"/>
      <c r="K1462" s="309"/>
      <c r="L1462" s="119"/>
      <c r="M1462" s="118"/>
    </row>
    <row r="1463" spans="4:13" ht="24" x14ac:dyDescent="0.2">
      <c r="D1463" s="91"/>
      <c r="E1463" s="250">
        <v>45504</v>
      </c>
      <c r="F1463" s="259" t="s">
        <v>1118</v>
      </c>
      <c r="G1463" s="259" t="s">
        <v>1119</v>
      </c>
      <c r="H1463" s="259" t="s">
        <v>1120</v>
      </c>
      <c r="I1463" s="307"/>
      <c r="J1463" s="308"/>
      <c r="K1463" s="309"/>
      <c r="L1463" s="117"/>
      <c r="M1463" s="118"/>
    </row>
    <row r="1464" spans="4:13" ht="24" x14ac:dyDescent="0.2">
      <c r="D1464" s="91"/>
      <c r="E1464" s="250">
        <v>45471</v>
      </c>
      <c r="F1464" s="259" t="s">
        <v>1120</v>
      </c>
      <c r="G1464" s="259" t="s">
        <v>1121</v>
      </c>
      <c r="H1464" s="259" t="s">
        <v>1122</v>
      </c>
      <c r="I1464" s="307"/>
      <c r="J1464" s="308"/>
      <c r="K1464" s="309"/>
      <c r="L1464" s="117"/>
      <c r="M1464" s="118"/>
    </row>
    <row r="1465" spans="4:13" ht="25" thickBot="1" x14ac:dyDescent="0.25">
      <c r="D1465" s="91"/>
      <c r="E1465" s="250">
        <v>45443</v>
      </c>
      <c r="F1465" s="259" t="s">
        <v>1122</v>
      </c>
      <c r="G1465" s="259" t="s">
        <v>1123</v>
      </c>
      <c r="H1465" s="259" t="s">
        <v>1124</v>
      </c>
      <c r="I1465" s="310"/>
      <c r="J1465" s="311"/>
      <c r="K1465" s="312"/>
      <c r="L1465" s="120"/>
      <c r="M1465" s="121"/>
    </row>
    <row r="1466" spans="4:13" ht="25" thickBot="1" x14ac:dyDescent="0.25">
      <c r="D1466">
        <v>7</v>
      </c>
      <c r="E1466" s="252" t="s">
        <v>30</v>
      </c>
      <c r="F1466" s="322" t="s">
        <v>1075</v>
      </c>
      <c r="G1466" s="323"/>
      <c r="H1466" s="324"/>
      <c r="I1466" s="325" t="s">
        <v>633</v>
      </c>
      <c r="J1466" s="326"/>
      <c r="K1466" s="327"/>
      <c r="L1466" s="189" t="s">
        <v>430</v>
      </c>
      <c r="M1466" s="125" t="s">
        <v>431</v>
      </c>
    </row>
    <row r="1467" spans="4:13" ht="24" x14ac:dyDescent="0.2">
      <c r="D1467" s="91"/>
      <c r="E1467" s="248" t="s">
        <v>432</v>
      </c>
      <c r="F1467" s="304"/>
      <c r="G1467" s="305"/>
      <c r="H1467" s="306"/>
      <c r="I1467" s="307" t="s">
        <v>1076</v>
      </c>
      <c r="J1467" s="308"/>
      <c r="K1467" s="309"/>
      <c r="L1467" s="117"/>
      <c r="M1467" s="118"/>
    </row>
    <row r="1468" spans="4:13" ht="24" x14ac:dyDescent="0.2">
      <c r="D1468" s="91"/>
      <c r="E1468" s="253" t="s">
        <v>433</v>
      </c>
      <c r="F1468" s="331"/>
      <c r="G1468" s="332"/>
      <c r="H1468" s="333"/>
      <c r="I1468" s="307"/>
      <c r="J1468" s="308"/>
      <c r="K1468" s="309"/>
      <c r="L1468" s="117"/>
      <c r="M1468" s="118"/>
    </row>
    <row r="1469" spans="4:13" ht="25" thickBot="1" x14ac:dyDescent="0.25">
      <c r="D1469" s="91"/>
      <c r="E1469" s="253" t="s">
        <v>434</v>
      </c>
      <c r="F1469" s="313">
        <v>2.7E-2</v>
      </c>
      <c r="G1469" s="314"/>
      <c r="H1469" s="315"/>
      <c r="I1469" s="307"/>
      <c r="J1469" s="308"/>
      <c r="K1469" s="309"/>
      <c r="L1469" s="117"/>
      <c r="M1469" s="118"/>
    </row>
    <row r="1470" spans="4:13" ht="25" thickBot="1" x14ac:dyDescent="0.25">
      <c r="D1470" s="91"/>
      <c r="E1470" s="254" t="s">
        <v>435</v>
      </c>
      <c r="F1470" s="319">
        <v>0.5625</v>
      </c>
      <c r="G1470" s="320"/>
      <c r="H1470" s="321"/>
      <c r="I1470" s="307"/>
      <c r="J1470" s="308"/>
      <c r="K1470" s="309"/>
      <c r="L1470" s="126">
        <v>0.79166666666666663</v>
      </c>
      <c r="M1470" s="127">
        <v>0.64583333333333326</v>
      </c>
    </row>
    <row r="1471" spans="4:13" ht="25" thickBot="1" x14ac:dyDescent="0.25">
      <c r="D1471" s="91"/>
      <c r="E1471" s="249" t="s">
        <v>436</v>
      </c>
      <c r="F1471" s="255" t="s">
        <v>29</v>
      </c>
      <c r="G1471" s="255" t="s">
        <v>28</v>
      </c>
      <c r="H1471" s="256" t="s">
        <v>27</v>
      </c>
      <c r="I1471" s="307"/>
      <c r="J1471" s="308"/>
      <c r="K1471" s="309"/>
      <c r="L1471" s="117"/>
      <c r="M1471" s="118"/>
    </row>
    <row r="1472" spans="4:13" ht="24" x14ac:dyDescent="0.2">
      <c r="D1472" s="91"/>
      <c r="E1472" s="250">
        <v>45596</v>
      </c>
      <c r="F1472" s="258">
        <v>2.7E-2</v>
      </c>
      <c r="G1472" s="258" t="s">
        <v>493</v>
      </c>
      <c r="H1472" s="258">
        <v>2.7E-2</v>
      </c>
      <c r="I1472" s="307"/>
      <c r="J1472" s="308"/>
      <c r="K1472" s="309"/>
      <c r="L1472" s="117"/>
      <c r="M1472" s="118"/>
    </row>
    <row r="1473" spans="4:13" ht="24" x14ac:dyDescent="0.2">
      <c r="D1473" s="91"/>
      <c r="E1473" s="250">
        <v>45562</v>
      </c>
      <c r="F1473" s="258">
        <v>2.7E-2</v>
      </c>
      <c r="G1473" s="258" t="s">
        <v>665</v>
      </c>
      <c r="H1473" s="258">
        <v>2.5999999999999999E-2</v>
      </c>
      <c r="I1473" s="307"/>
      <c r="J1473" s="308"/>
      <c r="K1473" s="309"/>
      <c r="L1473" s="117"/>
      <c r="M1473" s="118"/>
    </row>
    <row r="1474" spans="4:13" ht="24" x14ac:dyDescent="0.2">
      <c r="D1474" s="91"/>
      <c r="E1474" s="250">
        <v>45534</v>
      </c>
      <c r="F1474" s="258">
        <v>2.5999999999999999E-2</v>
      </c>
      <c r="G1474" s="258" t="s">
        <v>665</v>
      </c>
      <c r="H1474" s="258">
        <v>2.5999999999999999E-2</v>
      </c>
      <c r="I1474" s="307"/>
      <c r="J1474" s="308"/>
      <c r="K1474" s="309"/>
      <c r="L1474" s="119"/>
      <c r="M1474" s="118"/>
    </row>
    <row r="1475" spans="4:13" ht="24" x14ac:dyDescent="0.2">
      <c r="D1475" s="91"/>
      <c r="E1475" s="250">
        <v>45499</v>
      </c>
      <c r="F1475" s="258">
        <v>2.5999999999999999E-2</v>
      </c>
      <c r="G1475" s="258" t="s">
        <v>495</v>
      </c>
      <c r="H1475" s="258">
        <v>2.5999999999999999E-2</v>
      </c>
      <c r="I1475" s="307"/>
      <c r="J1475" s="308"/>
      <c r="K1475" s="309"/>
      <c r="L1475" s="117"/>
      <c r="M1475" s="118"/>
    </row>
    <row r="1476" spans="4:13" ht="24" x14ac:dyDescent="0.2">
      <c r="D1476" s="91"/>
      <c r="E1476" s="250">
        <v>45471</v>
      </c>
      <c r="F1476" s="258">
        <v>2.5999999999999999E-2</v>
      </c>
      <c r="G1476" s="258" t="s">
        <v>493</v>
      </c>
      <c r="H1476" s="258">
        <v>2.8000000000000001E-2</v>
      </c>
      <c r="I1476" s="307"/>
      <c r="J1476" s="308"/>
      <c r="K1476" s="309"/>
      <c r="L1476" s="117"/>
      <c r="M1476" s="118"/>
    </row>
    <row r="1477" spans="4:13" ht="25" thickBot="1" x14ac:dyDescent="0.25">
      <c r="D1477" s="91"/>
      <c r="E1477" s="250">
        <v>45443</v>
      </c>
      <c r="F1477" s="258">
        <v>2.8000000000000001E-2</v>
      </c>
      <c r="G1477" s="258" t="s">
        <v>666</v>
      </c>
      <c r="H1477" s="258">
        <v>2.8000000000000001E-2</v>
      </c>
      <c r="I1477" s="310"/>
      <c r="J1477" s="311"/>
      <c r="K1477" s="312"/>
      <c r="L1477" s="120"/>
      <c r="M1477" s="121"/>
    </row>
    <row r="1478" spans="4:13" ht="25" thickBot="1" x14ac:dyDescent="0.25">
      <c r="D1478">
        <v>8</v>
      </c>
      <c r="E1478" s="252" t="s">
        <v>30</v>
      </c>
      <c r="F1478" s="322" t="s">
        <v>1077</v>
      </c>
      <c r="G1478" s="323"/>
      <c r="H1478" s="324"/>
      <c r="I1478" s="325" t="s">
        <v>633</v>
      </c>
      <c r="J1478" s="326"/>
      <c r="K1478" s="327"/>
      <c r="L1478" s="189" t="s">
        <v>430</v>
      </c>
      <c r="M1478" s="125" t="s">
        <v>431</v>
      </c>
    </row>
    <row r="1479" spans="4:13" ht="24" x14ac:dyDescent="0.2">
      <c r="D1479" s="91"/>
      <c r="E1479" s="248" t="s">
        <v>432</v>
      </c>
      <c r="F1479" s="304"/>
      <c r="G1479" s="305"/>
      <c r="H1479" s="306"/>
      <c r="I1479" s="307" t="s">
        <v>1076</v>
      </c>
      <c r="J1479" s="308"/>
      <c r="K1479" s="309"/>
      <c r="L1479" s="117"/>
      <c r="M1479" s="118"/>
    </row>
    <row r="1480" spans="4:13" ht="24" x14ac:dyDescent="0.2">
      <c r="D1480" s="91"/>
      <c r="E1480" s="253" t="s">
        <v>433</v>
      </c>
      <c r="F1480" s="328"/>
      <c r="G1480" s="329"/>
      <c r="H1480" s="330"/>
      <c r="I1480" s="307"/>
      <c r="J1480" s="308"/>
      <c r="K1480" s="309"/>
      <c r="L1480" s="117"/>
      <c r="M1480" s="118"/>
    </row>
    <row r="1481" spans="4:13" ht="25" thickBot="1" x14ac:dyDescent="0.25">
      <c r="D1481" s="91"/>
      <c r="E1481" s="253" t="s">
        <v>434</v>
      </c>
      <c r="F1481" s="313">
        <v>3.0000000000000001E-3</v>
      </c>
      <c r="G1481" s="314"/>
      <c r="H1481" s="315"/>
      <c r="I1481" s="307"/>
      <c r="J1481" s="308"/>
      <c r="K1481" s="309"/>
      <c r="L1481" s="117"/>
      <c r="M1481" s="118"/>
    </row>
    <row r="1482" spans="4:13" ht="25" thickBot="1" x14ac:dyDescent="0.25">
      <c r="D1482" s="91"/>
      <c r="E1482" s="254" t="s">
        <v>435</v>
      </c>
      <c r="F1482" s="319">
        <v>0.5625</v>
      </c>
      <c r="G1482" s="320"/>
      <c r="H1482" s="321"/>
      <c r="I1482" s="307"/>
      <c r="J1482" s="308"/>
      <c r="K1482" s="309"/>
      <c r="L1482" s="126">
        <v>0.79166666666666663</v>
      </c>
      <c r="M1482" s="127">
        <v>0.64583333333333326</v>
      </c>
    </row>
    <row r="1483" spans="4:13" ht="25" thickBot="1" x14ac:dyDescent="0.25">
      <c r="D1483" s="91"/>
      <c r="E1483" s="249" t="s">
        <v>436</v>
      </c>
      <c r="F1483" s="255" t="s">
        <v>29</v>
      </c>
      <c r="G1483" s="255" t="s">
        <v>28</v>
      </c>
      <c r="H1483" s="256" t="s">
        <v>27</v>
      </c>
      <c r="I1483" s="307"/>
      <c r="J1483" s="308"/>
      <c r="K1483" s="309"/>
      <c r="L1483" s="117"/>
      <c r="M1483" s="118"/>
    </row>
    <row r="1484" spans="4:13" ht="24" x14ac:dyDescent="0.2">
      <c r="D1484" s="91"/>
      <c r="E1484" s="250">
        <v>45596</v>
      </c>
      <c r="F1484" s="258">
        <v>3.0000000000000001E-3</v>
      </c>
      <c r="G1484" s="258" t="s">
        <v>467</v>
      </c>
      <c r="H1484" s="258">
        <v>2E-3</v>
      </c>
      <c r="I1484" s="307"/>
      <c r="J1484" s="308"/>
      <c r="K1484" s="309"/>
      <c r="L1484" s="117"/>
      <c r="M1484" s="118"/>
    </row>
    <row r="1485" spans="4:13" ht="24" x14ac:dyDescent="0.2">
      <c r="D1485" s="91"/>
      <c r="E1485" s="250">
        <v>45562</v>
      </c>
      <c r="F1485" s="258">
        <v>1E-3</v>
      </c>
      <c r="G1485" s="258" t="s">
        <v>460</v>
      </c>
      <c r="H1485" s="258">
        <v>2E-3</v>
      </c>
      <c r="I1485" s="307"/>
      <c r="J1485" s="308"/>
      <c r="K1485" s="309"/>
      <c r="L1485" s="117"/>
      <c r="M1485" s="118"/>
    </row>
    <row r="1486" spans="4:13" ht="24" x14ac:dyDescent="0.2">
      <c r="D1486" s="91"/>
      <c r="E1486" s="250">
        <v>45534</v>
      </c>
      <c r="F1486" s="258">
        <v>2E-3</v>
      </c>
      <c r="G1486" s="258" t="s">
        <v>460</v>
      </c>
      <c r="H1486" s="258">
        <v>2E-3</v>
      </c>
      <c r="I1486" s="307"/>
      <c r="J1486" s="308"/>
      <c r="K1486" s="309"/>
      <c r="L1486" s="119"/>
      <c r="M1486" s="118"/>
    </row>
    <row r="1487" spans="4:13" ht="24" x14ac:dyDescent="0.2">
      <c r="D1487" s="91"/>
      <c r="E1487" s="250">
        <v>45499</v>
      </c>
      <c r="F1487" s="258">
        <v>2E-3</v>
      </c>
      <c r="G1487" s="258" t="s">
        <v>460</v>
      </c>
      <c r="H1487" s="258">
        <v>1E-3</v>
      </c>
      <c r="I1487" s="307"/>
      <c r="J1487" s="308"/>
      <c r="K1487" s="309"/>
      <c r="L1487" s="117"/>
      <c r="M1487" s="118"/>
    </row>
    <row r="1488" spans="4:13" ht="24" x14ac:dyDescent="0.2">
      <c r="D1488" s="91"/>
      <c r="E1488" s="250">
        <v>45471</v>
      </c>
      <c r="F1488" s="258">
        <v>1E-3</v>
      </c>
      <c r="G1488" s="258" t="s">
        <v>462</v>
      </c>
      <c r="H1488" s="258">
        <v>3.0000000000000001E-3</v>
      </c>
      <c r="I1488" s="307"/>
      <c r="J1488" s="308"/>
      <c r="K1488" s="309"/>
      <c r="L1488" s="117"/>
      <c r="M1488" s="118"/>
    </row>
    <row r="1489" spans="4:13" ht="25" thickBot="1" x14ac:dyDescent="0.25">
      <c r="D1489" s="91"/>
      <c r="E1489" s="250">
        <v>45443</v>
      </c>
      <c r="F1489" s="258">
        <v>2E-3</v>
      </c>
      <c r="G1489" s="258" t="s">
        <v>467</v>
      </c>
      <c r="H1489" s="258">
        <v>3.0000000000000001E-3</v>
      </c>
      <c r="I1489" s="310"/>
      <c r="J1489" s="311"/>
      <c r="K1489" s="312"/>
      <c r="L1489" s="120"/>
      <c r="M1489" s="121"/>
    </row>
    <row r="1490" spans="4:13" ht="25" thickBot="1" x14ac:dyDescent="0.25">
      <c r="D1490">
        <v>9</v>
      </c>
      <c r="E1490" s="252" t="s">
        <v>30</v>
      </c>
      <c r="F1490" s="322" t="s">
        <v>9</v>
      </c>
      <c r="G1490" s="323"/>
      <c r="H1490" s="324"/>
      <c r="I1490" s="334" t="s">
        <v>633</v>
      </c>
      <c r="J1490" s="326"/>
      <c r="K1490" s="327"/>
      <c r="L1490" s="189" t="s">
        <v>430</v>
      </c>
      <c r="M1490" s="125" t="s">
        <v>431</v>
      </c>
    </row>
    <row r="1491" spans="4:13" ht="24" x14ac:dyDescent="0.2">
      <c r="D1491" s="91"/>
      <c r="E1491" s="248" t="s">
        <v>432</v>
      </c>
      <c r="F1491" s="304"/>
      <c r="G1491" s="305"/>
      <c r="H1491" s="306"/>
      <c r="I1491" s="307" t="s">
        <v>1079</v>
      </c>
      <c r="J1491" s="308"/>
      <c r="K1491" s="309"/>
      <c r="L1491" s="117"/>
      <c r="M1491" s="118"/>
    </row>
    <row r="1492" spans="4:13" ht="24" x14ac:dyDescent="0.2">
      <c r="D1492" s="91"/>
      <c r="E1492" s="253" t="s">
        <v>433</v>
      </c>
      <c r="F1492" s="313"/>
      <c r="G1492" s="314"/>
      <c r="H1492" s="315"/>
      <c r="I1492" s="307"/>
      <c r="J1492" s="308"/>
      <c r="K1492" s="309"/>
      <c r="L1492" s="117"/>
      <c r="M1492" s="118"/>
    </row>
    <row r="1493" spans="4:13" ht="25" thickBot="1" x14ac:dyDescent="0.25">
      <c r="D1493" s="91"/>
      <c r="E1493" s="253" t="s">
        <v>434</v>
      </c>
      <c r="F1493" s="316" t="s">
        <v>1078</v>
      </c>
      <c r="G1493" s="317"/>
      <c r="H1493" s="318"/>
      <c r="I1493" s="307"/>
      <c r="J1493" s="308"/>
      <c r="K1493" s="309"/>
      <c r="L1493" s="117"/>
      <c r="M1493" s="118"/>
    </row>
    <row r="1494" spans="4:13" ht="25" thickBot="1" x14ac:dyDescent="0.25">
      <c r="D1494" s="91"/>
      <c r="E1494" s="254" t="s">
        <v>435</v>
      </c>
      <c r="F1494" s="319">
        <v>0.64583333333333337</v>
      </c>
      <c r="G1494" s="320"/>
      <c r="H1494" s="321"/>
      <c r="I1494" s="307"/>
      <c r="J1494" s="308"/>
      <c r="K1494" s="309"/>
      <c r="L1494" s="126">
        <v>0.875</v>
      </c>
      <c r="M1494" s="127">
        <v>0.72916666666666663</v>
      </c>
    </row>
    <row r="1495" spans="4:13" ht="25" thickBot="1" x14ac:dyDescent="0.25">
      <c r="D1495" s="91"/>
      <c r="E1495" s="249" t="s">
        <v>436</v>
      </c>
      <c r="F1495" s="255" t="s">
        <v>29</v>
      </c>
      <c r="G1495" s="255" t="s">
        <v>28</v>
      </c>
      <c r="H1495" s="256" t="s">
        <v>27</v>
      </c>
      <c r="I1495" s="307"/>
      <c r="J1495" s="308"/>
      <c r="K1495" s="309"/>
      <c r="L1495" s="117"/>
      <c r="M1495" s="118"/>
    </row>
    <row r="1496" spans="4:13" ht="24" x14ac:dyDescent="0.2">
      <c r="D1496" s="91"/>
      <c r="E1496" s="250">
        <v>45616</v>
      </c>
      <c r="F1496" s="302" t="s">
        <v>1125</v>
      </c>
      <c r="G1496" s="302" t="s">
        <v>1030</v>
      </c>
      <c r="H1496" s="302" t="s">
        <v>1029</v>
      </c>
      <c r="I1496" s="307"/>
      <c r="J1496" s="308"/>
      <c r="K1496" s="309"/>
      <c r="L1496" s="117"/>
      <c r="M1496" s="262"/>
    </row>
    <row r="1497" spans="4:13" ht="24" x14ac:dyDescent="0.2">
      <c r="D1497" s="91"/>
      <c r="E1497" s="250">
        <v>45610</v>
      </c>
      <c r="F1497" s="302" t="s">
        <v>1029</v>
      </c>
      <c r="G1497" s="302" t="s">
        <v>1030</v>
      </c>
      <c r="H1497" s="302" t="s">
        <v>988</v>
      </c>
      <c r="I1497" s="307"/>
      <c r="J1497" s="308"/>
      <c r="K1497" s="309"/>
      <c r="L1497" s="117"/>
      <c r="M1497" s="118"/>
    </row>
    <row r="1498" spans="4:13" ht="24" x14ac:dyDescent="0.2">
      <c r="D1498" s="91"/>
      <c r="E1498" s="250">
        <v>45602</v>
      </c>
      <c r="F1498" s="302" t="s">
        <v>988</v>
      </c>
      <c r="G1498" s="302" t="s">
        <v>989</v>
      </c>
      <c r="H1498" s="302" t="s">
        <v>990</v>
      </c>
      <c r="I1498" s="307"/>
      <c r="J1498" s="308"/>
      <c r="K1498" s="309"/>
      <c r="L1498" s="119"/>
      <c r="M1498" s="118"/>
    </row>
    <row r="1499" spans="4:13" ht="24" x14ac:dyDescent="0.2">
      <c r="D1499" s="91"/>
      <c r="E1499" s="250">
        <v>45595</v>
      </c>
      <c r="F1499" s="302" t="s">
        <v>990</v>
      </c>
      <c r="G1499" s="302" t="s">
        <v>991</v>
      </c>
      <c r="H1499" s="302" t="s">
        <v>992</v>
      </c>
      <c r="I1499" s="307"/>
      <c r="J1499" s="308"/>
      <c r="K1499" s="309"/>
      <c r="L1499" s="117"/>
      <c r="M1499" s="118"/>
    </row>
    <row r="1500" spans="4:13" ht="24" x14ac:dyDescent="0.2">
      <c r="D1500" s="91"/>
      <c r="E1500" s="250">
        <v>45588</v>
      </c>
      <c r="F1500" s="302" t="s">
        <v>992</v>
      </c>
      <c r="G1500" s="302" t="s">
        <v>993</v>
      </c>
      <c r="H1500" s="302" t="s">
        <v>994</v>
      </c>
      <c r="I1500" s="307"/>
      <c r="J1500" s="308"/>
      <c r="K1500" s="309"/>
      <c r="L1500" s="117"/>
      <c r="M1500" s="118"/>
    </row>
    <row r="1501" spans="4:13" ht="25" thickBot="1" x14ac:dyDescent="0.25">
      <c r="D1501" s="91"/>
      <c r="E1501" s="250">
        <v>45582</v>
      </c>
      <c r="F1501" s="302" t="s">
        <v>994</v>
      </c>
      <c r="G1501" s="302" t="s">
        <v>995</v>
      </c>
      <c r="H1501" s="302" t="s">
        <v>996</v>
      </c>
      <c r="I1501" s="310"/>
      <c r="J1501" s="311"/>
      <c r="K1501" s="312"/>
      <c r="L1501" s="120"/>
      <c r="M1501" s="121"/>
    </row>
    <row r="1502" spans="4:13" ht="25" thickBot="1" x14ac:dyDescent="0.25">
      <c r="D1502">
        <v>11</v>
      </c>
      <c r="E1502" s="252" t="s">
        <v>30</v>
      </c>
      <c r="F1502" s="322" t="s">
        <v>1080</v>
      </c>
      <c r="G1502" s="323"/>
      <c r="H1502" s="324"/>
      <c r="I1502" s="334" t="s">
        <v>633</v>
      </c>
      <c r="J1502" s="326"/>
      <c r="K1502" s="327"/>
      <c r="L1502" s="189" t="s">
        <v>430</v>
      </c>
      <c r="M1502" s="125" t="s">
        <v>431</v>
      </c>
    </row>
    <row r="1503" spans="4:13" ht="24" x14ac:dyDescent="0.2">
      <c r="D1503" s="91"/>
      <c r="E1503" s="248" t="s">
        <v>432</v>
      </c>
      <c r="F1503" s="339"/>
      <c r="G1503" s="340"/>
      <c r="H1503" s="341"/>
      <c r="I1503" s="307" t="s">
        <v>1081</v>
      </c>
      <c r="J1503" s="308"/>
      <c r="K1503" s="309"/>
      <c r="L1503" s="117"/>
      <c r="M1503" s="118"/>
    </row>
    <row r="1504" spans="4:13" ht="24" x14ac:dyDescent="0.2">
      <c r="D1504" s="91"/>
      <c r="E1504" s="253" t="s">
        <v>433</v>
      </c>
      <c r="F1504" s="313"/>
      <c r="G1504" s="314"/>
      <c r="H1504" s="315"/>
      <c r="I1504" s="307"/>
      <c r="J1504" s="308"/>
      <c r="K1504" s="309"/>
      <c r="L1504" s="117"/>
      <c r="M1504" s="118"/>
    </row>
    <row r="1505" spans="4:13" ht="25" thickBot="1" x14ac:dyDescent="0.25">
      <c r="D1505" s="91"/>
      <c r="E1505" s="253" t="s">
        <v>434</v>
      </c>
      <c r="F1505" s="313">
        <v>4.0000000000000001E-3</v>
      </c>
      <c r="G1505" s="314"/>
      <c r="H1505" s="315"/>
      <c r="I1505" s="307"/>
      <c r="J1505" s="308"/>
      <c r="K1505" s="309"/>
      <c r="L1505" s="117"/>
      <c r="M1505" s="118"/>
    </row>
    <row r="1506" spans="4:13" ht="25" thickBot="1" x14ac:dyDescent="0.25">
      <c r="D1506" s="91"/>
      <c r="E1506" s="254" t="s">
        <v>435</v>
      </c>
      <c r="F1506" s="319">
        <v>0.54166666666666674</v>
      </c>
      <c r="G1506" s="320"/>
      <c r="H1506" s="321"/>
      <c r="I1506" s="307"/>
      <c r="J1506" s="308"/>
      <c r="K1506" s="309"/>
      <c r="L1506" s="126">
        <v>0.77083333333333337</v>
      </c>
      <c r="M1506" s="127">
        <v>0.625</v>
      </c>
    </row>
    <row r="1507" spans="4:13" ht="25" thickBot="1" x14ac:dyDescent="0.25">
      <c r="D1507" s="91"/>
      <c r="E1507" s="249" t="s">
        <v>436</v>
      </c>
      <c r="F1507" s="255" t="s">
        <v>29</v>
      </c>
      <c r="G1507" s="255" t="s">
        <v>28</v>
      </c>
      <c r="H1507" s="256" t="s">
        <v>27</v>
      </c>
      <c r="I1507" s="307"/>
      <c r="J1507" s="308"/>
      <c r="K1507" s="309"/>
      <c r="L1507" s="117"/>
      <c r="M1507" s="118"/>
    </row>
    <row r="1508" spans="4:13" ht="24" x14ac:dyDescent="0.2">
      <c r="D1508" s="91"/>
      <c r="E1508" s="250">
        <v>45608</v>
      </c>
      <c r="F1508" s="258">
        <v>4.0000000000000001E-3</v>
      </c>
      <c r="G1508" s="258" t="s">
        <v>452</v>
      </c>
      <c r="H1508" s="258">
        <v>0</v>
      </c>
      <c r="I1508" s="307"/>
      <c r="J1508" s="308"/>
      <c r="K1508" s="309"/>
      <c r="L1508" s="117"/>
      <c r="M1508" s="118"/>
    </row>
    <row r="1509" spans="4:13" ht="24" x14ac:dyDescent="0.2">
      <c r="D1509" s="91"/>
      <c r="E1509" s="250">
        <v>45595</v>
      </c>
      <c r="F1509" s="258">
        <v>4.0000000000000001E-3</v>
      </c>
      <c r="G1509" s="258" t="s">
        <v>460</v>
      </c>
      <c r="H1509" s="258">
        <v>0</v>
      </c>
      <c r="I1509" s="307"/>
      <c r="J1509" s="308"/>
      <c r="K1509" s="309"/>
      <c r="L1509" s="117"/>
      <c r="M1509" s="118"/>
    </row>
    <row r="1510" spans="4:13" ht="24" x14ac:dyDescent="0.2">
      <c r="D1510" s="91"/>
      <c r="E1510" s="250">
        <v>45576</v>
      </c>
      <c r="F1510" s="258">
        <v>0</v>
      </c>
      <c r="G1510" s="258" t="s">
        <v>458</v>
      </c>
      <c r="H1510" s="258">
        <v>-1E-3</v>
      </c>
      <c r="I1510" s="307"/>
      <c r="J1510" s="308"/>
      <c r="K1510" s="309"/>
      <c r="L1510" s="119"/>
      <c r="M1510" s="118"/>
    </row>
    <row r="1511" spans="4:13" ht="24" x14ac:dyDescent="0.2">
      <c r="D1511" s="91"/>
      <c r="E1511" s="250">
        <v>45565</v>
      </c>
      <c r="F1511" s="258">
        <v>0</v>
      </c>
      <c r="G1511" s="258" t="s">
        <v>462</v>
      </c>
      <c r="H1511" s="258">
        <v>-1E-3</v>
      </c>
      <c r="I1511" s="307"/>
      <c r="J1511" s="308"/>
      <c r="K1511" s="309"/>
      <c r="L1511" s="117"/>
      <c r="M1511" s="118"/>
    </row>
    <row r="1512" spans="4:13" ht="25" thickBot="1" x14ac:dyDescent="0.25">
      <c r="D1512" s="91"/>
      <c r="E1512" s="250">
        <v>45545</v>
      </c>
      <c r="F1512" s="258">
        <v>-1E-3</v>
      </c>
      <c r="G1512" s="258" t="s">
        <v>456</v>
      </c>
      <c r="H1512" s="258">
        <v>3.0000000000000001E-3</v>
      </c>
      <c r="I1512" s="307"/>
      <c r="J1512" s="308"/>
      <c r="K1512" s="309"/>
      <c r="L1512" s="117"/>
      <c r="M1512" s="118"/>
    </row>
    <row r="1513" spans="4:13" ht="25" thickBot="1" x14ac:dyDescent="0.25">
      <c r="D1513" s="91"/>
      <c r="E1513" s="250">
        <v>45533</v>
      </c>
      <c r="F1513" s="258">
        <v>-1E-3</v>
      </c>
      <c r="G1513" s="258" t="s">
        <v>458</v>
      </c>
      <c r="H1513" s="258">
        <v>3.0000000000000001E-3</v>
      </c>
      <c r="I1513" s="310"/>
      <c r="J1513" s="311"/>
      <c r="K1513" s="312"/>
      <c r="L1513" s="120"/>
      <c r="M1513" s="121"/>
    </row>
    <row r="1514" spans="4:13" ht="25" thickBot="1" x14ac:dyDescent="0.25">
      <c r="D1514">
        <v>12</v>
      </c>
      <c r="E1514" s="252" t="s">
        <v>30</v>
      </c>
      <c r="F1514" s="322" t="s">
        <v>1082</v>
      </c>
      <c r="G1514" s="323"/>
      <c r="H1514" s="324"/>
      <c r="I1514" s="334" t="s">
        <v>633</v>
      </c>
      <c r="J1514" s="326"/>
      <c r="K1514" s="327"/>
      <c r="L1514" s="189" t="s">
        <v>430</v>
      </c>
      <c r="M1514" s="125" t="s">
        <v>431</v>
      </c>
    </row>
    <row r="1515" spans="4:13" ht="24" x14ac:dyDescent="0.2">
      <c r="D1515" s="91"/>
      <c r="E1515" s="248" t="s">
        <v>432</v>
      </c>
      <c r="F1515" s="339"/>
      <c r="G1515" s="340"/>
      <c r="H1515" s="341"/>
      <c r="I1515" s="307" t="s">
        <v>1083</v>
      </c>
      <c r="J1515" s="308"/>
      <c r="K1515" s="309"/>
      <c r="L1515" s="117"/>
      <c r="M1515" s="118"/>
    </row>
    <row r="1516" spans="4:13" ht="24" x14ac:dyDescent="0.2">
      <c r="D1516" s="91"/>
      <c r="E1516" s="253" t="s">
        <v>433</v>
      </c>
      <c r="F1516" s="313"/>
      <c r="G1516" s="314"/>
      <c r="H1516" s="315"/>
      <c r="I1516" s="307"/>
      <c r="J1516" s="308"/>
      <c r="K1516" s="309"/>
      <c r="L1516" s="117"/>
      <c r="M1516" s="118"/>
    </row>
    <row r="1517" spans="4:13" ht="25" thickBot="1" x14ac:dyDescent="0.25">
      <c r="D1517" s="91"/>
      <c r="E1517" s="253" t="s">
        <v>434</v>
      </c>
      <c r="F1517" s="313">
        <v>7.0000000000000001E-3</v>
      </c>
      <c r="G1517" s="314"/>
      <c r="H1517" s="315"/>
      <c r="I1517" s="307"/>
      <c r="J1517" s="308"/>
      <c r="K1517" s="309"/>
      <c r="L1517" s="117"/>
      <c r="M1517" s="118"/>
    </row>
    <row r="1518" spans="4:13" ht="25" thickBot="1" x14ac:dyDescent="0.25">
      <c r="D1518" s="91"/>
      <c r="E1518" s="254" t="s">
        <v>435</v>
      </c>
      <c r="F1518" s="319">
        <v>0.33333333333333337</v>
      </c>
      <c r="G1518" s="320"/>
      <c r="H1518" s="321"/>
      <c r="I1518" s="307"/>
      <c r="J1518" s="308"/>
      <c r="K1518" s="309"/>
      <c r="L1518" s="126">
        <v>0.5625</v>
      </c>
      <c r="M1518" s="127">
        <v>0.41666666666666663</v>
      </c>
    </row>
    <row r="1519" spans="4:13" ht="25" thickBot="1" x14ac:dyDescent="0.25">
      <c r="D1519" s="91"/>
      <c r="E1519" s="249" t="s">
        <v>436</v>
      </c>
      <c r="F1519" s="255" t="s">
        <v>29</v>
      </c>
      <c r="G1519" s="255" t="s">
        <v>28</v>
      </c>
      <c r="H1519" s="256" t="s">
        <v>27</v>
      </c>
      <c r="I1519" s="307"/>
      <c r="J1519" s="308"/>
      <c r="K1519" s="309"/>
      <c r="L1519" s="117"/>
      <c r="M1519" s="118"/>
    </row>
    <row r="1520" spans="4:13" ht="24" x14ac:dyDescent="0.2">
      <c r="D1520" s="91"/>
      <c r="E1520" s="250">
        <v>45538</v>
      </c>
      <c r="F1520" s="258">
        <v>7.0000000000000001E-3</v>
      </c>
      <c r="G1520" s="258" t="s">
        <v>903</v>
      </c>
      <c r="H1520" s="258">
        <v>5.0000000000000001E-3</v>
      </c>
      <c r="I1520" s="307"/>
      <c r="J1520" s="308"/>
      <c r="K1520" s="309"/>
      <c r="L1520" s="117"/>
      <c r="M1520" s="118"/>
    </row>
    <row r="1521" spans="4:13" ht="24" x14ac:dyDescent="0.2">
      <c r="D1521" s="91"/>
      <c r="E1521" s="250">
        <v>45442</v>
      </c>
      <c r="F1521" s="258">
        <v>5.0000000000000001E-3</v>
      </c>
      <c r="G1521" s="258" t="s">
        <v>467</v>
      </c>
      <c r="H1521" s="258">
        <v>3.0000000000000001E-3</v>
      </c>
      <c r="I1521" s="307"/>
      <c r="J1521" s="308"/>
      <c r="K1521" s="309"/>
      <c r="L1521" s="117"/>
      <c r="M1521" s="118"/>
    </row>
    <row r="1522" spans="4:13" ht="24" x14ac:dyDescent="0.2">
      <c r="D1522" s="91"/>
      <c r="E1522" s="250">
        <v>45351</v>
      </c>
      <c r="F1522" s="258">
        <v>3.0000000000000001E-3</v>
      </c>
      <c r="G1522" s="258" t="s">
        <v>462</v>
      </c>
      <c r="H1522" s="258">
        <v>3.0000000000000001E-3</v>
      </c>
      <c r="I1522" s="307"/>
      <c r="J1522" s="308"/>
      <c r="K1522" s="309"/>
      <c r="L1522" s="119"/>
      <c r="M1522" s="118"/>
    </row>
    <row r="1523" spans="4:13" ht="24" x14ac:dyDescent="0.2">
      <c r="D1523" s="91"/>
      <c r="E1523" s="250">
        <v>45261</v>
      </c>
      <c r="F1523" s="258">
        <v>3.0000000000000001E-3</v>
      </c>
      <c r="G1523" s="258" t="s">
        <v>462</v>
      </c>
      <c r="H1523" s="258">
        <v>-1E-3</v>
      </c>
      <c r="I1523" s="307"/>
      <c r="J1523" s="308"/>
      <c r="K1523" s="309"/>
      <c r="L1523" s="117"/>
      <c r="M1523" s="118"/>
    </row>
    <row r="1524" spans="4:13" ht="24" x14ac:dyDescent="0.2">
      <c r="D1524" s="91"/>
      <c r="E1524" s="250">
        <v>45173</v>
      </c>
      <c r="F1524" s="258">
        <v>0</v>
      </c>
      <c r="G1524" s="258" t="s">
        <v>462</v>
      </c>
      <c r="H1524" s="258">
        <v>3.0000000000000001E-3</v>
      </c>
      <c r="I1524" s="307"/>
      <c r="J1524" s="308"/>
      <c r="K1524" s="309"/>
      <c r="L1524" s="117"/>
      <c r="M1524" s="118"/>
    </row>
    <row r="1525" spans="4:13" ht="25" thickBot="1" x14ac:dyDescent="0.25">
      <c r="D1525" s="91"/>
      <c r="E1525" s="250">
        <v>45076</v>
      </c>
      <c r="F1525" s="258">
        <v>3.0000000000000001E-3</v>
      </c>
      <c r="G1525" s="258" t="s">
        <v>462</v>
      </c>
      <c r="H1525" s="258">
        <v>0</v>
      </c>
      <c r="I1525" s="310"/>
      <c r="J1525" s="311"/>
      <c r="K1525" s="312"/>
      <c r="L1525" s="120"/>
      <c r="M1525" s="121"/>
    </row>
    <row r="1526" spans="4:13" ht="25" thickBot="1" x14ac:dyDescent="0.25">
      <c r="D1526">
        <v>13</v>
      </c>
      <c r="E1526" s="252" t="s">
        <v>30</v>
      </c>
      <c r="F1526" s="322" t="s">
        <v>1084</v>
      </c>
      <c r="G1526" s="323"/>
      <c r="H1526" s="324"/>
      <c r="I1526" s="325" t="s">
        <v>633</v>
      </c>
      <c r="J1526" s="326"/>
      <c r="K1526" s="327"/>
      <c r="L1526" s="189" t="s">
        <v>430</v>
      </c>
      <c r="M1526" s="125" t="s">
        <v>431</v>
      </c>
    </row>
    <row r="1527" spans="4:13" ht="24" x14ac:dyDescent="0.2">
      <c r="D1527" s="91"/>
      <c r="E1527" s="248" t="s">
        <v>432</v>
      </c>
      <c r="F1527" s="304"/>
      <c r="G1527" s="305"/>
      <c r="H1527" s="306"/>
      <c r="I1527" s="307" t="s">
        <v>1085</v>
      </c>
      <c r="J1527" s="308"/>
      <c r="K1527" s="309"/>
      <c r="L1527" s="117"/>
      <c r="M1527" s="118"/>
    </row>
    <row r="1528" spans="4:13" ht="24" x14ac:dyDescent="0.2">
      <c r="D1528" s="91"/>
      <c r="E1528" s="253" t="s">
        <v>433</v>
      </c>
      <c r="F1528" s="313">
        <v>0</v>
      </c>
      <c r="G1528" s="314"/>
      <c r="H1528" s="315"/>
      <c r="I1528" s="307"/>
      <c r="J1528" s="308"/>
      <c r="K1528" s="309"/>
      <c r="L1528" s="117"/>
      <c r="M1528" s="118"/>
    </row>
    <row r="1529" spans="4:13" ht="25" thickBot="1" x14ac:dyDescent="0.25">
      <c r="D1529" s="91"/>
      <c r="E1529" s="253" t="s">
        <v>434</v>
      </c>
      <c r="F1529" s="313">
        <v>0.02</v>
      </c>
      <c r="G1529" s="314"/>
      <c r="H1529" s="315"/>
      <c r="I1529" s="307"/>
      <c r="J1529" s="308"/>
      <c r="K1529" s="309"/>
      <c r="L1529" s="117"/>
      <c r="M1529" s="118"/>
    </row>
    <row r="1530" spans="4:13" ht="25" thickBot="1" x14ac:dyDescent="0.25">
      <c r="D1530" s="91"/>
      <c r="E1530" s="254" t="s">
        <v>435</v>
      </c>
      <c r="F1530" s="319">
        <v>0.41666666666666674</v>
      </c>
      <c r="G1530" s="320"/>
      <c r="H1530" s="321"/>
      <c r="I1530" s="307"/>
      <c r="J1530" s="308"/>
      <c r="K1530" s="309"/>
      <c r="L1530" s="126">
        <v>0.64583333333333337</v>
      </c>
      <c r="M1530" s="127">
        <v>0.5</v>
      </c>
    </row>
    <row r="1531" spans="4:13" ht="25" thickBot="1" x14ac:dyDescent="0.25">
      <c r="D1531" s="91"/>
      <c r="E1531" s="249" t="s">
        <v>436</v>
      </c>
      <c r="F1531" s="255" t="s">
        <v>29</v>
      </c>
      <c r="G1531" s="255" t="s">
        <v>28</v>
      </c>
      <c r="H1531" s="256" t="s">
        <v>27</v>
      </c>
      <c r="I1531" s="307"/>
      <c r="J1531" s="308"/>
      <c r="K1531" s="309"/>
      <c r="L1531" s="117"/>
      <c r="M1531" s="262"/>
    </row>
    <row r="1532" spans="4:13" ht="24" x14ac:dyDescent="0.2">
      <c r="D1532" s="91"/>
      <c r="E1532" s="250">
        <v>45615</v>
      </c>
      <c r="F1532" s="258">
        <v>0.02</v>
      </c>
      <c r="G1532" s="258" t="s">
        <v>788</v>
      </c>
      <c r="H1532" s="258">
        <v>0.02</v>
      </c>
      <c r="I1532" s="307"/>
      <c r="J1532" s="308"/>
      <c r="K1532" s="309"/>
      <c r="L1532" s="117"/>
      <c r="M1532" s="118"/>
    </row>
    <row r="1533" spans="4:13" ht="24" x14ac:dyDescent="0.2">
      <c r="D1533" s="91"/>
      <c r="E1533" s="250">
        <v>45596</v>
      </c>
      <c r="F1533" s="258">
        <v>0.02</v>
      </c>
      <c r="G1533" s="258" t="s">
        <v>789</v>
      </c>
      <c r="H1533" s="258">
        <v>1.7000000000000001E-2</v>
      </c>
      <c r="I1533" s="307"/>
      <c r="J1533" s="308"/>
      <c r="K1533" s="309"/>
      <c r="L1533" s="117"/>
      <c r="M1533" s="118"/>
    </row>
    <row r="1534" spans="4:13" ht="24" x14ac:dyDescent="0.2">
      <c r="D1534" s="91"/>
      <c r="E1534" s="250">
        <v>45582</v>
      </c>
      <c r="F1534" s="258">
        <v>1.7000000000000001E-2</v>
      </c>
      <c r="G1534" s="258" t="s">
        <v>895</v>
      </c>
      <c r="H1534" s="258">
        <v>2.1999999999999999E-2</v>
      </c>
      <c r="I1534" s="307"/>
      <c r="J1534" s="308"/>
      <c r="K1534" s="309"/>
      <c r="L1534" s="119"/>
      <c r="M1534" s="118"/>
    </row>
    <row r="1535" spans="4:13" ht="24" x14ac:dyDescent="0.2">
      <c r="D1535" s="91"/>
      <c r="E1535" s="250">
        <v>45566</v>
      </c>
      <c r="F1535" s="258">
        <v>1.7999999999999999E-2</v>
      </c>
      <c r="G1535" s="258" t="s">
        <v>895</v>
      </c>
      <c r="H1535" s="258">
        <v>2.1999999999999999E-2</v>
      </c>
      <c r="I1535" s="307"/>
      <c r="J1535" s="308"/>
      <c r="K1535" s="309"/>
      <c r="L1535" s="117"/>
      <c r="M1535" s="118"/>
    </row>
    <row r="1536" spans="4:13" ht="24" x14ac:dyDescent="0.2">
      <c r="D1536" s="91"/>
      <c r="E1536" s="250">
        <v>45553</v>
      </c>
      <c r="F1536" s="258">
        <v>2.1999999999999999E-2</v>
      </c>
      <c r="G1536" s="258" t="s">
        <v>490</v>
      </c>
      <c r="H1536" s="258">
        <v>2.5999999999999999E-2</v>
      </c>
      <c r="I1536" s="307"/>
      <c r="J1536" s="308"/>
      <c r="K1536" s="309"/>
      <c r="L1536" s="117"/>
      <c r="M1536" s="118"/>
    </row>
    <row r="1537" spans="4:13" ht="25" thickBot="1" x14ac:dyDescent="0.25">
      <c r="D1537" s="91"/>
      <c r="E1537" s="250">
        <v>45534</v>
      </c>
      <c r="F1537" s="258">
        <v>2.1999999999999999E-2</v>
      </c>
      <c r="G1537" s="258" t="s">
        <v>490</v>
      </c>
      <c r="H1537" s="258">
        <v>2.5999999999999999E-2</v>
      </c>
      <c r="I1537" s="310"/>
      <c r="J1537" s="311"/>
      <c r="K1537" s="312"/>
      <c r="L1537" s="120"/>
      <c r="M1537" s="121"/>
    </row>
    <row r="1538" spans="4:13" ht="25" thickBot="1" x14ac:dyDescent="0.25">
      <c r="D1538">
        <v>15</v>
      </c>
      <c r="E1538" s="252" t="s">
        <v>30</v>
      </c>
      <c r="F1538" s="322" t="s">
        <v>1087</v>
      </c>
      <c r="G1538" s="323"/>
      <c r="H1538" s="324"/>
      <c r="I1538" s="325" t="s">
        <v>633</v>
      </c>
      <c r="J1538" s="326"/>
      <c r="K1538" s="327"/>
      <c r="L1538" s="189" t="s">
        <v>430</v>
      </c>
      <c r="M1538" s="125" t="s">
        <v>431</v>
      </c>
    </row>
    <row r="1539" spans="4:13" ht="24" x14ac:dyDescent="0.2">
      <c r="D1539" s="91"/>
      <c r="E1539" s="248" t="s">
        <v>432</v>
      </c>
      <c r="F1539" s="304"/>
      <c r="G1539" s="305"/>
      <c r="H1539" s="306"/>
      <c r="I1539" s="307" t="s">
        <v>1088</v>
      </c>
      <c r="J1539" s="308"/>
      <c r="K1539" s="309"/>
      <c r="L1539" s="117"/>
      <c r="M1539" s="118"/>
    </row>
    <row r="1540" spans="4:13" ht="24" x14ac:dyDescent="0.2">
      <c r="D1540" s="91"/>
      <c r="E1540" s="253" t="s">
        <v>433</v>
      </c>
      <c r="F1540" s="313"/>
      <c r="G1540" s="314"/>
      <c r="H1540" s="315"/>
      <c r="I1540" s="307"/>
      <c r="J1540" s="308"/>
      <c r="K1540" s="309"/>
      <c r="L1540" s="117"/>
      <c r="M1540" s="118"/>
    </row>
    <row r="1541" spans="4:13" ht="25" thickBot="1" x14ac:dyDescent="0.25">
      <c r="D1541" s="91"/>
      <c r="E1541" s="253" t="s">
        <v>434</v>
      </c>
      <c r="F1541" s="331">
        <v>50.1</v>
      </c>
      <c r="G1541" s="332"/>
      <c r="H1541" s="333"/>
      <c r="I1541" s="307"/>
      <c r="J1541" s="308"/>
      <c r="K1541" s="309"/>
      <c r="L1541" s="117"/>
      <c r="M1541" s="118"/>
    </row>
    <row r="1542" spans="4:13" ht="25" thickBot="1" x14ac:dyDescent="0.25">
      <c r="D1542" s="91"/>
      <c r="E1542" s="254" t="s">
        <v>435</v>
      </c>
      <c r="F1542" s="319">
        <v>6.2500000000000028E-2</v>
      </c>
      <c r="G1542" s="320"/>
      <c r="H1542" s="321"/>
      <c r="I1542" s="307"/>
      <c r="J1542" s="308"/>
      <c r="K1542" s="309"/>
      <c r="L1542" s="126">
        <v>0.29166666666666669</v>
      </c>
      <c r="M1542" s="127">
        <v>0.14583333333333334</v>
      </c>
    </row>
    <row r="1543" spans="4:13" ht="25" thickBot="1" x14ac:dyDescent="0.25">
      <c r="D1543" s="91"/>
      <c r="E1543" s="249" t="s">
        <v>436</v>
      </c>
      <c r="F1543" s="255" t="s">
        <v>29</v>
      </c>
      <c r="G1543" s="255" t="s">
        <v>28</v>
      </c>
      <c r="H1543" s="256" t="s">
        <v>27</v>
      </c>
      <c r="I1543" s="307"/>
      <c r="J1543" s="308"/>
      <c r="K1543" s="309"/>
      <c r="L1543" s="117"/>
      <c r="M1543" s="118"/>
    </row>
    <row r="1544" spans="4:13" ht="24" x14ac:dyDescent="0.2">
      <c r="D1544" s="91"/>
      <c r="E1544" s="250">
        <v>45596</v>
      </c>
      <c r="F1544" s="263">
        <v>50.1</v>
      </c>
      <c r="G1544" s="263" t="s">
        <v>513</v>
      </c>
      <c r="H1544" s="263">
        <v>49.8</v>
      </c>
      <c r="I1544" s="307"/>
      <c r="J1544" s="308"/>
      <c r="K1544" s="309"/>
      <c r="L1544" s="117"/>
      <c r="M1544" s="118"/>
    </row>
    <row r="1545" spans="4:13" ht="24" x14ac:dyDescent="0.2">
      <c r="D1545" s="91"/>
      <c r="E1545" s="250">
        <v>45565</v>
      </c>
      <c r="F1545" s="263">
        <v>49.8</v>
      </c>
      <c r="G1545" s="263" t="s">
        <v>440</v>
      </c>
      <c r="H1545" s="263">
        <v>49.1</v>
      </c>
      <c r="I1545" s="307"/>
      <c r="J1545" s="308"/>
      <c r="K1545" s="309"/>
      <c r="L1545" s="117"/>
      <c r="M1545" s="118"/>
    </row>
    <row r="1546" spans="4:13" ht="24" x14ac:dyDescent="0.2">
      <c r="D1546" s="91"/>
      <c r="E1546" s="250">
        <v>45535</v>
      </c>
      <c r="F1546" s="263">
        <v>49.1</v>
      </c>
      <c r="G1546" s="263" t="s">
        <v>438</v>
      </c>
      <c r="H1546" s="263">
        <v>49.4</v>
      </c>
      <c r="I1546" s="307"/>
      <c r="J1546" s="308"/>
      <c r="K1546" s="309"/>
      <c r="L1546" s="119"/>
      <c r="M1546" s="118"/>
    </row>
    <row r="1547" spans="4:13" ht="24" x14ac:dyDescent="0.2">
      <c r="D1547" s="91"/>
      <c r="E1547" s="250">
        <v>45504</v>
      </c>
      <c r="F1547" s="263">
        <v>49.4</v>
      </c>
      <c r="G1547" s="263" t="s">
        <v>440</v>
      </c>
      <c r="H1547" s="263">
        <v>49.5</v>
      </c>
      <c r="I1547" s="307"/>
      <c r="J1547" s="308"/>
      <c r="K1547" s="309"/>
      <c r="L1547" s="117"/>
      <c r="M1547" s="118"/>
    </row>
    <row r="1548" spans="4:13" ht="24" x14ac:dyDescent="0.2">
      <c r="D1548" s="91"/>
      <c r="E1548" s="250">
        <v>45473</v>
      </c>
      <c r="F1548" s="263">
        <v>49.5</v>
      </c>
      <c r="G1548" s="263" t="s">
        <v>438</v>
      </c>
      <c r="H1548" s="263">
        <v>49.5</v>
      </c>
      <c r="I1548" s="307"/>
      <c r="J1548" s="308"/>
      <c r="K1548" s="309"/>
      <c r="L1548" s="117"/>
      <c r="M1548" s="118"/>
    </row>
    <row r="1549" spans="4:13" ht="25" thickBot="1" x14ac:dyDescent="0.25">
      <c r="D1549" s="91"/>
      <c r="E1549" s="251">
        <v>45443</v>
      </c>
      <c r="F1549" s="264">
        <v>49.5</v>
      </c>
      <c r="G1549" s="264" t="s">
        <v>443</v>
      </c>
      <c r="H1549" s="264">
        <v>50.4</v>
      </c>
      <c r="I1549" s="310"/>
      <c r="J1549" s="311"/>
      <c r="K1549" s="312"/>
      <c r="L1549" s="120"/>
      <c r="M1549" s="121"/>
    </row>
  </sheetData>
  <mergeCells count="886">
    <mergeCell ref="F1539:H1539"/>
    <mergeCell ref="I1539:K1549"/>
    <mergeCell ref="F1540:H1540"/>
    <mergeCell ref="F1541:H1541"/>
    <mergeCell ref="F1542:H1542"/>
    <mergeCell ref="F1370:H1370"/>
    <mergeCell ref="I1370:K1370"/>
    <mergeCell ref="F1371:H1371"/>
    <mergeCell ref="I1371:K1381"/>
    <mergeCell ref="F1372:H1372"/>
    <mergeCell ref="F1373:H1373"/>
    <mergeCell ref="F1374:H1374"/>
    <mergeCell ref="F1382:H1382"/>
    <mergeCell ref="I1382:K1382"/>
    <mergeCell ref="F1383:H1383"/>
    <mergeCell ref="I1383:K1393"/>
    <mergeCell ref="F1384:H1384"/>
    <mergeCell ref="F1538:H1538"/>
    <mergeCell ref="I1538:K1538"/>
    <mergeCell ref="F1515:H1515"/>
    <mergeCell ref="I1515:K1525"/>
    <mergeCell ref="F1516:H1516"/>
    <mergeCell ref="F1517:H1517"/>
    <mergeCell ref="F1518:H1518"/>
    <mergeCell ref="F1526:H1526"/>
    <mergeCell ref="I1526:K1526"/>
    <mergeCell ref="F1527:H1527"/>
    <mergeCell ref="I1527:K1537"/>
    <mergeCell ref="F1528:H1528"/>
    <mergeCell ref="F1529:H1529"/>
    <mergeCell ref="F1530:H1530"/>
    <mergeCell ref="F1502:H1502"/>
    <mergeCell ref="I1502:K1502"/>
    <mergeCell ref="F1503:H1503"/>
    <mergeCell ref="I1503:K1513"/>
    <mergeCell ref="F1504:H1504"/>
    <mergeCell ref="F1505:H1505"/>
    <mergeCell ref="F1506:H1506"/>
    <mergeCell ref="F1514:H1514"/>
    <mergeCell ref="I1514:K1514"/>
    <mergeCell ref="F1491:H1491"/>
    <mergeCell ref="I1491:K1501"/>
    <mergeCell ref="F1492:H1492"/>
    <mergeCell ref="F1493:H1493"/>
    <mergeCell ref="F1494:H1494"/>
    <mergeCell ref="F1478:H1478"/>
    <mergeCell ref="I1478:K1478"/>
    <mergeCell ref="F1479:H1479"/>
    <mergeCell ref="I1479:K1489"/>
    <mergeCell ref="F1480:H1480"/>
    <mergeCell ref="F1481:H1481"/>
    <mergeCell ref="F1482:H1482"/>
    <mergeCell ref="F1490:H1490"/>
    <mergeCell ref="I1490:K1490"/>
    <mergeCell ref="F1455:H1455"/>
    <mergeCell ref="I1455:K1465"/>
    <mergeCell ref="F1456:H1456"/>
    <mergeCell ref="F1457:H1457"/>
    <mergeCell ref="F1458:H1458"/>
    <mergeCell ref="F1466:H1466"/>
    <mergeCell ref="I1466:K1466"/>
    <mergeCell ref="F1467:H1467"/>
    <mergeCell ref="I1467:K1477"/>
    <mergeCell ref="F1468:H1468"/>
    <mergeCell ref="F1469:H1469"/>
    <mergeCell ref="F1470:H1470"/>
    <mergeCell ref="F1442:H1442"/>
    <mergeCell ref="I1442:K1442"/>
    <mergeCell ref="F1443:H1443"/>
    <mergeCell ref="I1443:K1453"/>
    <mergeCell ref="F1444:H1444"/>
    <mergeCell ref="F1445:H1445"/>
    <mergeCell ref="F1446:H1446"/>
    <mergeCell ref="F1454:H1454"/>
    <mergeCell ref="I1454:K1454"/>
    <mergeCell ref="F1419:H1419"/>
    <mergeCell ref="I1419:K1429"/>
    <mergeCell ref="F1420:H1420"/>
    <mergeCell ref="F1421:H1421"/>
    <mergeCell ref="F1422:H1422"/>
    <mergeCell ref="F1430:H1430"/>
    <mergeCell ref="I1430:K1430"/>
    <mergeCell ref="F1431:H1431"/>
    <mergeCell ref="I1431:K1441"/>
    <mergeCell ref="F1432:H1432"/>
    <mergeCell ref="F1433:H1433"/>
    <mergeCell ref="F1434:H1434"/>
    <mergeCell ref="F1406:H1406"/>
    <mergeCell ref="I1406:K1406"/>
    <mergeCell ref="F1407:H1407"/>
    <mergeCell ref="I1407:K1417"/>
    <mergeCell ref="F1408:H1408"/>
    <mergeCell ref="F1409:H1409"/>
    <mergeCell ref="F1410:H1410"/>
    <mergeCell ref="F1418:H1418"/>
    <mergeCell ref="I1418:K1418"/>
    <mergeCell ref="F1385:H1385"/>
    <mergeCell ref="F1386:H1386"/>
    <mergeCell ref="F1394:H1394"/>
    <mergeCell ref="I1394:K1394"/>
    <mergeCell ref="F1395:H1395"/>
    <mergeCell ref="I1395:K1405"/>
    <mergeCell ref="F1396:H1396"/>
    <mergeCell ref="F1397:H1397"/>
    <mergeCell ref="F1398:H1398"/>
    <mergeCell ref="F1226:H1226"/>
    <mergeCell ref="I1226:K1226"/>
    <mergeCell ref="F1227:H1227"/>
    <mergeCell ref="I1227:K1237"/>
    <mergeCell ref="F1228:H1228"/>
    <mergeCell ref="F1229:H1229"/>
    <mergeCell ref="F1230:H1230"/>
    <mergeCell ref="F1203:H1203"/>
    <mergeCell ref="I1203:K1213"/>
    <mergeCell ref="F1204:H1204"/>
    <mergeCell ref="F1205:H1205"/>
    <mergeCell ref="F1206:H1206"/>
    <mergeCell ref="F1214:H1214"/>
    <mergeCell ref="I1214:K1214"/>
    <mergeCell ref="F1215:H1215"/>
    <mergeCell ref="I1215:K1225"/>
    <mergeCell ref="F1216:H1216"/>
    <mergeCell ref="F1217:H1217"/>
    <mergeCell ref="F1218:H1218"/>
    <mergeCell ref="F1190:H1190"/>
    <mergeCell ref="I1190:K1190"/>
    <mergeCell ref="F1191:H1191"/>
    <mergeCell ref="I1191:K1201"/>
    <mergeCell ref="F1192:H1192"/>
    <mergeCell ref="F1193:H1193"/>
    <mergeCell ref="F1194:H1194"/>
    <mergeCell ref="F1202:H1202"/>
    <mergeCell ref="I1202:K1202"/>
    <mergeCell ref="F1167:H1167"/>
    <mergeCell ref="I1167:K1177"/>
    <mergeCell ref="F1168:H1168"/>
    <mergeCell ref="F1169:H1169"/>
    <mergeCell ref="F1170:H1170"/>
    <mergeCell ref="F1178:H1178"/>
    <mergeCell ref="I1178:K1178"/>
    <mergeCell ref="F1179:H1179"/>
    <mergeCell ref="I1179:K1189"/>
    <mergeCell ref="F1180:H1180"/>
    <mergeCell ref="F1181:H1181"/>
    <mergeCell ref="F1182:H1182"/>
    <mergeCell ref="F1154:H1154"/>
    <mergeCell ref="I1154:K1154"/>
    <mergeCell ref="F1155:H1155"/>
    <mergeCell ref="I1155:K1165"/>
    <mergeCell ref="F1156:H1156"/>
    <mergeCell ref="F1157:H1157"/>
    <mergeCell ref="F1158:H1158"/>
    <mergeCell ref="F1166:H1166"/>
    <mergeCell ref="I1166:K1166"/>
    <mergeCell ref="F1131:H1131"/>
    <mergeCell ref="I1131:K1141"/>
    <mergeCell ref="F1132:H1132"/>
    <mergeCell ref="F1133:H1133"/>
    <mergeCell ref="F1134:H1134"/>
    <mergeCell ref="F1142:H1142"/>
    <mergeCell ref="I1142:K1142"/>
    <mergeCell ref="F1143:H1143"/>
    <mergeCell ref="I1143:K1153"/>
    <mergeCell ref="F1144:H1144"/>
    <mergeCell ref="F1145:H1145"/>
    <mergeCell ref="F1146:H1146"/>
    <mergeCell ref="F1118:H1118"/>
    <mergeCell ref="I1118:K1118"/>
    <mergeCell ref="F1119:H1119"/>
    <mergeCell ref="I1119:K1129"/>
    <mergeCell ref="F1120:H1120"/>
    <mergeCell ref="F1121:H1121"/>
    <mergeCell ref="F1122:H1122"/>
    <mergeCell ref="F1130:H1130"/>
    <mergeCell ref="I1130:K1130"/>
    <mergeCell ref="F1095:H1095"/>
    <mergeCell ref="I1095:K1105"/>
    <mergeCell ref="F1096:H1096"/>
    <mergeCell ref="F1097:H1097"/>
    <mergeCell ref="F1098:H1098"/>
    <mergeCell ref="F1106:H1106"/>
    <mergeCell ref="I1106:K1106"/>
    <mergeCell ref="F1107:H1107"/>
    <mergeCell ref="I1107:K1117"/>
    <mergeCell ref="F1108:H1108"/>
    <mergeCell ref="F1109:H1109"/>
    <mergeCell ref="F1110:H1110"/>
    <mergeCell ref="F1082:H1082"/>
    <mergeCell ref="I1082:K1082"/>
    <mergeCell ref="F1083:H1083"/>
    <mergeCell ref="I1083:K1093"/>
    <mergeCell ref="F1084:H1084"/>
    <mergeCell ref="F1085:H1085"/>
    <mergeCell ref="F1086:H1086"/>
    <mergeCell ref="F1094:H1094"/>
    <mergeCell ref="I1094:K1094"/>
    <mergeCell ref="F914:H914"/>
    <mergeCell ref="I914:K914"/>
    <mergeCell ref="F915:H915"/>
    <mergeCell ref="I915:K925"/>
    <mergeCell ref="F916:H916"/>
    <mergeCell ref="F917:H917"/>
    <mergeCell ref="F918:H918"/>
    <mergeCell ref="F554:H554"/>
    <mergeCell ref="I554:K554"/>
    <mergeCell ref="F555:H555"/>
    <mergeCell ref="I555:K565"/>
    <mergeCell ref="F556:H556"/>
    <mergeCell ref="F557:H557"/>
    <mergeCell ref="F558:H558"/>
    <mergeCell ref="F566:H566"/>
    <mergeCell ref="I566:K566"/>
    <mergeCell ref="F567:H567"/>
    <mergeCell ref="I567:K577"/>
    <mergeCell ref="F568:H568"/>
    <mergeCell ref="F569:H569"/>
    <mergeCell ref="F570:H570"/>
    <mergeCell ref="F578:H578"/>
    <mergeCell ref="I578:K578"/>
    <mergeCell ref="F579:H579"/>
    <mergeCell ref="F891:H891"/>
    <mergeCell ref="I891:K901"/>
    <mergeCell ref="F892:H892"/>
    <mergeCell ref="F893:H893"/>
    <mergeCell ref="F894:H894"/>
    <mergeCell ref="F902:H902"/>
    <mergeCell ref="I902:K902"/>
    <mergeCell ref="F903:H903"/>
    <mergeCell ref="I903:K913"/>
    <mergeCell ref="F904:H904"/>
    <mergeCell ref="F905:H905"/>
    <mergeCell ref="F906:H906"/>
    <mergeCell ref="F878:H878"/>
    <mergeCell ref="I878:K878"/>
    <mergeCell ref="F879:H879"/>
    <mergeCell ref="I879:K889"/>
    <mergeCell ref="F880:H880"/>
    <mergeCell ref="F881:H881"/>
    <mergeCell ref="F882:H882"/>
    <mergeCell ref="F890:H890"/>
    <mergeCell ref="I890:K890"/>
    <mergeCell ref="F855:H855"/>
    <mergeCell ref="I855:K865"/>
    <mergeCell ref="F856:H856"/>
    <mergeCell ref="F857:H857"/>
    <mergeCell ref="F858:H858"/>
    <mergeCell ref="F866:H866"/>
    <mergeCell ref="I866:K866"/>
    <mergeCell ref="F867:H867"/>
    <mergeCell ref="I867:K877"/>
    <mergeCell ref="F868:H868"/>
    <mergeCell ref="F869:H869"/>
    <mergeCell ref="F870:H870"/>
    <mergeCell ref="F842:H842"/>
    <mergeCell ref="I842:K842"/>
    <mergeCell ref="F843:H843"/>
    <mergeCell ref="I843:K853"/>
    <mergeCell ref="F844:H844"/>
    <mergeCell ref="F845:H845"/>
    <mergeCell ref="F846:H846"/>
    <mergeCell ref="F854:H854"/>
    <mergeCell ref="I854:K854"/>
    <mergeCell ref="F819:H819"/>
    <mergeCell ref="I819:K829"/>
    <mergeCell ref="F820:H820"/>
    <mergeCell ref="F821:H821"/>
    <mergeCell ref="F822:H822"/>
    <mergeCell ref="F830:H830"/>
    <mergeCell ref="I830:K830"/>
    <mergeCell ref="F831:H831"/>
    <mergeCell ref="I831:K841"/>
    <mergeCell ref="F832:H832"/>
    <mergeCell ref="F833:H833"/>
    <mergeCell ref="F834:H834"/>
    <mergeCell ref="F806:H806"/>
    <mergeCell ref="I806:K806"/>
    <mergeCell ref="F807:H807"/>
    <mergeCell ref="I807:K817"/>
    <mergeCell ref="F808:H808"/>
    <mergeCell ref="F809:H809"/>
    <mergeCell ref="F810:H810"/>
    <mergeCell ref="F818:H818"/>
    <mergeCell ref="I818:K818"/>
    <mergeCell ref="F783:H783"/>
    <mergeCell ref="I783:K793"/>
    <mergeCell ref="F784:H784"/>
    <mergeCell ref="F785:H785"/>
    <mergeCell ref="F786:H786"/>
    <mergeCell ref="F794:H794"/>
    <mergeCell ref="I794:K794"/>
    <mergeCell ref="F795:H795"/>
    <mergeCell ref="I795:K805"/>
    <mergeCell ref="F796:H796"/>
    <mergeCell ref="F797:H797"/>
    <mergeCell ref="F798:H798"/>
    <mergeCell ref="F770:H770"/>
    <mergeCell ref="I770:K770"/>
    <mergeCell ref="F771:H771"/>
    <mergeCell ref="I771:K781"/>
    <mergeCell ref="F772:H772"/>
    <mergeCell ref="F773:H773"/>
    <mergeCell ref="F774:H774"/>
    <mergeCell ref="F782:H782"/>
    <mergeCell ref="I782:K782"/>
    <mergeCell ref="F747:H747"/>
    <mergeCell ref="I747:K757"/>
    <mergeCell ref="F748:H748"/>
    <mergeCell ref="F749:H749"/>
    <mergeCell ref="F750:H750"/>
    <mergeCell ref="F758:H758"/>
    <mergeCell ref="I758:K758"/>
    <mergeCell ref="F759:H759"/>
    <mergeCell ref="I759:K769"/>
    <mergeCell ref="F760:H760"/>
    <mergeCell ref="F761:H761"/>
    <mergeCell ref="F762:H762"/>
    <mergeCell ref="F734:H734"/>
    <mergeCell ref="I734:K734"/>
    <mergeCell ref="F735:H735"/>
    <mergeCell ref="I735:K745"/>
    <mergeCell ref="F736:H736"/>
    <mergeCell ref="F737:H737"/>
    <mergeCell ref="F738:H738"/>
    <mergeCell ref="F746:H746"/>
    <mergeCell ref="I746:K746"/>
    <mergeCell ref="F711:H711"/>
    <mergeCell ref="I711:K721"/>
    <mergeCell ref="F712:H712"/>
    <mergeCell ref="F713:H713"/>
    <mergeCell ref="F714:H714"/>
    <mergeCell ref="F722:H722"/>
    <mergeCell ref="I722:K722"/>
    <mergeCell ref="F723:H723"/>
    <mergeCell ref="I723:K733"/>
    <mergeCell ref="F724:H724"/>
    <mergeCell ref="F725:H725"/>
    <mergeCell ref="F726:H726"/>
    <mergeCell ref="F698:H698"/>
    <mergeCell ref="I698:K698"/>
    <mergeCell ref="F699:H699"/>
    <mergeCell ref="I699:K709"/>
    <mergeCell ref="F700:H700"/>
    <mergeCell ref="F701:H701"/>
    <mergeCell ref="F702:H702"/>
    <mergeCell ref="F710:H710"/>
    <mergeCell ref="I710:K710"/>
    <mergeCell ref="F675:H675"/>
    <mergeCell ref="I675:K685"/>
    <mergeCell ref="F676:H676"/>
    <mergeCell ref="F677:H677"/>
    <mergeCell ref="F678:H678"/>
    <mergeCell ref="F686:H686"/>
    <mergeCell ref="I686:K686"/>
    <mergeCell ref="F687:H687"/>
    <mergeCell ref="I687:K697"/>
    <mergeCell ref="F688:H688"/>
    <mergeCell ref="F689:H689"/>
    <mergeCell ref="F690:H690"/>
    <mergeCell ref="F662:H662"/>
    <mergeCell ref="I662:K662"/>
    <mergeCell ref="F663:H663"/>
    <mergeCell ref="I663:K673"/>
    <mergeCell ref="F664:H664"/>
    <mergeCell ref="F665:H665"/>
    <mergeCell ref="F666:H666"/>
    <mergeCell ref="F674:H674"/>
    <mergeCell ref="I674:K674"/>
    <mergeCell ref="F639:H639"/>
    <mergeCell ref="I639:K649"/>
    <mergeCell ref="F640:H640"/>
    <mergeCell ref="F641:H641"/>
    <mergeCell ref="F642:H642"/>
    <mergeCell ref="F650:H650"/>
    <mergeCell ref="I650:K650"/>
    <mergeCell ref="F651:H651"/>
    <mergeCell ref="I651:K661"/>
    <mergeCell ref="F652:H652"/>
    <mergeCell ref="F653:H653"/>
    <mergeCell ref="F654:H654"/>
    <mergeCell ref="F626:H626"/>
    <mergeCell ref="I626:K626"/>
    <mergeCell ref="F627:H627"/>
    <mergeCell ref="I627:K637"/>
    <mergeCell ref="F628:H628"/>
    <mergeCell ref="F629:H629"/>
    <mergeCell ref="F630:H630"/>
    <mergeCell ref="F638:H638"/>
    <mergeCell ref="I638:K638"/>
    <mergeCell ref="F604:H604"/>
    <mergeCell ref="F605:H605"/>
    <mergeCell ref="F606:H606"/>
    <mergeCell ref="F614:H614"/>
    <mergeCell ref="I614:K614"/>
    <mergeCell ref="F615:H615"/>
    <mergeCell ref="I615:K625"/>
    <mergeCell ref="F616:H616"/>
    <mergeCell ref="F617:H617"/>
    <mergeCell ref="F618:H618"/>
    <mergeCell ref="F17:H17"/>
    <mergeCell ref="F61:H61"/>
    <mergeCell ref="I61:K72"/>
    <mergeCell ref="F62:H62"/>
    <mergeCell ref="F63:H63"/>
    <mergeCell ref="F64:H64"/>
    <mergeCell ref="F65:H65"/>
    <mergeCell ref="F49:H49"/>
    <mergeCell ref="I49:K60"/>
    <mergeCell ref="F50:H50"/>
    <mergeCell ref="F51:H51"/>
    <mergeCell ref="F52:H52"/>
    <mergeCell ref="F53:H53"/>
    <mergeCell ref="F1:H1"/>
    <mergeCell ref="F2:H2"/>
    <mergeCell ref="F3:H3"/>
    <mergeCell ref="F4:H4"/>
    <mergeCell ref="F5:H5"/>
    <mergeCell ref="I1:K1"/>
    <mergeCell ref="I2:K12"/>
    <mergeCell ref="F37:H37"/>
    <mergeCell ref="I37:K48"/>
    <mergeCell ref="F38:H38"/>
    <mergeCell ref="F39:H39"/>
    <mergeCell ref="F40:H40"/>
    <mergeCell ref="F41:H41"/>
    <mergeCell ref="F25:H25"/>
    <mergeCell ref="I25:K36"/>
    <mergeCell ref="F26:H26"/>
    <mergeCell ref="F27:H27"/>
    <mergeCell ref="F28:H28"/>
    <mergeCell ref="F29:H29"/>
    <mergeCell ref="F13:H13"/>
    <mergeCell ref="I13:K24"/>
    <mergeCell ref="F14:H14"/>
    <mergeCell ref="F15:H15"/>
    <mergeCell ref="F16:H16"/>
    <mergeCell ref="F86:H86"/>
    <mergeCell ref="F87:H87"/>
    <mergeCell ref="F88:H88"/>
    <mergeCell ref="F89:H89"/>
    <mergeCell ref="F73:H73"/>
    <mergeCell ref="I73:K84"/>
    <mergeCell ref="F74:H74"/>
    <mergeCell ref="F75:H75"/>
    <mergeCell ref="F76:H76"/>
    <mergeCell ref="F77:H77"/>
    <mergeCell ref="F85:H85"/>
    <mergeCell ref="I85:K96"/>
    <mergeCell ref="F109:H109"/>
    <mergeCell ref="I109:K120"/>
    <mergeCell ref="F110:H110"/>
    <mergeCell ref="F111:H111"/>
    <mergeCell ref="F112:H112"/>
    <mergeCell ref="F113:H113"/>
    <mergeCell ref="F97:H97"/>
    <mergeCell ref="I97:K108"/>
    <mergeCell ref="F98:H98"/>
    <mergeCell ref="F99:H99"/>
    <mergeCell ref="F100:H100"/>
    <mergeCell ref="F101:H101"/>
    <mergeCell ref="F133:H133"/>
    <mergeCell ref="I133:K144"/>
    <mergeCell ref="F134:H134"/>
    <mergeCell ref="F135:H135"/>
    <mergeCell ref="F136:H136"/>
    <mergeCell ref="F137:H137"/>
    <mergeCell ref="F121:H121"/>
    <mergeCell ref="I121:K132"/>
    <mergeCell ref="F122:H122"/>
    <mergeCell ref="F123:H123"/>
    <mergeCell ref="F124:H124"/>
    <mergeCell ref="F125:H125"/>
    <mergeCell ref="F157:H157"/>
    <mergeCell ref="I157:K168"/>
    <mergeCell ref="F158:H158"/>
    <mergeCell ref="F159:H159"/>
    <mergeCell ref="F160:H160"/>
    <mergeCell ref="F161:H161"/>
    <mergeCell ref="F145:H145"/>
    <mergeCell ref="I145:K156"/>
    <mergeCell ref="F146:H146"/>
    <mergeCell ref="F147:H147"/>
    <mergeCell ref="F148:H148"/>
    <mergeCell ref="F149:H149"/>
    <mergeCell ref="F181:H181"/>
    <mergeCell ref="I181:K192"/>
    <mergeCell ref="F182:H182"/>
    <mergeCell ref="F183:H183"/>
    <mergeCell ref="F184:H184"/>
    <mergeCell ref="F185:H185"/>
    <mergeCell ref="F169:H169"/>
    <mergeCell ref="I169:K180"/>
    <mergeCell ref="F170:H170"/>
    <mergeCell ref="F171:H171"/>
    <mergeCell ref="F172:H172"/>
    <mergeCell ref="F173:H173"/>
    <mergeCell ref="F229:H229"/>
    <mergeCell ref="I229:K240"/>
    <mergeCell ref="F230:H230"/>
    <mergeCell ref="F231:H231"/>
    <mergeCell ref="F232:H232"/>
    <mergeCell ref="F233:H233"/>
    <mergeCell ref="F217:H217"/>
    <mergeCell ref="I217:K228"/>
    <mergeCell ref="F218:H218"/>
    <mergeCell ref="F219:H219"/>
    <mergeCell ref="F220:H220"/>
    <mergeCell ref="F221:H221"/>
    <mergeCell ref="F205:H205"/>
    <mergeCell ref="I205:K216"/>
    <mergeCell ref="F206:H206"/>
    <mergeCell ref="F207:H207"/>
    <mergeCell ref="F208:H208"/>
    <mergeCell ref="F209:H209"/>
    <mergeCell ref="F193:H193"/>
    <mergeCell ref="I193:K204"/>
    <mergeCell ref="F194:H194"/>
    <mergeCell ref="F195:H195"/>
    <mergeCell ref="F196:H196"/>
    <mergeCell ref="F197:H197"/>
    <mergeCell ref="F241:H241"/>
    <mergeCell ref="I241:K241"/>
    <mergeCell ref="F242:H242"/>
    <mergeCell ref="I242:K252"/>
    <mergeCell ref="F243:H243"/>
    <mergeCell ref="F244:H244"/>
    <mergeCell ref="F245:H245"/>
    <mergeCell ref="F253:H253"/>
    <mergeCell ref="I253:K253"/>
    <mergeCell ref="F254:H254"/>
    <mergeCell ref="I254:K264"/>
    <mergeCell ref="F255:H255"/>
    <mergeCell ref="F256:H256"/>
    <mergeCell ref="F257:H257"/>
    <mergeCell ref="F265:H265"/>
    <mergeCell ref="I265:K265"/>
    <mergeCell ref="F266:H266"/>
    <mergeCell ref="I266:K276"/>
    <mergeCell ref="F267:H267"/>
    <mergeCell ref="F268:H268"/>
    <mergeCell ref="F269:H269"/>
    <mergeCell ref="F277:H277"/>
    <mergeCell ref="I277:K277"/>
    <mergeCell ref="F278:H278"/>
    <mergeCell ref="I278:K288"/>
    <mergeCell ref="F279:H279"/>
    <mergeCell ref="F280:H280"/>
    <mergeCell ref="F281:H281"/>
    <mergeCell ref="F289:H289"/>
    <mergeCell ref="I289:K289"/>
    <mergeCell ref="F290:H290"/>
    <mergeCell ref="I290:K300"/>
    <mergeCell ref="F291:H291"/>
    <mergeCell ref="F292:H292"/>
    <mergeCell ref="F293:H293"/>
    <mergeCell ref="F301:H301"/>
    <mergeCell ref="I301:K301"/>
    <mergeCell ref="F302:H302"/>
    <mergeCell ref="I302:K312"/>
    <mergeCell ref="F303:H303"/>
    <mergeCell ref="F304:H304"/>
    <mergeCell ref="F305:H305"/>
    <mergeCell ref="F313:H313"/>
    <mergeCell ref="I313:K313"/>
    <mergeCell ref="F314:H314"/>
    <mergeCell ref="I314:K324"/>
    <mergeCell ref="F315:H315"/>
    <mergeCell ref="F316:H316"/>
    <mergeCell ref="F317:H317"/>
    <mergeCell ref="F325:H325"/>
    <mergeCell ref="I325:K325"/>
    <mergeCell ref="F326:H326"/>
    <mergeCell ref="I326:K336"/>
    <mergeCell ref="F327:H327"/>
    <mergeCell ref="F328:H328"/>
    <mergeCell ref="F329:H329"/>
    <mergeCell ref="F337:H337"/>
    <mergeCell ref="I337:K337"/>
    <mergeCell ref="F338:H338"/>
    <mergeCell ref="I338:K348"/>
    <mergeCell ref="F339:H339"/>
    <mergeCell ref="F340:H340"/>
    <mergeCell ref="F341:H341"/>
    <mergeCell ref="F349:H349"/>
    <mergeCell ref="I349:K349"/>
    <mergeCell ref="F350:H350"/>
    <mergeCell ref="I350:K360"/>
    <mergeCell ref="F351:H351"/>
    <mergeCell ref="F352:H352"/>
    <mergeCell ref="F353:H353"/>
    <mergeCell ref="F361:H361"/>
    <mergeCell ref="I361:K361"/>
    <mergeCell ref="F362:H362"/>
    <mergeCell ref="I362:K372"/>
    <mergeCell ref="F363:H363"/>
    <mergeCell ref="F364:H364"/>
    <mergeCell ref="F365:H365"/>
    <mergeCell ref="F373:H373"/>
    <mergeCell ref="I373:K373"/>
    <mergeCell ref="F374:H374"/>
    <mergeCell ref="I374:K384"/>
    <mergeCell ref="F375:H375"/>
    <mergeCell ref="F376:H376"/>
    <mergeCell ref="F377:H377"/>
    <mergeCell ref="F385:H385"/>
    <mergeCell ref="I385:K385"/>
    <mergeCell ref="F386:H386"/>
    <mergeCell ref="I386:K396"/>
    <mergeCell ref="F387:H387"/>
    <mergeCell ref="F388:H388"/>
    <mergeCell ref="F389:H389"/>
    <mergeCell ref="F397:H397"/>
    <mergeCell ref="I397:K397"/>
    <mergeCell ref="F421:H421"/>
    <mergeCell ref="I421:K421"/>
    <mergeCell ref="F398:H398"/>
    <mergeCell ref="I398:K408"/>
    <mergeCell ref="F399:H399"/>
    <mergeCell ref="F400:H400"/>
    <mergeCell ref="F401:H401"/>
    <mergeCell ref="F409:H409"/>
    <mergeCell ref="I409:K409"/>
    <mergeCell ref="F410:H410"/>
    <mergeCell ref="I410:K420"/>
    <mergeCell ref="F411:H411"/>
    <mergeCell ref="F412:H412"/>
    <mergeCell ref="F413:H413"/>
    <mergeCell ref="F422:H422"/>
    <mergeCell ref="I422:K422"/>
    <mergeCell ref="F423:H423"/>
    <mergeCell ref="I423:K433"/>
    <mergeCell ref="F424:H424"/>
    <mergeCell ref="F425:H425"/>
    <mergeCell ref="F426:H426"/>
    <mergeCell ref="F434:H434"/>
    <mergeCell ref="I434:K434"/>
    <mergeCell ref="F435:H435"/>
    <mergeCell ref="I435:K445"/>
    <mergeCell ref="F436:H436"/>
    <mergeCell ref="F437:H437"/>
    <mergeCell ref="F438:H438"/>
    <mergeCell ref="F446:H446"/>
    <mergeCell ref="I446:K446"/>
    <mergeCell ref="F447:H447"/>
    <mergeCell ref="I447:K457"/>
    <mergeCell ref="F448:H448"/>
    <mergeCell ref="F449:H449"/>
    <mergeCell ref="F450:H450"/>
    <mergeCell ref="F458:H458"/>
    <mergeCell ref="I458:K458"/>
    <mergeCell ref="F459:H459"/>
    <mergeCell ref="I459:K469"/>
    <mergeCell ref="F460:H460"/>
    <mergeCell ref="F461:H461"/>
    <mergeCell ref="F462:H462"/>
    <mergeCell ref="F470:H470"/>
    <mergeCell ref="I470:K470"/>
    <mergeCell ref="F471:H471"/>
    <mergeCell ref="I471:K481"/>
    <mergeCell ref="F472:H472"/>
    <mergeCell ref="F473:H473"/>
    <mergeCell ref="F474:H474"/>
    <mergeCell ref="F482:H482"/>
    <mergeCell ref="I482:K482"/>
    <mergeCell ref="F483:H483"/>
    <mergeCell ref="I483:K493"/>
    <mergeCell ref="F484:H484"/>
    <mergeCell ref="F485:H485"/>
    <mergeCell ref="F486:H486"/>
    <mergeCell ref="F494:H494"/>
    <mergeCell ref="I494:K494"/>
    <mergeCell ref="F495:H495"/>
    <mergeCell ref="I495:K505"/>
    <mergeCell ref="F496:H496"/>
    <mergeCell ref="F497:H497"/>
    <mergeCell ref="F498:H498"/>
    <mergeCell ref="F506:H506"/>
    <mergeCell ref="I506:K506"/>
    <mergeCell ref="F507:H507"/>
    <mergeCell ref="I507:K517"/>
    <mergeCell ref="F508:H508"/>
    <mergeCell ref="F509:H509"/>
    <mergeCell ref="F510:H510"/>
    <mergeCell ref="F518:H518"/>
    <mergeCell ref="I518:K518"/>
    <mergeCell ref="F519:H519"/>
    <mergeCell ref="I519:K529"/>
    <mergeCell ref="F520:H520"/>
    <mergeCell ref="F521:H521"/>
    <mergeCell ref="F522:H522"/>
    <mergeCell ref="F530:H530"/>
    <mergeCell ref="I530:K530"/>
    <mergeCell ref="F531:H531"/>
    <mergeCell ref="I531:K541"/>
    <mergeCell ref="F532:H532"/>
    <mergeCell ref="F533:H533"/>
    <mergeCell ref="F534:H534"/>
    <mergeCell ref="F542:H542"/>
    <mergeCell ref="I542:K542"/>
    <mergeCell ref="I951:K961"/>
    <mergeCell ref="F952:H952"/>
    <mergeCell ref="F953:H953"/>
    <mergeCell ref="F954:H954"/>
    <mergeCell ref="F543:H543"/>
    <mergeCell ref="I543:K553"/>
    <mergeCell ref="F544:H544"/>
    <mergeCell ref="F545:H545"/>
    <mergeCell ref="F546:H546"/>
    <mergeCell ref="I579:K589"/>
    <mergeCell ref="F580:H580"/>
    <mergeCell ref="F581:H581"/>
    <mergeCell ref="F582:H582"/>
    <mergeCell ref="F590:H590"/>
    <mergeCell ref="I590:K590"/>
    <mergeCell ref="F591:H591"/>
    <mergeCell ref="I591:K601"/>
    <mergeCell ref="F592:H592"/>
    <mergeCell ref="F593:H593"/>
    <mergeCell ref="F594:H594"/>
    <mergeCell ref="F602:H602"/>
    <mergeCell ref="I602:K602"/>
    <mergeCell ref="F603:H603"/>
    <mergeCell ref="I603:K613"/>
    <mergeCell ref="F962:H962"/>
    <mergeCell ref="I962:K962"/>
    <mergeCell ref="F963:H963"/>
    <mergeCell ref="I963:K973"/>
    <mergeCell ref="F964:H964"/>
    <mergeCell ref="F965:H965"/>
    <mergeCell ref="F966:H966"/>
    <mergeCell ref="F974:H974"/>
    <mergeCell ref="I974:K974"/>
    <mergeCell ref="F975:H975"/>
    <mergeCell ref="I975:K985"/>
    <mergeCell ref="F976:H976"/>
    <mergeCell ref="F977:H977"/>
    <mergeCell ref="F978:H978"/>
    <mergeCell ref="F986:H986"/>
    <mergeCell ref="I986:K986"/>
    <mergeCell ref="F987:H987"/>
    <mergeCell ref="I987:K997"/>
    <mergeCell ref="F988:H988"/>
    <mergeCell ref="F989:H989"/>
    <mergeCell ref="F990:H990"/>
    <mergeCell ref="F998:H998"/>
    <mergeCell ref="I998:K998"/>
    <mergeCell ref="F999:H999"/>
    <mergeCell ref="I999:K1009"/>
    <mergeCell ref="F1000:H1000"/>
    <mergeCell ref="F1001:H1001"/>
    <mergeCell ref="F1002:H1002"/>
    <mergeCell ref="F1010:H1010"/>
    <mergeCell ref="I1010:K1010"/>
    <mergeCell ref="F1011:H1011"/>
    <mergeCell ref="I1011:K1021"/>
    <mergeCell ref="F1012:H1012"/>
    <mergeCell ref="F1013:H1013"/>
    <mergeCell ref="F1014:H1014"/>
    <mergeCell ref="F1022:H1022"/>
    <mergeCell ref="I1022:K1022"/>
    <mergeCell ref="F1023:H1023"/>
    <mergeCell ref="I1023:K1033"/>
    <mergeCell ref="F1024:H1024"/>
    <mergeCell ref="F1025:H1025"/>
    <mergeCell ref="F1026:H1026"/>
    <mergeCell ref="F1034:H1034"/>
    <mergeCell ref="I1034:K1034"/>
    <mergeCell ref="F1035:H1035"/>
    <mergeCell ref="I1035:K1045"/>
    <mergeCell ref="F1036:H1036"/>
    <mergeCell ref="F1037:H1037"/>
    <mergeCell ref="F1038:H1038"/>
    <mergeCell ref="F1046:H1046"/>
    <mergeCell ref="I1046:K1046"/>
    <mergeCell ref="F1047:H1047"/>
    <mergeCell ref="I1047:K1057"/>
    <mergeCell ref="F1048:H1048"/>
    <mergeCell ref="F1049:H1049"/>
    <mergeCell ref="F1050:H1050"/>
    <mergeCell ref="F1058:H1058"/>
    <mergeCell ref="I1058:K1058"/>
    <mergeCell ref="F1059:H1059"/>
    <mergeCell ref="I1059:K1069"/>
    <mergeCell ref="F1060:H1060"/>
    <mergeCell ref="F1061:H1061"/>
    <mergeCell ref="F1062:H1062"/>
    <mergeCell ref="F1070:H1070"/>
    <mergeCell ref="I1070:K1070"/>
    <mergeCell ref="F1071:H1071"/>
    <mergeCell ref="I1071:K1081"/>
    <mergeCell ref="F1072:H1072"/>
    <mergeCell ref="F1073:H1073"/>
    <mergeCell ref="F1074:H1074"/>
    <mergeCell ref="F926:H926"/>
    <mergeCell ref="I926:K926"/>
    <mergeCell ref="F927:H927"/>
    <mergeCell ref="I927:K937"/>
    <mergeCell ref="F928:H928"/>
    <mergeCell ref="F929:H929"/>
    <mergeCell ref="F930:H930"/>
    <mergeCell ref="F938:H938"/>
    <mergeCell ref="I938:K938"/>
    <mergeCell ref="F939:H939"/>
    <mergeCell ref="I939:K949"/>
    <mergeCell ref="F940:H940"/>
    <mergeCell ref="F941:H941"/>
    <mergeCell ref="F942:H942"/>
    <mergeCell ref="F950:H950"/>
    <mergeCell ref="I950:K950"/>
    <mergeCell ref="F951:H951"/>
    <mergeCell ref="F1238:H1238"/>
    <mergeCell ref="I1238:K1238"/>
    <mergeCell ref="F1239:H1239"/>
    <mergeCell ref="I1239:K1249"/>
    <mergeCell ref="F1240:H1240"/>
    <mergeCell ref="F1241:H1241"/>
    <mergeCell ref="F1242:H1242"/>
    <mergeCell ref="F1250:H1250"/>
    <mergeCell ref="I1250:K1250"/>
    <mergeCell ref="F1251:H1251"/>
    <mergeCell ref="I1251:K1261"/>
    <mergeCell ref="F1252:H1252"/>
    <mergeCell ref="F1253:H1253"/>
    <mergeCell ref="F1254:H1254"/>
    <mergeCell ref="F1262:H1262"/>
    <mergeCell ref="I1262:K1262"/>
    <mergeCell ref="F1263:H1263"/>
    <mergeCell ref="I1263:K1273"/>
    <mergeCell ref="F1264:H1264"/>
    <mergeCell ref="F1265:H1265"/>
    <mergeCell ref="F1266:H1266"/>
    <mergeCell ref="F1274:H1274"/>
    <mergeCell ref="I1274:K1274"/>
    <mergeCell ref="F1275:H1275"/>
    <mergeCell ref="I1275:K1285"/>
    <mergeCell ref="F1276:H1276"/>
    <mergeCell ref="F1277:H1277"/>
    <mergeCell ref="F1278:H1278"/>
    <mergeCell ref="F1286:H1286"/>
    <mergeCell ref="I1286:K1286"/>
    <mergeCell ref="F1287:H1287"/>
    <mergeCell ref="I1287:K1297"/>
    <mergeCell ref="F1288:H1288"/>
    <mergeCell ref="F1289:H1289"/>
    <mergeCell ref="F1290:H1290"/>
    <mergeCell ref="F1298:H1298"/>
    <mergeCell ref="I1298:K1298"/>
    <mergeCell ref="F1299:H1299"/>
    <mergeCell ref="I1299:K1309"/>
    <mergeCell ref="F1300:H1300"/>
    <mergeCell ref="F1301:H1301"/>
    <mergeCell ref="F1302:H1302"/>
    <mergeCell ref="F1310:H1310"/>
    <mergeCell ref="I1310:K1310"/>
    <mergeCell ref="F1311:H1311"/>
    <mergeCell ref="I1311:K1321"/>
    <mergeCell ref="F1312:H1312"/>
    <mergeCell ref="F1313:H1313"/>
    <mergeCell ref="F1314:H1314"/>
    <mergeCell ref="F1322:H1322"/>
    <mergeCell ref="I1322:K1322"/>
    <mergeCell ref="F1323:H1323"/>
    <mergeCell ref="I1323:K1333"/>
    <mergeCell ref="F1324:H1324"/>
    <mergeCell ref="F1325:H1325"/>
    <mergeCell ref="F1326:H1326"/>
    <mergeCell ref="F1334:H1334"/>
    <mergeCell ref="I1334:K1334"/>
    <mergeCell ref="F1335:H1335"/>
    <mergeCell ref="I1335:K1345"/>
    <mergeCell ref="F1336:H1336"/>
    <mergeCell ref="F1337:H1337"/>
    <mergeCell ref="F1338:H1338"/>
    <mergeCell ref="F1359:H1359"/>
    <mergeCell ref="I1359:K1369"/>
    <mergeCell ref="F1360:H1360"/>
    <mergeCell ref="F1361:H1361"/>
    <mergeCell ref="F1362:H1362"/>
    <mergeCell ref="F1346:H1346"/>
    <mergeCell ref="I1346:K1346"/>
    <mergeCell ref="F1347:H1347"/>
    <mergeCell ref="I1347:K1357"/>
    <mergeCell ref="F1348:H1348"/>
    <mergeCell ref="F1349:H1349"/>
    <mergeCell ref="F1350:H1350"/>
    <mergeCell ref="F1358:H1358"/>
    <mergeCell ref="I1358:K1358"/>
  </mergeCells>
  <conditionalFormatting sqref="F500">
    <cfRule type="cellIs" dxfId="20" priority="9" operator="greaterThan">
      <formula>$E$79</formula>
    </cfRule>
  </conditionalFormatting>
  <conditionalFormatting sqref="F656">
    <cfRule type="cellIs" dxfId="19" priority="8" operator="greaterThan">
      <formula>$E$103</formula>
    </cfRule>
  </conditionalFormatting>
  <conditionalFormatting sqref="F1052">
    <cfRule type="cellIs" dxfId="18" priority="7" operator="greaterThan">
      <formula>$E$127</formula>
    </cfRule>
  </conditionalFormatting>
  <conditionalFormatting sqref="F1208">
    <cfRule type="cellIs" dxfId="17" priority="6" operator="greaterThan">
      <formula>$E$127</formula>
    </cfRule>
  </conditionalFormatting>
  <conditionalFormatting sqref="F1220">
    <cfRule type="cellIs" dxfId="16" priority="5" operator="greaterThan">
      <formula>$E$127</formula>
    </cfRule>
  </conditionalFormatting>
  <conditionalFormatting sqref="F1232">
    <cfRule type="cellIs" dxfId="15" priority="4" operator="greaterThan">
      <formula>$E$127</formula>
    </cfRule>
  </conditionalFormatting>
  <conditionalFormatting sqref="F1532">
    <cfRule type="cellIs" dxfId="7" priority="3" operator="greaterThan">
      <formula>$E$175</formula>
    </cfRule>
  </conditionalFormatting>
  <conditionalFormatting sqref="F1544">
    <cfRule type="cellIs" dxfId="5" priority="1" operator="greaterThan">
      <formula>$E$175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D8A19-68AB-6A42-B7E7-DA9D020B1275}">
  <dimension ref="B3:AN1156"/>
  <sheetViews>
    <sheetView showGridLines="0" zoomScale="50" workbookViewId="0">
      <selection activeCell="B4" sqref="B4"/>
    </sheetView>
  </sheetViews>
  <sheetFormatPr baseColWidth="10" defaultRowHeight="16" x14ac:dyDescent="0.2"/>
  <cols>
    <col min="1" max="1" width="1.83203125" customWidth="1"/>
    <col min="2" max="2" width="2.83203125" customWidth="1"/>
    <col min="3" max="3" width="3.5" style="188" customWidth="1"/>
    <col min="4" max="4" width="21.5" customWidth="1"/>
    <col min="5" max="5" width="16.6640625" customWidth="1"/>
    <col min="6" max="6" width="20.5" customWidth="1"/>
    <col min="7" max="7" width="19" customWidth="1"/>
    <col min="9" max="9" width="21" customWidth="1"/>
    <col min="10" max="10" width="20.1640625" customWidth="1"/>
    <col min="11" max="11" width="19.6640625" customWidth="1"/>
    <col min="12" max="12" width="12.33203125" customWidth="1"/>
    <col min="13" max="13" width="12.5" customWidth="1"/>
    <col min="26" max="26" width="34.1640625" customWidth="1"/>
  </cols>
  <sheetData>
    <row r="3" spans="2:26" ht="17" thickBot="1" x14ac:dyDescent="0.25"/>
    <row r="4" spans="2:26" ht="73" customHeight="1" thickBot="1" x14ac:dyDescent="0.25">
      <c r="B4" s="89">
        <v>45585</v>
      </c>
      <c r="C4" s="89" t="s">
        <v>105</v>
      </c>
      <c r="D4" s="123" t="s">
        <v>30</v>
      </c>
      <c r="E4" s="363" t="s">
        <v>90</v>
      </c>
      <c r="F4" s="364"/>
      <c r="G4" s="365"/>
      <c r="H4" s="124" t="s">
        <v>790</v>
      </c>
      <c r="I4" s="325" t="s">
        <v>633</v>
      </c>
      <c r="J4" s="326"/>
      <c r="K4" s="327"/>
      <c r="L4" s="124" t="s">
        <v>430</v>
      </c>
      <c r="M4" s="125" t="s">
        <v>431</v>
      </c>
      <c r="O4" s="145" t="s">
        <v>800</v>
      </c>
      <c r="P4" s="145" t="s">
        <v>801</v>
      </c>
      <c r="Q4" s="145" t="s">
        <v>802</v>
      </c>
      <c r="R4" s="145" t="s">
        <v>803</v>
      </c>
      <c r="S4" s="145" t="s">
        <v>804</v>
      </c>
      <c r="T4" s="145" t="s">
        <v>805</v>
      </c>
      <c r="U4" s="145" t="s">
        <v>806</v>
      </c>
      <c r="V4" s="145" t="s">
        <v>807</v>
      </c>
      <c r="W4" s="145" t="s">
        <v>808</v>
      </c>
      <c r="X4" s="145" t="s">
        <v>809</v>
      </c>
      <c r="Y4" s="145" t="s">
        <v>75</v>
      </c>
      <c r="Z4" s="145" t="s">
        <v>75</v>
      </c>
    </row>
    <row r="5" spans="2:26" ht="24" customHeight="1" x14ac:dyDescent="0.2">
      <c r="C5" s="89"/>
      <c r="D5" s="122" t="s">
        <v>432</v>
      </c>
      <c r="E5" s="342"/>
      <c r="F5" s="343"/>
      <c r="G5" s="344"/>
      <c r="H5" s="134" t="s">
        <v>791</v>
      </c>
      <c r="I5" s="381" t="s">
        <v>705</v>
      </c>
      <c r="J5" s="382"/>
      <c r="K5" s="383"/>
      <c r="L5" s="135"/>
      <c r="M5" s="136"/>
      <c r="O5" s="146" t="s">
        <v>810</v>
      </c>
      <c r="P5" s="147">
        <v>0.1</v>
      </c>
      <c r="Q5" s="148">
        <v>9.0000000000000006E-5</v>
      </c>
      <c r="R5" s="149">
        <v>1.7000000000000348E-4</v>
      </c>
      <c r="S5" s="150"/>
      <c r="T5" s="146">
        <v>3.0500000000000351E-4</v>
      </c>
      <c r="U5" s="148">
        <v>8.16</v>
      </c>
      <c r="V5" s="147">
        <v>91.8</v>
      </c>
      <c r="W5" s="150"/>
      <c r="X5" s="150"/>
      <c r="Y5" s="151"/>
      <c r="Z5" s="151"/>
    </row>
    <row r="6" spans="2:26" ht="24" customHeight="1" x14ac:dyDescent="0.2">
      <c r="C6" s="89"/>
      <c r="D6" s="92" t="s">
        <v>433</v>
      </c>
      <c r="E6" s="357">
        <v>3.7499999999999999E-2</v>
      </c>
      <c r="F6" s="358"/>
      <c r="G6" s="359"/>
      <c r="H6" s="134" t="s">
        <v>792</v>
      </c>
      <c r="I6" s="307"/>
      <c r="J6" s="308"/>
      <c r="K6" s="309"/>
      <c r="L6" s="135"/>
      <c r="M6" s="136"/>
      <c r="O6" s="152"/>
      <c r="P6" s="152"/>
      <c r="Q6" s="152"/>
      <c r="R6" s="153"/>
      <c r="S6" s="154"/>
      <c r="T6" s="152"/>
      <c r="U6" s="152"/>
      <c r="V6" s="152"/>
      <c r="W6" s="154"/>
      <c r="X6" s="154"/>
      <c r="Y6" s="155"/>
      <c r="Z6" s="155"/>
    </row>
    <row r="7" spans="2:26" ht="25" customHeight="1" thickBot="1" x14ac:dyDescent="0.25">
      <c r="C7" s="89"/>
      <c r="D7" s="92" t="s">
        <v>434</v>
      </c>
      <c r="E7" s="357">
        <v>4.2500000000000003E-2</v>
      </c>
      <c r="F7" s="358"/>
      <c r="G7" s="359"/>
      <c r="H7" s="92"/>
      <c r="I7" s="307"/>
      <c r="J7" s="308"/>
      <c r="K7" s="309"/>
      <c r="L7" s="135"/>
      <c r="M7" s="136"/>
      <c r="O7" s="156" t="s">
        <v>811</v>
      </c>
      <c r="P7" s="157">
        <v>0.2</v>
      </c>
      <c r="Q7" s="158">
        <v>5.9999999999999995E-4</v>
      </c>
      <c r="R7" s="159">
        <v>1.2999999999999999E-4</v>
      </c>
      <c r="S7" s="160">
        <v>1</v>
      </c>
      <c r="T7" s="156">
        <v>1.0299999999999999E-3</v>
      </c>
      <c r="U7" s="161">
        <v>-55.113442622950181</v>
      </c>
      <c r="V7" s="162">
        <v>183.6</v>
      </c>
      <c r="W7" s="163">
        <v>4.4349999999999996</v>
      </c>
      <c r="X7" s="164">
        <v>244.42811803278403</v>
      </c>
      <c r="Y7" s="165"/>
      <c r="Z7" s="165">
        <v>4.4350000000000005</v>
      </c>
    </row>
    <row r="8" spans="2:26" ht="25" customHeight="1" thickBot="1" x14ac:dyDescent="0.25">
      <c r="C8" s="89"/>
      <c r="D8" s="94" t="s">
        <v>435</v>
      </c>
      <c r="E8" s="360">
        <v>0.57291666666666674</v>
      </c>
      <c r="F8" s="361"/>
      <c r="G8" s="362"/>
      <c r="H8" s="92"/>
      <c r="I8" s="307"/>
      <c r="J8" s="308"/>
      <c r="K8" s="309"/>
      <c r="L8" s="137">
        <v>0.80208333333333337</v>
      </c>
      <c r="M8" s="137">
        <v>0.69791666666666674</v>
      </c>
      <c r="O8" s="166" t="s">
        <v>812</v>
      </c>
      <c r="P8" s="167">
        <v>0.2</v>
      </c>
      <c r="Q8" s="168">
        <v>8.0000000000000004E-4</v>
      </c>
      <c r="R8" s="169">
        <v>1.3999999999999999E-4</v>
      </c>
      <c r="S8" s="170">
        <v>1</v>
      </c>
      <c r="T8" s="166">
        <v>1.34E-3</v>
      </c>
      <c r="U8" s="171">
        <v>-71.700983606556562</v>
      </c>
      <c r="V8" s="172">
        <v>183.6</v>
      </c>
      <c r="W8" s="173">
        <v>5.5</v>
      </c>
      <c r="X8" s="174">
        <v>394.35540983606109</v>
      </c>
      <c r="Y8" s="175"/>
      <c r="Z8" s="175"/>
    </row>
    <row r="9" spans="2:26" ht="49" customHeight="1" thickBot="1" x14ac:dyDescent="0.25">
      <c r="C9" s="89"/>
      <c r="D9" s="96" t="s">
        <v>436</v>
      </c>
      <c r="E9" s="97" t="s">
        <v>29</v>
      </c>
      <c r="F9" s="97" t="s">
        <v>28</v>
      </c>
      <c r="G9" s="98" t="s">
        <v>27</v>
      </c>
      <c r="H9" s="98" t="s">
        <v>793</v>
      </c>
      <c r="I9" s="307"/>
      <c r="J9" s="308"/>
      <c r="K9" s="309"/>
      <c r="L9" s="135"/>
      <c r="M9" s="136"/>
      <c r="O9" s="154"/>
      <c r="P9" s="176"/>
      <c r="Q9" s="154"/>
      <c r="R9" s="154"/>
      <c r="S9" s="154"/>
      <c r="T9" s="154"/>
      <c r="U9" s="177">
        <v>-71.700983606556562</v>
      </c>
      <c r="V9" s="178"/>
      <c r="W9" s="154"/>
      <c r="X9" s="177">
        <v>244.42811803278403</v>
      </c>
      <c r="Y9" s="155"/>
      <c r="Z9" s="155"/>
    </row>
    <row r="10" spans="2:26" ht="24" x14ac:dyDescent="0.2">
      <c r="C10" s="89"/>
      <c r="D10" s="99">
        <v>45539</v>
      </c>
      <c r="E10" s="113">
        <v>4.2500000000000003E-2</v>
      </c>
      <c r="F10" s="105" t="s">
        <v>723</v>
      </c>
      <c r="G10" s="105">
        <v>4.4999999999999998E-2</v>
      </c>
      <c r="H10" s="138">
        <v>0.57291666666666674</v>
      </c>
      <c r="I10" s="307"/>
      <c r="J10" s="308"/>
      <c r="K10" s="309"/>
      <c r="L10" s="139">
        <v>0.73958333333333337</v>
      </c>
      <c r="M10" s="136"/>
      <c r="O10" s="179"/>
      <c r="P10" s="155"/>
      <c r="Q10" s="179"/>
      <c r="R10" s="179"/>
      <c r="S10" s="179"/>
      <c r="T10" s="179"/>
      <c r="U10" s="179"/>
      <c r="V10" s="179"/>
      <c r="W10" s="179"/>
      <c r="X10" s="179"/>
      <c r="Y10" s="155"/>
      <c r="Z10" s="155"/>
    </row>
    <row r="11" spans="2:26" ht="24" x14ac:dyDescent="0.2">
      <c r="C11" s="89"/>
      <c r="D11" s="99">
        <v>45497</v>
      </c>
      <c r="E11" s="113">
        <v>4.4999999999999998E-2</v>
      </c>
      <c r="F11" s="105" t="s">
        <v>725</v>
      </c>
      <c r="G11" s="105">
        <v>4.7500000000000001E-2</v>
      </c>
      <c r="H11" s="138">
        <v>0.57291666666666674</v>
      </c>
      <c r="I11" s="307"/>
      <c r="J11" s="308"/>
      <c r="K11" s="309"/>
      <c r="L11" s="139">
        <v>0.73958333333333337</v>
      </c>
      <c r="M11" s="136"/>
      <c r="O11" s="146" t="s">
        <v>813</v>
      </c>
      <c r="P11" s="147">
        <v>0.2</v>
      </c>
      <c r="Q11" s="180">
        <v>6.4000000000000005E-4</v>
      </c>
      <c r="R11" s="181">
        <v>1.3999999999999999E-4</v>
      </c>
      <c r="S11" s="150">
        <v>1</v>
      </c>
      <c r="T11" s="147">
        <v>1.1000000000000001E-3</v>
      </c>
      <c r="U11" s="182">
        <v>-58.859016393441948</v>
      </c>
      <c r="V11" s="183">
        <v>183.6</v>
      </c>
      <c r="W11" s="150">
        <v>3</v>
      </c>
      <c r="X11" s="184">
        <v>176.57704918032584</v>
      </c>
      <c r="Y11" s="185" t="s">
        <v>814</v>
      </c>
      <c r="Z11" s="185" t="s">
        <v>815</v>
      </c>
    </row>
    <row r="12" spans="2:26" ht="24" x14ac:dyDescent="0.2">
      <c r="C12" s="89"/>
      <c r="D12" s="99">
        <v>45448</v>
      </c>
      <c r="E12" s="113">
        <v>4.7500000000000001E-2</v>
      </c>
      <c r="F12" s="105" t="s">
        <v>726</v>
      </c>
      <c r="G12" s="105">
        <v>0.05</v>
      </c>
      <c r="H12" s="138">
        <v>0.57291666666666674</v>
      </c>
      <c r="I12" s="307"/>
      <c r="J12" s="308"/>
      <c r="K12" s="309"/>
      <c r="L12" s="139">
        <v>0.73958333333333337</v>
      </c>
      <c r="M12" s="136"/>
      <c r="O12" s="91"/>
      <c r="P12" s="91"/>
      <c r="Q12" s="91"/>
      <c r="R12" s="91"/>
      <c r="S12" s="91"/>
      <c r="T12" s="91"/>
      <c r="U12" s="91"/>
      <c r="V12" s="91"/>
      <c r="W12" s="91"/>
      <c r="X12" s="91"/>
      <c r="Y12" s="91"/>
      <c r="Z12" s="91"/>
    </row>
    <row r="13" spans="2:26" ht="24" x14ac:dyDescent="0.2">
      <c r="C13" s="89"/>
      <c r="D13" s="99">
        <v>45392</v>
      </c>
      <c r="E13" s="113">
        <v>0.05</v>
      </c>
      <c r="F13" s="105" t="s">
        <v>728</v>
      </c>
      <c r="G13" s="105">
        <v>0.05</v>
      </c>
      <c r="H13" s="138">
        <v>0.57291666666666674</v>
      </c>
      <c r="I13" s="307"/>
      <c r="J13" s="308"/>
      <c r="K13" s="309"/>
      <c r="L13" s="139">
        <v>0.73958333333333337</v>
      </c>
      <c r="M13" s="136"/>
      <c r="O13" s="91"/>
      <c r="P13" s="91"/>
      <c r="Q13" s="91"/>
      <c r="R13" s="91"/>
      <c r="S13" s="91"/>
      <c r="T13" s="91"/>
      <c r="U13" s="91"/>
      <c r="V13" s="91"/>
      <c r="W13" s="91"/>
      <c r="X13" s="91"/>
      <c r="Y13" s="91"/>
      <c r="Z13" s="91"/>
    </row>
    <row r="14" spans="2:26" ht="24" customHeight="1" x14ac:dyDescent="0.2">
      <c r="C14" s="89"/>
      <c r="D14" s="99">
        <v>45357</v>
      </c>
      <c r="E14" s="113">
        <v>0.05</v>
      </c>
      <c r="F14" s="105" t="s">
        <v>728</v>
      </c>
      <c r="G14" s="105">
        <v>0.05</v>
      </c>
      <c r="H14" s="138">
        <v>0.61458333333333337</v>
      </c>
      <c r="I14" s="307"/>
      <c r="J14" s="308"/>
      <c r="K14" s="309"/>
      <c r="L14" s="139">
        <v>0.78125</v>
      </c>
      <c r="M14" s="136"/>
      <c r="O14" s="91"/>
      <c r="P14" s="91"/>
      <c r="Q14" s="91"/>
      <c r="R14" s="91"/>
      <c r="S14" s="91"/>
      <c r="T14" s="91"/>
      <c r="U14" s="91"/>
      <c r="V14" s="91"/>
      <c r="W14" s="91"/>
      <c r="X14" s="91"/>
      <c r="Y14" s="91"/>
      <c r="Z14" s="91"/>
    </row>
    <row r="15" spans="2:26" ht="25" customHeight="1" thickBot="1" x14ac:dyDescent="0.25">
      <c r="C15" s="89"/>
      <c r="D15" s="99">
        <v>45315</v>
      </c>
      <c r="E15" s="113">
        <v>0.05</v>
      </c>
      <c r="F15" s="105" t="s">
        <v>728</v>
      </c>
      <c r="G15" s="105">
        <v>0.05</v>
      </c>
      <c r="H15" s="138">
        <v>0.61458333333333337</v>
      </c>
      <c r="I15" s="310"/>
      <c r="J15" s="311"/>
      <c r="K15" s="312"/>
      <c r="L15" s="139">
        <v>0.78125</v>
      </c>
      <c r="M15" s="140"/>
      <c r="O15" s="91"/>
      <c r="P15" s="91"/>
      <c r="Q15" s="91"/>
      <c r="R15" s="91"/>
      <c r="S15" s="91"/>
      <c r="T15" s="91"/>
      <c r="U15" s="91"/>
      <c r="V15" s="91"/>
      <c r="W15" s="91"/>
      <c r="X15" s="91"/>
      <c r="Y15" s="91"/>
      <c r="Z15" s="91"/>
    </row>
    <row r="16" spans="2:26" ht="73" customHeight="1" thickBot="1" x14ac:dyDescent="0.25">
      <c r="C16" s="89" t="s">
        <v>105</v>
      </c>
      <c r="D16" s="123" t="s">
        <v>30</v>
      </c>
      <c r="E16" s="363" t="s">
        <v>706</v>
      </c>
      <c r="F16" s="364"/>
      <c r="G16" s="365"/>
      <c r="H16" s="124" t="s">
        <v>790</v>
      </c>
      <c r="I16" s="325" t="s">
        <v>633</v>
      </c>
      <c r="J16" s="326"/>
      <c r="K16" s="327"/>
      <c r="L16" s="124" t="s">
        <v>430</v>
      </c>
      <c r="M16" s="125" t="s">
        <v>431</v>
      </c>
      <c r="O16" s="145" t="s">
        <v>800</v>
      </c>
      <c r="P16" s="145" t="s">
        <v>801</v>
      </c>
      <c r="Q16" s="145" t="s">
        <v>802</v>
      </c>
      <c r="R16" s="145" t="s">
        <v>803</v>
      </c>
      <c r="S16" s="145" t="s">
        <v>804</v>
      </c>
      <c r="T16" s="145" t="s">
        <v>805</v>
      </c>
      <c r="U16" s="145" t="s">
        <v>806</v>
      </c>
      <c r="V16" s="145" t="s">
        <v>807</v>
      </c>
      <c r="W16" s="145" t="s">
        <v>808</v>
      </c>
      <c r="X16" s="145" t="s">
        <v>809</v>
      </c>
      <c r="Y16" s="145" t="s">
        <v>75</v>
      </c>
      <c r="Z16" s="145" t="s">
        <v>75</v>
      </c>
    </row>
    <row r="17" spans="3:26" ht="24" customHeight="1" x14ac:dyDescent="0.2">
      <c r="C17" s="89"/>
      <c r="D17" s="122" t="s">
        <v>432</v>
      </c>
      <c r="E17" s="342"/>
      <c r="F17" s="343"/>
      <c r="G17" s="344"/>
      <c r="H17" s="134" t="s">
        <v>794</v>
      </c>
      <c r="I17" s="381" t="s">
        <v>708</v>
      </c>
      <c r="J17" s="382"/>
      <c r="K17" s="383"/>
      <c r="L17" s="135"/>
      <c r="M17" s="136"/>
      <c r="O17" s="146" t="s">
        <v>810</v>
      </c>
      <c r="P17" s="147">
        <v>0.1</v>
      </c>
      <c r="Q17" s="148">
        <v>3.9E-2</v>
      </c>
      <c r="R17" s="149">
        <v>2.1000000000015007E-2</v>
      </c>
      <c r="S17" s="150"/>
      <c r="T17" s="146">
        <v>7.9500000000015003E-2</v>
      </c>
      <c r="U17" s="148">
        <v>-18.989999999999998</v>
      </c>
      <c r="V17" s="147">
        <v>91.8</v>
      </c>
      <c r="W17" s="150"/>
      <c r="X17" s="150"/>
      <c r="Y17" s="151"/>
      <c r="Z17" s="151"/>
    </row>
    <row r="18" spans="3:26" ht="24" customHeight="1" x14ac:dyDescent="0.2">
      <c r="C18" s="89"/>
      <c r="D18" s="92" t="s">
        <v>433</v>
      </c>
      <c r="E18" s="357" t="s">
        <v>707</v>
      </c>
      <c r="F18" s="358"/>
      <c r="G18" s="359"/>
      <c r="H18" s="134" t="s">
        <v>795</v>
      </c>
      <c r="I18" s="307"/>
      <c r="J18" s="308"/>
      <c r="K18" s="309"/>
      <c r="L18" s="135"/>
      <c r="M18" s="136"/>
      <c r="O18" s="152"/>
      <c r="P18" s="152"/>
      <c r="Q18" s="152"/>
      <c r="R18" s="153"/>
      <c r="S18" s="154"/>
      <c r="T18" s="152"/>
      <c r="U18" s="152"/>
      <c r="V18" s="152"/>
      <c r="W18" s="154"/>
      <c r="X18" s="154"/>
      <c r="Y18" s="155"/>
      <c r="Z18" s="155"/>
    </row>
    <row r="19" spans="3:26" ht="25" customHeight="1" thickBot="1" x14ac:dyDescent="0.25">
      <c r="C19" s="89"/>
      <c r="D19" s="92" t="s">
        <v>434</v>
      </c>
      <c r="E19" s="357" t="s">
        <v>349</v>
      </c>
      <c r="F19" s="358"/>
      <c r="G19" s="359"/>
      <c r="H19" s="92"/>
      <c r="I19" s="307"/>
      <c r="J19" s="308"/>
      <c r="K19" s="309"/>
      <c r="L19" s="135"/>
      <c r="M19" s="136"/>
      <c r="O19" s="156" t="s">
        <v>811</v>
      </c>
      <c r="P19" s="157">
        <v>0.1</v>
      </c>
      <c r="Q19" s="158">
        <v>7.22E-2</v>
      </c>
      <c r="R19" s="159">
        <v>1.4999999999999999E-2</v>
      </c>
      <c r="S19" s="160">
        <v>1</v>
      </c>
      <c r="T19" s="156">
        <v>0.12330000000000001</v>
      </c>
      <c r="U19" s="161">
        <v>-29.452415094334064</v>
      </c>
      <c r="V19" s="162">
        <v>91.8</v>
      </c>
      <c r="W19" s="163">
        <v>4.88</v>
      </c>
      <c r="X19" s="164">
        <v>143.72778566035024</v>
      </c>
      <c r="Y19" s="165"/>
      <c r="Z19" s="165">
        <v>4.4350000000000005</v>
      </c>
    </row>
    <row r="20" spans="3:26" ht="25" customHeight="1" thickBot="1" x14ac:dyDescent="0.25">
      <c r="C20" s="89"/>
      <c r="D20" s="94" t="s">
        <v>435</v>
      </c>
      <c r="E20" s="360">
        <v>0.58333333333333337</v>
      </c>
      <c r="F20" s="361"/>
      <c r="G20" s="362"/>
      <c r="H20" s="92"/>
      <c r="I20" s="307"/>
      <c r="J20" s="308"/>
      <c r="K20" s="309"/>
      <c r="L20" s="137">
        <v>0.8125</v>
      </c>
      <c r="M20" s="137">
        <v>0.70833333333333337</v>
      </c>
      <c r="O20" s="166" t="s">
        <v>812</v>
      </c>
      <c r="P20" s="167">
        <v>0.1</v>
      </c>
      <c r="Q20" s="168">
        <v>4.0533333333333338E-2</v>
      </c>
      <c r="R20" s="169">
        <v>1.4999999999999999E-2</v>
      </c>
      <c r="S20" s="170">
        <v>0.5</v>
      </c>
      <c r="T20" s="166">
        <v>7.5800000000000006E-2</v>
      </c>
      <c r="U20" s="171">
        <v>-9.0530943396209338</v>
      </c>
      <c r="V20" s="172">
        <v>91.8</v>
      </c>
      <c r="W20" s="173">
        <v>2.3650000000000002</v>
      </c>
      <c r="X20" s="174">
        <v>21.41056811320351</v>
      </c>
      <c r="Y20" s="175"/>
      <c r="Z20" s="175"/>
    </row>
    <row r="21" spans="3:26" ht="49" customHeight="1" thickBot="1" x14ac:dyDescent="0.25">
      <c r="C21" s="89"/>
      <c r="D21" s="96" t="s">
        <v>436</v>
      </c>
      <c r="E21" s="97" t="s">
        <v>29</v>
      </c>
      <c r="F21" s="97" t="s">
        <v>28</v>
      </c>
      <c r="G21" s="98" t="s">
        <v>27</v>
      </c>
      <c r="H21" s="98" t="s">
        <v>793</v>
      </c>
      <c r="I21" s="307"/>
      <c r="J21" s="308"/>
      <c r="K21" s="309"/>
      <c r="L21" s="135"/>
      <c r="M21" s="136"/>
      <c r="O21" s="154"/>
      <c r="P21" s="176"/>
      <c r="Q21" s="154"/>
      <c r="R21" s="154"/>
      <c r="S21" s="154"/>
      <c r="T21" s="154"/>
      <c r="U21" s="177"/>
      <c r="V21" s="178"/>
      <c r="W21" s="154"/>
      <c r="X21" s="177"/>
      <c r="Y21" s="155"/>
      <c r="Z21" s="155"/>
    </row>
    <row r="22" spans="3:26" ht="24" customHeight="1" x14ac:dyDescent="0.2">
      <c r="C22" s="89"/>
      <c r="D22" s="99">
        <v>45554</v>
      </c>
      <c r="E22" s="105" t="s">
        <v>349</v>
      </c>
      <c r="F22" s="105" t="s">
        <v>735</v>
      </c>
      <c r="G22" s="105" t="s">
        <v>351</v>
      </c>
      <c r="H22" s="138">
        <v>0.58333333333333337</v>
      </c>
      <c r="I22" s="307"/>
      <c r="J22" s="308"/>
      <c r="K22" s="309"/>
      <c r="L22" s="135"/>
      <c r="M22" s="136"/>
      <c r="O22" s="179"/>
      <c r="P22" s="155"/>
      <c r="Q22" s="179"/>
      <c r="R22" s="179"/>
      <c r="S22" s="179"/>
      <c r="T22" s="179"/>
      <c r="U22" s="179"/>
      <c r="V22" s="179"/>
      <c r="W22" s="179"/>
      <c r="X22" s="179"/>
      <c r="Y22" s="155"/>
      <c r="Z22" s="155"/>
    </row>
    <row r="23" spans="3:26" ht="24" customHeight="1" x14ac:dyDescent="0.2">
      <c r="C23" s="89"/>
      <c r="D23" s="99">
        <v>45526</v>
      </c>
      <c r="E23" s="105" t="s">
        <v>736</v>
      </c>
      <c r="F23" s="105" t="s">
        <v>737</v>
      </c>
      <c r="G23" s="105" t="s">
        <v>738</v>
      </c>
      <c r="H23" s="138">
        <v>0.58333333333333337</v>
      </c>
      <c r="I23" s="307"/>
      <c r="J23" s="308"/>
      <c r="K23" s="309"/>
      <c r="L23" s="135"/>
      <c r="M23" s="136"/>
      <c r="O23" s="146" t="s">
        <v>813</v>
      </c>
      <c r="P23" s="147">
        <v>0.25</v>
      </c>
      <c r="Q23" s="180">
        <v>4.0533333333333338E-2</v>
      </c>
      <c r="R23" s="181">
        <v>1.4999999999999999E-2</v>
      </c>
      <c r="S23" s="150">
        <v>0.5</v>
      </c>
      <c r="T23" s="147">
        <v>7.5800000000000006E-2</v>
      </c>
      <c r="U23" s="182">
        <v>-22.632735849052334</v>
      </c>
      <c r="V23" s="183">
        <v>229.5</v>
      </c>
      <c r="W23" s="150">
        <v>2</v>
      </c>
      <c r="X23" s="184">
        <v>45.265471698104669</v>
      </c>
      <c r="Y23" s="185" t="s">
        <v>814</v>
      </c>
      <c r="Z23" s="185"/>
    </row>
    <row r="24" spans="3:26" ht="24" customHeight="1" x14ac:dyDescent="0.2">
      <c r="C24" s="89"/>
      <c r="D24" s="99">
        <v>45496</v>
      </c>
      <c r="E24" s="105" t="s">
        <v>740</v>
      </c>
      <c r="F24" s="105" t="s">
        <v>741</v>
      </c>
      <c r="G24" s="105" t="s">
        <v>78</v>
      </c>
      <c r="H24" s="138">
        <v>0.58333333333333337</v>
      </c>
      <c r="I24" s="307"/>
      <c r="J24" s="308"/>
      <c r="K24" s="309"/>
      <c r="L24" s="141"/>
      <c r="M24" s="136"/>
      <c r="O24" s="146" t="s">
        <v>813</v>
      </c>
      <c r="P24" s="147">
        <v>0.25</v>
      </c>
      <c r="Q24" s="180">
        <v>4.0533333333333338E-2</v>
      </c>
      <c r="R24" s="181">
        <v>1.4999999999999999E-2</v>
      </c>
      <c r="S24" s="150">
        <v>0.5</v>
      </c>
      <c r="T24" s="147">
        <v>7.5800000000000006E-2</v>
      </c>
      <c r="U24" s="182">
        <v>-22.632735849052334</v>
      </c>
      <c r="V24" s="183">
        <v>229.5</v>
      </c>
      <c r="W24" s="150">
        <v>2</v>
      </c>
      <c r="X24" s="184">
        <v>45.265471698104669</v>
      </c>
      <c r="Y24" s="185"/>
      <c r="Z24" s="185"/>
    </row>
    <row r="25" spans="3:26" ht="24" customHeight="1" x14ac:dyDescent="0.2">
      <c r="C25" s="89"/>
      <c r="D25" s="99">
        <v>45464</v>
      </c>
      <c r="E25" s="105" t="s">
        <v>78</v>
      </c>
      <c r="F25" s="105" t="s">
        <v>743</v>
      </c>
      <c r="G25" s="105" t="s">
        <v>744</v>
      </c>
      <c r="H25" s="138">
        <v>0.58333333333333337</v>
      </c>
      <c r="I25" s="307"/>
      <c r="J25" s="308"/>
      <c r="K25" s="309"/>
      <c r="L25" s="135"/>
      <c r="M25" s="136"/>
      <c r="O25" s="146" t="s">
        <v>816</v>
      </c>
      <c r="P25" s="147"/>
      <c r="Q25" s="180"/>
      <c r="R25" s="181"/>
      <c r="S25" s="150"/>
      <c r="T25" s="147"/>
      <c r="U25" s="182">
        <v>-22.632735849052334</v>
      </c>
      <c r="V25" s="183"/>
      <c r="W25" s="150"/>
      <c r="X25" s="184">
        <v>45.265471698104669</v>
      </c>
      <c r="Y25" s="185"/>
      <c r="Z25" s="185"/>
    </row>
    <row r="26" spans="3:26" ht="24" customHeight="1" x14ac:dyDescent="0.2">
      <c r="C26" s="89"/>
      <c r="D26" s="99">
        <v>45434</v>
      </c>
      <c r="E26" s="105" t="s">
        <v>744</v>
      </c>
      <c r="F26" s="105" t="s">
        <v>746</v>
      </c>
      <c r="G26" s="105" t="s">
        <v>747</v>
      </c>
      <c r="H26" s="138">
        <v>0.58333333333333337</v>
      </c>
      <c r="I26" s="307"/>
      <c r="J26" s="308"/>
      <c r="K26" s="309"/>
      <c r="L26" s="135"/>
      <c r="M26" s="136"/>
      <c r="O26" s="91"/>
      <c r="P26" s="91"/>
      <c r="Q26" s="91"/>
      <c r="R26" s="91"/>
      <c r="S26" s="91"/>
      <c r="T26" s="91"/>
      <c r="U26" s="91"/>
      <c r="V26" s="91"/>
      <c r="W26" s="91"/>
      <c r="X26" s="91"/>
      <c r="Y26" s="91"/>
      <c r="Z26" s="91"/>
    </row>
    <row r="27" spans="3:26" ht="25" customHeight="1" thickBot="1" x14ac:dyDescent="0.25">
      <c r="C27" s="89"/>
      <c r="D27" s="99">
        <v>45400</v>
      </c>
      <c r="E27" s="105" t="s">
        <v>749</v>
      </c>
      <c r="F27" s="105" t="s">
        <v>750</v>
      </c>
      <c r="G27" s="105" t="s">
        <v>751</v>
      </c>
      <c r="H27" s="138">
        <v>0.58333333333333337</v>
      </c>
      <c r="I27" s="310"/>
      <c r="J27" s="311"/>
      <c r="K27" s="312"/>
      <c r="L27" s="142"/>
      <c r="M27" s="140"/>
      <c r="O27" s="91"/>
      <c r="P27" s="91"/>
      <c r="Q27" s="91"/>
      <c r="R27" s="91"/>
      <c r="S27" s="91"/>
      <c r="T27" s="91"/>
      <c r="U27" s="91"/>
      <c r="V27" s="91"/>
      <c r="W27" s="91"/>
      <c r="X27" s="91"/>
      <c r="Y27" s="91"/>
      <c r="Z27" s="91"/>
    </row>
    <row r="28" spans="3:26" ht="73" customHeight="1" thickBot="1" x14ac:dyDescent="0.25">
      <c r="C28" s="89" t="s">
        <v>105</v>
      </c>
      <c r="D28" s="123" t="s">
        <v>30</v>
      </c>
      <c r="E28" s="363" t="s">
        <v>9</v>
      </c>
      <c r="F28" s="364"/>
      <c r="G28" s="365"/>
      <c r="H28" s="124" t="s">
        <v>790</v>
      </c>
      <c r="I28" s="325" t="s">
        <v>633</v>
      </c>
      <c r="J28" s="326"/>
      <c r="K28" s="327"/>
      <c r="L28" s="124" t="s">
        <v>430</v>
      </c>
      <c r="M28" s="125" t="s">
        <v>431</v>
      </c>
      <c r="O28" s="91"/>
      <c r="P28" s="91"/>
      <c r="Q28" s="91"/>
      <c r="R28" s="91"/>
      <c r="S28" s="91"/>
      <c r="T28" s="91"/>
      <c r="U28" s="91"/>
      <c r="V28" s="91"/>
      <c r="W28" s="91"/>
      <c r="X28" s="91"/>
      <c r="Y28" s="91"/>
      <c r="Z28" s="91"/>
    </row>
    <row r="29" spans="3:26" ht="24" customHeight="1" x14ac:dyDescent="0.2">
      <c r="C29" s="89"/>
      <c r="D29" s="122" t="s">
        <v>432</v>
      </c>
      <c r="E29" s="342"/>
      <c r="F29" s="343"/>
      <c r="G29" s="344"/>
      <c r="H29" s="134" t="s">
        <v>796</v>
      </c>
      <c r="I29" s="381" t="s">
        <v>701</v>
      </c>
      <c r="J29" s="382"/>
      <c r="K29" s="383"/>
      <c r="L29" s="135"/>
      <c r="M29" s="136"/>
      <c r="O29" s="91"/>
      <c r="P29" s="91"/>
      <c r="Q29" s="91"/>
      <c r="R29" s="91"/>
      <c r="S29" s="91"/>
      <c r="T29" s="91"/>
      <c r="U29" s="91"/>
      <c r="V29" s="91"/>
      <c r="W29" s="91"/>
      <c r="X29" s="91"/>
      <c r="Y29" s="91"/>
      <c r="Z29" s="91"/>
    </row>
    <row r="30" spans="3:26" ht="24" customHeight="1" x14ac:dyDescent="0.2">
      <c r="C30" s="89"/>
      <c r="D30" s="92" t="s">
        <v>433</v>
      </c>
      <c r="E30" s="357"/>
      <c r="F30" s="358"/>
      <c r="G30" s="359"/>
      <c r="H30" s="134" t="s">
        <v>796</v>
      </c>
      <c r="I30" s="307"/>
      <c r="J30" s="308"/>
      <c r="K30" s="309"/>
      <c r="L30" s="135"/>
      <c r="M30" s="136"/>
      <c r="O30" s="91"/>
      <c r="P30" s="91"/>
      <c r="Q30" s="91"/>
      <c r="R30" s="91"/>
      <c r="S30" s="91"/>
      <c r="T30" s="91"/>
      <c r="U30" s="91"/>
      <c r="V30" s="91"/>
      <c r="W30" s="91"/>
      <c r="X30" s="186"/>
      <c r="Y30" s="91"/>
      <c r="Z30" s="91"/>
    </row>
    <row r="31" spans="3:26" ht="25" customHeight="1" thickBot="1" x14ac:dyDescent="0.25">
      <c r="C31" s="89"/>
      <c r="D31" s="92" t="s">
        <v>434</v>
      </c>
      <c r="E31" s="357" t="s">
        <v>699</v>
      </c>
      <c r="F31" s="358"/>
      <c r="G31" s="359"/>
      <c r="H31" s="92"/>
      <c r="I31" s="307"/>
      <c r="J31" s="308"/>
      <c r="K31" s="309"/>
      <c r="L31" s="135"/>
      <c r="M31" s="136"/>
      <c r="O31" s="91"/>
      <c r="P31" s="91"/>
      <c r="Q31" s="91"/>
      <c r="R31" s="91"/>
      <c r="S31" s="91"/>
      <c r="T31" s="91"/>
      <c r="U31" s="91"/>
      <c r="V31" s="91"/>
      <c r="W31" s="91"/>
      <c r="X31" s="91"/>
      <c r="Y31" s="91"/>
      <c r="Z31" s="91"/>
    </row>
    <row r="32" spans="3:26" ht="25" customHeight="1" thickBot="1" x14ac:dyDescent="0.25">
      <c r="C32" s="89"/>
      <c r="D32" s="94" t="s">
        <v>435</v>
      </c>
      <c r="E32" s="360">
        <v>0.83333333333333337</v>
      </c>
      <c r="F32" s="361"/>
      <c r="G32" s="362"/>
      <c r="H32" s="92"/>
      <c r="I32" s="307"/>
      <c r="J32" s="308"/>
      <c r="K32" s="309"/>
      <c r="L32" s="137">
        <v>0.83333333333333337</v>
      </c>
      <c r="M32" s="137">
        <v>0.72916666666666674</v>
      </c>
      <c r="O32" s="91"/>
      <c r="P32" s="91"/>
      <c r="Q32" s="91"/>
      <c r="R32" s="91"/>
      <c r="S32" s="91"/>
      <c r="T32" s="91"/>
      <c r="U32" s="91"/>
      <c r="V32" s="91"/>
      <c r="W32" s="91"/>
      <c r="X32" s="91"/>
      <c r="Y32" s="91"/>
      <c r="Z32" s="91"/>
    </row>
    <row r="33" spans="3:26" ht="49" customHeight="1" thickBot="1" x14ac:dyDescent="0.25">
      <c r="C33" s="89"/>
      <c r="D33" s="96" t="s">
        <v>436</v>
      </c>
      <c r="E33" s="97" t="s">
        <v>29</v>
      </c>
      <c r="F33" s="97" t="s">
        <v>28</v>
      </c>
      <c r="G33" s="98" t="s">
        <v>27</v>
      </c>
      <c r="H33" s="98" t="s">
        <v>793</v>
      </c>
      <c r="I33" s="307"/>
      <c r="J33" s="308"/>
      <c r="K33" s="309"/>
      <c r="L33" s="135"/>
      <c r="M33" s="136"/>
      <c r="O33" s="91"/>
      <c r="P33" s="91"/>
      <c r="Q33" s="91"/>
      <c r="R33" s="91"/>
      <c r="S33" s="91"/>
      <c r="T33" s="91"/>
      <c r="U33" s="91"/>
      <c r="V33" s="91"/>
      <c r="W33" s="91"/>
      <c r="X33" s="91"/>
      <c r="Y33" s="91"/>
      <c r="Z33" s="91"/>
    </row>
    <row r="34" spans="3:26" ht="24" x14ac:dyDescent="0.2">
      <c r="C34" s="89"/>
      <c r="D34" s="99">
        <v>45582</v>
      </c>
      <c r="E34" s="105" t="s">
        <v>699</v>
      </c>
      <c r="F34" s="105" t="s">
        <v>731</v>
      </c>
      <c r="G34" s="105" t="s">
        <v>677</v>
      </c>
      <c r="H34" s="138">
        <v>0.83333333333333337</v>
      </c>
      <c r="I34" s="307"/>
      <c r="J34" s="308"/>
      <c r="K34" s="309"/>
      <c r="L34" s="135"/>
      <c r="M34" s="136"/>
      <c r="O34" s="91"/>
      <c r="P34" s="91"/>
      <c r="Q34" s="91"/>
      <c r="R34" s="91"/>
      <c r="S34" s="91"/>
      <c r="T34" s="91"/>
      <c r="U34" s="91"/>
      <c r="V34" s="91"/>
      <c r="W34" s="91"/>
      <c r="X34" s="91"/>
      <c r="Y34" s="91"/>
      <c r="Z34" s="91"/>
    </row>
    <row r="35" spans="3:26" ht="48" customHeight="1" x14ac:dyDescent="0.2">
      <c r="C35" s="89"/>
      <c r="D35" s="99">
        <v>45574</v>
      </c>
      <c r="E35" s="105" t="s">
        <v>677</v>
      </c>
      <c r="F35" s="105" t="s">
        <v>732</v>
      </c>
      <c r="G35" s="105" t="s">
        <v>637</v>
      </c>
      <c r="H35" s="138">
        <v>0.83333333333333337</v>
      </c>
      <c r="I35" s="307"/>
      <c r="J35" s="308"/>
      <c r="K35" s="309"/>
      <c r="L35" s="135"/>
      <c r="M35" s="136"/>
      <c r="O35" s="91"/>
      <c r="P35" s="91"/>
      <c r="Q35" s="91"/>
      <c r="R35" s="91"/>
      <c r="S35" s="91"/>
      <c r="T35" s="91"/>
      <c r="U35" s="91"/>
      <c r="V35" s="91"/>
      <c r="W35" s="91"/>
      <c r="X35" s="91"/>
      <c r="Y35" s="91"/>
      <c r="Z35" s="91"/>
    </row>
    <row r="36" spans="3:26" ht="48" customHeight="1" x14ac:dyDescent="0.2">
      <c r="C36" s="89"/>
      <c r="D36" s="99">
        <v>45567</v>
      </c>
      <c r="E36" s="105" t="s">
        <v>637</v>
      </c>
      <c r="F36" s="105" t="s">
        <v>733</v>
      </c>
      <c r="G36" s="105" t="s">
        <v>380</v>
      </c>
      <c r="H36" s="138">
        <v>0.83333333333333337</v>
      </c>
      <c r="I36" s="307"/>
      <c r="J36" s="308"/>
      <c r="K36" s="309"/>
      <c r="L36" s="141"/>
      <c r="M36" s="136"/>
      <c r="O36" s="91"/>
      <c r="P36" s="91"/>
      <c r="Q36" s="91"/>
      <c r="R36" s="91"/>
      <c r="S36" s="91"/>
      <c r="T36" s="91"/>
      <c r="U36" s="91"/>
      <c r="V36" s="91"/>
      <c r="W36" s="91"/>
      <c r="X36" s="91"/>
      <c r="Y36" s="91"/>
      <c r="Z36" s="91"/>
    </row>
    <row r="37" spans="3:26" ht="72" customHeight="1" x14ac:dyDescent="0.2">
      <c r="C37" s="89"/>
      <c r="D37" s="99">
        <v>45560</v>
      </c>
      <c r="E37" s="105" t="s">
        <v>380</v>
      </c>
      <c r="F37" s="105" t="s">
        <v>564</v>
      </c>
      <c r="G37" s="105" t="s">
        <v>337</v>
      </c>
      <c r="H37" s="138">
        <v>0.83333333333333337</v>
      </c>
      <c r="I37" s="307"/>
      <c r="J37" s="308"/>
      <c r="K37" s="309"/>
      <c r="L37" s="135"/>
      <c r="M37" s="136"/>
      <c r="O37" s="91"/>
      <c r="P37" s="91"/>
      <c r="Q37" s="91"/>
      <c r="R37" s="91"/>
      <c r="S37" s="91"/>
      <c r="T37" s="91"/>
      <c r="U37" s="91"/>
      <c r="V37" s="91"/>
      <c r="W37" s="91"/>
      <c r="X37" s="91"/>
      <c r="Y37" s="91"/>
      <c r="Z37" s="91"/>
    </row>
    <row r="38" spans="3:26" ht="72" customHeight="1" x14ac:dyDescent="0.2">
      <c r="C38" s="89"/>
      <c r="D38" s="99">
        <v>45553</v>
      </c>
      <c r="E38" s="105" t="s">
        <v>337</v>
      </c>
      <c r="F38" s="105" t="s">
        <v>565</v>
      </c>
      <c r="G38" s="105" t="s">
        <v>339</v>
      </c>
      <c r="H38" s="138">
        <v>0.83333333333333337</v>
      </c>
      <c r="I38" s="307"/>
      <c r="J38" s="308"/>
      <c r="K38" s="309"/>
      <c r="L38" s="135"/>
      <c r="M38" s="136"/>
      <c r="O38" s="91"/>
      <c r="P38" s="91"/>
      <c r="Q38" s="91"/>
      <c r="R38" s="91"/>
      <c r="S38" s="91"/>
      <c r="T38" s="91"/>
      <c r="U38" s="91"/>
      <c r="V38" s="91"/>
      <c r="W38" s="91"/>
      <c r="X38" s="91"/>
      <c r="Y38" s="91"/>
      <c r="Z38" s="91"/>
    </row>
    <row r="39" spans="3:26" ht="49" customHeight="1" thickBot="1" x14ac:dyDescent="0.25">
      <c r="C39" s="89"/>
      <c r="D39" s="99">
        <v>45546</v>
      </c>
      <c r="E39" s="105" t="s">
        <v>339</v>
      </c>
      <c r="F39" s="105" t="s">
        <v>567</v>
      </c>
      <c r="G39" s="105" t="s">
        <v>312</v>
      </c>
      <c r="H39" s="138">
        <v>0.83333333333333337</v>
      </c>
      <c r="I39" s="310"/>
      <c r="J39" s="311"/>
      <c r="K39" s="312"/>
      <c r="L39" s="142"/>
      <c r="M39" s="140"/>
      <c r="O39" s="91"/>
      <c r="P39" s="91"/>
      <c r="Q39" s="91"/>
      <c r="R39" s="91"/>
      <c r="S39" s="91"/>
      <c r="T39" s="91"/>
      <c r="U39" s="91"/>
      <c r="V39" s="91"/>
      <c r="W39" s="91"/>
      <c r="X39" s="91"/>
      <c r="Y39" s="91"/>
      <c r="Z39" s="91"/>
    </row>
    <row r="40" spans="3:26" ht="73" thickBot="1" x14ac:dyDescent="0.25">
      <c r="C40" s="89"/>
      <c r="D40" s="123" t="s">
        <v>30</v>
      </c>
      <c r="E40" s="363" t="s">
        <v>709</v>
      </c>
      <c r="F40" s="364"/>
      <c r="G40" s="365"/>
      <c r="H40" s="124" t="s">
        <v>790</v>
      </c>
      <c r="I40" s="325" t="s">
        <v>633</v>
      </c>
      <c r="J40" s="326"/>
      <c r="K40" s="327"/>
      <c r="L40" s="124" t="s">
        <v>430</v>
      </c>
      <c r="M40" s="125" t="s">
        <v>431</v>
      </c>
      <c r="O40" s="145" t="s">
        <v>800</v>
      </c>
      <c r="P40" s="145" t="s">
        <v>801</v>
      </c>
      <c r="Q40" s="145" t="s">
        <v>802</v>
      </c>
      <c r="R40" s="145" t="s">
        <v>803</v>
      </c>
      <c r="S40" s="145" t="s">
        <v>804</v>
      </c>
      <c r="T40" s="145" t="s">
        <v>805</v>
      </c>
      <c r="U40" s="145" t="s">
        <v>806</v>
      </c>
      <c r="V40" s="145" t="s">
        <v>807</v>
      </c>
      <c r="W40" s="145" t="s">
        <v>808</v>
      </c>
      <c r="X40" s="145" t="s">
        <v>809</v>
      </c>
      <c r="Y40" s="145" t="s">
        <v>75</v>
      </c>
      <c r="Z40" s="145" t="s">
        <v>75</v>
      </c>
    </row>
    <row r="41" spans="3:26" ht="24" customHeight="1" x14ac:dyDescent="0.2">
      <c r="C41" s="89"/>
      <c r="D41" s="122" t="s">
        <v>432</v>
      </c>
      <c r="E41" s="342"/>
      <c r="F41" s="343"/>
      <c r="G41" s="344"/>
      <c r="H41" s="134" t="s">
        <v>797</v>
      </c>
      <c r="I41" s="381" t="s">
        <v>710</v>
      </c>
      <c r="J41" s="382"/>
      <c r="K41" s="383"/>
      <c r="L41" s="135"/>
      <c r="M41" s="136"/>
      <c r="O41" s="146" t="s">
        <v>810</v>
      </c>
      <c r="P41" s="147">
        <v>0.1</v>
      </c>
      <c r="Q41" s="148">
        <v>0.16</v>
      </c>
      <c r="R41" s="149">
        <v>0.13000000000002387</v>
      </c>
      <c r="S41" s="150"/>
      <c r="T41" s="146">
        <v>0.37000000000002387</v>
      </c>
      <c r="U41" s="148">
        <v>-0.06</v>
      </c>
      <c r="V41" s="147">
        <v>15.8</v>
      </c>
      <c r="W41" s="150"/>
      <c r="X41" s="150"/>
      <c r="Y41" s="151"/>
      <c r="Z41" s="151"/>
    </row>
    <row r="42" spans="3:26" ht="24" customHeight="1" x14ac:dyDescent="0.2">
      <c r="C42" s="89"/>
      <c r="D42" s="92" t="s">
        <v>433</v>
      </c>
      <c r="E42" s="372">
        <v>0.13</v>
      </c>
      <c r="F42" s="373"/>
      <c r="G42" s="374"/>
      <c r="H42" s="134" t="s">
        <v>797</v>
      </c>
      <c r="I42" s="307"/>
      <c r="J42" s="308"/>
      <c r="K42" s="309"/>
      <c r="L42" s="135"/>
      <c r="M42" s="136"/>
      <c r="O42" s="152"/>
      <c r="P42" s="152"/>
      <c r="Q42" s="152"/>
      <c r="R42" s="153"/>
      <c r="S42" s="154"/>
      <c r="T42" s="152"/>
      <c r="U42" s="152"/>
      <c r="V42" s="152"/>
      <c r="W42" s="154"/>
      <c r="X42" s="154"/>
      <c r="Y42" s="155"/>
      <c r="Z42" s="155"/>
    </row>
    <row r="43" spans="3:26" ht="25" customHeight="1" thickBot="1" x14ac:dyDescent="0.25">
      <c r="C43" s="89"/>
      <c r="D43" s="92" t="s">
        <v>434</v>
      </c>
      <c r="E43" s="372">
        <v>0.08</v>
      </c>
      <c r="F43" s="373"/>
      <c r="G43" s="374"/>
      <c r="H43" s="92"/>
      <c r="I43" s="307"/>
      <c r="J43" s="308"/>
      <c r="K43" s="309"/>
      <c r="L43" s="135"/>
      <c r="M43" s="136"/>
      <c r="O43" s="156" t="s">
        <v>811</v>
      </c>
      <c r="P43" s="157">
        <v>0.25</v>
      </c>
      <c r="Q43" s="158">
        <v>8.1471</v>
      </c>
      <c r="R43" s="159">
        <v>1</v>
      </c>
      <c r="S43" s="160">
        <v>1.5</v>
      </c>
      <c r="T43" s="156">
        <v>13.220649999999999</v>
      </c>
      <c r="U43" s="161">
        <v>-8.0395844594589398</v>
      </c>
      <c r="V43" s="162">
        <v>229.5</v>
      </c>
      <c r="W43" s="163">
        <v>1</v>
      </c>
      <c r="X43" s="164">
        <v>8.0395844594589398</v>
      </c>
      <c r="Y43" s="165"/>
      <c r="Z43" s="165">
        <v>4.4350000000000005</v>
      </c>
    </row>
    <row r="44" spans="3:26" ht="25" customHeight="1" thickBot="1" x14ac:dyDescent="0.25">
      <c r="C44" s="89"/>
      <c r="D44" s="94" t="s">
        <v>435</v>
      </c>
      <c r="E44" s="360">
        <v>0.87500000000000011</v>
      </c>
      <c r="F44" s="361"/>
      <c r="G44" s="362"/>
      <c r="H44" s="92"/>
      <c r="I44" s="307"/>
      <c r="J44" s="308"/>
      <c r="K44" s="309"/>
      <c r="L44" s="137">
        <v>1.1041666666666667</v>
      </c>
      <c r="M44" s="137">
        <v>1</v>
      </c>
      <c r="O44" s="166" t="s">
        <v>812</v>
      </c>
      <c r="P44" s="167">
        <v>0.25</v>
      </c>
      <c r="Q44" s="187">
        <v>16.275866666666666</v>
      </c>
      <c r="R44" s="169">
        <v>1</v>
      </c>
      <c r="S44" s="170">
        <v>1.5</v>
      </c>
      <c r="T44" s="167">
        <v>25.413799999999998</v>
      </c>
      <c r="U44" s="171">
        <v>-15.454337837836839</v>
      </c>
      <c r="V44" s="172">
        <v>229.5</v>
      </c>
      <c r="W44" s="173">
        <v>1</v>
      </c>
      <c r="X44" s="174">
        <v>15.454337837836839</v>
      </c>
      <c r="Y44" s="175"/>
      <c r="Z44" s="175"/>
    </row>
    <row r="45" spans="3:26" ht="49" customHeight="1" thickBot="1" x14ac:dyDescent="0.25">
      <c r="C45" s="89"/>
      <c r="D45" s="96" t="s">
        <v>436</v>
      </c>
      <c r="E45" s="97" t="s">
        <v>29</v>
      </c>
      <c r="F45" s="97" t="s">
        <v>28</v>
      </c>
      <c r="G45" s="98" t="s">
        <v>27</v>
      </c>
      <c r="H45" s="98" t="s">
        <v>793</v>
      </c>
      <c r="I45" s="307"/>
      <c r="J45" s="308"/>
      <c r="K45" s="309"/>
      <c r="L45" s="135"/>
      <c r="M45" s="136"/>
      <c r="O45" s="154"/>
      <c r="P45" s="176"/>
      <c r="Q45" s="154"/>
      <c r="R45" s="154"/>
      <c r="S45" s="154"/>
      <c r="T45" s="154"/>
      <c r="U45" s="177"/>
      <c r="V45" s="178"/>
      <c r="W45" s="154"/>
      <c r="X45" s="177"/>
      <c r="Y45" s="155"/>
      <c r="Z45" s="155"/>
    </row>
    <row r="46" spans="3:26" ht="23" x14ac:dyDescent="0.2">
      <c r="C46" s="89"/>
      <c r="D46" s="99">
        <v>45496</v>
      </c>
      <c r="E46" s="100">
        <v>0.52</v>
      </c>
      <c r="F46" s="100">
        <v>0.61</v>
      </c>
      <c r="G46" s="100">
        <v>0.91</v>
      </c>
      <c r="H46" s="138">
        <v>0.87500000000000011</v>
      </c>
      <c r="I46" s="307"/>
      <c r="J46" s="308"/>
      <c r="K46" s="309"/>
      <c r="L46" s="135"/>
      <c r="M46" s="136"/>
      <c r="O46" s="179"/>
      <c r="P46" s="155"/>
      <c r="Q46" s="179"/>
      <c r="R46" s="179"/>
      <c r="S46" s="179"/>
      <c r="T46" s="179"/>
      <c r="U46" s="179"/>
      <c r="V46" s="179"/>
      <c r="W46" s="179"/>
      <c r="X46" s="179"/>
      <c r="Y46" s="155"/>
      <c r="Z46" s="155"/>
    </row>
    <row r="47" spans="3:26" ht="23" x14ac:dyDescent="0.2">
      <c r="C47" s="89"/>
      <c r="D47" s="99">
        <v>45405</v>
      </c>
      <c r="E47" s="100">
        <v>0.45</v>
      </c>
      <c r="F47" s="100">
        <v>0.49</v>
      </c>
      <c r="G47" s="100">
        <v>0.85</v>
      </c>
      <c r="H47" s="138">
        <v>0.87500000000000011</v>
      </c>
      <c r="I47" s="307"/>
      <c r="J47" s="308"/>
      <c r="K47" s="309"/>
      <c r="L47" s="135"/>
      <c r="M47" s="136"/>
      <c r="O47" s="146" t="s">
        <v>813</v>
      </c>
      <c r="P47" s="147">
        <v>0.25</v>
      </c>
      <c r="Q47" s="180">
        <v>16.275866666666666</v>
      </c>
      <c r="R47" s="181">
        <v>1</v>
      </c>
      <c r="S47" s="150">
        <v>1.5</v>
      </c>
      <c r="T47" s="156">
        <v>25.413799999999998</v>
      </c>
      <c r="U47" s="182">
        <v>-15.454337837836839</v>
      </c>
      <c r="V47" s="183">
        <v>229.5</v>
      </c>
      <c r="W47" s="150">
        <v>1</v>
      </c>
      <c r="X47" s="184">
        <v>15.454337837836839</v>
      </c>
      <c r="Y47" s="185" t="s">
        <v>814</v>
      </c>
      <c r="Z47" s="185"/>
    </row>
    <row r="48" spans="3:26" ht="23" x14ac:dyDescent="0.2">
      <c r="C48" s="89"/>
      <c r="D48" s="99">
        <v>45315</v>
      </c>
      <c r="E48" s="100">
        <v>0.71</v>
      </c>
      <c r="F48" s="100">
        <v>0.73</v>
      </c>
      <c r="G48" s="100">
        <v>1.19</v>
      </c>
      <c r="H48" s="138">
        <v>0.87500000000000011</v>
      </c>
      <c r="I48" s="307"/>
      <c r="J48" s="308"/>
      <c r="K48" s="309"/>
      <c r="L48" s="141"/>
      <c r="M48" s="136"/>
      <c r="O48" s="146"/>
      <c r="P48" s="147"/>
      <c r="Q48" s="180"/>
      <c r="R48" s="181"/>
      <c r="S48" s="150"/>
      <c r="T48" s="147"/>
      <c r="U48" s="182"/>
      <c r="V48" s="183"/>
      <c r="W48" s="150"/>
      <c r="X48" s="184"/>
      <c r="Y48" s="185"/>
      <c r="Z48" s="185"/>
    </row>
    <row r="49" spans="3:26" ht="23" customHeight="1" x14ac:dyDescent="0.2">
      <c r="C49" s="89"/>
      <c r="D49" s="99">
        <v>45217</v>
      </c>
      <c r="E49" s="100">
        <v>0.66</v>
      </c>
      <c r="F49" s="100">
        <v>0.73</v>
      </c>
      <c r="G49" s="100">
        <v>1.05</v>
      </c>
      <c r="H49" s="138">
        <v>0.87500000000000011</v>
      </c>
      <c r="I49" s="307"/>
      <c r="J49" s="308"/>
      <c r="K49" s="309"/>
      <c r="L49" s="135"/>
      <c r="M49" s="136"/>
      <c r="O49" s="146" t="s">
        <v>816</v>
      </c>
      <c r="P49" s="147"/>
      <c r="Q49" s="180"/>
      <c r="R49" s="181"/>
      <c r="S49" s="150"/>
      <c r="T49" s="147"/>
      <c r="U49" s="182">
        <v>0</v>
      </c>
      <c r="V49" s="183"/>
      <c r="W49" s="150"/>
      <c r="X49" s="184">
        <v>0</v>
      </c>
      <c r="Y49" s="185"/>
      <c r="Z49" s="185"/>
    </row>
    <row r="50" spans="3:26" ht="23" x14ac:dyDescent="0.2">
      <c r="C50" s="89"/>
      <c r="D50" s="99">
        <v>45126</v>
      </c>
      <c r="E50" s="100">
        <v>0.91</v>
      </c>
      <c r="F50" s="100">
        <v>0.79</v>
      </c>
      <c r="G50" s="100">
        <v>0.75700000000000001</v>
      </c>
      <c r="H50" s="138">
        <v>0.87500000000000011</v>
      </c>
      <c r="I50" s="307"/>
      <c r="J50" s="308"/>
      <c r="K50" s="309"/>
      <c r="L50" s="135"/>
      <c r="M50" s="136"/>
      <c r="O50" s="91"/>
      <c r="P50" s="91"/>
      <c r="Q50" s="91"/>
      <c r="R50" s="91"/>
      <c r="S50" s="91"/>
      <c r="T50" s="91"/>
      <c r="U50" s="91"/>
      <c r="V50" s="91"/>
      <c r="W50" s="91"/>
      <c r="X50" s="91"/>
      <c r="Y50" s="91"/>
      <c r="Z50" s="91"/>
    </row>
    <row r="51" spans="3:26" ht="24" thickBot="1" x14ac:dyDescent="0.25">
      <c r="C51" s="89"/>
      <c r="D51" s="99">
        <v>45035</v>
      </c>
      <c r="E51" s="100">
        <v>0.85</v>
      </c>
      <c r="F51" s="100">
        <v>0.85</v>
      </c>
      <c r="G51" s="100">
        <v>1.073</v>
      </c>
      <c r="H51" s="138">
        <v>0.87500000000000011</v>
      </c>
      <c r="I51" s="310"/>
      <c r="J51" s="311"/>
      <c r="K51" s="312"/>
      <c r="L51" s="142"/>
      <c r="M51" s="140"/>
      <c r="O51" s="91"/>
      <c r="P51" s="91"/>
      <c r="Q51" s="91"/>
      <c r="R51" s="91"/>
      <c r="S51" s="91"/>
      <c r="T51" s="91"/>
      <c r="U51" s="91"/>
      <c r="V51" s="91"/>
      <c r="W51" s="91"/>
      <c r="X51" s="91"/>
      <c r="Y51" s="91"/>
      <c r="Z51" s="91"/>
    </row>
    <row r="52" spans="3:26" ht="73" customHeight="1" thickBot="1" x14ac:dyDescent="0.25">
      <c r="C52" s="89" t="s">
        <v>105</v>
      </c>
      <c r="D52" s="123" t="s">
        <v>30</v>
      </c>
      <c r="E52" s="363" t="s">
        <v>711</v>
      </c>
      <c r="F52" s="364"/>
      <c r="G52" s="365"/>
      <c r="H52" s="124" t="s">
        <v>790</v>
      </c>
      <c r="I52" s="325" t="s">
        <v>633</v>
      </c>
      <c r="J52" s="326"/>
      <c r="K52" s="327"/>
      <c r="L52" s="124" t="s">
        <v>430</v>
      </c>
      <c r="M52" s="125" t="s">
        <v>431</v>
      </c>
      <c r="O52" s="145" t="s">
        <v>800</v>
      </c>
      <c r="P52" s="145" t="s">
        <v>801</v>
      </c>
      <c r="Q52" s="145" t="s">
        <v>802</v>
      </c>
      <c r="R52" s="145" t="s">
        <v>803</v>
      </c>
      <c r="S52" s="145" t="s">
        <v>804</v>
      </c>
      <c r="T52" s="145" t="s">
        <v>805</v>
      </c>
      <c r="U52" s="145" t="s">
        <v>806</v>
      </c>
      <c r="V52" s="145" t="s">
        <v>807</v>
      </c>
      <c r="W52" s="145" t="s">
        <v>808</v>
      </c>
      <c r="X52" s="145" t="s">
        <v>809</v>
      </c>
      <c r="Y52" s="145" t="s">
        <v>75</v>
      </c>
      <c r="Z52" s="145" t="s">
        <v>75</v>
      </c>
    </row>
    <row r="53" spans="3:26" ht="24" customHeight="1" x14ac:dyDescent="0.2">
      <c r="C53" s="89"/>
      <c r="D53" s="122" t="s">
        <v>432</v>
      </c>
      <c r="E53" s="342"/>
      <c r="F53" s="343"/>
      <c r="G53" s="344"/>
      <c r="H53" s="134" t="s">
        <v>798</v>
      </c>
      <c r="I53" s="381" t="s">
        <v>712</v>
      </c>
      <c r="J53" s="382"/>
      <c r="K53" s="383"/>
      <c r="L53" s="135"/>
      <c r="M53" s="136"/>
      <c r="O53" s="146" t="s">
        <v>810</v>
      </c>
      <c r="P53" s="147">
        <v>0.1</v>
      </c>
      <c r="Q53" s="148">
        <v>1.3999999999999999E-4</v>
      </c>
      <c r="R53" s="149">
        <v>6.199999999998429E-4</v>
      </c>
      <c r="S53" s="150"/>
      <c r="T53" s="146">
        <v>8.2999999999984291E-4</v>
      </c>
      <c r="U53" s="148">
        <v>-30</v>
      </c>
      <c r="V53" s="147">
        <v>15.8</v>
      </c>
      <c r="W53" s="150"/>
      <c r="X53" s="150"/>
      <c r="Y53" s="151"/>
      <c r="Z53" s="151"/>
    </row>
    <row r="54" spans="3:26" ht="24" customHeight="1" x14ac:dyDescent="0.2">
      <c r="C54" s="89"/>
      <c r="D54" s="92" t="s">
        <v>433</v>
      </c>
      <c r="E54" s="372"/>
      <c r="F54" s="373"/>
      <c r="G54" s="374"/>
      <c r="H54" s="134" t="s">
        <v>799</v>
      </c>
      <c r="I54" s="307"/>
      <c r="J54" s="308"/>
      <c r="K54" s="309"/>
      <c r="L54" s="135"/>
      <c r="M54" s="136"/>
      <c r="O54" s="152"/>
      <c r="P54" s="152"/>
      <c r="Q54" s="152"/>
      <c r="R54" s="153"/>
      <c r="S54" s="154"/>
      <c r="T54" s="152"/>
      <c r="U54" s="152"/>
      <c r="V54" s="152"/>
      <c r="W54" s="154"/>
      <c r="X54" s="154"/>
      <c r="Y54" s="155"/>
      <c r="Z54" s="155"/>
    </row>
    <row r="55" spans="3:26" ht="25" customHeight="1" thickBot="1" x14ac:dyDescent="0.25">
      <c r="C55" s="89"/>
      <c r="D55" s="92" t="s">
        <v>434</v>
      </c>
      <c r="E55" s="372">
        <v>52.6</v>
      </c>
      <c r="F55" s="373"/>
      <c r="G55" s="374"/>
      <c r="H55" s="92"/>
      <c r="I55" s="307"/>
      <c r="J55" s="308"/>
      <c r="K55" s="309"/>
      <c r="L55" s="135"/>
      <c r="M55" s="136"/>
      <c r="O55" s="156" t="s">
        <v>811</v>
      </c>
      <c r="P55" s="157">
        <v>0.1</v>
      </c>
      <c r="Q55" s="158">
        <v>5.0000000000000001E-4</v>
      </c>
      <c r="R55" s="159">
        <v>1.7000000000000001E-4</v>
      </c>
      <c r="S55" s="160">
        <v>1</v>
      </c>
      <c r="T55" s="156">
        <v>9.2000000000000003E-4</v>
      </c>
      <c r="U55" s="161">
        <v>-33.253012048199068</v>
      </c>
      <c r="V55" s="162">
        <v>91.8</v>
      </c>
      <c r="W55" s="163">
        <v>1</v>
      </c>
      <c r="X55" s="164">
        <v>33.253012048199068</v>
      </c>
      <c r="Y55" s="165"/>
      <c r="Z55" s="165">
        <v>4.4350000000000005</v>
      </c>
    </row>
    <row r="56" spans="3:26" ht="25" customHeight="1" thickBot="1" x14ac:dyDescent="0.25">
      <c r="C56" s="89"/>
      <c r="D56" s="94" t="s">
        <v>435</v>
      </c>
      <c r="E56" s="360">
        <v>0.35416666666666674</v>
      </c>
      <c r="F56" s="361"/>
      <c r="G56" s="362"/>
      <c r="H56" s="92"/>
      <c r="I56" s="307"/>
      <c r="J56" s="308"/>
      <c r="K56" s="309"/>
      <c r="L56" s="137">
        <v>0.58333333333333337</v>
      </c>
      <c r="M56" s="137">
        <v>0.47916666666666669</v>
      </c>
      <c r="O56" s="166" t="s">
        <v>812</v>
      </c>
      <c r="P56" s="167">
        <v>0.1</v>
      </c>
      <c r="Q56" s="187">
        <v>4.2000000000000002E-4</v>
      </c>
      <c r="R56" s="169">
        <v>1.7000000000000001E-4</v>
      </c>
      <c r="S56" s="170">
        <v>1</v>
      </c>
      <c r="T56" s="167">
        <v>8.0000000000000004E-4</v>
      </c>
      <c r="U56" s="171">
        <v>-28.915662650607885</v>
      </c>
      <c r="V56" s="172">
        <v>91.8</v>
      </c>
      <c r="W56" s="173">
        <v>1</v>
      </c>
      <c r="X56" s="174">
        <v>28.915662650607885</v>
      </c>
      <c r="Y56" s="175"/>
      <c r="Z56" s="175"/>
    </row>
    <row r="57" spans="3:26" ht="49" customHeight="1" thickBot="1" x14ac:dyDescent="0.25">
      <c r="C57" s="89"/>
      <c r="D57" s="96" t="s">
        <v>436</v>
      </c>
      <c r="E57" s="97" t="s">
        <v>29</v>
      </c>
      <c r="F57" s="97" t="s">
        <v>28</v>
      </c>
      <c r="G57" s="98" t="s">
        <v>27</v>
      </c>
      <c r="H57" s="98" t="s">
        <v>793</v>
      </c>
      <c r="I57" s="307"/>
      <c r="J57" s="308"/>
      <c r="K57" s="309"/>
      <c r="L57" s="135"/>
      <c r="M57" s="136"/>
      <c r="O57" s="154"/>
      <c r="P57" s="176"/>
      <c r="Q57" s="154"/>
      <c r="R57" s="154"/>
      <c r="S57" s="154"/>
      <c r="T57" s="154"/>
      <c r="U57" s="177"/>
      <c r="V57" s="178"/>
      <c r="W57" s="154"/>
      <c r="X57" s="177"/>
      <c r="Y57" s="155"/>
      <c r="Z57" s="155"/>
    </row>
    <row r="58" spans="3:26" ht="24" x14ac:dyDescent="0.2">
      <c r="C58" s="89"/>
      <c r="D58" s="99">
        <v>45568</v>
      </c>
      <c r="E58" s="100">
        <v>52.6</v>
      </c>
      <c r="F58" s="100" t="s">
        <v>753</v>
      </c>
      <c r="G58" s="100">
        <v>53.8</v>
      </c>
      <c r="H58" s="138">
        <v>0.35416666666666674</v>
      </c>
      <c r="I58" s="307"/>
      <c r="J58" s="308"/>
      <c r="K58" s="309"/>
      <c r="L58" s="135"/>
      <c r="M58" s="136"/>
      <c r="O58" s="179"/>
      <c r="P58" s="155"/>
      <c r="Q58" s="179"/>
      <c r="R58" s="179"/>
      <c r="S58" s="179"/>
      <c r="T58" s="179"/>
      <c r="U58" s="179"/>
      <c r="V58" s="179"/>
      <c r="W58" s="179"/>
      <c r="X58" s="179"/>
      <c r="Y58" s="155"/>
      <c r="Z58" s="155"/>
    </row>
    <row r="59" spans="3:26" ht="24" x14ac:dyDescent="0.2">
      <c r="C59" s="89"/>
      <c r="D59" s="99">
        <v>45558</v>
      </c>
      <c r="E59" s="100">
        <v>52.9</v>
      </c>
      <c r="F59" s="100" t="s">
        <v>754</v>
      </c>
      <c r="G59" s="100">
        <v>53.8</v>
      </c>
      <c r="H59" s="138">
        <v>0.35416666666666674</v>
      </c>
      <c r="I59" s="307"/>
      <c r="J59" s="308"/>
      <c r="K59" s="309"/>
      <c r="L59" s="135"/>
      <c r="M59" s="136"/>
      <c r="O59" s="146" t="s">
        <v>813</v>
      </c>
      <c r="P59" s="147">
        <v>0.1</v>
      </c>
      <c r="Q59" s="180">
        <v>4.2000000000000002E-4</v>
      </c>
      <c r="R59" s="181">
        <v>1.7000000000000001E-4</v>
      </c>
      <c r="S59" s="150">
        <v>1</v>
      </c>
      <c r="T59" s="156">
        <v>8.0000000000000004E-4</v>
      </c>
      <c r="U59" s="182">
        <v>-28.915662650607885</v>
      </c>
      <c r="V59" s="183">
        <v>91.8</v>
      </c>
      <c r="W59" s="150">
        <v>2</v>
      </c>
      <c r="X59" s="184">
        <v>57.83132530121577</v>
      </c>
      <c r="Y59" s="185" t="s">
        <v>814</v>
      </c>
      <c r="Z59" s="185"/>
    </row>
    <row r="60" spans="3:26" ht="24" x14ac:dyDescent="0.2">
      <c r="C60" s="89"/>
      <c r="D60" s="99">
        <v>45539</v>
      </c>
      <c r="E60" s="100">
        <v>53.8</v>
      </c>
      <c r="F60" s="100" t="s">
        <v>755</v>
      </c>
      <c r="G60" s="100">
        <v>52.8</v>
      </c>
      <c r="H60" s="138">
        <v>0.35416666666666674</v>
      </c>
      <c r="I60" s="307"/>
      <c r="J60" s="308"/>
      <c r="K60" s="309"/>
      <c r="L60" s="141"/>
      <c r="M60" s="136"/>
      <c r="O60" s="146"/>
      <c r="P60" s="147"/>
      <c r="Q60" s="180"/>
      <c r="R60" s="181"/>
      <c r="S60" s="150"/>
      <c r="T60" s="147"/>
      <c r="U60" s="182"/>
      <c r="V60" s="183"/>
      <c r="W60" s="150"/>
      <c r="X60" s="184"/>
      <c r="Y60" s="185"/>
      <c r="Z60" s="185"/>
    </row>
    <row r="61" spans="3:26" ht="24" x14ac:dyDescent="0.2">
      <c r="C61" s="89"/>
      <c r="D61" s="99">
        <v>45526</v>
      </c>
      <c r="E61" s="100">
        <v>53.4</v>
      </c>
      <c r="F61" s="100" t="s">
        <v>753</v>
      </c>
      <c r="G61" s="100">
        <v>52.8</v>
      </c>
      <c r="H61" s="138">
        <v>0.35416666666666674</v>
      </c>
      <c r="I61" s="307"/>
      <c r="J61" s="308"/>
      <c r="K61" s="309"/>
      <c r="L61" s="135"/>
      <c r="M61" s="136"/>
      <c r="O61" s="146" t="s">
        <v>816</v>
      </c>
      <c r="P61" s="147"/>
      <c r="Q61" s="180"/>
      <c r="R61" s="181"/>
      <c r="S61" s="150"/>
      <c r="T61" s="147"/>
      <c r="U61" s="182">
        <v>0</v>
      </c>
      <c r="V61" s="183"/>
      <c r="W61" s="150"/>
      <c r="X61" s="184">
        <v>0</v>
      </c>
      <c r="Y61" s="185"/>
      <c r="Z61" s="185"/>
    </row>
    <row r="62" spans="3:26" ht="24" x14ac:dyDescent="0.2">
      <c r="C62" s="89"/>
      <c r="D62" s="99">
        <v>45509</v>
      </c>
      <c r="E62" s="100">
        <v>52.8</v>
      </c>
      <c r="F62" s="100" t="s">
        <v>756</v>
      </c>
      <c r="G62" s="100">
        <v>52.3</v>
      </c>
      <c r="H62" s="138">
        <v>0.35416666666666674</v>
      </c>
      <c r="I62" s="307"/>
      <c r="J62" s="308"/>
      <c r="K62" s="309"/>
      <c r="L62" s="135"/>
      <c r="M62" s="136"/>
      <c r="O62" s="91"/>
      <c r="P62" s="91"/>
      <c r="Q62" s="91"/>
      <c r="R62" s="91"/>
      <c r="S62" s="91"/>
      <c r="T62" s="91"/>
      <c r="U62" s="91"/>
      <c r="V62" s="91"/>
      <c r="W62" s="91"/>
      <c r="X62" s="91"/>
      <c r="Y62" s="91"/>
      <c r="Z62" s="91"/>
    </row>
    <row r="63" spans="3:26" ht="25" thickBot="1" x14ac:dyDescent="0.25">
      <c r="C63" s="89"/>
      <c r="D63" s="99">
        <v>45497</v>
      </c>
      <c r="E63" s="100">
        <v>52.7</v>
      </c>
      <c r="F63" s="100" t="s">
        <v>596</v>
      </c>
      <c r="G63" s="100">
        <v>52.3</v>
      </c>
      <c r="H63" s="138">
        <v>0.35416666666666674</v>
      </c>
      <c r="I63" s="310"/>
      <c r="J63" s="311"/>
      <c r="K63" s="312"/>
      <c r="L63" s="142"/>
      <c r="M63" s="140"/>
      <c r="O63" s="91"/>
      <c r="P63" s="91"/>
      <c r="Q63" s="91"/>
      <c r="R63" s="91"/>
      <c r="S63" s="91"/>
      <c r="T63" s="91"/>
      <c r="U63" s="91"/>
      <c r="V63" s="91"/>
      <c r="W63" s="91"/>
      <c r="X63" s="91"/>
      <c r="Y63" s="91"/>
      <c r="Z63" s="91"/>
    </row>
    <row r="64" spans="3:26" ht="73" customHeight="1" thickBot="1" x14ac:dyDescent="0.25">
      <c r="C64" s="89" t="s">
        <v>105</v>
      </c>
      <c r="D64" s="123" t="s">
        <v>30</v>
      </c>
      <c r="E64" s="363" t="s">
        <v>14</v>
      </c>
      <c r="F64" s="364"/>
      <c r="G64" s="365"/>
      <c r="H64" s="124" t="s">
        <v>790</v>
      </c>
      <c r="I64" s="325" t="s">
        <v>633</v>
      </c>
      <c r="J64" s="326"/>
      <c r="K64" s="327"/>
      <c r="L64" s="124" t="s">
        <v>430</v>
      </c>
      <c r="M64" s="125" t="s">
        <v>431</v>
      </c>
      <c r="O64" s="145" t="s">
        <v>800</v>
      </c>
      <c r="P64" s="145" t="s">
        <v>801</v>
      </c>
      <c r="Q64" s="145" t="s">
        <v>802</v>
      </c>
      <c r="R64" s="145" t="s">
        <v>803</v>
      </c>
      <c r="S64" s="145" t="s">
        <v>804</v>
      </c>
      <c r="T64" s="145" t="s">
        <v>805</v>
      </c>
      <c r="U64" s="145" t="s">
        <v>806</v>
      </c>
      <c r="V64" s="145" t="s">
        <v>807</v>
      </c>
      <c r="W64" s="145" t="s">
        <v>808</v>
      </c>
      <c r="X64" s="145" t="s">
        <v>809</v>
      </c>
      <c r="Y64" s="145" t="s">
        <v>75</v>
      </c>
      <c r="Z64" s="145" t="s">
        <v>75</v>
      </c>
    </row>
    <row r="65" spans="3:26" ht="24" customHeight="1" x14ac:dyDescent="0.2">
      <c r="C65" s="89"/>
      <c r="D65" s="122" t="s">
        <v>432</v>
      </c>
      <c r="E65" s="342"/>
      <c r="F65" s="343"/>
      <c r="G65" s="344"/>
      <c r="H65" s="134" t="s">
        <v>794</v>
      </c>
      <c r="I65" s="381" t="s">
        <v>693</v>
      </c>
      <c r="J65" s="382"/>
      <c r="K65" s="383"/>
      <c r="L65" s="135"/>
      <c r="M65" s="136"/>
      <c r="O65" s="146" t="s">
        <v>810</v>
      </c>
      <c r="P65" s="147">
        <v>0.1</v>
      </c>
      <c r="Q65" s="148">
        <v>3.3000000000000002E-2</v>
      </c>
      <c r="R65" s="149">
        <v>1.4999999999986358E-2</v>
      </c>
      <c r="S65" s="150"/>
      <c r="T65" s="146">
        <v>6.449999999998636E-2</v>
      </c>
      <c r="U65" s="148">
        <v>-15.49</v>
      </c>
      <c r="V65" s="147">
        <v>91.8</v>
      </c>
      <c r="W65" s="150"/>
      <c r="X65" s="150"/>
      <c r="Y65" s="151"/>
      <c r="Z65" s="151"/>
    </row>
    <row r="66" spans="3:26" ht="24" customHeight="1" x14ac:dyDescent="0.2">
      <c r="C66" s="89"/>
      <c r="D66" s="92" t="s">
        <v>433</v>
      </c>
      <c r="E66" s="357" t="s">
        <v>99</v>
      </c>
      <c r="F66" s="358"/>
      <c r="G66" s="359"/>
      <c r="H66" s="134" t="s">
        <v>795</v>
      </c>
      <c r="I66" s="307"/>
      <c r="J66" s="308"/>
      <c r="K66" s="309"/>
      <c r="L66" s="135"/>
      <c r="M66" s="136"/>
      <c r="O66" s="152"/>
      <c r="P66" s="152"/>
      <c r="Q66" s="152"/>
      <c r="R66" s="153"/>
      <c r="S66" s="154"/>
      <c r="T66" s="152"/>
      <c r="U66" s="152"/>
      <c r="V66" s="152"/>
      <c r="W66" s="154"/>
      <c r="X66" s="154"/>
      <c r="Y66" s="155"/>
      <c r="Z66" s="155"/>
    </row>
    <row r="67" spans="3:26" ht="25" customHeight="1" thickBot="1" x14ac:dyDescent="0.25">
      <c r="C67" s="89"/>
      <c r="D67" s="92" t="s">
        <v>434</v>
      </c>
      <c r="E67" s="357" t="s">
        <v>171</v>
      </c>
      <c r="F67" s="358"/>
      <c r="G67" s="359"/>
      <c r="H67" s="92"/>
      <c r="I67" s="307"/>
      <c r="J67" s="308"/>
      <c r="K67" s="309"/>
      <c r="L67" s="135"/>
      <c r="M67" s="136"/>
      <c r="O67" s="156" t="s">
        <v>811</v>
      </c>
      <c r="P67" s="157">
        <v>0.1</v>
      </c>
      <c r="Q67" s="158">
        <v>7.6399999999999996E-2</v>
      </c>
      <c r="R67" s="159">
        <v>1.6E-2</v>
      </c>
      <c r="S67" s="160">
        <v>1</v>
      </c>
      <c r="T67" s="156">
        <v>0.13059999999999999</v>
      </c>
      <c r="U67" s="161">
        <v>-31.364248062022131</v>
      </c>
      <c r="V67" s="162">
        <v>91.8</v>
      </c>
      <c r="W67" s="163">
        <v>4.4320000000000004</v>
      </c>
      <c r="X67" s="164">
        <v>139.00634741088209</v>
      </c>
      <c r="Y67" s="165"/>
      <c r="Z67" s="165"/>
    </row>
    <row r="68" spans="3:26" ht="25" customHeight="1" thickBot="1" x14ac:dyDescent="0.25">
      <c r="C68" s="89"/>
      <c r="D68" s="94" t="s">
        <v>435</v>
      </c>
      <c r="E68" s="360">
        <v>0.52083333333333337</v>
      </c>
      <c r="F68" s="361"/>
      <c r="G68" s="362"/>
      <c r="H68" s="92"/>
      <c r="I68" s="307"/>
      <c r="J68" s="308"/>
      <c r="K68" s="309"/>
      <c r="L68" s="137">
        <v>0.75</v>
      </c>
      <c r="M68" s="137">
        <v>0.64583333333333337</v>
      </c>
      <c r="O68" s="166" t="s">
        <v>812</v>
      </c>
      <c r="P68" s="167">
        <v>0.1</v>
      </c>
      <c r="Q68" s="187">
        <v>9.0266666666666676E-2</v>
      </c>
      <c r="R68" s="169">
        <v>1.6E-2</v>
      </c>
      <c r="S68" s="170">
        <v>1</v>
      </c>
      <c r="T68" s="167">
        <v>0.15140000000000001</v>
      </c>
      <c r="U68" s="171">
        <v>-36.359472868224742</v>
      </c>
      <c r="V68" s="172">
        <v>91.8</v>
      </c>
      <c r="W68" s="173">
        <v>4.45</v>
      </c>
      <c r="X68" s="174">
        <v>161.7996542636001</v>
      </c>
      <c r="Y68" s="175"/>
      <c r="Z68" s="175"/>
    </row>
    <row r="69" spans="3:26" ht="49" customHeight="1" thickBot="1" x14ac:dyDescent="0.25">
      <c r="C69" s="89"/>
      <c r="D69" s="96" t="s">
        <v>436</v>
      </c>
      <c r="E69" s="97" t="s">
        <v>29</v>
      </c>
      <c r="F69" s="97" t="s">
        <v>28</v>
      </c>
      <c r="G69" s="98" t="s">
        <v>27</v>
      </c>
      <c r="H69" s="98" t="s">
        <v>793</v>
      </c>
      <c r="I69" s="307"/>
      <c r="J69" s="308"/>
      <c r="K69" s="309"/>
      <c r="L69" s="135"/>
      <c r="M69" s="136"/>
      <c r="O69" s="154"/>
      <c r="P69" s="176"/>
      <c r="Q69" s="154"/>
      <c r="R69" s="154"/>
      <c r="S69" s="154"/>
      <c r="T69" s="154"/>
      <c r="U69" s="177"/>
      <c r="V69" s="178"/>
      <c r="W69" s="154"/>
      <c r="X69" s="177"/>
      <c r="Y69" s="155"/>
      <c r="Z69" s="155"/>
    </row>
    <row r="70" spans="3:26" ht="24" x14ac:dyDescent="0.2">
      <c r="C70" s="89"/>
      <c r="D70" s="99">
        <v>45582</v>
      </c>
      <c r="E70" s="105" t="s">
        <v>171</v>
      </c>
      <c r="F70" s="105" t="s">
        <v>171</v>
      </c>
      <c r="G70" s="105" t="s">
        <v>692</v>
      </c>
      <c r="H70" s="138">
        <v>0.52083333333333337</v>
      </c>
      <c r="I70" s="307"/>
      <c r="J70" s="308"/>
      <c r="K70" s="309"/>
      <c r="L70" s="135"/>
      <c r="M70" s="136"/>
      <c r="O70" s="179"/>
      <c r="P70" s="155"/>
      <c r="Q70" s="179"/>
      <c r="R70" s="179"/>
      <c r="S70" s="179"/>
      <c r="T70" s="179"/>
      <c r="U70" s="179"/>
      <c r="V70" s="179"/>
      <c r="W70" s="179"/>
      <c r="X70" s="179"/>
      <c r="Y70" s="155"/>
      <c r="Z70" s="155"/>
    </row>
    <row r="71" spans="3:26" ht="24" x14ac:dyDescent="0.2">
      <c r="C71" s="89"/>
      <c r="D71" s="99">
        <v>45575</v>
      </c>
      <c r="E71" s="105" t="s">
        <v>678</v>
      </c>
      <c r="F71" s="105" t="s">
        <v>580</v>
      </c>
      <c r="G71" s="105" t="s">
        <v>638</v>
      </c>
      <c r="H71" s="138">
        <v>0.52083333333333337</v>
      </c>
      <c r="I71" s="307"/>
      <c r="J71" s="308"/>
      <c r="K71" s="309"/>
      <c r="L71" s="135"/>
      <c r="M71" s="136"/>
      <c r="O71" s="146" t="s">
        <v>813</v>
      </c>
      <c r="P71" s="147">
        <v>0.1</v>
      </c>
      <c r="Q71" s="180">
        <v>9.0266666666666676E-2</v>
      </c>
      <c r="R71" s="181">
        <v>1.6E-2</v>
      </c>
      <c r="S71" s="150">
        <v>1</v>
      </c>
      <c r="T71" s="156">
        <v>0.15140000000000003</v>
      </c>
      <c r="U71" s="182">
        <v>-36.359472868224749</v>
      </c>
      <c r="V71" s="183">
        <v>91.8</v>
      </c>
      <c r="W71" s="150">
        <v>2</v>
      </c>
      <c r="X71" s="184">
        <v>72.718945736449498</v>
      </c>
      <c r="Y71" s="185" t="s">
        <v>814</v>
      </c>
      <c r="Z71" s="185"/>
    </row>
    <row r="72" spans="3:26" ht="24" x14ac:dyDescent="0.2">
      <c r="C72" s="89"/>
      <c r="D72" s="99">
        <v>45568</v>
      </c>
      <c r="E72" s="105" t="s">
        <v>638</v>
      </c>
      <c r="F72" s="105" t="s">
        <v>734</v>
      </c>
      <c r="G72" s="105" t="s">
        <v>345</v>
      </c>
      <c r="H72" s="138">
        <v>0.52083333333333337</v>
      </c>
      <c r="I72" s="307"/>
      <c r="J72" s="308"/>
      <c r="K72" s="309"/>
      <c r="L72" s="141"/>
      <c r="M72" s="136"/>
      <c r="O72" s="146"/>
      <c r="P72" s="147"/>
      <c r="Q72" s="180"/>
      <c r="R72" s="181"/>
      <c r="S72" s="150"/>
      <c r="T72" s="147"/>
      <c r="U72" s="182"/>
      <c r="V72" s="183"/>
      <c r="W72" s="150"/>
      <c r="X72" s="184"/>
      <c r="Y72" s="185"/>
      <c r="Z72" s="185"/>
    </row>
    <row r="73" spans="3:26" ht="24" customHeight="1" x14ac:dyDescent="0.2">
      <c r="C73" s="89"/>
      <c r="D73" s="99">
        <v>45561</v>
      </c>
      <c r="E73" s="105" t="s">
        <v>382</v>
      </c>
      <c r="F73" s="105" t="s">
        <v>574</v>
      </c>
      <c r="G73" s="105" t="s">
        <v>72</v>
      </c>
      <c r="H73" s="138">
        <v>0.52083333333333337</v>
      </c>
      <c r="I73" s="307"/>
      <c r="J73" s="308"/>
      <c r="K73" s="309"/>
      <c r="L73" s="135"/>
      <c r="M73" s="136"/>
      <c r="O73" s="146" t="s">
        <v>816</v>
      </c>
      <c r="P73" s="147"/>
      <c r="Q73" s="180"/>
      <c r="R73" s="181"/>
      <c r="S73" s="150"/>
      <c r="T73" s="147"/>
      <c r="U73" s="182">
        <v>0</v>
      </c>
      <c r="V73" s="183"/>
      <c r="W73" s="150"/>
      <c r="X73" s="184">
        <v>0</v>
      </c>
      <c r="Y73" s="185"/>
      <c r="Z73" s="185"/>
    </row>
    <row r="74" spans="3:26" ht="24" customHeight="1" x14ac:dyDescent="0.2">
      <c r="C74" s="89"/>
      <c r="D74" s="99">
        <v>45554</v>
      </c>
      <c r="E74" s="105" t="s">
        <v>345</v>
      </c>
      <c r="F74" s="105" t="s">
        <v>576</v>
      </c>
      <c r="G74" s="105" t="s">
        <v>268</v>
      </c>
      <c r="H74" s="138">
        <v>0.52083333333333337</v>
      </c>
      <c r="I74" s="307"/>
      <c r="J74" s="308"/>
      <c r="K74" s="309"/>
      <c r="L74" s="135"/>
      <c r="M74" s="136"/>
      <c r="O74" s="91"/>
      <c r="P74" s="91"/>
      <c r="Q74" s="91"/>
      <c r="R74" s="91"/>
      <c r="S74" s="91"/>
      <c r="T74" s="91"/>
      <c r="U74" s="91"/>
      <c r="V74" s="91"/>
      <c r="W74" s="91"/>
      <c r="X74" s="91"/>
      <c r="Y74" s="91"/>
      <c r="Z74" s="91"/>
    </row>
    <row r="75" spans="3:26" ht="25" thickBot="1" x14ac:dyDescent="0.25">
      <c r="C75" s="89"/>
      <c r="D75" s="99">
        <v>45547</v>
      </c>
      <c r="E75" s="105" t="s">
        <v>330</v>
      </c>
      <c r="F75" s="105" t="s">
        <v>578</v>
      </c>
      <c r="G75" s="105" t="s">
        <v>579</v>
      </c>
      <c r="H75" s="138">
        <v>0.52083333333333337</v>
      </c>
      <c r="I75" s="310"/>
      <c r="J75" s="311"/>
      <c r="K75" s="312"/>
      <c r="L75" s="142"/>
      <c r="M75" s="140"/>
      <c r="O75" s="91"/>
      <c r="P75" s="91"/>
      <c r="Q75" s="91"/>
      <c r="R75" s="91"/>
      <c r="S75" s="91"/>
      <c r="T75" s="91"/>
      <c r="U75" s="91"/>
      <c r="V75" s="91"/>
      <c r="W75" s="91"/>
      <c r="X75" s="91"/>
      <c r="Y75" s="91"/>
      <c r="Z75" s="91"/>
    </row>
    <row r="76" spans="3:26" ht="73" customHeight="1" thickBot="1" x14ac:dyDescent="0.25">
      <c r="C76" s="89" t="s">
        <v>105</v>
      </c>
      <c r="D76" s="123" t="s">
        <v>30</v>
      </c>
      <c r="E76" s="363" t="s">
        <v>713</v>
      </c>
      <c r="F76" s="364"/>
      <c r="G76" s="365"/>
      <c r="H76" s="124" t="s">
        <v>790</v>
      </c>
      <c r="I76" s="325" t="s">
        <v>633</v>
      </c>
      <c r="J76" s="326"/>
      <c r="K76" s="327"/>
      <c r="L76" s="124" t="s">
        <v>430</v>
      </c>
      <c r="M76" s="125" t="s">
        <v>431</v>
      </c>
      <c r="O76" s="145" t="s">
        <v>800</v>
      </c>
      <c r="P76" s="145" t="s">
        <v>801</v>
      </c>
      <c r="Q76" s="145" t="s">
        <v>802</v>
      </c>
      <c r="R76" s="145" t="s">
        <v>803</v>
      </c>
      <c r="S76" s="145" t="s">
        <v>804</v>
      </c>
      <c r="T76" s="145" t="s">
        <v>805</v>
      </c>
      <c r="U76" s="145" t="s">
        <v>806</v>
      </c>
      <c r="V76" s="145" t="s">
        <v>807</v>
      </c>
      <c r="W76" s="145" t="s">
        <v>808</v>
      </c>
      <c r="X76" s="145" t="s">
        <v>809</v>
      </c>
      <c r="Y76" s="145" t="s">
        <v>75</v>
      </c>
      <c r="Z76" s="145" t="s">
        <v>75</v>
      </c>
    </row>
    <row r="77" spans="3:26" ht="24" customHeight="1" x14ac:dyDescent="0.2">
      <c r="C77" s="89"/>
      <c r="D77" s="122" t="s">
        <v>432</v>
      </c>
      <c r="E77" s="342"/>
      <c r="F77" s="343"/>
      <c r="G77" s="344"/>
      <c r="H77" s="134" t="s">
        <v>794</v>
      </c>
      <c r="I77" s="381" t="s">
        <v>714</v>
      </c>
      <c r="J77" s="382"/>
      <c r="K77" s="383"/>
      <c r="L77" s="135"/>
      <c r="M77" s="136"/>
      <c r="O77" s="146" t="s">
        <v>810</v>
      </c>
      <c r="P77" s="147">
        <v>0.1</v>
      </c>
      <c r="Q77" s="148">
        <v>1.3999999999999999E-4</v>
      </c>
      <c r="R77" s="149">
        <v>6.199999999998429E-4</v>
      </c>
      <c r="S77" s="150"/>
      <c r="T77" s="146">
        <v>8.2999999999984291E-4</v>
      </c>
      <c r="U77" s="148">
        <v>-30</v>
      </c>
      <c r="V77" s="147">
        <v>15.8</v>
      </c>
      <c r="W77" s="150"/>
      <c r="X77" s="150"/>
      <c r="Y77" s="151"/>
      <c r="Z77" s="151"/>
    </row>
    <row r="78" spans="3:26" ht="24" customHeight="1" x14ac:dyDescent="0.2">
      <c r="C78" s="89"/>
      <c r="D78" s="92" t="s">
        <v>433</v>
      </c>
      <c r="E78" s="372">
        <v>47.5</v>
      </c>
      <c r="F78" s="373"/>
      <c r="G78" s="374"/>
      <c r="H78" s="134" t="s">
        <v>795</v>
      </c>
      <c r="I78" s="307"/>
      <c r="J78" s="308"/>
      <c r="K78" s="309"/>
      <c r="L78" s="135"/>
      <c r="M78" s="136"/>
      <c r="O78" s="152"/>
      <c r="P78" s="152"/>
      <c r="Q78" s="152"/>
      <c r="R78" s="153"/>
      <c r="S78" s="154"/>
      <c r="T78" s="152"/>
      <c r="U78" s="152"/>
      <c r="V78" s="152"/>
      <c r="W78" s="154"/>
      <c r="X78" s="154"/>
      <c r="Y78" s="155"/>
      <c r="Z78" s="155"/>
    </row>
    <row r="79" spans="3:26" ht="25" customHeight="1" thickBot="1" x14ac:dyDescent="0.25">
      <c r="C79" s="89"/>
      <c r="D79" s="92" t="s">
        <v>434</v>
      </c>
      <c r="E79" s="372">
        <v>47.3</v>
      </c>
      <c r="F79" s="373"/>
      <c r="G79" s="374"/>
      <c r="H79" s="92"/>
      <c r="I79" s="307"/>
      <c r="J79" s="308"/>
      <c r="K79" s="309"/>
      <c r="L79" s="135"/>
      <c r="M79" s="136"/>
      <c r="O79" s="156" t="s">
        <v>811</v>
      </c>
      <c r="P79" s="157">
        <v>0.1</v>
      </c>
      <c r="Q79" s="158">
        <v>5.0000000000000001E-4</v>
      </c>
      <c r="R79" s="159">
        <v>1.7000000000000001E-4</v>
      </c>
      <c r="S79" s="160">
        <v>1</v>
      </c>
      <c r="T79" s="156">
        <v>9.2000000000000003E-4</v>
      </c>
      <c r="U79" s="161">
        <v>-33.253012048199068</v>
      </c>
      <c r="V79" s="162">
        <v>91.8</v>
      </c>
      <c r="W79" s="163">
        <v>1</v>
      </c>
      <c r="X79" s="164">
        <v>33.253012048199068</v>
      </c>
      <c r="Y79" s="165"/>
      <c r="Z79" s="165">
        <v>4.4350000000000005</v>
      </c>
    </row>
    <row r="80" spans="3:26" ht="25" customHeight="1" thickBot="1" x14ac:dyDescent="0.25">
      <c r="C80" s="89"/>
      <c r="D80" s="94" t="s">
        <v>435</v>
      </c>
      <c r="E80" s="360">
        <v>0.57291666666666674</v>
      </c>
      <c r="F80" s="361"/>
      <c r="G80" s="362"/>
      <c r="H80" s="92"/>
      <c r="I80" s="307"/>
      <c r="J80" s="308"/>
      <c r="K80" s="309"/>
      <c r="L80" s="137">
        <v>0.80208333333333337</v>
      </c>
      <c r="M80" s="137">
        <v>0.69791666666666674</v>
      </c>
      <c r="O80" s="166" t="s">
        <v>812</v>
      </c>
      <c r="P80" s="167">
        <v>0.1</v>
      </c>
      <c r="Q80" s="187">
        <v>4.2000000000000002E-4</v>
      </c>
      <c r="R80" s="169">
        <v>1.7000000000000001E-4</v>
      </c>
      <c r="S80" s="170">
        <v>1</v>
      </c>
      <c r="T80" s="167">
        <v>8.0000000000000004E-4</v>
      </c>
      <c r="U80" s="171">
        <v>-28.915662650607885</v>
      </c>
      <c r="V80" s="172">
        <v>91.8</v>
      </c>
      <c r="W80" s="173">
        <v>1</v>
      </c>
      <c r="X80" s="174">
        <v>28.915662650607885</v>
      </c>
      <c r="Y80" s="175"/>
      <c r="Z80" s="175"/>
    </row>
    <row r="81" spans="3:26" ht="49" customHeight="1" thickBot="1" x14ac:dyDescent="0.25">
      <c r="C81" s="89"/>
      <c r="D81" s="96" t="s">
        <v>436</v>
      </c>
      <c r="E81" s="97" t="s">
        <v>29</v>
      </c>
      <c r="F81" s="97" t="s">
        <v>28</v>
      </c>
      <c r="G81" s="98" t="s">
        <v>27</v>
      </c>
      <c r="H81" s="98" t="s">
        <v>793</v>
      </c>
      <c r="I81" s="307"/>
      <c r="J81" s="308"/>
      <c r="K81" s="309"/>
      <c r="L81" s="135"/>
      <c r="M81" s="136"/>
      <c r="O81" s="154"/>
      <c r="P81" s="176"/>
      <c r="Q81" s="154"/>
      <c r="R81" s="154"/>
      <c r="S81" s="154"/>
      <c r="T81" s="154"/>
      <c r="U81" s="177"/>
      <c r="V81" s="178"/>
      <c r="W81" s="154"/>
      <c r="X81" s="177"/>
      <c r="Y81" s="155"/>
      <c r="Z81" s="155"/>
    </row>
    <row r="82" spans="3:26" ht="24" x14ac:dyDescent="0.2">
      <c r="C82" s="89"/>
      <c r="D82" s="99">
        <v>45566</v>
      </c>
      <c r="E82" s="109">
        <v>47.3</v>
      </c>
      <c r="F82" s="109" t="s">
        <v>758</v>
      </c>
      <c r="G82" s="109">
        <v>47.9</v>
      </c>
      <c r="H82" s="138">
        <v>0.57291666666666674</v>
      </c>
      <c r="I82" s="307"/>
      <c r="J82" s="308"/>
      <c r="K82" s="309"/>
      <c r="L82" s="135"/>
      <c r="M82" s="136"/>
      <c r="O82" s="179"/>
      <c r="P82" s="155"/>
      <c r="Q82" s="179"/>
      <c r="R82" s="179"/>
      <c r="S82" s="179"/>
      <c r="T82" s="179"/>
      <c r="U82" s="179"/>
      <c r="V82" s="179"/>
      <c r="W82" s="179"/>
      <c r="X82" s="179"/>
      <c r="Y82" s="155"/>
      <c r="Z82" s="155"/>
    </row>
    <row r="83" spans="3:26" ht="24" x14ac:dyDescent="0.2">
      <c r="C83" s="89"/>
      <c r="D83" s="99">
        <v>45558</v>
      </c>
      <c r="E83" s="109">
        <v>47</v>
      </c>
      <c r="F83" s="109" t="s">
        <v>500</v>
      </c>
      <c r="G83" s="109">
        <v>47.9</v>
      </c>
      <c r="H83" s="138">
        <v>0.57291666666666674</v>
      </c>
      <c r="I83" s="307"/>
      <c r="J83" s="308"/>
      <c r="K83" s="309"/>
      <c r="L83" s="135"/>
      <c r="M83" s="136"/>
      <c r="O83" s="146" t="s">
        <v>813</v>
      </c>
      <c r="P83" s="147">
        <v>0.1</v>
      </c>
      <c r="Q83" s="180">
        <v>4.2000000000000002E-4</v>
      </c>
      <c r="R83" s="181">
        <v>1.7000000000000001E-4</v>
      </c>
      <c r="S83" s="150">
        <v>1</v>
      </c>
      <c r="T83" s="156">
        <v>8.0000000000000004E-4</v>
      </c>
      <c r="U83" s="182">
        <v>-28.915662650607885</v>
      </c>
      <c r="V83" s="183">
        <v>91.8</v>
      </c>
      <c r="W83" s="150">
        <v>2</v>
      </c>
      <c r="X83" s="184">
        <v>57.83132530121577</v>
      </c>
      <c r="Y83" s="185" t="s">
        <v>814</v>
      </c>
      <c r="Z83" s="185"/>
    </row>
    <row r="84" spans="3:26" ht="24" x14ac:dyDescent="0.2">
      <c r="C84" s="89"/>
      <c r="D84" s="99">
        <v>45538</v>
      </c>
      <c r="E84" s="109">
        <v>47.9</v>
      </c>
      <c r="F84" s="109" t="s">
        <v>502</v>
      </c>
      <c r="G84" s="109">
        <v>49.6</v>
      </c>
      <c r="H84" s="138">
        <v>0.57291666666666674</v>
      </c>
      <c r="I84" s="307"/>
      <c r="J84" s="308"/>
      <c r="K84" s="309"/>
      <c r="L84" s="141"/>
      <c r="M84" s="136"/>
      <c r="O84" s="146"/>
      <c r="P84" s="147"/>
      <c r="Q84" s="180"/>
      <c r="R84" s="181"/>
      <c r="S84" s="150"/>
      <c r="T84" s="147"/>
      <c r="U84" s="182"/>
      <c r="V84" s="183"/>
      <c r="W84" s="150"/>
      <c r="X84" s="184"/>
      <c r="Y84" s="185"/>
      <c r="Z84" s="185"/>
    </row>
    <row r="85" spans="3:26" ht="24" x14ac:dyDescent="0.2">
      <c r="C85" s="89"/>
      <c r="D85" s="99">
        <v>45526</v>
      </c>
      <c r="E85" s="109">
        <v>48</v>
      </c>
      <c r="F85" s="109" t="s">
        <v>438</v>
      </c>
      <c r="G85" s="109">
        <v>49.6</v>
      </c>
      <c r="H85" s="138">
        <v>0.57291666666666674</v>
      </c>
      <c r="I85" s="307"/>
      <c r="J85" s="308"/>
      <c r="K85" s="309"/>
      <c r="L85" s="135"/>
      <c r="M85" s="136"/>
      <c r="O85" s="146" t="s">
        <v>816</v>
      </c>
      <c r="P85" s="147"/>
      <c r="Q85" s="180"/>
      <c r="R85" s="181"/>
      <c r="S85" s="150"/>
      <c r="T85" s="147"/>
      <c r="U85" s="182">
        <v>0</v>
      </c>
      <c r="V85" s="183"/>
      <c r="W85" s="150"/>
      <c r="X85" s="184">
        <v>0</v>
      </c>
      <c r="Y85" s="185"/>
      <c r="Z85" s="185"/>
    </row>
    <row r="86" spans="3:26" ht="24" x14ac:dyDescent="0.2">
      <c r="C86" s="89"/>
      <c r="D86" s="99">
        <v>45505</v>
      </c>
      <c r="E86" s="109">
        <v>49.6</v>
      </c>
      <c r="F86" s="109" t="s">
        <v>438</v>
      </c>
      <c r="G86" s="109">
        <v>51.6</v>
      </c>
      <c r="H86" s="138">
        <v>0.57291666666666674</v>
      </c>
      <c r="I86" s="307"/>
      <c r="J86" s="308"/>
      <c r="K86" s="309"/>
      <c r="L86" s="135"/>
      <c r="M86" s="136"/>
      <c r="O86" s="91"/>
      <c r="P86" s="91"/>
      <c r="Q86" s="91"/>
      <c r="R86" s="91"/>
      <c r="S86" s="91"/>
      <c r="T86" s="91"/>
      <c r="U86" s="91"/>
      <c r="V86" s="91"/>
      <c r="W86" s="91"/>
      <c r="X86" s="91"/>
      <c r="Y86" s="91"/>
      <c r="Z86" s="91"/>
    </row>
    <row r="87" spans="3:26" ht="25" thickBot="1" x14ac:dyDescent="0.25">
      <c r="C87" s="89"/>
      <c r="D87" s="99">
        <v>45497</v>
      </c>
      <c r="E87" s="109">
        <v>49.5</v>
      </c>
      <c r="F87" s="109" t="s">
        <v>506</v>
      </c>
      <c r="G87" s="109">
        <v>51.6</v>
      </c>
      <c r="H87" s="138">
        <v>0.57291666666666674</v>
      </c>
      <c r="I87" s="310"/>
      <c r="J87" s="311"/>
      <c r="K87" s="312"/>
      <c r="L87" s="142"/>
      <c r="M87" s="140"/>
      <c r="O87" s="91"/>
      <c r="P87" s="91"/>
      <c r="Q87" s="91"/>
      <c r="R87" s="91"/>
      <c r="S87" s="91"/>
      <c r="T87" s="91"/>
      <c r="U87" s="91"/>
      <c r="V87" s="91"/>
      <c r="W87" s="91"/>
      <c r="X87" s="91"/>
      <c r="Y87" s="91"/>
      <c r="Z87" s="91"/>
    </row>
    <row r="88" spans="3:26" ht="73" customHeight="1" thickBot="1" x14ac:dyDescent="0.25">
      <c r="C88" s="89" t="s">
        <v>105</v>
      </c>
      <c r="D88" s="123" t="s">
        <v>30</v>
      </c>
      <c r="E88" s="363" t="s">
        <v>715</v>
      </c>
      <c r="F88" s="364"/>
      <c r="G88" s="365"/>
      <c r="H88" s="124" t="s">
        <v>790</v>
      </c>
      <c r="I88" s="325" t="s">
        <v>633</v>
      </c>
      <c r="J88" s="326"/>
      <c r="K88" s="327"/>
      <c r="L88" s="124" t="s">
        <v>430</v>
      </c>
      <c r="M88" s="125" t="s">
        <v>431</v>
      </c>
      <c r="O88" s="145" t="s">
        <v>800</v>
      </c>
      <c r="P88" s="145" t="s">
        <v>801</v>
      </c>
      <c r="Q88" s="145" t="s">
        <v>802</v>
      </c>
      <c r="R88" s="145" t="s">
        <v>803</v>
      </c>
      <c r="S88" s="145" t="s">
        <v>804</v>
      </c>
      <c r="T88" s="145" t="s">
        <v>805</v>
      </c>
      <c r="U88" s="145" t="s">
        <v>806</v>
      </c>
      <c r="V88" s="145" t="s">
        <v>807</v>
      </c>
      <c r="W88" s="145" t="s">
        <v>808</v>
      </c>
      <c r="X88" s="145" t="s">
        <v>809</v>
      </c>
      <c r="Y88" s="145" t="s">
        <v>75</v>
      </c>
      <c r="Z88" s="145" t="s">
        <v>75</v>
      </c>
    </row>
    <row r="89" spans="3:26" ht="24" customHeight="1" x14ac:dyDescent="0.2">
      <c r="C89" s="89"/>
      <c r="D89" s="122" t="s">
        <v>432</v>
      </c>
      <c r="E89" s="342"/>
      <c r="F89" s="343"/>
      <c r="G89" s="344"/>
      <c r="H89" s="134" t="s">
        <v>794</v>
      </c>
      <c r="I89" s="381" t="s">
        <v>716</v>
      </c>
      <c r="J89" s="382"/>
      <c r="K89" s="383"/>
      <c r="L89" s="135"/>
      <c r="M89" s="136"/>
      <c r="O89" s="146" t="s">
        <v>810</v>
      </c>
      <c r="P89" s="147">
        <v>0.1</v>
      </c>
      <c r="Q89" s="148">
        <v>3.3000000000000002E-2</v>
      </c>
      <c r="R89" s="149">
        <v>1.4999999999986358E-2</v>
      </c>
      <c r="S89" s="150"/>
      <c r="T89" s="146">
        <v>6.449999999998636E-2</v>
      </c>
      <c r="U89" s="148">
        <v>-15.49</v>
      </c>
      <c r="V89" s="147">
        <v>91.8</v>
      </c>
      <c r="W89" s="150"/>
      <c r="X89" s="150"/>
      <c r="Y89" s="151"/>
      <c r="Z89" s="151"/>
    </row>
    <row r="90" spans="3:26" ht="24" customHeight="1" x14ac:dyDescent="0.2">
      <c r="C90" s="89"/>
      <c r="D90" s="92" t="s">
        <v>433</v>
      </c>
      <c r="E90" s="372">
        <v>55</v>
      </c>
      <c r="F90" s="373"/>
      <c r="G90" s="374"/>
      <c r="H90" s="134" t="s">
        <v>795</v>
      </c>
      <c r="I90" s="307"/>
      <c r="J90" s="308"/>
      <c r="K90" s="309"/>
      <c r="L90" s="135"/>
      <c r="M90" s="136"/>
      <c r="O90" s="152"/>
      <c r="P90" s="152"/>
      <c r="Q90" s="152"/>
      <c r="R90" s="153"/>
      <c r="S90" s="154"/>
      <c r="T90" s="152"/>
      <c r="U90" s="152"/>
      <c r="V90" s="152"/>
      <c r="W90" s="154"/>
      <c r="X90" s="154"/>
      <c r="Y90" s="155"/>
      <c r="Z90" s="155"/>
    </row>
    <row r="91" spans="3:26" ht="25" customHeight="1" thickBot="1" x14ac:dyDescent="0.25">
      <c r="C91" s="89"/>
      <c r="D91" s="92" t="s">
        <v>434</v>
      </c>
      <c r="E91" s="372">
        <v>55.2</v>
      </c>
      <c r="F91" s="373"/>
      <c r="G91" s="374"/>
      <c r="H91" s="92"/>
      <c r="I91" s="307"/>
      <c r="J91" s="308"/>
      <c r="K91" s="309"/>
      <c r="L91" s="135"/>
      <c r="M91" s="136"/>
      <c r="O91" s="156" t="s">
        <v>811</v>
      </c>
      <c r="P91" s="157">
        <v>0.1</v>
      </c>
      <c r="Q91" s="158">
        <v>7.9600000000000004E-2</v>
      </c>
      <c r="R91" s="159">
        <v>1.7000000000000001E-2</v>
      </c>
      <c r="S91" s="160">
        <v>1</v>
      </c>
      <c r="T91" s="156">
        <v>0.13640000000000002</v>
      </c>
      <c r="U91" s="161">
        <v>-32.757147286828641</v>
      </c>
      <c r="V91" s="162">
        <v>91.8</v>
      </c>
      <c r="W91" s="163">
        <v>2.4300000000000002</v>
      </c>
      <c r="X91" s="164">
        <v>79.599867906993609</v>
      </c>
      <c r="Y91" s="165"/>
      <c r="Z91" s="165">
        <v>4.4350000000000005</v>
      </c>
    </row>
    <row r="92" spans="3:26" ht="25" customHeight="1" thickBot="1" x14ac:dyDescent="0.25">
      <c r="C92" s="89"/>
      <c r="D92" s="94" t="s">
        <v>435</v>
      </c>
      <c r="E92" s="360">
        <v>0.57291666666666674</v>
      </c>
      <c r="F92" s="361"/>
      <c r="G92" s="362"/>
      <c r="H92" s="92"/>
      <c r="I92" s="307"/>
      <c r="J92" s="308"/>
      <c r="K92" s="309"/>
      <c r="L92" s="137">
        <v>0.80208333333333337</v>
      </c>
      <c r="M92" s="137">
        <v>0.69791666666666674</v>
      </c>
      <c r="O92" s="166" t="s">
        <v>812</v>
      </c>
      <c r="P92" s="167">
        <v>0.1</v>
      </c>
      <c r="Q92" s="187">
        <v>9.1666666666666674E-2</v>
      </c>
      <c r="R92" s="169">
        <v>1.7000000000000001E-2</v>
      </c>
      <c r="S92" s="170">
        <v>1</v>
      </c>
      <c r="T92" s="167">
        <v>0.1545</v>
      </c>
      <c r="U92" s="171">
        <v>-37.103953488379936</v>
      </c>
      <c r="V92" s="172">
        <v>91.8</v>
      </c>
      <c r="W92" s="173">
        <v>2.5</v>
      </c>
      <c r="X92" s="174">
        <v>92.759883720949844</v>
      </c>
      <c r="Y92" s="175"/>
      <c r="Z92" s="175"/>
    </row>
    <row r="93" spans="3:26" ht="49" customHeight="1" thickBot="1" x14ac:dyDescent="0.25">
      <c r="C93" s="89"/>
      <c r="D93" s="96" t="s">
        <v>436</v>
      </c>
      <c r="E93" s="97" t="s">
        <v>29</v>
      </c>
      <c r="F93" s="97" t="s">
        <v>28</v>
      </c>
      <c r="G93" s="98" t="s">
        <v>27</v>
      </c>
      <c r="H93" s="98" t="s">
        <v>793</v>
      </c>
      <c r="I93" s="307"/>
      <c r="J93" s="308"/>
      <c r="K93" s="309"/>
      <c r="L93" s="135"/>
      <c r="M93" s="136"/>
      <c r="O93" s="154"/>
      <c r="P93" s="176"/>
      <c r="Q93" s="154"/>
      <c r="R93" s="154"/>
      <c r="S93" s="154"/>
      <c r="T93" s="154"/>
      <c r="U93" s="177"/>
      <c r="V93" s="178"/>
      <c r="W93" s="154"/>
      <c r="X93" s="177"/>
      <c r="Y93" s="155"/>
      <c r="Z93" s="155"/>
    </row>
    <row r="94" spans="3:26" ht="24" x14ac:dyDescent="0.2">
      <c r="C94" s="89"/>
      <c r="D94" s="99">
        <v>45568</v>
      </c>
      <c r="E94" s="109">
        <v>55.2</v>
      </c>
      <c r="F94" s="109" t="s">
        <v>759</v>
      </c>
      <c r="G94" s="109">
        <v>55.7</v>
      </c>
      <c r="H94" s="138">
        <v>0.57291666666666674</v>
      </c>
      <c r="I94" s="307"/>
      <c r="J94" s="308"/>
      <c r="K94" s="309"/>
      <c r="L94" s="135"/>
      <c r="M94" s="136"/>
      <c r="O94" s="179"/>
      <c r="P94" s="155"/>
      <c r="Q94" s="179"/>
      <c r="R94" s="179"/>
      <c r="S94" s="179"/>
      <c r="T94" s="179"/>
      <c r="U94" s="179"/>
      <c r="V94" s="179"/>
      <c r="W94" s="179"/>
      <c r="X94" s="179"/>
      <c r="Y94" s="155"/>
      <c r="Z94" s="155"/>
    </row>
    <row r="95" spans="3:26" ht="24" x14ac:dyDescent="0.2">
      <c r="C95" s="89"/>
      <c r="D95" s="99">
        <v>45558</v>
      </c>
      <c r="E95" s="109">
        <v>55.4</v>
      </c>
      <c r="F95" s="109" t="s">
        <v>585</v>
      </c>
      <c r="G95" s="109">
        <v>55.7</v>
      </c>
      <c r="H95" s="138">
        <v>0.57291666666666674</v>
      </c>
      <c r="I95" s="307"/>
      <c r="J95" s="308"/>
      <c r="K95" s="309"/>
      <c r="L95" s="135"/>
      <c r="M95" s="136"/>
      <c r="O95" s="146" t="s">
        <v>813</v>
      </c>
      <c r="P95" s="147">
        <v>0.1</v>
      </c>
      <c r="Q95" s="180">
        <v>8.5633333333333339E-2</v>
      </c>
      <c r="R95" s="181">
        <v>1.7000000000000001E-2</v>
      </c>
      <c r="S95" s="150">
        <v>0.5</v>
      </c>
      <c r="T95" s="156">
        <v>0.14545000000000002</v>
      </c>
      <c r="U95" s="182">
        <v>-17.465275193802146</v>
      </c>
      <c r="V95" s="183">
        <v>91.8</v>
      </c>
      <c r="W95" s="150">
        <v>2</v>
      </c>
      <c r="X95" s="184">
        <v>34.930550387604292</v>
      </c>
      <c r="Y95" s="185" t="s">
        <v>814</v>
      </c>
      <c r="Z95" s="185"/>
    </row>
    <row r="96" spans="3:26" ht="24" x14ac:dyDescent="0.2">
      <c r="C96" s="89"/>
      <c r="D96" s="99">
        <v>45539</v>
      </c>
      <c r="E96" s="109">
        <v>55.7</v>
      </c>
      <c r="F96" s="109" t="s">
        <v>586</v>
      </c>
      <c r="G96" s="109">
        <v>55</v>
      </c>
      <c r="H96" s="138">
        <v>0.57291666666666674</v>
      </c>
      <c r="I96" s="307"/>
      <c r="J96" s="308"/>
      <c r="K96" s="309"/>
      <c r="L96" s="141"/>
      <c r="M96" s="136"/>
      <c r="O96" s="146"/>
      <c r="P96" s="147"/>
      <c r="Q96" s="180"/>
      <c r="R96" s="181"/>
      <c r="S96" s="150"/>
      <c r="T96" s="147"/>
      <c r="U96" s="182"/>
      <c r="V96" s="183"/>
      <c r="W96" s="150"/>
      <c r="X96" s="184"/>
      <c r="Y96" s="185"/>
      <c r="Z96" s="185"/>
    </row>
    <row r="97" spans="3:26" ht="24" x14ac:dyDescent="0.2">
      <c r="C97" s="89"/>
      <c r="D97" s="99">
        <v>45526</v>
      </c>
      <c r="E97" s="109">
        <v>55.2</v>
      </c>
      <c r="F97" s="109" t="s">
        <v>587</v>
      </c>
      <c r="G97" s="109">
        <v>55</v>
      </c>
      <c r="H97" s="138">
        <v>0.57291666666666674</v>
      </c>
      <c r="I97" s="307"/>
      <c r="J97" s="308"/>
      <c r="K97" s="309"/>
      <c r="L97" s="135"/>
      <c r="M97" s="136"/>
      <c r="O97" s="146" t="s">
        <v>816</v>
      </c>
      <c r="P97" s="147"/>
      <c r="Q97" s="180"/>
      <c r="R97" s="181"/>
      <c r="S97" s="150"/>
      <c r="T97" s="147"/>
      <c r="U97" s="182">
        <v>0</v>
      </c>
      <c r="V97" s="183"/>
      <c r="W97" s="150"/>
      <c r="X97" s="184">
        <v>0</v>
      </c>
      <c r="Y97" s="185"/>
      <c r="Z97" s="185"/>
    </row>
    <row r="98" spans="3:26" ht="24" x14ac:dyDescent="0.2">
      <c r="C98" s="89"/>
      <c r="D98" s="99">
        <v>45509</v>
      </c>
      <c r="E98" s="109">
        <v>55</v>
      </c>
      <c r="F98" s="109" t="s">
        <v>589</v>
      </c>
      <c r="G98" s="109">
        <v>55.3</v>
      </c>
      <c r="H98" s="138">
        <v>0.57291666666666674</v>
      </c>
      <c r="I98" s="307"/>
      <c r="J98" s="308"/>
      <c r="K98" s="309"/>
      <c r="L98" s="135"/>
      <c r="M98" s="136"/>
      <c r="O98" s="91"/>
      <c r="P98" s="91"/>
      <c r="Q98" s="91"/>
      <c r="R98" s="91"/>
      <c r="S98" s="91"/>
      <c r="T98" s="91"/>
      <c r="U98" s="91"/>
      <c r="V98" s="91"/>
      <c r="W98" s="91"/>
      <c r="X98" s="91"/>
      <c r="Y98" s="91"/>
      <c r="Z98" s="91"/>
    </row>
    <row r="99" spans="3:26" ht="25" thickBot="1" x14ac:dyDescent="0.25">
      <c r="C99" s="89"/>
      <c r="D99" s="99">
        <v>45497</v>
      </c>
      <c r="E99" s="109">
        <v>56</v>
      </c>
      <c r="F99" s="109" t="s">
        <v>590</v>
      </c>
      <c r="G99" s="109">
        <v>55.3</v>
      </c>
      <c r="H99" s="138">
        <v>0.57291666666666674</v>
      </c>
      <c r="I99" s="310"/>
      <c r="J99" s="311"/>
      <c r="K99" s="312"/>
      <c r="L99" s="142"/>
      <c r="M99" s="140"/>
      <c r="O99" s="91"/>
      <c r="P99" s="91"/>
      <c r="Q99" s="91"/>
      <c r="R99" s="91"/>
      <c r="S99" s="91"/>
      <c r="T99" s="91"/>
      <c r="U99" s="91"/>
      <c r="V99" s="91"/>
      <c r="W99" s="91"/>
      <c r="X99" s="91"/>
      <c r="Y99" s="91"/>
      <c r="Z99" s="91"/>
    </row>
    <row r="100" spans="3:26" ht="73" customHeight="1" thickBot="1" x14ac:dyDescent="0.25">
      <c r="C100" s="89" t="s">
        <v>105</v>
      </c>
      <c r="D100" s="123" t="s">
        <v>30</v>
      </c>
      <c r="E100" s="363" t="s">
        <v>717</v>
      </c>
      <c r="F100" s="364"/>
      <c r="G100" s="365"/>
      <c r="H100" s="124" t="s">
        <v>790</v>
      </c>
      <c r="I100" s="325" t="s">
        <v>633</v>
      </c>
      <c r="J100" s="326"/>
      <c r="K100" s="327"/>
      <c r="L100" s="124" t="s">
        <v>430</v>
      </c>
      <c r="M100" s="125" t="s">
        <v>431</v>
      </c>
      <c r="O100" s="145" t="s">
        <v>800</v>
      </c>
      <c r="P100" s="145" t="s">
        <v>801</v>
      </c>
      <c r="Q100" s="145" t="s">
        <v>802</v>
      </c>
      <c r="R100" s="145" t="s">
        <v>803</v>
      </c>
      <c r="S100" s="145" t="s">
        <v>804</v>
      </c>
      <c r="T100" s="145" t="s">
        <v>805</v>
      </c>
      <c r="U100" s="145" t="s">
        <v>806</v>
      </c>
      <c r="V100" s="145" t="s">
        <v>807</v>
      </c>
      <c r="W100" s="145" t="s">
        <v>808</v>
      </c>
      <c r="X100" s="145" t="s">
        <v>809</v>
      </c>
      <c r="Y100" s="145" t="s">
        <v>75</v>
      </c>
      <c r="Z100" s="145" t="s">
        <v>75</v>
      </c>
    </row>
    <row r="101" spans="3:26" ht="24" customHeight="1" x14ac:dyDescent="0.2">
      <c r="C101" s="89"/>
      <c r="D101" s="122" t="s">
        <v>432</v>
      </c>
      <c r="E101" s="342"/>
      <c r="F101" s="343"/>
      <c r="G101" s="344"/>
      <c r="H101" s="134" t="s">
        <v>794</v>
      </c>
      <c r="I101" s="381" t="s">
        <v>719</v>
      </c>
      <c r="J101" s="382"/>
      <c r="K101" s="383"/>
      <c r="L101" s="135"/>
      <c r="M101" s="136"/>
      <c r="O101" s="146" t="s">
        <v>810</v>
      </c>
      <c r="P101" s="147">
        <v>0.1</v>
      </c>
      <c r="Q101" s="148">
        <v>3.3000000000000002E-2</v>
      </c>
      <c r="R101" s="149">
        <v>1.4999999999986358E-2</v>
      </c>
      <c r="S101" s="150"/>
      <c r="T101" s="146">
        <v>6.449999999998636E-2</v>
      </c>
      <c r="U101" s="148">
        <v>-15.49</v>
      </c>
      <c r="V101" s="147">
        <v>91.8</v>
      </c>
      <c r="W101" s="150"/>
      <c r="X101" s="150"/>
      <c r="Y101" s="151"/>
      <c r="Z101" s="151"/>
    </row>
    <row r="102" spans="3:26" ht="24" customHeight="1" x14ac:dyDescent="0.2">
      <c r="C102" s="89"/>
      <c r="D102" s="92" t="s">
        <v>433</v>
      </c>
      <c r="E102" s="372" t="s">
        <v>718</v>
      </c>
      <c r="F102" s="373"/>
      <c r="G102" s="374"/>
      <c r="H102" s="134" t="s">
        <v>795</v>
      </c>
      <c r="I102" s="307"/>
      <c r="J102" s="308"/>
      <c r="K102" s="309"/>
      <c r="L102" s="135"/>
      <c r="M102" s="136"/>
      <c r="O102" s="152"/>
      <c r="P102" s="152"/>
      <c r="Q102" s="152"/>
      <c r="R102" s="153"/>
      <c r="S102" s="154"/>
      <c r="T102" s="152"/>
      <c r="U102" s="152"/>
      <c r="V102" s="152"/>
      <c r="W102" s="154"/>
      <c r="X102" s="154"/>
      <c r="Y102" s="155"/>
      <c r="Z102" s="155"/>
    </row>
    <row r="103" spans="3:26" ht="25" customHeight="1" thickBot="1" x14ac:dyDescent="0.25">
      <c r="C103" s="89"/>
      <c r="D103" s="92" t="s">
        <v>434</v>
      </c>
      <c r="E103" s="372" t="s">
        <v>378</v>
      </c>
      <c r="F103" s="373"/>
      <c r="G103" s="374"/>
      <c r="H103" s="92"/>
      <c r="I103" s="307"/>
      <c r="J103" s="308"/>
      <c r="K103" s="309"/>
      <c r="L103" s="135"/>
      <c r="M103" s="136"/>
      <c r="O103" s="156" t="s">
        <v>811</v>
      </c>
      <c r="P103" s="157">
        <v>0.1</v>
      </c>
      <c r="Q103" s="158">
        <v>5.1900000000000002E-2</v>
      </c>
      <c r="R103" s="159">
        <v>1.7000000000000001E-4</v>
      </c>
      <c r="S103" s="160">
        <v>1</v>
      </c>
      <c r="T103" s="156">
        <v>7.8020000000000006E-2</v>
      </c>
      <c r="U103" s="161">
        <v>-18.736896124034974</v>
      </c>
      <c r="V103" s="162">
        <v>91.8</v>
      </c>
      <c r="W103" s="163">
        <v>5.81</v>
      </c>
      <c r="X103" s="164">
        <v>108.8613664806432</v>
      </c>
      <c r="Y103" s="165"/>
      <c r="Z103" s="165">
        <v>4.4350000000000005</v>
      </c>
    </row>
    <row r="104" spans="3:26" ht="25" customHeight="1" thickBot="1" x14ac:dyDescent="0.25">
      <c r="C104" s="89"/>
      <c r="D104" s="94" t="s">
        <v>435</v>
      </c>
      <c r="E104" s="360">
        <v>0.58333333333333337</v>
      </c>
      <c r="F104" s="361"/>
      <c r="G104" s="362"/>
      <c r="H104" s="92"/>
      <c r="I104" s="307"/>
      <c r="J104" s="308"/>
      <c r="K104" s="309"/>
      <c r="L104" s="137">
        <v>0.8125</v>
      </c>
      <c r="M104" s="137">
        <v>0.70833333333333337</v>
      </c>
      <c r="O104" s="166" t="s">
        <v>812</v>
      </c>
      <c r="P104" s="167">
        <v>0.1</v>
      </c>
      <c r="Q104" s="187">
        <v>7.4286666666666668E-2</v>
      </c>
      <c r="R104" s="169">
        <v>1.7000000000000001E-4</v>
      </c>
      <c r="S104" s="170">
        <v>1</v>
      </c>
      <c r="T104" s="167">
        <v>0.1116</v>
      </c>
      <c r="U104" s="171">
        <v>-26.801302325587066</v>
      </c>
      <c r="V104" s="172">
        <v>91.8</v>
      </c>
      <c r="W104" s="173">
        <v>1.74</v>
      </c>
      <c r="X104" s="174">
        <v>46.634266046521496</v>
      </c>
      <c r="Y104" s="175"/>
      <c r="Z104" s="175"/>
    </row>
    <row r="105" spans="3:26" ht="49" customHeight="1" thickBot="1" x14ac:dyDescent="0.25">
      <c r="C105" s="89"/>
      <c r="D105" s="96" t="s">
        <v>436</v>
      </c>
      <c r="E105" s="97" t="s">
        <v>29</v>
      </c>
      <c r="F105" s="97" t="s">
        <v>28</v>
      </c>
      <c r="G105" s="98" t="s">
        <v>27</v>
      </c>
      <c r="H105" s="98" t="s">
        <v>793</v>
      </c>
      <c r="I105" s="307"/>
      <c r="J105" s="308"/>
      <c r="K105" s="309"/>
      <c r="L105" s="135"/>
      <c r="M105" s="136"/>
      <c r="O105" s="154"/>
      <c r="P105" s="176"/>
      <c r="Q105" s="154"/>
      <c r="R105" s="154"/>
      <c r="S105" s="154"/>
      <c r="T105" s="154"/>
      <c r="U105" s="177"/>
      <c r="V105" s="178"/>
      <c r="W105" s="154"/>
      <c r="X105" s="177"/>
      <c r="Y105" s="155"/>
      <c r="Z105" s="155"/>
    </row>
    <row r="106" spans="3:26" ht="24" x14ac:dyDescent="0.2">
      <c r="C106" s="89"/>
      <c r="D106" s="99">
        <v>45560</v>
      </c>
      <c r="E106" s="105" t="s">
        <v>378</v>
      </c>
      <c r="F106" s="105" t="s">
        <v>760</v>
      </c>
      <c r="G106" s="105" t="s">
        <v>761</v>
      </c>
      <c r="H106" s="138">
        <v>0.58333333333333337</v>
      </c>
      <c r="I106" s="307"/>
      <c r="J106" s="308"/>
      <c r="K106" s="309"/>
      <c r="L106" s="135"/>
      <c r="M106" s="136"/>
      <c r="O106" s="179"/>
      <c r="P106" s="155"/>
      <c r="Q106" s="179"/>
      <c r="R106" s="179"/>
      <c r="S106" s="179"/>
      <c r="T106" s="179"/>
      <c r="U106" s="179"/>
      <c r="V106" s="179"/>
      <c r="W106" s="179"/>
      <c r="X106" s="179"/>
      <c r="Y106" s="155"/>
      <c r="Z106" s="155"/>
    </row>
    <row r="107" spans="3:26" ht="24" x14ac:dyDescent="0.2">
      <c r="C107" s="89"/>
      <c r="D107" s="99">
        <v>45527</v>
      </c>
      <c r="E107" s="105" t="s">
        <v>239</v>
      </c>
      <c r="F107" s="105" t="s">
        <v>762</v>
      </c>
      <c r="G107" s="105" t="s">
        <v>763</v>
      </c>
      <c r="H107" s="138">
        <v>0.58333333333333337</v>
      </c>
      <c r="I107" s="307"/>
      <c r="J107" s="308"/>
      <c r="K107" s="309"/>
      <c r="L107" s="135"/>
      <c r="M107" s="136"/>
      <c r="O107" s="146" t="s">
        <v>813</v>
      </c>
      <c r="P107" s="147">
        <v>0.1</v>
      </c>
      <c r="Q107" s="180">
        <v>7.4286666666666668E-2</v>
      </c>
      <c r="R107" s="181">
        <v>1.7000000000000001E-4</v>
      </c>
      <c r="S107" s="150">
        <v>0.5</v>
      </c>
      <c r="T107" s="156">
        <v>0.1116</v>
      </c>
      <c r="U107" s="182">
        <v>-13.400651162793533</v>
      </c>
      <c r="V107" s="183">
        <v>91.8</v>
      </c>
      <c r="W107" s="150">
        <v>2</v>
      </c>
      <c r="X107" s="184">
        <v>26.801302325587066</v>
      </c>
      <c r="Y107" s="185" t="s">
        <v>814</v>
      </c>
      <c r="Z107" s="185"/>
    </row>
    <row r="108" spans="3:26" ht="24" x14ac:dyDescent="0.2">
      <c r="C108" s="89"/>
      <c r="D108" s="99">
        <v>45497</v>
      </c>
      <c r="E108" s="105" t="s">
        <v>241</v>
      </c>
      <c r="F108" s="105" t="s">
        <v>764</v>
      </c>
      <c r="G108" s="105" t="s">
        <v>765</v>
      </c>
      <c r="H108" s="138">
        <v>0.58333333333333337</v>
      </c>
      <c r="I108" s="307"/>
      <c r="J108" s="308"/>
      <c r="K108" s="309"/>
      <c r="L108" s="141"/>
      <c r="M108" s="136"/>
      <c r="O108" s="146"/>
      <c r="P108" s="147"/>
      <c r="Q108" s="180"/>
      <c r="R108" s="181"/>
      <c r="S108" s="150"/>
      <c r="T108" s="147"/>
      <c r="U108" s="182"/>
      <c r="V108" s="183"/>
      <c r="W108" s="150"/>
      <c r="X108" s="184"/>
      <c r="Y108" s="185"/>
      <c r="Z108" s="185"/>
    </row>
    <row r="109" spans="3:26" ht="24" x14ac:dyDescent="0.2">
      <c r="C109" s="89"/>
      <c r="D109" s="99">
        <v>45469</v>
      </c>
      <c r="E109" s="105" t="s">
        <v>94</v>
      </c>
      <c r="F109" s="105" t="s">
        <v>767</v>
      </c>
      <c r="G109" s="105" t="s">
        <v>768</v>
      </c>
      <c r="H109" s="138">
        <v>0.58333333333333337</v>
      </c>
      <c r="I109" s="307"/>
      <c r="J109" s="308"/>
      <c r="K109" s="309"/>
      <c r="L109" s="135"/>
      <c r="M109" s="136"/>
      <c r="O109" s="146" t="s">
        <v>816</v>
      </c>
      <c r="P109" s="147"/>
      <c r="Q109" s="180"/>
      <c r="R109" s="181"/>
      <c r="S109" s="150"/>
      <c r="T109" s="147"/>
      <c r="U109" s="182">
        <v>0</v>
      </c>
      <c r="V109" s="183"/>
      <c r="W109" s="150"/>
      <c r="X109" s="184">
        <v>0</v>
      </c>
      <c r="Y109" s="185"/>
      <c r="Z109" s="185"/>
    </row>
    <row r="110" spans="3:26" ht="24" customHeight="1" x14ac:dyDescent="0.2">
      <c r="C110" s="89"/>
      <c r="D110" s="99">
        <v>45435</v>
      </c>
      <c r="E110" s="105" t="s">
        <v>770</v>
      </c>
      <c r="F110" s="105" t="s">
        <v>771</v>
      </c>
      <c r="G110" s="105" t="s">
        <v>772</v>
      </c>
      <c r="H110" s="138">
        <v>0.58333333333333337</v>
      </c>
      <c r="I110" s="307"/>
      <c r="J110" s="308"/>
      <c r="K110" s="309"/>
      <c r="L110" s="135"/>
      <c r="M110" s="136"/>
      <c r="O110" s="91"/>
      <c r="P110" s="91"/>
      <c r="Q110" s="91"/>
      <c r="R110" s="91"/>
      <c r="S110" s="91"/>
      <c r="T110" s="91"/>
      <c r="U110" s="91"/>
      <c r="V110" s="91"/>
      <c r="W110" s="91"/>
      <c r="X110" s="91"/>
      <c r="Y110" s="91"/>
      <c r="Z110" s="91"/>
    </row>
    <row r="111" spans="3:26" ht="25" thickBot="1" x14ac:dyDescent="0.25">
      <c r="C111" s="89"/>
      <c r="D111" s="99">
        <v>45405</v>
      </c>
      <c r="E111" s="105" t="s">
        <v>774</v>
      </c>
      <c r="F111" s="105" t="s">
        <v>775</v>
      </c>
      <c r="G111" s="105" t="s">
        <v>776</v>
      </c>
      <c r="H111" s="138">
        <v>0.58333333333333337</v>
      </c>
      <c r="I111" s="310"/>
      <c r="J111" s="311"/>
      <c r="K111" s="312"/>
      <c r="L111" s="142"/>
      <c r="M111" s="140"/>
      <c r="O111" s="91"/>
      <c r="P111" s="91"/>
      <c r="Q111" s="91"/>
      <c r="R111" s="91"/>
      <c r="S111" s="91"/>
      <c r="T111" s="91"/>
      <c r="U111" s="91"/>
      <c r="V111" s="91"/>
      <c r="W111" s="91"/>
      <c r="X111" s="91"/>
      <c r="Y111" s="91"/>
      <c r="Z111" s="91"/>
    </row>
    <row r="112" spans="3:26" ht="73" customHeight="1" thickBot="1" x14ac:dyDescent="0.25">
      <c r="C112" s="89" t="s">
        <v>105</v>
      </c>
      <c r="D112" s="123" t="s">
        <v>30</v>
      </c>
      <c r="E112" s="363" t="s">
        <v>720</v>
      </c>
      <c r="F112" s="364"/>
      <c r="G112" s="365"/>
      <c r="H112" s="124" t="s">
        <v>790</v>
      </c>
      <c r="I112" s="325" t="s">
        <v>633</v>
      </c>
      <c r="J112" s="326"/>
      <c r="K112" s="327"/>
      <c r="L112" s="124" t="s">
        <v>430</v>
      </c>
      <c r="M112" s="125" t="s">
        <v>431</v>
      </c>
      <c r="O112" s="145" t="s">
        <v>800</v>
      </c>
      <c r="P112" s="145" t="s">
        <v>801</v>
      </c>
      <c r="Q112" s="145" t="s">
        <v>802</v>
      </c>
      <c r="R112" s="145" t="s">
        <v>803</v>
      </c>
      <c r="S112" s="145" t="s">
        <v>804</v>
      </c>
      <c r="T112" s="145" t="s">
        <v>805</v>
      </c>
      <c r="U112" s="145" t="s">
        <v>806</v>
      </c>
      <c r="V112" s="145" t="s">
        <v>807</v>
      </c>
      <c r="W112" s="145" t="s">
        <v>808</v>
      </c>
      <c r="X112" s="145" t="s">
        <v>809</v>
      </c>
      <c r="Y112" s="145" t="s">
        <v>75</v>
      </c>
      <c r="Z112" s="145" t="s">
        <v>75</v>
      </c>
    </row>
    <row r="113" spans="3:26" ht="24" customHeight="1" x14ac:dyDescent="0.2">
      <c r="C113" s="89"/>
      <c r="D113" s="122" t="s">
        <v>432</v>
      </c>
      <c r="E113" s="342"/>
      <c r="F113" s="343"/>
      <c r="G113" s="344"/>
      <c r="H113" s="134" t="s">
        <v>794</v>
      </c>
      <c r="I113" s="381" t="s">
        <v>721</v>
      </c>
      <c r="J113" s="382"/>
      <c r="K113" s="383"/>
      <c r="L113" s="135"/>
      <c r="M113" s="136"/>
      <c r="O113" s="146" t="s">
        <v>810</v>
      </c>
      <c r="P113" s="147">
        <v>0.1</v>
      </c>
      <c r="Q113" s="148">
        <v>3.3000000000000002E-2</v>
      </c>
      <c r="R113" s="149">
        <v>1.4999999999986358E-2</v>
      </c>
      <c r="S113" s="150"/>
      <c r="T113" s="146">
        <v>6.449999999998636E-2</v>
      </c>
      <c r="U113" s="148">
        <v>-15.49</v>
      </c>
      <c r="V113" s="147">
        <v>91.8</v>
      </c>
      <c r="W113" s="150"/>
      <c r="X113" s="150"/>
      <c r="Y113" s="151"/>
      <c r="Z113" s="151"/>
    </row>
    <row r="114" spans="3:26" ht="24" customHeight="1" x14ac:dyDescent="0.2">
      <c r="C114" s="89"/>
      <c r="D114" s="92" t="s">
        <v>433</v>
      </c>
      <c r="E114" s="345">
        <v>-1.0999999999999999E-2</v>
      </c>
      <c r="F114" s="346"/>
      <c r="G114" s="347"/>
      <c r="H114" s="134" t="s">
        <v>795</v>
      </c>
      <c r="I114" s="307"/>
      <c r="J114" s="308"/>
      <c r="K114" s="309"/>
      <c r="L114" s="135"/>
      <c r="M114" s="136"/>
      <c r="O114" s="152"/>
      <c r="P114" s="152"/>
      <c r="Q114" s="152"/>
      <c r="R114" s="153"/>
      <c r="S114" s="154"/>
      <c r="T114" s="152"/>
      <c r="U114" s="152"/>
      <c r="V114" s="152"/>
      <c r="W114" s="154"/>
      <c r="X114" s="154"/>
      <c r="Y114" s="155"/>
      <c r="Z114" s="155"/>
    </row>
    <row r="115" spans="3:26" ht="25" customHeight="1" thickBot="1" x14ac:dyDescent="0.25">
      <c r="C115" s="89"/>
      <c r="D115" s="92" t="s">
        <v>434</v>
      </c>
      <c r="E115" s="345">
        <v>0</v>
      </c>
      <c r="F115" s="346"/>
      <c r="G115" s="347"/>
      <c r="H115" s="92"/>
      <c r="I115" s="307"/>
      <c r="J115" s="308"/>
      <c r="K115" s="309"/>
      <c r="L115" s="135"/>
      <c r="M115" s="136"/>
      <c r="O115" s="156" t="s">
        <v>811</v>
      </c>
      <c r="P115" s="157">
        <v>0.1</v>
      </c>
      <c r="Q115" s="158">
        <v>6.3500000000000001E-2</v>
      </c>
      <c r="R115" s="159">
        <v>1.7999999999999999E-2</v>
      </c>
      <c r="S115" s="160">
        <v>1</v>
      </c>
      <c r="T115" s="156">
        <v>0.11325</v>
      </c>
      <c r="U115" s="161">
        <v>-27.197558139540636</v>
      </c>
      <c r="V115" s="162">
        <v>91.8</v>
      </c>
      <c r="W115" s="163">
        <v>7.73</v>
      </c>
      <c r="X115" s="164">
        <v>210.23712441864913</v>
      </c>
      <c r="Y115" s="165"/>
      <c r="Z115" s="165"/>
    </row>
    <row r="116" spans="3:26" ht="25" customHeight="1" thickBot="1" x14ac:dyDescent="0.25">
      <c r="C116" s="89"/>
      <c r="D116" s="94" t="s">
        <v>435</v>
      </c>
      <c r="E116" s="360">
        <v>0.52083333333333337</v>
      </c>
      <c r="F116" s="361"/>
      <c r="G116" s="362"/>
      <c r="H116" s="92"/>
      <c r="I116" s="307"/>
      <c r="J116" s="308"/>
      <c r="K116" s="309"/>
      <c r="L116" s="137">
        <v>0.75</v>
      </c>
      <c r="M116" s="137">
        <v>0.64583333333333337</v>
      </c>
      <c r="O116" s="166" t="s">
        <v>812</v>
      </c>
      <c r="P116" s="167">
        <v>0.1</v>
      </c>
      <c r="Q116" s="187">
        <v>4.9866666666666663E-2</v>
      </c>
      <c r="R116" s="169">
        <v>1.7999999999999999E-2</v>
      </c>
      <c r="S116" s="170">
        <v>1</v>
      </c>
      <c r="T116" s="167">
        <v>9.2799999999999994E-2</v>
      </c>
      <c r="U116" s="171">
        <v>-22.286387596903936</v>
      </c>
      <c r="V116" s="172">
        <v>91.8</v>
      </c>
      <c r="W116" s="173">
        <v>3.37</v>
      </c>
      <c r="X116" s="174">
        <v>75.105126201566264</v>
      </c>
      <c r="Y116" s="175"/>
      <c r="Z116" s="175"/>
    </row>
    <row r="117" spans="3:26" ht="49" customHeight="1" thickBot="1" x14ac:dyDescent="0.25">
      <c r="C117" s="89"/>
      <c r="D117" s="96" t="s">
        <v>436</v>
      </c>
      <c r="E117" s="97" t="s">
        <v>29</v>
      </c>
      <c r="F117" s="97" t="s">
        <v>28</v>
      </c>
      <c r="G117" s="98" t="s">
        <v>27</v>
      </c>
      <c r="H117" s="98" t="s">
        <v>793</v>
      </c>
      <c r="I117" s="307"/>
      <c r="J117" s="308"/>
      <c r="K117" s="309"/>
      <c r="L117" s="135"/>
      <c r="M117" s="136"/>
      <c r="O117" s="154"/>
      <c r="P117" s="176"/>
      <c r="Q117" s="154"/>
      <c r="R117" s="154"/>
      <c r="S117" s="154"/>
      <c r="T117" s="154"/>
      <c r="U117" s="177"/>
      <c r="V117" s="178"/>
      <c r="W117" s="154"/>
      <c r="X117" s="177"/>
      <c r="Y117" s="155"/>
      <c r="Z117" s="155"/>
    </row>
    <row r="118" spans="3:26" ht="24" x14ac:dyDescent="0.2">
      <c r="C118" s="89"/>
      <c r="D118" s="99">
        <v>45561</v>
      </c>
      <c r="E118" s="105">
        <v>0</v>
      </c>
      <c r="F118" s="105" t="s">
        <v>778</v>
      </c>
      <c r="G118" s="105">
        <v>9.9000000000000005E-2</v>
      </c>
      <c r="H118" s="138">
        <v>0.52083333333333337</v>
      </c>
      <c r="I118" s="307"/>
      <c r="J118" s="308"/>
      <c r="K118" s="309"/>
      <c r="L118" s="135"/>
      <c r="M118" s="136"/>
      <c r="O118" s="179"/>
      <c r="P118" s="155"/>
      <c r="Q118" s="179"/>
      <c r="R118" s="179"/>
      <c r="S118" s="179"/>
      <c r="T118" s="179"/>
      <c r="U118" s="179"/>
      <c r="V118" s="179"/>
      <c r="W118" s="179"/>
      <c r="X118" s="179"/>
      <c r="Y118" s="155"/>
      <c r="Z118" s="155"/>
    </row>
    <row r="119" spans="3:26" ht="24" x14ac:dyDescent="0.2">
      <c r="C119" s="89"/>
      <c r="D119" s="99">
        <v>45530</v>
      </c>
      <c r="E119" s="105">
        <v>9.9000000000000005E-2</v>
      </c>
      <c r="F119" s="105" t="s">
        <v>630</v>
      </c>
      <c r="G119" s="105">
        <v>-6.9000000000000006E-2</v>
      </c>
      <c r="H119" s="138">
        <v>0.52083333333333337</v>
      </c>
      <c r="I119" s="307"/>
      <c r="J119" s="308"/>
      <c r="K119" s="309"/>
      <c r="L119" s="135"/>
      <c r="M119" s="136"/>
      <c r="O119" s="146" t="s">
        <v>813</v>
      </c>
      <c r="P119" s="147">
        <v>0.1</v>
      </c>
      <c r="Q119" s="180">
        <v>5.6683333333333336E-2</v>
      </c>
      <c r="R119" s="181">
        <v>1.7999999999999999E-2</v>
      </c>
      <c r="S119" s="150">
        <v>1</v>
      </c>
      <c r="T119" s="156">
        <v>0.10302500000000001</v>
      </c>
      <c r="U119" s="182">
        <v>-24.741972868222291</v>
      </c>
      <c r="V119" s="183">
        <v>91.8</v>
      </c>
      <c r="W119" s="150">
        <v>3</v>
      </c>
      <c r="X119" s="184">
        <v>74.225918604666873</v>
      </c>
      <c r="Y119" s="185" t="s">
        <v>814</v>
      </c>
      <c r="Z119" s="185"/>
    </row>
    <row r="120" spans="3:26" ht="24" x14ac:dyDescent="0.2">
      <c r="C120" s="89"/>
      <c r="D120" s="99">
        <v>45498</v>
      </c>
      <c r="E120" s="105">
        <v>-6.6000000000000003E-2</v>
      </c>
      <c r="F120" s="105" t="s">
        <v>467</v>
      </c>
      <c r="G120" s="105">
        <v>1E-3</v>
      </c>
      <c r="H120" s="138">
        <v>0.52083333333333337</v>
      </c>
      <c r="I120" s="307"/>
      <c r="J120" s="308"/>
      <c r="K120" s="309"/>
      <c r="L120" s="141"/>
      <c r="M120" s="136"/>
      <c r="O120" s="146"/>
      <c r="P120" s="147"/>
      <c r="Q120" s="180"/>
      <c r="R120" s="181"/>
      <c r="S120" s="150"/>
      <c r="T120" s="147"/>
      <c r="U120" s="182"/>
      <c r="V120" s="183"/>
      <c r="W120" s="150"/>
      <c r="X120" s="184"/>
      <c r="Y120" s="185"/>
      <c r="Z120" s="185"/>
    </row>
    <row r="121" spans="3:26" ht="24" x14ac:dyDescent="0.2">
      <c r="C121" s="89"/>
      <c r="D121" s="99">
        <v>45470</v>
      </c>
      <c r="E121" s="105">
        <v>1E-3</v>
      </c>
      <c r="F121" s="105" t="s">
        <v>782</v>
      </c>
      <c r="G121" s="105">
        <v>2E-3</v>
      </c>
      <c r="H121" s="138">
        <v>0.52083333333333337</v>
      </c>
      <c r="I121" s="307"/>
      <c r="J121" s="308"/>
      <c r="K121" s="309"/>
      <c r="L121" s="135"/>
      <c r="M121" s="136"/>
      <c r="O121" s="146" t="s">
        <v>816</v>
      </c>
      <c r="P121" s="147"/>
      <c r="Q121" s="180"/>
      <c r="R121" s="181"/>
      <c r="S121" s="150"/>
      <c r="T121" s="147"/>
      <c r="U121" s="182">
        <v>0</v>
      </c>
      <c r="V121" s="183"/>
      <c r="W121" s="150"/>
      <c r="X121" s="184">
        <v>0</v>
      </c>
      <c r="Y121" s="185"/>
      <c r="Z121" s="185"/>
    </row>
    <row r="122" spans="3:26" ht="24" x14ac:dyDescent="0.2">
      <c r="C122" s="89"/>
      <c r="D122" s="99">
        <v>45436</v>
      </c>
      <c r="E122" s="105">
        <v>7.0000000000000001E-3</v>
      </c>
      <c r="F122" s="105" t="s">
        <v>784</v>
      </c>
      <c r="G122" s="105">
        <v>8.0000000000000002E-3</v>
      </c>
      <c r="H122" s="138">
        <v>0.52083333333333337</v>
      </c>
      <c r="I122" s="307"/>
      <c r="J122" s="308"/>
      <c r="K122" s="309"/>
      <c r="L122" s="135"/>
      <c r="M122" s="136"/>
      <c r="O122" s="91"/>
      <c r="P122" s="91"/>
      <c r="Q122" s="91"/>
      <c r="R122" s="91"/>
      <c r="S122" s="91"/>
      <c r="T122" s="91"/>
      <c r="U122" s="91"/>
      <c r="V122" s="91"/>
      <c r="W122" s="91"/>
      <c r="X122" s="91"/>
      <c r="Y122" s="91"/>
      <c r="Z122" s="91"/>
    </row>
    <row r="123" spans="3:26" ht="25" thickBot="1" x14ac:dyDescent="0.25">
      <c r="C123" s="89"/>
      <c r="D123" s="99">
        <v>45406</v>
      </c>
      <c r="E123" s="105">
        <v>2.5999999999999999E-2</v>
      </c>
      <c r="F123" s="105" t="s">
        <v>495</v>
      </c>
      <c r="G123" s="105">
        <v>7.0000000000000001E-3</v>
      </c>
      <c r="H123" s="138">
        <v>0.52083333333333337</v>
      </c>
      <c r="I123" s="310"/>
      <c r="J123" s="311"/>
      <c r="K123" s="312"/>
      <c r="L123" s="142"/>
      <c r="M123" s="140"/>
      <c r="O123" s="145" t="s">
        <v>800</v>
      </c>
      <c r="P123" s="145" t="s">
        <v>801</v>
      </c>
      <c r="Q123" s="145" t="s">
        <v>802</v>
      </c>
      <c r="R123" s="145" t="s">
        <v>803</v>
      </c>
      <c r="S123" s="145" t="s">
        <v>804</v>
      </c>
      <c r="T123" s="145" t="s">
        <v>805</v>
      </c>
      <c r="U123" s="145" t="s">
        <v>806</v>
      </c>
      <c r="V123" s="145" t="s">
        <v>807</v>
      </c>
      <c r="W123" s="145" t="s">
        <v>808</v>
      </c>
      <c r="X123" s="145" t="s">
        <v>809</v>
      </c>
      <c r="Y123" s="145" t="s">
        <v>75</v>
      </c>
      <c r="Z123" s="145" t="s">
        <v>75</v>
      </c>
    </row>
    <row r="124" spans="3:26" ht="73" customHeight="1" thickBot="1" x14ac:dyDescent="0.25">
      <c r="C124" s="89" t="s">
        <v>105</v>
      </c>
      <c r="D124" s="123" t="s">
        <v>30</v>
      </c>
      <c r="E124" s="363" t="s">
        <v>786</v>
      </c>
      <c r="F124" s="364"/>
      <c r="G124" s="365"/>
      <c r="H124" s="124" t="s">
        <v>790</v>
      </c>
      <c r="I124" s="325" t="s">
        <v>633</v>
      </c>
      <c r="J124" s="326"/>
      <c r="K124" s="327"/>
      <c r="L124" s="124" t="s">
        <v>430</v>
      </c>
      <c r="M124" s="125" t="s">
        <v>431</v>
      </c>
      <c r="O124" s="146" t="s">
        <v>810</v>
      </c>
      <c r="P124" s="147">
        <v>0.1</v>
      </c>
      <c r="Q124" s="148">
        <v>3.3000000000000002E-2</v>
      </c>
      <c r="R124" s="149">
        <v>1.4999999999986358E-2</v>
      </c>
      <c r="S124" s="150"/>
      <c r="T124" s="146">
        <v>6.449999999998636E-2</v>
      </c>
      <c r="U124" s="148">
        <v>-15.49</v>
      </c>
      <c r="V124" s="147">
        <v>91.8</v>
      </c>
      <c r="W124" s="150"/>
      <c r="X124" s="150"/>
      <c r="Y124" s="151"/>
      <c r="Z124" s="151"/>
    </row>
    <row r="125" spans="3:26" ht="24" customHeight="1" x14ac:dyDescent="0.2">
      <c r="C125" s="89"/>
      <c r="D125" s="122" t="s">
        <v>432</v>
      </c>
      <c r="E125" s="342"/>
      <c r="F125" s="343"/>
      <c r="G125" s="344"/>
      <c r="H125" s="134" t="s">
        <v>794</v>
      </c>
      <c r="I125" s="381">
        <v>0</v>
      </c>
      <c r="J125" s="382"/>
      <c r="K125" s="383"/>
      <c r="L125" s="135"/>
      <c r="M125" s="136"/>
      <c r="O125" s="152"/>
      <c r="P125" s="152"/>
      <c r="Q125" s="152"/>
      <c r="R125" s="153"/>
      <c r="S125" s="154"/>
      <c r="T125" s="152"/>
      <c r="U125" s="152"/>
      <c r="V125" s="152"/>
      <c r="W125" s="154"/>
      <c r="X125" s="154"/>
      <c r="Y125" s="155"/>
      <c r="Z125" s="155"/>
    </row>
    <row r="126" spans="3:26" ht="24" customHeight="1" x14ac:dyDescent="0.2">
      <c r="C126" s="89"/>
      <c r="D126" s="92" t="s">
        <v>433</v>
      </c>
      <c r="E126" s="357"/>
      <c r="F126" s="358"/>
      <c r="G126" s="359"/>
      <c r="H126" s="134" t="s">
        <v>795</v>
      </c>
      <c r="I126" s="307"/>
      <c r="J126" s="308"/>
      <c r="K126" s="309"/>
      <c r="L126" s="135"/>
      <c r="M126" s="136"/>
      <c r="O126" s="156" t="s">
        <v>811</v>
      </c>
      <c r="P126" s="157">
        <v>0.1</v>
      </c>
      <c r="Q126" s="158">
        <v>2.2200000000000001E-2</v>
      </c>
      <c r="R126" s="159">
        <v>1.9E-2</v>
      </c>
      <c r="S126" s="160">
        <v>1</v>
      </c>
      <c r="T126" s="156">
        <v>5.2299999999999999E-2</v>
      </c>
      <c r="U126" s="161">
        <v>-12.560108527134441</v>
      </c>
      <c r="V126" s="162">
        <v>91.8</v>
      </c>
      <c r="W126" s="163">
        <v>4.43</v>
      </c>
      <c r="X126" s="164">
        <v>55.641280775205566</v>
      </c>
      <c r="Y126" s="165"/>
      <c r="Z126" s="165">
        <v>4.4350000000000005</v>
      </c>
    </row>
    <row r="127" spans="3:26" ht="25" customHeight="1" thickBot="1" x14ac:dyDescent="0.25">
      <c r="C127" s="89"/>
      <c r="D127" s="92" t="s">
        <v>434</v>
      </c>
      <c r="E127" s="357"/>
      <c r="F127" s="358"/>
      <c r="G127" s="359"/>
      <c r="H127" s="92"/>
      <c r="I127" s="307"/>
      <c r="J127" s="308"/>
      <c r="K127" s="309"/>
      <c r="L127" s="135"/>
      <c r="M127" s="136"/>
      <c r="O127" s="166" t="s">
        <v>812</v>
      </c>
      <c r="P127" s="167">
        <v>0.1</v>
      </c>
      <c r="Q127" s="187">
        <v>3.1199999999999995E-2</v>
      </c>
      <c r="R127" s="169">
        <v>1.9E-2</v>
      </c>
      <c r="S127" s="170">
        <v>1</v>
      </c>
      <c r="T127" s="167">
        <v>6.5799999999999997E-2</v>
      </c>
      <c r="U127" s="171">
        <v>-15.802201550390938</v>
      </c>
      <c r="V127" s="172">
        <v>91.8</v>
      </c>
      <c r="W127" s="173">
        <v>2.23</v>
      </c>
      <c r="X127" s="174">
        <v>35.23890945737179</v>
      </c>
      <c r="Y127" s="175"/>
      <c r="Z127" s="175"/>
    </row>
    <row r="128" spans="3:26" ht="25" customHeight="1" thickBot="1" x14ac:dyDescent="0.25">
      <c r="C128" s="89"/>
      <c r="D128" s="94" t="s">
        <v>435</v>
      </c>
      <c r="E128" s="360">
        <v>0.97916666666666663</v>
      </c>
      <c r="F128" s="361"/>
      <c r="G128" s="362"/>
      <c r="H128" s="92"/>
      <c r="I128" s="307"/>
      <c r="J128" s="308"/>
      <c r="K128" s="309"/>
      <c r="L128" s="137">
        <v>0.20833333333333334</v>
      </c>
      <c r="M128" s="137">
        <v>0.10416666666666667</v>
      </c>
      <c r="O128" s="154"/>
      <c r="P128" s="176"/>
      <c r="Q128" s="154"/>
      <c r="R128" s="154"/>
      <c r="S128" s="154"/>
      <c r="T128" s="154"/>
      <c r="U128" s="177"/>
      <c r="V128" s="178"/>
      <c r="W128" s="154"/>
      <c r="X128" s="177"/>
      <c r="Y128" s="155"/>
      <c r="Z128" s="155"/>
    </row>
    <row r="129" spans="3:26" ht="49" customHeight="1" thickBot="1" x14ac:dyDescent="0.25">
      <c r="C129" s="89"/>
      <c r="D129" s="96" t="s">
        <v>436</v>
      </c>
      <c r="E129" s="97" t="s">
        <v>29</v>
      </c>
      <c r="F129" s="97" t="s">
        <v>28</v>
      </c>
      <c r="G129" s="98" t="s">
        <v>27</v>
      </c>
      <c r="H129" s="98" t="s">
        <v>793</v>
      </c>
      <c r="I129" s="307"/>
      <c r="J129" s="308"/>
      <c r="K129" s="309"/>
      <c r="L129" s="135"/>
      <c r="M129" s="136"/>
      <c r="O129" s="179"/>
      <c r="P129" s="155"/>
      <c r="Q129" s="179"/>
      <c r="R129" s="179"/>
      <c r="S129" s="179"/>
      <c r="T129" s="179"/>
      <c r="U129" s="179"/>
      <c r="V129" s="179"/>
      <c r="W129" s="179"/>
      <c r="X129" s="179"/>
      <c r="Y129" s="155"/>
      <c r="Z129" s="155"/>
    </row>
    <row r="130" spans="3:26" ht="24" x14ac:dyDescent="0.2">
      <c r="C130" s="89"/>
      <c r="D130" s="99">
        <v>45560</v>
      </c>
      <c r="E130" s="105">
        <v>0.02</v>
      </c>
      <c r="F130" s="105" t="s">
        <v>788</v>
      </c>
      <c r="G130" s="105">
        <v>2.4E-2</v>
      </c>
      <c r="H130" s="138">
        <v>0.97916666666666663</v>
      </c>
      <c r="I130" s="307"/>
      <c r="J130" s="308"/>
      <c r="K130" s="309"/>
      <c r="L130" s="135"/>
      <c r="M130" s="136"/>
      <c r="O130" s="146">
        <v>0</v>
      </c>
      <c r="P130" s="147">
        <v>0.1</v>
      </c>
      <c r="Q130" s="180">
        <v>3.1199999999999995E-2</v>
      </c>
      <c r="R130" s="181">
        <v>1.9E-2</v>
      </c>
      <c r="S130" s="150">
        <v>0.5</v>
      </c>
      <c r="T130" s="156">
        <v>6.5799999999999997E-2</v>
      </c>
      <c r="U130" s="182">
        <v>-7.9011007751954692</v>
      </c>
      <c r="V130" s="183">
        <v>91.8</v>
      </c>
      <c r="W130" s="150">
        <v>2</v>
      </c>
      <c r="X130" s="184">
        <v>15.802201550390938</v>
      </c>
      <c r="Y130" s="185" t="s">
        <v>814</v>
      </c>
      <c r="Z130" s="185"/>
    </row>
    <row r="131" spans="3:26" ht="24" x14ac:dyDescent="0.2">
      <c r="C131" s="89"/>
      <c r="D131" s="99">
        <v>45529</v>
      </c>
      <c r="E131" s="105">
        <v>2.4E-2</v>
      </c>
      <c r="F131" s="105" t="s">
        <v>490</v>
      </c>
      <c r="G131" s="105">
        <v>2.1999999999999999E-2</v>
      </c>
      <c r="H131" s="138">
        <v>0.97916666666666663</v>
      </c>
      <c r="I131" s="307"/>
      <c r="J131" s="308"/>
      <c r="K131" s="309"/>
      <c r="L131" s="135"/>
      <c r="M131" s="136"/>
      <c r="O131" s="146"/>
      <c r="P131" s="147"/>
      <c r="Q131" s="180"/>
      <c r="R131" s="181"/>
      <c r="S131" s="150"/>
      <c r="T131" s="147"/>
      <c r="U131" s="182"/>
      <c r="V131" s="183"/>
      <c r="W131" s="150"/>
      <c r="X131" s="184"/>
      <c r="Y131" s="185"/>
      <c r="Z131" s="185"/>
    </row>
    <row r="132" spans="3:26" ht="24" x14ac:dyDescent="0.2">
      <c r="C132" s="89"/>
      <c r="D132" s="99">
        <v>45497</v>
      </c>
      <c r="E132" s="105">
        <v>2.1999999999999999E-2</v>
      </c>
      <c r="F132" s="105" t="s">
        <v>490</v>
      </c>
      <c r="G132" s="105">
        <v>2.1000000000000001E-2</v>
      </c>
      <c r="H132" s="138">
        <v>0.97916666666666663</v>
      </c>
      <c r="I132" s="307"/>
      <c r="J132" s="308"/>
      <c r="K132" s="309"/>
      <c r="L132" s="141"/>
      <c r="M132" s="136"/>
      <c r="O132" s="146" t="s">
        <v>816</v>
      </c>
      <c r="P132" s="147"/>
      <c r="Q132" s="180"/>
      <c r="R132" s="181"/>
      <c r="S132" s="150"/>
      <c r="T132" s="147"/>
      <c r="U132" s="182">
        <v>0</v>
      </c>
      <c r="V132" s="183"/>
      <c r="W132" s="150"/>
      <c r="X132" s="184">
        <v>0</v>
      </c>
      <c r="Y132" s="185"/>
      <c r="Z132" s="185"/>
    </row>
    <row r="133" spans="3:26" ht="24" x14ac:dyDescent="0.2">
      <c r="C133" s="89"/>
      <c r="D133" s="99">
        <v>45469</v>
      </c>
      <c r="E133" s="105">
        <v>2.1000000000000001E-2</v>
      </c>
      <c r="F133" s="105" t="s">
        <v>788</v>
      </c>
      <c r="G133" s="105">
        <v>1.9E-2</v>
      </c>
      <c r="H133" s="138">
        <v>0.97916666666666663</v>
      </c>
      <c r="I133" s="307"/>
      <c r="J133" s="308"/>
      <c r="K133" s="309"/>
      <c r="L133" s="135"/>
      <c r="M133" s="136"/>
      <c r="O133" s="145"/>
      <c r="P133" s="145"/>
      <c r="Q133" s="145"/>
      <c r="R133" s="145"/>
      <c r="S133" s="145"/>
      <c r="T133" s="145"/>
      <c r="U133" s="145"/>
      <c r="V133" s="145"/>
      <c r="W133" s="145"/>
      <c r="X133" s="145"/>
      <c r="Y133" s="145"/>
      <c r="Z133" s="145"/>
    </row>
    <row r="134" spans="3:26" ht="24" x14ac:dyDescent="0.2">
      <c r="C134" s="89"/>
      <c r="D134" s="99">
        <v>45441</v>
      </c>
      <c r="E134" s="105">
        <v>1.9E-2</v>
      </c>
      <c r="F134" s="105" t="s">
        <v>789</v>
      </c>
      <c r="G134" s="105">
        <v>1.6E-2</v>
      </c>
      <c r="H134" s="138">
        <v>0.97916666666666663</v>
      </c>
      <c r="I134" s="307"/>
      <c r="J134" s="308"/>
      <c r="K134" s="309"/>
      <c r="L134" s="135"/>
      <c r="M134" s="136"/>
      <c r="O134" s="146"/>
      <c r="P134" s="147"/>
      <c r="Q134" s="148"/>
      <c r="R134" s="149"/>
      <c r="S134" s="150"/>
      <c r="T134" s="146"/>
      <c r="U134" s="148"/>
      <c r="V134" s="147"/>
      <c r="W134" s="150"/>
      <c r="X134" s="150"/>
      <c r="Y134" s="151"/>
      <c r="Z134" s="151"/>
    </row>
    <row r="135" spans="3:26" ht="25" thickBot="1" x14ac:dyDescent="0.25">
      <c r="C135" s="89"/>
      <c r="D135" s="143">
        <v>45406</v>
      </c>
      <c r="E135" s="133">
        <v>1.6E-2</v>
      </c>
      <c r="F135" s="133" t="s">
        <v>490</v>
      </c>
      <c r="G135" s="133">
        <v>2.4E-2</v>
      </c>
      <c r="H135" s="144">
        <v>0.97916666666666663</v>
      </c>
      <c r="I135" s="310"/>
      <c r="J135" s="311"/>
      <c r="K135" s="312"/>
      <c r="L135" s="142"/>
      <c r="M135" s="140"/>
      <c r="O135" s="152"/>
      <c r="P135" s="152"/>
      <c r="Q135" s="152"/>
      <c r="R135" s="153"/>
      <c r="S135" s="154"/>
      <c r="T135" s="152"/>
      <c r="U135" s="152"/>
      <c r="V135" s="152"/>
      <c r="W135" s="154"/>
      <c r="X135" s="154"/>
      <c r="Y135" s="155"/>
      <c r="Z135" s="155"/>
    </row>
    <row r="136" spans="3:26" ht="72" x14ac:dyDescent="0.2">
      <c r="C136" s="91" t="s">
        <v>105</v>
      </c>
      <c r="D136" s="193" t="s">
        <v>30</v>
      </c>
      <c r="E136" s="430" t="s">
        <v>817</v>
      </c>
      <c r="F136" s="430"/>
      <c r="G136" s="430"/>
      <c r="H136" s="194" t="s">
        <v>790</v>
      </c>
      <c r="I136" s="437" t="s">
        <v>633</v>
      </c>
      <c r="J136" s="438"/>
      <c r="K136" s="439"/>
      <c r="L136" s="194" t="s">
        <v>430</v>
      </c>
      <c r="M136" s="194" t="s">
        <v>431</v>
      </c>
      <c r="N136" s="195" t="s">
        <v>105</v>
      </c>
      <c r="O136" s="145" t="s">
        <v>800</v>
      </c>
      <c r="P136" s="145" t="s">
        <v>801</v>
      </c>
      <c r="Q136" s="145" t="s">
        <v>802</v>
      </c>
      <c r="R136" s="145" t="s">
        <v>803</v>
      </c>
      <c r="S136" s="145" t="s">
        <v>804</v>
      </c>
      <c r="T136" s="145" t="s">
        <v>805</v>
      </c>
      <c r="U136" s="145" t="s">
        <v>806</v>
      </c>
      <c r="V136" s="145" t="s">
        <v>807</v>
      </c>
      <c r="W136" s="145" t="s">
        <v>808</v>
      </c>
      <c r="X136" s="145" t="s">
        <v>809</v>
      </c>
      <c r="Y136" s="145" t="s">
        <v>75</v>
      </c>
      <c r="Z136" s="145" t="s">
        <v>75</v>
      </c>
    </row>
    <row r="137" spans="3:26" ht="24" x14ac:dyDescent="0.2">
      <c r="C137" s="91"/>
      <c r="D137" s="196" t="s">
        <v>432</v>
      </c>
      <c r="E137" s="434"/>
      <c r="F137" s="434"/>
      <c r="G137" s="434"/>
      <c r="H137" s="197" t="s">
        <v>794</v>
      </c>
      <c r="I137" s="412" t="s">
        <v>818</v>
      </c>
      <c r="J137" s="413"/>
      <c r="K137" s="414"/>
      <c r="L137" s="198"/>
      <c r="M137" s="198"/>
      <c r="N137" s="195"/>
      <c r="O137" s="146" t="s">
        <v>810</v>
      </c>
      <c r="P137" s="199">
        <v>0.1</v>
      </c>
      <c r="Q137" s="200">
        <v>2.1000000000000001E-2</v>
      </c>
      <c r="R137" s="201">
        <v>1.7000000000000001E-2</v>
      </c>
      <c r="S137" s="150"/>
      <c r="T137" s="146">
        <v>4.8500000000000001E-2</v>
      </c>
      <c r="U137" s="200">
        <v>-11.44</v>
      </c>
      <c r="V137" s="199">
        <v>91.8</v>
      </c>
      <c r="W137" s="202">
        <v>2</v>
      </c>
      <c r="X137" s="184">
        <v>22.88</v>
      </c>
      <c r="Y137" s="151"/>
      <c r="Z137" s="151"/>
    </row>
    <row r="138" spans="3:26" ht="24" x14ac:dyDescent="0.2">
      <c r="C138" s="91"/>
      <c r="D138" s="196" t="s">
        <v>433</v>
      </c>
      <c r="E138" s="440">
        <v>99.2</v>
      </c>
      <c r="F138" s="440"/>
      <c r="G138" s="440"/>
      <c r="H138" s="197" t="s">
        <v>795</v>
      </c>
      <c r="I138" s="415"/>
      <c r="J138" s="416"/>
      <c r="K138" s="417"/>
      <c r="L138" s="198"/>
      <c r="M138" s="198"/>
      <c r="N138" s="195"/>
      <c r="O138" s="152"/>
      <c r="P138" s="152"/>
      <c r="Q138" s="152"/>
      <c r="R138" s="153"/>
      <c r="S138" s="154"/>
      <c r="T138" s="152"/>
      <c r="U138" s="152"/>
      <c r="V138" s="152"/>
      <c r="W138" s="154"/>
      <c r="X138" s="154"/>
      <c r="Y138" s="155"/>
      <c r="Z138" s="155"/>
    </row>
    <row r="139" spans="3:26" ht="24" x14ac:dyDescent="0.2">
      <c r="C139" s="91"/>
      <c r="D139" s="196" t="s">
        <v>434</v>
      </c>
      <c r="E139" s="440">
        <v>98.7</v>
      </c>
      <c r="F139" s="440"/>
      <c r="G139" s="440"/>
      <c r="H139" s="203"/>
      <c r="I139" s="415"/>
      <c r="J139" s="416"/>
      <c r="K139" s="417"/>
      <c r="L139" s="198"/>
      <c r="M139" s="198"/>
      <c r="N139" s="195"/>
      <c r="O139" s="156" t="s">
        <v>811</v>
      </c>
      <c r="P139" s="204">
        <v>0.1</v>
      </c>
      <c r="Q139" s="205">
        <v>8.0299999999999996E-2</v>
      </c>
      <c r="R139" s="206">
        <v>1.7000000000000001E-2</v>
      </c>
      <c r="S139" s="160">
        <v>1</v>
      </c>
      <c r="T139" s="156">
        <v>0.13745000000000002</v>
      </c>
      <c r="U139" s="161">
        <v>-32.421195876288657</v>
      </c>
      <c r="V139" s="162">
        <v>91.8</v>
      </c>
      <c r="W139" s="207">
        <v>4.83</v>
      </c>
      <c r="X139" s="164">
        <v>156.59437608247421</v>
      </c>
      <c r="Y139" s="165"/>
      <c r="Z139" s="165"/>
    </row>
    <row r="140" spans="3:26" ht="24" x14ac:dyDescent="0.2">
      <c r="C140" s="91"/>
      <c r="D140" s="196" t="s">
        <v>435</v>
      </c>
      <c r="E140" s="436">
        <v>0.58333333333333337</v>
      </c>
      <c r="F140" s="436"/>
      <c r="G140" s="436"/>
      <c r="H140" s="203"/>
      <c r="I140" s="415"/>
      <c r="J140" s="416"/>
      <c r="K140" s="417"/>
      <c r="L140" s="208">
        <v>0.8125</v>
      </c>
      <c r="M140" s="208">
        <v>0.70833333333333337</v>
      </c>
      <c r="N140" s="195"/>
      <c r="O140" s="166" t="s">
        <v>812</v>
      </c>
      <c r="P140" s="209">
        <v>0.1</v>
      </c>
      <c r="Q140" s="187">
        <v>4.5333333333333337E-2</v>
      </c>
      <c r="R140" s="210">
        <v>1.7000000000000001E-2</v>
      </c>
      <c r="S140" s="170">
        <v>1</v>
      </c>
      <c r="T140" s="211">
        <v>8.5000000000000006E-2</v>
      </c>
      <c r="U140" s="171">
        <v>-20.049484536082474</v>
      </c>
      <c r="V140" s="172">
        <v>91.8</v>
      </c>
      <c r="W140" s="212">
        <v>2.1</v>
      </c>
      <c r="X140" s="174">
        <v>42.103917525773198</v>
      </c>
      <c r="Y140" s="175"/>
      <c r="Z140" s="175"/>
    </row>
    <row r="141" spans="3:26" ht="24" x14ac:dyDescent="0.2">
      <c r="C141" s="91"/>
      <c r="D141" s="196" t="s">
        <v>436</v>
      </c>
      <c r="E141" s="213" t="s">
        <v>29</v>
      </c>
      <c r="F141" s="213" t="s">
        <v>28</v>
      </c>
      <c r="G141" s="213" t="s">
        <v>27</v>
      </c>
      <c r="H141" s="203" t="s">
        <v>793</v>
      </c>
      <c r="I141" s="415"/>
      <c r="J141" s="416"/>
      <c r="K141" s="417"/>
      <c r="L141" s="198"/>
      <c r="M141" s="198"/>
      <c r="N141" s="195"/>
      <c r="O141" s="154"/>
      <c r="P141" s="176"/>
      <c r="Q141" s="154"/>
      <c r="R141" s="154"/>
      <c r="S141" s="154"/>
      <c r="T141" s="154"/>
      <c r="U141" s="177"/>
      <c r="V141" s="178"/>
      <c r="W141" s="154"/>
      <c r="X141" s="177"/>
      <c r="Y141" s="155"/>
      <c r="Z141" s="155"/>
    </row>
    <row r="142" spans="3:26" ht="24" x14ac:dyDescent="0.2">
      <c r="C142" s="91"/>
      <c r="D142" s="214">
        <v>45559</v>
      </c>
      <c r="E142" s="215">
        <v>98.7</v>
      </c>
      <c r="F142" s="215" t="s">
        <v>874</v>
      </c>
      <c r="G142" s="215">
        <v>105.6</v>
      </c>
      <c r="H142" s="216">
        <v>0.58333333333333337</v>
      </c>
      <c r="I142" s="415"/>
      <c r="J142" s="416"/>
      <c r="K142" s="417"/>
      <c r="L142" s="198"/>
      <c r="M142" s="198"/>
      <c r="N142" s="195"/>
      <c r="O142" s="179"/>
      <c r="P142" s="155"/>
      <c r="Q142" s="179"/>
      <c r="R142" s="179"/>
      <c r="S142" s="179"/>
      <c r="T142" s="179"/>
      <c r="U142" s="179"/>
      <c r="V142" s="179"/>
      <c r="W142" s="179"/>
      <c r="X142" s="179"/>
      <c r="Y142" s="155"/>
      <c r="Z142" s="155"/>
    </row>
    <row r="143" spans="3:26" ht="24" x14ac:dyDescent="0.2">
      <c r="C143" s="91"/>
      <c r="D143" s="214">
        <v>45531</v>
      </c>
      <c r="E143" s="215">
        <v>103.3</v>
      </c>
      <c r="F143" s="215" t="s">
        <v>875</v>
      </c>
      <c r="G143" s="215">
        <v>101.9</v>
      </c>
      <c r="H143" s="216">
        <v>0.58333333333333337</v>
      </c>
      <c r="I143" s="415"/>
      <c r="J143" s="416"/>
      <c r="K143" s="417"/>
      <c r="L143" s="198"/>
      <c r="M143" s="198"/>
      <c r="N143" s="195"/>
      <c r="O143" s="146" t="s">
        <v>813</v>
      </c>
      <c r="P143" s="217">
        <v>-0.15</v>
      </c>
      <c r="Q143" s="180">
        <v>4.5333333333333337E-2</v>
      </c>
      <c r="R143" s="181">
        <v>1.7000000000000001E-2</v>
      </c>
      <c r="S143" s="150">
        <v>-1.5</v>
      </c>
      <c r="T143" s="156">
        <v>8.5000000000000006E-2</v>
      </c>
      <c r="U143" s="182">
        <v>-45.11134020618556</v>
      </c>
      <c r="V143" s="183">
        <v>-137.69999999999999</v>
      </c>
      <c r="W143" s="150">
        <v>2</v>
      </c>
      <c r="X143" s="184">
        <v>90.222680412371119</v>
      </c>
      <c r="Y143" s="185"/>
      <c r="Z143" s="185"/>
    </row>
    <row r="144" spans="3:26" ht="24" x14ac:dyDescent="0.2">
      <c r="C144" s="91"/>
      <c r="D144" s="214">
        <v>45503</v>
      </c>
      <c r="E144" s="215">
        <v>100.3</v>
      </c>
      <c r="F144" s="215" t="s">
        <v>876</v>
      </c>
      <c r="G144" s="215">
        <v>97.8</v>
      </c>
      <c r="H144" s="216">
        <v>0.58333333333333337</v>
      </c>
      <c r="I144" s="415"/>
      <c r="J144" s="416"/>
      <c r="K144" s="417"/>
      <c r="L144" s="218"/>
      <c r="M144" s="198"/>
      <c r="N144" s="195"/>
      <c r="O144" s="146"/>
      <c r="P144" s="146"/>
      <c r="Q144" s="180"/>
      <c r="R144" s="181"/>
      <c r="S144" s="150"/>
      <c r="T144" s="199"/>
      <c r="U144" s="182"/>
      <c r="V144" s="183"/>
      <c r="W144" s="150"/>
      <c r="X144" s="184"/>
      <c r="Y144" s="185"/>
      <c r="Z144" s="185"/>
    </row>
    <row r="145" spans="3:26" ht="24" x14ac:dyDescent="0.2">
      <c r="C145" s="91"/>
      <c r="D145" s="214">
        <v>45468</v>
      </c>
      <c r="E145" s="215">
        <v>100.4</v>
      </c>
      <c r="F145" s="215" t="s">
        <v>877</v>
      </c>
      <c r="G145" s="215">
        <v>101.3</v>
      </c>
      <c r="H145" s="216">
        <v>0.58333333333333337</v>
      </c>
      <c r="I145" s="415"/>
      <c r="J145" s="416"/>
      <c r="K145" s="417"/>
      <c r="L145" s="198"/>
      <c r="M145" s="198"/>
      <c r="N145" s="195"/>
      <c r="O145" s="146" t="s">
        <v>816</v>
      </c>
      <c r="P145" s="147"/>
      <c r="Q145" s="180"/>
      <c r="R145" s="181"/>
      <c r="S145" s="150"/>
      <c r="T145" s="147"/>
      <c r="U145" s="182">
        <v>0</v>
      </c>
      <c r="V145" s="183"/>
      <c r="W145" s="150"/>
      <c r="X145" s="184">
        <v>0</v>
      </c>
      <c r="Y145" s="185"/>
      <c r="Z145" s="185"/>
    </row>
    <row r="146" spans="3:26" ht="24" x14ac:dyDescent="0.2">
      <c r="C146" s="91"/>
      <c r="D146" s="214">
        <v>45440</v>
      </c>
      <c r="E146" s="215">
        <v>102</v>
      </c>
      <c r="F146" s="215" t="s">
        <v>878</v>
      </c>
      <c r="G146" s="215">
        <v>97.5</v>
      </c>
      <c r="H146" s="216">
        <v>0.58333333333333337</v>
      </c>
      <c r="I146" s="415"/>
      <c r="J146" s="416"/>
      <c r="K146" s="417"/>
      <c r="L146" s="198"/>
      <c r="M146" s="198"/>
      <c r="N146" s="195"/>
      <c r="O146" s="91"/>
      <c r="P146" s="91"/>
      <c r="Q146" s="91"/>
      <c r="R146" s="91"/>
      <c r="S146" s="91"/>
      <c r="T146" s="91"/>
      <c r="U146" s="91"/>
      <c r="V146" s="91"/>
      <c r="W146" s="91"/>
      <c r="X146" s="91"/>
      <c r="Y146" s="91"/>
      <c r="Z146" s="91"/>
    </row>
    <row r="147" spans="3:26" ht="24" x14ac:dyDescent="0.2">
      <c r="C147" s="91"/>
      <c r="D147" s="214">
        <v>45412</v>
      </c>
      <c r="E147" s="215">
        <v>97</v>
      </c>
      <c r="F147" s="215" t="s">
        <v>879</v>
      </c>
      <c r="G147" s="215">
        <v>103.1</v>
      </c>
      <c r="H147" s="216">
        <v>0.58333333333333337</v>
      </c>
      <c r="I147" s="418"/>
      <c r="J147" s="419"/>
      <c r="K147" s="420"/>
      <c r="L147" s="198"/>
      <c r="M147" s="198"/>
      <c r="N147" s="195"/>
      <c r="O147" s="91"/>
      <c r="P147" s="91"/>
      <c r="Q147" s="91"/>
      <c r="R147" s="91"/>
      <c r="S147" s="91"/>
      <c r="T147" s="91"/>
      <c r="U147" s="91"/>
      <c r="V147" s="91"/>
      <c r="W147" s="91"/>
      <c r="X147" s="91"/>
      <c r="Y147" s="91"/>
      <c r="Z147" s="91"/>
    </row>
    <row r="148" spans="3:26" ht="72" x14ac:dyDescent="0.2">
      <c r="C148" s="91" t="s">
        <v>105</v>
      </c>
      <c r="D148" s="193" t="s">
        <v>30</v>
      </c>
      <c r="E148" s="430" t="s">
        <v>819</v>
      </c>
      <c r="F148" s="430"/>
      <c r="G148" s="430"/>
      <c r="H148" s="194" t="s">
        <v>790</v>
      </c>
      <c r="I148" s="431" t="s">
        <v>633</v>
      </c>
      <c r="J148" s="432"/>
      <c r="K148" s="433"/>
      <c r="L148" s="194" t="s">
        <v>430</v>
      </c>
      <c r="M148" s="194" t="s">
        <v>431</v>
      </c>
      <c r="N148" s="195" t="s">
        <v>105</v>
      </c>
      <c r="O148" s="145" t="s">
        <v>800</v>
      </c>
      <c r="P148" s="145" t="s">
        <v>801</v>
      </c>
      <c r="Q148" s="145" t="s">
        <v>802</v>
      </c>
      <c r="R148" s="145" t="s">
        <v>803</v>
      </c>
      <c r="S148" s="145" t="s">
        <v>804</v>
      </c>
      <c r="T148" s="145" t="s">
        <v>805</v>
      </c>
      <c r="U148" s="145" t="s">
        <v>806</v>
      </c>
      <c r="V148" s="145" t="s">
        <v>807</v>
      </c>
      <c r="W148" s="145" t="s">
        <v>808</v>
      </c>
      <c r="X148" s="145" t="s">
        <v>809</v>
      </c>
      <c r="Y148" s="145" t="s">
        <v>75</v>
      </c>
      <c r="Z148" s="145" t="s">
        <v>75</v>
      </c>
    </row>
    <row r="149" spans="3:26" ht="24" x14ac:dyDescent="0.2">
      <c r="C149" s="91"/>
      <c r="D149" s="196" t="s">
        <v>432</v>
      </c>
      <c r="E149" s="434"/>
      <c r="F149" s="434"/>
      <c r="G149" s="434"/>
      <c r="H149" s="197" t="s">
        <v>794</v>
      </c>
      <c r="I149" s="412" t="s">
        <v>821</v>
      </c>
      <c r="J149" s="413"/>
      <c r="K149" s="414"/>
      <c r="L149" s="198"/>
      <c r="M149" s="198"/>
      <c r="N149" s="195"/>
      <c r="O149" s="146" t="s">
        <v>810</v>
      </c>
      <c r="P149" s="199">
        <v>0.1</v>
      </c>
      <c r="Q149" s="200">
        <v>2.1000000000000001E-2</v>
      </c>
      <c r="R149" s="201">
        <v>1.7000000000000001E-2</v>
      </c>
      <c r="S149" s="150"/>
      <c r="T149" s="146">
        <v>4.8500000000000001E-2</v>
      </c>
      <c r="U149" s="200">
        <v>-11.44</v>
      </c>
      <c r="V149" s="199">
        <v>91.8</v>
      </c>
      <c r="W149" s="202">
        <v>2</v>
      </c>
      <c r="X149" s="184">
        <v>22.88</v>
      </c>
      <c r="Y149" s="151"/>
      <c r="Z149" s="151"/>
    </row>
    <row r="150" spans="3:26" ht="24" x14ac:dyDescent="0.2">
      <c r="C150" s="91"/>
      <c r="D150" s="196" t="s">
        <v>433</v>
      </c>
      <c r="E150" s="435" t="s">
        <v>820</v>
      </c>
      <c r="F150" s="435"/>
      <c r="G150" s="435"/>
      <c r="H150" s="197" t="s">
        <v>795</v>
      </c>
      <c r="I150" s="415"/>
      <c r="J150" s="416"/>
      <c r="K150" s="417"/>
      <c r="L150" s="198"/>
      <c r="M150" s="198"/>
      <c r="N150" s="195"/>
      <c r="O150" s="152"/>
      <c r="P150" s="152"/>
      <c r="Q150" s="152"/>
      <c r="R150" s="153"/>
      <c r="S150" s="154"/>
      <c r="T150" s="152"/>
      <c r="U150" s="152"/>
      <c r="V150" s="152"/>
      <c r="W150" s="154"/>
      <c r="X150" s="154"/>
      <c r="Y150" s="155"/>
      <c r="Z150" s="155"/>
    </row>
    <row r="151" spans="3:26" ht="24" x14ac:dyDescent="0.2">
      <c r="C151" s="91"/>
      <c r="D151" s="196" t="s">
        <v>434</v>
      </c>
      <c r="E151" s="435" t="s">
        <v>634</v>
      </c>
      <c r="F151" s="435"/>
      <c r="G151" s="435"/>
      <c r="H151" s="203"/>
      <c r="I151" s="415"/>
      <c r="J151" s="416"/>
      <c r="K151" s="417"/>
      <c r="L151" s="198"/>
      <c r="M151" s="198"/>
      <c r="N151" s="195"/>
      <c r="O151" s="156" t="s">
        <v>811</v>
      </c>
      <c r="P151" s="204">
        <v>0.1</v>
      </c>
      <c r="Q151" s="205">
        <v>0.12959999999999999</v>
      </c>
      <c r="R151" s="206">
        <v>1.6E-2</v>
      </c>
      <c r="S151" s="160">
        <v>1</v>
      </c>
      <c r="T151" s="156">
        <v>0.21039999999999998</v>
      </c>
      <c r="U151" s="161">
        <v>-49.628371134020611</v>
      </c>
      <c r="V151" s="162">
        <v>91.8</v>
      </c>
      <c r="W151" s="207">
        <v>2.73</v>
      </c>
      <c r="X151" s="164">
        <v>135.48545319587626</v>
      </c>
      <c r="Y151" s="165"/>
      <c r="Z151" s="165">
        <v>4.4350000000000005</v>
      </c>
    </row>
    <row r="152" spans="3:26" ht="24" x14ac:dyDescent="0.2">
      <c r="C152" s="91"/>
      <c r="D152" s="196" t="s">
        <v>435</v>
      </c>
      <c r="E152" s="436">
        <v>0.58333333333333337</v>
      </c>
      <c r="F152" s="436"/>
      <c r="G152" s="436"/>
      <c r="H152" s="203"/>
      <c r="I152" s="415"/>
      <c r="J152" s="416"/>
      <c r="K152" s="417"/>
      <c r="L152" s="208">
        <v>0.8125</v>
      </c>
      <c r="M152" s="208">
        <v>0.70833333333333337</v>
      </c>
      <c r="N152" s="195"/>
      <c r="O152" s="166" t="s">
        <v>812</v>
      </c>
      <c r="P152" s="209">
        <v>0.1</v>
      </c>
      <c r="Q152" s="187">
        <v>6.1533333333333329E-2</v>
      </c>
      <c r="R152" s="210">
        <v>1.6E-2</v>
      </c>
      <c r="S152" s="170">
        <v>1</v>
      </c>
      <c r="T152" s="211">
        <v>0.10829999999999999</v>
      </c>
      <c r="U152" s="171">
        <v>-25.545402061855665</v>
      </c>
      <c r="V152" s="172">
        <v>91.8</v>
      </c>
      <c r="W152" s="212">
        <v>3.45</v>
      </c>
      <c r="X152" s="174">
        <v>88.13163711340205</v>
      </c>
      <c r="Y152" s="175"/>
      <c r="Z152" s="175"/>
    </row>
    <row r="153" spans="3:26" ht="24" x14ac:dyDescent="0.2">
      <c r="C153" s="91"/>
      <c r="D153" s="196" t="s">
        <v>436</v>
      </c>
      <c r="E153" s="213" t="s">
        <v>29</v>
      </c>
      <c r="F153" s="213" t="s">
        <v>28</v>
      </c>
      <c r="G153" s="213" t="s">
        <v>27</v>
      </c>
      <c r="H153" s="203" t="s">
        <v>793</v>
      </c>
      <c r="I153" s="415"/>
      <c r="J153" s="416"/>
      <c r="K153" s="417"/>
      <c r="L153" s="198"/>
      <c r="M153" s="198"/>
      <c r="N153" s="195"/>
      <c r="O153" s="154"/>
      <c r="P153" s="176"/>
      <c r="Q153" s="154"/>
      <c r="R153" s="154"/>
      <c r="S153" s="154"/>
      <c r="T153" s="154"/>
      <c r="U153" s="177"/>
      <c r="V153" s="178"/>
      <c r="W153" s="154"/>
      <c r="X153" s="177"/>
      <c r="Y153" s="155"/>
      <c r="Z153" s="155"/>
    </row>
    <row r="154" spans="3:26" ht="24" x14ac:dyDescent="0.2">
      <c r="C154" s="91"/>
      <c r="D154" s="214">
        <v>45566</v>
      </c>
      <c r="E154" s="219" t="s">
        <v>634</v>
      </c>
      <c r="F154" s="219" t="s">
        <v>880</v>
      </c>
      <c r="G154" s="219" t="s">
        <v>881</v>
      </c>
      <c r="H154" s="216">
        <v>0.58333333333333337</v>
      </c>
      <c r="I154" s="415"/>
      <c r="J154" s="416"/>
      <c r="K154" s="417"/>
      <c r="L154" s="198"/>
      <c r="M154" s="198"/>
      <c r="N154" s="195"/>
      <c r="O154" s="179"/>
      <c r="P154" s="155"/>
      <c r="Q154" s="179"/>
      <c r="R154" s="179"/>
      <c r="S154" s="179"/>
      <c r="T154" s="179"/>
      <c r="U154" s="179"/>
      <c r="V154" s="179"/>
      <c r="W154" s="179"/>
      <c r="X154" s="179"/>
      <c r="Y154" s="155"/>
      <c r="Z154" s="155"/>
    </row>
    <row r="155" spans="3:26" ht="24" x14ac:dyDescent="0.2">
      <c r="C155" s="91"/>
      <c r="D155" s="214">
        <v>45539</v>
      </c>
      <c r="E155" s="219" t="s">
        <v>403</v>
      </c>
      <c r="F155" s="219" t="s">
        <v>527</v>
      </c>
      <c r="G155" s="219" t="s">
        <v>528</v>
      </c>
      <c r="H155" s="216">
        <v>0.58333333333333337</v>
      </c>
      <c r="I155" s="415"/>
      <c r="J155" s="416"/>
      <c r="K155" s="417"/>
      <c r="L155" s="198"/>
      <c r="M155" s="198"/>
      <c r="N155" s="195"/>
      <c r="O155" s="146" t="s">
        <v>813</v>
      </c>
      <c r="P155" s="217">
        <v>-0.15</v>
      </c>
      <c r="Q155" s="180">
        <v>6.1533333333333329E-2</v>
      </c>
      <c r="R155" s="181">
        <v>1.6E-2</v>
      </c>
      <c r="S155" s="150">
        <v>-1.5</v>
      </c>
      <c r="T155" s="156">
        <v>0.10829999999999999</v>
      </c>
      <c r="U155" s="182">
        <v>-57.477154639175232</v>
      </c>
      <c r="V155" s="183">
        <v>-137.69999999999999</v>
      </c>
      <c r="W155" s="150">
        <v>2</v>
      </c>
      <c r="X155" s="184">
        <v>114.95430927835046</v>
      </c>
      <c r="Y155" s="185"/>
      <c r="Z155" s="185"/>
    </row>
    <row r="156" spans="3:26" ht="24" x14ac:dyDescent="0.2">
      <c r="C156" s="91"/>
      <c r="D156" s="214">
        <v>45503</v>
      </c>
      <c r="E156" s="219" t="s">
        <v>279</v>
      </c>
      <c r="F156" s="219" t="s">
        <v>530</v>
      </c>
      <c r="G156" s="219" t="s">
        <v>531</v>
      </c>
      <c r="H156" s="216">
        <v>0.58333333333333337</v>
      </c>
      <c r="I156" s="415"/>
      <c r="J156" s="416"/>
      <c r="K156" s="417"/>
      <c r="L156" s="218"/>
      <c r="M156" s="198"/>
      <c r="N156" s="195"/>
      <c r="O156" s="146"/>
      <c r="P156" s="146"/>
      <c r="Q156" s="180"/>
      <c r="R156" s="181"/>
      <c r="S156" s="150"/>
      <c r="T156" s="199"/>
      <c r="U156" s="182"/>
      <c r="V156" s="183"/>
      <c r="W156" s="150"/>
      <c r="X156" s="184"/>
      <c r="Y156" s="185"/>
      <c r="Z156" s="185"/>
    </row>
    <row r="157" spans="3:26" ht="24" x14ac:dyDescent="0.2">
      <c r="C157" s="91"/>
      <c r="D157" s="214">
        <v>45475</v>
      </c>
      <c r="E157" s="219" t="s">
        <v>111</v>
      </c>
      <c r="F157" s="219" t="s">
        <v>532</v>
      </c>
      <c r="G157" s="219" t="s">
        <v>533</v>
      </c>
      <c r="H157" s="216">
        <v>0.58333333333333337</v>
      </c>
      <c r="I157" s="415"/>
      <c r="J157" s="416"/>
      <c r="K157" s="417"/>
      <c r="L157" s="198"/>
      <c r="M157" s="198"/>
      <c r="N157" s="195"/>
      <c r="O157" s="146" t="s">
        <v>816</v>
      </c>
      <c r="P157" s="147"/>
      <c r="Q157" s="180"/>
      <c r="R157" s="181"/>
      <c r="S157" s="150"/>
      <c r="T157" s="147"/>
      <c r="U157" s="182">
        <v>0</v>
      </c>
      <c r="V157" s="183"/>
      <c r="W157" s="150"/>
      <c r="X157" s="184">
        <v>0</v>
      </c>
      <c r="Y157" s="185"/>
      <c r="Z157" s="185"/>
    </row>
    <row r="158" spans="3:26" ht="24" x14ac:dyDescent="0.2">
      <c r="C158" s="91"/>
      <c r="D158" s="214">
        <v>45447</v>
      </c>
      <c r="E158" s="219" t="s">
        <v>18</v>
      </c>
      <c r="F158" s="219" t="s">
        <v>535</v>
      </c>
      <c r="G158" s="219" t="s">
        <v>536</v>
      </c>
      <c r="H158" s="216">
        <v>0.58333333333333337</v>
      </c>
      <c r="I158" s="415"/>
      <c r="J158" s="416"/>
      <c r="K158" s="417"/>
      <c r="L158" s="198"/>
      <c r="M158" s="198"/>
      <c r="N158" s="195"/>
      <c r="O158" s="91"/>
      <c r="P158" s="91"/>
      <c r="Q158" s="91"/>
      <c r="R158" s="91"/>
      <c r="S158" s="91"/>
      <c r="T158" s="91"/>
      <c r="U158" s="91"/>
      <c r="V158" s="91"/>
      <c r="W158" s="91"/>
      <c r="X158" s="91"/>
      <c r="Y158" s="91"/>
      <c r="Z158" s="91"/>
    </row>
    <row r="159" spans="3:26" ht="24" x14ac:dyDescent="0.2">
      <c r="C159" s="91"/>
      <c r="D159" s="214">
        <v>45413</v>
      </c>
      <c r="E159" s="219" t="s">
        <v>537</v>
      </c>
      <c r="F159" s="219" t="s">
        <v>538</v>
      </c>
      <c r="G159" s="219" t="s">
        <v>539</v>
      </c>
      <c r="H159" s="216">
        <v>0.58333333333333337</v>
      </c>
      <c r="I159" s="418"/>
      <c r="J159" s="419"/>
      <c r="K159" s="420"/>
      <c r="L159" s="198"/>
      <c r="M159" s="198"/>
      <c r="N159" s="195"/>
      <c r="O159" s="91"/>
      <c r="P159" s="91"/>
      <c r="Q159" s="91"/>
      <c r="R159" s="91"/>
      <c r="S159" s="91"/>
      <c r="T159" s="91"/>
      <c r="U159" s="91"/>
      <c r="V159" s="91"/>
      <c r="W159" s="91"/>
      <c r="X159" s="91"/>
      <c r="Y159" s="91"/>
      <c r="Z159" s="91"/>
    </row>
    <row r="160" spans="3:26" ht="72" x14ac:dyDescent="0.2">
      <c r="C160" s="91" t="s">
        <v>105</v>
      </c>
      <c r="D160" s="193" t="s">
        <v>30</v>
      </c>
      <c r="E160" s="430" t="s">
        <v>824</v>
      </c>
      <c r="F160" s="430"/>
      <c r="G160" s="430"/>
      <c r="H160" s="194" t="s">
        <v>790</v>
      </c>
      <c r="I160" s="431" t="s">
        <v>633</v>
      </c>
      <c r="J160" s="432"/>
      <c r="K160" s="433"/>
      <c r="L160" s="194" t="s">
        <v>430</v>
      </c>
      <c r="M160" s="194" t="s">
        <v>431</v>
      </c>
      <c r="N160" s="195" t="s">
        <v>105</v>
      </c>
      <c r="O160" s="145" t="s">
        <v>800</v>
      </c>
      <c r="P160" s="145" t="s">
        <v>801</v>
      </c>
      <c r="Q160" s="145" t="s">
        <v>802</v>
      </c>
      <c r="R160" s="145" t="s">
        <v>803</v>
      </c>
      <c r="S160" s="145" t="s">
        <v>804</v>
      </c>
      <c r="T160" s="145" t="s">
        <v>805</v>
      </c>
      <c r="U160" s="145" t="s">
        <v>806</v>
      </c>
      <c r="V160" s="145" t="s">
        <v>807</v>
      </c>
      <c r="W160" s="145" t="s">
        <v>808</v>
      </c>
      <c r="X160" s="145" t="s">
        <v>809</v>
      </c>
      <c r="Y160" s="145" t="s">
        <v>75</v>
      </c>
      <c r="Z160" s="145" t="s">
        <v>75</v>
      </c>
    </row>
    <row r="161" spans="3:26" ht="24" x14ac:dyDescent="0.2">
      <c r="C161" s="91"/>
      <c r="D161" s="196" t="s">
        <v>432</v>
      </c>
      <c r="E161" s="434"/>
      <c r="F161" s="434"/>
      <c r="G161" s="434"/>
      <c r="H161" s="197" t="s">
        <v>904</v>
      </c>
      <c r="I161" s="412" t="s">
        <v>825</v>
      </c>
      <c r="J161" s="413"/>
      <c r="K161" s="414"/>
      <c r="L161" s="198"/>
      <c r="M161" s="198"/>
      <c r="N161" s="195"/>
      <c r="O161" s="146" t="s">
        <v>810</v>
      </c>
      <c r="P161" s="199">
        <v>0.1</v>
      </c>
      <c r="Q161" s="200">
        <v>1.2999999999999999E-2</v>
      </c>
      <c r="R161" s="201">
        <v>2.199999999999136E-2</v>
      </c>
      <c r="S161" s="150"/>
      <c r="T161" s="146">
        <v>4.1499999999991363E-2</v>
      </c>
      <c r="U161" s="200">
        <v>-10.74</v>
      </c>
      <c r="V161" s="199">
        <v>60.23</v>
      </c>
      <c r="W161" s="199"/>
      <c r="X161" s="184"/>
      <c r="Y161" s="151"/>
      <c r="Z161" s="151"/>
    </row>
    <row r="162" spans="3:26" ht="24" x14ac:dyDescent="0.2">
      <c r="C162" s="91"/>
      <c r="D162" s="196" t="s">
        <v>433</v>
      </c>
      <c r="E162" s="435">
        <v>2.3E-2</v>
      </c>
      <c r="F162" s="435"/>
      <c r="G162" s="435"/>
      <c r="H162" s="197" t="s">
        <v>905</v>
      </c>
      <c r="I162" s="415"/>
      <c r="J162" s="416"/>
      <c r="K162" s="417"/>
      <c r="L162" s="198"/>
      <c r="M162" s="198"/>
      <c r="N162" s="195"/>
      <c r="O162" s="152"/>
      <c r="P162" s="152"/>
      <c r="Q162" s="152"/>
      <c r="R162" s="153"/>
      <c r="S162" s="154"/>
      <c r="T162" s="152"/>
      <c r="U162" s="152"/>
      <c r="V162" s="152"/>
      <c r="W162" s="152"/>
      <c r="X162" s="154"/>
      <c r="Y162" s="155"/>
      <c r="Z162" s="155"/>
    </row>
    <row r="163" spans="3:26" ht="24" x14ac:dyDescent="0.2">
      <c r="C163" s="91"/>
      <c r="D163" s="196" t="s">
        <v>434</v>
      </c>
      <c r="E163" s="435">
        <v>3.7999999999999999E-2</v>
      </c>
      <c r="F163" s="435"/>
      <c r="G163" s="435"/>
      <c r="H163" s="203"/>
      <c r="I163" s="415"/>
      <c r="J163" s="416"/>
      <c r="K163" s="417"/>
      <c r="L163" s="198"/>
      <c r="M163" s="198"/>
      <c r="N163" s="195"/>
      <c r="O163" s="156" t="s">
        <v>811</v>
      </c>
      <c r="P163" s="204">
        <v>0.1</v>
      </c>
      <c r="Q163" s="205">
        <v>9.2700000000000005E-2</v>
      </c>
      <c r="R163" s="206">
        <v>2.4E-2</v>
      </c>
      <c r="S163" s="220">
        <v>1</v>
      </c>
      <c r="T163" s="156">
        <v>0.16305</v>
      </c>
      <c r="U163" s="161">
        <v>-42.196554216876251</v>
      </c>
      <c r="V163" s="162">
        <v>91.8</v>
      </c>
      <c r="W163" s="221">
        <v>4.95</v>
      </c>
      <c r="X163" s="164">
        <v>208.87294337353745</v>
      </c>
      <c r="Y163" s="165"/>
      <c r="Z163" s="165"/>
    </row>
    <row r="164" spans="3:26" ht="24" x14ac:dyDescent="0.2">
      <c r="C164" s="91"/>
      <c r="D164" s="196" t="s">
        <v>435</v>
      </c>
      <c r="E164" s="436">
        <v>2.0833333333333343E-2</v>
      </c>
      <c r="F164" s="436"/>
      <c r="G164" s="436"/>
      <c r="H164" s="203"/>
      <c r="I164" s="415"/>
      <c r="J164" s="416"/>
      <c r="K164" s="417"/>
      <c r="L164" s="208">
        <v>0.25</v>
      </c>
      <c r="M164" s="208">
        <v>0.14583333333333331</v>
      </c>
      <c r="N164" s="195"/>
      <c r="O164" s="166" t="s">
        <v>812</v>
      </c>
      <c r="P164" s="209">
        <v>0.1</v>
      </c>
      <c r="Q164" s="187">
        <v>0.10253333333333335</v>
      </c>
      <c r="R164" s="210">
        <v>2.4E-2</v>
      </c>
      <c r="S164" s="222">
        <v>1</v>
      </c>
      <c r="T164" s="211">
        <v>0.17780000000000001</v>
      </c>
      <c r="U164" s="171">
        <v>-46.0137831325397</v>
      </c>
      <c r="V164" s="172">
        <v>91.8</v>
      </c>
      <c r="W164" s="223">
        <v>3.5933333333333337</v>
      </c>
      <c r="X164" s="174">
        <v>165.34286072292602</v>
      </c>
      <c r="Y164" s="175"/>
      <c r="Z164" s="175"/>
    </row>
    <row r="165" spans="3:26" ht="24" x14ac:dyDescent="0.2">
      <c r="C165" s="91"/>
      <c r="D165" s="196" t="s">
        <v>436</v>
      </c>
      <c r="E165" s="213" t="s">
        <v>29</v>
      </c>
      <c r="F165" s="213" t="s">
        <v>28</v>
      </c>
      <c r="G165" s="213" t="s">
        <v>27</v>
      </c>
      <c r="H165" s="203" t="s">
        <v>793</v>
      </c>
      <c r="I165" s="415"/>
      <c r="J165" s="416"/>
      <c r="K165" s="417"/>
      <c r="L165" s="198"/>
      <c r="M165" s="198"/>
      <c r="N165" s="195"/>
      <c r="O165" s="154"/>
      <c r="P165" s="176"/>
      <c r="Q165" s="154"/>
      <c r="R165" s="154"/>
      <c r="S165" s="224"/>
      <c r="T165" s="154"/>
      <c r="U165" s="177"/>
      <c r="V165" s="178"/>
      <c r="W165" s="225"/>
      <c r="X165" s="177"/>
      <c r="Y165" s="155"/>
      <c r="Z165" s="155"/>
    </row>
    <row r="166" spans="3:26" ht="24" x14ac:dyDescent="0.2">
      <c r="C166" s="91"/>
      <c r="D166" s="214">
        <v>45504</v>
      </c>
      <c r="E166" s="226">
        <v>3.7999999999999999E-2</v>
      </c>
      <c r="F166" s="226" t="s">
        <v>632</v>
      </c>
      <c r="G166" s="226">
        <v>3.5999999999999997E-2</v>
      </c>
      <c r="H166" s="216">
        <v>6.25E-2</v>
      </c>
      <c r="I166" s="415"/>
      <c r="J166" s="416"/>
      <c r="K166" s="417"/>
      <c r="L166" s="198"/>
      <c r="M166" s="198"/>
      <c r="N166" s="195"/>
      <c r="O166" s="179"/>
      <c r="P166" s="155"/>
      <c r="Q166" s="179"/>
      <c r="R166" s="179"/>
      <c r="S166" s="224"/>
      <c r="T166" s="179"/>
      <c r="U166" s="179"/>
      <c r="V166" s="179"/>
      <c r="W166" s="227"/>
      <c r="X166" s="179"/>
      <c r="Y166" s="155"/>
      <c r="Z166" s="155"/>
    </row>
    <row r="167" spans="3:26" ht="24" x14ac:dyDescent="0.2">
      <c r="C167" s="91"/>
      <c r="D167" s="214">
        <v>45406</v>
      </c>
      <c r="E167" s="226">
        <v>3.5999999999999997E-2</v>
      </c>
      <c r="F167" s="226" t="s">
        <v>882</v>
      </c>
      <c r="G167" s="226">
        <v>4.1000000000000002E-2</v>
      </c>
      <c r="H167" s="216">
        <v>6.25E-2</v>
      </c>
      <c r="I167" s="415"/>
      <c r="J167" s="416"/>
      <c r="K167" s="417"/>
      <c r="L167" s="198"/>
      <c r="M167" s="198"/>
      <c r="N167" s="195"/>
      <c r="O167" s="146" t="s">
        <v>813</v>
      </c>
      <c r="P167" s="228">
        <v>0.1</v>
      </c>
      <c r="Q167" s="180">
        <v>0.10253333333333335</v>
      </c>
      <c r="R167" s="181">
        <v>2.4E-2</v>
      </c>
      <c r="S167" s="228">
        <v>1</v>
      </c>
      <c r="T167" s="229">
        <v>0.17780000000000001</v>
      </c>
      <c r="U167" s="182">
        <v>-46.0137831325397</v>
      </c>
      <c r="V167" s="183">
        <v>91.8</v>
      </c>
      <c r="W167" s="230">
        <v>3</v>
      </c>
      <c r="X167" s="184">
        <v>138.04134939761911</v>
      </c>
      <c r="Y167" s="185"/>
      <c r="Z167" s="185"/>
    </row>
    <row r="168" spans="3:26" ht="24" x14ac:dyDescent="0.2">
      <c r="C168" s="91"/>
      <c r="D168" s="214">
        <v>45322</v>
      </c>
      <c r="E168" s="226">
        <v>4.1000000000000002E-2</v>
      </c>
      <c r="F168" s="226" t="s">
        <v>883</v>
      </c>
      <c r="G168" s="226">
        <v>5.3999999999999999E-2</v>
      </c>
      <c r="H168" s="216">
        <v>2.0833333333333336E-2</v>
      </c>
      <c r="I168" s="415"/>
      <c r="J168" s="416"/>
      <c r="K168" s="417"/>
      <c r="L168" s="218"/>
      <c r="M168" s="198"/>
      <c r="N168" s="195"/>
      <c r="O168" s="146"/>
      <c r="P168" s="147"/>
      <c r="Q168" s="180"/>
      <c r="R168" s="181"/>
      <c r="S168" s="170"/>
      <c r="T168" s="147"/>
      <c r="U168" s="182"/>
      <c r="V168" s="183"/>
      <c r="W168" s="150"/>
      <c r="X168" s="184"/>
      <c r="Y168" s="185"/>
      <c r="Z168" s="185"/>
    </row>
    <row r="169" spans="3:26" ht="24" x14ac:dyDescent="0.2">
      <c r="C169" s="91"/>
      <c r="D169" s="214">
        <v>45224</v>
      </c>
      <c r="E169" s="226">
        <v>5.3999999999999999E-2</v>
      </c>
      <c r="F169" s="226" t="s">
        <v>884</v>
      </c>
      <c r="G169" s="226">
        <v>0.06</v>
      </c>
      <c r="H169" s="216">
        <v>2.0833333333333336E-2</v>
      </c>
      <c r="I169" s="415"/>
      <c r="J169" s="416"/>
      <c r="K169" s="417"/>
      <c r="L169" s="198"/>
      <c r="M169" s="198"/>
      <c r="N169" s="195"/>
      <c r="O169" s="146"/>
      <c r="P169" s="147"/>
      <c r="Q169" s="180"/>
      <c r="R169" s="181"/>
      <c r="S169" s="150"/>
      <c r="T169" s="147"/>
      <c r="U169" s="182"/>
      <c r="V169" s="183"/>
      <c r="W169" s="150"/>
      <c r="X169" s="184"/>
      <c r="Y169" s="185"/>
      <c r="Z169" s="185"/>
    </row>
    <row r="170" spans="3:26" ht="24" x14ac:dyDescent="0.2">
      <c r="C170" s="91"/>
      <c r="D170" s="214">
        <v>45133</v>
      </c>
      <c r="E170" s="226">
        <v>0.06</v>
      </c>
      <c r="F170" s="226" t="s">
        <v>885</v>
      </c>
      <c r="G170" s="226">
        <v>7.0000000000000007E-2</v>
      </c>
      <c r="H170" s="216">
        <v>6.25E-2</v>
      </c>
      <c r="I170" s="415"/>
      <c r="J170" s="416"/>
      <c r="K170" s="417"/>
      <c r="L170" s="198"/>
      <c r="M170" s="198"/>
      <c r="N170" s="195"/>
      <c r="O170" s="91"/>
      <c r="P170" s="91"/>
      <c r="Q170" s="91"/>
      <c r="R170" s="91"/>
      <c r="S170" s="91"/>
      <c r="T170" s="91"/>
      <c r="U170" s="91"/>
      <c r="V170" s="91"/>
      <c r="W170" s="91"/>
      <c r="X170" s="91"/>
      <c r="Y170" s="91"/>
      <c r="Z170" s="91"/>
    </row>
    <row r="171" spans="3:26" ht="24" x14ac:dyDescent="0.2">
      <c r="C171" s="91"/>
      <c r="D171" s="214">
        <v>45042</v>
      </c>
      <c r="E171" s="226">
        <v>7.0000000000000007E-2</v>
      </c>
      <c r="F171" s="226" t="s">
        <v>886</v>
      </c>
      <c r="G171" s="226">
        <v>7.8E-2</v>
      </c>
      <c r="H171" s="216">
        <v>6.25E-2</v>
      </c>
      <c r="I171" s="418"/>
      <c r="J171" s="419"/>
      <c r="K171" s="420"/>
      <c r="L171" s="198"/>
      <c r="M171" s="198"/>
      <c r="N171" s="195"/>
      <c r="O171" s="91"/>
      <c r="P171" s="91"/>
      <c r="Q171" s="91"/>
      <c r="R171" s="91"/>
      <c r="S171" s="91"/>
      <c r="T171" s="91"/>
      <c r="U171" s="91"/>
      <c r="V171" s="91"/>
      <c r="W171" s="91"/>
      <c r="X171" s="91"/>
      <c r="Y171" s="91"/>
      <c r="Z171" s="91"/>
    </row>
    <row r="172" spans="3:26" ht="72" x14ac:dyDescent="0.2">
      <c r="C172" s="91" t="s">
        <v>105</v>
      </c>
      <c r="D172" s="193" t="s">
        <v>30</v>
      </c>
      <c r="E172" s="430" t="s">
        <v>826</v>
      </c>
      <c r="F172" s="430"/>
      <c r="G172" s="430"/>
      <c r="H172" s="194" t="s">
        <v>790</v>
      </c>
      <c r="I172" s="431" t="s">
        <v>633</v>
      </c>
      <c r="J172" s="432"/>
      <c r="K172" s="433"/>
      <c r="L172" s="194" t="s">
        <v>430</v>
      </c>
      <c r="M172" s="194" t="s">
        <v>431</v>
      </c>
      <c r="N172" s="195" t="s">
        <v>105</v>
      </c>
      <c r="O172" s="145" t="s">
        <v>800</v>
      </c>
      <c r="P172" s="145" t="s">
        <v>801</v>
      </c>
      <c r="Q172" s="145" t="s">
        <v>802</v>
      </c>
      <c r="R172" s="145" t="s">
        <v>803</v>
      </c>
      <c r="S172" s="145" t="s">
        <v>804</v>
      </c>
      <c r="T172" s="145" t="s">
        <v>805</v>
      </c>
      <c r="U172" s="145" t="s">
        <v>806</v>
      </c>
      <c r="V172" s="145" t="s">
        <v>807</v>
      </c>
      <c r="W172" s="145" t="s">
        <v>808</v>
      </c>
      <c r="X172" s="145" t="s">
        <v>809</v>
      </c>
      <c r="Y172" s="145" t="s">
        <v>75</v>
      </c>
      <c r="Z172" s="145" t="s">
        <v>75</v>
      </c>
    </row>
    <row r="173" spans="3:26" ht="24" x14ac:dyDescent="0.2">
      <c r="C173" s="91"/>
      <c r="D173" s="196" t="s">
        <v>432</v>
      </c>
      <c r="E173" s="434"/>
      <c r="F173" s="434"/>
      <c r="G173" s="434"/>
      <c r="H173" s="197" t="s">
        <v>906</v>
      </c>
      <c r="I173" s="412" t="s">
        <v>827</v>
      </c>
      <c r="J173" s="413"/>
      <c r="K173" s="414"/>
      <c r="L173" s="198"/>
      <c r="M173" s="198"/>
      <c r="N173" s="195"/>
      <c r="O173" s="146" t="s">
        <v>810</v>
      </c>
      <c r="P173" s="199">
        <v>0.1</v>
      </c>
      <c r="Q173" s="200">
        <v>2.1999999999999999E-2</v>
      </c>
      <c r="R173" s="201">
        <v>3.0000000000001137E-2</v>
      </c>
      <c r="S173" s="150"/>
      <c r="T173" s="146">
        <v>6.3000000000001138E-2</v>
      </c>
      <c r="U173" s="200">
        <v>-15.02</v>
      </c>
      <c r="V173" s="199">
        <v>99.37</v>
      </c>
      <c r="W173" s="199"/>
      <c r="X173" s="184"/>
      <c r="Y173" s="151"/>
      <c r="Z173" s="151"/>
    </row>
    <row r="174" spans="3:26" ht="24" x14ac:dyDescent="0.2">
      <c r="C174" s="91"/>
      <c r="D174" s="196" t="s">
        <v>433</v>
      </c>
      <c r="E174" s="435">
        <v>0</v>
      </c>
      <c r="F174" s="435"/>
      <c r="G174" s="435"/>
      <c r="H174" s="197" t="s">
        <v>907</v>
      </c>
      <c r="I174" s="415"/>
      <c r="J174" s="416"/>
      <c r="K174" s="417"/>
      <c r="L174" s="198"/>
      <c r="M174" s="198"/>
      <c r="N174" s="195"/>
      <c r="O174" s="152"/>
      <c r="P174" s="152"/>
      <c r="Q174" s="152"/>
      <c r="R174" s="153"/>
      <c r="S174" s="154"/>
      <c r="T174" s="152"/>
      <c r="U174" s="152"/>
      <c r="V174" s="152"/>
      <c r="W174" s="152"/>
      <c r="X174" s="154"/>
      <c r="Y174" s="155"/>
      <c r="Z174" s="155"/>
    </row>
    <row r="175" spans="3:26" ht="24" x14ac:dyDescent="0.2">
      <c r="C175" s="91"/>
      <c r="D175" s="196" t="s">
        <v>434</v>
      </c>
      <c r="E175" s="435">
        <v>-1E-3</v>
      </c>
      <c r="F175" s="435"/>
      <c r="G175" s="435"/>
      <c r="H175" s="203"/>
      <c r="I175" s="415"/>
      <c r="J175" s="416"/>
      <c r="K175" s="417"/>
      <c r="L175" s="198"/>
      <c r="M175" s="198"/>
      <c r="N175" s="195"/>
      <c r="O175" s="156" t="s">
        <v>811</v>
      </c>
      <c r="P175" s="204">
        <v>0.1</v>
      </c>
      <c r="Q175" s="205">
        <v>5.0599999999999999E-2</v>
      </c>
      <c r="R175" s="206">
        <v>3.0000000000001137E-2</v>
      </c>
      <c r="S175" s="220">
        <v>1</v>
      </c>
      <c r="T175" s="156">
        <v>0.10590000000000113</v>
      </c>
      <c r="U175" s="161">
        <v>-25.247904761904575</v>
      </c>
      <c r="V175" s="162">
        <v>99.37</v>
      </c>
      <c r="W175" s="221">
        <v>4.26</v>
      </c>
      <c r="X175" s="164">
        <v>107.55607428571348</v>
      </c>
      <c r="Y175" s="165"/>
      <c r="Z175" s="165">
        <v>4.4350000000000005</v>
      </c>
    </row>
    <row r="176" spans="3:26" ht="24" x14ac:dyDescent="0.2">
      <c r="C176" s="91"/>
      <c r="D176" s="196" t="s">
        <v>435</v>
      </c>
      <c r="E176" s="436">
        <v>0.375</v>
      </c>
      <c r="F176" s="436"/>
      <c r="G176" s="436"/>
      <c r="H176" s="203"/>
      <c r="I176" s="415"/>
      <c r="J176" s="416"/>
      <c r="K176" s="417"/>
      <c r="L176" s="208">
        <v>0.60416666666666663</v>
      </c>
      <c r="M176" s="208">
        <v>0.49999999999999994</v>
      </c>
      <c r="N176" s="195"/>
      <c r="O176" s="166" t="s">
        <v>812</v>
      </c>
      <c r="P176" s="209">
        <v>0.1</v>
      </c>
      <c r="Q176" s="187">
        <v>6.1533333333332579E-2</v>
      </c>
      <c r="R176" s="210">
        <v>3.0000000000001137E-2</v>
      </c>
      <c r="S176" s="222">
        <v>0.5</v>
      </c>
      <c r="T176" s="211">
        <v>0.12230000000000001</v>
      </c>
      <c r="U176" s="171">
        <v>-14.578936507936245</v>
      </c>
      <c r="V176" s="172">
        <v>99.37</v>
      </c>
      <c r="W176" s="223">
        <v>2.15</v>
      </c>
      <c r="X176" s="174">
        <v>31.344713492062926</v>
      </c>
      <c r="Y176" s="175"/>
      <c r="Z176" s="175"/>
    </row>
    <row r="177" spans="3:26" ht="24" x14ac:dyDescent="0.2">
      <c r="C177" s="91"/>
      <c r="D177" s="196" t="s">
        <v>436</v>
      </c>
      <c r="E177" s="213" t="s">
        <v>29</v>
      </c>
      <c r="F177" s="213" t="s">
        <v>28</v>
      </c>
      <c r="G177" s="213" t="s">
        <v>27</v>
      </c>
      <c r="H177" s="203" t="s">
        <v>793</v>
      </c>
      <c r="I177" s="415"/>
      <c r="J177" s="416"/>
      <c r="K177" s="417"/>
      <c r="L177" s="231"/>
      <c r="M177" s="198"/>
      <c r="N177" s="195"/>
      <c r="O177" s="154"/>
      <c r="P177" s="176"/>
      <c r="Q177" s="154"/>
      <c r="R177" s="154"/>
      <c r="S177" s="224"/>
      <c r="T177" s="154"/>
      <c r="U177" s="177"/>
      <c r="V177" s="178"/>
      <c r="W177" s="225"/>
      <c r="X177" s="177"/>
      <c r="Y177" s="155"/>
      <c r="Z177" s="155"/>
    </row>
    <row r="178" spans="3:26" ht="24" x14ac:dyDescent="0.2">
      <c r="C178" s="91"/>
      <c r="D178" s="214">
        <v>45531</v>
      </c>
      <c r="E178" s="219">
        <v>-1E-3</v>
      </c>
      <c r="F178" s="219" t="s">
        <v>456</v>
      </c>
      <c r="G178" s="219">
        <v>2E-3</v>
      </c>
      <c r="H178" s="216">
        <v>0.24999999999999997</v>
      </c>
      <c r="I178" s="415"/>
      <c r="J178" s="416"/>
      <c r="K178" s="417"/>
      <c r="L178" s="231">
        <v>8.3333333333333329E-2</v>
      </c>
      <c r="M178" s="198"/>
      <c r="N178" s="195"/>
      <c r="O178" s="179"/>
      <c r="P178" s="155"/>
      <c r="Q178" s="179"/>
      <c r="R178" s="179"/>
      <c r="S178" s="224"/>
      <c r="T178" s="179"/>
      <c r="U178" s="179"/>
      <c r="V178" s="179"/>
      <c r="W178" s="227"/>
      <c r="X178" s="179"/>
      <c r="Y178" s="155"/>
      <c r="Z178" s="155"/>
    </row>
    <row r="179" spans="3:26" ht="24" x14ac:dyDescent="0.2">
      <c r="C179" s="91"/>
      <c r="D179" s="214">
        <v>45503</v>
      </c>
      <c r="E179" s="219">
        <v>-1E-3</v>
      </c>
      <c r="F179" s="219" t="s">
        <v>462</v>
      </c>
      <c r="G179" s="219">
        <v>2E-3</v>
      </c>
      <c r="H179" s="216">
        <v>0.33333333333333337</v>
      </c>
      <c r="I179" s="415"/>
      <c r="J179" s="416"/>
      <c r="K179" s="417"/>
      <c r="L179" s="231">
        <v>0.16666666666666666</v>
      </c>
      <c r="M179" s="198"/>
      <c r="N179" s="195"/>
      <c r="O179" s="146" t="s">
        <v>813</v>
      </c>
      <c r="P179" s="228">
        <v>0.1</v>
      </c>
      <c r="Q179" s="180">
        <v>6.1533333333332579E-2</v>
      </c>
      <c r="R179" s="181">
        <v>3.0000000000001137E-2</v>
      </c>
      <c r="S179" s="228">
        <v>1</v>
      </c>
      <c r="T179" s="229">
        <v>0.12230000000000001</v>
      </c>
      <c r="U179" s="182">
        <v>-29.157873015872489</v>
      </c>
      <c r="V179" s="183">
        <v>99.37</v>
      </c>
      <c r="W179" s="230">
        <v>2.15</v>
      </c>
      <c r="X179" s="184">
        <v>62.689426984125852</v>
      </c>
      <c r="Y179" s="185"/>
      <c r="Z179" s="185"/>
    </row>
    <row r="180" spans="3:26" ht="24" x14ac:dyDescent="0.2">
      <c r="C180" s="91"/>
      <c r="D180" s="214">
        <v>45436</v>
      </c>
      <c r="E180" s="219">
        <v>2E-3</v>
      </c>
      <c r="F180" s="219" t="s">
        <v>460</v>
      </c>
      <c r="G180" s="219">
        <v>-3.0000000000000001E-3</v>
      </c>
      <c r="H180" s="216">
        <v>0.24999999999999997</v>
      </c>
      <c r="I180" s="415"/>
      <c r="J180" s="416"/>
      <c r="K180" s="417"/>
      <c r="L180" s="231">
        <v>8.3333333333333329E-2</v>
      </c>
      <c r="M180" s="198"/>
      <c r="N180" s="195"/>
      <c r="O180" s="146"/>
      <c r="P180" s="147"/>
      <c r="Q180" s="180"/>
      <c r="R180" s="181"/>
      <c r="S180" s="150"/>
      <c r="T180" s="147"/>
      <c r="U180" s="182"/>
      <c r="V180" s="183"/>
      <c r="W180" s="150"/>
      <c r="X180" s="184"/>
      <c r="Y180" s="185"/>
      <c r="Z180" s="185"/>
    </row>
    <row r="181" spans="3:26" ht="24" x14ac:dyDescent="0.2">
      <c r="C181" s="91"/>
      <c r="D181" s="214">
        <v>45412</v>
      </c>
      <c r="E181" s="219">
        <v>2E-3</v>
      </c>
      <c r="F181" s="219" t="s">
        <v>462</v>
      </c>
      <c r="G181" s="219">
        <v>-5.0000000000000001E-3</v>
      </c>
      <c r="H181" s="216">
        <v>0.33333333333333337</v>
      </c>
      <c r="I181" s="415"/>
      <c r="J181" s="416"/>
      <c r="K181" s="417"/>
      <c r="L181" s="231">
        <v>0.16666666666666666</v>
      </c>
      <c r="M181" s="198"/>
      <c r="N181" s="195"/>
      <c r="O181" s="146" t="s">
        <v>816</v>
      </c>
      <c r="P181" s="147"/>
      <c r="Q181" s="180"/>
      <c r="R181" s="181"/>
      <c r="S181" s="150"/>
      <c r="T181" s="147"/>
      <c r="U181" s="182">
        <v>0</v>
      </c>
      <c r="V181" s="183"/>
      <c r="W181" s="150"/>
      <c r="X181" s="184">
        <v>0</v>
      </c>
      <c r="Y181" s="185"/>
      <c r="Z181" s="185"/>
    </row>
    <row r="182" spans="3:26" ht="24" x14ac:dyDescent="0.2">
      <c r="C182" s="91"/>
      <c r="D182" s="214">
        <v>45345</v>
      </c>
      <c r="E182" s="219">
        <v>-3.0000000000000001E-3</v>
      </c>
      <c r="F182" s="219" t="s">
        <v>454</v>
      </c>
      <c r="G182" s="219">
        <v>-1E-3</v>
      </c>
      <c r="H182" s="216">
        <v>0.29166666666666663</v>
      </c>
      <c r="I182" s="415"/>
      <c r="J182" s="416"/>
      <c r="K182" s="417"/>
      <c r="L182" s="231">
        <v>0.125</v>
      </c>
      <c r="M182" s="198"/>
      <c r="N182" s="195"/>
      <c r="O182" s="91"/>
      <c r="P182" s="91"/>
      <c r="Q182" s="91"/>
      <c r="R182" s="91"/>
      <c r="S182" s="91"/>
      <c r="T182" s="91"/>
      <c r="U182" s="91"/>
      <c r="V182" s="91"/>
      <c r="W182" s="91"/>
      <c r="X182" s="91"/>
      <c r="Y182" s="91"/>
      <c r="Z182" s="91"/>
    </row>
    <row r="183" spans="3:26" ht="24" x14ac:dyDescent="0.2">
      <c r="C183" s="91"/>
      <c r="D183" s="214">
        <v>45321</v>
      </c>
      <c r="E183" s="219">
        <v>-3.0000000000000001E-3</v>
      </c>
      <c r="F183" s="219" t="s">
        <v>454</v>
      </c>
      <c r="G183" s="219">
        <v>-1E-3</v>
      </c>
      <c r="H183" s="216">
        <v>0.375</v>
      </c>
      <c r="I183" s="418"/>
      <c r="J183" s="419"/>
      <c r="K183" s="420"/>
      <c r="L183" s="231">
        <v>0.20833333333333334</v>
      </c>
      <c r="M183" s="198"/>
      <c r="N183" s="195"/>
      <c r="O183" s="91"/>
      <c r="P183" s="91"/>
      <c r="Q183" s="91"/>
      <c r="R183" s="91"/>
      <c r="S183" s="91"/>
      <c r="T183" s="91"/>
      <c r="U183" s="91"/>
      <c r="V183" s="91"/>
      <c r="W183" s="91"/>
      <c r="X183" s="91"/>
      <c r="Y183" s="91"/>
      <c r="Z183" s="91"/>
    </row>
    <row r="184" spans="3:26" ht="72" x14ac:dyDescent="0.2">
      <c r="C184" s="91" t="s">
        <v>105</v>
      </c>
      <c r="D184" s="193" t="s">
        <v>30</v>
      </c>
      <c r="E184" s="430" t="s">
        <v>828</v>
      </c>
      <c r="F184" s="430"/>
      <c r="G184" s="430"/>
      <c r="H184" s="194" t="s">
        <v>790</v>
      </c>
      <c r="I184" s="431" t="s">
        <v>633</v>
      </c>
      <c r="J184" s="432"/>
      <c r="K184" s="433"/>
      <c r="L184" s="194" t="s">
        <v>430</v>
      </c>
      <c r="M184" s="194" t="s">
        <v>431</v>
      </c>
      <c r="N184" s="195" t="s">
        <v>105</v>
      </c>
      <c r="O184" s="145" t="s">
        <v>800</v>
      </c>
      <c r="P184" s="145" t="s">
        <v>801</v>
      </c>
      <c r="Q184" s="145" t="s">
        <v>802</v>
      </c>
      <c r="R184" s="145" t="s">
        <v>803</v>
      </c>
      <c r="S184" s="145" t="s">
        <v>804</v>
      </c>
      <c r="T184" s="145" t="s">
        <v>805</v>
      </c>
      <c r="U184" s="145" t="s">
        <v>806</v>
      </c>
      <c r="V184" s="145" t="s">
        <v>807</v>
      </c>
      <c r="W184" s="145" t="s">
        <v>808</v>
      </c>
      <c r="X184" s="145" t="s">
        <v>809</v>
      </c>
      <c r="Y184" s="145" t="s">
        <v>75</v>
      </c>
      <c r="Z184" s="145" t="s">
        <v>75</v>
      </c>
    </row>
    <row r="185" spans="3:26" ht="24" x14ac:dyDescent="0.2">
      <c r="C185" s="91"/>
      <c r="D185" s="196" t="s">
        <v>432</v>
      </c>
      <c r="E185" s="434"/>
      <c r="F185" s="434"/>
      <c r="G185" s="434"/>
      <c r="H185" s="197" t="s">
        <v>906</v>
      </c>
      <c r="I185" s="412" t="s">
        <v>829</v>
      </c>
      <c r="J185" s="413"/>
      <c r="K185" s="414"/>
      <c r="L185" s="198"/>
      <c r="M185" s="198"/>
      <c r="N185" s="195"/>
      <c r="O185" s="146" t="s">
        <v>810</v>
      </c>
      <c r="P185" s="199">
        <v>0.1</v>
      </c>
      <c r="Q185" s="200">
        <v>2.1999999999999999E-2</v>
      </c>
      <c r="R185" s="201">
        <v>3.0000000000001137E-2</v>
      </c>
      <c r="S185" s="150"/>
      <c r="T185" s="146">
        <v>6.3000000000001138E-2</v>
      </c>
      <c r="U185" s="200">
        <v>-15.02</v>
      </c>
      <c r="V185" s="199">
        <v>99.37</v>
      </c>
      <c r="W185" s="199"/>
      <c r="X185" s="184"/>
      <c r="Y185" s="151"/>
      <c r="Z185" s="151"/>
    </row>
    <row r="186" spans="3:26" ht="24" x14ac:dyDescent="0.2">
      <c r="C186" s="91"/>
      <c r="D186" s="196" t="s">
        <v>433</v>
      </c>
      <c r="E186" s="435">
        <v>8.0000000000000002E-3</v>
      </c>
      <c r="F186" s="435"/>
      <c r="G186" s="435"/>
      <c r="H186" s="197" t="s">
        <v>907</v>
      </c>
      <c r="I186" s="415"/>
      <c r="J186" s="416"/>
      <c r="K186" s="417"/>
      <c r="L186" s="198"/>
      <c r="M186" s="198"/>
      <c r="N186" s="195"/>
      <c r="O186" s="152"/>
      <c r="P186" s="152"/>
      <c r="Q186" s="152"/>
      <c r="R186" s="153"/>
      <c r="S186" s="154"/>
      <c r="T186" s="152"/>
      <c r="U186" s="152"/>
      <c r="V186" s="152"/>
      <c r="W186" s="152"/>
      <c r="X186" s="154"/>
      <c r="Y186" s="155"/>
      <c r="Z186" s="155"/>
    </row>
    <row r="187" spans="3:26" ht="24" x14ac:dyDescent="0.2">
      <c r="C187" s="91"/>
      <c r="D187" s="196" t="s">
        <v>434</v>
      </c>
      <c r="E187" s="435">
        <v>6.0000000000000001E-3</v>
      </c>
      <c r="F187" s="435"/>
      <c r="G187" s="435"/>
      <c r="H187" s="203"/>
      <c r="I187" s="415"/>
      <c r="J187" s="416"/>
      <c r="K187" s="417"/>
      <c r="L187" s="198"/>
      <c r="M187" s="198"/>
      <c r="N187" s="195"/>
      <c r="O187" s="156" t="s">
        <v>811</v>
      </c>
      <c r="P187" s="204">
        <v>0.1</v>
      </c>
      <c r="Q187" s="205">
        <v>6.4100000000000004E-2</v>
      </c>
      <c r="R187" s="206">
        <v>3.0000000000001137E-2</v>
      </c>
      <c r="S187" s="220">
        <v>1</v>
      </c>
      <c r="T187" s="156">
        <v>0.12615000000000115</v>
      </c>
      <c r="U187" s="161">
        <v>-30.075761904761638</v>
      </c>
      <c r="V187" s="162">
        <v>91.8</v>
      </c>
      <c r="W187" s="221">
        <v>2.39</v>
      </c>
      <c r="X187" s="164">
        <v>71.881070952380313</v>
      </c>
      <c r="Y187" s="165"/>
      <c r="Z187" s="165"/>
    </row>
    <row r="188" spans="3:26" ht="24" x14ac:dyDescent="0.2">
      <c r="C188" s="91"/>
      <c r="D188" s="196" t="s">
        <v>435</v>
      </c>
      <c r="E188" s="436">
        <v>0.41666666666666674</v>
      </c>
      <c r="F188" s="436"/>
      <c r="G188" s="436"/>
      <c r="H188" s="203"/>
      <c r="I188" s="415"/>
      <c r="J188" s="416"/>
      <c r="K188" s="417"/>
      <c r="L188" s="208">
        <v>0.64583333333333337</v>
      </c>
      <c r="M188" s="208">
        <v>0.54166666666666674</v>
      </c>
      <c r="N188" s="195"/>
      <c r="O188" s="166" t="s">
        <v>812</v>
      </c>
      <c r="P188" s="209">
        <v>0.1</v>
      </c>
      <c r="Q188" s="187">
        <v>7.6066666666665908E-2</v>
      </c>
      <c r="R188" s="210">
        <v>3.0000000000001137E-2</v>
      </c>
      <c r="S188" s="222">
        <v>1</v>
      </c>
      <c r="T188" s="211">
        <v>0.14410000000000001</v>
      </c>
      <c r="U188" s="171">
        <v>-34.355269841269219</v>
      </c>
      <c r="V188" s="172">
        <v>91.8</v>
      </c>
      <c r="W188" s="223">
        <v>2.08</v>
      </c>
      <c r="X188" s="174">
        <v>71.458961269839975</v>
      </c>
      <c r="Y188" s="175"/>
      <c r="Z188" s="175"/>
    </row>
    <row r="189" spans="3:26" ht="24" x14ac:dyDescent="0.2">
      <c r="C189" s="91"/>
      <c r="D189" s="196" t="s">
        <v>436</v>
      </c>
      <c r="E189" s="213" t="s">
        <v>29</v>
      </c>
      <c r="F189" s="213" t="s">
        <v>28</v>
      </c>
      <c r="G189" s="213" t="s">
        <v>27</v>
      </c>
      <c r="H189" s="203" t="s">
        <v>793</v>
      </c>
      <c r="I189" s="415"/>
      <c r="J189" s="416"/>
      <c r="K189" s="417"/>
      <c r="L189" s="198"/>
      <c r="M189" s="198"/>
      <c r="N189" s="195"/>
      <c r="O189" s="154"/>
      <c r="P189" s="176"/>
      <c r="Q189" s="154"/>
      <c r="R189" s="154"/>
      <c r="S189" s="224"/>
      <c r="T189" s="154"/>
      <c r="U189" s="177"/>
      <c r="V189" s="178"/>
      <c r="W189" s="225"/>
      <c r="X189" s="177"/>
      <c r="Y189" s="155"/>
      <c r="Z189" s="155"/>
    </row>
    <row r="190" spans="3:26" ht="24" x14ac:dyDescent="0.2">
      <c r="C190" s="91"/>
      <c r="D190" s="214">
        <v>45541</v>
      </c>
      <c r="E190" s="226">
        <v>6.0000000000000001E-3</v>
      </c>
      <c r="F190" s="226" t="s">
        <v>449</v>
      </c>
      <c r="G190" s="226">
        <v>4.0000000000000001E-3</v>
      </c>
      <c r="H190" s="216">
        <v>0.375</v>
      </c>
      <c r="I190" s="415"/>
      <c r="J190" s="416"/>
      <c r="K190" s="417"/>
      <c r="L190" s="231">
        <v>0.20833333333333334</v>
      </c>
      <c r="M190" s="198"/>
      <c r="N190" s="195"/>
      <c r="O190" s="179"/>
      <c r="P190" s="155"/>
      <c r="Q190" s="179"/>
      <c r="R190" s="179"/>
      <c r="S190" s="224"/>
      <c r="T190" s="179"/>
      <c r="U190" s="179"/>
      <c r="V190" s="179"/>
      <c r="W190" s="227"/>
      <c r="X190" s="179"/>
      <c r="Y190" s="155"/>
      <c r="Z190" s="155"/>
    </row>
    <row r="191" spans="3:26" ht="24" x14ac:dyDescent="0.2">
      <c r="C191" s="91"/>
      <c r="D191" s="214">
        <v>45518</v>
      </c>
      <c r="E191" s="226">
        <v>6.0000000000000001E-3</v>
      </c>
      <c r="F191" s="226" t="s">
        <v>449</v>
      </c>
      <c r="G191" s="226">
        <v>4.0000000000000001E-3</v>
      </c>
      <c r="H191" s="216">
        <v>0.375</v>
      </c>
      <c r="I191" s="415"/>
      <c r="J191" s="416"/>
      <c r="K191" s="417"/>
      <c r="L191" s="231">
        <v>0.20833333333333334</v>
      </c>
      <c r="M191" s="198"/>
      <c r="N191" s="195"/>
      <c r="O191" s="146" t="s">
        <v>813</v>
      </c>
      <c r="P191" s="228">
        <v>0.1</v>
      </c>
      <c r="Q191" s="180">
        <v>7.6066666666665908E-2</v>
      </c>
      <c r="R191" s="181">
        <v>3.0000000000001137E-2</v>
      </c>
      <c r="S191" s="228">
        <v>1</v>
      </c>
      <c r="T191" s="229">
        <v>0.14410000000000001</v>
      </c>
      <c r="U191" s="182">
        <v>-34.355269841269219</v>
      </c>
      <c r="V191" s="183">
        <v>91.8</v>
      </c>
      <c r="W191" s="230">
        <v>2.08</v>
      </c>
      <c r="X191" s="184">
        <v>71.458961269839975</v>
      </c>
      <c r="Y191" s="185"/>
      <c r="Z191" s="185"/>
    </row>
    <row r="192" spans="3:26" ht="24" x14ac:dyDescent="0.2">
      <c r="C192" s="91"/>
      <c r="D192" s="214">
        <v>45503</v>
      </c>
      <c r="E192" s="226">
        <v>6.0000000000000001E-3</v>
      </c>
      <c r="F192" s="226" t="s">
        <v>449</v>
      </c>
      <c r="G192" s="226">
        <v>4.0000000000000001E-3</v>
      </c>
      <c r="H192" s="216">
        <v>0.375</v>
      </c>
      <c r="I192" s="415"/>
      <c r="J192" s="416"/>
      <c r="K192" s="417"/>
      <c r="L192" s="231">
        <v>0.20833333333333334</v>
      </c>
      <c r="M192" s="198"/>
      <c r="N192" s="195"/>
      <c r="O192" s="146"/>
      <c r="P192" s="147"/>
      <c r="Q192" s="180"/>
      <c r="R192" s="181"/>
      <c r="S192" s="150"/>
      <c r="T192" s="147"/>
      <c r="U192" s="182"/>
      <c r="V192" s="183"/>
      <c r="W192" s="150"/>
      <c r="X192" s="184"/>
      <c r="Y192" s="185"/>
      <c r="Z192" s="185"/>
    </row>
    <row r="193" spans="3:26" ht="24" x14ac:dyDescent="0.2">
      <c r="C193" s="91"/>
      <c r="D193" s="214">
        <v>45450</v>
      </c>
      <c r="E193" s="226">
        <v>4.0000000000000001E-3</v>
      </c>
      <c r="F193" s="226" t="s">
        <v>452</v>
      </c>
      <c r="G193" s="226">
        <v>2E-3</v>
      </c>
      <c r="H193" s="216">
        <v>0.375</v>
      </c>
      <c r="I193" s="415"/>
      <c r="J193" s="416"/>
      <c r="K193" s="417"/>
      <c r="L193" s="231">
        <v>0.20833333333333334</v>
      </c>
      <c r="M193" s="198"/>
      <c r="N193" s="195"/>
      <c r="O193" s="146"/>
      <c r="P193" s="147"/>
      <c r="Q193" s="180"/>
      <c r="R193" s="181"/>
      <c r="S193" s="150"/>
      <c r="T193" s="147"/>
      <c r="U193" s="182"/>
      <c r="V193" s="183"/>
      <c r="W193" s="150"/>
      <c r="X193" s="184"/>
      <c r="Y193" s="185"/>
      <c r="Z193" s="185"/>
    </row>
    <row r="194" spans="3:26" ht="24" x14ac:dyDescent="0.2">
      <c r="C194" s="91"/>
      <c r="D194" s="214">
        <v>45427</v>
      </c>
      <c r="E194" s="226">
        <v>4.0000000000000001E-3</v>
      </c>
      <c r="F194" s="226" t="s">
        <v>452</v>
      </c>
      <c r="G194" s="226">
        <v>1E-3</v>
      </c>
      <c r="H194" s="216">
        <v>0.375</v>
      </c>
      <c r="I194" s="415"/>
      <c r="J194" s="416"/>
      <c r="K194" s="417"/>
      <c r="L194" s="231">
        <v>0.20833333333333334</v>
      </c>
      <c r="M194" s="198"/>
      <c r="N194" s="195"/>
      <c r="O194" s="91"/>
      <c r="P194" s="91"/>
      <c r="Q194" s="91"/>
      <c r="R194" s="91"/>
      <c r="S194" s="91"/>
      <c r="T194" s="91"/>
      <c r="U194" s="91"/>
      <c r="V194" s="91"/>
      <c r="W194" s="91"/>
      <c r="X194" s="91"/>
      <c r="Y194" s="91"/>
      <c r="Z194" s="91"/>
    </row>
    <row r="195" spans="3:26" ht="24" x14ac:dyDescent="0.2">
      <c r="C195" s="91"/>
      <c r="D195" s="214">
        <v>45412</v>
      </c>
      <c r="E195" s="226">
        <v>4.0000000000000001E-3</v>
      </c>
      <c r="F195" s="226" t="s">
        <v>460</v>
      </c>
      <c r="G195" s="226">
        <v>1E-3</v>
      </c>
      <c r="H195" s="216">
        <v>0.375</v>
      </c>
      <c r="I195" s="418"/>
      <c r="J195" s="419"/>
      <c r="K195" s="420"/>
      <c r="L195" s="231">
        <v>0.20833333333333334</v>
      </c>
      <c r="M195" s="198"/>
      <c r="N195" s="195"/>
      <c r="O195" s="91"/>
      <c r="P195" s="91"/>
      <c r="Q195" s="91"/>
      <c r="R195" s="91"/>
      <c r="S195" s="91"/>
      <c r="T195" s="91"/>
      <c r="U195" s="91"/>
      <c r="V195" s="91"/>
      <c r="W195" s="91"/>
      <c r="X195" s="91"/>
      <c r="Y195" s="91"/>
      <c r="Z195" s="91"/>
    </row>
    <row r="196" spans="3:26" ht="72" x14ac:dyDescent="0.2">
      <c r="C196" s="91" t="s">
        <v>105</v>
      </c>
      <c r="D196" s="193" t="s">
        <v>30</v>
      </c>
      <c r="E196" s="430" t="s">
        <v>830</v>
      </c>
      <c r="F196" s="430"/>
      <c r="G196" s="430"/>
      <c r="H196" s="194" t="s">
        <v>790</v>
      </c>
      <c r="I196" s="431" t="s">
        <v>633</v>
      </c>
      <c r="J196" s="432"/>
      <c r="K196" s="433"/>
      <c r="L196" s="194" t="s">
        <v>430</v>
      </c>
      <c r="M196" s="194" t="s">
        <v>431</v>
      </c>
      <c r="N196" s="195" t="s">
        <v>105</v>
      </c>
      <c r="O196" s="145" t="s">
        <v>800</v>
      </c>
      <c r="P196" s="145" t="s">
        <v>801</v>
      </c>
      <c r="Q196" s="145" t="s">
        <v>802</v>
      </c>
      <c r="R196" s="145" t="s">
        <v>803</v>
      </c>
      <c r="S196" s="145" t="s">
        <v>804</v>
      </c>
      <c r="T196" s="145" t="s">
        <v>805</v>
      </c>
      <c r="U196" s="145" t="s">
        <v>806</v>
      </c>
      <c r="V196" s="145" t="s">
        <v>807</v>
      </c>
      <c r="W196" s="145" t="s">
        <v>808</v>
      </c>
      <c r="X196" s="145" t="s">
        <v>809</v>
      </c>
      <c r="Y196" s="145" t="s">
        <v>75</v>
      </c>
      <c r="Z196" s="145" t="s">
        <v>75</v>
      </c>
    </row>
    <row r="197" spans="3:26" ht="24" x14ac:dyDescent="0.2">
      <c r="C197" s="91"/>
      <c r="D197" s="196" t="s">
        <v>432</v>
      </c>
      <c r="E197" s="434"/>
      <c r="F197" s="434"/>
      <c r="G197" s="434"/>
      <c r="H197" s="197" t="s">
        <v>908</v>
      </c>
      <c r="I197" s="412" t="s">
        <v>831</v>
      </c>
      <c r="J197" s="413"/>
      <c r="K197" s="414"/>
      <c r="L197" s="198"/>
      <c r="M197" s="198"/>
      <c r="N197" s="195"/>
      <c r="O197" s="146" t="s">
        <v>810</v>
      </c>
      <c r="P197" s="199">
        <v>0.1</v>
      </c>
      <c r="Q197" s="200">
        <v>3.5999999999999997E-2</v>
      </c>
      <c r="R197" s="201">
        <v>2.6999999999986812E-2</v>
      </c>
      <c r="S197" s="150"/>
      <c r="T197" s="146">
        <v>8.0999999999986805E-2</v>
      </c>
      <c r="U197" s="200">
        <v>-22.8</v>
      </c>
      <c r="V197" s="199">
        <v>119.47</v>
      </c>
      <c r="W197" s="199"/>
      <c r="X197" s="184"/>
      <c r="Y197" s="151"/>
      <c r="Z197" s="151"/>
    </row>
    <row r="198" spans="3:26" ht="24" x14ac:dyDescent="0.2">
      <c r="C198" s="91"/>
      <c r="D198" s="196" t="s">
        <v>433</v>
      </c>
      <c r="E198" s="440">
        <v>0</v>
      </c>
      <c r="F198" s="440"/>
      <c r="G198" s="440"/>
      <c r="H198" s="197" t="s">
        <v>908</v>
      </c>
      <c r="I198" s="415"/>
      <c r="J198" s="416"/>
      <c r="K198" s="417"/>
      <c r="L198" s="198"/>
      <c r="M198" s="198"/>
      <c r="N198" s="195"/>
      <c r="O198" s="152"/>
      <c r="P198" s="152"/>
      <c r="Q198" s="152"/>
      <c r="R198" s="153"/>
      <c r="S198" s="154"/>
      <c r="T198" s="152"/>
      <c r="U198" s="152"/>
      <c r="V198" s="152"/>
      <c r="W198" s="152"/>
      <c r="X198" s="154"/>
      <c r="Y198" s="155"/>
      <c r="Z198" s="155"/>
    </row>
    <row r="199" spans="3:26" ht="24" x14ac:dyDescent="0.2">
      <c r="C199" s="91"/>
      <c r="D199" s="196" t="s">
        <v>434</v>
      </c>
      <c r="E199" s="440">
        <v>0</v>
      </c>
      <c r="F199" s="440"/>
      <c r="G199" s="440"/>
      <c r="H199" s="203"/>
      <c r="I199" s="415"/>
      <c r="J199" s="416"/>
      <c r="K199" s="417"/>
      <c r="L199" s="198"/>
      <c r="M199" s="198"/>
      <c r="N199" s="195"/>
      <c r="O199" s="156" t="s">
        <v>811</v>
      </c>
      <c r="P199" s="204">
        <v>0.1</v>
      </c>
      <c r="Q199" s="205">
        <v>6.4799999999999996E-2</v>
      </c>
      <c r="R199" s="206">
        <v>2.8000000000000001E-2</v>
      </c>
      <c r="S199" s="220">
        <v>1</v>
      </c>
      <c r="T199" s="156">
        <v>0.12520000000000001</v>
      </c>
      <c r="U199" s="161">
        <v>-35.241481481487227</v>
      </c>
      <c r="V199" s="162">
        <v>91.8</v>
      </c>
      <c r="W199" s="221">
        <v>4.17</v>
      </c>
      <c r="X199" s="164">
        <v>146.95697777780174</v>
      </c>
      <c r="Y199" s="165"/>
      <c r="Z199" s="165"/>
    </row>
    <row r="200" spans="3:26" ht="24" x14ac:dyDescent="0.2">
      <c r="C200" s="91"/>
      <c r="D200" s="196" t="s">
        <v>435</v>
      </c>
      <c r="E200" s="441">
        <v>0.54166666666666674</v>
      </c>
      <c r="F200" s="441"/>
      <c r="G200" s="441"/>
      <c r="H200" s="203"/>
      <c r="I200" s="415"/>
      <c r="J200" s="416"/>
      <c r="K200" s="417"/>
      <c r="L200" s="208">
        <v>0.64583333333333337</v>
      </c>
      <c r="M200" s="208">
        <v>0.54166666666666674</v>
      </c>
      <c r="N200" s="195"/>
      <c r="O200" s="166" t="s">
        <v>812</v>
      </c>
      <c r="P200" s="209">
        <v>0.05</v>
      </c>
      <c r="Q200" s="187">
        <v>7.1466666666666664E-2</v>
      </c>
      <c r="R200" s="210">
        <v>2.8000000000000001E-2</v>
      </c>
      <c r="S200" s="222">
        <v>1</v>
      </c>
      <c r="T200" s="211">
        <v>0.13519999999999999</v>
      </c>
      <c r="U200" s="171">
        <v>-19.028148148151246</v>
      </c>
      <c r="V200" s="172">
        <v>45.9</v>
      </c>
      <c r="W200" s="223">
        <v>4.7300000000000004</v>
      </c>
      <c r="X200" s="174">
        <v>90.003140740755398</v>
      </c>
      <c r="Y200" s="175"/>
      <c r="Z200" s="175"/>
    </row>
    <row r="201" spans="3:26" ht="24" x14ac:dyDescent="0.2">
      <c r="C201" s="91"/>
      <c r="D201" s="196" t="s">
        <v>436</v>
      </c>
      <c r="E201" s="213" t="s">
        <v>29</v>
      </c>
      <c r="F201" s="213" t="s">
        <v>28</v>
      </c>
      <c r="G201" s="213" t="s">
        <v>27</v>
      </c>
      <c r="H201" s="203" t="s">
        <v>793</v>
      </c>
      <c r="I201" s="415"/>
      <c r="J201" s="416"/>
      <c r="K201" s="417"/>
      <c r="L201" s="198"/>
      <c r="M201" s="198"/>
      <c r="N201" s="195"/>
      <c r="O201" s="154"/>
      <c r="P201" s="176"/>
      <c r="Q201" s="154"/>
      <c r="R201" s="154"/>
      <c r="S201" s="224"/>
      <c r="T201" s="154"/>
      <c r="U201" s="177"/>
      <c r="V201" s="178"/>
      <c r="W201" s="225"/>
      <c r="X201" s="177"/>
      <c r="Y201" s="155"/>
      <c r="Z201" s="155"/>
    </row>
    <row r="202" spans="3:26" ht="24" x14ac:dyDescent="0.2">
      <c r="C202" s="91"/>
      <c r="D202" s="214">
        <v>45252</v>
      </c>
      <c r="E202" s="215">
        <v>0</v>
      </c>
      <c r="F202" s="215" t="s">
        <v>754</v>
      </c>
      <c r="G202" s="215">
        <v>0</v>
      </c>
      <c r="H202" s="216">
        <v>0.54166666666666674</v>
      </c>
      <c r="I202" s="415"/>
      <c r="J202" s="416"/>
      <c r="K202" s="417"/>
      <c r="L202" s="198"/>
      <c r="M202" s="198"/>
      <c r="N202" s="195"/>
      <c r="O202" s="179"/>
      <c r="P202" s="155"/>
      <c r="Q202" s="179"/>
      <c r="R202" s="179"/>
      <c r="S202" s="224"/>
      <c r="T202" s="179"/>
      <c r="U202" s="179"/>
      <c r="V202" s="179"/>
      <c r="W202" s="227"/>
      <c r="X202" s="179"/>
      <c r="Y202" s="155"/>
      <c r="Z202" s="155"/>
    </row>
    <row r="203" spans="3:26" ht="24" x14ac:dyDescent="0.2">
      <c r="C203" s="91"/>
      <c r="D203" s="214">
        <v>44882</v>
      </c>
      <c r="E203" s="215">
        <v>0</v>
      </c>
      <c r="F203" s="215" t="s">
        <v>754</v>
      </c>
      <c r="G203" s="215">
        <v>0</v>
      </c>
      <c r="H203" s="216">
        <v>0.54166666666666674</v>
      </c>
      <c r="I203" s="415"/>
      <c r="J203" s="416"/>
      <c r="K203" s="417"/>
      <c r="L203" s="198"/>
      <c r="M203" s="198"/>
      <c r="N203" s="195"/>
      <c r="O203" s="146" t="s">
        <v>813</v>
      </c>
      <c r="P203" s="228">
        <v>0.05</v>
      </c>
      <c r="Q203" s="180">
        <v>7.1466666666666664E-2</v>
      </c>
      <c r="R203" s="181">
        <v>2.8000000000000001E-2</v>
      </c>
      <c r="S203" s="228">
        <v>1</v>
      </c>
      <c r="T203" s="229">
        <v>0.13519999999999999</v>
      </c>
      <c r="U203" s="182">
        <v>-19.028148148151246</v>
      </c>
      <c r="V203" s="183">
        <v>45.9</v>
      </c>
      <c r="W203" s="230">
        <v>2</v>
      </c>
      <c r="X203" s="184">
        <v>38.056296296302492</v>
      </c>
      <c r="Y203" s="185"/>
      <c r="Z203" s="185" t="s">
        <v>814</v>
      </c>
    </row>
    <row r="204" spans="3:26" ht="24" x14ac:dyDescent="0.2">
      <c r="C204" s="91"/>
      <c r="D204" s="214">
        <v>44496</v>
      </c>
      <c r="E204" s="215">
        <v>0</v>
      </c>
      <c r="F204" s="215" t="s">
        <v>754</v>
      </c>
      <c r="G204" s="215">
        <v>0</v>
      </c>
      <c r="H204" s="216">
        <v>0.54166666666666674</v>
      </c>
      <c r="I204" s="415"/>
      <c r="J204" s="416"/>
      <c r="K204" s="417"/>
      <c r="L204" s="218"/>
      <c r="M204" s="198"/>
      <c r="N204" s="195"/>
      <c r="O204" s="146"/>
      <c r="P204" s="147"/>
      <c r="Q204" s="180"/>
      <c r="R204" s="181"/>
      <c r="S204" s="150"/>
      <c r="T204" s="147"/>
      <c r="U204" s="182"/>
      <c r="V204" s="183"/>
      <c r="W204" s="150"/>
      <c r="X204" s="184"/>
      <c r="Y204" s="185"/>
      <c r="Z204" s="185"/>
    </row>
    <row r="205" spans="3:26" ht="24" x14ac:dyDescent="0.2">
      <c r="C205" s="91"/>
      <c r="D205" s="214">
        <v>44160</v>
      </c>
      <c r="E205" s="215">
        <v>0</v>
      </c>
      <c r="F205" s="215" t="s">
        <v>754</v>
      </c>
      <c r="G205" s="215">
        <v>0</v>
      </c>
      <c r="H205" s="216">
        <v>0.54166666666666674</v>
      </c>
      <c r="I205" s="415"/>
      <c r="J205" s="416"/>
      <c r="K205" s="417"/>
      <c r="L205" s="198"/>
      <c r="M205" s="198"/>
      <c r="N205" s="195"/>
      <c r="O205" s="146"/>
      <c r="P205" s="147"/>
      <c r="Q205" s="180"/>
      <c r="R205" s="181"/>
      <c r="S205" s="150"/>
      <c r="T205" s="147"/>
      <c r="U205" s="182"/>
      <c r="V205" s="183"/>
      <c r="W205" s="150"/>
      <c r="X205" s="184"/>
      <c r="Y205" s="185"/>
      <c r="Z205" s="185"/>
    </row>
    <row r="206" spans="3:26" ht="24" x14ac:dyDescent="0.2">
      <c r="C206" s="91"/>
      <c r="D206" s="214">
        <v>44159</v>
      </c>
      <c r="E206" s="215">
        <v>0</v>
      </c>
      <c r="F206" s="215" t="s">
        <v>754</v>
      </c>
      <c r="G206" s="215">
        <v>0</v>
      </c>
      <c r="H206" s="216">
        <v>0.54166666666666674</v>
      </c>
      <c r="I206" s="415"/>
      <c r="J206" s="416"/>
      <c r="K206" s="417"/>
      <c r="L206" s="198"/>
      <c r="M206" s="198"/>
      <c r="N206" s="195"/>
      <c r="O206" s="91"/>
      <c r="P206" s="91"/>
      <c r="Q206" s="91"/>
      <c r="R206" s="91"/>
      <c r="S206" s="91"/>
      <c r="T206" s="91"/>
      <c r="U206" s="91"/>
      <c r="V206" s="91"/>
      <c r="W206" s="91"/>
      <c r="X206" s="91"/>
      <c r="Y206" s="91"/>
      <c r="Z206" s="91"/>
    </row>
    <row r="207" spans="3:26" ht="24" x14ac:dyDescent="0.2">
      <c r="C207" s="91"/>
      <c r="D207" s="214">
        <v>43901</v>
      </c>
      <c r="E207" s="215">
        <v>0</v>
      </c>
      <c r="F207" s="215" t="s">
        <v>754</v>
      </c>
      <c r="G207" s="215">
        <v>0</v>
      </c>
      <c r="H207" s="216">
        <v>0.54166666666666674</v>
      </c>
      <c r="I207" s="418"/>
      <c r="J207" s="419"/>
      <c r="K207" s="420"/>
      <c r="L207" s="198"/>
      <c r="M207" s="198"/>
      <c r="N207" s="195"/>
      <c r="O207" s="91"/>
      <c r="P207" s="91"/>
      <c r="Q207" s="91"/>
      <c r="R207" s="91"/>
      <c r="S207" s="91"/>
      <c r="T207" s="91"/>
      <c r="U207" s="91"/>
      <c r="V207" s="91"/>
      <c r="W207" s="91"/>
      <c r="X207" s="91"/>
      <c r="Y207" s="91"/>
      <c r="Z207" s="91"/>
    </row>
    <row r="208" spans="3:26" ht="72" x14ac:dyDescent="0.2">
      <c r="C208" s="91" t="s">
        <v>105</v>
      </c>
      <c r="D208" s="193" t="s">
        <v>30</v>
      </c>
      <c r="E208" s="430" t="s">
        <v>832</v>
      </c>
      <c r="F208" s="430"/>
      <c r="G208" s="430"/>
      <c r="H208" s="194" t="s">
        <v>790</v>
      </c>
      <c r="I208" s="431" t="s">
        <v>633</v>
      </c>
      <c r="J208" s="432"/>
      <c r="K208" s="433"/>
      <c r="L208" s="194" t="s">
        <v>430</v>
      </c>
      <c r="M208" s="194" t="s">
        <v>431</v>
      </c>
      <c r="N208" s="195" t="s">
        <v>105</v>
      </c>
      <c r="O208" s="145" t="s">
        <v>800</v>
      </c>
      <c r="P208" s="145" t="s">
        <v>801</v>
      </c>
      <c r="Q208" s="145" t="s">
        <v>802</v>
      </c>
      <c r="R208" s="145" t="s">
        <v>803</v>
      </c>
      <c r="S208" s="145" t="s">
        <v>804</v>
      </c>
      <c r="T208" s="145" t="s">
        <v>805</v>
      </c>
      <c r="U208" s="145" t="s">
        <v>806</v>
      </c>
      <c r="V208" s="145" t="s">
        <v>807</v>
      </c>
      <c r="W208" s="145" t="s">
        <v>808</v>
      </c>
      <c r="X208" s="145" t="s">
        <v>809</v>
      </c>
      <c r="Y208" s="145" t="s">
        <v>75</v>
      </c>
      <c r="Z208" s="145" t="s">
        <v>75</v>
      </c>
    </row>
    <row r="209" spans="3:26" ht="24" x14ac:dyDescent="0.2">
      <c r="C209" s="91"/>
      <c r="D209" s="196" t="s">
        <v>432</v>
      </c>
      <c r="E209" s="434"/>
      <c r="F209" s="434"/>
      <c r="G209" s="434"/>
      <c r="H209" s="197" t="s">
        <v>794</v>
      </c>
      <c r="I209" s="412" t="s">
        <v>834</v>
      </c>
      <c r="J209" s="413"/>
      <c r="K209" s="414"/>
      <c r="L209" s="198"/>
      <c r="M209" s="198"/>
      <c r="N209" s="195"/>
      <c r="O209" s="146" t="s">
        <v>810</v>
      </c>
      <c r="P209" s="199">
        <v>0.1</v>
      </c>
      <c r="Q209" s="200">
        <v>2.1000000000000001E-2</v>
      </c>
      <c r="R209" s="201">
        <v>1.7000000000000001E-2</v>
      </c>
      <c r="S209" s="150">
        <v>0</v>
      </c>
      <c r="T209" s="146">
        <v>4.8500000000000001E-2</v>
      </c>
      <c r="U209" s="200">
        <v>-11.44</v>
      </c>
      <c r="V209" s="199">
        <v>91.8</v>
      </c>
      <c r="W209" s="202">
        <v>2</v>
      </c>
      <c r="X209" s="184"/>
      <c r="Y209" s="151"/>
      <c r="Z209" s="151"/>
    </row>
    <row r="210" spans="3:26" ht="24" x14ac:dyDescent="0.2">
      <c r="C210" s="91"/>
      <c r="D210" s="196" t="s">
        <v>433</v>
      </c>
      <c r="E210" s="442" t="s">
        <v>833</v>
      </c>
      <c r="F210" s="442"/>
      <c r="G210" s="442"/>
      <c r="H210" s="197" t="s">
        <v>795</v>
      </c>
      <c r="I210" s="415"/>
      <c r="J210" s="416"/>
      <c r="K210" s="417"/>
      <c r="L210" s="198"/>
      <c r="M210" s="198"/>
      <c r="N210" s="195"/>
      <c r="O210" s="152"/>
      <c r="P210" s="152"/>
      <c r="Q210" s="152"/>
      <c r="R210" s="153"/>
      <c r="S210" s="154"/>
      <c r="T210" s="152"/>
      <c r="U210" s="152"/>
      <c r="V210" s="152"/>
      <c r="W210" s="152"/>
      <c r="X210" s="154"/>
      <c r="Y210" s="155"/>
      <c r="Z210" s="155"/>
    </row>
    <row r="211" spans="3:26" ht="24" x14ac:dyDescent="0.2">
      <c r="C211" s="91"/>
      <c r="D211" s="196" t="s">
        <v>434</v>
      </c>
      <c r="E211" s="442" t="s">
        <v>635</v>
      </c>
      <c r="F211" s="442"/>
      <c r="G211" s="442"/>
      <c r="H211" s="203"/>
      <c r="I211" s="415"/>
      <c r="J211" s="416"/>
      <c r="K211" s="417"/>
      <c r="L211" s="198"/>
      <c r="M211" s="198"/>
      <c r="N211" s="195"/>
      <c r="O211" s="156" t="s">
        <v>811</v>
      </c>
      <c r="P211" s="204">
        <v>0.1</v>
      </c>
      <c r="Q211" s="205">
        <v>6.8900000000000003E-2</v>
      </c>
      <c r="R211" s="206">
        <v>1.7999999999999999E-2</v>
      </c>
      <c r="S211" s="220">
        <v>1</v>
      </c>
      <c r="T211" s="156">
        <v>0.12135</v>
      </c>
      <c r="U211" s="161">
        <v>-28.623587628865977</v>
      </c>
      <c r="V211" s="162">
        <v>91.8</v>
      </c>
      <c r="W211" s="221">
        <v>5.96</v>
      </c>
      <c r="X211" s="164">
        <v>170.59658226804123</v>
      </c>
      <c r="Y211" s="165"/>
      <c r="Z211" s="165"/>
    </row>
    <row r="212" spans="3:26" ht="24" x14ac:dyDescent="0.2">
      <c r="C212" s="91"/>
      <c r="D212" s="196" t="s">
        <v>435</v>
      </c>
      <c r="E212" s="436">
        <v>0.51041666666666674</v>
      </c>
      <c r="F212" s="436"/>
      <c r="G212" s="436"/>
      <c r="H212" s="203"/>
      <c r="I212" s="415"/>
      <c r="J212" s="416"/>
      <c r="K212" s="417"/>
      <c r="L212" s="208">
        <v>0.73958333333333337</v>
      </c>
      <c r="M212" s="208">
        <v>0.63541666666666674</v>
      </c>
      <c r="N212" s="195"/>
      <c r="O212" s="166" t="s">
        <v>812</v>
      </c>
      <c r="P212" s="209">
        <v>0.1</v>
      </c>
      <c r="Q212" s="187">
        <v>4.4199999999999996E-2</v>
      </c>
      <c r="R212" s="210">
        <v>1.7999999999999999E-2</v>
      </c>
      <c r="S212" s="222">
        <v>1</v>
      </c>
      <c r="T212" s="211">
        <v>8.43E-2</v>
      </c>
      <c r="U212" s="171">
        <v>-19.884371134020618</v>
      </c>
      <c r="V212" s="172">
        <v>91.8</v>
      </c>
      <c r="W212" s="223">
        <v>10.7</v>
      </c>
      <c r="X212" s="174">
        <v>212.7627711340206</v>
      </c>
      <c r="Y212" s="175"/>
      <c r="Z212" s="175"/>
    </row>
    <row r="213" spans="3:26" ht="24" x14ac:dyDescent="0.2">
      <c r="C213" s="91"/>
      <c r="D213" s="196" t="s">
        <v>436</v>
      </c>
      <c r="E213" s="213" t="s">
        <v>29</v>
      </c>
      <c r="F213" s="213" t="s">
        <v>28</v>
      </c>
      <c r="G213" s="213" t="s">
        <v>27</v>
      </c>
      <c r="H213" s="203" t="s">
        <v>793</v>
      </c>
      <c r="I213" s="415"/>
      <c r="J213" s="416"/>
      <c r="K213" s="417"/>
      <c r="L213" s="198"/>
      <c r="M213" s="198"/>
      <c r="N213" s="195"/>
      <c r="O213" s="154"/>
      <c r="P213" s="176"/>
      <c r="Q213" s="154"/>
      <c r="R213" s="154"/>
      <c r="S213" s="224"/>
      <c r="T213" s="154"/>
      <c r="U213" s="177"/>
      <c r="V213" s="178"/>
      <c r="W213" s="225"/>
      <c r="X213" s="177"/>
      <c r="Y213" s="155"/>
      <c r="Z213" s="155"/>
    </row>
    <row r="214" spans="3:26" ht="24" x14ac:dyDescent="0.2">
      <c r="C214" s="91"/>
      <c r="D214" s="214">
        <v>45567</v>
      </c>
      <c r="E214" s="232" t="s">
        <v>635</v>
      </c>
      <c r="F214" s="232" t="s">
        <v>887</v>
      </c>
      <c r="G214" s="232" t="s">
        <v>888</v>
      </c>
      <c r="H214" s="216">
        <v>0.51041666666666674</v>
      </c>
      <c r="I214" s="415"/>
      <c r="J214" s="416"/>
      <c r="K214" s="417"/>
      <c r="L214" s="198"/>
      <c r="M214" s="198"/>
      <c r="N214" s="195"/>
      <c r="O214" s="179"/>
      <c r="P214" s="155"/>
      <c r="Q214" s="179"/>
      <c r="R214" s="179"/>
      <c r="S214" s="224"/>
      <c r="T214" s="179"/>
      <c r="U214" s="179"/>
      <c r="V214" s="179"/>
      <c r="W214" s="227"/>
      <c r="X214" s="179"/>
      <c r="Y214" s="155"/>
      <c r="Z214" s="155"/>
    </row>
    <row r="215" spans="3:26" ht="24" x14ac:dyDescent="0.2">
      <c r="C215" s="91"/>
      <c r="D215" s="214">
        <v>45540</v>
      </c>
      <c r="E215" s="232" t="s">
        <v>407</v>
      </c>
      <c r="F215" s="232" t="s">
        <v>546</v>
      </c>
      <c r="G215" s="232" t="s">
        <v>547</v>
      </c>
      <c r="H215" s="216">
        <v>0.51041666666666674</v>
      </c>
      <c r="I215" s="415"/>
      <c r="J215" s="416"/>
      <c r="K215" s="417"/>
      <c r="L215" s="198"/>
      <c r="M215" s="198"/>
      <c r="N215" s="195"/>
      <c r="O215" s="146" t="s">
        <v>813</v>
      </c>
      <c r="P215" s="233">
        <v>-0.15</v>
      </c>
      <c r="Q215" s="180">
        <v>4.4199999999999996E-2</v>
      </c>
      <c r="R215" s="181">
        <v>1.7999999999999999E-2</v>
      </c>
      <c r="S215" s="228">
        <v>-1</v>
      </c>
      <c r="T215" s="229">
        <v>8.43E-2</v>
      </c>
      <c r="U215" s="182">
        <v>-29.826556701030924</v>
      </c>
      <c r="V215" s="183">
        <v>137.69999999999999</v>
      </c>
      <c r="W215" s="230">
        <v>3</v>
      </c>
      <c r="X215" s="184">
        <v>89.479670103092772</v>
      </c>
      <c r="Y215" s="185" t="s">
        <v>814</v>
      </c>
      <c r="Z215" s="185"/>
    </row>
    <row r="216" spans="3:26" ht="24" x14ac:dyDescent="0.2">
      <c r="C216" s="91"/>
      <c r="D216" s="214">
        <v>45504</v>
      </c>
      <c r="E216" s="232" t="s">
        <v>282</v>
      </c>
      <c r="F216" s="232" t="s">
        <v>548</v>
      </c>
      <c r="G216" s="232" t="s">
        <v>292</v>
      </c>
      <c r="H216" s="216">
        <v>0.51041666666666674</v>
      </c>
      <c r="I216" s="415"/>
      <c r="J216" s="416"/>
      <c r="K216" s="417"/>
      <c r="L216" s="218"/>
      <c r="M216" s="198"/>
      <c r="N216" s="195"/>
      <c r="O216" s="146"/>
      <c r="P216" s="147"/>
      <c r="Q216" s="180"/>
      <c r="R216" s="181"/>
      <c r="S216" s="150"/>
      <c r="T216" s="147"/>
      <c r="U216" s="182"/>
      <c r="V216" s="183"/>
      <c r="W216" s="150"/>
      <c r="X216" s="184"/>
      <c r="Y216" s="185"/>
      <c r="Z216" s="185"/>
    </row>
    <row r="217" spans="3:26" ht="24" x14ac:dyDescent="0.2">
      <c r="C217" s="91"/>
      <c r="D217" s="214">
        <v>45476</v>
      </c>
      <c r="E217" s="232" t="s">
        <v>122</v>
      </c>
      <c r="F217" s="232" t="s">
        <v>550</v>
      </c>
      <c r="G217" s="232" t="s">
        <v>551</v>
      </c>
      <c r="H217" s="216">
        <v>0.51041666666666674</v>
      </c>
      <c r="I217" s="415"/>
      <c r="J217" s="416"/>
      <c r="K217" s="417"/>
      <c r="L217" s="198"/>
      <c r="M217" s="198"/>
      <c r="N217" s="195"/>
      <c r="O217" s="146"/>
      <c r="P217" s="147"/>
      <c r="Q217" s="180"/>
      <c r="R217" s="181"/>
      <c r="S217" s="150"/>
      <c r="T217" s="147"/>
      <c r="U217" s="182"/>
      <c r="V217" s="183"/>
      <c r="W217" s="150"/>
      <c r="X217" s="184"/>
      <c r="Y217" s="185"/>
      <c r="Z217" s="185"/>
    </row>
    <row r="218" spans="3:26" ht="24" x14ac:dyDescent="0.2">
      <c r="C218" s="91"/>
      <c r="D218" s="214">
        <v>45448</v>
      </c>
      <c r="E218" s="232" t="s">
        <v>15</v>
      </c>
      <c r="F218" s="232" t="s">
        <v>553</v>
      </c>
      <c r="G218" s="232" t="s">
        <v>554</v>
      </c>
      <c r="H218" s="216">
        <v>0.51041666666666674</v>
      </c>
      <c r="I218" s="415"/>
      <c r="J218" s="416"/>
      <c r="K218" s="417"/>
      <c r="L218" s="198"/>
      <c r="M218" s="198"/>
      <c r="N218" s="195"/>
      <c r="O218" s="91"/>
      <c r="P218" s="91"/>
      <c r="Q218" s="91"/>
      <c r="R218" s="91"/>
      <c r="S218" s="91"/>
      <c r="T218" s="91"/>
      <c r="U218" s="91"/>
      <c r="V218" s="91"/>
      <c r="W218" s="91"/>
      <c r="X218" s="91"/>
      <c r="Y218" s="91"/>
      <c r="Z218" s="91"/>
    </row>
    <row r="219" spans="3:26" ht="24" x14ac:dyDescent="0.2">
      <c r="C219" s="91"/>
      <c r="D219" s="214">
        <v>45413</v>
      </c>
      <c r="E219" s="232" t="s">
        <v>555</v>
      </c>
      <c r="F219" s="232" t="s">
        <v>556</v>
      </c>
      <c r="G219" s="232" t="s">
        <v>557</v>
      </c>
      <c r="H219" s="216">
        <v>0.51041666666666674</v>
      </c>
      <c r="I219" s="418"/>
      <c r="J219" s="419"/>
      <c r="K219" s="420"/>
      <c r="L219" s="198"/>
      <c r="M219" s="198"/>
      <c r="N219" s="195"/>
      <c r="O219" s="91"/>
      <c r="P219" s="91"/>
      <c r="Q219" s="91"/>
      <c r="R219" s="91"/>
      <c r="S219" s="91"/>
      <c r="T219" s="91"/>
      <c r="U219" s="91"/>
      <c r="V219" s="91"/>
      <c r="W219" s="91"/>
      <c r="X219" s="91"/>
      <c r="Y219" s="91"/>
      <c r="Z219" s="91"/>
    </row>
    <row r="220" spans="3:26" ht="72" x14ac:dyDescent="0.2">
      <c r="C220" s="91" t="s">
        <v>105</v>
      </c>
      <c r="D220" s="193" t="s">
        <v>30</v>
      </c>
      <c r="E220" s="430" t="s">
        <v>835</v>
      </c>
      <c r="F220" s="430"/>
      <c r="G220" s="430"/>
      <c r="H220" s="194" t="s">
        <v>790</v>
      </c>
      <c r="I220" s="431" t="s">
        <v>633</v>
      </c>
      <c r="J220" s="432"/>
      <c r="K220" s="433"/>
      <c r="L220" s="194" t="s">
        <v>430</v>
      </c>
      <c r="M220" s="194" t="s">
        <v>431</v>
      </c>
      <c r="N220" s="195" t="s">
        <v>105</v>
      </c>
      <c r="O220" s="145" t="s">
        <v>800</v>
      </c>
      <c r="P220" s="145" t="s">
        <v>801</v>
      </c>
      <c r="Q220" s="145" t="s">
        <v>802</v>
      </c>
      <c r="R220" s="145" t="s">
        <v>803</v>
      </c>
      <c r="S220" s="145" t="s">
        <v>804</v>
      </c>
      <c r="T220" s="145" t="s">
        <v>805</v>
      </c>
      <c r="U220" s="145" t="s">
        <v>806</v>
      </c>
      <c r="V220" s="145" t="s">
        <v>807</v>
      </c>
      <c r="W220" s="145" t="s">
        <v>808</v>
      </c>
      <c r="X220" s="145" t="s">
        <v>809</v>
      </c>
      <c r="Y220" s="145" t="s">
        <v>75</v>
      </c>
      <c r="Z220" s="145" t="s">
        <v>75</v>
      </c>
    </row>
    <row r="221" spans="3:26" ht="24" x14ac:dyDescent="0.2">
      <c r="C221" s="91"/>
      <c r="D221" s="196" t="s">
        <v>432</v>
      </c>
      <c r="E221" s="434"/>
      <c r="F221" s="434"/>
      <c r="G221" s="434"/>
      <c r="H221" s="197" t="s">
        <v>794</v>
      </c>
      <c r="I221" s="412" t="s">
        <v>836</v>
      </c>
      <c r="J221" s="413"/>
      <c r="K221" s="414"/>
      <c r="L221" s="198"/>
      <c r="M221" s="198"/>
      <c r="N221" s="195"/>
      <c r="O221" s="146" t="s">
        <v>810</v>
      </c>
      <c r="P221" s="199">
        <v>0.1</v>
      </c>
      <c r="Q221" s="200">
        <v>2.1000000000000001E-2</v>
      </c>
      <c r="R221" s="201">
        <v>1.7000000000000001E-2</v>
      </c>
      <c r="S221" s="150">
        <v>0</v>
      </c>
      <c r="T221" s="146">
        <v>4.8500000000000001E-2</v>
      </c>
      <c r="U221" s="200">
        <v>-11.44</v>
      </c>
      <c r="V221" s="199">
        <v>91.8</v>
      </c>
      <c r="W221" s="202">
        <v>2</v>
      </c>
      <c r="X221" s="184"/>
      <c r="Y221" s="151"/>
      <c r="Z221" s="151"/>
    </row>
    <row r="222" spans="3:26" ht="24" x14ac:dyDescent="0.2">
      <c r="C222" s="91"/>
      <c r="D222" s="196" t="s">
        <v>433</v>
      </c>
      <c r="E222" s="435">
        <v>0.03</v>
      </c>
      <c r="F222" s="435"/>
      <c r="G222" s="435"/>
      <c r="H222" s="197" t="s">
        <v>795</v>
      </c>
      <c r="I222" s="415"/>
      <c r="J222" s="416"/>
      <c r="K222" s="417"/>
      <c r="L222" s="198"/>
      <c r="M222" s="198"/>
      <c r="N222" s="195"/>
      <c r="O222" s="152"/>
      <c r="P222" s="152"/>
      <c r="Q222" s="152"/>
      <c r="R222" s="153"/>
      <c r="S222" s="154"/>
      <c r="T222" s="152"/>
      <c r="U222" s="152"/>
      <c r="V222" s="152"/>
      <c r="W222" s="152"/>
      <c r="X222" s="154"/>
      <c r="Y222" s="155"/>
      <c r="Z222" s="155"/>
    </row>
    <row r="223" spans="3:26" ht="24" x14ac:dyDescent="0.2">
      <c r="C223" s="91"/>
      <c r="D223" s="196" t="s">
        <v>434</v>
      </c>
      <c r="E223" s="435">
        <v>0.03</v>
      </c>
      <c r="F223" s="435"/>
      <c r="G223" s="435"/>
      <c r="H223" s="203"/>
      <c r="I223" s="415"/>
      <c r="J223" s="416"/>
      <c r="K223" s="417"/>
      <c r="L223" s="198"/>
      <c r="M223" s="198"/>
      <c r="N223" s="195"/>
      <c r="O223" s="156" t="s">
        <v>811</v>
      </c>
      <c r="P223" s="204">
        <v>0.1</v>
      </c>
      <c r="Q223" s="205">
        <v>3.8399999999999997E-2</v>
      </c>
      <c r="R223" s="206">
        <v>1.7000000000000001E-2</v>
      </c>
      <c r="S223" s="220">
        <v>1</v>
      </c>
      <c r="T223" s="156">
        <v>7.46E-2</v>
      </c>
      <c r="U223" s="161">
        <v>-17.596371134020615</v>
      </c>
      <c r="V223" s="162">
        <v>91.8</v>
      </c>
      <c r="W223" s="221">
        <v>5.59</v>
      </c>
      <c r="X223" s="164">
        <v>98.363714639175228</v>
      </c>
      <c r="Y223" s="165"/>
      <c r="Z223" s="165"/>
    </row>
    <row r="224" spans="3:26" ht="24" x14ac:dyDescent="0.2">
      <c r="C224" s="91"/>
      <c r="D224" s="196" t="s">
        <v>435</v>
      </c>
      <c r="E224" s="436">
        <v>0.52083333333333337</v>
      </c>
      <c r="F224" s="436"/>
      <c r="G224" s="436"/>
      <c r="H224" s="203"/>
      <c r="I224" s="415"/>
      <c r="J224" s="416"/>
      <c r="K224" s="417"/>
      <c r="L224" s="208">
        <v>0.75</v>
      </c>
      <c r="M224" s="208">
        <v>0.64583333333333337</v>
      </c>
      <c r="N224" s="195"/>
      <c r="O224" s="166" t="s">
        <v>812</v>
      </c>
      <c r="P224" s="209">
        <v>0.1</v>
      </c>
      <c r="Q224" s="187">
        <v>5.9933333333333338E-2</v>
      </c>
      <c r="R224" s="210">
        <v>1.4E-2</v>
      </c>
      <c r="S224" s="222">
        <v>1</v>
      </c>
      <c r="T224" s="211">
        <v>0.10390000000000001</v>
      </c>
      <c r="U224" s="171">
        <v>-24.507546391752577</v>
      </c>
      <c r="V224" s="172">
        <v>91.8</v>
      </c>
      <c r="W224" s="223">
        <v>3.85</v>
      </c>
      <c r="X224" s="174">
        <v>94.354053608247426</v>
      </c>
      <c r="Y224" s="175"/>
      <c r="Z224" s="175"/>
    </row>
    <row r="225" spans="3:26" ht="24" x14ac:dyDescent="0.2">
      <c r="C225" s="91"/>
      <c r="D225" s="196" t="s">
        <v>436</v>
      </c>
      <c r="E225" s="213" t="s">
        <v>29</v>
      </c>
      <c r="F225" s="213" t="s">
        <v>28</v>
      </c>
      <c r="G225" s="213" t="s">
        <v>27</v>
      </c>
      <c r="H225" s="203" t="s">
        <v>793</v>
      </c>
      <c r="I225" s="415"/>
      <c r="J225" s="416"/>
      <c r="K225" s="417"/>
      <c r="L225" s="198"/>
      <c r="M225" s="198"/>
      <c r="N225" s="195"/>
      <c r="O225" s="154"/>
      <c r="P225" s="176"/>
      <c r="Q225" s="154"/>
      <c r="R225" s="154"/>
      <c r="S225" s="224"/>
      <c r="T225" s="154"/>
      <c r="U225" s="177"/>
      <c r="V225" s="178"/>
      <c r="W225" s="225"/>
      <c r="X225" s="177"/>
      <c r="Y225" s="155"/>
      <c r="Z225" s="155"/>
    </row>
    <row r="226" spans="3:26" ht="24" x14ac:dyDescent="0.2">
      <c r="C226" s="91"/>
      <c r="D226" s="214">
        <v>45561</v>
      </c>
      <c r="E226" s="219">
        <v>0.03</v>
      </c>
      <c r="F226" s="219" t="s">
        <v>669</v>
      </c>
      <c r="G226" s="219">
        <v>1.6E-2</v>
      </c>
      <c r="H226" s="216">
        <v>0.52083333333333337</v>
      </c>
      <c r="I226" s="415"/>
      <c r="J226" s="416"/>
      <c r="K226" s="417"/>
      <c r="L226" s="198"/>
      <c r="M226" s="198"/>
      <c r="N226" s="195"/>
      <c r="O226" s="179"/>
      <c r="P226" s="155"/>
      <c r="Q226" s="179"/>
      <c r="R226" s="179"/>
      <c r="S226" s="224"/>
      <c r="T226" s="179"/>
      <c r="U226" s="179"/>
      <c r="V226" s="179"/>
      <c r="W226" s="227"/>
      <c r="X226" s="179"/>
      <c r="Y226" s="155"/>
      <c r="Z226" s="155"/>
    </row>
    <row r="227" spans="3:26" ht="24" x14ac:dyDescent="0.2">
      <c r="C227" s="91"/>
      <c r="D227" s="214">
        <v>45533</v>
      </c>
      <c r="E227" s="219">
        <v>0.03</v>
      </c>
      <c r="F227" s="219" t="s">
        <v>666</v>
      </c>
      <c r="G227" s="219">
        <v>1.4E-2</v>
      </c>
      <c r="H227" s="216">
        <v>0.52083333333333337</v>
      </c>
      <c r="I227" s="415"/>
      <c r="J227" s="416"/>
      <c r="K227" s="417"/>
      <c r="L227" s="198"/>
      <c r="M227" s="198"/>
      <c r="N227" s="195"/>
      <c r="O227" s="146" t="s">
        <v>813</v>
      </c>
      <c r="P227" s="233">
        <v>-0.12</v>
      </c>
      <c r="Q227" s="180">
        <v>5.9933333333333338E-2</v>
      </c>
      <c r="R227" s="181">
        <v>1.4E-2</v>
      </c>
      <c r="S227" s="228">
        <v>-1</v>
      </c>
      <c r="T227" s="229">
        <v>0.10390000000000001</v>
      </c>
      <c r="U227" s="182">
        <v>-29.40905567010309</v>
      </c>
      <c r="V227" s="183">
        <v>110.16</v>
      </c>
      <c r="W227" s="230">
        <v>3.5</v>
      </c>
      <c r="X227" s="184">
        <v>102.93169484536081</v>
      </c>
      <c r="Y227" s="185" t="s">
        <v>814</v>
      </c>
      <c r="Z227" s="185"/>
    </row>
    <row r="228" spans="3:26" ht="24" x14ac:dyDescent="0.2">
      <c r="C228" s="91"/>
      <c r="D228" s="214">
        <v>45498</v>
      </c>
      <c r="E228" s="219">
        <v>2.8000000000000001E-2</v>
      </c>
      <c r="F228" s="219" t="s">
        <v>788</v>
      </c>
      <c r="G228" s="219">
        <v>1.4E-2</v>
      </c>
      <c r="H228" s="216">
        <v>0.52083333333333337</v>
      </c>
      <c r="I228" s="415"/>
      <c r="J228" s="416"/>
      <c r="K228" s="417"/>
      <c r="L228" s="218"/>
      <c r="M228" s="198"/>
      <c r="N228" s="195"/>
      <c r="O228" s="146"/>
      <c r="P228" s="147"/>
      <c r="Q228" s="180"/>
      <c r="R228" s="181"/>
      <c r="S228" s="150"/>
      <c r="T228" s="147"/>
      <c r="U228" s="182"/>
      <c r="V228" s="183"/>
      <c r="W228" s="150"/>
      <c r="X228" s="184"/>
      <c r="Y228" s="185"/>
      <c r="Z228" s="185"/>
    </row>
    <row r="229" spans="3:26" ht="24" x14ac:dyDescent="0.2">
      <c r="C229" s="91"/>
      <c r="D229" s="214">
        <v>45470</v>
      </c>
      <c r="E229" s="219">
        <v>1.4E-2</v>
      </c>
      <c r="F229" s="219" t="s">
        <v>889</v>
      </c>
      <c r="G229" s="219">
        <v>3.4000000000000002E-2</v>
      </c>
      <c r="H229" s="216">
        <v>0.52083333333333337</v>
      </c>
      <c r="I229" s="415"/>
      <c r="J229" s="416"/>
      <c r="K229" s="417"/>
      <c r="L229" s="198"/>
      <c r="M229" s="198"/>
      <c r="N229" s="195"/>
      <c r="O229" s="146"/>
      <c r="P229" s="147"/>
      <c r="Q229" s="180"/>
      <c r="R229" s="181"/>
      <c r="S229" s="150"/>
      <c r="T229" s="147"/>
      <c r="U229" s="182"/>
      <c r="V229" s="183"/>
      <c r="W229" s="150"/>
      <c r="X229" s="184"/>
      <c r="Y229" s="185"/>
      <c r="Z229" s="185"/>
    </row>
    <row r="230" spans="3:26" ht="24" x14ac:dyDescent="0.2">
      <c r="C230" s="91"/>
      <c r="D230" s="214">
        <v>45442</v>
      </c>
      <c r="E230" s="219">
        <v>1.2999999999999999E-2</v>
      </c>
      <c r="F230" s="219" t="s">
        <v>890</v>
      </c>
      <c r="G230" s="219">
        <v>3.4000000000000002E-2</v>
      </c>
      <c r="H230" s="216">
        <v>0.52083333333333337</v>
      </c>
      <c r="I230" s="415"/>
      <c r="J230" s="416"/>
      <c r="K230" s="417"/>
      <c r="L230" s="198"/>
      <c r="M230" s="198"/>
      <c r="N230" s="195"/>
      <c r="O230" s="91"/>
      <c r="P230" s="91"/>
      <c r="Q230" s="91"/>
      <c r="R230" s="91"/>
      <c r="S230" s="91"/>
      <c r="T230" s="91"/>
      <c r="U230" s="91"/>
      <c r="V230" s="91"/>
      <c r="W230" s="91"/>
      <c r="X230" s="91"/>
      <c r="Y230" s="91"/>
      <c r="Z230" s="91"/>
    </row>
    <row r="231" spans="3:26" ht="24" x14ac:dyDescent="0.2">
      <c r="C231" s="91"/>
      <c r="D231" s="214">
        <v>45407</v>
      </c>
      <c r="E231" s="219">
        <v>1.6E-2</v>
      </c>
      <c r="F231" s="219" t="s">
        <v>495</v>
      </c>
      <c r="G231" s="219">
        <v>3.4000000000000002E-2</v>
      </c>
      <c r="H231" s="216">
        <v>0.52083333333333337</v>
      </c>
      <c r="I231" s="418"/>
      <c r="J231" s="419"/>
      <c r="K231" s="420"/>
      <c r="L231" s="198"/>
      <c r="M231" s="198"/>
      <c r="N231" s="195"/>
      <c r="O231" s="91"/>
      <c r="P231" s="91"/>
      <c r="Q231" s="91"/>
      <c r="R231" s="91"/>
      <c r="S231" s="91"/>
      <c r="T231" s="91"/>
      <c r="U231" s="91"/>
      <c r="V231" s="91"/>
      <c r="W231" s="91"/>
      <c r="X231" s="91"/>
      <c r="Y231" s="91"/>
      <c r="Z231" s="91"/>
    </row>
    <row r="232" spans="3:26" ht="72" x14ac:dyDescent="0.2">
      <c r="C232" s="91" t="s">
        <v>105</v>
      </c>
      <c r="D232" s="193" t="s">
        <v>30</v>
      </c>
      <c r="E232" s="430" t="s">
        <v>837</v>
      </c>
      <c r="F232" s="430"/>
      <c r="G232" s="430"/>
      <c r="H232" s="194" t="s">
        <v>790</v>
      </c>
      <c r="I232" s="431" t="s">
        <v>633</v>
      </c>
      <c r="J232" s="432"/>
      <c r="K232" s="433"/>
      <c r="L232" s="194" t="s">
        <v>430</v>
      </c>
      <c r="M232" s="194" t="s">
        <v>431</v>
      </c>
      <c r="N232" s="195" t="s">
        <v>105</v>
      </c>
      <c r="O232" s="145" t="s">
        <v>800</v>
      </c>
      <c r="P232" s="145" t="s">
        <v>801</v>
      </c>
      <c r="Q232" s="145" t="s">
        <v>802</v>
      </c>
      <c r="R232" s="145" t="s">
        <v>803</v>
      </c>
      <c r="S232" s="145" t="s">
        <v>804</v>
      </c>
      <c r="T232" s="145" t="s">
        <v>805</v>
      </c>
      <c r="U232" s="145" t="s">
        <v>806</v>
      </c>
      <c r="V232" s="145" t="s">
        <v>807</v>
      </c>
      <c r="W232" s="145" t="s">
        <v>808</v>
      </c>
      <c r="X232" s="145" t="s">
        <v>809</v>
      </c>
      <c r="Y232" s="145" t="s">
        <v>75</v>
      </c>
      <c r="Z232" s="145" t="s">
        <v>75</v>
      </c>
    </row>
    <row r="233" spans="3:26" ht="24" x14ac:dyDescent="0.2">
      <c r="C233" s="91"/>
      <c r="D233" s="196" t="s">
        <v>432</v>
      </c>
      <c r="E233" s="434"/>
      <c r="F233" s="434"/>
      <c r="G233" s="434"/>
      <c r="H233" s="197" t="s">
        <v>909</v>
      </c>
      <c r="I233" s="412" t="s">
        <v>838</v>
      </c>
      <c r="J233" s="413"/>
      <c r="K233" s="414"/>
      <c r="L233" s="198"/>
      <c r="M233" s="198"/>
      <c r="N233" s="195"/>
      <c r="O233" s="146" t="s">
        <v>810</v>
      </c>
      <c r="P233" s="199">
        <v>0.1</v>
      </c>
      <c r="Q233" s="200">
        <v>1.2999999999999999E-2</v>
      </c>
      <c r="R233" s="201">
        <v>2.199999999999136E-2</v>
      </c>
      <c r="S233" s="150">
        <v>0</v>
      </c>
      <c r="T233" s="146">
        <v>4.1499999999991363E-2</v>
      </c>
      <c r="U233" s="200">
        <v>-10.74</v>
      </c>
      <c r="V233" s="199">
        <v>60.23</v>
      </c>
      <c r="W233" s="202"/>
      <c r="X233" s="184"/>
      <c r="Y233" s="151"/>
      <c r="Z233" s="151"/>
    </row>
    <row r="234" spans="3:26" ht="24" x14ac:dyDescent="0.2">
      <c r="C234" s="91"/>
      <c r="D234" s="196" t="s">
        <v>433</v>
      </c>
      <c r="E234" s="443">
        <v>2E-3</v>
      </c>
      <c r="F234" s="443"/>
      <c r="G234" s="443"/>
      <c r="H234" s="197" t="s">
        <v>910</v>
      </c>
      <c r="I234" s="415"/>
      <c r="J234" s="416"/>
      <c r="K234" s="417"/>
      <c r="L234" s="198"/>
      <c r="M234" s="198"/>
      <c r="N234" s="195"/>
      <c r="O234" s="152"/>
      <c r="P234" s="152"/>
      <c r="Q234" s="152"/>
      <c r="R234" s="153"/>
      <c r="S234" s="154"/>
      <c r="T234" s="152"/>
      <c r="U234" s="152"/>
      <c r="V234" s="152"/>
      <c r="W234" s="152"/>
      <c r="X234" s="154"/>
      <c r="Y234" s="155"/>
      <c r="Z234" s="155"/>
    </row>
    <row r="235" spans="3:26" ht="24" x14ac:dyDescent="0.2">
      <c r="C235" s="91"/>
      <c r="D235" s="196" t="s">
        <v>434</v>
      </c>
      <c r="E235" s="443">
        <v>0</v>
      </c>
      <c r="F235" s="443"/>
      <c r="G235" s="443"/>
      <c r="H235" s="203"/>
      <c r="I235" s="415"/>
      <c r="J235" s="416"/>
      <c r="K235" s="417"/>
      <c r="L235" s="198"/>
      <c r="M235" s="198"/>
      <c r="N235" s="195"/>
      <c r="O235" s="156" t="s">
        <v>811</v>
      </c>
      <c r="P235" s="204">
        <v>0.1</v>
      </c>
      <c r="Q235" s="205">
        <v>3.8399999999999997E-2</v>
      </c>
      <c r="R235" s="206">
        <v>2.199999999999136E-2</v>
      </c>
      <c r="S235" s="220">
        <v>1</v>
      </c>
      <c r="T235" s="156">
        <v>7.9599999999991358E-2</v>
      </c>
      <c r="U235" s="161">
        <v>-20.600096385544219</v>
      </c>
      <c r="V235" s="162">
        <v>91.8</v>
      </c>
      <c r="W235" s="221">
        <v>5.59</v>
      </c>
      <c r="X235" s="164">
        <v>115.15453879519218</v>
      </c>
      <c r="Y235" s="165"/>
      <c r="Z235" s="165"/>
    </row>
    <row r="236" spans="3:26" ht="24" x14ac:dyDescent="0.2">
      <c r="C236" s="91"/>
      <c r="D236" s="196" t="s">
        <v>435</v>
      </c>
      <c r="E236" s="436">
        <v>0.54166666666666674</v>
      </c>
      <c r="F236" s="436"/>
      <c r="G236" s="436"/>
      <c r="H236" s="203"/>
      <c r="I236" s="415"/>
      <c r="J236" s="416"/>
      <c r="K236" s="417"/>
      <c r="L236" s="208">
        <v>0.77083333333333337</v>
      </c>
      <c r="M236" s="208">
        <v>0.66666666666666674</v>
      </c>
      <c r="N236" s="195"/>
      <c r="O236" s="166" t="s">
        <v>812</v>
      </c>
      <c r="P236" s="209">
        <v>0.1</v>
      </c>
      <c r="Q236" s="187">
        <v>5.9933333333333338E-2</v>
      </c>
      <c r="R236" s="210">
        <v>1.4E-2</v>
      </c>
      <c r="S236" s="222">
        <v>1</v>
      </c>
      <c r="T236" s="211">
        <v>0.10390000000000001</v>
      </c>
      <c r="U236" s="171">
        <v>-26.888819277114031</v>
      </c>
      <c r="V236" s="172">
        <v>91.8</v>
      </c>
      <c r="W236" s="223">
        <v>3.85</v>
      </c>
      <c r="X236" s="174">
        <v>103.52195421688903</v>
      </c>
      <c r="Y236" s="175"/>
      <c r="Z236" s="175"/>
    </row>
    <row r="237" spans="3:26" ht="24" x14ac:dyDescent="0.2">
      <c r="C237" s="91"/>
      <c r="D237" s="196" t="s">
        <v>436</v>
      </c>
      <c r="E237" s="213" t="s">
        <v>29</v>
      </c>
      <c r="F237" s="213" t="s">
        <v>28</v>
      </c>
      <c r="G237" s="213" t="s">
        <v>27</v>
      </c>
      <c r="H237" s="203" t="s">
        <v>793</v>
      </c>
      <c r="I237" s="415"/>
      <c r="J237" s="416"/>
      <c r="K237" s="417"/>
      <c r="L237" s="198"/>
      <c r="M237" s="198"/>
      <c r="N237" s="195"/>
      <c r="O237" s="234"/>
      <c r="P237" s="176"/>
      <c r="Q237" s="154"/>
      <c r="R237" s="154"/>
      <c r="S237" s="224"/>
      <c r="T237" s="154"/>
      <c r="U237" s="177"/>
      <c r="V237" s="178"/>
      <c r="W237" s="225"/>
      <c r="X237" s="177"/>
      <c r="Y237" s="155"/>
      <c r="Z237" s="155"/>
    </row>
    <row r="238" spans="3:26" ht="24" x14ac:dyDescent="0.2">
      <c r="C238" s="91"/>
      <c r="D238" s="214">
        <v>45576</v>
      </c>
      <c r="E238" s="219">
        <v>0</v>
      </c>
      <c r="F238" s="219" t="s">
        <v>458</v>
      </c>
      <c r="G238" s="219">
        <v>-1E-3</v>
      </c>
      <c r="H238" s="216">
        <v>0.24999999999999997</v>
      </c>
      <c r="I238" s="415"/>
      <c r="J238" s="416"/>
      <c r="K238" s="417"/>
      <c r="L238" s="231">
        <v>0.47916666666666663</v>
      </c>
      <c r="M238" s="198"/>
      <c r="N238" s="195"/>
      <c r="O238" s="179"/>
      <c r="P238" s="155"/>
      <c r="Q238" s="179"/>
      <c r="R238" s="179"/>
      <c r="S238" s="224"/>
      <c r="T238" s="179"/>
      <c r="U238" s="179"/>
      <c r="V238" s="179"/>
      <c r="W238" s="227"/>
      <c r="X238" s="179"/>
      <c r="Y238" s="155"/>
      <c r="Z238" s="155"/>
    </row>
    <row r="239" spans="3:26" ht="24" x14ac:dyDescent="0.2">
      <c r="C239" s="91"/>
      <c r="D239" s="214">
        <v>45565</v>
      </c>
      <c r="E239" s="219">
        <v>0</v>
      </c>
      <c r="F239" s="219" t="s">
        <v>462</v>
      </c>
      <c r="G239" s="219">
        <v>-1E-3</v>
      </c>
      <c r="H239" s="216">
        <v>0.5</v>
      </c>
      <c r="I239" s="415"/>
      <c r="J239" s="416"/>
      <c r="K239" s="417"/>
      <c r="L239" s="231">
        <v>0.72916666666666663</v>
      </c>
      <c r="M239" s="198"/>
      <c r="N239" s="195"/>
      <c r="O239" s="146" t="s">
        <v>813</v>
      </c>
      <c r="P239" s="233">
        <v>-0.12</v>
      </c>
      <c r="Q239" s="180">
        <v>5.9933333333333338E-2</v>
      </c>
      <c r="R239" s="181">
        <v>1.4E-2</v>
      </c>
      <c r="S239" s="228">
        <v>-1</v>
      </c>
      <c r="T239" s="229">
        <v>0.10390000000000001</v>
      </c>
      <c r="U239" s="182">
        <v>-32.266583132536837</v>
      </c>
      <c r="V239" s="183">
        <v>110.16</v>
      </c>
      <c r="W239" s="230">
        <v>3.5</v>
      </c>
      <c r="X239" s="184">
        <v>112.93304096387894</v>
      </c>
      <c r="Y239" s="185" t="s">
        <v>814</v>
      </c>
      <c r="Z239" s="185"/>
    </row>
    <row r="240" spans="3:26" ht="24" x14ac:dyDescent="0.2">
      <c r="C240" s="91"/>
      <c r="D240" s="214">
        <v>45545</v>
      </c>
      <c r="E240" s="219">
        <v>-1E-3</v>
      </c>
      <c r="F240" s="219" t="s">
        <v>456</v>
      </c>
      <c r="G240" s="219">
        <v>3.0000000000000001E-3</v>
      </c>
      <c r="H240" s="216">
        <v>0.24999999999999997</v>
      </c>
      <c r="I240" s="415"/>
      <c r="J240" s="416"/>
      <c r="K240" s="417"/>
      <c r="L240" s="231">
        <v>0.47916666666666663</v>
      </c>
      <c r="M240" s="198"/>
      <c r="N240" s="195"/>
      <c r="O240" s="146"/>
      <c r="P240" s="147"/>
      <c r="Q240" s="180"/>
      <c r="R240" s="181"/>
      <c r="S240" s="150"/>
      <c r="T240" s="147"/>
      <c r="U240" s="182"/>
      <c r="V240" s="183"/>
      <c r="W240" s="150"/>
      <c r="X240" s="184"/>
      <c r="Y240" s="185"/>
      <c r="Z240" s="185"/>
    </row>
    <row r="241" spans="3:26" ht="24" x14ac:dyDescent="0.2">
      <c r="C241" s="91"/>
      <c r="D241" s="214">
        <v>45533</v>
      </c>
      <c r="E241" s="219">
        <v>-1E-3</v>
      </c>
      <c r="F241" s="219" t="s">
        <v>458</v>
      </c>
      <c r="G241" s="219">
        <v>3.0000000000000001E-3</v>
      </c>
      <c r="H241" s="216">
        <v>0.5</v>
      </c>
      <c r="I241" s="415"/>
      <c r="J241" s="416"/>
      <c r="K241" s="417"/>
      <c r="L241" s="231">
        <v>0.72916666666666663</v>
      </c>
      <c r="M241" s="198"/>
      <c r="N241" s="195"/>
      <c r="O241" s="146"/>
      <c r="P241" s="147"/>
      <c r="Q241" s="180"/>
      <c r="R241" s="181"/>
      <c r="S241" s="150"/>
      <c r="T241" s="147"/>
      <c r="U241" s="182"/>
      <c r="V241" s="183"/>
      <c r="W241" s="150"/>
      <c r="X241" s="184"/>
      <c r="Y241" s="185"/>
      <c r="Z241" s="185"/>
    </row>
    <row r="242" spans="3:26" ht="24" x14ac:dyDescent="0.2">
      <c r="C242" s="91"/>
      <c r="D242" s="214">
        <v>45513</v>
      </c>
      <c r="E242" s="219">
        <v>3.0000000000000001E-3</v>
      </c>
      <c r="F242" s="219" t="s">
        <v>467</v>
      </c>
      <c r="G242" s="219">
        <v>1E-3</v>
      </c>
      <c r="H242" s="216">
        <v>0.24999999999999997</v>
      </c>
      <c r="I242" s="415"/>
      <c r="J242" s="416"/>
      <c r="K242" s="417"/>
      <c r="L242" s="231">
        <v>0.47916666666666663</v>
      </c>
      <c r="M242" s="198"/>
      <c r="N242" s="195"/>
      <c r="O242" s="91"/>
      <c r="P242" s="91"/>
      <c r="Q242" s="91"/>
      <c r="R242" s="91"/>
      <c r="S242" s="91"/>
      <c r="T242" s="91"/>
      <c r="U242" s="91"/>
      <c r="V242" s="91"/>
      <c r="W242" s="91"/>
      <c r="X242" s="91"/>
      <c r="Y242" s="91"/>
      <c r="Z242" s="91"/>
    </row>
    <row r="243" spans="3:26" ht="24" x14ac:dyDescent="0.2">
      <c r="C243" s="91"/>
      <c r="D243" s="214">
        <v>45503</v>
      </c>
      <c r="E243" s="219">
        <v>3.0000000000000001E-3</v>
      </c>
      <c r="F243" s="219" t="s">
        <v>467</v>
      </c>
      <c r="G243" s="219">
        <v>1E-3</v>
      </c>
      <c r="H243" s="216">
        <v>0.5</v>
      </c>
      <c r="I243" s="418"/>
      <c r="J243" s="419"/>
      <c r="K243" s="420"/>
      <c r="L243" s="231">
        <v>0.72916666666666663</v>
      </c>
      <c r="M243" s="198"/>
      <c r="N243" s="195"/>
      <c r="O243" s="91"/>
      <c r="P243" s="91"/>
      <c r="Q243" s="91"/>
      <c r="R243" s="91"/>
      <c r="S243" s="91"/>
      <c r="T243" s="91"/>
      <c r="U243" s="91"/>
      <c r="V243" s="91"/>
      <c r="W243" s="91"/>
      <c r="X243" s="91"/>
      <c r="Y243" s="91"/>
      <c r="Z243" s="91"/>
    </row>
    <row r="244" spans="3:26" ht="72" x14ac:dyDescent="0.2">
      <c r="C244" s="91" t="s">
        <v>105</v>
      </c>
      <c r="D244" s="193" t="s">
        <v>30</v>
      </c>
      <c r="E244" s="430" t="s">
        <v>9</v>
      </c>
      <c r="F244" s="430"/>
      <c r="G244" s="430"/>
      <c r="H244" s="194" t="s">
        <v>790</v>
      </c>
      <c r="I244" s="431" t="s">
        <v>633</v>
      </c>
      <c r="J244" s="432"/>
      <c r="K244" s="433"/>
      <c r="L244" s="194" t="s">
        <v>430</v>
      </c>
      <c r="M244" s="194" t="s">
        <v>431</v>
      </c>
      <c r="N244" s="195" t="s">
        <v>105</v>
      </c>
      <c r="O244" s="145" t="s">
        <v>800</v>
      </c>
      <c r="P244" s="145" t="s">
        <v>801</v>
      </c>
      <c r="Q244" s="145" t="s">
        <v>802</v>
      </c>
      <c r="R244" s="145" t="s">
        <v>803</v>
      </c>
      <c r="S244" s="145" t="s">
        <v>804</v>
      </c>
      <c r="T244" s="145" t="s">
        <v>805</v>
      </c>
      <c r="U244" s="145" t="s">
        <v>806</v>
      </c>
      <c r="V244" s="145" t="s">
        <v>807</v>
      </c>
      <c r="W244" s="145" t="s">
        <v>808</v>
      </c>
      <c r="X244" s="145" t="s">
        <v>809</v>
      </c>
      <c r="Y244" s="145" t="s">
        <v>75</v>
      </c>
      <c r="Z244" s="145" t="s">
        <v>75</v>
      </c>
    </row>
    <row r="245" spans="3:26" ht="24" x14ac:dyDescent="0.2">
      <c r="C245" s="91"/>
      <c r="D245" s="196" t="s">
        <v>432</v>
      </c>
      <c r="E245" s="434"/>
      <c r="F245" s="434"/>
      <c r="G245" s="434"/>
      <c r="H245" s="197" t="s">
        <v>796</v>
      </c>
      <c r="I245" s="412" t="s">
        <v>840</v>
      </c>
      <c r="J245" s="413"/>
      <c r="K245" s="414"/>
      <c r="L245" s="198"/>
      <c r="M245" s="198"/>
      <c r="N245" s="195"/>
      <c r="O245" s="146" t="s">
        <v>810</v>
      </c>
      <c r="P245" s="147">
        <v>0.1</v>
      </c>
      <c r="Q245" s="148">
        <v>3.9E-2</v>
      </c>
      <c r="R245" s="149">
        <v>2.1000000000015007E-2</v>
      </c>
      <c r="S245" s="150"/>
      <c r="T245" s="146">
        <v>7.9500000000015003E-2</v>
      </c>
      <c r="U245" s="148">
        <v>-18.989999999999998</v>
      </c>
      <c r="V245" s="147">
        <v>91.8</v>
      </c>
      <c r="W245" s="150"/>
      <c r="X245" s="150"/>
      <c r="Y245" s="151"/>
      <c r="Z245" s="151"/>
    </row>
    <row r="246" spans="3:26" ht="24" x14ac:dyDescent="0.2">
      <c r="C246" s="91"/>
      <c r="D246" s="196" t="s">
        <v>433</v>
      </c>
      <c r="E246" s="442">
        <v>0</v>
      </c>
      <c r="F246" s="442"/>
      <c r="G246" s="442"/>
      <c r="H246" s="197" t="s">
        <v>796</v>
      </c>
      <c r="I246" s="415"/>
      <c r="J246" s="416"/>
      <c r="K246" s="417"/>
      <c r="L246" s="198"/>
      <c r="M246" s="198"/>
      <c r="N246" s="195"/>
      <c r="O246" s="152"/>
      <c r="P246" s="152"/>
      <c r="Q246" s="152"/>
      <c r="R246" s="153"/>
      <c r="S246" s="154"/>
      <c r="T246" s="152"/>
      <c r="U246" s="152"/>
      <c r="V246" s="152"/>
      <c r="W246" s="154"/>
      <c r="X246" s="154"/>
      <c r="Y246" s="155"/>
      <c r="Z246" s="155"/>
    </row>
    <row r="247" spans="3:26" ht="24" x14ac:dyDescent="0.2">
      <c r="C247" s="91"/>
      <c r="D247" s="196" t="s">
        <v>434</v>
      </c>
      <c r="E247" s="442" t="s">
        <v>839</v>
      </c>
      <c r="F247" s="442"/>
      <c r="G247" s="442"/>
      <c r="H247" s="203"/>
      <c r="I247" s="415"/>
      <c r="J247" s="416"/>
      <c r="K247" s="417"/>
      <c r="L247" s="198"/>
      <c r="M247" s="198"/>
      <c r="N247" s="195"/>
      <c r="O247" s="156" t="s">
        <v>811</v>
      </c>
      <c r="P247" s="157">
        <v>0.1</v>
      </c>
      <c r="Q247" s="158">
        <v>7.22E-2</v>
      </c>
      <c r="R247" s="159">
        <v>1.4999999999999999E-2</v>
      </c>
      <c r="S247" s="160">
        <v>1</v>
      </c>
      <c r="T247" s="156">
        <v>0.12330000000000001</v>
      </c>
      <c r="U247" s="161">
        <v>-29.452415094334064</v>
      </c>
      <c r="V247" s="162">
        <v>91.8</v>
      </c>
      <c r="W247" s="163">
        <v>4.88</v>
      </c>
      <c r="X247" s="164">
        <v>143.72778566035024</v>
      </c>
      <c r="Y247" s="165"/>
      <c r="Z247" s="165">
        <v>4.4350000000000005</v>
      </c>
    </row>
    <row r="248" spans="3:26" ht="24" x14ac:dyDescent="0.2">
      <c r="C248" s="91"/>
      <c r="D248" s="196" t="s">
        <v>435</v>
      </c>
      <c r="E248" s="441">
        <v>0.72916666666666674</v>
      </c>
      <c r="F248" s="441"/>
      <c r="G248" s="441"/>
      <c r="H248" s="203"/>
      <c r="I248" s="415"/>
      <c r="J248" s="416"/>
      <c r="K248" s="417"/>
      <c r="L248" s="208">
        <v>0.83333333333333337</v>
      </c>
      <c r="M248" s="208">
        <v>0.72916666666666674</v>
      </c>
      <c r="N248" s="195"/>
      <c r="O248" s="166" t="s">
        <v>812</v>
      </c>
      <c r="P248" s="167">
        <v>0.1</v>
      </c>
      <c r="Q248" s="168">
        <v>4.0533333333333338E-2</v>
      </c>
      <c r="R248" s="169">
        <v>1.4999999999999999E-2</v>
      </c>
      <c r="S248" s="170">
        <v>0.5</v>
      </c>
      <c r="T248" s="166">
        <v>7.5800000000000006E-2</v>
      </c>
      <c r="U248" s="171">
        <v>-9.0530943396209338</v>
      </c>
      <c r="V248" s="172">
        <v>91.8</v>
      </c>
      <c r="W248" s="173">
        <v>2.3650000000000002</v>
      </c>
      <c r="X248" s="174">
        <v>21.41056811320351</v>
      </c>
      <c r="Y248" s="175"/>
      <c r="Z248" s="175"/>
    </row>
    <row r="249" spans="3:26" ht="24" x14ac:dyDescent="0.2">
      <c r="C249" s="91"/>
      <c r="D249" s="196" t="s">
        <v>436</v>
      </c>
      <c r="E249" s="213" t="s">
        <v>29</v>
      </c>
      <c r="F249" s="213" t="s">
        <v>28</v>
      </c>
      <c r="G249" s="213" t="s">
        <v>27</v>
      </c>
      <c r="H249" s="203" t="s">
        <v>793</v>
      </c>
      <c r="I249" s="415"/>
      <c r="J249" s="416"/>
      <c r="K249" s="417"/>
      <c r="L249" s="198"/>
      <c r="M249" s="198"/>
      <c r="N249" s="195"/>
      <c r="O249" s="154"/>
      <c r="P249" s="176"/>
      <c r="Q249" s="154"/>
      <c r="R249" s="154"/>
      <c r="S249" s="154"/>
      <c r="T249" s="154"/>
      <c r="U249" s="177"/>
      <c r="V249" s="178"/>
      <c r="W249" s="154"/>
      <c r="X249" s="177"/>
      <c r="Y249" s="155"/>
      <c r="Z249" s="155"/>
    </row>
    <row r="250" spans="3:26" ht="24" x14ac:dyDescent="0.2">
      <c r="C250" s="91"/>
      <c r="D250" s="214">
        <v>45588</v>
      </c>
      <c r="E250" s="232" t="s">
        <v>839</v>
      </c>
      <c r="F250" s="232" t="s">
        <v>891</v>
      </c>
      <c r="G250" s="232" t="s">
        <v>699</v>
      </c>
      <c r="H250" s="216">
        <v>0.72916666666666674</v>
      </c>
      <c r="I250" s="415"/>
      <c r="J250" s="416"/>
      <c r="K250" s="417"/>
      <c r="L250" s="198"/>
      <c r="M250" s="198"/>
      <c r="N250" s="195"/>
      <c r="O250" s="179"/>
      <c r="P250" s="155"/>
      <c r="Q250" s="179"/>
      <c r="R250" s="179"/>
      <c r="S250" s="179"/>
      <c r="T250" s="179"/>
      <c r="U250" s="179"/>
      <c r="V250" s="179"/>
      <c r="W250" s="179"/>
      <c r="X250" s="179"/>
      <c r="Y250" s="155"/>
      <c r="Z250" s="155"/>
    </row>
    <row r="251" spans="3:26" ht="24" x14ac:dyDescent="0.2">
      <c r="C251" s="91"/>
      <c r="D251" s="214">
        <v>45582</v>
      </c>
      <c r="E251" s="232" t="s">
        <v>699</v>
      </c>
      <c r="F251" s="232" t="s">
        <v>731</v>
      </c>
      <c r="G251" s="232" t="s">
        <v>677</v>
      </c>
      <c r="H251" s="216">
        <v>0.72916666666666674</v>
      </c>
      <c r="I251" s="415"/>
      <c r="J251" s="416"/>
      <c r="K251" s="417"/>
      <c r="L251" s="198"/>
      <c r="M251" s="198"/>
      <c r="N251" s="195"/>
      <c r="O251" s="146" t="s">
        <v>813</v>
      </c>
      <c r="P251" s="147">
        <v>0.25</v>
      </c>
      <c r="Q251" s="180">
        <v>4.0533333333333338E-2</v>
      </c>
      <c r="R251" s="181">
        <v>1.4999999999999999E-2</v>
      </c>
      <c r="S251" s="150">
        <v>0.5</v>
      </c>
      <c r="T251" s="147">
        <v>7.5800000000000006E-2</v>
      </c>
      <c r="U251" s="182">
        <v>-22.632735849052334</v>
      </c>
      <c r="V251" s="183">
        <v>229.5</v>
      </c>
      <c r="W251" s="150">
        <v>2</v>
      </c>
      <c r="X251" s="184">
        <v>45.265471698104669</v>
      </c>
      <c r="Y251" s="185" t="s">
        <v>814</v>
      </c>
      <c r="Z251" s="185"/>
    </row>
    <row r="252" spans="3:26" ht="24" x14ac:dyDescent="0.2">
      <c r="C252" s="91"/>
      <c r="D252" s="214">
        <v>45574</v>
      </c>
      <c r="E252" s="232" t="s">
        <v>677</v>
      </c>
      <c r="F252" s="232" t="s">
        <v>732</v>
      </c>
      <c r="G252" s="232" t="s">
        <v>637</v>
      </c>
      <c r="H252" s="216">
        <v>0.72916666666666674</v>
      </c>
      <c r="I252" s="415"/>
      <c r="J252" s="416"/>
      <c r="K252" s="417"/>
      <c r="L252" s="218"/>
      <c r="M252" s="198"/>
      <c r="N252" s="195"/>
      <c r="O252" s="146" t="s">
        <v>813</v>
      </c>
      <c r="P252" s="147">
        <v>0.25</v>
      </c>
      <c r="Q252" s="180">
        <v>4.0533333333333338E-2</v>
      </c>
      <c r="R252" s="181">
        <v>1.4999999999999999E-2</v>
      </c>
      <c r="S252" s="150">
        <v>0.5</v>
      </c>
      <c r="T252" s="147">
        <v>7.5800000000000006E-2</v>
      </c>
      <c r="U252" s="182">
        <v>-22.349278350515466</v>
      </c>
      <c r="V252" s="183">
        <v>229.5</v>
      </c>
      <c r="W252" s="150">
        <v>2</v>
      </c>
      <c r="X252" s="184">
        <v>44.698556701030931</v>
      </c>
      <c r="Y252" s="185"/>
      <c r="Z252" s="185"/>
    </row>
    <row r="253" spans="3:26" ht="24" x14ac:dyDescent="0.2">
      <c r="C253" s="91"/>
      <c r="D253" s="214">
        <v>45567</v>
      </c>
      <c r="E253" s="232" t="s">
        <v>637</v>
      </c>
      <c r="F253" s="232" t="s">
        <v>733</v>
      </c>
      <c r="G253" s="232" t="s">
        <v>380</v>
      </c>
      <c r="H253" s="216">
        <v>0.72916666666666674</v>
      </c>
      <c r="I253" s="415"/>
      <c r="J253" s="416"/>
      <c r="K253" s="417"/>
      <c r="L253" s="198"/>
      <c r="M253" s="198"/>
      <c r="N253" s="195"/>
      <c r="O253" s="146" t="s">
        <v>816</v>
      </c>
      <c r="P253" s="147"/>
      <c r="Q253" s="180"/>
      <c r="R253" s="181"/>
      <c r="S253" s="150"/>
      <c r="T253" s="147"/>
      <c r="U253" s="182">
        <v>-22.349278350515466</v>
      </c>
      <c r="V253" s="183"/>
      <c r="W253" s="150"/>
      <c r="X253" s="184">
        <v>44.698556701030931</v>
      </c>
      <c r="Y253" s="185"/>
      <c r="Z253" s="185"/>
    </row>
    <row r="254" spans="3:26" ht="24" x14ac:dyDescent="0.2">
      <c r="C254" s="91"/>
      <c r="D254" s="214">
        <v>45560</v>
      </c>
      <c r="E254" s="232" t="s">
        <v>380</v>
      </c>
      <c r="F254" s="232" t="s">
        <v>564</v>
      </c>
      <c r="G254" s="232" t="s">
        <v>337</v>
      </c>
      <c r="H254" s="216">
        <v>0.72916666666666674</v>
      </c>
      <c r="I254" s="415"/>
      <c r="J254" s="416"/>
      <c r="K254" s="417"/>
      <c r="L254" s="198"/>
      <c r="M254" s="198"/>
      <c r="N254" s="195"/>
      <c r="O254" s="91"/>
      <c r="P254" s="91"/>
      <c r="Q254" s="91"/>
      <c r="R254" s="91"/>
      <c r="S254" s="91"/>
      <c r="T254" s="91"/>
      <c r="U254" s="91"/>
      <c r="V254" s="91"/>
      <c r="W254" s="91"/>
      <c r="X254" s="91"/>
      <c r="Y254" s="91"/>
      <c r="Z254" s="91"/>
    </row>
    <row r="255" spans="3:26" ht="24" x14ac:dyDescent="0.2">
      <c r="C255" s="91"/>
      <c r="D255" s="214">
        <v>45553</v>
      </c>
      <c r="E255" s="232" t="s">
        <v>337</v>
      </c>
      <c r="F255" s="232" t="s">
        <v>565</v>
      </c>
      <c r="G255" s="232" t="s">
        <v>339</v>
      </c>
      <c r="H255" s="216">
        <v>0.72916666666666674</v>
      </c>
      <c r="I255" s="418"/>
      <c r="J255" s="419"/>
      <c r="K255" s="420"/>
      <c r="L255" s="198"/>
      <c r="M255" s="198"/>
      <c r="N255" s="195"/>
      <c r="O255" s="91"/>
      <c r="P255" s="91"/>
      <c r="Q255" s="91"/>
      <c r="R255" s="91"/>
      <c r="S255" s="91"/>
      <c r="T255" s="91"/>
      <c r="U255" s="91"/>
      <c r="V255" s="91"/>
      <c r="W255" s="91"/>
      <c r="X255" s="91"/>
      <c r="Y255" s="91"/>
      <c r="Z255" s="91"/>
    </row>
    <row r="256" spans="3:26" ht="72" x14ac:dyDescent="0.2">
      <c r="C256" s="91" t="s">
        <v>105</v>
      </c>
      <c r="D256" s="193" t="s">
        <v>30</v>
      </c>
      <c r="E256" s="430" t="s">
        <v>842</v>
      </c>
      <c r="F256" s="430"/>
      <c r="G256" s="430"/>
      <c r="H256" s="194" t="s">
        <v>790</v>
      </c>
      <c r="I256" s="431" t="s">
        <v>633</v>
      </c>
      <c r="J256" s="432"/>
      <c r="K256" s="433"/>
      <c r="L256" s="194" t="s">
        <v>430</v>
      </c>
      <c r="M256" s="194" t="s">
        <v>431</v>
      </c>
      <c r="N256" s="195" t="s">
        <v>105</v>
      </c>
      <c r="O256" s="145" t="s">
        <v>800</v>
      </c>
      <c r="P256" s="145" t="s">
        <v>801</v>
      </c>
      <c r="Q256" s="145" t="s">
        <v>802</v>
      </c>
      <c r="R256" s="145" t="s">
        <v>803</v>
      </c>
      <c r="S256" s="145" t="s">
        <v>804</v>
      </c>
      <c r="T256" s="145" t="s">
        <v>805</v>
      </c>
      <c r="U256" s="145" t="s">
        <v>806</v>
      </c>
      <c r="V256" s="145" t="s">
        <v>807</v>
      </c>
      <c r="W256" s="145" t="s">
        <v>808</v>
      </c>
      <c r="X256" s="145" t="s">
        <v>809</v>
      </c>
      <c r="Y256" s="145" t="s">
        <v>75</v>
      </c>
      <c r="Z256" s="145" t="s">
        <v>75</v>
      </c>
    </row>
    <row r="257" spans="3:26" ht="24" x14ac:dyDescent="0.2">
      <c r="C257" s="91"/>
      <c r="D257" s="196" t="s">
        <v>432</v>
      </c>
      <c r="E257" s="434"/>
      <c r="F257" s="434"/>
      <c r="G257" s="434"/>
      <c r="H257" s="197" t="s">
        <v>911</v>
      </c>
      <c r="I257" s="412" t="s">
        <v>843</v>
      </c>
      <c r="J257" s="413"/>
      <c r="K257" s="414"/>
      <c r="L257" s="198"/>
      <c r="M257" s="198"/>
      <c r="N257" s="195"/>
      <c r="O257" s="146" t="s">
        <v>810</v>
      </c>
      <c r="P257" s="147">
        <v>0.1</v>
      </c>
      <c r="Q257" s="148">
        <v>3.9E-2</v>
      </c>
      <c r="R257" s="149">
        <v>2.1000000000015007E-2</v>
      </c>
      <c r="S257" s="150"/>
      <c r="T257" s="146">
        <v>7.9500000000015003E-2</v>
      </c>
      <c r="U257" s="148">
        <v>-18.989999999999998</v>
      </c>
      <c r="V257" s="147">
        <v>91.8</v>
      </c>
      <c r="W257" s="150"/>
      <c r="X257" s="150"/>
      <c r="Y257" s="151"/>
      <c r="Z257" s="151"/>
    </row>
    <row r="258" spans="3:26" ht="24" x14ac:dyDescent="0.2">
      <c r="C258" s="91"/>
      <c r="D258" s="196" t="s">
        <v>433</v>
      </c>
      <c r="E258" s="440">
        <v>50</v>
      </c>
      <c r="F258" s="440"/>
      <c r="G258" s="440"/>
      <c r="H258" s="197" t="s">
        <v>912</v>
      </c>
      <c r="I258" s="415"/>
      <c r="J258" s="416"/>
      <c r="K258" s="417"/>
      <c r="L258" s="198"/>
      <c r="M258" s="198"/>
      <c r="N258" s="195"/>
      <c r="O258" s="152"/>
      <c r="P258" s="152"/>
      <c r="Q258" s="152"/>
      <c r="R258" s="153"/>
      <c r="S258" s="154"/>
      <c r="T258" s="152"/>
      <c r="U258" s="152"/>
      <c r="V258" s="152"/>
      <c r="W258" s="154"/>
      <c r="X258" s="154"/>
      <c r="Y258" s="155"/>
      <c r="Z258" s="155"/>
    </row>
    <row r="259" spans="3:26" ht="24" x14ac:dyDescent="0.2">
      <c r="C259" s="91"/>
      <c r="D259" s="196" t="s">
        <v>434</v>
      </c>
      <c r="E259" s="440">
        <v>49.8</v>
      </c>
      <c r="F259" s="440"/>
      <c r="G259" s="440"/>
      <c r="H259" s="203"/>
      <c r="I259" s="415"/>
      <c r="J259" s="416"/>
      <c r="K259" s="417"/>
      <c r="L259" s="198"/>
      <c r="M259" s="198"/>
      <c r="N259" s="195"/>
      <c r="O259" s="156" t="s">
        <v>811</v>
      </c>
      <c r="P259" s="157">
        <v>0.1</v>
      </c>
      <c r="Q259" s="158">
        <v>7.22E-2</v>
      </c>
      <c r="R259" s="159">
        <v>1.4999999999999999E-2</v>
      </c>
      <c r="S259" s="160">
        <v>1</v>
      </c>
      <c r="T259" s="156">
        <v>0.12330000000000001</v>
      </c>
      <c r="U259" s="161">
        <v>-29.452415094334064</v>
      </c>
      <c r="V259" s="162">
        <v>91.8</v>
      </c>
      <c r="W259" s="163">
        <v>4.88</v>
      </c>
      <c r="X259" s="164">
        <v>143.72778566035024</v>
      </c>
      <c r="Y259" s="165"/>
      <c r="Z259" s="165">
        <v>4.4350000000000005</v>
      </c>
    </row>
    <row r="260" spans="3:26" ht="24" x14ac:dyDescent="0.2">
      <c r="C260" s="91"/>
      <c r="D260" s="196" t="s">
        <v>435</v>
      </c>
      <c r="E260" s="436">
        <v>6.2500000000000028E-2</v>
      </c>
      <c r="F260" s="436"/>
      <c r="G260" s="436"/>
      <c r="H260" s="203"/>
      <c r="I260" s="415"/>
      <c r="J260" s="416"/>
      <c r="K260" s="417"/>
      <c r="L260" s="208">
        <v>0.29166666666666669</v>
      </c>
      <c r="M260" s="208">
        <v>0.1875</v>
      </c>
      <c r="N260" s="195"/>
      <c r="O260" s="166" t="s">
        <v>812</v>
      </c>
      <c r="P260" s="167">
        <v>0.1</v>
      </c>
      <c r="Q260" s="168">
        <v>4.0533333333333338E-2</v>
      </c>
      <c r="R260" s="169">
        <v>1.4999999999999999E-2</v>
      </c>
      <c r="S260" s="170">
        <v>0.5</v>
      </c>
      <c r="T260" s="166">
        <v>7.5800000000000006E-2</v>
      </c>
      <c r="U260" s="171">
        <v>-9.0530943396209338</v>
      </c>
      <c r="V260" s="172">
        <v>91.8</v>
      </c>
      <c r="W260" s="173">
        <v>2.3650000000000002</v>
      </c>
      <c r="X260" s="174">
        <v>21.41056811320351</v>
      </c>
      <c r="Y260" s="175"/>
      <c r="Z260" s="175"/>
    </row>
    <row r="261" spans="3:26" ht="24" x14ac:dyDescent="0.2">
      <c r="C261" s="91"/>
      <c r="D261" s="196" t="s">
        <v>436</v>
      </c>
      <c r="E261" s="213" t="s">
        <v>29</v>
      </c>
      <c r="F261" s="213" t="s">
        <v>28</v>
      </c>
      <c r="G261" s="213" t="s">
        <v>27</v>
      </c>
      <c r="H261" s="203" t="s">
        <v>793</v>
      </c>
      <c r="I261" s="415"/>
      <c r="J261" s="416"/>
      <c r="K261" s="417"/>
      <c r="L261" s="198"/>
      <c r="M261" s="198"/>
      <c r="N261" s="195"/>
      <c r="O261" s="154"/>
      <c r="P261" s="176"/>
      <c r="Q261" s="154"/>
      <c r="R261" s="154"/>
      <c r="S261" s="154"/>
      <c r="T261" s="154"/>
      <c r="U261" s="177"/>
      <c r="V261" s="178"/>
      <c r="W261" s="154"/>
      <c r="X261" s="177"/>
      <c r="Y261" s="155"/>
      <c r="Z261" s="155"/>
    </row>
    <row r="262" spans="3:26" ht="24" x14ac:dyDescent="0.2">
      <c r="C262" s="91"/>
      <c r="D262" s="214">
        <v>45565</v>
      </c>
      <c r="E262" s="232">
        <v>49.8</v>
      </c>
      <c r="F262" s="232" t="s">
        <v>440</v>
      </c>
      <c r="G262" s="232">
        <v>49.1</v>
      </c>
      <c r="H262" s="216">
        <v>6.2500000000000028E-2</v>
      </c>
      <c r="I262" s="415"/>
      <c r="J262" s="416"/>
      <c r="K262" s="417"/>
      <c r="L262" s="198"/>
      <c r="M262" s="198"/>
      <c r="N262" s="195"/>
      <c r="O262" s="179"/>
      <c r="P262" s="155"/>
      <c r="Q262" s="179"/>
      <c r="R262" s="179"/>
      <c r="S262" s="179"/>
      <c r="T262" s="179"/>
      <c r="U262" s="179"/>
      <c r="V262" s="179"/>
      <c r="W262" s="179"/>
      <c r="X262" s="179"/>
      <c r="Y262" s="155"/>
      <c r="Z262" s="155"/>
    </row>
    <row r="263" spans="3:26" ht="24" x14ac:dyDescent="0.2">
      <c r="C263" s="91"/>
      <c r="D263" s="214">
        <v>45535</v>
      </c>
      <c r="E263" s="232">
        <v>49.1</v>
      </c>
      <c r="F263" s="232" t="s">
        <v>438</v>
      </c>
      <c r="G263" s="232">
        <v>49.4</v>
      </c>
      <c r="H263" s="216">
        <v>6.2500000000000028E-2</v>
      </c>
      <c r="I263" s="415"/>
      <c r="J263" s="416"/>
      <c r="K263" s="417"/>
      <c r="L263" s="198"/>
      <c r="M263" s="198"/>
      <c r="N263" s="195"/>
      <c r="O263" s="146" t="s">
        <v>813</v>
      </c>
      <c r="P263" s="147">
        <v>0.25</v>
      </c>
      <c r="Q263" s="180">
        <v>4.0533333333333338E-2</v>
      </c>
      <c r="R263" s="181">
        <v>1.4999999999999999E-2</v>
      </c>
      <c r="S263" s="150">
        <v>0.5</v>
      </c>
      <c r="T263" s="147">
        <v>7.5800000000000006E-2</v>
      </c>
      <c r="U263" s="182">
        <v>-22.632735849052334</v>
      </c>
      <c r="V263" s="183">
        <v>229.5</v>
      </c>
      <c r="W263" s="150">
        <v>2</v>
      </c>
      <c r="X263" s="184">
        <v>45.265471698104669</v>
      </c>
      <c r="Y263" s="185" t="s">
        <v>814</v>
      </c>
      <c r="Z263" s="185"/>
    </row>
    <row r="264" spans="3:26" ht="24" x14ac:dyDescent="0.2">
      <c r="C264" s="91"/>
      <c r="D264" s="214">
        <v>45504</v>
      </c>
      <c r="E264" s="232">
        <v>49.4</v>
      </c>
      <c r="F264" s="232" t="s">
        <v>440</v>
      </c>
      <c r="G264" s="232">
        <v>49.5</v>
      </c>
      <c r="H264" s="216">
        <v>6.2500000000000028E-2</v>
      </c>
      <c r="I264" s="415"/>
      <c r="J264" s="416"/>
      <c r="K264" s="417"/>
      <c r="L264" s="218"/>
      <c r="M264" s="198"/>
      <c r="N264" s="195"/>
      <c r="O264" s="146" t="s">
        <v>813</v>
      </c>
      <c r="P264" s="147">
        <v>0.25</v>
      </c>
      <c r="Q264" s="180">
        <v>4.0533333333333338E-2</v>
      </c>
      <c r="R264" s="181">
        <v>1.4999999999999999E-2</v>
      </c>
      <c r="S264" s="150">
        <v>0.5</v>
      </c>
      <c r="T264" s="147">
        <v>7.5800000000000006E-2</v>
      </c>
      <c r="U264" s="182">
        <v>-22.349278350515466</v>
      </c>
      <c r="V264" s="183">
        <v>229.5</v>
      </c>
      <c r="W264" s="150">
        <v>2</v>
      </c>
      <c r="X264" s="184">
        <v>44.698556701030931</v>
      </c>
      <c r="Y264" s="185"/>
      <c r="Z264" s="185"/>
    </row>
    <row r="265" spans="3:26" ht="24" x14ac:dyDescent="0.2">
      <c r="C265" s="91"/>
      <c r="D265" s="214">
        <v>45473</v>
      </c>
      <c r="E265" s="232">
        <v>49.5</v>
      </c>
      <c r="F265" s="232" t="s">
        <v>438</v>
      </c>
      <c r="G265" s="232">
        <v>49.5</v>
      </c>
      <c r="H265" s="216">
        <v>6.2500000000000028E-2</v>
      </c>
      <c r="I265" s="415"/>
      <c r="J265" s="416"/>
      <c r="K265" s="417"/>
      <c r="L265" s="198"/>
      <c r="M265" s="198"/>
      <c r="N265" s="195"/>
      <c r="O265" s="146" t="s">
        <v>816</v>
      </c>
      <c r="P265" s="147"/>
      <c r="Q265" s="180"/>
      <c r="R265" s="181"/>
      <c r="S265" s="150"/>
      <c r="T265" s="147"/>
      <c r="U265" s="182">
        <v>-22.349278350515466</v>
      </c>
      <c r="V265" s="183"/>
      <c r="W265" s="150"/>
      <c r="X265" s="184">
        <v>44.698556701030931</v>
      </c>
      <c r="Y265" s="185"/>
      <c r="Z265" s="185"/>
    </row>
    <row r="266" spans="3:26" ht="24" x14ac:dyDescent="0.2">
      <c r="C266" s="91"/>
      <c r="D266" s="214">
        <v>45443</v>
      </c>
      <c r="E266" s="232">
        <v>49.5</v>
      </c>
      <c r="F266" s="232" t="s">
        <v>443</v>
      </c>
      <c r="G266" s="232">
        <v>50.4</v>
      </c>
      <c r="H266" s="216">
        <v>6.2500000000000028E-2</v>
      </c>
      <c r="I266" s="415"/>
      <c r="J266" s="416"/>
      <c r="K266" s="417"/>
      <c r="L266" s="198"/>
      <c r="M266" s="198"/>
      <c r="N266" s="195"/>
      <c r="O266" s="91"/>
      <c r="P266" s="91"/>
      <c r="Q266" s="91"/>
      <c r="R266" s="91"/>
      <c r="S266" s="91"/>
      <c r="T266" s="91"/>
      <c r="U266" s="91"/>
      <c r="V266" s="91"/>
      <c r="W266" s="91"/>
      <c r="X266" s="91"/>
      <c r="Y266" s="91"/>
      <c r="Z266" s="91"/>
    </row>
    <row r="267" spans="3:26" ht="24" x14ac:dyDescent="0.2">
      <c r="C267" s="91"/>
      <c r="D267" s="214">
        <v>45412</v>
      </c>
      <c r="E267" s="232">
        <v>50.4</v>
      </c>
      <c r="F267" s="232" t="s">
        <v>445</v>
      </c>
      <c r="G267" s="232">
        <v>50.8</v>
      </c>
      <c r="H267" s="216">
        <v>6.2500000000000028E-2</v>
      </c>
      <c r="I267" s="418"/>
      <c r="J267" s="419"/>
      <c r="K267" s="420"/>
      <c r="L267" s="198"/>
      <c r="M267" s="198"/>
      <c r="N267" s="195"/>
      <c r="O267" s="91"/>
      <c r="P267" s="91"/>
      <c r="Q267" s="91"/>
      <c r="R267" s="91"/>
      <c r="S267" s="91"/>
      <c r="T267" s="91"/>
      <c r="U267" s="91"/>
      <c r="V267" s="91"/>
      <c r="W267" s="91"/>
      <c r="X267" s="91"/>
      <c r="Y267" s="91"/>
      <c r="Z267" s="91"/>
    </row>
    <row r="268" spans="3:26" ht="72" x14ac:dyDescent="0.2">
      <c r="C268" s="91" t="s">
        <v>105</v>
      </c>
      <c r="D268" s="193" t="s">
        <v>30</v>
      </c>
      <c r="E268" s="430" t="s">
        <v>118</v>
      </c>
      <c r="F268" s="430"/>
      <c r="G268" s="430"/>
      <c r="H268" s="194" t="s">
        <v>790</v>
      </c>
      <c r="I268" s="431" t="s">
        <v>633</v>
      </c>
      <c r="J268" s="432"/>
      <c r="K268" s="433"/>
      <c r="L268" s="194" t="s">
        <v>430</v>
      </c>
      <c r="M268" s="194" t="s">
        <v>431</v>
      </c>
      <c r="N268" s="195" t="s">
        <v>105</v>
      </c>
      <c r="O268" s="145" t="s">
        <v>800</v>
      </c>
      <c r="P268" s="145" t="s">
        <v>801</v>
      </c>
      <c r="Q268" s="145" t="s">
        <v>802</v>
      </c>
      <c r="R268" s="145" t="s">
        <v>803</v>
      </c>
      <c r="S268" s="145" t="s">
        <v>804</v>
      </c>
      <c r="T268" s="145" t="s">
        <v>805</v>
      </c>
      <c r="U268" s="145" t="s">
        <v>806</v>
      </c>
      <c r="V268" s="145" t="s">
        <v>807</v>
      </c>
      <c r="W268" s="145" t="s">
        <v>808</v>
      </c>
      <c r="X268" s="145" t="s">
        <v>809</v>
      </c>
      <c r="Y268" s="145" t="s">
        <v>75</v>
      </c>
      <c r="Z268" s="145" t="s">
        <v>75</v>
      </c>
    </row>
    <row r="269" spans="3:26" ht="24" x14ac:dyDescent="0.2">
      <c r="C269" s="91"/>
      <c r="D269" s="196" t="s">
        <v>432</v>
      </c>
      <c r="E269" s="434"/>
      <c r="F269" s="434"/>
      <c r="G269" s="434"/>
      <c r="H269" s="197" t="s">
        <v>794</v>
      </c>
      <c r="I269" s="412" t="s">
        <v>844</v>
      </c>
      <c r="J269" s="413"/>
      <c r="K269" s="414"/>
      <c r="L269" s="198"/>
      <c r="M269" s="198"/>
      <c r="N269" s="195"/>
      <c r="O269" s="146" t="s">
        <v>810</v>
      </c>
      <c r="P269" s="199">
        <v>0.1</v>
      </c>
      <c r="Q269" s="200">
        <v>2.1000000000000001E-2</v>
      </c>
      <c r="R269" s="200">
        <v>1.5999999999991132E-2</v>
      </c>
      <c r="S269" s="150"/>
      <c r="T269" s="146">
        <v>8.0999999999986805E-2</v>
      </c>
      <c r="U269" s="200">
        <v>-11.31</v>
      </c>
      <c r="V269" s="200">
        <v>91.8</v>
      </c>
      <c r="W269" s="200"/>
      <c r="X269" s="184"/>
      <c r="Y269" s="151"/>
      <c r="Z269" s="151"/>
    </row>
    <row r="270" spans="3:26" ht="24" x14ac:dyDescent="0.2">
      <c r="C270" s="91"/>
      <c r="D270" s="196" t="s">
        <v>433</v>
      </c>
      <c r="E270" s="435">
        <v>2.5000000000000001E-3</v>
      </c>
      <c r="F270" s="435"/>
      <c r="G270" s="435"/>
      <c r="H270" s="197" t="s">
        <v>795</v>
      </c>
      <c r="I270" s="415"/>
      <c r="J270" s="416"/>
      <c r="K270" s="417"/>
      <c r="L270" s="198"/>
      <c r="M270" s="198"/>
      <c r="N270" s="195"/>
      <c r="O270" s="152"/>
      <c r="P270" s="152"/>
      <c r="Q270" s="152"/>
      <c r="R270" s="153"/>
      <c r="S270" s="154"/>
      <c r="T270" s="152"/>
      <c r="U270" s="152"/>
      <c r="V270" s="152"/>
      <c r="W270" s="152"/>
      <c r="X270" s="154"/>
      <c r="Y270" s="155"/>
      <c r="Z270" s="155"/>
    </row>
    <row r="271" spans="3:26" ht="24" x14ac:dyDescent="0.2">
      <c r="C271" s="91"/>
      <c r="D271" s="196" t="s">
        <v>434</v>
      </c>
      <c r="E271" s="435">
        <v>2.5000000000000001E-3</v>
      </c>
      <c r="F271" s="435"/>
      <c r="G271" s="435"/>
      <c r="H271" s="203"/>
      <c r="I271" s="415"/>
      <c r="J271" s="416"/>
      <c r="K271" s="417"/>
      <c r="L271" s="198"/>
      <c r="M271" s="198"/>
      <c r="N271" s="195"/>
      <c r="O271" s="156" t="s">
        <v>811</v>
      </c>
      <c r="P271" s="204">
        <v>0.1</v>
      </c>
      <c r="Q271" s="205">
        <v>0.13039999999999999</v>
      </c>
      <c r="R271" s="206">
        <v>1.4999999999999999E-2</v>
      </c>
      <c r="S271" s="220">
        <v>1</v>
      </c>
      <c r="T271" s="156">
        <v>0.21060000000000001</v>
      </c>
      <c r="U271" s="161">
        <v>-29.406000000004795</v>
      </c>
      <c r="V271" s="162">
        <v>91.8</v>
      </c>
      <c r="W271" s="221">
        <v>2.4300000000000002</v>
      </c>
      <c r="X271" s="164">
        <v>71.456580000011655</v>
      </c>
      <c r="Y271" s="165"/>
      <c r="Z271" s="165"/>
    </row>
    <row r="272" spans="3:26" ht="24" x14ac:dyDescent="0.2">
      <c r="C272" s="91"/>
      <c r="D272" s="196" t="s">
        <v>435</v>
      </c>
      <c r="E272" s="436">
        <v>0.12500000000000003</v>
      </c>
      <c r="F272" s="436"/>
      <c r="G272" s="436"/>
      <c r="H272" s="203"/>
      <c r="I272" s="415"/>
      <c r="J272" s="416"/>
      <c r="K272" s="417"/>
      <c r="L272" s="208">
        <v>0.35416666666666669</v>
      </c>
      <c r="M272" s="208">
        <v>0.25</v>
      </c>
      <c r="N272" s="195"/>
      <c r="O272" s="166" t="s">
        <v>812</v>
      </c>
      <c r="P272" s="209">
        <v>0.1</v>
      </c>
      <c r="Q272" s="187">
        <v>0.13473333333333334</v>
      </c>
      <c r="R272" s="210">
        <v>1.4999999999999999E-2</v>
      </c>
      <c r="S272" s="222">
        <v>1</v>
      </c>
      <c r="T272" s="211">
        <v>0.21709999999999999</v>
      </c>
      <c r="U272" s="171">
        <v>-30.31359259259753</v>
      </c>
      <c r="V272" s="172">
        <v>91.8</v>
      </c>
      <c r="W272" s="223">
        <v>2.48</v>
      </c>
      <c r="X272" s="174">
        <v>75.177709629641868</v>
      </c>
      <c r="Y272" s="175"/>
      <c r="Z272" s="175"/>
    </row>
    <row r="273" spans="3:26" ht="24" x14ac:dyDescent="0.2">
      <c r="C273" s="91"/>
      <c r="D273" s="196" t="s">
        <v>436</v>
      </c>
      <c r="E273" s="213" t="s">
        <v>29</v>
      </c>
      <c r="F273" s="213" t="s">
        <v>28</v>
      </c>
      <c r="G273" s="213" t="s">
        <v>27</v>
      </c>
      <c r="H273" s="203" t="s">
        <v>793</v>
      </c>
      <c r="I273" s="415"/>
      <c r="J273" s="416"/>
      <c r="K273" s="417"/>
      <c r="L273" s="198"/>
      <c r="M273" s="198"/>
      <c r="N273" s="195"/>
      <c r="O273" s="154"/>
      <c r="P273" s="176"/>
      <c r="Q273" s="154"/>
      <c r="R273" s="154"/>
      <c r="S273" s="224"/>
      <c r="T273" s="154"/>
      <c r="U273" s="177"/>
      <c r="V273" s="178"/>
      <c r="W273" s="225"/>
      <c r="X273" s="177"/>
      <c r="Y273" s="155"/>
      <c r="Z273" s="155"/>
    </row>
    <row r="274" spans="3:26" ht="24" x14ac:dyDescent="0.2">
      <c r="C274" s="91"/>
      <c r="D274" s="214">
        <v>45555</v>
      </c>
      <c r="E274" s="235">
        <v>2.5000000000000001E-3</v>
      </c>
      <c r="F274" s="235" t="s">
        <v>892</v>
      </c>
      <c r="G274" s="235">
        <v>2.5000000000000001E-3</v>
      </c>
      <c r="H274" s="216">
        <v>1.125</v>
      </c>
      <c r="I274" s="415"/>
      <c r="J274" s="416"/>
      <c r="K274" s="417"/>
      <c r="L274" s="231">
        <v>1.3541666666666667</v>
      </c>
      <c r="M274" s="231">
        <v>1.25</v>
      </c>
      <c r="N274" s="195"/>
      <c r="O274" s="179"/>
      <c r="P274" s="155"/>
      <c r="Q274" s="179"/>
      <c r="R274" s="179"/>
      <c r="S274" s="224"/>
      <c r="T274" s="179"/>
      <c r="U274" s="179"/>
      <c r="V274" s="179"/>
      <c r="W274" s="227"/>
      <c r="X274" s="179"/>
      <c r="Y274" s="155"/>
      <c r="Z274" s="155"/>
    </row>
    <row r="275" spans="3:26" ht="24" x14ac:dyDescent="0.2">
      <c r="C275" s="91"/>
      <c r="D275" s="214">
        <v>45504</v>
      </c>
      <c r="E275" s="235">
        <v>2.5000000000000001E-3</v>
      </c>
      <c r="F275" s="235" t="s">
        <v>893</v>
      </c>
      <c r="G275" s="235">
        <v>1E-3</v>
      </c>
      <c r="H275" s="216">
        <v>0.16666666666666671</v>
      </c>
      <c r="I275" s="415"/>
      <c r="J275" s="416"/>
      <c r="K275" s="417"/>
      <c r="L275" s="231">
        <v>0.39583333333333337</v>
      </c>
      <c r="M275" s="231">
        <v>0.29166666666666669</v>
      </c>
      <c r="N275" s="195"/>
      <c r="O275" s="146" t="s">
        <v>813</v>
      </c>
      <c r="P275" s="233">
        <v>-0.1</v>
      </c>
      <c r="Q275" s="180">
        <v>0.13473333333333334</v>
      </c>
      <c r="R275" s="181">
        <v>1.4999999999999999E-2</v>
      </c>
      <c r="S275" s="228">
        <v>-1</v>
      </c>
      <c r="T275" s="229">
        <v>0.21709999999999999</v>
      </c>
      <c r="U275" s="182">
        <v>-30.31359259259753</v>
      </c>
      <c r="V275" s="183">
        <v>91.8</v>
      </c>
      <c r="W275" s="230">
        <v>2</v>
      </c>
      <c r="X275" s="184">
        <v>60.62718518519506</v>
      </c>
      <c r="Y275" s="185" t="s">
        <v>814</v>
      </c>
      <c r="Z275" s="185"/>
    </row>
    <row r="276" spans="3:26" ht="24" x14ac:dyDescent="0.2">
      <c r="C276" s="91"/>
      <c r="D276" s="214">
        <v>45457</v>
      </c>
      <c r="E276" s="235">
        <v>1E-3</v>
      </c>
      <c r="F276" s="235" t="s">
        <v>893</v>
      </c>
      <c r="G276" s="235">
        <v>1E-3</v>
      </c>
      <c r="H276" s="216">
        <v>1.1423611111111112</v>
      </c>
      <c r="I276" s="415"/>
      <c r="J276" s="416"/>
      <c r="K276" s="417"/>
      <c r="L276" s="231">
        <v>1.3715277777777779</v>
      </c>
      <c r="M276" s="231">
        <v>1.2673611111111112</v>
      </c>
      <c r="N276" s="195"/>
      <c r="O276" s="146"/>
      <c r="P276" s="147"/>
      <c r="Q276" s="180"/>
      <c r="R276" s="181"/>
      <c r="S276" s="150"/>
      <c r="T276" s="147"/>
      <c r="U276" s="182"/>
      <c r="V276" s="183"/>
      <c r="W276" s="150"/>
      <c r="X276" s="184"/>
      <c r="Y276" s="185"/>
      <c r="Z276" s="185"/>
    </row>
    <row r="277" spans="3:26" ht="24" x14ac:dyDescent="0.2">
      <c r="C277" s="91"/>
      <c r="D277" s="214">
        <v>45408</v>
      </c>
      <c r="E277" s="235">
        <v>1E-3</v>
      </c>
      <c r="F277" s="235" t="s">
        <v>893</v>
      </c>
      <c r="G277" s="235">
        <v>1E-3</v>
      </c>
      <c r="H277" s="216">
        <v>1.125</v>
      </c>
      <c r="I277" s="415"/>
      <c r="J277" s="416"/>
      <c r="K277" s="417"/>
      <c r="L277" s="231">
        <v>1.3541666666666667</v>
      </c>
      <c r="M277" s="231">
        <v>1.25</v>
      </c>
      <c r="N277" s="195"/>
      <c r="O277" s="146"/>
      <c r="P277" s="147"/>
      <c r="Q277" s="180"/>
      <c r="R277" s="181"/>
      <c r="S277" s="150"/>
      <c r="T277" s="147"/>
      <c r="U277" s="182"/>
      <c r="V277" s="183"/>
      <c r="W277" s="150"/>
      <c r="X277" s="184"/>
      <c r="Y277" s="185"/>
      <c r="Z277" s="185"/>
    </row>
    <row r="278" spans="3:26" ht="24" x14ac:dyDescent="0.2">
      <c r="C278" s="91"/>
      <c r="D278" s="214">
        <v>45370</v>
      </c>
      <c r="E278" s="235">
        <v>1E-3</v>
      </c>
      <c r="F278" s="235" t="s">
        <v>893</v>
      </c>
      <c r="G278" s="235">
        <v>-1E-3</v>
      </c>
      <c r="H278" s="216">
        <v>1.1493055555555556</v>
      </c>
      <c r="I278" s="415"/>
      <c r="J278" s="416"/>
      <c r="K278" s="417"/>
      <c r="L278" s="231">
        <v>1.3784722222222223</v>
      </c>
      <c r="M278" s="231">
        <v>1.2743055555555556</v>
      </c>
      <c r="N278" s="195"/>
      <c r="O278" s="91"/>
      <c r="P278" s="91"/>
      <c r="Q278" s="91"/>
      <c r="R278" s="91"/>
      <c r="S278" s="91"/>
      <c r="T278" s="91"/>
      <c r="U278" s="91"/>
      <c r="V278" s="91"/>
      <c r="W278" s="91"/>
      <c r="X278" s="91"/>
      <c r="Y278" s="91"/>
      <c r="Z278" s="91"/>
    </row>
    <row r="279" spans="3:26" ht="24" x14ac:dyDescent="0.2">
      <c r="C279" s="91"/>
      <c r="D279" s="214">
        <v>45314</v>
      </c>
      <c r="E279" s="235">
        <v>-1E-3</v>
      </c>
      <c r="F279" s="235" t="s">
        <v>894</v>
      </c>
      <c r="G279" s="235">
        <v>-1E-3</v>
      </c>
      <c r="H279" s="216">
        <v>1.125</v>
      </c>
      <c r="I279" s="418"/>
      <c r="J279" s="419"/>
      <c r="K279" s="420"/>
      <c r="L279" s="231">
        <v>1.3541666666666667</v>
      </c>
      <c r="M279" s="231">
        <v>1.25</v>
      </c>
      <c r="N279" s="195"/>
      <c r="O279" s="91"/>
      <c r="P279" s="91"/>
      <c r="Q279" s="91"/>
      <c r="R279" s="91"/>
      <c r="S279" s="91"/>
      <c r="T279" s="91"/>
      <c r="U279" s="91"/>
      <c r="V279" s="91"/>
      <c r="W279" s="91"/>
      <c r="X279" s="91"/>
      <c r="Y279" s="91"/>
      <c r="Z279" s="91"/>
    </row>
    <row r="280" spans="3:26" ht="72" x14ac:dyDescent="0.2">
      <c r="C280" s="91" t="s">
        <v>105</v>
      </c>
      <c r="D280" s="193" t="s">
        <v>30</v>
      </c>
      <c r="E280" s="430" t="s">
        <v>845</v>
      </c>
      <c r="F280" s="430"/>
      <c r="G280" s="430"/>
      <c r="H280" s="194" t="s">
        <v>790</v>
      </c>
      <c r="I280" s="431" t="s">
        <v>633</v>
      </c>
      <c r="J280" s="432"/>
      <c r="K280" s="433"/>
      <c r="L280" s="194" t="s">
        <v>430</v>
      </c>
      <c r="M280" s="194" t="s">
        <v>431</v>
      </c>
      <c r="N280" s="195" t="s">
        <v>105</v>
      </c>
      <c r="O280" s="145" t="s">
        <v>800</v>
      </c>
      <c r="P280" s="145" t="s">
        <v>801</v>
      </c>
      <c r="Q280" s="145" t="s">
        <v>802</v>
      </c>
      <c r="R280" s="145" t="s">
        <v>803</v>
      </c>
      <c r="S280" s="145" t="s">
        <v>804</v>
      </c>
      <c r="T280" s="145" t="s">
        <v>805</v>
      </c>
      <c r="U280" s="145" t="s">
        <v>806</v>
      </c>
      <c r="V280" s="145" t="s">
        <v>807</v>
      </c>
      <c r="W280" s="145" t="s">
        <v>808</v>
      </c>
      <c r="X280" s="145" t="s">
        <v>809</v>
      </c>
      <c r="Y280" s="145" t="s">
        <v>75</v>
      </c>
      <c r="Z280" s="145" t="s">
        <v>75</v>
      </c>
    </row>
    <row r="281" spans="3:26" ht="24" x14ac:dyDescent="0.2">
      <c r="C281" s="91"/>
      <c r="D281" s="196" t="s">
        <v>432</v>
      </c>
      <c r="E281" s="434"/>
      <c r="F281" s="434"/>
      <c r="G281" s="434"/>
      <c r="H281" s="197" t="s">
        <v>909</v>
      </c>
      <c r="I281" s="412" t="s">
        <v>846</v>
      </c>
      <c r="J281" s="413"/>
      <c r="K281" s="414"/>
      <c r="L281" s="198"/>
      <c r="M281" s="198"/>
      <c r="N281" s="195"/>
      <c r="O281" s="146" t="s">
        <v>810</v>
      </c>
      <c r="P281" s="147">
        <v>0.1</v>
      </c>
      <c r="Q281" s="148">
        <v>3.9E-2</v>
      </c>
      <c r="R281" s="149">
        <v>2.1000000000015007E-2</v>
      </c>
      <c r="S281" s="150"/>
      <c r="T281" s="146">
        <v>7.9500000000015003E-2</v>
      </c>
      <c r="U281" s="148">
        <v>-18.989999999999998</v>
      </c>
      <c r="V281" s="147">
        <v>91.8</v>
      </c>
      <c r="W281" s="150"/>
      <c r="X281" s="150"/>
      <c r="Y281" s="151"/>
      <c r="Z281" s="151"/>
    </row>
    <row r="282" spans="3:26" ht="24" x14ac:dyDescent="0.2">
      <c r="C282" s="91"/>
      <c r="D282" s="196" t="s">
        <v>433</v>
      </c>
      <c r="E282" s="444">
        <v>1.9E-2</v>
      </c>
      <c r="F282" s="444"/>
      <c r="G282" s="444"/>
      <c r="H282" s="197" t="s">
        <v>910</v>
      </c>
      <c r="I282" s="415"/>
      <c r="J282" s="416"/>
      <c r="K282" s="417"/>
      <c r="L282" s="198"/>
      <c r="M282" s="198"/>
      <c r="N282" s="195"/>
      <c r="O282" s="152"/>
      <c r="P282" s="152"/>
      <c r="Q282" s="152"/>
      <c r="R282" s="153"/>
      <c r="S282" s="154"/>
      <c r="T282" s="152"/>
      <c r="U282" s="152"/>
      <c r="V282" s="152"/>
      <c r="W282" s="154"/>
      <c r="X282" s="154"/>
      <c r="Y282" s="155"/>
      <c r="Z282" s="155"/>
    </row>
    <row r="283" spans="3:26" ht="24" x14ac:dyDescent="0.2">
      <c r="C283" s="91"/>
      <c r="D283" s="196" t="s">
        <v>434</v>
      </c>
      <c r="E283" s="444">
        <v>1.7000000000000001E-2</v>
      </c>
      <c r="F283" s="444"/>
      <c r="G283" s="444"/>
      <c r="H283" s="203"/>
      <c r="I283" s="415"/>
      <c r="J283" s="416"/>
      <c r="K283" s="417"/>
      <c r="L283" s="198"/>
      <c r="M283" s="198"/>
      <c r="N283" s="195"/>
      <c r="O283" s="156" t="s">
        <v>811</v>
      </c>
      <c r="P283" s="157">
        <v>0.1</v>
      </c>
      <c r="Q283" s="158">
        <v>7.22E-2</v>
      </c>
      <c r="R283" s="159">
        <v>1.4999999999999999E-2</v>
      </c>
      <c r="S283" s="160">
        <v>1</v>
      </c>
      <c r="T283" s="156">
        <v>0.12330000000000001</v>
      </c>
      <c r="U283" s="161">
        <v>-29.452415094334064</v>
      </c>
      <c r="V283" s="162">
        <v>91.8</v>
      </c>
      <c r="W283" s="163">
        <v>4.88</v>
      </c>
      <c r="X283" s="164">
        <v>143.72778566035024</v>
      </c>
      <c r="Y283" s="165"/>
      <c r="Z283" s="165">
        <v>4.4350000000000005</v>
      </c>
    </row>
    <row r="284" spans="3:26" ht="24" x14ac:dyDescent="0.2">
      <c r="C284" s="91"/>
      <c r="D284" s="196" t="s">
        <v>435</v>
      </c>
      <c r="E284" s="436">
        <v>0.41666666666666674</v>
      </c>
      <c r="F284" s="436"/>
      <c r="G284" s="436"/>
      <c r="H284" s="203"/>
      <c r="I284" s="415"/>
      <c r="J284" s="416"/>
      <c r="K284" s="417"/>
      <c r="L284" s="208">
        <v>0.64583333333333337</v>
      </c>
      <c r="M284" s="208">
        <v>0.54166666666666674</v>
      </c>
      <c r="N284" s="195"/>
      <c r="O284" s="166" t="s">
        <v>812</v>
      </c>
      <c r="P284" s="167">
        <v>0.1</v>
      </c>
      <c r="Q284" s="168">
        <v>4.0533333333333338E-2</v>
      </c>
      <c r="R284" s="169">
        <v>1.4999999999999999E-2</v>
      </c>
      <c r="S284" s="170">
        <v>0.5</v>
      </c>
      <c r="T284" s="166">
        <v>7.5800000000000006E-2</v>
      </c>
      <c r="U284" s="171">
        <v>-9.0530943396209338</v>
      </c>
      <c r="V284" s="172">
        <v>91.8</v>
      </c>
      <c r="W284" s="173">
        <v>2.3650000000000002</v>
      </c>
      <c r="X284" s="174">
        <v>21.41056811320351</v>
      </c>
      <c r="Y284" s="175"/>
      <c r="Z284" s="175"/>
    </row>
    <row r="285" spans="3:26" ht="24" x14ac:dyDescent="0.2">
      <c r="C285" s="91"/>
      <c r="D285" s="196" t="s">
        <v>436</v>
      </c>
      <c r="E285" s="213" t="s">
        <v>29</v>
      </c>
      <c r="F285" s="213" t="s">
        <v>28</v>
      </c>
      <c r="G285" s="213" t="s">
        <v>27</v>
      </c>
      <c r="H285" s="203" t="s">
        <v>793</v>
      </c>
      <c r="I285" s="415"/>
      <c r="J285" s="416"/>
      <c r="K285" s="417"/>
      <c r="L285" s="231"/>
      <c r="M285" s="231"/>
      <c r="N285" s="195"/>
      <c r="O285" s="154"/>
      <c r="P285" s="176"/>
      <c r="Q285" s="154"/>
      <c r="R285" s="154"/>
      <c r="S285" s="154"/>
      <c r="T285" s="154"/>
      <c r="U285" s="177"/>
      <c r="V285" s="178"/>
      <c r="W285" s="154"/>
      <c r="X285" s="177"/>
      <c r="Y285" s="155"/>
      <c r="Z285" s="155"/>
    </row>
    <row r="286" spans="3:26" ht="24" x14ac:dyDescent="0.2">
      <c r="C286" s="91"/>
      <c r="D286" s="214">
        <v>45582</v>
      </c>
      <c r="E286" s="226">
        <v>1.7000000000000001E-2</v>
      </c>
      <c r="F286" s="226" t="s">
        <v>895</v>
      </c>
      <c r="G286" s="226">
        <v>2.1999999999999999E-2</v>
      </c>
      <c r="H286" s="216">
        <v>0.375</v>
      </c>
      <c r="I286" s="415"/>
      <c r="J286" s="416"/>
      <c r="K286" s="417"/>
      <c r="L286" s="231"/>
      <c r="M286" s="231"/>
      <c r="N286" s="195"/>
      <c r="O286" s="179"/>
      <c r="P286" s="155"/>
      <c r="Q286" s="179"/>
      <c r="R286" s="179"/>
      <c r="S286" s="179"/>
      <c r="T286" s="179"/>
      <c r="U286" s="179"/>
      <c r="V286" s="179"/>
      <c r="W286" s="179"/>
      <c r="X286" s="179"/>
      <c r="Y286" s="155"/>
      <c r="Z286" s="155"/>
    </row>
    <row r="287" spans="3:26" ht="24" x14ac:dyDescent="0.2">
      <c r="C287" s="91"/>
      <c r="D287" s="214">
        <v>45566</v>
      </c>
      <c r="E287" s="226">
        <v>1.7999999999999999E-2</v>
      </c>
      <c r="F287" s="226" t="s">
        <v>895</v>
      </c>
      <c r="G287" s="226">
        <v>2.1999999999999999E-2</v>
      </c>
      <c r="H287" s="216">
        <v>0.375</v>
      </c>
      <c r="I287" s="415"/>
      <c r="J287" s="416"/>
      <c r="K287" s="417"/>
      <c r="L287" s="198"/>
      <c r="M287" s="198"/>
      <c r="N287" s="195"/>
      <c r="O287" s="146" t="s">
        <v>813</v>
      </c>
      <c r="P287" s="147">
        <v>0.25</v>
      </c>
      <c r="Q287" s="180">
        <v>4.0533333333333338E-2</v>
      </c>
      <c r="R287" s="181">
        <v>1.4999999999999999E-2</v>
      </c>
      <c r="S287" s="150">
        <v>0.5</v>
      </c>
      <c r="T287" s="147">
        <v>7.5800000000000006E-2</v>
      </c>
      <c r="U287" s="182">
        <v>-22.632735849052334</v>
      </c>
      <c r="V287" s="183">
        <v>229.5</v>
      </c>
      <c r="W287" s="150">
        <v>2</v>
      </c>
      <c r="X287" s="184">
        <v>45.265471698104669</v>
      </c>
      <c r="Y287" s="185" t="s">
        <v>814</v>
      </c>
      <c r="Z287" s="185"/>
    </row>
    <row r="288" spans="3:26" ht="24" x14ac:dyDescent="0.2">
      <c r="C288" s="91"/>
      <c r="D288" s="214">
        <v>45553</v>
      </c>
      <c r="E288" s="226">
        <v>2.1999999999999999E-2</v>
      </c>
      <c r="F288" s="226" t="s">
        <v>490</v>
      </c>
      <c r="G288" s="226">
        <v>2.5999999999999999E-2</v>
      </c>
      <c r="H288" s="216">
        <v>0.375</v>
      </c>
      <c r="I288" s="415"/>
      <c r="J288" s="416"/>
      <c r="K288" s="417"/>
      <c r="L288" s="218"/>
      <c r="M288" s="198"/>
      <c r="N288" s="195"/>
      <c r="O288" s="146" t="s">
        <v>813</v>
      </c>
      <c r="P288" s="147">
        <v>0.25</v>
      </c>
      <c r="Q288" s="180">
        <v>4.0533333333333338E-2</v>
      </c>
      <c r="R288" s="181">
        <v>1.4999999999999999E-2</v>
      </c>
      <c r="S288" s="150">
        <v>0.5</v>
      </c>
      <c r="T288" s="147">
        <v>7.5800000000000006E-2</v>
      </c>
      <c r="U288" s="182">
        <v>-22.349278350515466</v>
      </c>
      <c r="V288" s="183">
        <v>229.5</v>
      </c>
      <c r="W288" s="150">
        <v>2</v>
      </c>
      <c r="X288" s="184">
        <v>44.698556701030931</v>
      </c>
      <c r="Y288" s="185"/>
      <c r="Z288" s="185"/>
    </row>
    <row r="289" spans="3:26" ht="24" x14ac:dyDescent="0.2">
      <c r="C289" s="91"/>
      <c r="D289" s="214">
        <v>45534</v>
      </c>
      <c r="E289" s="226">
        <v>2.1999999999999999E-2</v>
      </c>
      <c r="F289" s="226" t="s">
        <v>490</v>
      </c>
      <c r="G289" s="226">
        <v>2.5999999999999999E-2</v>
      </c>
      <c r="H289" s="216">
        <v>0.375</v>
      </c>
      <c r="I289" s="415"/>
      <c r="J289" s="416"/>
      <c r="K289" s="417"/>
      <c r="L289" s="198"/>
      <c r="M289" s="198"/>
      <c r="N289" s="195"/>
      <c r="O289" s="146" t="s">
        <v>816</v>
      </c>
      <c r="P289" s="147"/>
      <c r="Q289" s="180"/>
      <c r="R289" s="181"/>
      <c r="S289" s="150"/>
      <c r="T289" s="147"/>
      <c r="U289" s="182">
        <v>-22.349278350515466</v>
      </c>
      <c r="V289" s="183"/>
      <c r="W289" s="150"/>
      <c r="X289" s="184">
        <v>44.698556701030931</v>
      </c>
      <c r="Y289" s="185"/>
      <c r="Z289" s="185"/>
    </row>
    <row r="290" spans="3:26" ht="24" x14ac:dyDescent="0.2">
      <c r="C290" s="91"/>
      <c r="D290" s="214">
        <v>45524</v>
      </c>
      <c r="E290" s="226">
        <v>2.5999999999999999E-2</v>
      </c>
      <c r="F290" s="226" t="s">
        <v>493</v>
      </c>
      <c r="G290" s="226">
        <v>2.5000000000000001E-2</v>
      </c>
      <c r="H290" s="216">
        <v>0.375</v>
      </c>
      <c r="I290" s="415"/>
      <c r="J290" s="416"/>
      <c r="K290" s="417"/>
      <c r="L290" s="198"/>
      <c r="M290" s="198"/>
      <c r="N290" s="195"/>
      <c r="O290" s="91"/>
      <c r="P290" s="91"/>
      <c r="Q290" s="91"/>
      <c r="R290" s="91"/>
      <c r="S290" s="91"/>
      <c r="T290" s="91"/>
      <c r="U290" s="91"/>
      <c r="V290" s="91"/>
      <c r="W290" s="91"/>
      <c r="X290" s="91"/>
      <c r="Y290" s="91"/>
      <c r="Z290" s="91"/>
    </row>
    <row r="291" spans="3:26" ht="24" x14ac:dyDescent="0.2">
      <c r="C291" s="91"/>
      <c r="D291" s="214">
        <v>45504</v>
      </c>
      <c r="E291" s="226">
        <v>2.5999999999999999E-2</v>
      </c>
      <c r="F291" s="226" t="s">
        <v>495</v>
      </c>
      <c r="G291" s="226">
        <v>2.5000000000000001E-2</v>
      </c>
      <c r="H291" s="216">
        <v>0.375</v>
      </c>
      <c r="I291" s="418"/>
      <c r="J291" s="419"/>
      <c r="K291" s="420"/>
      <c r="L291" s="198"/>
      <c r="M291" s="198"/>
      <c r="N291" s="195"/>
      <c r="O291" s="91"/>
      <c r="P291" s="91"/>
      <c r="Q291" s="91"/>
      <c r="R291" s="91"/>
      <c r="S291" s="91"/>
      <c r="T291" s="91"/>
      <c r="U291" s="91"/>
      <c r="V291" s="91"/>
      <c r="W291" s="91"/>
      <c r="X291" s="91"/>
      <c r="Y291" s="91"/>
      <c r="Z291" s="91"/>
    </row>
    <row r="292" spans="3:26" ht="72" x14ac:dyDescent="0.2">
      <c r="C292" s="91" t="s">
        <v>105</v>
      </c>
      <c r="D292" s="193" t="s">
        <v>30</v>
      </c>
      <c r="E292" s="430" t="s">
        <v>847</v>
      </c>
      <c r="F292" s="430"/>
      <c r="G292" s="430"/>
      <c r="H292" s="194" t="s">
        <v>790</v>
      </c>
      <c r="I292" s="431" t="s">
        <v>633</v>
      </c>
      <c r="J292" s="432"/>
      <c r="K292" s="433"/>
      <c r="L292" s="194" t="s">
        <v>430</v>
      </c>
      <c r="M292" s="194" t="s">
        <v>431</v>
      </c>
      <c r="N292" s="195" t="s">
        <v>105</v>
      </c>
      <c r="O292" s="145" t="s">
        <v>800</v>
      </c>
      <c r="P292" s="145" t="s">
        <v>801</v>
      </c>
      <c r="Q292" s="145" t="s">
        <v>802</v>
      </c>
      <c r="R292" s="145" t="s">
        <v>803</v>
      </c>
      <c r="S292" s="145" t="s">
        <v>804</v>
      </c>
      <c r="T292" s="145" t="s">
        <v>805</v>
      </c>
      <c r="U292" s="145" t="s">
        <v>806</v>
      </c>
      <c r="V292" s="145" t="s">
        <v>807</v>
      </c>
      <c r="W292" s="145" t="s">
        <v>808</v>
      </c>
      <c r="X292" s="145" t="s">
        <v>809</v>
      </c>
      <c r="Y292" s="145" t="s">
        <v>75</v>
      </c>
      <c r="Z292" s="145" t="s">
        <v>75</v>
      </c>
    </row>
    <row r="293" spans="3:26" ht="24" x14ac:dyDescent="0.2">
      <c r="C293" s="91"/>
      <c r="D293" s="196" t="s">
        <v>432</v>
      </c>
      <c r="E293" s="434"/>
      <c r="F293" s="434"/>
      <c r="G293" s="434"/>
      <c r="H293" s="197" t="s">
        <v>794</v>
      </c>
      <c r="I293" s="412" t="s">
        <v>848</v>
      </c>
      <c r="J293" s="413"/>
      <c r="K293" s="414"/>
      <c r="L293" s="198"/>
      <c r="M293" s="198"/>
      <c r="N293" s="195"/>
      <c r="O293" s="146" t="s">
        <v>810</v>
      </c>
      <c r="P293" s="199">
        <v>0.1</v>
      </c>
      <c r="Q293" s="200">
        <v>2.1000000000000001E-2</v>
      </c>
      <c r="R293" s="201">
        <v>1.7000000000000001E-2</v>
      </c>
      <c r="S293" s="150"/>
      <c r="T293" s="146">
        <v>4.8500000000000001E-2</v>
      </c>
      <c r="U293" s="200">
        <v>-11.44</v>
      </c>
      <c r="V293" s="199">
        <v>91.8</v>
      </c>
      <c r="W293" s="202"/>
      <c r="X293" s="184"/>
      <c r="Y293" s="151"/>
      <c r="Z293" s="151"/>
    </row>
    <row r="294" spans="3:26" ht="24" x14ac:dyDescent="0.2">
      <c r="C294" s="91"/>
      <c r="D294" s="196" t="s">
        <v>433</v>
      </c>
      <c r="E294" s="443">
        <v>0</v>
      </c>
      <c r="F294" s="443"/>
      <c r="G294" s="443"/>
      <c r="H294" s="197" t="s">
        <v>795</v>
      </c>
      <c r="I294" s="415"/>
      <c r="J294" s="416"/>
      <c r="K294" s="417"/>
      <c r="L294" s="198"/>
      <c r="M294" s="198"/>
      <c r="N294" s="195"/>
      <c r="O294" s="152"/>
      <c r="P294" s="152"/>
      <c r="Q294" s="152"/>
      <c r="R294" s="153"/>
      <c r="S294" s="154"/>
      <c r="T294" s="152"/>
      <c r="U294" s="152"/>
      <c r="V294" s="152"/>
      <c r="W294" s="152"/>
      <c r="X294" s="154"/>
      <c r="Y294" s="155"/>
      <c r="Z294" s="155"/>
    </row>
    <row r="295" spans="3:26" ht="24" x14ac:dyDescent="0.2">
      <c r="C295" s="91"/>
      <c r="D295" s="196" t="s">
        <v>434</v>
      </c>
      <c r="E295" s="443">
        <v>2.7E-2</v>
      </c>
      <c r="F295" s="443"/>
      <c r="G295" s="443"/>
      <c r="H295" s="203"/>
      <c r="I295" s="415"/>
      <c r="J295" s="416"/>
      <c r="K295" s="417"/>
      <c r="L295" s="198"/>
      <c r="M295" s="198"/>
      <c r="N295" s="195"/>
      <c r="O295" s="156" t="s">
        <v>811</v>
      </c>
      <c r="P295" s="204">
        <v>0.1</v>
      </c>
      <c r="Q295" s="205">
        <v>8.7999999999999995E-2</v>
      </c>
      <c r="R295" s="206">
        <v>1.7000000000000001E-2</v>
      </c>
      <c r="S295" s="220">
        <v>1</v>
      </c>
      <c r="T295" s="156">
        <v>0.14900000000000002</v>
      </c>
      <c r="U295" s="161">
        <v>-35.145567010309279</v>
      </c>
      <c r="V295" s="162">
        <v>91.8</v>
      </c>
      <c r="W295" s="221">
        <v>5.14</v>
      </c>
      <c r="X295" s="164">
        <v>180.64821443298968</v>
      </c>
      <c r="Y295" s="165"/>
      <c r="Z295" s="165">
        <v>4.4350000000000005</v>
      </c>
    </row>
    <row r="296" spans="3:26" ht="24" x14ac:dyDescent="0.2">
      <c r="C296" s="91"/>
      <c r="D296" s="196" t="s">
        <v>435</v>
      </c>
      <c r="E296" s="436">
        <v>0.52083333333333337</v>
      </c>
      <c r="F296" s="436"/>
      <c r="G296" s="436"/>
      <c r="H296" s="203"/>
      <c r="I296" s="415"/>
      <c r="J296" s="416"/>
      <c r="K296" s="417"/>
      <c r="L296" s="208">
        <v>0.75</v>
      </c>
      <c r="M296" s="208">
        <v>0.64583333333333337</v>
      </c>
      <c r="N296" s="195"/>
      <c r="O296" s="166" t="s">
        <v>812</v>
      </c>
      <c r="P296" s="209">
        <v>0.1</v>
      </c>
      <c r="Q296" s="187">
        <v>5.4866666666666668E-2</v>
      </c>
      <c r="R296" s="210">
        <v>1.7000000000000001E-2</v>
      </c>
      <c r="S296" s="222">
        <v>1</v>
      </c>
      <c r="T296" s="211">
        <v>9.9299999999999999E-2</v>
      </c>
      <c r="U296" s="171">
        <v>-23.422515463917524</v>
      </c>
      <c r="V296" s="172">
        <v>91.8</v>
      </c>
      <c r="W296" s="223">
        <v>4.8600000000000003</v>
      </c>
      <c r="X296" s="174">
        <v>113.83342515463917</v>
      </c>
      <c r="Y296" s="175"/>
      <c r="Z296" s="175"/>
    </row>
    <row r="297" spans="3:26" ht="24" x14ac:dyDescent="0.2">
      <c r="C297" s="91"/>
      <c r="D297" s="196" t="s">
        <v>436</v>
      </c>
      <c r="E297" s="213" t="s">
        <v>29</v>
      </c>
      <c r="F297" s="213" t="s">
        <v>28</v>
      </c>
      <c r="G297" s="213" t="s">
        <v>27</v>
      </c>
      <c r="H297" s="203" t="s">
        <v>793</v>
      </c>
      <c r="I297" s="415"/>
      <c r="J297" s="416"/>
      <c r="K297" s="417"/>
      <c r="L297" s="198"/>
      <c r="M297" s="198"/>
      <c r="N297" s="195"/>
      <c r="O297" s="154"/>
      <c r="P297" s="176"/>
      <c r="Q297" s="154"/>
      <c r="R297" s="154"/>
      <c r="S297" s="224"/>
      <c r="T297" s="154"/>
      <c r="U297" s="177"/>
      <c r="V297" s="178"/>
      <c r="W297" s="225"/>
      <c r="X297" s="177"/>
      <c r="Y297" s="155"/>
      <c r="Z297" s="155"/>
    </row>
    <row r="298" spans="3:26" ht="24" x14ac:dyDescent="0.2">
      <c r="C298" s="91"/>
      <c r="D298" s="214">
        <v>45562</v>
      </c>
      <c r="E298" s="219">
        <v>2.7E-2</v>
      </c>
      <c r="F298" s="219" t="s">
        <v>665</v>
      </c>
      <c r="G298" s="219">
        <v>2.5999999999999999E-2</v>
      </c>
      <c r="H298" s="216">
        <v>0.52083333333333337</v>
      </c>
      <c r="I298" s="415"/>
      <c r="J298" s="416"/>
      <c r="K298" s="417"/>
      <c r="L298" s="198"/>
      <c r="M298" s="198"/>
      <c r="N298" s="195"/>
      <c r="O298" s="179"/>
      <c r="P298" s="155"/>
      <c r="Q298" s="179"/>
      <c r="R298" s="179"/>
      <c r="S298" s="224"/>
      <c r="T298" s="179"/>
      <c r="U298" s="179"/>
      <c r="V298" s="179"/>
      <c r="W298" s="227"/>
      <c r="X298" s="179"/>
      <c r="Y298" s="155"/>
      <c r="Z298" s="155"/>
    </row>
    <row r="299" spans="3:26" ht="24" x14ac:dyDescent="0.2">
      <c r="C299" s="91"/>
      <c r="D299" s="214">
        <v>45534</v>
      </c>
      <c r="E299" s="219">
        <v>2.5999999999999999E-2</v>
      </c>
      <c r="F299" s="219" t="s">
        <v>665</v>
      </c>
      <c r="G299" s="219">
        <v>2.5999999999999999E-2</v>
      </c>
      <c r="H299" s="216">
        <v>0.52083333333333337</v>
      </c>
      <c r="I299" s="415"/>
      <c r="J299" s="416"/>
      <c r="K299" s="417"/>
      <c r="L299" s="198"/>
      <c r="M299" s="198"/>
      <c r="N299" s="195"/>
      <c r="O299" s="146" t="s">
        <v>813</v>
      </c>
      <c r="P299" s="233">
        <v>0.1</v>
      </c>
      <c r="Q299" s="180">
        <v>5.4866666666666668E-2</v>
      </c>
      <c r="R299" s="181">
        <v>1.7000000000000001E-2</v>
      </c>
      <c r="S299" s="228">
        <v>1</v>
      </c>
      <c r="T299" s="156">
        <v>9.9299999999999999E-2</v>
      </c>
      <c r="U299" s="182">
        <v>-23.422515463917524</v>
      </c>
      <c r="V299" s="183">
        <v>91.8</v>
      </c>
      <c r="W299" s="230">
        <v>3</v>
      </c>
      <c r="X299" s="184">
        <v>70.267546391752575</v>
      </c>
      <c r="Y299" s="185" t="s">
        <v>814</v>
      </c>
      <c r="Z299" s="185"/>
    </row>
    <row r="300" spans="3:26" ht="24" x14ac:dyDescent="0.2">
      <c r="C300" s="91"/>
      <c r="D300" s="214">
        <v>45499</v>
      </c>
      <c r="E300" s="219">
        <v>2.5999999999999999E-2</v>
      </c>
      <c r="F300" s="219" t="s">
        <v>495</v>
      </c>
      <c r="G300" s="219">
        <v>2.5999999999999999E-2</v>
      </c>
      <c r="H300" s="216">
        <v>0.52083333333333337</v>
      </c>
      <c r="I300" s="415"/>
      <c r="J300" s="416"/>
      <c r="K300" s="417"/>
      <c r="L300" s="218"/>
      <c r="M300" s="198"/>
      <c r="N300" s="195"/>
      <c r="O300" s="146" t="s">
        <v>813</v>
      </c>
      <c r="P300" s="233">
        <v>-0.1</v>
      </c>
      <c r="Q300" s="180">
        <v>5.4866666666666668E-2</v>
      </c>
      <c r="R300" s="181">
        <v>1.7000000000000001E-2</v>
      </c>
      <c r="S300" s="228">
        <v>-1</v>
      </c>
      <c r="T300" s="156">
        <v>9.9299999999999999E-2</v>
      </c>
      <c r="U300" s="182">
        <v>-23.422515463917524</v>
      </c>
      <c r="V300" s="183">
        <v>91.8</v>
      </c>
      <c r="W300" s="230">
        <v>3</v>
      </c>
      <c r="X300" s="184">
        <v>70.267546391752575</v>
      </c>
      <c r="Y300" s="185" t="s">
        <v>814</v>
      </c>
      <c r="Z300" s="185"/>
    </row>
    <row r="301" spans="3:26" ht="24" x14ac:dyDescent="0.2">
      <c r="C301" s="91"/>
      <c r="D301" s="214">
        <v>45471</v>
      </c>
      <c r="E301" s="219">
        <v>2.5999999999999999E-2</v>
      </c>
      <c r="F301" s="219" t="s">
        <v>493</v>
      </c>
      <c r="G301" s="219">
        <v>2.8000000000000001E-2</v>
      </c>
      <c r="H301" s="216">
        <v>0.52083333333333337</v>
      </c>
      <c r="I301" s="415"/>
      <c r="J301" s="416"/>
      <c r="K301" s="417"/>
      <c r="L301" s="198"/>
      <c r="M301" s="198"/>
      <c r="N301" s="195"/>
      <c r="O301" s="146" t="s">
        <v>816</v>
      </c>
      <c r="P301" s="147"/>
      <c r="Q301" s="180"/>
      <c r="R301" s="181"/>
      <c r="S301" s="150"/>
      <c r="T301" s="147"/>
      <c r="U301" s="182"/>
      <c r="V301" s="183"/>
      <c r="W301" s="150"/>
      <c r="X301" s="184"/>
      <c r="Y301" s="185"/>
      <c r="Z301" s="185"/>
    </row>
    <row r="302" spans="3:26" ht="24" x14ac:dyDescent="0.2">
      <c r="C302" s="91"/>
      <c r="D302" s="214">
        <v>45443</v>
      </c>
      <c r="E302" s="219">
        <v>2.8000000000000001E-2</v>
      </c>
      <c r="F302" s="219" t="s">
        <v>666</v>
      </c>
      <c r="G302" s="219">
        <v>2.8000000000000001E-2</v>
      </c>
      <c r="H302" s="216">
        <v>0.52083333333333337</v>
      </c>
      <c r="I302" s="415"/>
      <c r="J302" s="416"/>
      <c r="K302" s="417"/>
      <c r="L302" s="198"/>
      <c r="M302" s="198"/>
      <c r="N302" s="195"/>
      <c r="O302" s="91"/>
      <c r="P302" s="91"/>
      <c r="Q302" s="91"/>
      <c r="R302" s="91"/>
      <c r="S302" s="91"/>
      <c r="T302" s="91"/>
      <c r="U302" s="91"/>
      <c r="V302" s="91"/>
      <c r="W302" s="91"/>
      <c r="X302" s="91"/>
      <c r="Y302" s="91"/>
      <c r="Z302" s="91"/>
    </row>
    <row r="303" spans="3:26" ht="24" x14ac:dyDescent="0.2">
      <c r="C303" s="91"/>
      <c r="D303" s="214">
        <v>45408</v>
      </c>
      <c r="E303" s="219">
        <v>2.8000000000000001E-2</v>
      </c>
      <c r="F303" s="219" t="s">
        <v>493</v>
      </c>
      <c r="G303" s="219">
        <v>2.8000000000000001E-2</v>
      </c>
      <c r="H303" s="216">
        <v>0.52083333333333337</v>
      </c>
      <c r="I303" s="418"/>
      <c r="J303" s="419"/>
      <c r="K303" s="420"/>
      <c r="L303" s="198"/>
      <c r="M303" s="198"/>
      <c r="N303" s="195"/>
      <c r="O303" s="91"/>
      <c r="P303" s="91"/>
      <c r="Q303" s="91"/>
      <c r="R303" s="91"/>
      <c r="S303" s="91"/>
      <c r="T303" s="91"/>
      <c r="U303" s="91"/>
      <c r="V303" s="91"/>
      <c r="W303" s="91"/>
      <c r="X303" s="91"/>
      <c r="Y303" s="91"/>
      <c r="Z303" s="91"/>
    </row>
    <row r="304" spans="3:26" ht="72" x14ac:dyDescent="0.2">
      <c r="C304" s="91" t="s">
        <v>105</v>
      </c>
      <c r="D304" s="193" t="s">
        <v>30</v>
      </c>
      <c r="E304" s="430" t="s">
        <v>849</v>
      </c>
      <c r="F304" s="430"/>
      <c r="G304" s="430"/>
      <c r="H304" s="194" t="s">
        <v>790</v>
      </c>
      <c r="I304" s="431" t="s">
        <v>633</v>
      </c>
      <c r="J304" s="432"/>
      <c r="K304" s="433"/>
      <c r="L304" s="194" t="s">
        <v>430</v>
      </c>
      <c r="M304" s="194" t="s">
        <v>431</v>
      </c>
      <c r="N304" s="195" t="s">
        <v>105</v>
      </c>
      <c r="O304" s="145" t="s">
        <v>800</v>
      </c>
      <c r="P304" s="145" t="s">
        <v>801</v>
      </c>
      <c r="Q304" s="145" t="s">
        <v>802</v>
      </c>
      <c r="R304" s="145" t="s">
        <v>803</v>
      </c>
      <c r="S304" s="145" t="s">
        <v>804</v>
      </c>
      <c r="T304" s="145" t="s">
        <v>805</v>
      </c>
      <c r="U304" s="145" t="s">
        <v>806</v>
      </c>
      <c r="V304" s="145" t="s">
        <v>807</v>
      </c>
      <c r="W304" s="145" t="s">
        <v>808</v>
      </c>
      <c r="X304" s="145" t="s">
        <v>809</v>
      </c>
      <c r="Y304" s="145" t="s">
        <v>75</v>
      </c>
      <c r="Z304" s="145" t="s">
        <v>75</v>
      </c>
    </row>
    <row r="305" spans="3:26" ht="24" x14ac:dyDescent="0.2">
      <c r="C305" s="91"/>
      <c r="D305" s="196" t="s">
        <v>432</v>
      </c>
      <c r="E305" s="434"/>
      <c r="F305" s="434"/>
      <c r="G305" s="434"/>
      <c r="H305" s="197" t="s">
        <v>794</v>
      </c>
      <c r="I305" s="412" t="s">
        <v>850</v>
      </c>
      <c r="J305" s="413"/>
      <c r="K305" s="414"/>
      <c r="L305" s="198"/>
      <c r="M305" s="198"/>
      <c r="N305" s="195"/>
      <c r="O305" s="146" t="s">
        <v>810</v>
      </c>
      <c r="P305" s="147">
        <v>0.1</v>
      </c>
      <c r="Q305" s="148">
        <v>3.9E-2</v>
      </c>
      <c r="R305" s="149">
        <v>2.1000000000015007E-2</v>
      </c>
      <c r="S305" s="150"/>
      <c r="T305" s="146">
        <v>7.9500000000015003E-2</v>
      </c>
      <c r="U305" s="148">
        <v>-18.989999999999998</v>
      </c>
      <c r="V305" s="147">
        <v>91.8</v>
      </c>
      <c r="W305" s="150"/>
      <c r="X305" s="150"/>
      <c r="Y305" s="151"/>
      <c r="Z305" s="151"/>
    </row>
    <row r="306" spans="3:26" ht="24" x14ac:dyDescent="0.2">
      <c r="C306" s="91"/>
      <c r="D306" s="196" t="s">
        <v>433</v>
      </c>
      <c r="E306" s="435">
        <v>3.0000000000000001E-3</v>
      </c>
      <c r="F306" s="435"/>
      <c r="G306" s="435"/>
      <c r="H306" s="197" t="s">
        <v>795</v>
      </c>
      <c r="I306" s="415"/>
      <c r="J306" s="416"/>
      <c r="K306" s="417"/>
      <c r="L306" s="198"/>
      <c r="M306" s="198"/>
      <c r="N306" s="195"/>
      <c r="O306" s="152"/>
      <c r="P306" s="152"/>
      <c r="Q306" s="152"/>
      <c r="R306" s="153"/>
      <c r="S306" s="154"/>
      <c r="T306" s="152"/>
      <c r="U306" s="152"/>
      <c r="V306" s="152"/>
      <c r="W306" s="154"/>
      <c r="X306" s="154"/>
      <c r="Y306" s="155"/>
      <c r="Z306" s="155"/>
    </row>
    <row r="307" spans="3:26" ht="24" x14ac:dyDescent="0.2">
      <c r="C307" s="91"/>
      <c r="D307" s="196" t="s">
        <v>434</v>
      </c>
      <c r="E307" s="435">
        <v>1E-3</v>
      </c>
      <c r="F307" s="435"/>
      <c r="G307" s="435"/>
      <c r="H307" s="203"/>
      <c r="I307" s="415"/>
      <c r="J307" s="416"/>
      <c r="K307" s="417"/>
      <c r="L307" s="198"/>
      <c r="M307" s="198"/>
      <c r="N307" s="195"/>
      <c r="O307" s="156" t="s">
        <v>811</v>
      </c>
      <c r="P307" s="157">
        <v>0.1</v>
      </c>
      <c r="Q307" s="158">
        <v>7.22E-2</v>
      </c>
      <c r="R307" s="159">
        <v>1.4999999999999999E-2</v>
      </c>
      <c r="S307" s="160">
        <v>1</v>
      </c>
      <c r="T307" s="156">
        <v>0.12330000000000001</v>
      </c>
      <c r="U307" s="161">
        <v>-29.452415094334064</v>
      </c>
      <c r="V307" s="162">
        <v>91.8</v>
      </c>
      <c r="W307" s="163">
        <v>4.88</v>
      </c>
      <c r="X307" s="164">
        <v>143.72778566035024</v>
      </c>
      <c r="Y307" s="165"/>
      <c r="Z307" s="165">
        <v>4.4350000000000005</v>
      </c>
    </row>
    <row r="308" spans="3:26" ht="24" x14ac:dyDescent="0.2">
      <c r="C308" s="91"/>
      <c r="D308" s="196" t="s">
        <v>435</v>
      </c>
      <c r="E308" s="436">
        <v>0.52083333333333337</v>
      </c>
      <c r="F308" s="436"/>
      <c r="G308" s="436"/>
      <c r="H308" s="203"/>
      <c r="I308" s="415"/>
      <c r="J308" s="416"/>
      <c r="K308" s="417"/>
      <c r="L308" s="208">
        <v>0.75</v>
      </c>
      <c r="M308" s="208">
        <v>0.64583333333333337</v>
      </c>
      <c r="N308" s="195"/>
      <c r="O308" s="166" t="s">
        <v>812</v>
      </c>
      <c r="P308" s="167">
        <v>0.1</v>
      </c>
      <c r="Q308" s="168">
        <v>4.0533333333333338E-2</v>
      </c>
      <c r="R308" s="169">
        <v>1.4999999999999999E-2</v>
      </c>
      <c r="S308" s="170">
        <v>0.5</v>
      </c>
      <c r="T308" s="166">
        <v>7.5800000000000006E-2</v>
      </c>
      <c r="U308" s="171">
        <v>-9.0530943396209338</v>
      </c>
      <c r="V308" s="172">
        <v>91.8</v>
      </c>
      <c r="W308" s="173">
        <v>2.3650000000000002</v>
      </c>
      <c r="X308" s="174">
        <v>21.41056811320351</v>
      </c>
      <c r="Y308" s="175"/>
      <c r="Z308" s="175"/>
    </row>
    <row r="309" spans="3:26" ht="24" x14ac:dyDescent="0.2">
      <c r="C309" s="91"/>
      <c r="D309" s="196" t="s">
        <v>436</v>
      </c>
      <c r="E309" s="213" t="s">
        <v>29</v>
      </c>
      <c r="F309" s="213" t="s">
        <v>28</v>
      </c>
      <c r="G309" s="213" t="s">
        <v>27</v>
      </c>
      <c r="H309" s="203" t="s">
        <v>793</v>
      </c>
      <c r="I309" s="415"/>
      <c r="J309" s="416"/>
      <c r="K309" s="417"/>
      <c r="L309" s="198"/>
      <c r="M309" s="198"/>
      <c r="N309" s="195"/>
      <c r="O309" s="154"/>
      <c r="P309" s="176"/>
      <c r="Q309" s="154"/>
      <c r="R309" s="154"/>
      <c r="S309" s="154"/>
      <c r="T309" s="154"/>
      <c r="U309" s="177"/>
      <c r="V309" s="178"/>
      <c r="W309" s="154"/>
      <c r="X309" s="177"/>
      <c r="Y309" s="155"/>
      <c r="Z309" s="155"/>
    </row>
    <row r="310" spans="3:26" ht="24" x14ac:dyDescent="0.2">
      <c r="C310" s="91"/>
      <c r="D310" s="214">
        <v>45562</v>
      </c>
      <c r="E310" s="219">
        <v>1E-3</v>
      </c>
      <c r="F310" s="219" t="s">
        <v>460</v>
      </c>
      <c r="G310" s="219">
        <v>2E-3</v>
      </c>
      <c r="H310" s="216">
        <v>0.52083333333333337</v>
      </c>
      <c r="I310" s="415"/>
      <c r="J310" s="416"/>
      <c r="K310" s="417"/>
      <c r="L310" s="198"/>
      <c r="M310" s="198"/>
      <c r="N310" s="195"/>
      <c r="O310" s="179"/>
      <c r="P310" s="155"/>
      <c r="Q310" s="179"/>
      <c r="R310" s="179"/>
      <c r="S310" s="179"/>
      <c r="T310" s="179"/>
      <c r="U310" s="179"/>
      <c r="V310" s="179"/>
      <c r="W310" s="179"/>
      <c r="X310" s="179"/>
      <c r="Y310" s="155"/>
      <c r="Z310" s="155"/>
    </row>
    <row r="311" spans="3:26" ht="24" x14ac:dyDescent="0.2">
      <c r="C311" s="91"/>
      <c r="D311" s="214">
        <v>45534</v>
      </c>
      <c r="E311" s="219">
        <v>2E-3</v>
      </c>
      <c r="F311" s="219" t="s">
        <v>460</v>
      </c>
      <c r="G311" s="219">
        <v>2E-3</v>
      </c>
      <c r="H311" s="216">
        <v>0.52083333333333337</v>
      </c>
      <c r="I311" s="415"/>
      <c r="J311" s="416"/>
      <c r="K311" s="417"/>
      <c r="L311" s="198"/>
      <c r="M311" s="198"/>
      <c r="N311" s="195"/>
      <c r="O311" s="146" t="s">
        <v>813</v>
      </c>
      <c r="P311" s="147">
        <v>0.25</v>
      </c>
      <c r="Q311" s="180">
        <v>4.0533333333333338E-2</v>
      </c>
      <c r="R311" s="181">
        <v>1.4999999999999999E-2</v>
      </c>
      <c r="S311" s="150">
        <v>0.5</v>
      </c>
      <c r="T311" s="147">
        <v>7.5800000000000006E-2</v>
      </c>
      <c r="U311" s="182">
        <v>-22.632735849052334</v>
      </c>
      <c r="V311" s="183">
        <v>229.5</v>
      </c>
      <c r="W311" s="150">
        <v>2</v>
      </c>
      <c r="X311" s="184">
        <v>45.265471698104669</v>
      </c>
      <c r="Y311" s="185" t="s">
        <v>814</v>
      </c>
      <c r="Z311" s="185"/>
    </row>
    <row r="312" spans="3:26" ht="24" x14ac:dyDescent="0.2">
      <c r="C312" s="91"/>
      <c r="D312" s="214">
        <v>45499</v>
      </c>
      <c r="E312" s="219">
        <v>2E-3</v>
      </c>
      <c r="F312" s="219" t="s">
        <v>460</v>
      </c>
      <c r="G312" s="219">
        <v>1E-3</v>
      </c>
      <c r="H312" s="216">
        <v>0.52083333333333337</v>
      </c>
      <c r="I312" s="415"/>
      <c r="J312" s="416"/>
      <c r="K312" s="417"/>
      <c r="L312" s="218"/>
      <c r="M312" s="198"/>
      <c r="N312" s="195"/>
      <c r="O312" s="146" t="s">
        <v>813</v>
      </c>
      <c r="P312" s="147">
        <v>0.25</v>
      </c>
      <c r="Q312" s="180">
        <v>4.0533333333333338E-2</v>
      </c>
      <c r="R312" s="181">
        <v>1.4999999999999999E-2</v>
      </c>
      <c r="S312" s="150">
        <v>0.5</v>
      </c>
      <c r="T312" s="147">
        <v>7.5800000000000006E-2</v>
      </c>
      <c r="U312" s="182">
        <v>-22.349278350515466</v>
      </c>
      <c r="V312" s="183">
        <v>229.5</v>
      </c>
      <c r="W312" s="150">
        <v>2</v>
      </c>
      <c r="X312" s="184">
        <v>44.698556701030931</v>
      </c>
      <c r="Y312" s="185"/>
      <c r="Z312" s="185"/>
    </row>
    <row r="313" spans="3:26" ht="24" x14ac:dyDescent="0.2">
      <c r="C313" s="91"/>
      <c r="D313" s="214">
        <v>45471</v>
      </c>
      <c r="E313" s="219">
        <v>1E-3</v>
      </c>
      <c r="F313" s="219" t="s">
        <v>462</v>
      </c>
      <c r="G313" s="219">
        <v>3.0000000000000001E-3</v>
      </c>
      <c r="H313" s="216">
        <v>0.52083333333333337</v>
      </c>
      <c r="I313" s="415"/>
      <c r="J313" s="416"/>
      <c r="K313" s="417"/>
      <c r="L313" s="198"/>
      <c r="M313" s="198"/>
      <c r="N313" s="195"/>
      <c r="O313" s="146" t="s">
        <v>816</v>
      </c>
      <c r="P313" s="147"/>
      <c r="Q313" s="180"/>
      <c r="R313" s="181"/>
      <c r="S313" s="150"/>
      <c r="T313" s="147"/>
      <c r="U313" s="182">
        <v>-22.349278350515466</v>
      </c>
      <c r="V313" s="183"/>
      <c r="W313" s="150"/>
      <c r="X313" s="184">
        <v>44.698556701030931</v>
      </c>
      <c r="Y313" s="185"/>
      <c r="Z313" s="185"/>
    </row>
    <row r="314" spans="3:26" ht="24" x14ac:dyDescent="0.2">
      <c r="C314" s="91"/>
      <c r="D314" s="214">
        <v>45443</v>
      </c>
      <c r="E314" s="219">
        <v>2E-3</v>
      </c>
      <c r="F314" s="219" t="s">
        <v>467</v>
      </c>
      <c r="G314" s="219">
        <v>3.0000000000000001E-3</v>
      </c>
      <c r="H314" s="216">
        <v>0.52083333333333337</v>
      </c>
      <c r="I314" s="415"/>
      <c r="J314" s="416"/>
      <c r="K314" s="417"/>
      <c r="L314" s="198"/>
      <c r="M314" s="198"/>
      <c r="N314" s="195"/>
      <c r="O314" s="91"/>
      <c r="P314" s="91"/>
      <c r="Q314" s="91"/>
      <c r="R314" s="91"/>
      <c r="S314" s="91"/>
      <c r="T314" s="91"/>
      <c r="U314" s="91"/>
      <c r="V314" s="91"/>
      <c r="W314" s="91"/>
      <c r="X314" s="91"/>
      <c r="Y314" s="91"/>
      <c r="Z314" s="91"/>
    </row>
    <row r="315" spans="3:26" ht="24" x14ac:dyDescent="0.2">
      <c r="C315" s="91"/>
      <c r="D315" s="214">
        <v>45408</v>
      </c>
      <c r="E315" s="219">
        <v>3.0000000000000001E-3</v>
      </c>
      <c r="F315" s="219" t="s">
        <v>467</v>
      </c>
      <c r="G315" s="219">
        <v>3.0000000000000001E-3</v>
      </c>
      <c r="H315" s="216">
        <v>0.52083333333333337</v>
      </c>
      <c r="I315" s="418"/>
      <c r="J315" s="419"/>
      <c r="K315" s="420"/>
      <c r="L315" s="198"/>
      <c r="M315" s="198"/>
      <c r="N315" s="195"/>
      <c r="O315" s="91"/>
      <c r="P315" s="91"/>
      <c r="Q315" s="91"/>
      <c r="R315" s="91"/>
      <c r="S315" s="91"/>
      <c r="T315" s="91"/>
      <c r="U315" s="91"/>
      <c r="V315" s="91"/>
      <c r="W315" s="91"/>
      <c r="X315" s="91"/>
      <c r="Y315" s="91"/>
      <c r="Z315" s="91"/>
    </row>
    <row r="316" spans="3:26" ht="72" x14ac:dyDescent="0.2">
      <c r="C316" s="91" t="s">
        <v>105</v>
      </c>
      <c r="D316" s="193" t="s">
        <v>30</v>
      </c>
      <c r="E316" s="430" t="s">
        <v>14</v>
      </c>
      <c r="F316" s="430"/>
      <c r="G316" s="430"/>
      <c r="H316" s="194" t="s">
        <v>790</v>
      </c>
      <c r="I316" s="431" t="s">
        <v>633</v>
      </c>
      <c r="J316" s="432"/>
      <c r="K316" s="433"/>
      <c r="L316" s="194" t="s">
        <v>430</v>
      </c>
      <c r="M316" s="194" t="s">
        <v>431</v>
      </c>
      <c r="N316" s="195" t="s">
        <v>105</v>
      </c>
      <c r="O316" s="145" t="s">
        <v>800</v>
      </c>
      <c r="P316" s="145" t="s">
        <v>801</v>
      </c>
      <c r="Q316" s="145" t="s">
        <v>802</v>
      </c>
      <c r="R316" s="145" t="s">
        <v>803</v>
      </c>
      <c r="S316" s="145" t="s">
        <v>804</v>
      </c>
      <c r="T316" s="145" t="s">
        <v>805</v>
      </c>
      <c r="U316" s="145" t="s">
        <v>806</v>
      </c>
      <c r="V316" s="145" t="s">
        <v>807</v>
      </c>
      <c r="W316" s="145" t="s">
        <v>808</v>
      </c>
      <c r="X316" s="145" t="s">
        <v>809</v>
      </c>
      <c r="Y316" s="145" t="s">
        <v>75</v>
      </c>
      <c r="Z316" s="145" t="s">
        <v>75</v>
      </c>
    </row>
    <row r="317" spans="3:26" ht="24" x14ac:dyDescent="0.2">
      <c r="C317" s="91"/>
      <c r="D317" s="196" t="s">
        <v>432</v>
      </c>
      <c r="E317" s="434"/>
      <c r="F317" s="434"/>
      <c r="G317" s="434"/>
      <c r="H317" s="197" t="s">
        <v>794</v>
      </c>
      <c r="I317" s="412" t="s">
        <v>851</v>
      </c>
      <c r="J317" s="413"/>
      <c r="K317" s="414"/>
      <c r="L317" s="198"/>
      <c r="M317" s="198"/>
      <c r="N317" s="195"/>
      <c r="O317" s="146" t="s">
        <v>810</v>
      </c>
      <c r="P317" s="147">
        <v>0.1</v>
      </c>
      <c r="Q317" s="148">
        <v>3.9E-2</v>
      </c>
      <c r="R317" s="149">
        <v>2.1000000000015007E-2</v>
      </c>
      <c r="S317" s="150"/>
      <c r="T317" s="146">
        <v>7.9500000000015003E-2</v>
      </c>
      <c r="U317" s="148">
        <v>-18.989999999999998</v>
      </c>
      <c r="V317" s="147">
        <v>91.8</v>
      </c>
      <c r="W317" s="150"/>
      <c r="X317" s="150"/>
      <c r="Y317" s="151"/>
      <c r="Z317" s="151"/>
    </row>
    <row r="318" spans="3:26" ht="24" x14ac:dyDescent="0.2">
      <c r="C318" s="91"/>
      <c r="D318" s="196" t="s">
        <v>433</v>
      </c>
      <c r="E318" s="442" t="s">
        <v>268</v>
      </c>
      <c r="F318" s="442"/>
      <c r="G318" s="442"/>
      <c r="H318" s="197" t="s">
        <v>795</v>
      </c>
      <c r="I318" s="415"/>
      <c r="J318" s="416"/>
      <c r="K318" s="417"/>
      <c r="L318" s="198"/>
      <c r="M318" s="198"/>
      <c r="N318" s="195"/>
      <c r="O318" s="152"/>
      <c r="P318" s="152"/>
      <c r="Q318" s="152"/>
      <c r="R318" s="153"/>
      <c r="S318" s="154"/>
      <c r="T318" s="152"/>
      <c r="U318" s="152"/>
      <c r="V318" s="152"/>
      <c r="W318" s="154"/>
      <c r="X318" s="154"/>
      <c r="Y318" s="155"/>
      <c r="Z318" s="155"/>
    </row>
    <row r="319" spans="3:26" ht="24" x14ac:dyDescent="0.2">
      <c r="C319" s="91"/>
      <c r="D319" s="196" t="s">
        <v>434</v>
      </c>
      <c r="E319" s="445" t="s">
        <v>209</v>
      </c>
      <c r="F319" s="445"/>
      <c r="G319" s="445"/>
      <c r="H319" s="203"/>
      <c r="I319" s="415"/>
      <c r="J319" s="416"/>
      <c r="K319" s="417"/>
      <c r="L319" s="198"/>
      <c r="M319" s="198"/>
      <c r="N319" s="195"/>
      <c r="O319" s="156" t="s">
        <v>811</v>
      </c>
      <c r="P319" s="157">
        <v>0.1</v>
      </c>
      <c r="Q319" s="158">
        <v>7.22E-2</v>
      </c>
      <c r="R319" s="159">
        <v>1.4999999999999999E-2</v>
      </c>
      <c r="S319" s="160">
        <v>1</v>
      </c>
      <c r="T319" s="156">
        <v>0.12330000000000001</v>
      </c>
      <c r="U319" s="161">
        <v>-29.452415094334064</v>
      </c>
      <c r="V319" s="162">
        <v>91.8</v>
      </c>
      <c r="W319" s="163">
        <v>4.88</v>
      </c>
      <c r="X319" s="164">
        <v>143.72778566035024</v>
      </c>
      <c r="Y319" s="165"/>
      <c r="Z319" s="165">
        <v>4.4350000000000005</v>
      </c>
    </row>
    <row r="320" spans="3:26" ht="24" x14ac:dyDescent="0.2">
      <c r="C320" s="91"/>
      <c r="D320" s="196" t="s">
        <v>435</v>
      </c>
      <c r="E320" s="436">
        <v>0.52083333333333337</v>
      </c>
      <c r="F320" s="436"/>
      <c r="G320" s="436"/>
      <c r="H320" s="203"/>
      <c r="I320" s="415"/>
      <c r="J320" s="416"/>
      <c r="K320" s="417"/>
      <c r="L320" s="208">
        <v>0.75</v>
      </c>
      <c r="M320" s="208">
        <v>0.64583333333333337</v>
      </c>
      <c r="N320" s="195"/>
      <c r="O320" s="166" t="s">
        <v>812</v>
      </c>
      <c r="P320" s="167">
        <v>0.1</v>
      </c>
      <c r="Q320" s="168">
        <v>4.0533333333333338E-2</v>
      </c>
      <c r="R320" s="169">
        <v>1.4999999999999999E-2</v>
      </c>
      <c r="S320" s="170">
        <v>0.5</v>
      </c>
      <c r="T320" s="166">
        <v>7.5800000000000006E-2</v>
      </c>
      <c r="U320" s="171">
        <v>-9.0530943396209338</v>
      </c>
      <c r="V320" s="172">
        <v>91.8</v>
      </c>
      <c r="W320" s="173">
        <v>2.3650000000000002</v>
      </c>
      <c r="X320" s="174">
        <v>21.41056811320351</v>
      </c>
      <c r="Y320" s="175"/>
      <c r="Z320" s="175"/>
    </row>
    <row r="321" spans="3:26" ht="24" x14ac:dyDescent="0.2">
      <c r="C321" s="91"/>
      <c r="D321" s="196" t="s">
        <v>436</v>
      </c>
      <c r="E321" s="213" t="s">
        <v>29</v>
      </c>
      <c r="F321" s="213" t="s">
        <v>28</v>
      </c>
      <c r="G321" s="213" t="s">
        <v>27</v>
      </c>
      <c r="H321" s="203" t="s">
        <v>793</v>
      </c>
      <c r="I321" s="415"/>
      <c r="J321" s="416"/>
      <c r="K321" s="417"/>
      <c r="L321" s="198"/>
      <c r="M321" s="198"/>
      <c r="N321" s="195"/>
      <c r="O321" s="154"/>
      <c r="P321" s="176"/>
      <c r="Q321" s="154"/>
      <c r="R321" s="154"/>
      <c r="S321" s="154"/>
      <c r="T321" s="154"/>
      <c r="U321" s="177"/>
      <c r="V321" s="178"/>
      <c r="W321" s="154"/>
      <c r="X321" s="177"/>
      <c r="Y321" s="155"/>
      <c r="Z321" s="155"/>
    </row>
    <row r="322" spans="3:26" ht="24" x14ac:dyDescent="0.2">
      <c r="C322" s="91"/>
      <c r="D322" s="214">
        <v>45589</v>
      </c>
      <c r="E322" s="236" t="s">
        <v>209</v>
      </c>
      <c r="F322" s="236" t="s">
        <v>896</v>
      </c>
      <c r="G322" s="236" t="s">
        <v>897</v>
      </c>
      <c r="H322" s="216">
        <v>0.52083333333333337</v>
      </c>
      <c r="I322" s="415"/>
      <c r="J322" s="416"/>
      <c r="K322" s="417"/>
      <c r="L322" s="198"/>
      <c r="M322" s="198"/>
      <c r="N322" s="195"/>
      <c r="O322" s="179"/>
      <c r="P322" s="155"/>
      <c r="Q322" s="179"/>
      <c r="R322" s="179"/>
      <c r="S322" s="179"/>
      <c r="T322" s="179"/>
      <c r="U322" s="179"/>
      <c r="V322" s="179"/>
      <c r="W322" s="179"/>
      <c r="X322" s="179"/>
      <c r="Y322" s="155"/>
      <c r="Z322" s="155"/>
    </row>
    <row r="323" spans="3:26" ht="24" x14ac:dyDescent="0.2">
      <c r="C323" s="91"/>
      <c r="D323" s="214">
        <v>45582</v>
      </c>
      <c r="E323" s="236" t="s">
        <v>171</v>
      </c>
      <c r="F323" s="236" t="s">
        <v>898</v>
      </c>
      <c r="G323" s="236" t="s">
        <v>692</v>
      </c>
      <c r="H323" s="216">
        <v>0.52083333333333337</v>
      </c>
      <c r="I323" s="415"/>
      <c r="J323" s="416"/>
      <c r="K323" s="417"/>
      <c r="L323" s="198"/>
      <c r="M323" s="198"/>
      <c r="N323" s="195"/>
      <c r="O323" s="146" t="s">
        <v>813</v>
      </c>
      <c r="P323" s="147">
        <v>0.25</v>
      </c>
      <c r="Q323" s="180">
        <v>4.0533333333333338E-2</v>
      </c>
      <c r="R323" s="181">
        <v>1.4999999999999999E-2</v>
      </c>
      <c r="S323" s="150">
        <v>0.5</v>
      </c>
      <c r="T323" s="147">
        <v>7.5800000000000006E-2</v>
      </c>
      <c r="U323" s="182">
        <v>-22.632735849052334</v>
      </c>
      <c r="V323" s="183">
        <v>229.5</v>
      </c>
      <c r="W323" s="150">
        <v>2</v>
      </c>
      <c r="X323" s="184">
        <v>45.265471698104669</v>
      </c>
      <c r="Y323" s="185" t="s">
        <v>814</v>
      </c>
      <c r="Z323" s="185"/>
    </row>
    <row r="324" spans="3:26" ht="24" x14ac:dyDescent="0.2">
      <c r="C324" s="91"/>
      <c r="D324" s="214">
        <v>45575</v>
      </c>
      <c r="E324" s="236" t="s">
        <v>678</v>
      </c>
      <c r="F324" s="236" t="s">
        <v>580</v>
      </c>
      <c r="G324" s="236" t="s">
        <v>638</v>
      </c>
      <c r="H324" s="216">
        <v>0.52083333333333337</v>
      </c>
      <c r="I324" s="415"/>
      <c r="J324" s="416"/>
      <c r="K324" s="417"/>
      <c r="L324" s="218"/>
      <c r="M324" s="198"/>
      <c r="N324" s="195"/>
      <c r="O324" s="146" t="s">
        <v>813</v>
      </c>
      <c r="P324" s="147">
        <v>0.25</v>
      </c>
      <c r="Q324" s="180">
        <v>4.0533333333333338E-2</v>
      </c>
      <c r="R324" s="181">
        <v>1.4999999999999999E-2</v>
      </c>
      <c r="S324" s="150">
        <v>0.5</v>
      </c>
      <c r="T324" s="147">
        <v>7.5800000000000006E-2</v>
      </c>
      <c r="U324" s="182">
        <v>-22.349278350515466</v>
      </c>
      <c r="V324" s="183">
        <v>229.5</v>
      </c>
      <c r="W324" s="150">
        <v>2</v>
      </c>
      <c r="X324" s="184">
        <v>44.698556701030931</v>
      </c>
      <c r="Y324" s="185"/>
      <c r="Z324" s="185"/>
    </row>
    <row r="325" spans="3:26" ht="24" x14ac:dyDescent="0.2">
      <c r="C325" s="91"/>
      <c r="D325" s="214">
        <v>45568</v>
      </c>
      <c r="E325" s="236" t="s">
        <v>638</v>
      </c>
      <c r="F325" s="236" t="s">
        <v>734</v>
      </c>
      <c r="G325" s="236" t="s">
        <v>345</v>
      </c>
      <c r="H325" s="216">
        <v>0.52083333333333337</v>
      </c>
      <c r="I325" s="415"/>
      <c r="J325" s="416"/>
      <c r="K325" s="417"/>
      <c r="L325" s="198"/>
      <c r="M325" s="198"/>
      <c r="N325" s="195"/>
      <c r="O325" s="146" t="s">
        <v>816</v>
      </c>
      <c r="P325" s="147"/>
      <c r="Q325" s="180"/>
      <c r="R325" s="181"/>
      <c r="S325" s="150"/>
      <c r="T325" s="147"/>
      <c r="U325" s="182">
        <v>-22.349278350515466</v>
      </c>
      <c r="V325" s="183"/>
      <c r="W325" s="150"/>
      <c r="X325" s="184">
        <v>44.698556701030931</v>
      </c>
      <c r="Y325" s="185"/>
      <c r="Z325" s="185"/>
    </row>
    <row r="326" spans="3:26" ht="24" x14ac:dyDescent="0.2">
      <c r="C326" s="91"/>
      <c r="D326" s="214">
        <v>45561</v>
      </c>
      <c r="E326" s="236" t="s">
        <v>382</v>
      </c>
      <c r="F326" s="236" t="s">
        <v>574</v>
      </c>
      <c r="G326" s="236" t="s">
        <v>72</v>
      </c>
      <c r="H326" s="216">
        <v>0.52083333333333337</v>
      </c>
      <c r="I326" s="415"/>
      <c r="J326" s="416"/>
      <c r="K326" s="417"/>
      <c r="L326" s="198"/>
      <c r="M326" s="198"/>
      <c r="N326" s="195"/>
      <c r="O326" s="91"/>
      <c r="P326" s="91"/>
      <c r="Q326" s="91"/>
      <c r="R326" s="91"/>
      <c r="S326" s="91"/>
      <c r="T326" s="91"/>
      <c r="U326" s="91"/>
      <c r="V326" s="91"/>
      <c r="W326" s="91"/>
      <c r="X326" s="91"/>
      <c r="Y326" s="91"/>
      <c r="Z326" s="91"/>
    </row>
    <row r="327" spans="3:26" ht="24" x14ac:dyDescent="0.2">
      <c r="C327" s="91"/>
      <c r="D327" s="214">
        <v>45554</v>
      </c>
      <c r="E327" s="236" t="s">
        <v>345</v>
      </c>
      <c r="F327" s="236" t="s">
        <v>576</v>
      </c>
      <c r="G327" s="236" t="s">
        <v>268</v>
      </c>
      <c r="H327" s="216">
        <v>0.52083333333333337</v>
      </c>
      <c r="I327" s="418"/>
      <c r="J327" s="419"/>
      <c r="K327" s="420"/>
      <c r="L327" s="198"/>
      <c r="M327" s="198"/>
      <c r="N327" s="195"/>
      <c r="O327" s="91"/>
      <c r="P327" s="91"/>
      <c r="Q327" s="91"/>
      <c r="R327" s="91"/>
      <c r="S327" s="91"/>
      <c r="T327" s="91"/>
      <c r="U327" s="91"/>
      <c r="V327" s="91"/>
      <c r="W327" s="91"/>
      <c r="X327" s="91"/>
      <c r="Y327" s="91"/>
      <c r="Z327" s="91"/>
    </row>
    <row r="328" spans="3:26" ht="72" x14ac:dyDescent="0.2">
      <c r="C328" s="91" t="s">
        <v>105</v>
      </c>
      <c r="D328" s="193" t="s">
        <v>30</v>
      </c>
      <c r="E328" s="430" t="s">
        <v>852</v>
      </c>
      <c r="F328" s="430"/>
      <c r="G328" s="430"/>
      <c r="H328" s="194" t="s">
        <v>790</v>
      </c>
      <c r="I328" s="431" t="s">
        <v>633</v>
      </c>
      <c r="J328" s="432"/>
      <c r="K328" s="433"/>
      <c r="L328" s="194" t="s">
        <v>430</v>
      </c>
      <c r="M328" s="194" t="s">
        <v>431</v>
      </c>
      <c r="N328" s="195" t="s">
        <v>105</v>
      </c>
      <c r="O328" s="145" t="s">
        <v>800</v>
      </c>
      <c r="P328" s="145" t="s">
        <v>801</v>
      </c>
      <c r="Q328" s="145" t="s">
        <v>802</v>
      </c>
      <c r="R328" s="145" t="s">
        <v>803</v>
      </c>
      <c r="S328" s="145" t="s">
        <v>804</v>
      </c>
      <c r="T328" s="145" t="s">
        <v>805</v>
      </c>
      <c r="U328" s="145" t="s">
        <v>806</v>
      </c>
      <c r="V328" s="145" t="s">
        <v>807</v>
      </c>
      <c r="W328" s="145" t="s">
        <v>808</v>
      </c>
      <c r="X328" s="145" t="s">
        <v>809</v>
      </c>
      <c r="Y328" s="145" t="s">
        <v>75</v>
      </c>
      <c r="Z328" s="145" t="s">
        <v>75</v>
      </c>
    </row>
    <row r="329" spans="3:26" ht="24" x14ac:dyDescent="0.2">
      <c r="C329" s="91"/>
      <c r="D329" s="196" t="s">
        <v>432</v>
      </c>
      <c r="E329" s="434"/>
      <c r="F329" s="434"/>
      <c r="G329" s="434"/>
      <c r="H329" s="197" t="s">
        <v>794</v>
      </c>
      <c r="I329" s="412" t="s">
        <v>853</v>
      </c>
      <c r="J329" s="413"/>
      <c r="K329" s="414"/>
      <c r="L329" s="198"/>
      <c r="M329" s="198"/>
      <c r="N329" s="195"/>
      <c r="O329" s="146" t="s">
        <v>810</v>
      </c>
      <c r="P329" s="147">
        <v>0.1</v>
      </c>
      <c r="Q329" s="148">
        <v>3.9E-2</v>
      </c>
      <c r="R329" s="149">
        <v>2.1000000000015007E-2</v>
      </c>
      <c r="S329" s="150"/>
      <c r="T329" s="146">
        <v>7.9500000000015003E-2</v>
      </c>
      <c r="U329" s="148">
        <v>-18.989999999999998</v>
      </c>
      <c r="V329" s="147">
        <v>91.8</v>
      </c>
      <c r="W329" s="150"/>
      <c r="X329" s="150"/>
      <c r="Y329" s="151"/>
      <c r="Z329" s="151"/>
    </row>
    <row r="330" spans="3:26" ht="24" x14ac:dyDescent="0.2">
      <c r="C330" s="91"/>
      <c r="D330" s="196" t="s">
        <v>433</v>
      </c>
      <c r="E330" s="440">
        <v>47.1</v>
      </c>
      <c r="F330" s="440"/>
      <c r="G330" s="440"/>
      <c r="H330" s="197" t="s">
        <v>795</v>
      </c>
      <c r="I330" s="415"/>
      <c r="J330" s="416"/>
      <c r="K330" s="417"/>
      <c r="L330" s="198"/>
      <c r="M330" s="198"/>
      <c r="N330" s="195"/>
      <c r="O330" s="152"/>
      <c r="P330" s="152"/>
      <c r="Q330" s="152"/>
      <c r="R330" s="153"/>
      <c r="S330" s="154"/>
      <c r="T330" s="152"/>
      <c r="U330" s="152"/>
      <c r="V330" s="152"/>
      <c r="W330" s="154"/>
      <c r="X330" s="154"/>
      <c r="Y330" s="155"/>
      <c r="Z330" s="155"/>
    </row>
    <row r="331" spans="3:26" ht="24" x14ac:dyDescent="0.2">
      <c r="C331" s="91"/>
      <c r="D331" s="196" t="s">
        <v>434</v>
      </c>
      <c r="E331" s="440">
        <v>46.6</v>
      </c>
      <c r="F331" s="440"/>
      <c r="G331" s="440"/>
      <c r="H331" s="203"/>
      <c r="I331" s="415"/>
      <c r="J331" s="416"/>
      <c r="K331" s="417"/>
      <c r="L331" s="198"/>
      <c r="M331" s="198"/>
      <c r="N331" s="195"/>
      <c r="O331" s="156" t="s">
        <v>811</v>
      </c>
      <c r="P331" s="157">
        <v>0.1</v>
      </c>
      <c r="Q331" s="158">
        <v>7.22E-2</v>
      </c>
      <c r="R331" s="159">
        <v>1.4999999999999999E-2</v>
      </c>
      <c r="S331" s="160">
        <v>1</v>
      </c>
      <c r="T331" s="156">
        <v>0.12330000000000001</v>
      </c>
      <c r="U331" s="161">
        <v>-29.452415094334064</v>
      </c>
      <c r="V331" s="162">
        <v>91.8</v>
      </c>
      <c r="W331" s="163">
        <v>4.88</v>
      </c>
      <c r="X331" s="164">
        <v>143.72778566035024</v>
      </c>
      <c r="Y331" s="165"/>
      <c r="Z331" s="165">
        <v>4.4350000000000005</v>
      </c>
    </row>
    <row r="332" spans="3:26" ht="24" x14ac:dyDescent="0.2">
      <c r="C332" s="91"/>
      <c r="D332" s="196" t="s">
        <v>435</v>
      </c>
      <c r="E332" s="436">
        <v>0.57291666666666674</v>
      </c>
      <c r="F332" s="436"/>
      <c r="G332" s="436"/>
      <c r="H332" s="203"/>
      <c r="I332" s="415"/>
      <c r="J332" s="416"/>
      <c r="K332" s="417"/>
      <c r="L332" s="208">
        <v>0.80208333333333337</v>
      </c>
      <c r="M332" s="208">
        <v>0.69791666666666674</v>
      </c>
      <c r="N332" s="195"/>
      <c r="O332" s="166" t="s">
        <v>812</v>
      </c>
      <c r="P332" s="167">
        <v>0.1</v>
      </c>
      <c r="Q332" s="168">
        <v>4.0533333333333338E-2</v>
      </c>
      <c r="R332" s="169">
        <v>1.4999999999999999E-2</v>
      </c>
      <c r="S332" s="170">
        <v>0.5</v>
      </c>
      <c r="T332" s="166">
        <v>7.5800000000000006E-2</v>
      </c>
      <c r="U332" s="171">
        <v>-9.0530943396209338</v>
      </c>
      <c r="V332" s="172">
        <v>91.8</v>
      </c>
      <c r="W332" s="173">
        <v>2.3650000000000002</v>
      </c>
      <c r="X332" s="174">
        <v>21.41056811320351</v>
      </c>
      <c r="Y332" s="175"/>
      <c r="Z332" s="175"/>
    </row>
    <row r="333" spans="3:26" ht="24" x14ac:dyDescent="0.2">
      <c r="C333" s="91"/>
      <c r="D333" s="196" t="s">
        <v>436</v>
      </c>
      <c r="E333" s="213" t="s">
        <v>29</v>
      </c>
      <c r="F333" s="213" t="s">
        <v>28</v>
      </c>
      <c r="G333" s="213" t="s">
        <v>27</v>
      </c>
      <c r="H333" s="203" t="s">
        <v>793</v>
      </c>
      <c r="I333" s="415"/>
      <c r="J333" s="416"/>
      <c r="K333" s="417"/>
      <c r="L333" s="198"/>
      <c r="M333" s="198"/>
      <c r="N333" s="195"/>
      <c r="O333" s="154"/>
      <c r="P333" s="176"/>
      <c r="Q333" s="154"/>
      <c r="R333" s="154"/>
      <c r="S333" s="154"/>
      <c r="T333" s="154"/>
      <c r="U333" s="177"/>
      <c r="V333" s="178"/>
      <c r="W333" s="154"/>
      <c r="X333" s="177"/>
      <c r="Y333" s="155"/>
      <c r="Z333" s="155"/>
    </row>
    <row r="334" spans="3:26" ht="24" x14ac:dyDescent="0.2">
      <c r="C334" s="91"/>
      <c r="D334" s="214">
        <v>45565</v>
      </c>
      <c r="E334" s="232">
        <v>46.6</v>
      </c>
      <c r="F334" s="232" t="s">
        <v>899</v>
      </c>
      <c r="G334" s="232">
        <v>46.1</v>
      </c>
      <c r="H334" s="216">
        <v>0.57291666666666674</v>
      </c>
      <c r="I334" s="415"/>
      <c r="J334" s="416"/>
      <c r="K334" s="417"/>
      <c r="L334" s="198"/>
      <c r="M334" s="198"/>
      <c r="N334" s="195"/>
      <c r="O334" s="179"/>
      <c r="P334" s="155"/>
      <c r="Q334" s="179"/>
      <c r="R334" s="179"/>
      <c r="S334" s="179"/>
      <c r="T334" s="179"/>
      <c r="U334" s="179"/>
      <c r="V334" s="179"/>
      <c r="W334" s="179"/>
      <c r="X334" s="179"/>
      <c r="Y334" s="155"/>
      <c r="Z334" s="155"/>
    </row>
    <row r="335" spans="3:26" ht="24" x14ac:dyDescent="0.2">
      <c r="C335" s="91"/>
      <c r="D335" s="214">
        <v>45534</v>
      </c>
      <c r="E335" s="232">
        <v>46.1</v>
      </c>
      <c r="F335" s="232" t="s">
        <v>473</v>
      </c>
      <c r="G335" s="232">
        <v>45.3</v>
      </c>
      <c r="H335" s="216">
        <v>0.57291666666666674</v>
      </c>
      <c r="I335" s="415"/>
      <c r="J335" s="416"/>
      <c r="K335" s="417"/>
      <c r="L335" s="198"/>
      <c r="M335" s="198"/>
      <c r="N335" s="195"/>
      <c r="O335" s="146" t="s">
        <v>813</v>
      </c>
      <c r="P335" s="147">
        <v>0.25</v>
      </c>
      <c r="Q335" s="180">
        <v>4.0533333333333338E-2</v>
      </c>
      <c r="R335" s="181">
        <v>1.4999999999999999E-2</v>
      </c>
      <c r="S335" s="150">
        <v>0.5</v>
      </c>
      <c r="T335" s="147">
        <v>7.5800000000000006E-2</v>
      </c>
      <c r="U335" s="182">
        <v>-22.632735849052334</v>
      </c>
      <c r="V335" s="183">
        <v>229.5</v>
      </c>
      <c r="W335" s="150">
        <v>2</v>
      </c>
      <c r="X335" s="184">
        <v>45.265471698104669</v>
      </c>
      <c r="Y335" s="185" t="s">
        <v>814</v>
      </c>
      <c r="Z335" s="185"/>
    </row>
    <row r="336" spans="3:26" ht="24" x14ac:dyDescent="0.2">
      <c r="C336" s="91"/>
      <c r="D336" s="214">
        <v>45504</v>
      </c>
      <c r="E336" s="232">
        <v>45.3</v>
      </c>
      <c r="F336" s="232" t="s">
        <v>474</v>
      </c>
      <c r="G336" s="232">
        <v>47.4</v>
      </c>
      <c r="H336" s="216">
        <v>0.57291666666666674</v>
      </c>
      <c r="I336" s="415"/>
      <c r="J336" s="416"/>
      <c r="K336" s="417"/>
      <c r="L336" s="218"/>
      <c r="M336" s="198"/>
      <c r="N336" s="195"/>
      <c r="O336" s="146" t="s">
        <v>813</v>
      </c>
      <c r="P336" s="147">
        <v>0.25</v>
      </c>
      <c r="Q336" s="180">
        <v>4.0533333333333338E-2</v>
      </c>
      <c r="R336" s="181">
        <v>1.4999999999999999E-2</v>
      </c>
      <c r="S336" s="150">
        <v>0.5</v>
      </c>
      <c r="T336" s="147">
        <v>7.5800000000000006E-2</v>
      </c>
      <c r="U336" s="182">
        <v>-22.349278350515466</v>
      </c>
      <c r="V336" s="183">
        <v>229.5</v>
      </c>
      <c r="W336" s="150">
        <v>2</v>
      </c>
      <c r="X336" s="184">
        <v>44.698556701030931</v>
      </c>
      <c r="Y336" s="185"/>
      <c r="Z336" s="185"/>
    </row>
    <row r="337" spans="3:26" ht="24" x14ac:dyDescent="0.2">
      <c r="C337" s="91"/>
      <c r="D337" s="214">
        <v>45471</v>
      </c>
      <c r="E337" s="232">
        <v>47.4</v>
      </c>
      <c r="F337" s="232" t="s">
        <v>475</v>
      </c>
      <c r="G337" s="232">
        <v>35.4</v>
      </c>
      <c r="H337" s="216">
        <v>0.57291666666666674</v>
      </c>
      <c r="I337" s="415"/>
      <c r="J337" s="416"/>
      <c r="K337" s="417"/>
      <c r="L337" s="198"/>
      <c r="M337" s="198"/>
      <c r="N337" s="195"/>
      <c r="O337" s="146" t="s">
        <v>816</v>
      </c>
      <c r="P337" s="147"/>
      <c r="Q337" s="180"/>
      <c r="R337" s="181"/>
      <c r="S337" s="150"/>
      <c r="T337" s="147"/>
      <c r="U337" s="182">
        <v>-22.349278350515466</v>
      </c>
      <c r="V337" s="183"/>
      <c r="W337" s="150"/>
      <c r="X337" s="184">
        <v>44.698556701030931</v>
      </c>
      <c r="Y337" s="185"/>
      <c r="Z337" s="185"/>
    </row>
    <row r="338" spans="3:26" ht="24" x14ac:dyDescent="0.2">
      <c r="C338" s="91"/>
      <c r="D338" s="214">
        <v>45443</v>
      </c>
      <c r="E338" s="232">
        <v>35.4</v>
      </c>
      <c r="F338" s="232" t="s">
        <v>476</v>
      </c>
      <c r="G338" s="232">
        <v>37.9</v>
      </c>
      <c r="H338" s="216">
        <v>0.57291666666666674</v>
      </c>
      <c r="I338" s="415"/>
      <c r="J338" s="416"/>
      <c r="K338" s="417"/>
      <c r="L338" s="198"/>
      <c r="M338" s="198"/>
      <c r="N338" s="195"/>
      <c r="O338" s="91"/>
      <c r="P338" s="91"/>
      <c r="Q338" s="91"/>
      <c r="R338" s="91"/>
      <c r="S338" s="91"/>
      <c r="T338" s="91"/>
      <c r="U338" s="91"/>
      <c r="V338" s="91"/>
      <c r="W338" s="91"/>
      <c r="X338" s="91"/>
      <c r="Y338" s="91"/>
      <c r="Z338" s="91"/>
    </row>
    <row r="339" spans="3:26" ht="24" x14ac:dyDescent="0.2">
      <c r="C339" s="91"/>
      <c r="D339" s="214">
        <v>45412</v>
      </c>
      <c r="E339" s="232">
        <v>37.9</v>
      </c>
      <c r="F339" s="232" t="s">
        <v>477</v>
      </c>
      <c r="G339" s="232">
        <v>41.4</v>
      </c>
      <c r="H339" s="216">
        <v>0.57291666666666674</v>
      </c>
      <c r="I339" s="418"/>
      <c r="J339" s="419"/>
      <c r="K339" s="420"/>
      <c r="L339" s="198"/>
      <c r="M339" s="198"/>
      <c r="N339" s="195"/>
      <c r="O339" s="91"/>
      <c r="P339" s="91"/>
      <c r="Q339" s="91"/>
      <c r="R339" s="91"/>
      <c r="S339" s="91"/>
      <c r="T339" s="91"/>
      <c r="U339" s="91"/>
      <c r="V339" s="91"/>
      <c r="W339" s="91"/>
      <c r="X339" s="91"/>
      <c r="Y339" s="91"/>
      <c r="Z339" s="91"/>
    </row>
    <row r="340" spans="3:26" ht="72" x14ac:dyDescent="0.2">
      <c r="C340" s="91" t="s">
        <v>105</v>
      </c>
      <c r="D340" s="193" t="s">
        <v>432</v>
      </c>
      <c r="E340" s="430" t="s">
        <v>856</v>
      </c>
      <c r="F340" s="430"/>
      <c r="G340" s="430"/>
      <c r="H340" s="194" t="s">
        <v>790</v>
      </c>
      <c r="I340" s="431" t="s">
        <v>633</v>
      </c>
      <c r="J340" s="432"/>
      <c r="K340" s="433"/>
      <c r="L340" s="194" t="s">
        <v>430</v>
      </c>
      <c r="M340" s="194" t="s">
        <v>431</v>
      </c>
      <c r="N340" s="195" t="s">
        <v>105</v>
      </c>
      <c r="O340" s="145" t="s">
        <v>800</v>
      </c>
      <c r="P340" s="145" t="s">
        <v>801</v>
      </c>
      <c r="Q340" s="145" t="s">
        <v>802</v>
      </c>
      <c r="R340" s="145" t="s">
        <v>803</v>
      </c>
      <c r="S340" s="145" t="s">
        <v>804</v>
      </c>
      <c r="T340" s="145" t="s">
        <v>805</v>
      </c>
      <c r="U340" s="145" t="s">
        <v>806</v>
      </c>
      <c r="V340" s="145" t="s">
        <v>807</v>
      </c>
      <c r="W340" s="145" t="s">
        <v>808</v>
      </c>
      <c r="X340" s="145" t="s">
        <v>809</v>
      </c>
      <c r="Y340" s="145" t="s">
        <v>75</v>
      </c>
      <c r="Z340" s="145" t="s">
        <v>75</v>
      </c>
    </row>
    <row r="341" spans="3:26" ht="24" x14ac:dyDescent="0.2">
      <c r="C341" s="91"/>
      <c r="D341" s="196" t="s">
        <v>432</v>
      </c>
      <c r="E341" s="434"/>
      <c r="F341" s="434"/>
      <c r="G341" s="434"/>
      <c r="H341" s="197" t="s">
        <v>795</v>
      </c>
      <c r="I341" s="412" t="s">
        <v>857</v>
      </c>
      <c r="J341" s="413"/>
      <c r="K341" s="414"/>
      <c r="L341" s="198"/>
      <c r="M341" s="198"/>
      <c r="N341" s="195"/>
      <c r="O341" s="146" t="s">
        <v>810</v>
      </c>
      <c r="P341" s="147">
        <v>0.1</v>
      </c>
      <c r="Q341" s="148">
        <v>3.9E-2</v>
      </c>
      <c r="R341" s="149">
        <v>2.1000000000015007E-2</v>
      </c>
      <c r="S341" s="150"/>
      <c r="T341" s="146">
        <v>7.9500000000015003E-2</v>
      </c>
      <c r="U341" s="148">
        <v>-18.989999999999998</v>
      </c>
      <c r="V341" s="147">
        <v>91.8</v>
      </c>
      <c r="W341" s="150"/>
      <c r="X341" s="150"/>
      <c r="Y341" s="151"/>
      <c r="Z341" s="151"/>
    </row>
    <row r="342" spans="3:26" ht="24" x14ac:dyDescent="0.2">
      <c r="C342" s="91"/>
      <c r="D342" s="196" t="s">
        <v>433</v>
      </c>
      <c r="E342" s="440">
        <v>1.59</v>
      </c>
      <c r="F342" s="440"/>
      <c r="G342" s="440"/>
      <c r="H342" s="197" t="s">
        <v>795</v>
      </c>
      <c r="I342" s="415"/>
      <c r="J342" s="416"/>
      <c r="K342" s="417"/>
      <c r="L342" s="198"/>
      <c r="M342" s="198"/>
      <c r="N342" s="195"/>
      <c r="O342" s="152"/>
      <c r="P342" s="152"/>
      <c r="Q342" s="152"/>
      <c r="R342" s="153"/>
      <c r="S342" s="154"/>
      <c r="T342" s="152"/>
      <c r="U342" s="152"/>
      <c r="V342" s="152"/>
      <c r="W342" s="154"/>
      <c r="X342" s="154"/>
      <c r="Y342" s="155"/>
      <c r="Z342" s="155"/>
    </row>
    <row r="343" spans="3:26" ht="24" x14ac:dyDescent="0.2">
      <c r="C343" s="91"/>
      <c r="D343" s="196" t="s">
        <v>434</v>
      </c>
      <c r="E343" s="440">
        <v>1.4</v>
      </c>
      <c r="F343" s="440"/>
      <c r="G343" s="440"/>
      <c r="H343" s="203"/>
      <c r="I343" s="415"/>
      <c r="J343" s="416"/>
      <c r="K343" s="417"/>
      <c r="L343" s="198"/>
      <c r="M343" s="198"/>
      <c r="N343" s="195"/>
      <c r="O343" s="156" t="s">
        <v>811</v>
      </c>
      <c r="P343" s="157">
        <v>0.1</v>
      </c>
      <c r="Q343" s="158">
        <v>7.22E-2</v>
      </c>
      <c r="R343" s="159">
        <v>1.4999999999999999E-2</v>
      </c>
      <c r="S343" s="160">
        <v>1</v>
      </c>
      <c r="T343" s="156">
        <v>0.12330000000000001</v>
      </c>
      <c r="U343" s="161">
        <v>-29.452415094334064</v>
      </c>
      <c r="V343" s="162">
        <v>91.8</v>
      </c>
      <c r="W343" s="163">
        <v>4.88</v>
      </c>
      <c r="X343" s="164">
        <v>143.72778566035024</v>
      </c>
      <c r="Y343" s="165"/>
      <c r="Z343" s="165">
        <v>4.4350000000000005</v>
      </c>
    </row>
    <row r="344" spans="3:26" ht="24" x14ac:dyDescent="0.2">
      <c r="C344" s="91"/>
      <c r="D344" s="196" t="s">
        <v>435</v>
      </c>
      <c r="E344" s="441">
        <v>0.95833333333333337</v>
      </c>
      <c r="F344" s="441"/>
      <c r="G344" s="441"/>
      <c r="H344" s="203"/>
      <c r="I344" s="415"/>
      <c r="J344" s="416"/>
      <c r="K344" s="417"/>
      <c r="L344" s="208">
        <v>6.25E-2</v>
      </c>
      <c r="M344" s="208">
        <v>0.95833333333333337</v>
      </c>
      <c r="N344" s="195"/>
      <c r="O344" s="166" t="s">
        <v>812</v>
      </c>
      <c r="P344" s="167">
        <v>0.1</v>
      </c>
      <c r="Q344" s="168">
        <v>4.0533333333333338E-2</v>
      </c>
      <c r="R344" s="169">
        <v>1.4999999999999999E-2</v>
      </c>
      <c r="S344" s="170">
        <v>0.5</v>
      </c>
      <c r="T344" s="166">
        <v>7.5800000000000006E-2</v>
      </c>
      <c r="U344" s="171">
        <v>-9.0530943396209338</v>
      </c>
      <c r="V344" s="172">
        <v>91.8</v>
      </c>
      <c r="W344" s="173">
        <v>2.3650000000000002</v>
      </c>
      <c r="X344" s="174">
        <v>21.41056811320351</v>
      </c>
      <c r="Y344" s="175"/>
      <c r="Z344" s="175"/>
    </row>
    <row r="345" spans="3:26" ht="24" x14ac:dyDescent="0.2">
      <c r="C345" s="91"/>
      <c r="D345" s="196" t="s">
        <v>436</v>
      </c>
      <c r="E345" s="213" t="s">
        <v>29</v>
      </c>
      <c r="F345" s="213" t="s">
        <v>28</v>
      </c>
      <c r="G345" s="213" t="s">
        <v>27</v>
      </c>
      <c r="H345" s="203" t="s">
        <v>793</v>
      </c>
      <c r="I345" s="415"/>
      <c r="J345" s="416"/>
      <c r="K345" s="417"/>
      <c r="L345" s="198"/>
      <c r="M345" s="198"/>
      <c r="N345" s="195"/>
      <c r="O345" s="154"/>
      <c r="P345" s="176"/>
      <c r="Q345" s="154"/>
      <c r="R345" s="154"/>
      <c r="S345" s="154"/>
      <c r="T345" s="154"/>
      <c r="U345" s="177"/>
      <c r="V345" s="178"/>
      <c r="W345" s="154"/>
      <c r="X345" s="177"/>
      <c r="Y345" s="155"/>
      <c r="Z345" s="155"/>
    </row>
    <row r="346" spans="3:26" ht="23" x14ac:dyDescent="0.2">
      <c r="C346" s="91"/>
      <c r="D346" s="214">
        <v>45505</v>
      </c>
      <c r="E346" s="215">
        <v>1.4</v>
      </c>
      <c r="F346" s="215">
        <v>1.34</v>
      </c>
      <c r="G346" s="215">
        <v>1.53</v>
      </c>
      <c r="H346" s="216">
        <v>0.95833333333333337</v>
      </c>
      <c r="I346" s="415"/>
      <c r="J346" s="416"/>
      <c r="K346" s="417"/>
      <c r="L346" s="198"/>
      <c r="M346" s="198"/>
      <c r="N346" s="195"/>
      <c r="O346" s="179"/>
      <c r="P346" s="155"/>
      <c r="Q346" s="179"/>
      <c r="R346" s="179"/>
      <c r="S346" s="179"/>
      <c r="T346" s="179"/>
      <c r="U346" s="179"/>
      <c r="V346" s="179"/>
      <c r="W346" s="179"/>
      <c r="X346" s="179"/>
      <c r="Y346" s="155"/>
      <c r="Z346" s="155"/>
    </row>
    <row r="347" spans="3:26" ht="23" x14ac:dyDescent="0.2">
      <c r="C347" s="91"/>
      <c r="D347" s="214">
        <v>45414</v>
      </c>
      <c r="E347" s="215">
        <v>1.53</v>
      </c>
      <c r="F347" s="215">
        <v>1.51</v>
      </c>
      <c r="G347" s="215">
        <v>2.1800000000000002</v>
      </c>
      <c r="H347" s="216">
        <v>0.95833333333333337</v>
      </c>
      <c r="I347" s="415"/>
      <c r="J347" s="416"/>
      <c r="K347" s="417"/>
      <c r="L347" s="198"/>
      <c r="M347" s="198"/>
      <c r="N347" s="195"/>
      <c r="O347" s="146" t="s">
        <v>813</v>
      </c>
      <c r="P347" s="147">
        <v>0.25</v>
      </c>
      <c r="Q347" s="180">
        <v>4.0533333333333338E-2</v>
      </c>
      <c r="R347" s="181">
        <v>1.4999999999999999E-2</v>
      </c>
      <c r="S347" s="150">
        <v>0.5</v>
      </c>
      <c r="T347" s="147">
        <v>7.5800000000000006E-2</v>
      </c>
      <c r="U347" s="182">
        <v>-22.632735849052334</v>
      </c>
      <c r="V347" s="183">
        <v>229.5</v>
      </c>
      <c r="W347" s="150">
        <v>2</v>
      </c>
      <c r="X347" s="184">
        <v>45.265471698104669</v>
      </c>
      <c r="Y347" s="185" t="s">
        <v>814</v>
      </c>
      <c r="Z347" s="185"/>
    </row>
    <row r="348" spans="3:26" ht="23" x14ac:dyDescent="0.2">
      <c r="C348" s="91"/>
      <c r="D348" s="214">
        <v>45323</v>
      </c>
      <c r="E348" s="215">
        <v>2.1800000000000002</v>
      </c>
      <c r="F348" s="215">
        <v>2.09</v>
      </c>
      <c r="G348" s="215">
        <v>1.46</v>
      </c>
      <c r="H348" s="216">
        <v>0.95833333333333337</v>
      </c>
      <c r="I348" s="415"/>
      <c r="J348" s="416"/>
      <c r="K348" s="417"/>
      <c r="L348" s="218"/>
      <c r="M348" s="198"/>
      <c r="N348" s="195"/>
      <c r="O348" s="146" t="s">
        <v>813</v>
      </c>
      <c r="P348" s="147">
        <v>0.25</v>
      </c>
      <c r="Q348" s="180">
        <v>4.0533333333333338E-2</v>
      </c>
      <c r="R348" s="181">
        <v>1.4999999999999999E-2</v>
      </c>
      <c r="S348" s="150">
        <v>0.5</v>
      </c>
      <c r="T348" s="147">
        <v>7.5800000000000006E-2</v>
      </c>
      <c r="U348" s="182">
        <v>-22.349278350515466</v>
      </c>
      <c r="V348" s="183">
        <v>229.5</v>
      </c>
      <c r="W348" s="150">
        <v>2</v>
      </c>
      <c r="X348" s="184">
        <v>44.698556701030931</v>
      </c>
      <c r="Y348" s="185"/>
      <c r="Z348" s="185"/>
    </row>
    <row r="349" spans="3:26" ht="23" x14ac:dyDescent="0.2">
      <c r="C349" s="91"/>
      <c r="D349" s="214">
        <v>45232</v>
      </c>
      <c r="E349" s="215">
        <v>1.46</v>
      </c>
      <c r="F349" s="215">
        <v>1.39</v>
      </c>
      <c r="G349" s="215">
        <v>1.26</v>
      </c>
      <c r="H349" s="216">
        <v>0.95833333333333337</v>
      </c>
      <c r="I349" s="415"/>
      <c r="J349" s="416"/>
      <c r="K349" s="417"/>
      <c r="L349" s="198"/>
      <c r="M349" s="198"/>
      <c r="N349" s="195"/>
      <c r="O349" s="146" t="s">
        <v>816</v>
      </c>
      <c r="P349" s="147"/>
      <c r="Q349" s="180"/>
      <c r="R349" s="181"/>
      <c r="S349" s="150"/>
      <c r="T349" s="147"/>
      <c r="U349" s="182">
        <v>-22.349278350515466</v>
      </c>
      <c r="V349" s="183"/>
      <c r="W349" s="150"/>
      <c r="X349" s="184">
        <v>44.698556701030931</v>
      </c>
      <c r="Y349" s="185"/>
      <c r="Z349" s="185"/>
    </row>
    <row r="350" spans="3:26" ht="23" x14ac:dyDescent="0.2">
      <c r="C350" s="91"/>
      <c r="D350" s="214">
        <v>45141</v>
      </c>
      <c r="E350" s="215">
        <v>1.26</v>
      </c>
      <c r="F350" s="215">
        <v>1.19</v>
      </c>
      <c r="G350" s="215">
        <v>1.52</v>
      </c>
      <c r="H350" s="216">
        <v>0.95833333333333337</v>
      </c>
      <c r="I350" s="415"/>
      <c r="J350" s="416"/>
      <c r="K350" s="417"/>
      <c r="L350" s="198"/>
      <c r="M350" s="198"/>
      <c r="N350" s="195"/>
      <c r="O350" s="91"/>
      <c r="P350" s="91"/>
      <c r="Q350" s="91"/>
      <c r="R350" s="91"/>
      <c r="S350" s="91"/>
      <c r="T350" s="91"/>
      <c r="U350" s="91"/>
      <c r="V350" s="91"/>
      <c r="W350" s="91"/>
      <c r="X350" s="91"/>
      <c r="Y350" s="91"/>
      <c r="Z350" s="91"/>
    </row>
    <row r="351" spans="3:26" ht="23" x14ac:dyDescent="0.2">
      <c r="C351" s="91"/>
      <c r="D351" s="214">
        <v>45050</v>
      </c>
      <c r="E351" s="215">
        <v>1.52</v>
      </c>
      <c r="F351" s="215">
        <v>1.44</v>
      </c>
      <c r="G351" s="215">
        <v>1.88</v>
      </c>
      <c r="H351" s="216">
        <v>0.95833333333333337</v>
      </c>
      <c r="I351" s="418"/>
      <c r="J351" s="419"/>
      <c r="K351" s="420"/>
      <c r="L351" s="198"/>
      <c r="M351" s="198"/>
      <c r="N351" s="195"/>
      <c r="O351" s="91"/>
      <c r="P351" s="91"/>
      <c r="Q351" s="91"/>
      <c r="R351" s="91"/>
      <c r="S351" s="91"/>
      <c r="T351" s="91"/>
      <c r="U351" s="91"/>
      <c r="V351" s="91"/>
      <c r="W351" s="91"/>
      <c r="X351" s="91"/>
      <c r="Y351" s="91"/>
      <c r="Z351" s="91"/>
    </row>
    <row r="352" spans="3:26" ht="72" x14ac:dyDescent="0.2">
      <c r="C352" s="91" t="s">
        <v>105</v>
      </c>
      <c r="D352" s="193" t="s">
        <v>30</v>
      </c>
      <c r="E352" s="430" t="s">
        <v>858</v>
      </c>
      <c r="F352" s="430"/>
      <c r="G352" s="430"/>
      <c r="H352" s="194" t="s">
        <v>790</v>
      </c>
      <c r="I352" s="431" t="s">
        <v>633</v>
      </c>
      <c r="J352" s="432"/>
      <c r="K352" s="433"/>
      <c r="L352" s="194" t="s">
        <v>430</v>
      </c>
      <c r="M352" s="194" t="s">
        <v>431</v>
      </c>
      <c r="N352" s="195" t="s">
        <v>105</v>
      </c>
      <c r="O352" s="145" t="s">
        <v>800</v>
      </c>
      <c r="P352" s="145" t="s">
        <v>801</v>
      </c>
      <c r="Q352" s="145" t="s">
        <v>802</v>
      </c>
      <c r="R352" s="145" t="s">
        <v>803</v>
      </c>
      <c r="S352" s="145" t="s">
        <v>804</v>
      </c>
      <c r="T352" s="145" t="s">
        <v>805</v>
      </c>
      <c r="U352" s="145" t="s">
        <v>806</v>
      </c>
      <c r="V352" s="145" t="s">
        <v>807</v>
      </c>
      <c r="W352" s="145" t="s">
        <v>808</v>
      </c>
      <c r="X352" s="145" t="s">
        <v>809</v>
      </c>
      <c r="Y352" s="145" t="s">
        <v>75</v>
      </c>
      <c r="Z352" s="145" t="s">
        <v>75</v>
      </c>
    </row>
    <row r="353" spans="3:26" ht="24" x14ac:dyDescent="0.2">
      <c r="C353" s="91"/>
      <c r="D353" s="196" t="s">
        <v>432</v>
      </c>
      <c r="E353" s="434"/>
      <c r="F353" s="434"/>
      <c r="G353" s="434"/>
      <c r="H353" s="197" t="s">
        <v>794</v>
      </c>
      <c r="I353" s="412" t="s">
        <v>859</v>
      </c>
      <c r="J353" s="413"/>
      <c r="K353" s="414"/>
      <c r="L353" s="198"/>
      <c r="M353" s="198"/>
      <c r="N353" s="195"/>
      <c r="O353" s="146" t="s">
        <v>810</v>
      </c>
      <c r="P353" s="199">
        <v>0.1</v>
      </c>
      <c r="Q353" s="200">
        <v>3.9E-2</v>
      </c>
      <c r="R353" s="201">
        <v>2.1000000000015007E-2</v>
      </c>
      <c r="S353" s="150"/>
      <c r="T353" s="146">
        <v>7.9500000000015003E-2</v>
      </c>
      <c r="U353" s="200">
        <v>-18.989999999999998</v>
      </c>
      <c r="V353" s="199">
        <v>91.8</v>
      </c>
      <c r="W353" s="202"/>
      <c r="X353" s="184"/>
      <c r="Y353" s="151"/>
      <c r="Z353" s="151"/>
    </row>
    <row r="354" spans="3:26" ht="24" x14ac:dyDescent="0.2">
      <c r="C354" s="91"/>
      <c r="D354" s="196" t="s">
        <v>433</v>
      </c>
      <c r="E354" s="445">
        <v>3.0000000000000001E-3</v>
      </c>
      <c r="F354" s="445"/>
      <c r="G354" s="445"/>
      <c r="H354" s="197" t="s">
        <v>795</v>
      </c>
      <c r="I354" s="415"/>
      <c r="J354" s="416"/>
      <c r="K354" s="417"/>
      <c r="L354" s="198"/>
      <c r="M354" s="198"/>
      <c r="N354" s="195"/>
      <c r="O354" s="152"/>
      <c r="P354" s="152"/>
      <c r="Q354" s="152"/>
      <c r="R354" s="153"/>
      <c r="S354" s="154"/>
      <c r="T354" s="152"/>
      <c r="U354" s="152"/>
      <c r="V354" s="152"/>
      <c r="W354" s="152"/>
      <c r="X354" s="154"/>
      <c r="Y354" s="155"/>
      <c r="Z354" s="155"/>
    </row>
    <row r="355" spans="3:26" ht="24" x14ac:dyDescent="0.2">
      <c r="C355" s="91"/>
      <c r="D355" s="196" t="s">
        <v>434</v>
      </c>
      <c r="E355" s="445">
        <v>4.0000000000000001E-3</v>
      </c>
      <c r="F355" s="445"/>
      <c r="G355" s="445"/>
      <c r="H355" s="203"/>
      <c r="I355" s="415"/>
      <c r="J355" s="416"/>
      <c r="K355" s="417"/>
      <c r="L355" s="198"/>
      <c r="M355" s="198"/>
      <c r="N355" s="195"/>
      <c r="O355" s="156" t="s">
        <v>811</v>
      </c>
      <c r="P355" s="204">
        <v>0.1</v>
      </c>
      <c r="Q355" s="205">
        <v>7.22E-2</v>
      </c>
      <c r="R355" s="206">
        <v>1.4999999999999999E-2</v>
      </c>
      <c r="S355" s="220">
        <v>1</v>
      </c>
      <c r="T355" s="156">
        <v>0.12330000000000001</v>
      </c>
      <c r="U355" s="161">
        <v>-29.452415094334064</v>
      </c>
      <c r="V355" s="162">
        <v>91.8</v>
      </c>
      <c r="W355" s="221">
        <v>4.88</v>
      </c>
      <c r="X355" s="164">
        <v>143.72778566035024</v>
      </c>
      <c r="Y355" s="165"/>
      <c r="Z355" s="165">
        <v>4.4350000000000005</v>
      </c>
    </row>
    <row r="356" spans="3:26" ht="24" x14ac:dyDescent="0.2">
      <c r="C356" s="91"/>
      <c r="D356" s="196" t="s">
        <v>435</v>
      </c>
      <c r="E356" s="436">
        <v>0.52083333333333337</v>
      </c>
      <c r="F356" s="436"/>
      <c r="G356" s="436"/>
      <c r="H356" s="203"/>
      <c r="I356" s="415"/>
      <c r="J356" s="416"/>
      <c r="K356" s="417"/>
      <c r="L356" s="208">
        <v>0.75</v>
      </c>
      <c r="M356" s="208">
        <v>0.64583333333333337</v>
      </c>
      <c r="N356" s="195"/>
      <c r="O356" s="166" t="s">
        <v>812</v>
      </c>
      <c r="P356" s="209">
        <v>0.1</v>
      </c>
      <c r="Q356" s="187">
        <v>0.12866666666666668</v>
      </c>
      <c r="R356" s="210">
        <v>1.4999999999999999E-2</v>
      </c>
      <c r="S356" s="222">
        <v>1</v>
      </c>
      <c r="T356" s="211">
        <v>0.20799999999999999</v>
      </c>
      <c r="U356" s="171">
        <v>-49.684528301877407</v>
      </c>
      <c r="V356" s="172">
        <v>91.8</v>
      </c>
      <c r="W356" s="223">
        <v>2.3650000000000002</v>
      </c>
      <c r="X356" s="174">
        <v>117.50390943394008</v>
      </c>
      <c r="Y356" s="175"/>
      <c r="Z356" s="175"/>
    </row>
    <row r="357" spans="3:26" ht="24" x14ac:dyDescent="0.2">
      <c r="C357" s="91"/>
      <c r="D357" s="196" t="s">
        <v>436</v>
      </c>
      <c r="E357" s="213" t="s">
        <v>29</v>
      </c>
      <c r="F357" s="213" t="s">
        <v>28</v>
      </c>
      <c r="G357" s="213" t="s">
        <v>27</v>
      </c>
      <c r="H357" s="203" t="s">
        <v>793</v>
      </c>
      <c r="I357" s="415"/>
      <c r="J357" s="416"/>
      <c r="K357" s="417"/>
      <c r="L357" s="198"/>
      <c r="M357" s="198"/>
      <c r="N357" s="195"/>
      <c r="O357" s="154"/>
      <c r="P357" s="176"/>
      <c r="Q357" s="154"/>
      <c r="R357" s="154"/>
      <c r="S357" s="224"/>
      <c r="T357" s="154"/>
      <c r="U357" s="177"/>
      <c r="V357" s="178"/>
      <c r="W357" s="225"/>
      <c r="X357" s="177"/>
      <c r="Y357" s="155"/>
      <c r="Z357" s="155"/>
    </row>
    <row r="358" spans="3:26" ht="24" x14ac:dyDescent="0.2">
      <c r="C358" s="91"/>
      <c r="D358" s="214">
        <v>45569</v>
      </c>
      <c r="E358" s="219">
        <v>4.0000000000000001E-3</v>
      </c>
      <c r="F358" s="219" t="s">
        <v>467</v>
      </c>
      <c r="G358" s="219">
        <v>5.0000000000000001E-3</v>
      </c>
      <c r="H358" s="216">
        <v>0.52083333333333337</v>
      </c>
      <c r="I358" s="415"/>
      <c r="J358" s="416"/>
      <c r="K358" s="417"/>
      <c r="L358" s="198"/>
      <c r="M358" s="198"/>
      <c r="N358" s="195"/>
      <c r="O358" s="179"/>
      <c r="P358" s="155"/>
      <c r="Q358" s="179"/>
      <c r="R358" s="179"/>
      <c r="S358" s="224"/>
      <c r="T358" s="179"/>
      <c r="U358" s="179"/>
      <c r="V358" s="179"/>
      <c r="W358" s="227"/>
      <c r="X358" s="179"/>
      <c r="Y358" s="155"/>
      <c r="Z358" s="155"/>
    </row>
    <row r="359" spans="3:26" ht="24" x14ac:dyDescent="0.2">
      <c r="C359" s="91"/>
      <c r="D359" s="214">
        <v>45541</v>
      </c>
      <c r="E359" s="219">
        <v>4.0000000000000001E-3</v>
      </c>
      <c r="F359" s="219" t="s">
        <v>467</v>
      </c>
      <c r="G359" s="219">
        <v>-1E-3</v>
      </c>
      <c r="H359" s="216">
        <v>0.52083333333333337</v>
      </c>
      <c r="I359" s="415"/>
      <c r="J359" s="416"/>
      <c r="K359" s="417"/>
      <c r="L359" s="198"/>
      <c r="M359" s="198"/>
      <c r="N359" s="195"/>
      <c r="O359" s="146" t="s">
        <v>813</v>
      </c>
      <c r="P359" s="233">
        <v>0.25</v>
      </c>
      <c r="Q359" s="180">
        <v>4.0533333333333338E-2</v>
      </c>
      <c r="R359" s="181">
        <v>1.4999999999999999E-2</v>
      </c>
      <c r="S359" s="228">
        <v>0.5</v>
      </c>
      <c r="T359" s="156">
        <v>7.5800000000000006E-2</v>
      </c>
      <c r="U359" s="182">
        <v>-22.632735849052334</v>
      </c>
      <c r="V359" s="183">
        <v>229.5</v>
      </c>
      <c r="W359" s="230">
        <v>2</v>
      </c>
      <c r="X359" s="184">
        <v>45.265471698104669</v>
      </c>
      <c r="Y359" s="185" t="s">
        <v>814</v>
      </c>
      <c r="Z359" s="185"/>
    </row>
    <row r="360" spans="3:26" ht="24" x14ac:dyDescent="0.2">
      <c r="C360" s="91"/>
      <c r="D360" s="214">
        <v>45506</v>
      </c>
      <c r="E360" s="219">
        <v>2E-3</v>
      </c>
      <c r="F360" s="219" t="s">
        <v>467</v>
      </c>
      <c r="G360" s="219">
        <v>3.0000000000000001E-3</v>
      </c>
      <c r="H360" s="216">
        <v>0.52083333333333337</v>
      </c>
      <c r="I360" s="415"/>
      <c r="J360" s="416"/>
      <c r="K360" s="417"/>
      <c r="L360" s="218"/>
      <c r="M360" s="198"/>
      <c r="N360" s="195"/>
      <c r="O360" s="146"/>
      <c r="P360" s="147"/>
      <c r="Q360" s="180"/>
      <c r="R360" s="181"/>
      <c r="S360" s="150"/>
      <c r="T360" s="147"/>
      <c r="U360" s="182"/>
      <c r="V360" s="183"/>
      <c r="W360" s="150"/>
      <c r="X360" s="184"/>
      <c r="Y360" s="185"/>
      <c r="Z360" s="185"/>
    </row>
    <row r="361" spans="3:26" ht="24" x14ac:dyDescent="0.2">
      <c r="C361" s="91"/>
      <c r="D361" s="214">
        <v>45478</v>
      </c>
      <c r="E361" s="219">
        <v>3.0000000000000001E-3</v>
      </c>
      <c r="F361" s="219" t="s">
        <v>467</v>
      </c>
      <c r="G361" s="219">
        <v>4.0000000000000001E-3</v>
      </c>
      <c r="H361" s="216">
        <v>0.52083333333333337</v>
      </c>
      <c r="I361" s="415"/>
      <c r="J361" s="416"/>
      <c r="K361" s="417"/>
      <c r="L361" s="198"/>
      <c r="M361" s="198"/>
      <c r="N361" s="195"/>
      <c r="O361" s="146" t="s">
        <v>816</v>
      </c>
      <c r="P361" s="147"/>
      <c r="Q361" s="180"/>
      <c r="R361" s="181"/>
      <c r="S361" s="150"/>
      <c r="T361" s="147"/>
      <c r="U361" s="182">
        <v>0</v>
      </c>
      <c r="V361" s="183"/>
      <c r="W361" s="150"/>
      <c r="X361" s="184">
        <v>0</v>
      </c>
      <c r="Y361" s="185"/>
      <c r="Z361" s="185"/>
    </row>
    <row r="362" spans="3:26" ht="24" x14ac:dyDescent="0.2">
      <c r="C362" s="91"/>
      <c r="D362" s="214">
        <v>45450</v>
      </c>
      <c r="E362" s="219">
        <v>4.0000000000000001E-3</v>
      </c>
      <c r="F362" s="219" t="s">
        <v>467</v>
      </c>
      <c r="G362" s="219">
        <v>2E-3</v>
      </c>
      <c r="H362" s="216">
        <v>0.52083333333333337</v>
      </c>
      <c r="I362" s="415"/>
      <c r="J362" s="416"/>
      <c r="K362" s="417"/>
      <c r="L362" s="198"/>
      <c r="M362" s="198"/>
      <c r="N362" s="195"/>
      <c r="O362" s="91"/>
      <c r="P362" s="91"/>
      <c r="Q362" s="91"/>
      <c r="R362" s="91"/>
      <c r="S362" s="91"/>
      <c r="T362" s="91"/>
      <c r="U362" s="91"/>
      <c r="V362" s="91"/>
      <c r="W362" s="91"/>
      <c r="X362" s="91"/>
      <c r="Y362" s="91"/>
      <c r="Z362" s="91"/>
    </row>
    <row r="363" spans="3:26" ht="24" x14ac:dyDescent="0.2">
      <c r="C363" s="91"/>
      <c r="D363" s="214">
        <v>45415</v>
      </c>
      <c r="E363" s="219">
        <v>2E-3</v>
      </c>
      <c r="F363" s="219" t="s">
        <v>467</v>
      </c>
      <c r="G363" s="219">
        <v>3.0000000000000001E-3</v>
      </c>
      <c r="H363" s="216">
        <v>0.52083333333333337</v>
      </c>
      <c r="I363" s="418"/>
      <c r="J363" s="419"/>
      <c r="K363" s="420"/>
      <c r="L363" s="198"/>
      <c r="M363" s="198"/>
      <c r="N363" s="195"/>
      <c r="O363" s="91"/>
      <c r="P363" s="91"/>
      <c r="Q363" s="91"/>
      <c r="R363" s="91"/>
      <c r="S363" s="91"/>
      <c r="T363" s="91"/>
      <c r="U363" s="91"/>
      <c r="V363" s="91"/>
      <c r="W363" s="91"/>
      <c r="X363" s="91"/>
      <c r="Y363" s="91"/>
      <c r="Z363" s="91"/>
    </row>
    <row r="364" spans="3:26" ht="72" x14ac:dyDescent="0.2">
      <c r="C364" s="91" t="s">
        <v>105</v>
      </c>
      <c r="D364" s="193" t="s">
        <v>30</v>
      </c>
      <c r="E364" s="430" t="s">
        <v>860</v>
      </c>
      <c r="F364" s="430"/>
      <c r="G364" s="430"/>
      <c r="H364" s="194" t="s">
        <v>790</v>
      </c>
      <c r="I364" s="431" t="s">
        <v>633</v>
      </c>
      <c r="J364" s="432"/>
      <c r="K364" s="433"/>
      <c r="L364" s="194" t="s">
        <v>430</v>
      </c>
      <c r="M364" s="194" t="s">
        <v>431</v>
      </c>
      <c r="N364" s="195" t="s">
        <v>105</v>
      </c>
      <c r="O364" s="145" t="s">
        <v>800</v>
      </c>
      <c r="P364" s="145" t="s">
        <v>801</v>
      </c>
      <c r="Q364" s="145" t="s">
        <v>802</v>
      </c>
      <c r="R364" s="145" t="s">
        <v>803</v>
      </c>
      <c r="S364" s="145" t="s">
        <v>804</v>
      </c>
      <c r="T364" s="145" t="s">
        <v>805</v>
      </c>
      <c r="U364" s="145" t="s">
        <v>806</v>
      </c>
      <c r="V364" s="145" t="s">
        <v>807</v>
      </c>
      <c r="W364" s="145" t="s">
        <v>808</v>
      </c>
      <c r="X364" s="145" t="s">
        <v>809</v>
      </c>
      <c r="Y364" s="145" t="s">
        <v>75</v>
      </c>
      <c r="Z364" s="145" t="s">
        <v>75</v>
      </c>
    </row>
    <row r="365" spans="3:26" ht="24" x14ac:dyDescent="0.2">
      <c r="C365" s="91"/>
      <c r="D365" s="196" t="s">
        <v>432</v>
      </c>
      <c r="E365" s="434"/>
      <c r="F365" s="434"/>
      <c r="G365" s="434"/>
      <c r="H365" s="197" t="s">
        <v>794</v>
      </c>
      <c r="I365" s="412" t="s">
        <v>859</v>
      </c>
      <c r="J365" s="413"/>
      <c r="K365" s="414"/>
      <c r="L365" s="198"/>
      <c r="M365" s="198"/>
      <c r="N365" s="195"/>
      <c r="O365" s="146" t="s">
        <v>810</v>
      </c>
      <c r="P365" s="199">
        <v>0.1</v>
      </c>
      <c r="Q365" s="200">
        <v>2.1000000000000001E-2</v>
      </c>
      <c r="R365" s="201">
        <v>1.7000000000000001E-2</v>
      </c>
      <c r="S365" s="150"/>
      <c r="T365" s="146">
        <v>4.8500000000000001E-2</v>
      </c>
      <c r="U365" s="200">
        <v>-11.44</v>
      </c>
      <c r="V365" s="199">
        <v>91.8</v>
      </c>
      <c r="W365" s="202"/>
      <c r="X365" s="184"/>
      <c r="Y365" s="151"/>
      <c r="Z365" s="151"/>
    </row>
    <row r="366" spans="3:26" ht="24" x14ac:dyDescent="0.2">
      <c r="C366" s="91"/>
      <c r="D366" s="196" t="s">
        <v>433</v>
      </c>
      <c r="E366" s="445" t="s">
        <v>547</v>
      </c>
      <c r="F366" s="445"/>
      <c r="G366" s="445"/>
      <c r="H366" s="197" t="s">
        <v>795</v>
      </c>
      <c r="I366" s="415"/>
      <c r="J366" s="416"/>
      <c r="K366" s="417"/>
      <c r="L366" s="198"/>
      <c r="M366" s="198"/>
      <c r="N366" s="195"/>
      <c r="O366" s="152"/>
      <c r="P366" s="152"/>
      <c r="Q366" s="152"/>
      <c r="R366" s="153"/>
      <c r="S366" s="154"/>
      <c r="T366" s="152"/>
      <c r="U366" s="152"/>
      <c r="V366" s="152"/>
      <c r="W366" s="152"/>
      <c r="X366" s="154"/>
      <c r="Y366" s="155"/>
      <c r="Z366" s="155"/>
    </row>
    <row r="367" spans="3:26" ht="24" x14ac:dyDescent="0.2">
      <c r="C367" s="91"/>
      <c r="D367" s="196" t="s">
        <v>434</v>
      </c>
      <c r="E367" s="445" t="s">
        <v>641</v>
      </c>
      <c r="F367" s="445"/>
      <c r="G367" s="445"/>
      <c r="H367" s="203"/>
      <c r="I367" s="415"/>
      <c r="J367" s="416"/>
      <c r="K367" s="417"/>
      <c r="L367" s="198"/>
      <c r="M367" s="198"/>
      <c r="N367" s="195"/>
      <c r="O367" s="156" t="s">
        <v>811</v>
      </c>
      <c r="P367" s="204">
        <v>0.1</v>
      </c>
      <c r="Q367" s="205">
        <v>0.1389</v>
      </c>
      <c r="R367" s="206">
        <v>1.7999999999999999E-2</v>
      </c>
      <c r="S367" s="220">
        <v>1</v>
      </c>
      <c r="T367" s="156">
        <v>0.22634999999999997</v>
      </c>
      <c r="U367" s="161">
        <v>-53.390597938144317</v>
      </c>
      <c r="V367" s="162">
        <v>91.8</v>
      </c>
      <c r="W367" s="221">
        <v>10.14</v>
      </c>
      <c r="X367" s="164">
        <v>541.38066309278338</v>
      </c>
      <c r="Y367" s="165"/>
      <c r="Z367" s="165"/>
    </row>
    <row r="368" spans="3:26" ht="24" x14ac:dyDescent="0.2">
      <c r="C368" s="91"/>
      <c r="D368" s="196" t="s">
        <v>435</v>
      </c>
      <c r="E368" s="436">
        <v>0.52083333333333337</v>
      </c>
      <c r="F368" s="436"/>
      <c r="G368" s="436"/>
      <c r="H368" s="203"/>
      <c r="I368" s="415"/>
      <c r="J368" s="416"/>
      <c r="K368" s="417"/>
      <c r="L368" s="208">
        <v>0.75</v>
      </c>
      <c r="M368" s="208">
        <v>0.64583333333333337</v>
      </c>
      <c r="N368" s="195"/>
      <c r="O368" s="166" t="s">
        <v>812</v>
      </c>
      <c r="P368" s="209">
        <v>0.1</v>
      </c>
      <c r="Q368" s="187">
        <v>9.3800000000000008E-2</v>
      </c>
      <c r="R368" s="210">
        <v>1.7999999999999999E-2</v>
      </c>
      <c r="S368" s="222">
        <v>1</v>
      </c>
      <c r="T368" s="211">
        <v>0.15870000000000001</v>
      </c>
      <c r="U368" s="171">
        <v>-37.433567010309275</v>
      </c>
      <c r="V368" s="172">
        <v>91.8</v>
      </c>
      <c r="W368" s="223">
        <v>4.45</v>
      </c>
      <c r="X368" s="174">
        <v>166.57937319587629</v>
      </c>
      <c r="Y368" s="175"/>
      <c r="Z368" s="175"/>
    </row>
    <row r="369" spans="3:26" ht="24" x14ac:dyDescent="0.2">
      <c r="C369" s="91"/>
      <c r="D369" s="196" t="s">
        <v>436</v>
      </c>
      <c r="E369" s="213" t="s">
        <v>29</v>
      </c>
      <c r="F369" s="213" t="s">
        <v>28</v>
      </c>
      <c r="G369" s="213" t="s">
        <v>27</v>
      </c>
      <c r="H369" s="203" t="s">
        <v>793</v>
      </c>
      <c r="I369" s="415"/>
      <c r="J369" s="416"/>
      <c r="K369" s="417"/>
      <c r="L369" s="198"/>
      <c r="M369" s="198"/>
      <c r="N369" s="195"/>
      <c r="O369" s="154"/>
      <c r="P369" s="176"/>
      <c r="Q369" s="154"/>
      <c r="R369" s="154"/>
      <c r="S369" s="224"/>
      <c r="T369" s="154"/>
      <c r="U369" s="177"/>
      <c r="V369" s="178"/>
      <c r="W369" s="225"/>
      <c r="X369" s="177"/>
      <c r="Y369" s="155"/>
      <c r="Z369" s="155"/>
    </row>
    <row r="370" spans="3:26" ht="24" x14ac:dyDescent="0.2">
      <c r="C370" s="91"/>
      <c r="D370" s="214">
        <v>45569</v>
      </c>
      <c r="E370" s="219" t="s">
        <v>641</v>
      </c>
      <c r="F370" s="219" t="s">
        <v>548</v>
      </c>
      <c r="G370" s="219" t="s">
        <v>900</v>
      </c>
      <c r="H370" s="216">
        <v>0.52083333333333337</v>
      </c>
      <c r="I370" s="415"/>
      <c r="J370" s="416"/>
      <c r="K370" s="417"/>
      <c r="L370" s="198"/>
      <c r="M370" s="198"/>
      <c r="N370" s="195"/>
      <c r="O370" s="179"/>
      <c r="P370" s="155"/>
      <c r="Q370" s="179"/>
      <c r="R370" s="179"/>
      <c r="S370" s="224"/>
      <c r="T370" s="179"/>
      <c r="U370" s="179"/>
      <c r="V370" s="179"/>
      <c r="W370" s="227"/>
      <c r="X370" s="179"/>
      <c r="Y370" s="155"/>
      <c r="Z370" s="155"/>
    </row>
    <row r="371" spans="3:26" ht="24" x14ac:dyDescent="0.2">
      <c r="C371" s="91"/>
      <c r="D371" s="214">
        <v>45541</v>
      </c>
      <c r="E371" s="219" t="s">
        <v>425</v>
      </c>
      <c r="F371" s="219" t="s">
        <v>614</v>
      </c>
      <c r="G371" s="219" t="s">
        <v>615</v>
      </c>
      <c r="H371" s="216">
        <v>0.52083333333333337</v>
      </c>
      <c r="I371" s="415"/>
      <c r="J371" s="416"/>
      <c r="K371" s="417"/>
      <c r="L371" s="198"/>
      <c r="M371" s="198"/>
      <c r="N371" s="195"/>
      <c r="O371" s="146" t="s">
        <v>813</v>
      </c>
      <c r="P371" s="233">
        <v>0.1</v>
      </c>
      <c r="Q371" s="180">
        <v>0.11635000000000001</v>
      </c>
      <c r="R371" s="181">
        <v>1.7999999999999999E-2</v>
      </c>
      <c r="S371" s="228">
        <v>1</v>
      </c>
      <c r="T371" s="156">
        <v>0.192525</v>
      </c>
      <c r="U371" s="182">
        <v>-45.4120824742268</v>
      </c>
      <c r="V371" s="183">
        <v>91.8</v>
      </c>
      <c r="W371" s="230">
        <v>4</v>
      </c>
      <c r="X371" s="184">
        <v>181.6483298969072</v>
      </c>
      <c r="Y371" s="185" t="s">
        <v>814</v>
      </c>
      <c r="Z371" s="185"/>
    </row>
    <row r="372" spans="3:26" ht="24" x14ac:dyDescent="0.2">
      <c r="C372" s="91"/>
      <c r="D372" s="214">
        <v>45506</v>
      </c>
      <c r="E372" s="219" t="s">
        <v>293</v>
      </c>
      <c r="F372" s="219" t="s">
        <v>616</v>
      </c>
      <c r="G372" s="219" t="s">
        <v>617</v>
      </c>
      <c r="H372" s="216">
        <v>0.52083333333333337</v>
      </c>
      <c r="I372" s="415"/>
      <c r="J372" s="416"/>
      <c r="K372" s="417"/>
      <c r="L372" s="218"/>
      <c r="M372" s="198"/>
      <c r="N372" s="195"/>
      <c r="O372" s="146"/>
      <c r="P372" s="147"/>
      <c r="Q372" s="180"/>
      <c r="R372" s="181"/>
      <c r="S372" s="150"/>
      <c r="T372" s="147"/>
      <c r="U372" s="182"/>
      <c r="V372" s="183"/>
      <c r="W372" s="150"/>
      <c r="X372" s="184"/>
      <c r="Y372" s="185"/>
      <c r="Z372" s="185"/>
    </row>
    <row r="373" spans="3:26" ht="24" x14ac:dyDescent="0.2">
      <c r="C373" s="91"/>
      <c r="D373" s="214">
        <v>45478</v>
      </c>
      <c r="E373" s="219" t="s">
        <v>149</v>
      </c>
      <c r="F373" s="219" t="s">
        <v>618</v>
      </c>
      <c r="G373" s="219" t="s">
        <v>382</v>
      </c>
      <c r="H373" s="216">
        <v>0.52083333333333337</v>
      </c>
      <c r="I373" s="415"/>
      <c r="J373" s="416"/>
      <c r="K373" s="417"/>
      <c r="L373" s="198"/>
      <c r="M373" s="198"/>
      <c r="N373" s="195"/>
      <c r="O373" s="146" t="s">
        <v>816</v>
      </c>
      <c r="P373" s="147"/>
      <c r="Q373" s="180"/>
      <c r="R373" s="181"/>
      <c r="S373" s="150"/>
      <c r="T373" s="147"/>
      <c r="U373" s="182">
        <v>0</v>
      </c>
      <c r="V373" s="183"/>
      <c r="W373" s="150"/>
      <c r="X373" s="184">
        <v>0</v>
      </c>
      <c r="Y373" s="185"/>
      <c r="Z373" s="185"/>
    </row>
    <row r="374" spans="3:26" ht="24" x14ac:dyDescent="0.2">
      <c r="C374" s="91"/>
      <c r="D374" s="214">
        <v>45450</v>
      </c>
      <c r="E374" s="219" t="s">
        <v>3</v>
      </c>
      <c r="F374" s="219" t="s">
        <v>619</v>
      </c>
      <c r="G374" s="219" t="s">
        <v>620</v>
      </c>
      <c r="H374" s="216">
        <v>0.52083333333333337</v>
      </c>
      <c r="I374" s="415"/>
      <c r="J374" s="416"/>
      <c r="K374" s="417"/>
      <c r="L374" s="198"/>
      <c r="M374" s="198"/>
      <c r="N374" s="195"/>
      <c r="O374" s="91"/>
      <c r="P374" s="91"/>
      <c r="Q374" s="91"/>
      <c r="R374" s="91"/>
      <c r="S374" s="91"/>
      <c r="T374" s="91"/>
      <c r="U374" s="91"/>
      <c r="V374" s="91"/>
      <c r="W374" s="91"/>
      <c r="X374" s="91"/>
      <c r="Y374" s="91"/>
      <c r="Z374" s="91"/>
    </row>
    <row r="375" spans="3:26" ht="24" x14ac:dyDescent="0.2">
      <c r="C375" s="91"/>
      <c r="D375" s="214">
        <v>45415</v>
      </c>
      <c r="E375" s="219" t="s">
        <v>621</v>
      </c>
      <c r="F375" s="219" t="s">
        <v>622</v>
      </c>
      <c r="G375" s="219" t="s">
        <v>623</v>
      </c>
      <c r="H375" s="216">
        <v>0.52083333333333337</v>
      </c>
      <c r="I375" s="418"/>
      <c r="J375" s="419"/>
      <c r="K375" s="420"/>
      <c r="L375" s="198"/>
      <c r="M375" s="198"/>
      <c r="N375" s="195"/>
      <c r="O375" s="91"/>
      <c r="P375" s="91"/>
      <c r="Q375" s="91"/>
      <c r="R375" s="91"/>
      <c r="S375" s="91"/>
      <c r="T375" s="91"/>
      <c r="U375" s="91"/>
      <c r="V375" s="91"/>
      <c r="W375" s="91"/>
      <c r="X375" s="91"/>
      <c r="Y375" s="91"/>
      <c r="Z375" s="91"/>
    </row>
    <row r="376" spans="3:26" ht="72" x14ac:dyDescent="0.2">
      <c r="C376" s="91" t="s">
        <v>105</v>
      </c>
      <c r="D376" s="193" t="s">
        <v>30</v>
      </c>
      <c r="E376" s="430" t="s">
        <v>861</v>
      </c>
      <c r="F376" s="430"/>
      <c r="G376" s="430"/>
      <c r="H376" s="194" t="s">
        <v>790</v>
      </c>
      <c r="I376" s="431" t="s">
        <v>633</v>
      </c>
      <c r="J376" s="432"/>
      <c r="K376" s="433"/>
      <c r="L376" s="194" t="s">
        <v>430</v>
      </c>
      <c r="M376" s="194" t="s">
        <v>431</v>
      </c>
      <c r="N376" s="195" t="s">
        <v>105</v>
      </c>
      <c r="O376" s="145" t="s">
        <v>800</v>
      </c>
      <c r="P376" s="145" t="s">
        <v>801</v>
      </c>
      <c r="Q376" s="145" t="s">
        <v>802</v>
      </c>
      <c r="R376" s="145" t="s">
        <v>803</v>
      </c>
      <c r="S376" s="145" t="s">
        <v>804</v>
      </c>
      <c r="T376" s="145" t="s">
        <v>805</v>
      </c>
      <c r="U376" s="145" t="s">
        <v>806</v>
      </c>
      <c r="V376" s="145" t="s">
        <v>807</v>
      </c>
      <c r="W376" s="145" t="s">
        <v>808</v>
      </c>
      <c r="X376" s="145" t="s">
        <v>809</v>
      </c>
      <c r="Y376" s="145" t="s">
        <v>75</v>
      </c>
      <c r="Z376" s="145" t="s">
        <v>75</v>
      </c>
    </row>
    <row r="377" spans="3:26" ht="24" x14ac:dyDescent="0.2">
      <c r="C377" s="91"/>
      <c r="D377" s="196" t="s">
        <v>432</v>
      </c>
      <c r="E377" s="434"/>
      <c r="F377" s="434"/>
      <c r="G377" s="434"/>
      <c r="H377" s="197" t="s">
        <v>794</v>
      </c>
      <c r="I377" s="412" t="s">
        <v>859</v>
      </c>
      <c r="J377" s="413"/>
      <c r="K377" s="414"/>
      <c r="L377" s="198"/>
      <c r="M377" s="198"/>
      <c r="N377" s="195"/>
      <c r="O377" s="146" t="s">
        <v>810</v>
      </c>
      <c r="P377" s="147">
        <v>0.1</v>
      </c>
      <c r="Q377" s="148">
        <v>3.9E-2</v>
      </c>
      <c r="R377" s="149">
        <v>2.1000000000015007E-2</v>
      </c>
      <c r="S377" s="150"/>
      <c r="T377" s="146">
        <v>7.9500000000015003E-2</v>
      </c>
      <c r="U377" s="148">
        <v>-18.989999999999998</v>
      </c>
      <c r="V377" s="147">
        <v>91.8</v>
      </c>
      <c r="W377" s="150"/>
      <c r="X377" s="150"/>
      <c r="Y377" s="151"/>
      <c r="Z377" s="151"/>
    </row>
    <row r="378" spans="3:26" ht="24" x14ac:dyDescent="0.2">
      <c r="C378" s="91"/>
      <c r="D378" s="196" t="s">
        <v>433</v>
      </c>
      <c r="E378" s="446">
        <v>4.1000000000000002E-2</v>
      </c>
      <c r="F378" s="440"/>
      <c r="G378" s="440"/>
      <c r="H378" s="197" t="s">
        <v>795</v>
      </c>
      <c r="I378" s="415"/>
      <c r="J378" s="416"/>
      <c r="K378" s="417"/>
      <c r="L378" s="198"/>
      <c r="M378" s="198"/>
      <c r="N378" s="195"/>
      <c r="O378" s="152"/>
      <c r="P378" s="152"/>
      <c r="Q378" s="152"/>
      <c r="R378" s="153"/>
      <c r="S378" s="154"/>
      <c r="T378" s="152"/>
      <c r="U378" s="152"/>
      <c r="V378" s="152"/>
      <c r="W378" s="154"/>
      <c r="X378" s="154"/>
      <c r="Y378" s="155"/>
      <c r="Z378" s="155"/>
    </row>
    <row r="379" spans="3:26" ht="24" x14ac:dyDescent="0.2">
      <c r="C379" s="91"/>
      <c r="D379" s="196" t="s">
        <v>434</v>
      </c>
      <c r="E379" s="446">
        <v>4.1000000000000002E-2</v>
      </c>
      <c r="F379" s="440"/>
      <c r="G379" s="440"/>
      <c r="H379" s="203"/>
      <c r="I379" s="415"/>
      <c r="J379" s="416"/>
      <c r="K379" s="417"/>
      <c r="L379" s="198"/>
      <c r="M379" s="198"/>
      <c r="N379" s="195"/>
      <c r="O379" s="156" t="s">
        <v>811</v>
      </c>
      <c r="P379" s="157">
        <v>0.1</v>
      </c>
      <c r="Q379" s="158">
        <v>7.22E-2</v>
      </c>
      <c r="R379" s="159">
        <v>1.4999999999999999E-2</v>
      </c>
      <c r="S379" s="160">
        <v>1</v>
      </c>
      <c r="T379" s="156">
        <v>0.12330000000000001</v>
      </c>
      <c r="U379" s="161">
        <v>-29.452415094334064</v>
      </c>
      <c r="V379" s="162">
        <v>91.8</v>
      </c>
      <c r="W379" s="163">
        <v>4.88</v>
      </c>
      <c r="X379" s="164">
        <v>143.72778566035024</v>
      </c>
      <c r="Y379" s="165"/>
      <c r="Z379" s="165">
        <v>4.4350000000000005</v>
      </c>
    </row>
    <row r="380" spans="3:26" ht="24" x14ac:dyDescent="0.2">
      <c r="C380" s="91"/>
      <c r="D380" s="196" t="s">
        <v>435</v>
      </c>
      <c r="E380" s="436">
        <v>0.52083333333333337</v>
      </c>
      <c r="F380" s="436"/>
      <c r="G380" s="436"/>
      <c r="H380" s="203"/>
      <c r="I380" s="415"/>
      <c r="J380" s="416"/>
      <c r="K380" s="417"/>
      <c r="L380" s="208">
        <v>0.75</v>
      </c>
      <c r="M380" s="208">
        <v>0.64583333333333337</v>
      </c>
      <c r="N380" s="195"/>
      <c r="O380" s="166" t="s">
        <v>812</v>
      </c>
      <c r="P380" s="167">
        <v>0.1</v>
      </c>
      <c r="Q380" s="168">
        <v>4.0533333333333338E-2</v>
      </c>
      <c r="R380" s="169">
        <v>1.4999999999999999E-2</v>
      </c>
      <c r="S380" s="170">
        <v>0.5</v>
      </c>
      <c r="T380" s="166">
        <v>7.5800000000000006E-2</v>
      </c>
      <c r="U380" s="171">
        <v>-9.0530943396209338</v>
      </c>
      <c r="V380" s="172">
        <v>91.8</v>
      </c>
      <c r="W380" s="173">
        <v>2.3650000000000002</v>
      </c>
      <c r="X380" s="174">
        <v>21.41056811320351</v>
      </c>
      <c r="Y380" s="175"/>
      <c r="Z380" s="175"/>
    </row>
    <row r="381" spans="3:26" ht="24" x14ac:dyDescent="0.2">
      <c r="C381" s="91"/>
      <c r="D381" s="196" t="s">
        <v>436</v>
      </c>
      <c r="E381" s="213" t="s">
        <v>29</v>
      </c>
      <c r="F381" s="213" t="s">
        <v>28</v>
      </c>
      <c r="G381" s="213" t="s">
        <v>27</v>
      </c>
      <c r="H381" s="203" t="s">
        <v>793</v>
      </c>
      <c r="I381" s="415"/>
      <c r="J381" s="416"/>
      <c r="K381" s="417"/>
      <c r="L381" s="198"/>
      <c r="M381" s="198"/>
      <c r="N381" s="195"/>
      <c r="O381" s="154"/>
      <c r="P381" s="176"/>
      <c r="Q381" s="154"/>
      <c r="R381" s="154"/>
      <c r="S381" s="154"/>
      <c r="T381" s="154"/>
      <c r="U381" s="177"/>
      <c r="V381" s="178"/>
      <c r="W381" s="154"/>
      <c r="X381" s="177"/>
      <c r="Y381" s="155"/>
      <c r="Z381" s="155"/>
    </row>
    <row r="382" spans="3:26" ht="24" x14ac:dyDescent="0.2">
      <c r="C382" s="91"/>
      <c r="D382" s="214">
        <v>45569</v>
      </c>
      <c r="E382" s="219">
        <v>4.1000000000000002E-2</v>
      </c>
      <c r="F382" s="219" t="s">
        <v>628</v>
      </c>
      <c r="G382" s="219">
        <v>4.2000000000000003E-2</v>
      </c>
      <c r="H382" s="216">
        <v>0.52083333333333337</v>
      </c>
      <c r="I382" s="415"/>
      <c r="J382" s="416"/>
      <c r="K382" s="417"/>
      <c r="L382" s="198"/>
      <c r="M382" s="198"/>
      <c r="N382" s="195"/>
      <c r="O382" s="179"/>
      <c r="P382" s="155"/>
      <c r="Q382" s="179"/>
      <c r="R382" s="179"/>
      <c r="S382" s="179"/>
      <c r="T382" s="179"/>
      <c r="U382" s="179"/>
      <c r="V382" s="179"/>
      <c r="W382" s="179"/>
      <c r="X382" s="179"/>
      <c r="Y382" s="155"/>
      <c r="Z382" s="155"/>
    </row>
    <row r="383" spans="3:26" ht="24" x14ac:dyDescent="0.2">
      <c r="C383" s="91"/>
      <c r="D383" s="214">
        <v>45541</v>
      </c>
      <c r="E383" s="219">
        <v>4.2000000000000003E-2</v>
      </c>
      <c r="F383" s="219" t="s">
        <v>628</v>
      </c>
      <c r="G383" s="219">
        <v>4.2999999999999997E-2</v>
      </c>
      <c r="H383" s="216">
        <v>0.52083333333333337</v>
      </c>
      <c r="I383" s="415"/>
      <c r="J383" s="416"/>
      <c r="K383" s="417"/>
      <c r="L383" s="198"/>
      <c r="M383" s="198"/>
      <c r="N383" s="195"/>
      <c r="O383" s="146" t="s">
        <v>813</v>
      </c>
      <c r="P383" s="147">
        <v>0.25</v>
      </c>
      <c r="Q383" s="180">
        <v>4.0533333333333338E-2</v>
      </c>
      <c r="R383" s="181">
        <v>1.4999999999999999E-2</v>
      </c>
      <c r="S383" s="150">
        <v>0.5</v>
      </c>
      <c r="T383" s="147">
        <v>7.5800000000000006E-2</v>
      </c>
      <c r="U383" s="182">
        <v>-22.632735849052334</v>
      </c>
      <c r="V383" s="183">
        <v>229.5</v>
      </c>
      <c r="W383" s="150">
        <v>2</v>
      </c>
      <c r="X383" s="184">
        <v>45.265471698104669</v>
      </c>
      <c r="Y383" s="185" t="s">
        <v>814</v>
      </c>
      <c r="Z383" s="185"/>
    </row>
    <row r="384" spans="3:26" ht="24" x14ac:dyDescent="0.2">
      <c r="C384" s="91"/>
      <c r="D384" s="214">
        <v>45506</v>
      </c>
      <c r="E384" s="219">
        <v>4.2999999999999997E-2</v>
      </c>
      <c r="F384" s="219" t="s">
        <v>629</v>
      </c>
      <c r="G384" s="219">
        <v>4.1000000000000002E-2</v>
      </c>
      <c r="H384" s="216">
        <v>0.52083333333333337</v>
      </c>
      <c r="I384" s="415"/>
      <c r="J384" s="416"/>
      <c r="K384" s="417"/>
      <c r="L384" s="218"/>
      <c r="M384" s="198"/>
      <c r="N384" s="195"/>
      <c r="O384" s="146" t="s">
        <v>813</v>
      </c>
      <c r="P384" s="147">
        <v>0.25</v>
      </c>
      <c r="Q384" s="180">
        <v>4.0533333333333338E-2</v>
      </c>
      <c r="R384" s="181">
        <v>1.4999999999999999E-2</v>
      </c>
      <c r="S384" s="150">
        <v>0.5</v>
      </c>
      <c r="T384" s="147">
        <v>7.5800000000000006E-2</v>
      </c>
      <c r="U384" s="182">
        <v>-22.349278350515466</v>
      </c>
      <c r="V384" s="183">
        <v>229.5</v>
      </c>
      <c r="W384" s="150">
        <v>2</v>
      </c>
      <c r="X384" s="184">
        <v>44.698556701030931</v>
      </c>
      <c r="Y384" s="185"/>
      <c r="Z384" s="185"/>
    </row>
    <row r="385" spans="3:26" ht="24" x14ac:dyDescent="0.2">
      <c r="C385" s="91"/>
      <c r="D385" s="214">
        <v>45478</v>
      </c>
      <c r="E385" s="219">
        <v>4.1000000000000002E-2</v>
      </c>
      <c r="F385" s="219" t="s">
        <v>630</v>
      </c>
      <c r="G385" s="219">
        <v>0.04</v>
      </c>
      <c r="H385" s="216">
        <v>0.52083333333333337</v>
      </c>
      <c r="I385" s="415"/>
      <c r="J385" s="416"/>
      <c r="K385" s="417"/>
      <c r="L385" s="198"/>
      <c r="M385" s="198"/>
      <c r="N385" s="195"/>
      <c r="O385" s="146" t="s">
        <v>816</v>
      </c>
      <c r="P385" s="147"/>
      <c r="Q385" s="180"/>
      <c r="R385" s="181"/>
      <c r="S385" s="150"/>
      <c r="T385" s="147"/>
      <c r="U385" s="182">
        <v>-22.349278350515466</v>
      </c>
      <c r="V385" s="183"/>
      <c r="W385" s="150"/>
      <c r="X385" s="184">
        <v>44.698556701030931</v>
      </c>
      <c r="Y385" s="185"/>
      <c r="Z385" s="185"/>
    </row>
    <row r="386" spans="3:26" ht="24" x14ac:dyDescent="0.2">
      <c r="C386" s="91"/>
      <c r="D386" s="214">
        <v>45450</v>
      </c>
      <c r="E386" s="219">
        <v>0.04</v>
      </c>
      <c r="F386" s="219" t="s">
        <v>631</v>
      </c>
      <c r="G386" s="219">
        <v>3.9E-2</v>
      </c>
      <c r="H386" s="216">
        <v>0.52083333333333337</v>
      </c>
      <c r="I386" s="415"/>
      <c r="J386" s="416"/>
      <c r="K386" s="417"/>
      <c r="L386" s="198"/>
      <c r="M386" s="198"/>
      <c r="N386" s="195"/>
      <c r="O386" s="91"/>
      <c r="P386" s="91"/>
      <c r="Q386" s="91"/>
      <c r="R386" s="91"/>
      <c r="S386" s="91"/>
      <c r="T386" s="91"/>
      <c r="U386" s="91"/>
      <c r="V386" s="91"/>
      <c r="W386" s="91"/>
      <c r="X386" s="91"/>
      <c r="Y386" s="91"/>
      <c r="Z386" s="91"/>
    </row>
    <row r="387" spans="3:26" ht="24" x14ac:dyDescent="0.2">
      <c r="C387" s="91"/>
      <c r="D387" s="214">
        <v>45415</v>
      </c>
      <c r="E387" s="219">
        <v>3.9E-2</v>
      </c>
      <c r="F387" s="219" t="s">
        <v>632</v>
      </c>
      <c r="G387" s="219">
        <v>3.7999999999999999E-2</v>
      </c>
      <c r="H387" s="216">
        <v>0.52083333333333337</v>
      </c>
      <c r="I387" s="418"/>
      <c r="J387" s="419"/>
      <c r="K387" s="420"/>
      <c r="L387" s="198"/>
      <c r="M387" s="198"/>
      <c r="N387" s="195"/>
      <c r="O387" s="91"/>
      <c r="P387" s="91"/>
      <c r="Q387" s="91"/>
      <c r="R387" s="91"/>
      <c r="S387" s="91"/>
      <c r="T387" s="91"/>
      <c r="U387" s="91"/>
      <c r="V387" s="91"/>
      <c r="W387" s="91"/>
      <c r="X387" s="91"/>
      <c r="Y387" s="91"/>
      <c r="Z387" s="91"/>
    </row>
    <row r="388" spans="3:26" ht="72" x14ac:dyDescent="0.2">
      <c r="C388" s="91" t="s">
        <v>105</v>
      </c>
      <c r="D388" s="193" t="s">
        <v>30</v>
      </c>
      <c r="E388" s="430" t="s">
        <v>862</v>
      </c>
      <c r="F388" s="430"/>
      <c r="G388" s="430"/>
      <c r="H388" s="194" t="s">
        <v>790</v>
      </c>
      <c r="I388" s="431" t="s">
        <v>633</v>
      </c>
      <c r="J388" s="432"/>
      <c r="K388" s="433"/>
      <c r="L388" s="194" t="s">
        <v>430</v>
      </c>
      <c r="M388" s="194" t="s">
        <v>431</v>
      </c>
      <c r="N388" s="195" t="s">
        <v>105</v>
      </c>
      <c r="O388" s="145" t="s">
        <v>800</v>
      </c>
      <c r="P388" s="145" t="s">
        <v>801</v>
      </c>
      <c r="Q388" s="145" t="s">
        <v>802</v>
      </c>
      <c r="R388" s="145" t="s">
        <v>803</v>
      </c>
      <c r="S388" s="145" t="s">
        <v>804</v>
      </c>
      <c r="T388" s="145" t="s">
        <v>805</v>
      </c>
      <c r="U388" s="145" t="s">
        <v>806</v>
      </c>
      <c r="V388" s="145" t="s">
        <v>807</v>
      </c>
      <c r="W388" s="145" t="s">
        <v>808</v>
      </c>
      <c r="X388" s="145" t="s">
        <v>809</v>
      </c>
      <c r="Y388" s="145" t="s">
        <v>75</v>
      </c>
      <c r="Z388" s="145" t="s">
        <v>75</v>
      </c>
    </row>
    <row r="389" spans="3:26" ht="24" x14ac:dyDescent="0.2">
      <c r="C389" s="91"/>
      <c r="D389" s="196" t="s">
        <v>432</v>
      </c>
      <c r="E389" s="434"/>
      <c r="F389" s="434"/>
      <c r="G389" s="434"/>
      <c r="H389" s="197" t="s">
        <v>794</v>
      </c>
      <c r="I389" s="412" t="s">
        <v>863</v>
      </c>
      <c r="J389" s="413"/>
      <c r="K389" s="414"/>
      <c r="L389" s="198"/>
      <c r="M389" s="198"/>
      <c r="N389" s="195"/>
      <c r="O389" s="146" t="s">
        <v>810</v>
      </c>
      <c r="P389" s="199">
        <v>0.1</v>
      </c>
      <c r="Q389" s="199">
        <v>2.1000000000000001E-2</v>
      </c>
      <c r="R389" s="199">
        <v>1.7000000000000001E-2</v>
      </c>
      <c r="S389" s="150"/>
      <c r="T389" s="146">
        <v>4.8500000000000001E-2</v>
      </c>
      <c r="U389" s="200">
        <v>-11.44</v>
      </c>
      <c r="V389" s="199">
        <v>91.8</v>
      </c>
      <c r="W389" s="202"/>
      <c r="X389" s="184"/>
      <c r="Y389" s="151"/>
      <c r="Z389" s="151"/>
    </row>
    <row r="390" spans="3:26" ht="24" x14ac:dyDescent="0.2">
      <c r="C390" s="91"/>
      <c r="D390" s="196" t="s">
        <v>433</v>
      </c>
      <c r="E390" s="440">
        <v>47.5</v>
      </c>
      <c r="F390" s="440"/>
      <c r="G390" s="440"/>
      <c r="H390" s="197" t="s">
        <v>795</v>
      </c>
      <c r="I390" s="415"/>
      <c r="J390" s="416"/>
      <c r="K390" s="417"/>
      <c r="L390" s="198"/>
      <c r="M390" s="198"/>
      <c r="N390" s="195"/>
      <c r="O390" s="152"/>
      <c r="P390" s="152"/>
      <c r="Q390" s="152"/>
      <c r="R390" s="153"/>
      <c r="S390" s="154"/>
      <c r="T390" s="152"/>
      <c r="U390" s="152"/>
      <c r="V390" s="152"/>
      <c r="W390" s="152"/>
      <c r="X390" s="154"/>
      <c r="Y390" s="155"/>
      <c r="Z390" s="155"/>
    </row>
    <row r="391" spans="3:26" ht="24" x14ac:dyDescent="0.2">
      <c r="C391" s="91"/>
      <c r="D391" s="196" t="s">
        <v>434</v>
      </c>
      <c r="E391" s="440">
        <v>47.2</v>
      </c>
      <c r="F391" s="440"/>
      <c r="G391" s="440"/>
      <c r="H391" s="203"/>
      <c r="I391" s="415"/>
      <c r="J391" s="416"/>
      <c r="K391" s="417"/>
      <c r="L391" s="198"/>
      <c r="M391" s="198"/>
      <c r="N391" s="195"/>
      <c r="O391" s="156" t="s">
        <v>811</v>
      </c>
      <c r="P391" s="204">
        <v>0.1</v>
      </c>
      <c r="Q391" s="205">
        <v>0.12959999999999999</v>
      </c>
      <c r="R391" s="206">
        <v>1.7000000000000001E-2</v>
      </c>
      <c r="S391" s="220">
        <v>1</v>
      </c>
      <c r="T391" s="156">
        <v>0.21139999999999998</v>
      </c>
      <c r="U391" s="161">
        <v>-49.864247422680407</v>
      </c>
      <c r="V391" s="162">
        <v>91.8</v>
      </c>
      <c r="W391" s="221">
        <v>2.71</v>
      </c>
      <c r="X391" s="164">
        <v>135.13211051546389</v>
      </c>
      <c r="Y391" s="165"/>
      <c r="Z391" s="165"/>
    </row>
    <row r="392" spans="3:26" ht="24" x14ac:dyDescent="0.2">
      <c r="C392" s="91"/>
      <c r="D392" s="196" t="s">
        <v>435</v>
      </c>
      <c r="E392" s="436">
        <v>0.58333333333333337</v>
      </c>
      <c r="F392" s="436"/>
      <c r="G392" s="436"/>
      <c r="H392" s="203"/>
      <c r="I392" s="415"/>
      <c r="J392" s="416"/>
      <c r="K392" s="417"/>
      <c r="L392" s="208">
        <v>0.8125</v>
      </c>
      <c r="M392" s="208">
        <v>0.70833333333333337</v>
      </c>
      <c r="N392" s="195"/>
      <c r="O392" s="166" t="s">
        <v>812</v>
      </c>
      <c r="P392" s="209">
        <v>0.1</v>
      </c>
      <c r="Q392" s="187">
        <v>6.5733333333333324E-2</v>
      </c>
      <c r="R392" s="210">
        <v>1.7000000000000001E-2</v>
      </c>
      <c r="S392" s="222">
        <v>1</v>
      </c>
      <c r="T392" s="211">
        <v>0.11559999999999999</v>
      </c>
      <c r="U392" s="171">
        <v>-27.267298969072165</v>
      </c>
      <c r="V392" s="172">
        <v>91.8</v>
      </c>
      <c r="W392" s="223">
        <v>4.16</v>
      </c>
      <c r="X392" s="174">
        <v>113.43196371134022</v>
      </c>
      <c r="Y392" s="175"/>
      <c r="Z392" s="175"/>
    </row>
    <row r="393" spans="3:26" ht="24" x14ac:dyDescent="0.2">
      <c r="C393" s="91"/>
      <c r="D393" s="196" t="s">
        <v>436</v>
      </c>
      <c r="E393" s="213" t="s">
        <v>29</v>
      </c>
      <c r="F393" s="213" t="s">
        <v>28</v>
      </c>
      <c r="G393" s="213" t="s">
        <v>27</v>
      </c>
      <c r="H393" s="203" t="s">
        <v>793</v>
      </c>
      <c r="I393" s="415"/>
      <c r="J393" s="416"/>
      <c r="K393" s="417"/>
      <c r="L393" s="198"/>
      <c r="M393" s="198"/>
      <c r="N393" s="195"/>
      <c r="O393" s="154"/>
      <c r="P393" s="176"/>
      <c r="Q393" s="154"/>
      <c r="R393" s="154"/>
      <c r="S393" s="224"/>
      <c r="T393" s="154"/>
      <c r="U393" s="177"/>
      <c r="V393" s="178"/>
      <c r="W393" s="225"/>
      <c r="X393" s="177"/>
      <c r="Y393" s="155"/>
      <c r="Z393" s="155"/>
    </row>
    <row r="394" spans="3:26" ht="24" x14ac:dyDescent="0.2">
      <c r="C394" s="91"/>
      <c r="D394" s="214">
        <v>45566</v>
      </c>
      <c r="E394" s="232">
        <v>47.2</v>
      </c>
      <c r="F394" s="232" t="s">
        <v>901</v>
      </c>
      <c r="G394" s="232">
        <v>47.2</v>
      </c>
      <c r="H394" s="216">
        <v>0.58333333333333337</v>
      </c>
      <c r="I394" s="415"/>
      <c r="J394" s="416"/>
      <c r="K394" s="417"/>
      <c r="L394" s="198"/>
      <c r="M394" s="198"/>
      <c r="N394" s="195"/>
      <c r="O394" s="179"/>
      <c r="P394" s="155"/>
      <c r="Q394" s="179"/>
      <c r="R394" s="179"/>
      <c r="S394" s="224"/>
      <c r="T394" s="179"/>
      <c r="U394" s="179"/>
      <c r="V394" s="179"/>
      <c r="W394" s="227"/>
      <c r="X394" s="179"/>
      <c r="Y394" s="155"/>
      <c r="Z394" s="155"/>
    </row>
    <row r="395" spans="3:26" ht="24" x14ac:dyDescent="0.2">
      <c r="C395" s="91"/>
      <c r="D395" s="214">
        <v>45538</v>
      </c>
      <c r="E395" s="232">
        <v>47.2</v>
      </c>
      <c r="F395" s="232" t="s">
        <v>509</v>
      </c>
      <c r="G395" s="232">
        <v>46.8</v>
      </c>
      <c r="H395" s="216">
        <v>0.58333333333333337</v>
      </c>
      <c r="I395" s="415"/>
      <c r="J395" s="416"/>
      <c r="K395" s="417"/>
      <c r="L395" s="198"/>
      <c r="M395" s="198"/>
      <c r="N395" s="195"/>
      <c r="O395" s="146" t="s">
        <v>813</v>
      </c>
      <c r="P395" s="233">
        <v>-0.05</v>
      </c>
      <c r="Q395" s="180">
        <v>9.7666666666666652E-2</v>
      </c>
      <c r="R395" s="181">
        <v>1.7000000000000001E-2</v>
      </c>
      <c r="S395" s="228">
        <v>-1.5</v>
      </c>
      <c r="T395" s="156">
        <v>0.16349999999999998</v>
      </c>
      <c r="U395" s="182">
        <v>-28.92432989690721</v>
      </c>
      <c r="V395" s="183">
        <v>-45.9</v>
      </c>
      <c r="W395" s="230">
        <v>2</v>
      </c>
      <c r="X395" s="184">
        <v>57.84865979381442</v>
      </c>
      <c r="Y395" s="185" t="s">
        <v>814</v>
      </c>
      <c r="Z395" s="185"/>
    </row>
    <row r="396" spans="3:26" ht="24" x14ac:dyDescent="0.2">
      <c r="C396" s="91"/>
      <c r="D396" s="214">
        <v>45505</v>
      </c>
      <c r="E396" s="232">
        <v>46.8</v>
      </c>
      <c r="F396" s="232" t="s">
        <v>510</v>
      </c>
      <c r="G396" s="232">
        <v>48.5</v>
      </c>
      <c r="H396" s="216">
        <v>0.58333333333333337</v>
      </c>
      <c r="I396" s="415"/>
      <c r="J396" s="416"/>
      <c r="K396" s="417"/>
      <c r="L396" s="218"/>
      <c r="M396" s="198"/>
      <c r="N396" s="195"/>
      <c r="O396" s="146"/>
      <c r="P396" s="147"/>
      <c r="Q396" s="180"/>
      <c r="R396" s="181"/>
      <c r="S396" s="150"/>
      <c r="T396" s="147"/>
      <c r="U396" s="182"/>
      <c r="V396" s="183"/>
      <c r="W396" s="150"/>
      <c r="X396" s="184"/>
      <c r="Y396" s="185"/>
      <c r="Z396" s="185"/>
    </row>
    <row r="397" spans="3:26" ht="24" x14ac:dyDescent="0.2">
      <c r="C397" s="91"/>
      <c r="D397" s="214">
        <v>45474</v>
      </c>
      <c r="E397" s="232">
        <v>48.5</v>
      </c>
      <c r="F397" s="232" t="s">
        <v>511</v>
      </c>
      <c r="G397" s="232">
        <v>48.7</v>
      </c>
      <c r="H397" s="216">
        <v>0.58333333333333337</v>
      </c>
      <c r="I397" s="415"/>
      <c r="J397" s="416"/>
      <c r="K397" s="417"/>
      <c r="L397" s="198"/>
      <c r="M397" s="198"/>
      <c r="N397" s="195"/>
      <c r="O397" s="146" t="s">
        <v>816</v>
      </c>
      <c r="P397" s="147"/>
      <c r="Q397" s="180"/>
      <c r="R397" s="181"/>
      <c r="S397" s="150"/>
      <c r="T397" s="147"/>
      <c r="U397" s="182">
        <v>0</v>
      </c>
      <c r="V397" s="183"/>
      <c r="W397" s="150"/>
      <c r="X397" s="184">
        <v>0</v>
      </c>
      <c r="Y397" s="185"/>
      <c r="Z397" s="185"/>
    </row>
    <row r="398" spans="3:26" ht="24" x14ac:dyDescent="0.2">
      <c r="C398" s="91"/>
      <c r="D398" s="214">
        <v>45446</v>
      </c>
      <c r="E398" s="232">
        <v>48.7</v>
      </c>
      <c r="F398" s="232" t="s">
        <v>513</v>
      </c>
      <c r="G398" s="232">
        <v>49.2</v>
      </c>
      <c r="H398" s="216">
        <v>0.58333333333333337</v>
      </c>
      <c r="I398" s="415"/>
      <c r="J398" s="416"/>
      <c r="K398" s="417"/>
      <c r="L398" s="198"/>
      <c r="M398" s="198"/>
      <c r="N398" s="195"/>
      <c r="O398" s="91"/>
      <c r="P398" s="91"/>
      <c r="Q398" s="91"/>
      <c r="R398" s="91"/>
      <c r="S398" s="91"/>
      <c r="T398" s="91"/>
      <c r="U398" s="91"/>
      <c r="V398" s="91"/>
      <c r="W398" s="91"/>
      <c r="X398" s="91"/>
      <c r="Y398" s="91"/>
      <c r="Z398" s="91"/>
    </row>
    <row r="399" spans="3:26" ht="24" x14ac:dyDescent="0.2">
      <c r="C399" s="91"/>
      <c r="D399" s="214">
        <v>45413</v>
      </c>
      <c r="E399" s="232">
        <v>49.2</v>
      </c>
      <c r="F399" s="232" t="s">
        <v>515</v>
      </c>
      <c r="G399" s="232">
        <v>50.3</v>
      </c>
      <c r="H399" s="216">
        <v>0.58333333333333337</v>
      </c>
      <c r="I399" s="418"/>
      <c r="J399" s="419"/>
      <c r="K399" s="420"/>
      <c r="L399" s="198"/>
      <c r="M399" s="198"/>
      <c r="N399" s="195"/>
      <c r="O399" s="91"/>
      <c r="P399" s="91"/>
      <c r="Q399" s="91"/>
      <c r="R399" s="91"/>
      <c r="S399" s="91"/>
      <c r="T399" s="91"/>
      <c r="U399" s="91"/>
      <c r="V399" s="91"/>
      <c r="W399" s="91"/>
      <c r="X399" s="91"/>
      <c r="Y399" s="91"/>
      <c r="Z399" s="91"/>
    </row>
    <row r="400" spans="3:26" ht="72" x14ac:dyDescent="0.2">
      <c r="C400" s="91" t="s">
        <v>105</v>
      </c>
      <c r="D400" s="193" t="s">
        <v>30</v>
      </c>
      <c r="E400" s="430" t="s">
        <v>864</v>
      </c>
      <c r="F400" s="430"/>
      <c r="G400" s="430"/>
      <c r="H400" s="194" t="s">
        <v>790</v>
      </c>
      <c r="I400" s="431" t="s">
        <v>633</v>
      </c>
      <c r="J400" s="432"/>
      <c r="K400" s="433"/>
      <c r="L400" s="194" t="s">
        <v>430</v>
      </c>
      <c r="M400" s="194" t="s">
        <v>431</v>
      </c>
      <c r="N400" s="195" t="s">
        <v>105</v>
      </c>
      <c r="O400" s="145" t="s">
        <v>800</v>
      </c>
      <c r="P400" s="145" t="s">
        <v>801</v>
      </c>
      <c r="Q400" s="145" t="s">
        <v>802</v>
      </c>
      <c r="R400" s="145" t="s">
        <v>803</v>
      </c>
      <c r="S400" s="145" t="s">
        <v>804</v>
      </c>
      <c r="T400" s="145" t="s">
        <v>805</v>
      </c>
      <c r="U400" s="145" t="s">
        <v>806</v>
      </c>
      <c r="V400" s="145" t="s">
        <v>807</v>
      </c>
      <c r="W400" s="145" t="s">
        <v>808</v>
      </c>
      <c r="X400" s="145" t="s">
        <v>809</v>
      </c>
      <c r="Y400" s="145" t="s">
        <v>75</v>
      </c>
      <c r="Z400" s="145" t="s">
        <v>75</v>
      </c>
    </row>
    <row r="401" spans="3:26" ht="24" x14ac:dyDescent="0.2">
      <c r="C401" s="91"/>
      <c r="D401" s="196" t="s">
        <v>432</v>
      </c>
      <c r="E401" s="434"/>
      <c r="F401" s="434"/>
      <c r="G401" s="434"/>
      <c r="H401" s="197" t="s">
        <v>794</v>
      </c>
      <c r="I401" s="412" t="s">
        <v>865</v>
      </c>
      <c r="J401" s="413"/>
      <c r="K401" s="414"/>
      <c r="L401" s="198"/>
      <c r="M401" s="198"/>
      <c r="N401" s="195"/>
      <c r="O401" s="146" t="s">
        <v>810</v>
      </c>
      <c r="P401" s="147">
        <v>0.1</v>
      </c>
      <c r="Q401" s="148">
        <v>3.9E-2</v>
      </c>
      <c r="R401" s="149">
        <v>2.1000000000015007E-2</v>
      </c>
      <c r="S401" s="150"/>
      <c r="T401" s="146">
        <v>7.9500000000015003E-2</v>
      </c>
      <c r="U401" s="148">
        <v>-18.989999999999998</v>
      </c>
      <c r="V401" s="147">
        <v>91.8</v>
      </c>
      <c r="W401" s="150"/>
      <c r="X401" s="150"/>
      <c r="Y401" s="151"/>
      <c r="Z401" s="151"/>
    </row>
    <row r="402" spans="3:26" ht="24" x14ac:dyDescent="0.2">
      <c r="C402" s="91"/>
      <c r="D402" s="196" t="s">
        <v>433</v>
      </c>
      <c r="E402" s="440">
        <v>48.9</v>
      </c>
      <c r="F402" s="440"/>
      <c r="G402" s="440"/>
      <c r="H402" s="197" t="s">
        <v>795</v>
      </c>
      <c r="I402" s="415"/>
      <c r="J402" s="416"/>
      <c r="K402" s="417"/>
      <c r="L402" s="198"/>
      <c r="M402" s="198"/>
      <c r="N402" s="195"/>
      <c r="O402" s="152"/>
      <c r="P402" s="152"/>
      <c r="Q402" s="152"/>
      <c r="R402" s="153"/>
      <c r="S402" s="154"/>
      <c r="T402" s="152"/>
      <c r="U402" s="152"/>
      <c r="V402" s="152"/>
      <c r="W402" s="154"/>
      <c r="X402" s="154"/>
      <c r="Y402" s="155"/>
      <c r="Z402" s="155"/>
    </row>
    <row r="403" spans="3:26" ht="24" x14ac:dyDescent="0.2">
      <c r="C403" s="91"/>
      <c r="D403" s="196" t="s">
        <v>434</v>
      </c>
      <c r="E403" s="440">
        <v>48.3</v>
      </c>
      <c r="F403" s="440"/>
      <c r="G403" s="440"/>
      <c r="H403" s="203"/>
      <c r="I403" s="415"/>
      <c r="J403" s="416"/>
      <c r="K403" s="417"/>
      <c r="L403" s="198"/>
      <c r="M403" s="198"/>
      <c r="N403" s="195"/>
      <c r="O403" s="156" t="s">
        <v>811</v>
      </c>
      <c r="P403" s="157">
        <v>0.1</v>
      </c>
      <c r="Q403" s="158">
        <v>7.22E-2</v>
      </c>
      <c r="R403" s="159">
        <v>1.4999999999999999E-2</v>
      </c>
      <c r="S403" s="160">
        <v>1</v>
      </c>
      <c r="T403" s="156">
        <v>0.12330000000000001</v>
      </c>
      <c r="U403" s="161">
        <v>-29.452415094334064</v>
      </c>
      <c r="V403" s="162">
        <v>91.8</v>
      </c>
      <c r="W403" s="163">
        <v>4.88</v>
      </c>
      <c r="X403" s="164">
        <v>143.72778566035024</v>
      </c>
      <c r="Y403" s="165"/>
      <c r="Z403" s="165">
        <v>4.4350000000000005</v>
      </c>
    </row>
    <row r="404" spans="3:26" ht="24" x14ac:dyDescent="0.2">
      <c r="C404" s="91"/>
      <c r="D404" s="196" t="s">
        <v>435</v>
      </c>
      <c r="E404" s="436">
        <v>0.58333333333333337</v>
      </c>
      <c r="F404" s="436"/>
      <c r="G404" s="436"/>
      <c r="H404" s="203"/>
      <c r="I404" s="415"/>
      <c r="J404" s="416"/>
      <c r="K404" s="417"/>
      <c r="L404" s="208">
        <v>0.8125</v>
      </c>
      <c r="M404" s="208">
        <v>0.70833333333333337</v>
      </c>
      <c r="N404" s="195"/>
      <c r="O404" s="166" t="s">
        <v>812</v>
      </c>
      <c r="P404" s="167">
        <v>0.1</v>
      </c>
      <c r="Q404" s="168">
        <v>4.0533333333333338E-2</v>
      </c>
      <c r="R404" s="169">
        <v>1.4999999999999999E-2</v>
      </c>
      <c r="S404" s="170">
        <v>0.5</v>
      </c>
      <c r="T404" s="166">
        <v>7.5800000000000006E-2</v>
      </c>
      <c r="U404" s="171">
        <v>-9.0530943396209338</v>
      </c>
      <c r="V404" s="172">
        <v>91.8</v>
      </c>
      <c r="W404" s="173">
        <v>2.3650000000000002</v>
      </c>
      <c r="X404" s="174">
        <v>21.41056811320351</v>
      </c>
      <c r="Y404" s="175"/>
      <c r="Z404" s="175"/>
    </row>
    <row r="405" spans="3:26" ht="24" x14ac:dyDescent="0.2">
      <c r="C405" s="91"/>
      <c r="D405" s="196" t="s">
        <v>436</v>
      </c>
      <c r="E405" s="213" t="s">
        <v>29</v>
      </c>
      <c r="F405" s="213" t="s">
        <v>28</v>
      </c>
      <c r="G405" s="213" t="s">
        <v>27</v>
      </c>
      <c r="H405" s="203" t="s">
        <v>793</v>
      </c>
      <c r="I405" s="415"/>
      <c r="J405" s="416"/>
      <c r="K405" s="417"/>
      <c r="L405" s="198"/>
      <c r="M405" s="198"/>
      <c r="N405" s="195"/>
      <c r="O405" s="154"/>
      <c r="P405" s="176"/>
      <c r="Q405" s="154"/>
      <c r="R405" s="154"/>
      <c r="S405" s="154"/>
      <c r="T405" s="154"/>
      <c r="U405" s="177"/>
      <c r="V405" s="178"/>
      <c r="W405" s="154"/>
      <c r="X405" s="177"/>
      <c r="Y405" s="155"/>
      <c r="Z405" s="155"/>
    </row>
    <row r="406" spans="3:26" ht="24" x14ac:dyDescent="0.2">
      <c r="C406" s="91"/>
      <c r="D406" s="214">
        <v>45566</v>
      </c>
      <c r="E406" s="232">
        <v>48.3</v>
      </c>
      <c r="F406" s="232" t="s">
        <v>902</v>
      </c>
      <c r="G406" s="232">
        <v>54</v>
      </c>
      <c r="H406" s="216">
        <v>0.58333333333333337</v>
      </c>
      <c r="I406" s="415"/>
      <c r="J406" s="416"/>
      <c r="K406" s="417"/>
      <c r="L406" s="198"/>
      <c r="M406" s="198"/>
      <c r="N406" s="195"/>
      <c r="O406" s="179"/>
      <c r="P406" s="155"/>
      <c r="Q406" s="179"/>
      <c r="R406" s="179"/>
      <c r="S406" s="179"/>
      <c r="T406" s="179"/>
      <c r="U406" s="179"/>
      <c r="V406" s="179"/>
      <c r="W406" s="179"/>
      <c r="X406" s="179"/>
      <c r="Y406" s="155"/>
      <c r="Z406" s="155"/>
    </row>
    <row r="407" spans="3:26" ht="24" x14ac:dyDescent="0.2">
      <c r="C407" s="91"/>
      <c r="D407" s="214">
        <v>45538</v>
      </c>
      <c r="E407" s="232">
        <v>54</v>
      </c>
      <c r="F407" s="232" t="s">
        <v>519</v>
      </c>
      <c r="G407" s="232">
        <v>52.9</v>
      </c>
      <c r="H407" s="216">
        <v>0.58333333333333337</v>
      </c>
      <c r="I407" s="415"/>
      <c r="J407" s="416"/>
      <c r="K407" s="417"/>
      <c r="L407" s="198"/>
      <c r="M407" s="198"/>
      <c r="N407" s="195"/>
      <c r="O407" s="146" t="s">
        <v>813</v>
      </c>
      <c r="P407" s="147">
        <v>0.25</v>
      </c>
      <c r="Q407" s="180">
        <v>4.0533333333333338E-2</v>
      </c>
      <c r="R407" s="181">
        <v>1.4999999999999999E-2</v>
      </c>
      <c r="S407" s="150">
        <v>0.5</v>
      </c>
      <c r="T407" s="147">
        <v>7.5800000000000006E-2</v>
      </c>
      <c r="U407" s="182">
        <v>-22.632735849052334</v>
      </c>
      <c r="V407" s="183">
        <v>229.5</v>
      </c>
      <c r="W407" s="150">
        <v>2</v>
      </c>
      <c r="X407" s="184">
        <v>45.265471698104669</v>
      </c>
      <c r="Y407" s="185" t="s">
        <v>814</v>
      </c>
      <c r="Z407" s="185"/>
    </row>
    <row r="408" spans="3:26" ht="24" x14ac:dyDescent="0.2">
      <c r="C408" s="91"/>
      <c r="D408" s="214">
        <v>45505</v>
      </c>
      <c r="E408" s="232">
        <v>52.9</v>
      </c>
      <c r="F408" s="232" t="s">
        <v>520</v>
      </c>
      <c r="G408" s="232">
        <v>52.1</v>
      </c>
      <c r="H408" s="216">
        <v>0.58333333333333337</v>
      </c>
      <c r="I408" s="415"/>
      <c r="J408" s="416"/>
      <c r="K408" s="417"/>
      <c r="L408" s="218"/>
      <c r="M408" s="198"/>
      <c r="N408" s="195"/>
      <c r="O408" s="146" t="s">
        <v>813</v>
      </c>
      <c r="P408" s="147">
        <v>0.25</v>
      </c>
      <c r="Q408" s="180">
        <v>4.0533333333333338E-2</v>
      </c>
      <c r="R408" s="181">
        <v>1.4999999999999999E-2</v>
      </c>
      <c r="S408" s="150">
        <v>0.5</v>
      </c>
      <c r="T408" s="147">
        <v>7.5800000000000006E-2</v>
      </c>
      <c r="U408" s="182">
        <v>-22.349278350515466</v>
      </c>
      <c r="V408" s="183">
        <v>229.5</v>
      </c>
      <c r="W408" s="150">
        <v>2</v>
      </c>
      <c r="X408" s="184">
        <v>44.698556701030931</v>
      </c>
      <c r="Y408" s="185"/>
      <c r="Z408" s="185"/>
    </row>
    <row r="409" spans="3:26" ht="24" x14ac:dyDescent="0.2">
      <c r="C409" s="91"/>
      <c r="D409" s="214">
        <v>45474</v>
      </c>
      <c r="E409" s="232">
        <v>52.1</v>
      </c>
      <c r="F409" s="232" t="s">
        <v>521</v>
      </c>
      <c r="G409" s="232">
        <v>57</v>
      </c>
      <c r="H409" s="216">
        <v>0.58333333333333337</v>
      </c>
      <c r="I409" s="415"/>
      <c r="J409" s="416"/>
      <c r="K409" s="417"/>
      <c r="L409" s="198"/>
      <c r="M409" s="198"/>
      <c r="N409" s="195"/>
      <c r="O409" s="146" t="s">
        <v>816</v>
      </c>
      <c r="P409" s="147"/>
      <c r="Q409" s="180"/>
      <c r="R409" s="181"/>
      <c r="S409" s="150"/>
      <c r="T409" s="147"/>
      <c r="U409" s="182">
        <v>-22.349278350515466</v>
      </c>
      <c r="V409" s="183"/>
      <c r="W409" s="150"/>
      <c r="X409" s="184">
        <v>44.698556701030931</v>
      </c>
      <c r="Y409" s="185"/>
      <c r="Z409" s="185"/>
    </row>
    <row r="410" spans="3:26" ht="24" x14ac:dyDescent="0.2">
      <c r="C410" s="91"/>
      <c r="D410" s="214">
        <v>45446</v>
      </c>
      <c r="E410" s="232">
        <v>57</v>
      </c>
      <c r="F410" s="232" t="s">
        <v>522</v>
      </c>
      <c r="G410" s="232">
        <v>60.9</v>
      </c>
      <c r="H410" s="216">
        <v>0.58333333333333337</v>
      </c>
      <c r="I410" s="415"/>
      <c r="J410" s="416"/>
      <c r="K410" s="417"/>
      <c r="L410" s="198"/>
      <c r="M410" s="198"/>
      <c r="N410" s="195"/>
      <c r="O410" s="91"/>
      <c r="P410" s="91"/>
      <c r="Q410" s="91"/>
      <c r="R410" s="91"/>
      <c r="S410" s="91"/>
      <c r="T410" s="91"/>
      <c r="U410" s="91"/>
      <c r="V410" s="91"/>
      <c r="W410" s="91"/>
      <c r="X410" s="91"/>
      <c r="Y410" s="91"/>
      <c r="Z410" s="91"/>
    </row>
    <row r="411" spans="3:26" ht="24" x14ac:dyDescent="0.2">
      <c r="C411" s="91"/>
      <c r="D411" s="214">
        <v>45413</v>
      </c>
      <c r="E411" s="232">
        <v>60.9</v>
      </c>
      <c r="F411" s="232" t="s">
        <v>523</v>
      </c>
      <c r="G411" s="232">
        <v>55.8</v>
      </c>
      <c r="H411" s="216">
        <v>0.58333333333333337</v>
      </c>
      <c r="I411" s="418"/>
      <c r="J411" s="419"/>
      <c r="K411" s="420"/>
      <c r="L411" s="198"/>
      <c r="M411" s="198"/>
      <c r="N411" s="195"/>
      <c r="O411" s="91"/>
      <c r="P411" s="91"/>
      <c r="Q411" s="91"/>
      <c r="R411" s="91"/>
      <c r="S411" s="91"/>
      <c r="T411" s="91"/>
      <c r="U411" s="91"/>
      <c r="V411" s="91"/>
      <c r="W411" s="91"/>
      <c r="X411" s="91"/>
      <c r="Y411" s="91"/>
      <c r="Z411" s="91"/>
    </row>
    <row r="412" spans="3:26" ht="72" x14ac:dyDescent="0.2">
      <c r="C412" s="91" t="s">
        <v>105</v>
      </c>
      <c r="D412" s="193" t="s">
        <v>30</v>
      </c>
      <c r="E412" s="430" t="s">
        <v>866</v>
      </c>
      <c r="F412" s="430"/>
      <c r="G412" s="430"/>
      <c r="H412" s="194" t="s">
        <v>790</v>
      </c>
      <c r="I412" s="431" t="s">
        <v>633</v>
      </c>
      <c r="J412" s="432"/>
      <c r="K412" s="433"/>
      <c r="L412" s="194" t="s">
        <v>430</v>
      </c>
      <c r="M412" s="194" t="s">
        <v>431</v>
      </c>
      <c r="N412" s="195" t="s">
        <v>105</v>
      </c>
      <c r="O412" s="145" t="s">
        <v>800</v>
      </c>
      <c r="P412" s="145" t="s">
        <v>801</v>
      </c>
      <c r="Q412" s="145" t="s">
        <v>802</v>
      </c>
      <c r="R412" s="145" t="s">
        <v>803</v>
      </c>
      <c r="S412" s="145" t="s">
        <v>804</v>
      </c>
      <c r="T412" s="145" t="s">
        <v>805</v>
      </c>
      <c r="U412" s="145" t="s">
        <v>806</v>
      </c>
      <c r="V412" s="145" t="s">
        <v>807</v>
      </c>
      <c r="W412" s="145" t="s">
        <v>808</v>
      </c>
      <c r="X412" s="145" t="s">
        <v>809</v>
      </c>
      <c r="Y412" s="145" t="s">
        <v>75</v>
      </c>
      <c r="Z412" s="145" t="s">
        <v>75</v>
      </c>
    </row>
    <row r="413" spans="3:26" ht="24" x14ac:dyDescent="0.2">
      <c r="C413" s="91"/>
      <c r="D413" s="196" t="s">
        <v>432</v>
      </c>
      <c r="E413" s="434"/>
      <c r="F413" s="434"/>
      <c r="G413" s="434"/>
      <c r="H413" s="197" t="s">
        <v>794</v>
      </c>
      <c r="I413" s="412" t="s">
        <v>867</v>
      </c>
      <c r="J413" s="413"/>
      <c r="K413" s="414"/>
      <c r="L413" s="198"/>
      <c r="M413" s="198"/>
      <c r="N413" s="195"/>
      <c r="O413" s="146" t="s">
        <v>810</v>
      </c>
      <c r="P413" s="199">
        <v>0.1</v>
      </c>
      <c r="Q413" s="199">
        <v>2.1000000000000001E-2</v>
      </c>
      <c r="R413" s="199">
        <v>1.7000000000000001E-2</v>
      </c>
      <c r="S413" s="150"/>
      <c r="T413" s="146">
        <v>4.8500000000000001E-2</v>
      </c>
      <c r="U413" s="200">
        <v>-11.44</v>
      </c>
      <c r="V413" s="199">
        <v>91.8</v>
      </c>
      <c r="W413" s="202"/>
      <c r="X413" s="184"/>
      <c r="Y413" s="151"/>
      <c r="Z413" s="151"/>
    </row>
    <row r="414" spans="3:26" ht="24" x14ac:dyDescent="0.2">
      <c r="C414" s="91"/>
      <c r="D414" s="196" t="s">
        <v>433</v>
      </c>
      <c r="E414" s="440">
        <v>47.9</v>
      </c>
      <c r="F414" s="440"/>
      <c r="G414" s="440"/>
      <c r="H414" s="197" t="s">
        <v>795</v>
      </c>
      <c r="I414" s="415"/>
      <c r="J414" s="416"/>
      <c r="K414" s="417"/>
      <c r="L414" s="198"/>
      <c r="M414" s="198"/>
      <c r="N414" s="195"/>
      <c r="O414" s="152"/>
      <c r="P414" s="152"/>
      <c r="Q414" s="152"/>
      <c r="R414" s="153"/>
      <c r="S414" s="154"/>
      <c r="T414" s="152"/>
      <c r="U414" s="152"/>
      <c r="V414" s="152"/>
      <c r="W414" s="152"/>
      <c r="X414" s="154"/>
      <c r="Y414" s="155"/>
      <c r="Z414" s="155"/>
    </row>
    <row r="415" spans="3:26" ht="24" x14ac:dyDescent="0.2">
      <c r="C415" s="91"/>
      <c r="D415" s="196" t="s">
        <v>434</v>
      </c>
      <c r="E415" s="440">
        <v>47.3</v>
      </c>
      <c r="F415" s="440"/>
      <c r="G415" s="440"/>
      <c r="H415" s="203"/>
      <c r="I415" s="415"/>
      <c r="J415" s="416"/>
      <c r="K415" s="417"/>
      <c r="L415" s="198"/>
      <c r="M415" s="198"/>
      <c r="N415" s="195"/>
      <c r="O415" s="156" t="s">
        <v>811</v>
      </c>
      <c r="P415" s="204">
        <v>0.1</v>
      </c>
      <c r="Q415" s="205">
        <v>0.12959999999999999</v>
      </c>
      <c r="R415" s="206">
        <v>1.7000000000000001E-2</v>
      </c>
      <c r="S415" s="220">
        <v>1</v>
      </c>
      <c r="T415" s="156">
        <v>0.21139999999999998</v>
      </c>
      <c r="U415" s="161">
        <v>-49.864247422680407</v>
      </c>
      <c r="V415" s="162">
        <v>91.8</v>
      </c>
      <c r="W415" s="221">
        <v>2.71</v>
      </c>
      <c r="X415" s="164">
        <v>135.13211051546389</v>
      </c>
      <c r="Y415" s="165"/>
      <c r="Z415" s="165"/>
    </row>
    <row r="416" spans="3:26" ht="24" x14ac:dyDescent="0.2">
      <c r="C416" s="91"/>
      <c r="D416" s="196" t="s">
        <v>435</v>
      </c>
      <c r="E416" s="436">
        <v>0.61458333333333337</v>
      </c>
      <c r="F416" s="436"/>
      <c r="G416" s="436"/>
      <c r="H416" s="203"/>
      <c r="I416" s="415"/>
      <c r="J416" s="416"/>
      <c r="K416" s="417"/>
      <c r="L416" s="208">
        <v>0.84375</v>
      </c>
      <c r="M416" s="208">
        <v>0.73958333333333337</v>
      </c>
      <c r="N416" s="195"/>
      <c r="O416" s="166" t="s">
        <v>812</v>
      </c>
      <c r="P416" s="209">
        <v>0.1</v>
      </c>
      <c r="Q416" s="187">
        <v>6.5733333333333324E-2</v>
      </c>
      <c r="R416" s="210">
        <v>1.7000000000000001E-2</v>
      </c>
      <c r="S416" s="222">
        <v>1</v>
      </c>
      <c r="T416" s="211">
        <v>0.11559999999999999</v>
      </c>
      <c r="U416" s="171">
        <v>-27.267298969072165</v>
      </c>
      <c r="V416" s="172">
        <v>91.8</v>
      </c>
      <c r="W416" s="223">
        <v>4.16</v>
      </c>
      <c r="X416" s="174">
        <v>113.43196371134022</v>
      </c>
      <c r="Y416" s="175"/>
      <c r="Z416" s="175"/>
    </row>
    <row r="417" spans="3:26" ht="24" x14ac:dyDescent="0.2">
      <c r="C417" s="91"/>
      <c r="D417" s="196" t="s">
        <v>436</v>
      </c>
      <c r="E417" s="213" t="s">
        <v>29</v>
      </c>
      <c r="F417" s="213" t="s">
        <v>28</v>
      </c>
      <c r="G417" s="213" t="s">
        <v>27</v>
      </c>
      <c r="H417" s="203" t="s">
        <v>793</v>
      </c>
      <c r="I417" s="415"/>
      <c r="J417" s="416"/>
      <c r="K417" s="417"/>
      <c r="L417" s="198"/>
      <c r="M417" s="198"/>
      <c r="N417" s="195"/>
      <c r="O417" s="154"/>
      <c r="P417" s="176"/>
      <c r="Q417" s="154"/>
      <c r="R417" s="154"/>
      <c r="S417" s="224"/>
      <c r="T417" s="154"/>
      <c r="U417" s="177"/>
      <c r="V417" s="178"/>
      <c r="W417" s="225"/>
      <c r="X417" s="177"/>
      <c r="Y417" s="155"/>
      <c r="Z417" s="155"/>
    </row>
    <row r="418" spans="3:26" ht="24" x14ac:dyDescent="0.2">
      <c r="C418" s="91"/>
      <c r="D418" s="214">
        <v>45589</v>
      </c>
      <c r="E418" s="232">
        <v>47.8</v>
      </c>
      <c r="F418" s="232" t="s">
        <v>509</v>
      </c>
      <c r="G418" s="232">
        <v>47.3</v>
      </c>
      <c r="H418" s="216">
        <v>0.61458333333333337</v>
      </c>
      <c r="I418" s="415"/>
      <c r="J418" s="416"/>
      <c r="K418" s="417"/>
      <c r="L418" s="198"/>
      <c r="M418" s="198"/>
      <c r="N418" s="195"/>
      <c r="O418" s="179"/>
      <c r="P418" s="155"/>
      <c r="Q418" s="179"/>
      <c r="R418" s="179"/>
      <c r="S418" s="224"/>
      <c r="T418" s="179"/>
      <c r="U418" s="179"/>
      <c r="V418" s="179"/>
      <c r="W418" s="227"/>
      <c r="X418" s="179"/>
      <c r="Y418" s="155"/>
      <c r="Z418" s="155"/>
    </row>
    <row r="419" spans="3:26" ht="24" x14ac:dyDescent="0.2">
      <c r="C419" s="91"/>
      <c r="D419" s="214">
        <v>45566</v>
      </c>
      <c r="E419" s="232">
        <v>47.3</v>
      </c>
      <c r="F419" s="232" t="s">
        <v>758</v>
      </c>
      <c r="G419" s="232">
        <v>47.9</v>
      </c>
      <c r="H419" s="216">
        <v>0.61458333333333337</v>
      </c>
      <c r="I419" s="415"/>
      <c r="J419" s="416"/>
      <c r="K419" s="417"/>
      <c r="L419" s="198"/>
      <c r="M419" s="198"/>
      <c r="N419" s="195"/>
      <c r="O419" s="146" t="s">
        <v>813</v>
      </c>
      <c r="P419" s="233">
        <v>-0.05</v>
      </c>
      <c r="Q419" s="180">
        <v>9.7666666666666652E-2</v>
      </c>
      <c r="R419" s="181">
        <v>1.7000000000000001E-2</v>
      </c>
      <c r="S419" s="228">
        <v>-1.5</v>
      </c>
      <c r="T419" s="156">
        <v>0.16349999999999998</v>
      </c>
      <c r="U419" s="182">
        <v>-28.92432989690721</v>
      </c>
      <c r="V419" s="183">
        <v>-45.9</v>
      </c>
      <c r="W419" s="230">
        <v>2</v>
      </c>
      <c r="X419" s="184">
        <v>57.84865979381442</v>
      </c>
      <c r="Y419" s="185" t="s">
        <v>814</v>
      </c>
      <c r="Z419" s="185"/>
    </row>
    <row r="420" spans="3:26" ht="24" x14ac:dyDescent="0.2">
      <c r="C420" s="91"/>
      <c r="D420" s="214">
        <v>45558</v>
      </c>
      <c r="E420" s="232">
        <v>47</v>
      </c>
      <c r="F420" s="232" t="s">
        <v>500</v>
      </c>
      <c r="G420" s="232">
        <v>47.9</v>
      </c>
      <c r="H420" s="216">
        <v>0.61458333333333337</v>
      </c>
      <c r="I420" s="415"/>
      <c r="J420" s="416"/>
      <c r="K420" s="417"/>
      <c r="L420" s="218"/>
      <c r="M420" s="198"/>
      <c r="N420" s="195"/>
      <c r="O420" s="146"/>
      <c r="P420" s="147"/>
      <c r="Q420" s="180"/>
      <c r="R420" s="181"/>
      <c r="S420" s="150"/>
      <c r="T420" s="147"/>
      <c r="U420" s="182"/>
      <c r="V420" s="183"/>
      <c r="W420" s="150"/>
      <c r="X420" s="184"/>
      <c r="Y420" s="185"/>
      <c r="Z420" s="185"/>
    </row>
    <row r="421" spans="3:26" ht="24" x14ac:dyDescent="0.2">
      <c r="C421" s="91"/>
      <c r="D421" s="214">
        <v>45538</v>
      </c>
      <c r="E421" s="232">
        <v>47.9</v>
      </c>
      <c r="F421" s="232" t="s">
        <v>502</v>
      </c>
      <c r="G421" s="232">
        <v>49.6</v>
      </c>
      <c r="H421" s="216">
        <v>0.61458333333333337</v>
      </c>
      <c r="I421" s="415"/>
      <c r="J421" s="416"/>
      <c r="K421" s="417"/>
      <c r="L421" s="198"/>
      <c r="M421" s="198"/>
      <c r="N421" s="195"/>
      <c r="O421" s="146" t="s">
        <v>816</v>
      </c>
      <c r="P421" s="147"/>
      <c r="Q421" s="180"/>
      <c r="R421" s="181"/>
      <c r="S421" s="150"/>
      <c r="T421" s="147"/>
      <c r="U421" s="182">
        <v>0</v>
      </c>
      <c r="V421" s="183"/>
      <c r="W421" s="150"/>
      <c r="X421" s="184">
        <v>0</v>
      </c>
      <c r="Y421" s="185"/>
      <c r="Z421" s="185"/>
    </row>
    <row r="422" spans="3:26" ht="24" x14ac:dyDescent="0.2">
      <c r="C422" s="91"/>
      <c r="D422" s="214">
        <v>45526</v>
      </c>
      <c r="E422" s="232">
        <v>48</v>
      </c>
      <c r="F422" s="232" t="s">
        <v>438</v>
      </c>
      <c r="G422" s="232">
        <v>49.6</v>
      </c>
      <c r="H422" s="216">
        <v>0.61458333333333337</v>
      </c>
      <c r="I422" s="415"/>
      <c r="J422" s="416"/>
      <c r="K422" s="417"/>
      <c r="L422" s="198"/>
      <c r="M422" s="198"/>
      <c r="N422" s="195"/>
      <c r="O422" s="91"/>
      <c r="P422" s="91"/>
      <c r="Q422" s="91"/>
      <c r="R422" s="91"/>
      <c r="S422" s="91"/>
      <c r="T422" s="91"/>
      <c r="U422" s="91"/>
      <c r="V422" s="91"/>
      <c r="W422" s="91"/>
      <c r="X422" s="91"/>
      <c r="Y422" s="91"/>
      <c r="Z422" s="91"/>
    </row>
    <row r="423" spans="3:26" ht="24" x14ac:dyDescent="0.2">
      <c r="C423" s="91"/>
      <c r="D423" s="214">
        <v>45505</v>
      </c>
      <c r="E423" s="232">
        <v>49.6</v>
      </c>
      <c r="F423" s="232" t="s">
        <v>438</v>
      </c>
      <c r="G423" s="232">
        <v>51.6</v>
      </c>
      <c r="H423" s="216">
        <v>0.61458333333333337</v>
      </c>
      <c r="I423" s="418"/>
      <c r="J423" s="419"/>
      <c r="K423" s="420"/>
      <c r="L423" s="198"/>
      <c r="M423" s="198"/>
      <c r="N423" s="195"/>
      <c r="O423" s="91"/>
      <c r="P423" s="91"/>
      <c r="Q423" s="91"/>
      <c r="R423" s="91"/>
      <c r="S423" s="91"/>
      <c r="T423" s="91"/>
      <c r="U423" s="91"/>
      <c r="V423" s="91"/>
      <c r="W423" s="91"/>
      <c r="X423" s="91"/>
      <c r="Y423" s="91"/>
      <c r="Z423" s="91"/>
    </row>
    <row r="424" spans="3:26" ht="23" x14ac:dyDescent="0.25">
      <c r="C424" s="91"/>
      <c r="D424" s="237"/>
      <c r="H424" s="238"/>
      <c r="I424" s="239"/>
      <c r="J424" s="239"/>
      <c r="K424" s="239"/>
      <c r="L424" s="240"/>
      <c r="M424" s="240"/>
      <c r="N424" s="195"/>
      <c r="O424" s="91"/>
      <c r="P424" s="91"/>
      <c r="Q424" s="91"/>
      <c r="R424" s="91"/>
      <c r="S424" s="91"/>
      <c r="T424" s="91"/>
      <c r="U424" s="91"/>
      <c r="V424" s="91"/>
      <c r="W424" s="91"/>
      <c r="X424" s="91"/>
      <c r="Y424" s="91"/>
      <c r="Z424" s="91"/>
    </row>
    <row r="425" spans="3:26" ht="72" x14ac:dyDescent="0.2">
      <c r="C425" s="91" t="s">
        <v>105</v>
      </c>
      <c r="D425" s="193" t="s">
        <v>30</v>
      </c>
      <c r="E425" s="430" t="s">
        <v>868</v>
      </c>
      <c r="F425" s="430">
        <v>0</v>
      </c>
      <c r="G425" s="430">
        <v>0</v>
      </c>
      <c r="H425" s="194" t="s">
        <v>790</v>
      </c>
      <c r="I425" s="193"/>
      <c r="J425" s="448" t="s">
        <v>430</v>
      </c>
      <c r="K425" s="449"/>
      <c r="L425" s="450"/>
      <c r="M425" s="194" t="s">
        <v>431</v>
      </c>
      <c r="N425" s="195"/>
      <c r="O425" s="91"/>
      <c r="P425" s="91"/>
      <c r="Q425" s="91"/>
      <c r="R425" s="91"/>
      <c r="S425" s="91"/>
      <c r="T425" s="91"/>
      <c r="U425" s="91"/>
      <c r="V425" s="91"/>
      <c r="W425" s="91"/>
      <c r="X425" s="91"/>
      <c r="Y425" s="91"/>
      <c r="Z425" s="91"/>
    </row>
    <row r="426" spans="3:26" ht="24" x14ac:dyDescent="0.2">
      <c r="C426" s="91">
        <v>0</v>
      </c>
      <c r="D426" s="196" t="s">
        <v>432</v>
      </c>
      <c r="E426" s="434"/>
      <c r="F426" s="434"/>
      <c r="G426" s="434"/>
      <c r="H426" s="197" t="s">
        <v>913</v>
      </c>
      <c r="I426" s="196"/>
      <c r="J426" s="384"/>
      <c r="K426" s="385"/>
      <c r="L426" s="451"/>
      <c r="M426" s="203"/>
      <c r="N426" s="195"/>
      <c r="O426" s="91"/>
      <c r="P426" s="91"/>
      <c r="Q426" s="91"/>
      <c r="R426" s="91"/>
      <c r="S426" s="91"/>
      <c r="T426" s="91"/>
      <c r="U426" s="91"/>
      <c r="V426" s="91"/>
      <c r="W426" s="91"/>
      <c r="X426" s="91"/>
      <c r="Y426" s="91"/>
      <c r="Z426" s="91"/>
    </row>
    <row r="427" spans="3:26" ht="24" x14ac:dyDescent="0.2">
      <c r="C427" s="91">
        <v>0</v>
      </c>
      <c r="D427" s="196" t="s">
        <v>433</v>
      </c>
      <c r="E427" s="440">
        <v>1.59</v>
      </c>
      <c r="F427" s="440">
        <v>0</v>
      </c>
      <c r="G427" s="440">
        <v>0</v>
      </c>
      <c r="H427" s="197" t="s">
        <v>913</v>
      </c>
      <c r="I427" s="196"/>
      <c r="J427" s="372"/>
      <c r="K427" s="373"/>
      <c r="L427" s="447"/>
      <c r="M427" s="203"/>
      <c r="N427" s="195"/>
      <c r="O427" s="91"/>
      <c r="P427" s="91"/>
      <c r="Q427" s="91"/>
      <c r="R427" s="91"/>
      <c r="S427" s="91"/>
      <c r="T427" s="91"/>
      <c r="U427" s="91"/>
      <c r="V427" s="91"/>
      <c r="W427" s="91"/>
      <c r="X427" s="91"/>
      <c r="Y427" s="91"/>
      <c r="Z427" s="91"/>
    </row>
    <row r="428" spans="3:26" ht="24" x14ac:dyDescent="0.2">
      <c r="C428" s="91">
        <v>0</v>
      </c>
      <c r="D428" s="196" t="s">
        <v>434</v>
      </c>
      <c r="E428" s="440">
        <v>1.4</v>
      </c>
      <c r="F428" s="440">
        <v>0</v>
      </c>
      <c r="G428" s="440">
        <v>0</v>
      </c>
      <c r="H428" s="203"/>
      <c r="I428" s="196"/>
      <c r="J428" s="372"/>
      <c r="K428" s="373"/>
      <c r="L428" s="447"/>
      <c r="M428" s="203"/>
      <c r="N428" s="195"/>
      <c r="O428" s="91"/>
      <c r="P428" s="91"/>
      <c r="Q428" s="91"/>
      <c r="R428" s="91"/>
      <c r="S428" s="91"/>
      <c r="T428" s="91"/>
      <c r="U428" s="91"/>
      <c r="V428" s="91"/>
      <c r="W428" s="91"/>
      <c r="X428" s="91"/>
      <c r="Y428" s="91"/>
      <c r="Z428" s="91"/>
    </row>
    <row r="429" spans="3:26" ht="24" x14ac:dyDescent="0.2">
      <c r="C429" s="91">
        <v>0</v>
      </c>
      <c r="D429" s="196" t="s">
        <v>435</v>
      </c>
      <c r="E429" s="441">
        <v>0.95833333333333337</v>
      </c>
      <c r="F429" s="441">
        <v>0</v>
      </c>
      <c r="G429" s="441">
        <v>0</v>
      </c>
      <c r="H429" s="203"/>
      <c r="I429" s="196"/>
      <c r="J429" s="436">
        <v>6.25E-2</v>
      </c>
      <c r="K429" s="436"/>
      <c r="L429" s="436"/>
      <c r="M429" s="241">
        <v>0.95833333333333337</v>
      </c>
      <c r="N429" s="195"/>
      <c r="O429" s="91"/>
      <c r="P429" s="91"/>
      <c r="Q429" s="91"/>
      <c r="R429" s="91"/>
      <c r="S429" s="91"/>
      <c r="T429" s="91"/>
      <c r="U429" s="91"/>
      <c r="V429" s="91"/>
      <c r="W429" s="91"/>
      <c r="X429" s="91"/>
      <c r="Y429" s="91"/>
      <c r="Z429" s="91"/>
    </row>
    <row r="430" spans="3:26" ht="24" x14ac:dyDescent="0.2">
      <c r="C430" s="91">
        <v>0</v>
      </c>
      <c r="D430" s="196" t="s">
        <v>436</v>
      </c>
      <c r="E430" s="213" t="s">
        <v>29</v>
      </c>
      <c r="F430" s="213" t="s">
        <v>28</v>
      </c>
      <c r="G430" s="213" t="s">
        <v>27</v>
      </c>
      <c r="H430" s="203" t="s">
        <v>793</v>
      </c>
      <c r="I430" s="196"/>
      <c r="J430" s="213"/>
      <c r="K430" s="213"/>
      <c r="L430" s="203"/>
      <c r="M430" s="203"/>
      <c r="N430" s="195"/>
      <c r="O430" s="91"/>
      <c r="P430" s="91"/>
      <c r="Q430" s="91"/>
      <c r="R430" s="91"/>
      <c r="S430" s="91"/>
      <c r="T430" s="91"/>
      <c r="U430" s="91"/>
      <c r="V430" s="91"/>
      <c r="W430" s="91"/>
      <c r="X430" s="91"/>
      <c r="Y430" s="91"/>
      <c r="Z430" s="91"/>
    </row>
    <row r="431" spans="3:26" ht="23" x14ac:dyDescent="0.2">
      <c r="C431" s="91">
        <v>0</v>
      </c>
      <c r="D431" s="214">
        <v>45505</v>
      </c>
      <c r="E431" s="215">
        <v>1.4</v>
      </c>
      <c r="F431" s="215">
        <v>1.34</v>
      </c>
      <c r="G431" s="215">
        <v>1.53</v>
      </c>
      <c r="H431" s="216">
        <v>0.95833333333333337</v>
      </c>
      <c r="I431" s="214"/>
      <c r="J431" s="232"/>
      <c r="K431" s="232"/>
      <c r="L431" s="242"/>
      <c r="M431" s="216"/>
      <c r="N431" s="195"/>
      <c r="O431" s="91"/>
      <c r="P431" s="91"/>
      <c r="Q431" s="91"/>
      <c r="R431" s="91"/>
      <c r="S431" s="91"/>
      <c r="T431" s="91"/>
      <c r="U431" s="91"/>
      <c r="V431" s="91"/>
      <c r="W431" s="91"/>
      <c r="X431" s="91"/>
      <c r="Y431" s="91"/>
      <c r="Z431" s="91"/>
    </row>
    <row r="432" spans="3:26" ht="23" x14ac:dyDescent="0.2">
      <c r="C432" s="91">
        <v>0</v>
      </c>
      <c r="D432" s="214">
        <v>45414</v>
      </c>
      <c r="E432" s="215">
        <v>1.53</v>
      </c>
      <c r="F432" s="215">
        <v>1.51</v>
      </c>
      <c r="G432" s="215">
        <v>1.45</v>
      </c>
      <c r="H432" s="216">
        <v>0.95833333333333337</v>
      </c>
      <c r="I432" s="214"/>
      <c r="J432" s="232"/>
      <c r="K432" s="232"/>
      <c r="L432" s="242"/>
      <c r="M432" s="216"/>
      <c r="N432" s="195"/>
      <c r="O432" s="91"/>
      <c r="P432" s="91"/>
      <c r="Q432" s="91"/>
      <c r="R432" s="91"/>
      <c r="S432" s="91"/>
      <c r="T432" s="91"/>
      <c r="U432" s="91"/>
      <c r="V432" s="91"/>
      <c r="W432" s="91"/>
      <c r="X432" s="91"/>
      <c r="Y432" s="91"/>
      <c r="Z432" s="91"/>
    </row>
    <row r="433" spans="3:26" ht="23" x14ac:dyDescent="0.2">
      <c r="C433" s="91">
        <v>0</v>
      </c>
      <c r="D433" s="214">
        <v>45323</v>
      </c>
      <c r="E433" s="215">
        <v>1.45</v>
      </c>
      <c r="F433" s="215">
        <v>1.28</v>
      </c>
      <c r="G433" s="215">
        <v>1.46</v>
      </c>
      <c r="H433" s="216">
        <v>0.95833333333333337</v>
      </c>
      <c r="I433" s="214"/>
      <c r="J433" s="232"/>
      <c r="K433" s="232"/>
      <c r="L433" s="242"/>
      <c r="M433" s="216"/>
      <c r="N433" s="195"/>
      <c r="O433" s="91"/>
      <c r="P433" s="91"/>
      <c r="Q433" s="91"/>
      <c r="R433" s="91"/>
      <c r="S433" s="91"/>
      <c r="T433" s="91"/>
      <c r="U433" s="91"/>
      <c r="V433" s="91"/>
      <c r="W433" s="91"/>
      <c r="X433" s="91"/>
      <c r="Y433" s="91"/>
      <c r="Z433" s="91"/>
    </row>
    <row r="434" spans="3:26" ht="23" x14ac:dyDescent="0.2">
      <c r="C434" s="91">
        <v>0</v>
      </c>
      <c r="D434" s="214">
        <v>45232</v>
      </c>
      <c r="E434" s="215">
        <v>1.46</v>
      </c>
      <c r="F434" s="215">
        <v>1.39</v>
      </c>
      <c r="G434" s="215">
        <v>1.26</v>
      </c>
      <c r="H434" s="216">
        <v>0.95833333333333337</v>
      </c>
      <c r="I434" s="214"/>
      <c r="J434" s="232"/>
      <c r="K434" s="232"/>
      <c r="L434" s="242"/>
      <c r="M434" s="216"/>
      <c r="N434" s="195"/>
      <c r="O434" s="91"/>
      <c r="P434" s="91"/>
      <c r="Q434" s="91"/>
      <c r="R434" s="91"/>
      <c r="S434" s="91"/>
      <c r="T434" s="91"/>
      <c r="U434" s="91"/>
      <c r="V434" s="91"/>
      <c r="W434" s="91"/>
      <c r="X434" s="91"/>
      <c r="Y434" s="91"/>
      <c r="Z434" s="91"/>
    </row>
    <row r="435" spans="3:26" ht="23" x14ac:dyDescent="0.2">
      <c r="C435" s="91">
        <v>0</v>
      </c>
      <c r="D435" s="214">
        <v>45141</v>
      </c>
      <c r="E435" s="215">
        <v>1.26</v>
      </c>
      <c r="F435" s="215">
        <v>1.19</v>
      </c>
      <c r="G435" s="215">
        <v>1.52</v>
      </c>
      <c r="H435" s="216">
        <v>0.95833333333333337</v>
      </c>
      <c r="I435" s="214"/>
      <c r="J435" s="232"/>
      <c r="K435" s="232"/>
      <c r="L435" s="242"/>
      <c r="M435" s="216"/>
      <c r="N435" s="195"/>
      <c r="O435" s="91"/>
      <c r="P435" s="91"/>
      <c r="Q435" s="91"/>
      <c r="R435" s="91"/>
      <c r="S435" s="91"/>
      <c r="T435" s="91"/>
      <c r="U435" s="91"/>
      <c r="V435" s="91"/>
      <c r="W435" s="91"/>
      <c r="X435" s="91"/>
      <c r="Y435" s="91"/>
      <c r="Z435" s="91"/>
    </row>
    <row r="436" spans="3:26" ht="23" x14ac:dyDescent="0.2">
      <c r="C436" s="91">
        <v>0</v>
      </c>
      <c r="D436" s="214">
        <v>45050</v>
      </c>
      <c r="E436" s="215">
        <v>1.52</v>
      </c>
      <c r="F436" s="215">
        <v>1.44</v>
      </c>
      <c r="G436" s="215">
        <v>1.88</v>
      </c>
      <c r="H436" s="216">
        <v>0.95833333333333337</v>
      </c>
      <c r="I436" s="214"/>
      <c r="J436" s="232"/>
      <c r="K436" s="232"/>
      <c r="L436" s="242"/>
      <c r="M436" s="216"/>
      <c r="N436" s="195"/>
      <c r="O436" s="91"/>
      <c r="P436" s="91"/>
      <c r="Q436" s="91"/>
      <c r="R436" s="91"/>
      <c r="S436" s="91"/>
      <c r="T436" s="91"/>
      <c r="U436" s="91"/>
      <c r="V436" s="91"/>
      <c r="W436" s="91"/>
      <c r="X436" s="91"/>
      <c r="Y436" s="91"/>
      <c r="Z436" s="91"/>
    </row>
    <row r="437" spans="3:26" ht="72" x14ac:dyDescent="0.2">
      <c r="C437" s="91" t="s">
        <v>105</v>
      </c>
      <c r="D437" s="193" t="s">
        <v>30</v>
      </c>
      <c r="E437" s="430" t="s">
        <v>869</v>
      </c>
      <c r="F437" s="430">
        <v>0</v>
      </c>
      <c r="G437" s="430">
        <v>0</v>
      </c>
      <c r="H437" s="194" t="s">
        <v>790</v>
      </c>
      <c r="I437" s="193"/>
      <c r="J437" s="448" t="s">
        <v>430</v>
      </c>
      <c r="K437" s="449"/>
      <c r="L437" s="450"/>
      <c r="M437" s="194" t="s">
        <v>431</v>
      </c>
      <c r="N437" s="195"/>
      <c r="O437" s="91"/>
      <c r="P437" s="91"/>
      <c r="Q437" s="91"/>
      <c r="R437" s="91"/>
      <c r="S437" s="91"/>
      <c r="T437" s="91"/>
      <c r="U437" s="91"/>
      <c r="V437" s="91"/>
      <c r="W437" s="91"/>
      <c r="X437" s="91"/>
      <c r="Y437" s="91"/>
      <c r="Z437" s="91"/>
    </row>
    <row r="438" spans="3:26" ht="24" x14ac:dyDescent="0.2">
      <c r="C438" s="91"/>
      <c r="D438" s="196" t="s">
        <v>432</v>
      </c>
      <c r="E438" s="434"/>
      <c r="F438" s="434"/>
      <c r="G438" s="434"/>
      <c r="H438" s="197" t="s">
        <v>913</v>
      </c>
      <c r="I438" s="196"/>
      <c r="J438" s="384"/>
      <c r="K438" s="385"/>
      <c r="L438" s="451"/>
      <c r="M438" s="203"/>
      <c r="N438" s="195"/>
      <c r="O438" s="91"/>
      <c r="P438" s="91"/>
      <c r="Q438" s="91"/>
      <c r="R438" s="91"/>
      <c r="S438" s="91"/>
      <c r="T438" s="91"/>
      <c r="U438" s="91"/>
      <c r="V438" s="91"/>
      <c r="W438" s="91"/>
      <c r="X438" s="91"/>
      <c r="Y438" s="91"/>
      <c r="Z438" s="91"/>
    </row>
    <row r="439" spans="3:26" ht="24" x14ac:dyDescent="0.2">
      <c r="C439" s="91"/>
      <c r="D439" s="196" t="s">
        <v>433</v>
      </c>
      <c r="E439" s="440">
        <v>0.92</v>
      </c>
      <c r="F439" s="440">
        <v>0</v>
      </c>
      <c r="G439" s="440">
        <v>0</v>
      </c>
      <c r="H439" s="197" t="s">
        <v>913</v>
      </c>
      <c r="I439" s="196"/>
      <c r="J439" s="372"/>
      <c r="K439" s="373"/>
      <c r="L439" s="447"/>
      <c r="M439" s="203"/>
      <c r="N439" s="195"/>
      <c r="O439" s="91"/>
      <c r="P439" s="91"/>
      <c r="Q439" s="91"/>
      <c r="R439" s="91"/>
      <c r="S439" s="91"/>
      <c r="T439" s="91"/>
      <c r="U439" s="91"/>
      <c r="V439" s="91"/>
      <c r="W439" s="91"/>
      <c r="X439" s="91"/>
      <c r="Y439" s="91"/>
      <c r="Z439" s="91"/>
    </row>
    <row r="440" spans="3:26" ht="24" x14ac:dyDescent="0.2">
      <c r="C440" s="91"/>
      <c r="D440" s="196" t="s">
        <v>434</v>
      </c>
      <c r="E440" s="440">
        <v>0.7</v>
      </c>
      <c r="F440" s="440">
        <v>0</v>
      </c>
      <c r="G440" s="440">
        <v>0</v>
      </c>
      <c r="H440" s="203"/>
      <c r="I440" s="196"/>
      <c r="J440" s="372"/>
      <c r="K440" s="373"/>
      <c r="L440" s="447"/>
      <c r="M440" s="203"/>
      <c r="N440" s="195"/>
      <c r="O440" s="91"/>
      <c r="P440" s="91"/>
      <c r="Q440" s="91"/>
      <c r="R440" s="91"/>
      <c r="S440" s="91"/>
      <c r="T440" s="91"/>
      <c r="U440" s="91"/>
      <c r="V440" s="91"/>
      <c r="W440" s="91"/>
      <c r="X440" s="91"/>
      <c r="Y440" s="91"/>
      <c r="Z440" s="91"/>
    </row>
    <row r="441" spans="3:26" ht="24" x14ac:dyDescent="0.2">
      <c r="C441" s="91"/>
      <c r="D441" s="196" t="s">
        <v>435</v>
      </c>
      <c r="E441" s="441">
        <v>0.95833333333333337</v>
      </c>
      <c r="F441" s="441">
        <v>0</v>
      </c>
      <c r="G441" s="441">
        <v>0</v>
      </c>
      <c r="H441" s="203"/>
      <c r="I441" s="196"/>
      <c r="J441" s="436">
        <v>6.25E-2</v>
      </c>
      <c r="K441" s="436"/>
      <c r="L441" s="436"/>
      <c r="M441" s="241">
        <v>0.95833333333333337</v>
      </c>
      <c r="N441" s="195"/>
      <c r="O441" s="91"/>
      <c r="P441" s="91"/>
      <c r="Q441" s="91"/>
      <c r="R441" s="91"/>
      <c r="S441" s="91"/>
      <c r="T441" s="91"/>
      <c r="U441" s="91"/>
      <c r="V441" s="91"/>
      <c r="W441" s="91"/>
      <c r="X441" s="91"/>
      <c r="Y441" s="91"/>
      <c r="Z441" s="91"/>
    </row>
    <row r="442" spans="3:26" ht="24" x14ac:dyDescent="0.2">
      <c r="C442" s="91"/>
      <c r="D442" s="196" t="s">
        <v>436</v>
      </c>
      <c r="E442" s="213" t="s">
        <v>29</v>
      </c>
      <c r="F442" s="213" t="s">
        <v>28</v>
      </c>
      <c r="G442" s="213" t="s">
        <v>27</v>
      </c>
      <c r="H442" s="203" t="s">
        <v>793</v>
      </c>
      <c r="I442" s="196"/>
      <c r="J442" s="213"/>
      <c r="K442" s="213"/>
      <c r="L442" s="203"/>
      <c r="M442" s="203"/>
      <c r="N442" s="195"/>
      <c r="O442" s="91"/>
      <c r="P442" s="91"/>
      <c r="Q442" s="91"/>
      <c r="R442" s="91"/>
      <c r="S442" s="91"/>
      <c r="T442" s="91"/>
      <c r="U442" s="91"/>
      <c r="V442" s="91"/>
      <c r="W442" s="91"/>
      <c r="X442" s="91"/>
      <c r="Y442" s="91"/>
      <c r="Z442" s="91"/>
    </row>
    <row r="443" spans="3:26" ht="23" x14ac:dyDescent="0.2">
      <c r="C443" s="91"/>
      <c r="D443" s="214">
        <v>45502</v>
      </c>
      <c r="E443" s="215">
        <v>0.5</v>
      </c>
      <c r="F443" s="215">
        <v>0.47</v>
      </c>
      <c r="G443" s="215">
        <v>0.57999999999999996</v>
      </c>
      <c r="H443" s="216">
        <v>0.95833333333333337</v>
      </c>
      <c r="I443" s="214"/>
      <c r="J443" s="232"/>
      <c r="K443" s="232"/>
      <c r="L443" s="242"/>
      <c r="M443" s="216"/>
      <c r="N443" s="195"/>
      <c r="O443" s="91"/>
      <c r="P443" s="91"/>
      <c r="Q443" s="91"/>
      <c r="R443" s="91"/>
      <c r="S443" s="91"/>
      <c r="T443" s="91"/>
      <c r="U443" s="91"/>
      <c r="V443" s="91"/>
      <c r="W443" s="91"/>
      <c r="X443" s="91"/>
      <c r="Y443" s="91"/>
      <c r="Z443" s="91"/>
    </row>
    <row r="444" spans="3:26" ht="23" x14ac:dyDescent="0.2">
      <c r="C444" s="91"/>
      <c r="D444" s="214">
        <v>45411</v>
      </c>
      <c r="E444" s="215">
        <v>0.43</v>
      </c>
      <c r="F444" s="215">
        <v>0.41</v>
      </c>
      <c r="G444" s="215">
        <v>0.6</v>
      </c>
      <c r="H444" s="216">
        <v>0.95833333333333337</v>
      </c>
      <c r="I444" s="214"/>
      <c r="J444" s="232"/>
      <c r="K444" s="232"/>
      <c r="L444" s="242"/>
      <c r="M444" s="216"/>
      <c r="N444" s="195"/>
      <c r="O444" s="91"/>
      <c r="P444" s="91"/>
      <c r="Q444" s="91"/>
      <c r="R444" s="91"/>
      <c r="S444" s="91"/>
      <c r="T444" s="91"/>
      <c r="U444" s="91"/>
      <c r="V444" s="91"/>
      <c r="W444" s="91"/>
      <c r="X444" s="91"/>
      <c r="Y444" s="91"/>
      <c r="Z444" s="91"/>
    </row>
    <row r="445" spans="3:26" ht="23" x14ac:dyDescent="0.2">
      <c r="C445" s="91"/>
      <c r="D445" s="214">
        <v>45320</v>
      </c>
      <c r="E445" s="215">
        <v>0.59</v>
      </c>
      <c r="F445" s="215">
        <v>0.57999999999999996</v>
      </c>
      <c r="G445" s="215">
        <v>0.69</v>
      </c>
      <c r="H445" s="216">
        <v>0.95833333333333337</v>
      </c>
      <c r="I445" s="214"/>
      <c r="J445" s="232"/>
      <c r="K445" s="232"/>
      <c r="L445" s="242"/>
      <c r="M445" s="216"/>
      <c r="N445" s="195"/>
      <c r="O445" s="91"/>
      <c r="P445" s="91"/>
      <c r="Q445" s="91"/>
      <c r="R445" s="91"/>
      <c r="S445" s="91"/>
      <c r="T445" s="91"/>
      <c r="U445" s="91"/>
      <c r="V445" s="91"/>
      <c r="W445" s="91"/>
      <c r="X445" s="91"/>
      <c r="Y445" s="91"/>
      <c r="Z445" s="91"/>
    </row>
    <row r="446" spans="3:26" ht="23" x14ac:dyDescent="0.2">
      <c r="C446" s="91"/>
      <c r="D446" s="214">
        <v>45229</v>
      </c>
      <c r="E446" s="215">
        <v>0.53</v>
      </c>
      <c r="F446" s="215">
        <v>0.49</v>
      </c>
      <c r="G446" s="215">
        <v>0.67</v>
      </c>
      <c r="H446" s="216">
        <v>0.95833333333333337</v>
      </c>
      <c r="I446" s="214"/>
      <c r="J446" s="232"/>
      <c r="K446" s="232"/>
      <c r="L446" s="242"/>
      <c r="M446" s="216"/>
      <c r="N446" s="195"/>
      <c r="O446" s="91"/>
      <c r="P446" s="91"/>
      <c r="Q446" s="91"/>
      <c r="R446" s="91"/>
      <c r="S446" s="91"/>
      <c r="T446" s="91"/>
      <c r="U446" s="91"/>
      <c r="V446" s="91"/>
      <c r="W446" s="91"/>
      <c r="X446" s="91"/>
      <c r="Y446" s="91"/>
      <c r="Z446" s="91"/>
    </row>
    <row r="447" spans="3:26" ht="23" x14ac:dyDescent="0.2">
      <c r="C447" s="91"/>
      <c r="D447" s="214">
        <v>45138</v>
      </c>
      <c r="E447" s="215">
        <v>0.4</v>
      </c>
      <c r="F447" s="215">
        <v>0.4</v>
      </c>
      <c r="G447" s="215">
        <v>1.05</v>
      </c>
      <c r="H447" s="216">
        <v>0.95833333333333337</v>
      </c>
      <c r="I447" s="214"/>
      <c r="J447" s="232"/>
      <c r="K447" s="232"/>
      <c r="L447" s="242"/>
      <c r="M447" s="216"/>
      <c r="N447" s="195"/>
      <c r="O447" s="91"/>
      <c r="P447" s="91"/>
      <c r="Q447" s="91"/>
      <c r="R447" s="91"/>
      <c r="S447" s="91"/>
      <c r="T447" s="91"/>
      <c r="U447" s="91"/>
      <c r="V447" s="91"/>
      <c r="W447" s="91"/>
      <c r="X447" s="91"/>
      <c r="Y447" s="91"/>
      <c r="Z447" s="91"/>
    </row>
    <row r="448" spans="3:26" ht="23" x14ac:dyDescent="0.2">
      <c r="C448" s="91"/>
      <c r="D448" s="214">
        <v>45047</v>
      </c>
      <c r="E448" s="215">
        <v>0.43</v>
      </c>
      <c r="F448" s="215">
        <v>0.42</v>
      </c>
      <c r="G448" s="215">
        <v>1.1299999999999999</v>
      </c>
      <c r="H448" s="216">
        <v>0.95833333333333337</v>
      </c>
      <c r="I448" s="214"/>
      <c r="J448" s="232"/>
      <c r="K448" s="232"/>
      <c r="L448" s="242"/>
      <c r="M448" s="216"/>
      <c r="N448" s="195"/>
      <c r="O448" s="91"/>
      <c r="P448" s="91"/>
      <c r="Q448" s="91"/>
      <c r="R448" s="91"/>
      <c r="S448" s="91"/>
      <c r="T448" s="91"/>
      <c r="U448" s="91"/>
      <c r="V448" s="91"/>
      <c r="W448" s="91"/>
      <c r="X448" s="91"/>
      <c r="Y448" s="91"/>
      <c r="Z448" s="91"/>
    </row>
    <row r="449" spans="3:26" ht="72" x14ac:dyDescent="0.2">
      <c r="C449" s="91" t="s">
        <v>105</v>
      </c>
      <c r="D449" s="193" t="s">
        <v>30</v>
      </c>
      <c r="E449" s="430" t="s">
        <v>870</v>
      </c>
      <c r="F449" s="430">
        <v>0</v>
      </c>
      <c r="G449" s="430">
        <v>0</v>
      </c>
      <c r="H449" s="194" t="s">
        <v>790</v>
      </c>
      <c r="I449" s="193"/>
      <c r="J449" s="448" t="s">
        <v>430</v>
      </c>
      <c r="K449" s="449"/>
      <c r="L449" s="450"/>
      <c r="M449" s="194" t="s">
        <v>431</v>
      </c>
      <c r="N449" s="195" t="s">
        <v>105</v>
      </c>
      <c r="O449" s="145" t="s">
        <v>800</v>
      </c>
      <c r="P449" s="145" t="s">
        <v>801</v>
      </c>
      <c r="Q449" s="145" t="s">
        <v>802</v>
      </c>
      <c r="R449" s="145" t="s">
        <v>803</v>
      </c>
      <c r="S449" s="145" t="s">
        <v>804</v>
      </c>
      <c r="T449" s="145" t="s">
        <v>805</v>
      </c>
      <c r="U449" s="145" t="s">
        <v>806</v>
      </c>
      <c r="V449" s="145" t="s">
        <v>807</v>
      </c>
      <c r="W449" s="145" t="s">
        <v>808</v>
      </c>
      <c r="X449" s="145" t="s">
        <v>809</v>
      </c>
      <c r="Y449" s="145" t="s">
        <v>75</v>
      </c>
      <c r="Z449" s="145" t="s">
        <v>75</v>
      </c>
    </row>
    <row r="450" spans="3:26" ht="24" x14ac:dyDescent="0.2">
      <c r="C450" s="91"/>
      <c r="D450" s="196" t="s">
        <v>432</v>
      </c>
      <c r="E450" s="434"/>
      <c r="F450" s="434"/>
      <c r="G450" s="434"/>
      <c r="H450" s="197" t="s">
        <v>913</v>
      </c>
      <c r="I450" s="196"/>
      <c r="J450" s="384"/>
      <c r="K450" s="385"/>
      <c r="L450" s="451"/>
      <c r="M450" s="203"/>
      <c r="N450" s="195"/>
      <c r="O450" s="146" t="s">
        <v>810</v>
      </c>
      <c r="P450" s="147">
        <v>0.1</v>
      </c>
      <c r="Q450" s="148">
        <v>7.81</v>
      </c>
      <c r="R450" s="149">
        <v>1</v>
      </c>
      <c r="S450" s="150"/>
      <c r="T450" s="146">
        <v>12.715</v>
      </c>
      <c r="U450" s="148">
        <v>-4.6399999999999997</v>
      </c>
      <c r="V450" s="147">
        <v>37</v>
      </c>
      <c r="W450" s="150"/>
      <c r="X450" s="150"/>
      <c r="Y450" s="151"/>
      <c r="Z450" s="151"/>
    </row>
    <row r="451" spans="3:26" ht="24" x14ac:dyDescent="0.2">
      <c r="C451" s="91"/>
      <c r="D451" s="196" t="s">
        <v>433</v>
      </c>
      <c r="E451" s="440">
        <v>1.84</v>
      </c>
      <c r="F451" s="440">
        <v>0</v>
      </c>
      <c r="G451" s="440">
        <v>0</v>
      </c>
      <c r="H451" s="197" t="s">
        <v>913</v>
      </c>
      <c r="I451" s="196"/>
      <c r="J451" s="372"/>
      <c r="K451" s="373"/>
      <c r="L451" s="447"/>
      <c r="M451" s="203"/>
      <c r="N451" s="195"/>
      <c r="O451" s="152"/>
      <c r="P451" s="152"/>
      <c r="Q451" s="152"/>
      <c r="R451" s="153"/>
      <c r="S451" s="154"/>
      <c r="T451" s="152"/>
      <c r="U451" s="152"/>
      <c r="V451" s="152"/>
      <c r="W451" s="154"/>
      <c r="X451" s="154"/>
      <c r="Y451" s="155"/>
      <c r="Z451" s="155"/>
    </row>
    <row r="452" spans="3:26" ht="24" x14ac:dyDescent="0.2">
      <c r="C452" s="91"/>
      <c r="D452" s="196" t="s">
        <v>434</v>
      </c>
      <c r="E452" s="440">
        <v>1.55</v>
      </c>
      <c r="F452" s="440">
        <v>0</v>
      </c>
      <c r="G452" s="440">
        <v>0</v>
      </c>
      <c r="H452" s="203"/>
      <c r="I452" s="196"/>
      <c r="J452" s="372"/>
      <c r="K452" s="373"/>
      <c r="L452" s="447"/>
      <c r="M452" s="203"/>
      <c r="N452" s="195"/>
      <c r="O452" s="156" t="s">
        <v>811</v>
      </c>
      <c r="P452" s="157">
        <v>0.5</v>
      </c>
      <c r="Q452" s="158">
        <v>14.205</v>
      </c>
      <c r="R452" s="159">
        <v>3</v>
      </c>
      <c r="S452" s="160">
        <v>1</v>
      </c>
      <c r="T452" s="156">
        <v>24.307500000000001</v>
      </c>
      <c r="U452" s="161">
        <v>-44.351867872591427</v>
      </c>
      <c r="V452" s="162">
        <v>185</v>
      </c>
      <c r="W452" s="163">
        <v>2.95</v>
      </c>
      <c r="X452" s="164">
        <v>130.83801022414471</v>
      </c>
      <c r="Y452" s="165"/>
      <c r="Z452" s="165"/>
    </row>
    <row r="453" spans="3:26" ht="24" x14ac:dyDescent="0.2">
      <c r="C453" s="91"/>
      <c r="D453" s="196" t="s">
        <v>435</v>
      </c>
      <c r="E453" s="441">
        <v>0.95833333333333337</v>
      </c>
      <c r="F453" s="441">
        <v>0</v>
      </c>
      <c r="G453" s="441">
        <v>0</v>
      </c>
      <c r="H453" s="203"/>
      <c r="I453" s="196"/>
      <c r="J453" s="436">
        <v>6.25E-2</v>
      </c>
      <c r="K453" s="436"/>
      <c r="L453" s="436"/>
      <c r="M453" s="241">
        <v>0.95833333333333337</v>
      </c>
      <c r="N453" s="195"/>
      <c r="O453" s="166" t="s">
        <v>812</v>
      </c>
      <c r="P453" s="167">
        <v>0.1</v>
      </c>
      <c r="Q453" s="168"/>
      <c r="R453" s="169">
        <v>3</v>
      </c>
      <c r="S453" s="170">
        <v>1</v>
      </c>
      <c r="T453" s="166"/>
      <c r="U453" s="171">
        <v>0</v>
      </c>
      <c r="V453" s="172">
        <v>37</v>
      </c>
      <c r="W453" s="173">
        <v>2.3650000000000002</v>
      </c>
      <c r="X453" s="174">
        <v>0</v>
      </c>
      <c r="Y453" s="175"/>
      <c r="Z453" s="175"/>
    </row>
    <row r="454" spans="3:26" ht="24" x14ac:dyDescent="0.2">
      <c r="C454" s="91"/>
      <c r="D454" s="196" t="s">
        <v>436</v>
      </c>
      <c r="E454" s="213" t="s">
        <v>29</v>
      </c>
      <c r="F454" s="213" t="s">
        <v>28</v>
      </c>
      <c r="G454" s="213" t="s">
        <v>27</v>
      </c>
      <c r="H454" s="203" t="s">
        <v>793</v>
      </c>
      <c r="I454" s="196"/>
      <c r="J454" s="213"/>
      <c r="K454" s="213"/>
      <c r="L454" s="203"/>
      <c r="M454" s="203"/>
      <c r="N454" s="195"/>
      <c r="O454" s="154"/>
      <c r="P454" s="176"/>
      <c r="Q454" s="154"/>
      <c r="R454" s="154"/>
      <c r="S454" s="154"/>
      <c r="T454" s="154"/>
      <c r="U454" s="177"/>
      <c r="V454" s="178"/>
      <c r="W454" s="154"/>
      <c r="X454" s="177"/>
      <c r="Y454" s="155"/>
      <c r="Z454" s="155"/>
    </row>
    <row r="455" spans="3:26" ht="23" x14ac:dyDescent="0.2">
      <c r="C455" s="91"/>
      <c r="D455" s="214">
        <v>45495</v>
      </c>
      <c r="E455" s="215">
        <v>1.89</v>
      </c>
      <c r="F455" s="215">
        <v>1.85</v>
      </c>
      <c r="G455" s="215">
        <v>1.44</v>
      </c>
      <c r="H455" s="216">
        <v>0.95833333333333337</v>
      </c>
      <c r="I455" s="214"/>
      <c r="J455" s="232"/>
      <c r="K455" s="232"/>
      <c r="L455" s="242"/>
      <c r="M455" s="216"/>
      <c r="N455" s="195"/>
      <c r="O455" s="179"/>
      <c r="P455" s="155"/>
      <c r="Q455" s="179"/>
      <c r="R455" s="179"/>
      <c r="S455" s="179"/>
      <c r="T455" s="179"/>
      <c r="U455" s="179"/>
      <c r="V455" s="179"/>
      <c r="W455" s="179"/>
      <c r="X455" s="179"/>
      <c r="Y455" s="155"/>
      <c r="Z455" s="155"/>
    </row>
    <row r="456" spans="3:26" ht="23" x14ac:dyDescent="0.2">
      <c r="C456" s="91"/>
      <c r="D456" s="214">
        <v>45406</v>
      </c>
      <c r="E456" s="215">
        <v>1.89</v>
      </c>
      <c r="F456" s="215">
        <v>1.49</v>
      </c>
      <c r="G456" s="215">
        <v>1.17</v>
      </c>
      <c r="H456" s="216">
        <v>0.95833333333333337</v>
      </c>
      <c r="I456" s="214"/>
      <c r="J456" s="232"/>
      <c r="K456" s="232"/>
      <c r="L456" s="242"/>
      <c r="M456" s="216"/>
      <c r="N456" s="195"/>
      <c r="O456" s="146" t="s">
        <v>813</v>
      </c>
      <c r="P456" s="147">
        <v>0.25</v>
      </c>
      <c r="Q456" s="180">
        <v>14.205</v>
      </c>
      <c r="R456" s="181">
        <v>3</v>
      </c>
      <c r="S456" s="150">
        <v>1</v>
      </c>
      <c r="T456" s="156">
        <v>24.307500000000001</v>
      </c>
      <c r="U456" s="182">
        <v>-22.175933936295714</v>
      </c>
      <c r="V456" s="183">
        <v>92.5</v>
      </c>
      <c r="W456" s="150">
        <v>2.95</v>
      </c>
      <c r="X456" s="184">
        <v>65.419005112072355</v>
      </c>
      <c r="Y456" s="185"/>
      <c r="Z456" s="185"/>
    </row>
    <row r="457" spans="3:26" ht="23" x14ac:dyDescent="0.2">
      <c r="C457" s="91"/>
      <c r="D457" s="214">
        <v>45320</v>
      </c>
      <c r="E457" s="215">
        <v>1.64</v>
      </c>
      <c r="F457" s="215">
        <v>1.6</v>
      </c>
      <c r="G457" s="215">
        <v>1.05</v>
      </c>
      <c r="H457" s="216">
        <v>0.95833333333333337</v>
      </c>
      <c r="I457" s="214"/>
      <c r="J457" s="232"/>
      <c r="K457" s="232"/>
      <c r="L457" s="242"/>
      <c r="M457" s="216"/>
      <c r="N457" s="195"/>
      <c r="O457" s="146"/>
      <c r="P457" s="147"/>
      <c r="Q457" s="180"/>
      <c r="R457" s="181"/>
      <c r="S457" s="150"/>
      <c r="T457" s="147"/>
      <c r="U457" s="182"/>
      <c r="V457" s="183"/>
      <c r="W457" s="150"/>
      <c r="X457" s="184"/>
      <c r="Y457" s="185"/>
      <c r="Z457" s="185"/>
    </row>
    <row r="458" spans="3:26" ht="23" x14ac:dyDescent="0.2">
      <c r="C458" s="91"/>
      <c r="D458" s="214">
        <v>45222</v>
      </c>
      <c r="E458" s="215">
        <v>1.55</v>
      </c>
      <c r="F458" s="215">
        <v>1.45</v>
      </c>
      <c r="G458" s="215">
        <v>1.06</v>
      </c>
      <c r="H458" s="216">
        <v>0.95833333333333337</v>
      </c>
      <c r="I458" s="214"/>
      <c r="J458" s="232"/>
      <c r="K458" s="232"/>
      <c r="L458" s="242"/>
      <c r="M458" s="216"/>
      <c r="N458" s="195"/>
      <c r="O458" s="146" t="s">
        <v>816</v>
      </c>
      <c r="P458" s="147"/>
      <c r="Q458" s="180"/>
      <c r="R458" s="181"/>
      <c r="S458" s="150"/>
      <c r="T458" s="147"/>
      <c r="U458" s="182">
        <v>0</v>
      </c>
      <c r="V458" s="183"/>
      <c r="W458" s="150"/>
      <c r="X458" s="184">
        <v>0</v>
      </c>
      <c r="Y458" s="185"/>
      <c r="Z458" s="185"/>
    </row>
    <row r="459" spans="3:26" ht="23" x14ac:dyDescent="0.2">
      <c r="C459" s="91"/>
      <c r="D459" s="214">
        <v>45131</v>
      </c>
      <c r="E459" s="215">
        <v>1.44</v>
      </c>
      <c r="F459" s="215">
        <v>1.32</v>
      </c>
      <c r="G459" s="215">
        <v>1.21</v>
      </c>
      <c r="H459" s="216">
        <v>0.95833333333333337</v>
      </c>
      <c r="I459" s="214"/>
      <c r="J459" s="232"/>
      <c r="K459" s="232"/>
      <c r="L459" s="242"/>
      <c r="M459" s="216"/>
      <c r="N459" s="195"/>
      <c r="O459" s="91"/>
      <c r="P459" s="91"/>
      <c r="Q459" s="91"/>
      <c r="R459" s="91"/>
      <c r="S459" s="91"/>
      <c r="T459" s="91"/>
      <c r="U459" s="91"/>
      <c r="V459" s="91"/>
      <c r="W459" s="91"/>
      <c r="X459" s="91"/>
      <c r="Y459" s="91"/>
      <c r="Z459" s="91"/>
    </row>
    <row r="460" spans="3:26" ht="23" x14ac:dyDescent="0.2">
      <c r="C460" s="91"/>
      <c r="D460" s="214">
        <v>45040</v>
      </c>
      <c r="E460" s="215">
        <v>1.17</v>
      </c>
      <c r="F460" s="215">
        <v>1.06</v>
      </c>
      <c r="G460" s="215">
        <v>1.23</v>
      </c>
      <c r="H460" s="216">
        <v>0.95833333333333337</v>
      </c>
      <c r="I460" s="214"/>
      <c r="J460" s="232"/>
      <c r="K460" s="232"/>
      <c r="L460" s="242"/>
      <c r="M460" s="216"/>
      <c r="N460" s="195"/>
      <c r="O460" s="91"/>
      <c r="P460" s="91"/>
      <c r="Q460" s="91"/>
      <c r="R460" s="91"/>
      <c r="S460" s="91"/>
      <c r="T460" s="91"/>
      <c r="U460" s="91"/>
      <c r="V460" s="91"/>
      <c r="W460" s="91"/>
      <c r="X460" s="91"/>
      <c r="Y460" s="91"/>
      <c r="Z460" s="91"/>
    </row>
    <row r="461" spans="3:26" ht="72" x14ac:dyDescent="0.2">
      <c r="C461" s="91" t="s">
        <v>105</v>
      </c>
      <c r="D461" s="193" t="s">
        <v>30</v>
      </c>
      <c r="E461" s="430" t="s">
        <v>871</v>
      </c>
      <c r="F461" s="430">
        <v>0</v>
      </c>
      <c r="G461" s="430">
        <v>0</v>
      </c>
      <c r="H461" s="194" t="s">
        <v>790</v>
      </c>
      <c r="I461" s="193"/>
      <c r="J461" s="448" t="s">
        <v>430</v>
      </c>
      <c r="K461" s="449"/>
      <c r="L461" s="450"/>
      <c r="M461" s="194" t="s">
        <v>431</v>
      </c>
      <c r="N461" s="195" t="s">
        <v>105</v>
      </c>
      <c r="O461" s="145" t="s">
        <v>800</v>
      </c>
      <c r="P461" s="145" t="s">
        <v>801</v>
      </c>
      <c r="Q461" s="145" t="s">
        <v>802</v>
      </c>
      <c r="R461" s="145" t="s">
        <v>803</v>
      </c>
      <c r="S461" s="145" t="s">
        <v>804</v>
      </c>
      <c r="T461" s="145" t="s">
        <v>805</v>
      </c>
      <c r="U461" s="145" t="s">
        <v>806</v>
      </c>
      <c r="V461" s="145" t="s">
        <v>807</v>
      </c>
      <c r="W461" s="145" t="s">
        <v>808</v>
      </c>
      <c r="X461" s="145" t="s">
        <v>809</v>
      </c>
      <c r="Y461" s="145" t="s">
        <v>75</v>
      </c>
      <c r="Z461" s="145" t="s">
        <v>75</v>
      </c>
    </row>
    <row r="462" spans="3:26" ht="24" x14ac:dyDescent="0.2">
      <c r="C462" s="91"/>
      <c r="D462" s="196" t="s">
        <v>432</v>
      </c>
      <c r="E462" s="434"/>
      <c r="F462" s="434"/>
      <c r="G462" s="434"/>
      <c r="H462" s="197" t="s">
        <v>913</v>
      </c>
      <c r="I462" s="196"/>
      <c r="J462" s="384"/>
      <c r="K462" s="385"/>
      <c r="L462" s="451"/>
      <c r="M462" s="203"/>
      <c r="N462" s="195"/>
      <c r="O462" s="146" t="s">
        <v>810</v>
      </c>
      <c r="P462" s="147">
        <v>0.1</v>
      </c>
      <c r="Q462" s="148">
        <v>6</v>
      </c>
      <c r="R462" s="149">
        <v>1</v>
      </c>
      <c r="S462" s="150"/>
      <c r="T462" s="146">
        <v>10</v>
      </c>
      <c r="U462" s="148">
        <v>-3.67</v>
      </c>
      <c r="V462" s="147">
        <v>37</v>
      </c>
      <c r="W462" s="150"/>
      <c r="X462" s="150"/>
      <c r="Y462" s="151"/>
      <c r="Z462" s="151"/>
    </row>
    <row r="463" spans="3:26" ht="24" x14ac:dyDescent="0.2">
      <c r="C463" s="91"/>
      <c r="D463" s="196" t="s">
        <v>433</v>
      </c>
      <c r="E463" s="440">
        <v>3.1</v>
      </c>
      <c r="F463" s="440">
        <v>0</v>
      </c>
      <c r="G463" s="440">
        <v>0</v>
      </c>
      <c r="H463" s="197" t="s">
        <v>913</v>
      </c>
      <c r="I463" s="196"/>
      <c r="J463" s="372"/>
      <c r="K463" s="373"/>
      <c r="L463" s="447"/>
      <c r="M463" s="203"/>
      <c r="N463" s="195"/>
      <c r="O463" s="152"/>
      <c r="P463" s="152"/>
      <c r="Q463" s="152"/>
      <c r="R463" s="153"/>
      <c r="S463" s="154"/>
      <c r="T463" s="152"/>
      <c r="U463" s="152"/>
      <c r="V463" s="152"/>
      <c r="W463" s="154"/>
      <c r="X463" s="154"/>
      <c r="Y463" s="155"/>
      <c r="Z463" s="155"/>
    </row>
    <row r="464" spans="3:26" ht="24" x14ac:dyDescent="0.2">
      <c r="C464" s="91"/>
      <c r="D464" s="196" t="s">
        <v>434</v>
      </c>
      <c r="E464" s="440">
        <v>2.99</v>
      </c>
      <c r="F464" s="440">
        <v>0</v>
      </c>
      <c r="G464" s="440">
        <v>0</v>
      </c>
      <c r="H464" s="203"/>
      <c r="I464" s="196"/>
      <c r="J464" s="372"/>
      <c r="K464" s="373"/>
      <c r="L464" s="447"/>
      <c r="M464" s="203"/>
      <c r="N464" s="195"/>
      <c r="O464" s="156" t="s">
        <v>811</v>
      </c>
      <c r="P464" s="157">
        <v>0.1</v>
      </c>
      <c r="Q464" s="158">
        <v>32.925699999999999</v>
      </c>
      <c r="R464" s="159">
        <v>1</v>
      </c>
      <c r="S464" s="160">
        <v>1</v>
      </c>
      <c r="T464" s="156">
        <v>50.388549999999995</v>
      </c>
      <c r="U464" s="161">
        <v>-18.492597849999999</v>
      </c>
      <c r="V464" s="162">
        <v>37</v>
      </c>
      <c r="W464" s="163">
        <v>3.72</v>
      </c>
      <c r="X464" s="164">
        <v>68.792464002000003</v>
      </c>
      <c r="Y464" s="165"/>
      <c r="Z464" s="165"/>
    </row>
    <row r="465" spans="3:26" ht="24" x14ac:dyDescent="0.2">
      <c r="C465" s="91"/>
      <c r="D465" s="196" t="s">
        <v>435</v>
      </c>
      <c r="E465" s="441">
        <v>0.95833333333333337</v>
      </c>
      <c r="F465" s="441">
        <v>0</v>
      </c>
      <c r="G465" s="441">
        <v>0</v>
      </c>
      <c r="H465" s="203"/>
      <c r="I465" s="196"/>
      <c r="J465" s="436">
        <v>6.25E-2</v>
      </c>
      <c r="K465" s="436"/>
      <c r="L465" s="436"/>
      <c r="M465" s="241">
        <v>0.95833333333333337</v>
      </c>
      <c r="N465" s="195"/>
      <c r="O465" s="166" t="s">
        <v>812</v>
      </c>
      <c r="P465" s="209">
        <v>0.1</v>
      </c>
      <c r="Q465" s="187">
        <v>32.925699999999999</v>
      </c>
      <c r="R465" s="210">
        <v>1</v>
      </c>
      <c r="S465" s="222">
        <v>1</v>
      </c>
      <c r="T465" s="211">
        <v>50.388549999999995</v>
      </c>
      <c r="U465" s="171">
        <v>-18.492597849999999</v>
      </c>
      <c r="V465" s="172">
        <v>91.8</v>
      </c>
      <c r="W465" s="223">
        <v>3.12</v>
      </c>
      <c r="X465" s="174">
        <v>57.696905291999997</v>
      </c>
      <c r="Y465" s="175"/>
      <c r="Z465" s="175"/>
    </row>
    <row r="466" spans="3:26" ht="24" x14ac:dyDescent="0.2">
      <c r="C466" s="91"/>
      <c r="D466" s="196" t="s">
        <v>436</v>
      </c>
      <c r="E466" s="213" t="s">
        <v>29</v>
      </c>
      <c r="F466" s="213" t="s">
        <v>28</v>
      </c>
      <c r="G466" s="213" t="s">
        <v>27</v>
      </c>
      <c r="H466" s="203" t="s">
        <v>793</v>
      </c>
      <c r="I466" s="196"/>
      <c r="J466" s="213"/>
      <c r="K466" s="213"/>
      <c r="L466" s="203"/>
      <c r="M466" s="203"/>
      <c r="N466" s="195"/>
      <c r="O466" s="154"/>
      <c r="P466" s="176"/>
      <c r="Q466" s="154"/>
      <c r="R466" s="154"/>
      <c r="S466" s="224"/>
      <c r="T466" s="154"/>
      <c r="U466" s="177"/>
      <c r="V466" s="178"/>
      <c r="W466" s="225"/>
      <c r="X466" s="177"/>
      <c r="Y466" s="155"/>
      <c r="Z466" s="155"/>
    </row>
    <row r="467" spans="3:26" ht="23" x14ac:dyDescent="0.2">
      <c r="C467" s="91"/>
      <c r="D467" s="214">
        <v>45503</v>
      </c>
      <c r="E467" s="215">
        <v>2.95</v>
      </c>
      <c r="F467" s="215">
        <v>2.94</v>
      </c>
      <c r="G467" s="215">
        <v>2.69</v>
      </c>
      <c r="H467" s="216">
        <v>0.95833333333333337</v>
      </c>
      <c r="I467" s="214"/>
      <c r="J467" s="232"/>
      <c r="K467" s="232"/>
      <c r="L467" s="242"/>
      <c r="M467" s="216"/>
      <c r="N467" s="195"/>
      <c r="O467" s="179"/>
      <c r="P467" s="155"/>
      <c r="Q467" s="179"/>
      <c r="R467" s="179"/>
      <c r="S467" s="224"/>
      <c r="T467" s="179"/>
      <c r="U467" s="179"/>
      <c r="V467" s="179"/>
      <c r="W467" s="227"/>
      <c r="X467" s="179"/>
      <c r="Y467" s="155"/>
      <c r="Z467" s="155"/>
    </row>
    <row r="468" spans="3:26" ht="23" x14ac:dyDescent="0.2">
      <c r="C468" s="91"/>
      <c r="D468" s="214">
        <v>45407</v>
      </c>
      <c r="E468" s="215">
        <v>2.94</v>
      </c>
      <c r="F468" s="215">
        <v>2.94</v>
      </c>
      <c r="G468" s="215">
        <v>2.4500000000000002</v>
      </c>
      <c r="H468" s="216">
        <v>0.95833333333333337</v>
      </c>
      <c r="I468" s="214"/>
      <c r="J468" s="232"/>
      <c r="K468" s="232"/>
      <c r="L468" s="242"/>
      <c r="M468" s="216"/>
      <c r="N468" s="195"/>
      <c r="O468" s="146" t="s">
        <v>813</v>
      </c>
      <c r="P468" s="233">
        <v>0.15</v>
      </c>
      <c r="Q468" s="180">
        <v>32.925699999999999</v>
      </c>
      <c r="R468" s="181">
        <v>1</v>
      </c>
      <c r="S468" s="228">
        <v>1</v>
      </c>
      <c r="T468" s="229">
        <v>50.388549999999995</v>
      </c>
      <c r="U468" s="182">
        <v>-27.738896774999994</v>
      </c>
      <c r="V468" s="183">
        <v>137.69999999999999</v>
      </c>
      <c r="W468" s="230">
        <v>3</v>
      </c>
      <c r="X468" s="184">
        <v>83.216690324999973</v>
      </c>
      <c r="Y468" s="185" t="s">
        <v>814</v>
      </c>
      <c r="Z468" s="185" t="s">
        <v>914</v>
      </c>
    </row>
    <row r="469" spans="3:26" ht="23" x14ac:dyDescent="0.2">
      <c r="C469" s="91"/>
      <c r="D469" s="214">
        <v>45321</v>
      </c>
      <c r="E469" s="215">
        <v>2.93</v>
      </c>
      <c r="F469" s="215">
        <v>2.78</v>
      </c>
      <c r="G469" s="215">
        <v>2.3199999999999998</v>
      </c>
      <c r="H469" s="216">
        <v>0.95833333333333337</v>
      </c>
      <c r="I469" s="214"/>
      <c r="J469" s="232"/>
      <c r="K469" s="232"/>
      <c r="L469" s="242"/>
      <c r="M469" s="216"/>
      <c r="N469" s="195"/>
      <c r="O469" s="146"/>
      <c r="P469" s="147"/>
      <c r="Q469" s="180"/>
      <c r="R469" s="181"/>
      <c r="S469" s="150"/>
      <c r="T469" s="147"/>
      <c r="U469" s="182"/>
      <c r="V469" s="183"/>
      <c r="W469" s="150"/>
      <c r="X469" s="184"/>
      <c r="Y469" s="185"/>
      <c r="Z469" s="185"/>
    </row>
    <row r="470" spans="3:26" ht="23" x14ac:dyDescent="0.2">
      <c r="C470" s="91"/>
      <c r="D470" s="214">
        <v>45223</v>
      </c>
      <c r="E470" s="215">
        <v>2.99</v>
      </c>
      <c r="F470" s="215">
        <v>2.65</v>
      </c>
      <c r="G470" s="215">
        <v>2.35</v>
      </c>
      <c r="H470" s="216">
        <v>0.95833333333333337</v>
      </c>
      <c r="I470" s="214"/>
      <c r="J470" s="232"/>
      <c r="K470" s="232"/>
      <c r="L470" s="242"/>
      <c r="M470" s="216"/>
      <c r="N470" s="195"/>
      <c r="O470" s="146" t="s">
        <v>816</v>
      </c>
      <c r="P470" s="147"/>
      <c r="Q470" s="180"/>
      <c r="R470" s="181"/>
      <c r="S470" s="150"/>
      <c r="T470" s="147"/>
      <c r="U470" s="182">
        <v>0</v>
      </c>
      <c r="V470" s="183"/>
      <c r="W470" s="150"/>
      <c r="X470" s="184">
        <v>0</v>
      </c>
      <c r="Y470" s="185"/>
      <c r="Z470" s="185"/>
    </row>
    <row r="471" spans="3:26" ht="23" x14ac:dyDescent="0.2">
      <c r="C471" s="91"/>
      <c r="D471" s="214">
        <v>45132</v>
      </c>
      <c r="E471" s="215">
        <v>2.69</v>
      </c>
      <c r="F471" s="215">
        <v>2.5499999999999998</v>
      </c>
      <c r="G471" s="215">
        <v>2.23</v>
      </c>
      <c r="H471" s="216">
        <v>0.95833333333333337</v>
      </c>
      <c r="I471" s="214"/>
      <c r="J471" s="232"/>
      <c r="K471" s="232"/>
      <c r="L471" s="242"/>
      <c r="M471" s="216"/>
      <c r="N471" s="195"/>
      <c r="O471" s="91"/>
      <c r="P471" s="91"/>
      <c r="Q471" s="91"/>
      <c r="R471" s="91"/>
      <c r="S471" s="91"/>
      <c r="T471" s="91"/>
      <c r="U471" s="91"/>
      <c r="V471" s="91"/>
      <c r="W471" s="91"/>
      <c r="X471" s="91"/>
      <c r="Y471" s="91"/>
      <c r="Z471" s="91"/>
    </row>
    <row r="472" spans="3:26" ht="23" x14ac:dyDescent="0.2">
      <c r="C472" s="91"/>
      <c r="D472" s="214">
        <v>45041</v>
      </c>
      <c r="E472" s="215">
        <v>2.4500000000000002</v>
      </c>
      <c r="F472" s="215">
        <v>2.2400000000000002</v>
      </c>
      <c r="G472" s="215">
        <v>2.2200000000000002</v>
      </c>
      <c r="H472" s="216">
        <v>0.95833333333333337</v>
      </c>
      <c r="I472" s="214"/>
      <c r="J472" s="232"/>
      <c r="K472" s="232"/>
      <c r="L472" s="242"/>
      <c r="M472" s="216"/>
      <c r="N472" s="195"/>
      <c r="O472" s="91"/>
      <c r="P472" s="91"/>
      <c r="Q472" s="91"/>
      <c r="R472" s="91"/>
      <c r="S472" s="91"/>
      <c r="T472" s="91"/>
      <c r="U472" s="91"/>
      <c r="V472" s="91"/>
      <c r="W472" s="91"/>
      <c r="X472" s="91"/>
      <c r="Y472" s="91"/>
      <c r="Z472" s="91"/>
    </row>
    <row r="473" spans="3:26" ht="72" x14ac:dyDescent="0.2">
      <c r="C473" s="91" t="s">
        <v>105</v>
      </c>
      <c r="D473" s="193" t="s">
        <v>30</v>
      </c>
      <c r="E473" s="430" t="s">
        <v>872</v>
      </c>
      <c r="F473" s="430">
        <v>0</v>
      </c>
      <c r="G473" s="430">
        <v>0</v>
      </c>
      <c r="H473" s="194" t="s">
        <v>790</v>
      </c>
      <c r="I473" s="193"/>
      <c r="J473" s="448" t="s">
        <v>430</v>
      </c>
      <c r="K473" s="449"/>
      <c r="L473" s="450"/>
      <c r="M473" s="194" t="s">
        <v>431</v>
      </c>
      <c r="N473" s="195" t="s">
        <v>105</v>
      </c>
      <c r="O473" s="145" t="s">
        <v>800</v>
      </c>
      <c r="P473" s="145" t="s">
        <v>801</v>
      </c>
      <c r="Q473" s="145" t="s">
        <v>802</v>
      </c>
      <c r="R473" s="145" t="s">
        <v>803</v>
      </c>
      <c r="S473" s="145" t="s">
        <v>804</v>
      </c>
      <c r="T473" s="145" t="s">
        <v>805</v>
      </c>
      <c r="U473" s="145" t="s">
        <v>806</v>
      </c>
      <c r="V473" s="145" t="s">
        <v>807</v>
      </c>
      <c r="W473" s="145" t="s">
        <v>808</v>
      </c>
      <c r="X473" s="145" t="s">
        <v>809</v>
      </c>
      <c r="Y473" s="145" t="s">
        <v>75</v>
      </c>
      <c r="Z473" s="145" t="s">
        <v>75</v>
      </c>
    </row>
    <row r="474" spans="3:26" ht="24" x14ac:dyDescent="0.2">
      <c r="C474" s="91"/>
      <c r="D474" s="196" t="s">
        <v>432</v>
      </c>
      <c r="E474" s="434"/>
      <c r="F474" s="434"/>
      <c r="G474" s="434"/>
      <c r="H474" s="197" t="s">
        <v>913</v>
      </c>
      <c r="I474" s="196"/>
      <c r="J474" s="384"/>
      <c r="K474" s="385"/>
      <c r="L474" s="451"/>
      <c r="M474" s="203"/>
      <c r="N474" s="195"/>
      <c r="O474" s="146" t="s">
        <v>810</v>
      </c>
      <c r="P474" s="147">
        <v>0.1</v>
      </c>
      <c r="Q474" s="148">
        <v>7.81</v>
      </c>
      <c r="R474" s="149">
        <v>1</v>
      </c>
      <c r="S474" s="150"/>
      <c r="T474" s="146">
        <v>12.715</v>
      </c>
      <c r="U474" s="148">
        <v>-4.6399999999999997</v>
      </c>
      <c r="V474" s="147">
        <v>37</v>
      </c>
      <c r="W474" s="150"/>
      <c r="X474" s="150"/>
      <c r="Y474" s="151"/>
      <c r="Z474" s="151"/>
    </row>
    <row r="475" spans="3:26" ht="24" x14ac:dyDescent="0.2">
      <c r="C475" s="91"/>
      <c r="D475" s="196" t="s">
        <v>433</v>
      </c>
      <c r="E475" s="440">
        <v>5.21</v>
      </c>
      <c r="F475" s="440">
        <v>0</v>
      </c>
      <c r="G475" s="440">
        <v>0</v>
      </c>
      <c r="H475" s="197" t="s">
        <v>913</v>
      </c>
      <c r="I475" s="196"/>
      <c r="J475" s="372"/>
      <c r="K475" s="373"/>
      <c r="L475" s="447"/>
      <c r="M475" s="203"/>
      <c r="N475" s="195"/>
      <c r="O475" s="152"/>
      <c r="P475" s="152"/>
      <c r="Q475" s="152"/>
      <c r="R475" s="153"/>
      <c r="S475" s="154"/>
      <c r="T475" s="152"/>
      <c r="U475" s="152"/>
      <c r="V475" s="152"/>
      <c r="W475" s="154"/>
      <c r="X475" s="154"/>
      <c r="Y475" s="155"/>
      <c r="Z475" s="155"/>
    </row>
    <row r="476" spans="3:26" ht="24" x14ac:dyDescent="0.2">
      <c r="C476" s="91"/>
      <c r="D476" s="196" t="s">
        <v>434</v>
      </c>
      <c r="E476" s="440">
        <v>4.3899999999999997</v>
      </c>
      <c r="F476" s="440">
        <v>0</v>
      </c>
      <c r="G476" s="440">
        <v>0</v>
      </c>
      <c r="H476" s="203"/>
      <c r="I476" s="196"/>
      <c r="J476" s="372"/>
      <c r="K476" s="373"/>
      <c r="L476" s="447"/>
      <c r="M476" s="203"/>
      <c r="N476" s="195"/>
      <c r="O476" s="156" t="s">
        <v>811</v>
      </c>
      <c r="P476" s="157">
        <v>0.5</v>
      </c>
      <c r="Q476" s="158">
        <v>14.205</v>
      </c>
      <c r="R476" s="159">
        <v>3</v>
      </c>
      <c r="S476" s="160">
        <v>1</v>
      </c>
      <c r="T476" s="156">
        <v>24.307500000000001</v>
      </c>
      <c r="U476" s="161">
        <v>-44.351867872591427</v>
      </c>
      <c r="V476" s="162">
        <v>185</v>
      </c>
      <c r="W476" s="163">
        <v>2.95</v>
      </c>
      <c r="X476" s="164">
        <v>130.83801022414471</v>
      </c>
      <c r="Y476" s="165"/>
      <c r="Z476" s="165"/>
    </row>
    <row r="477" spans="3:26" ht="24" x14ac:dyDescent="0.2">
      <c r="C477" s="91"/>
      <c r="D477" s="196" t="s">
        <v>435</v>
      </c>
      <c r="E477" s="441">
        <v>0.95833333333333337</v>
      </c>
      <c r="F477" s="441">
        <v>0</v>
      </c>
      <c r="G477" s="441">
        <v>0</v>
      </c>
      <c r="H477" s="203"/>
      <c r="I477" s="196"/>
      <c r="J477" s="436">
        <v>6.25E-2</v>
      </c>
      <c r="K477" s="436"/>
      <c r="L477" s="436"/>
      <c r="M477" s="241">
        <v>0.95833333333333337</v>
      </c>
      <c r="N477" s="195"/>
      <c r="O477" s="166" t="s">
        <v>812</v>
      </c>
      <c r="P477" s="167">
        <v>0.1</v>
      </c>
      <c r="Q477" s="168"/>
      <c r="R477" s="169">
        <v>3</v>
      </c>
      <c r="S477" s="170">
        <v>1</v>
      </c>
      <c r="T477" s="166"/>
      <c r="U477" s="171">
        <v>0</v>
      </c>
      <c r="V477" s="172">
        <v>37</v>
      </c>
      <c r="W477" s="173">
        <v>2.3650000000000002</v>
      </c>
      <c r="X477" s="174">
        <v>0</v>
      </c>
      <c r="Y477" s="175"/>
      <c r="Z477" s="175"/>
    </row>
    <row r="478" spans="3:26" ht="24" x14ac:dyDescent="0.2">
      <c r="C478" s="91"/>
      <c r="D478" s="196" t="s">
        <v>436</v>
      </c>
      <c r="E478" s="213" t="s">
        <v>29</v>
      </c>
      <c r="F478" s="213" t="s">
        <v>28</v>
      </c>
      <c r="G478" s="213" t="s">
        <v>27</v>
      </c>
      <c r="H478" s="203" t="s">
        <v>793</v>
      </c>
      <c r="I478" s="196"/>
      <c r="J478" s="213"/>
      <c r="K478" s="213"/>
      <c r="L478" s="203"/>
      <c r="M478" s="203"/>
      <c r="N478" s="195"/>
      <c r="O478" s="154"/>
      <c r="P478" s="176"/>
      <c r="Q478" s="154"/>
      <c r="R478" s="154"/>
      <c r="S478" s="154"/>
      <c r="T478" s="154"/>
      <c r="U478" s="177"/>
      <c r="V478" s="178"/>
      <c r="W478" s="154"/>
      <c r="X478" s="177"/>
      <c r="Y478" s="155"/>
      <c r="Z478" s="155"/>
    </row>
    <row r="479" spans="3:26" ht="23" x14ac:dyDescent="0.2">
      <c r="C479" s="91"/>
      <c r="D479" s="214">
        <v>45504</v>
      </c>
      <c r="E479" s="215">
        <v>5.16</v>
      </c>
      <c r="F479" s="215">
        <v>4.72</v>
      </c>
      <c r="G479" s="215">
        <v>2.98</v>
      </c>
      <c r="H479" s="216">
        <v>0.95833333333333337</v>
      </c>
      <c r="I479" s="214"/>
      <c r="J479" s="232"/>
      <c r="K479" s="232"/>
      <c r="L479" s="242"/>
      <c r="M479" s="216"/>
      <c r="N479" s="195"/>
      <c r="O479" s="243"/>
      <c r="P479" s="155"/>
      <c r="Q479" s="179"/>
      <c r="R479" s="179"/>
      <c r="S479" s="179"/>
      <c r="T479" s="179"/>
      <c r="U479" s="179"/>
      <c r="V479" s="179"/>
      <c r="W479" s="179"/>
      <c r="X479" s="179"/>
      <c r="Y479" s="155"/>
      <c r="Z479" s="155"/>
    </row>
    <row r="480" spans="3:26" ht="23" x14ac:dyDescent="0.2">
      <c r="C480" s="91"/>
      <c r="D480" s="214">
        <v>45406</v>
      </c>
      <c r="E480" s="215">
        <v>4.71</v>
      </c>
      <c r="F480" s="215">
        <v>4.32</v>
      </c>
      <c r="G480" s="215">
        <v>2.2000000000000002</v>
      </c>
      <c r="H480" s="216">
        <v>0.95833333333333337</v>
      </c>
      <c r="I480" s="214"/>
      <c r="J480" s="232"/>
      <c r="K480" s="232"/>
      <c r="L480" s="242"/>
      <c r="M480" s="216"/>
      <c r="N480" s="195"/>
      <c r="O480" s="146" t="s">
        <v>813</v>
      </c>
      <c r="P480" s="147">
        <v>0.25</v>
      </c>
      <c r="Q480" s="180">
        <v>14.205</v>
      </c>
      <c r="R480" s="181">
        <v>3</v>
      </c>
      <c r="S480" s="150">
        <v>1</v>
      </c>
      <c r="T480" s="156">
        <v>24.307500000000001</v>
      </c>
      <c r="U480" s="182">
        <v>-22.175933936295714</v>
      </c>
      <c r="V480" s="183">
        <v>92.5</v>
      </c>
      <c r="W480" s="150">
        <v>2.95</v>
      </c>
      <c r="X480" s="184">
        <v>65.419005112072355</v>
      </c>
      <c r="Y480" s="185"/>
      <c r="Z480" s="185"/>
    </row>
    <row r="481" spans="3:26" ht="23" x14ac:dyDescent="0.2">
      <c r="C481" s="91"/>
      <c r="D481" s="214">
        <v>45323</v>
      </c>
      <c r="E481" s="215">
        <v>5.33</v>
      </c>
      <c r="F481" s="215">
        <v>4.96</v>
      </c>
      <c r="G481" s="215">
        <v>1.76</v>
      </c>
      <c r="H481" s="216">
        <v>0.95833333333333337</v>
      </c>
      <c r="I481" s="214"/>
      <c r="J481" s="232"/>
      <c r="K481" s="232"/>
      <c r="L481" s="242"/>
      <c r="M481" s="216"/>
      <c r="N481" s="195"/>
      <c r="O481" s="146"/>
      <c r="P481" s="147"/>
      <c r="Q481" s="180"/>
      <c r="R481" s="181"/>
      <c r="S481" s="150"/>
      <c r="T481" s="147"/>
      <c r="U481" s="182"/>
      <c r="V481" s="183"/>
      <c r="W481" s="150"/>
      <c r="X481" s="184"/>
      <c r="Y481" s="185"/>
      <c r="Z481" s="185"/>
    </row>
    <row r="482" spans="3:26" ht="23" x14ac:dyDescent="0.2">
      <c r="C482" s="91"/>
      <c r="D482" s="214">
        <v>45224</v>
      </c>
      <c r="E482" s="215">
        <v>4.3899999999999997</v>
      </c>
      <c r="F482" s="215">
        <v>3.64</v>
      </c>
      <c r="G482" s="215">
        <v>1.64</v>
      </c>
      <c r="H482" s="216">
        <v>0.95833333333333337</v>
      </c>
      <c r="I482" s="214"/>
      <c r="J482" s="232"/>
      <c r="K482" s="232"/>
      <c r="L482" s="242"/>
      <c r="M482" s="216"/>
      <c r="N482" s="195"/>
      <c r="O482" s="146" t="s">
        <v>816</v>
      </c>
      <c r="P482" s="147"/>
      <c r="Q482" s="180"/>
      <c r="R482" s="181"/>
      <c r="S482" s="150"/>
      <c r="T482" s="147"/>
      <c r="U482" s="182">
        <v>0</v>
      </c>
      <c r="V482" s="183"/>
      <c r="W482" s="150"/>
      <c r="X482" s="184">
        <v>0</v>
      </c>
      <c r="Y482" s="185"/>
      <c r="Z482" s="185"/>
    </row>
    <row r="483" spans="3:26" ht="23" x14ac:dyDescent="0.2">
      <c r="C483" s="91"/>
      <c r="D483" s="214">
        <v>45133</v>
      </c>
      <c r="E483" s="215">
        <v>2.98</v>
      </c>
      <c r="F483" s="215">
        <v>2.91</v>
      </c>
      <c r="G483" s="215">
        <v>2.46</v>
      </c>
      <c r="H483" s="216">
        <v>0.95833333333333337</v>
      </c>
      <c r="I483" s="214"/>
      <c r="J483" s="232"/>
      <c r="K483" s="232"/>
      <c r="L483" s="242"/>
      <c r="M483" s="216"/>
      <c r="N483" s="195"/>
      <c r="O483" s="91"/>
      <c r="P483" s="91"/>
      <c r="Q483" s="91"/>
      <c r="R483" s="91"/>
      <c r="S483" s="91"/>
      <c r="T483" s="91"/>
      <c r="U483" s="91"/>
      <c r="V483" s="91"/>
      <c r="W483" s="91"/>
      <c r="X483" s="91"/>
      <c r="Y483" s="91"/>
      <c r="Z483" s="91"/>
    </row>
    <row r="484" spans="3:26" ht="23" x14ac:dyDescent="0.2">
      <c r="C484" s="91"/>
      <c r="D484" s="214">
        <v>45042</v>
      </c>
      <c r="E484" s="215">
        <v>2.2000000000000002</v>
      </c>
      <c r="F484" s="215">
        <v>2.02</v>
      </c>
      <c r="G484" s="215">
        <v>2.72</v>
      </c>
      <c r="H484" s="216">
        <v>0.95833333333333337</v>
      </c>
      <c r="I484" s="214"/>
      <c r="J484" s="232"/>
      <c r="K484" s="232"/>
      <c r="L484" s="242"/>
      <c r="M484" s="216"/>
      <c r="N484" s="195"/>
      <c r="O484" s="91"/>
      <c r="P484" s="91"/>
      <c r="Q484" s="91"/>
      <c r="R484" s="91"/>
      <c r="S484" s="91"/>
      <c r="T484" s="91"/>
      <c r="U484" s="91"/>
      <c r="V484" s="91"/>
      <c r="W484" s="91"/>
      <c r="X484" s="91"/>
      <c r="Y484" s="91"/>
      <c r="Z484" s="91"/>
    </row>
    <row r="485" spans="3:26" ht="72" x14ac:dyDescent="0.2">
      <c r="C485" s="91" t="s">
        <v>105</v>
      </c>
      <c r="D485" s="193" t="s">
        <v>30</v>
      </c>
      <c r="E485" s="430" t="s">
        <v>854</v>
      </c>
      <c r="F485" s="430">
        <v>0</v>
      </c>
      <c r="G485" s="430">
        <v>0</v>
      </c>
      <c r="H485" s="194" t="s">
        <v>790</v>
      </c>
      <c r="I485" s="193"/>
      <c r="J485" s="448" t="s">
        <v>430</v>
      </c>
      <c r="K485" s="449"/>
      <c r="L485" s="450"/>
      <c r="M485" s="194" t="s">
        <v>431</v>
      </c>
      <c r="N485" s="195" t="s">
        <v>105</v>
      </c>
      <c r="O485" s="91"/>
      <c r="P485" s="91"/>
      <c r="Q485" s="91"/>
      <c r="R485" s="91"/>
      <c r="S485" s="91"/>
      <c r="T485" s="91"/>
      <c r="U485" s="91"/>
      <c r="V485" s="91"/>
      <c r="W485" s="91"/>
      <c r="X485" s="91"/>
      <c r="Y485" s="91"/>
      <c r="Z485" s="91"/>
    </row>
    <row r="486" spans="3:26" ht="24" x14ac:dyDescent="0.2">
      <c r="C486" s="91"/>
      <c r="D486" s="196" t="s">
        <v>432</v>
      </c>
      <c r="E486" s="434"/>
      <c r="F486" s="434"/>
      <c r="G486" s="434"/>
      <c r="H486" s="197" t="s">
        <v>913</v>
      </c>
      <c r="I486" s="196"/>
      <c r="J486" s="384"/>
      <c r="K486" s="385"/>
      <c r="L486" s="451"/>
      <c r="M486" s="203"/>
      <c r="N486" s="195"/>
      <c r="O486" s="91"/>
      <c r="P486" s="91"/>
      <c r="Q486" s="91"/>
      <c r="R486" s="91"/>
      <c r="S486" s="91"/>
      <c r="T486" s="91"/>
      <c r="U486" s="91"/>
      <c r="V486" s="91"/>
      <c r="W486" s="91"/>
      <c r="X486" s="91"/>
      <c r="Y486" s="91"/>
      <c r="Z486" s="91"/>
    </row>
    <row r="487" spans="3:26" ht="24" x14ac:dyDescent="0.2">
      <c r="C487" s="91"/>
      <c r="D487" s="196" t="s">
        <v>433</v>
      </c>
      <c r="E487" s="440">
        <v>1.1399999999999999</v>
      </c>
      <c r="F487" s="440">
        <v>0</v>
      </c>
      <c r="G487" s="440">
        <v>0</v>
      </c>
      <c r="H487" s="197" t="s">
        <v>913</v>
      </c>
      <c r="I487" s="196"/>
      <c r="J487" s="372"/>
      <c r="K487" s="373"/>
      <c r="L487" s="447"/>
      <c r="M487" s="203"/>
      <c r="N487" s="195"/>
      <c r="O487" s="91"/>
      <c r="P487" s="91"/>
      <c r="Q487" s="91"/>
      <c r="R487" s="91"/>
      <c r="S487" s="91"/>
      <c r="T487" s="91"/>
      <c r="U487" s="91"/>
      <c r="V487" s="91"/>
      <c r="W487" s="91"/>
      <c r="X487" s="91"/>
      <c r="Y487" s="91"/>
      <c r="Z487" s="91"/>
    </row>
    <row r="488" spans="3:26" ht="24" x14ac:dyDescent="0.2">
      <c r="C488" s="91"/>
      <c r="D488" s="196" t="s">
        <v>434</v>
      </c>
      <c r="E488" s="440">
        <v>0</v>
      </c>
      <c r="F488" s="440">
        <v>0</v>
      </c>
      <c r="G488" s="440">
        <v>0</v>
      </c>
      <c r="H488" s="203"/>
      <c r="I488" s="196"/>
      <c r="J488" s="372"/>
      <c r="K488" s="373"/>
      <c r="L488" s="447"/>
      <c r="M488" s="203"/>
      <c r="N488" s="195"/>
      <c r="O488" s="91"/>
      <c r="P488" s="91"/>
      <c r="Q488" s="91"/>
      <c r="R488" s="91"/>
      <c r="S488" s="91"/>
      <c r="T488" s="91"/>
      <c r="U488" s="91"/>
      <c r="V488" s="91"/>
      <c r="W488" s="91"/>
      <c r="X488" s="91"/>
      <c r="Y488" s="91"/>
      <c r="Z488" s="91"/>
    </row>
    <row r="489" spans="3:26" ht="24" x14ac:dyDescent="0.2">
      <c r="C489" s="91"/>
      <c r="D489" s="196" t="s">
        <v>435</v>
      </c>
      <c r="E489" s="441">
        <v>0.95833333333333337</v>
      </c>
      <c r="F489" s="441">
        <v>0</v>
      </c>
      <c r="G489" s="441">
        <v>0</v>
      </c>
      <c r="H489" s="203"/>
      <c r="I489" s="196"/>
      <c r="J489" s="436">
        <v>6.25E-2</v>
      </c>
      <c r="K489" s="436"/>
      <c r="L489" s="436"/>
      <c r="M489" s="241">
        <v>0.95833333333333337</v>
      </c>
      <c r="N489" s="195"/>
      <c r="O489" s="91"/>
      <c r="P489" s="91"/>
      <c r="Q489" s="91"/>
      <c r="R489" s="91"/>
      <c r="S489" s="91"/>
      <c r="T489" s="91"/>
      <c r="U489" s="91"/>
      <c r="V489" s="91"/>
      <c r="W489" s="91"/>
      <c r="X489" s="91"/>
      <c r="Y489" s="91"/>
      <c r="Z489" s="91"/>
    </row>
    <row r="490" spans="3:26" ht="24" x14ac:dyDescent="0.2">
      <c r="C490" s="91"/>
      <c r="D490" s="196" t="s">
        <v>436</v>
      </c>
      <c r="E490" s="213" t="s">
        <v>29</v>
      </c>
      <c r="F490" s="213" t="s">
        <v>28</v>
      </c>
      <c r="G490" s="213" t="s">
        <v>27</v>
      </c>
      <c r="H490" s="203" t="s">
        <v>793</v>
      </c>
      <c r="I490" s="196"/>
      <c r="J490" s="213"/>
      <c r="K490" s="213"/>
      <c r="L490" s="203"/>
      <c r="M490" s="203"/>
      <c r="N490" s="195"/>
      <c r="O490" s="91"/>
      <c r="P490" s="91"/>
      <c r="Q490" s="91"/>
      <c r="R490" s="91"/>
      <c r="S490" s="91"/>
      <c r="T490" s="91"/>
      <c r="U490" s="91"/>
      <c r="V490" s="91"/>
      <c r="W490" s="91"/>
      <c r="X490" s="91"/>
      <c r="Y490" s="91"/>
      <c r="Z490" s="91"/>
    </row>
    <row r="491" spans="3:26" ht="23" x14ac:dyDescent="0.2">
      <c r="C491" s="91"/>
      <c r="D491" s="214">
        <v>45505</v>
      </c>
      <c r="E491" s="215">
        <v>1.26</v>
      </c>
      <c r="F491" s="215">
        <v>1.03</v>
      </c>
      <c r="G491" s="215">
        <v>0</v>
      </c>
      <c r="H491" s="216">
        <v>0.95833333333333337</v>
      </c>
      <c r="I491" s="214"/>
      <c r="J491" s="232"/>
      <c r="K491" s="232"/>
      <c r="L491" s="242"/>
      <c r="M491" s="216"/>
      <c r="N491" s="195"/>
      <c r="O491" s="91"/>
      <c r="P491" s="91"/>
      <c r="Q491" s="91"/>
      <c r="R491" s="91"/>
      <c r="S491" s="91"/>
      <c r="T491" s="91"/>
      <c r="U491" s="91"/>
      <c r="V491" s="91"/>
      <c r="W491" s="91"/>
      <c r="X491" s="91"/>
      <c r="Y491" s="91"/>
      <c r="Z491" s="91"/>
    </row>
    <row r="492" spans="3:26" ht="23" x14ac:dyDescent="0.2">
      <c r="C492" s="91"/>
      <c r="D492" s="214">
        <v>45412</v>
      </c>
      <c r="E492" s="215">
        <v>0.98</v>
      </c>
      <c r="F492" s="215">
        <v>0.84</v>
      </c>
      <c r="G492" s="215">
        <v>0</v>
      </c>
      <c r="H492" s="216">
        <v>0.95833333333333337</v>
      </c>
      <c r="I492" s="214"/>
      <c r="J492" s="232"/>
      <c r="K492" s="232"/>
      <c r="L492" s="242"/>
      <c r="M492" s="216"/>
      <c r="N492" s="195"/>
      <c r="O492" s="91"/>
      <c r="P492" s="91"/>
      <c r="Q492" s="91"/>
      <c r="R492" s="91"/>
      <c r="S492" s="91"/>
      <c r="T492" s="91"/>
      <c r="U492" s="91"/>
      <c r="V492" s="91"/>
      <c r="W492" s="91"/>
      <c r="X492" s="91"/>
      <c r="Y492" s="91"/>
      <c r="Z492" s="91"/>
    </row>
    <row r="493" spans="3:26" ht="23" x14ac:dyDescent="0.2">
      <c r="C493" s="91"/>
      <c r="D493" s="214">
        <v>45323</v>
      </c>
      <c r="E493" s="215">
        <v>1</v>
      </c>
      <c r="F493" s="215">
        <v>0.8</v>
      </c>
      <c r="G493" s="215">
        <v>0</v>
      </c>
      <c r="H493" s="216">
        <v>0.95833333333333337</v>
      </c>
      <c r="I493" s="214"/>
      <c r="J493" s="232"/>
      <c r="K493" s="232"/>
      <c r="L493" s="242"/>
      <c r="M493" s="216"/>
      <c r="N493" s="195"/>
      <c r="O493" s="91"/>
      <c r="P493" s="91"/>
      <c r="Q493" s="91"/>
      <c r="R493" s="91"/>
      <c r="S493" s="91"/>
      <c r="T493" s="91"/>
      <c r="U493" s="91"/>
      <c r="V493" s="91"/>
      <c r="W493" s="91"/>
      <c r="X493" s="91"/>
      <c r="Y493" s="91"/>
      <c r="Z493" s="91"/>
    </row>
    <row r="494" spans="3:26" ht="23" x14ac:dyDescent="0.2">
      <c r="C494" s="91"/>
      <c r="D494" s="214">
        <v>45225</v>
      </c>
      <c r="E494" s="215">
        <v>0.94</v>
      </c>
      <c r="F494" s="215">
        <v>0.57999999999999996</v>
      </c>
      <c r="G494" s="215">
        <v>0</v>
      </c>
      <c r="H494" s="216">
        <v>0.95833333333333337</v>
      </c>
      <c r="I494" s="214"/>
      <c r="J494" s="232"/>
      <c r="K494" s="232"/>
      <c r="L494" s="242"/>
      <c r="M494" s="216"/>
      <c r="N494" s="195"/>
      <c r="O494" s="91"/>
      <c r="P494" s="91"/>
      <c r="Q494" s="91"/>
      <c r="R494" s="91"/>
      <c r="S494" s="91"/>
      <c r="T494" s="91"/>
      <c r="U494" s="91"/>
      <c r="V494" s="91"/>
      <c r="W494" s="91"/>
      <c r="X494" s="91"/>
      <c r="Y494" s="91"/>
      <c r="Z494" s="91"/>
    </row>
    <row r="495" spans="3:26" ht="23" x14ac:dyDescent="0.2">
      <c r="C495" s="91"/>
      <c r="D495" s="214">
        <v>45141</v>
      </c>
      <c r="E495" s="215">
        <v>0.65</v>
      </c>
      <c r="F495" s="215">
        <v>0.35</v>
      </c>
      <c r="G495" s="215">
        <v>0</v>
      </c>
      <c r="H495" s="216">
        <v>0.95833333333333337</v>
      </c>
      <c r="I495" s="214"/>
      <c r="J495" s="232"/>
      <c r="K495" s="232"/>
      <c r="L495" s="242"/>
      <c r="M495" s="216"/>
      <c r="N495" s="195"/>
      <c r="O495" s="91"/>
      <c r="P495" s="91"/>
      <c r="Q495" s="91"/>
      <c r="R495" s="91"/>
      <c r="S495" s="91"/>
      <c r="T495" s="91"/>
      <c r="U495" s="91"/>
      <c r="V495" s="91"/>
      <c r="W495" s="91"/>
      <c r="X495" s="91"/>
      <c r="Y495" s="91"/>
      <c r="Z495" s="91"/>
    </row>
    <row r="496" spans="3:26" ht="23" x14ac:dyDescent="0.2">
      <c r="C496" s="91"/>
      <c r="D496" s="214">
        <v>45043</v>
      </c>
      <c r="E496" s="215">
        <v>0.31</v>
      </c>
      <c r="F496" s="215">
        <v>0.21</v>
      </c>
      <c r="G496" s="215">
        <v>0</v>
      </c>
      <c r="H496" s="216">
        <v>0.95833333333333337</v>
      </c>
      <c r="I496" s="214"/>
      <c r="J496" s="232"/>
      <c r="K496" s="232"/>
      <c r="L496" s="242"/>
      <c r="M496" s="216"/>
      <c r="N496" s="195"/>
      <c r="O496" s="91"/>
      <c r="P496" s="91"/>
      <c r="Q496" s="91"/>
      <c r="R496" s="91"/>
      <c r="S496" s="91"/>
      <c r="T496" s="91"/>
      <c r="U496" s="91"/>
      <c r="V496" s="91"/>
      <c r="W496" s="91"/>
      <c r="X496" s="91"/>
      <c r="Y496" s="91"/>
      <c r="Z496" s="91"/>
    </row>
    <row r="497" spans="2:26" ht="72" x14ac:dyDescent="0.2">
      <c r="C497" s="91" t="s">
        <v>105</v>
      </c>
      <c r="D497" s="193" t="s">
        <v>30</v>
      </c>
      <c r="E497" s="430" t="s">
        <v>873</v>
      </c>
      <c r="F497" s="430">
        <v>0</v>
      </c>
      <c r="G497" s="430">
        <v>0</v>
      </c>
      <c r="H497" s="194" t="s">
        <v>790</v>
      </c>
      <c r="I497" s="193"/>
      <c r="J497" s="448" t="s">
        <v>430</v>
      </c>
      <c r="K497" s="449"/>
      <c r="L497" s="450"/>
      <c r="M497" s="194" t="s">
        <v>431</v>
      </c>
      <c r="N497" s="195" t="s">
        <v>105</v>
      </c>
      <c r="O497" s="145" t="s">
        <v>800</v>
      </c>
      <c r="P497" s="145" t="s">
        <v>801</v>
      </c>
      <c r="Q497" s="145" t="s">
        <v>802</v>
      </c>
      <c r="R497" s="145" t="s">
        <v>803</v>
      </c>
      <c r="S497" s="145" t="s">
        <v>804</v>
      </c>
      <c r="T497" s="145" t="s">
        <v>805</v>
      </c>
      <c r="U497" s="145" t="s">
        <v>806</v>
      </c>
      <c r="V497" s="145" t="s">
        <v>807</v>
      </c>
      <c r="W497" s="145" t="s">
        <v>808</v>
      </c>
      <c r="X497" s="145" t="s">
        <v>809</v>
      </c>
      <c r="Y497" s="145" t="s">
        <v>75</v>
      </c>
      <c r="Z497" s="145" t="s">
        <v>75</v>
      </c>
    </row>
    <row r="498" spans="2:26" ht="24" x14ac:dyDescent="0.2">
      <c r="C498" s="91"/>
      <c r="D498" s="196" t="s">
        <v>432</v>
      </c>
      <c r="E498" s="434"/>
      <c r="F498" s="434"/>
      <c r="G498" s="434"/>
      <c r="H498" s="197" t="s">
        <v>913</v>
      </c>
      <c r="I498" s="196"/>
      <c r="J498" s="384"/>
      <c r="K498" s="385"/>
      <c r="L498" s="451"/>
      <c r="M498" s="203"/>
      <c r="N498" s="195"/>
      <c r="O498" s="146" t="s">
        <v>810</v>
      </c>
      <c r="P498" s="199">
        <v>0.1</v>
      </c>
      <c r="Q498" s="200">
        <v>2.1000000000000001E-2</v>
      </c>
      <c r="R498" s="201">
        <v>1.7000000000000001E-2</v>
      </c>
      <c r="S498" s="150"/>
      <c r="T498" s="146">
        <v>4.8500000000000001E-2</v>
      </c>
      <c r="U498" s="200">
        <v>-11.44</v>
      </c>
      <c r="V498" s="199">
        <v>91.8</v>
      </c>
      <c r="W498" s="202">
        <v>2</v>
      </c>
      <c r="X498" s="184">
        <v>22.88</v>
      </c>
      <c r="Y498" s="151"/>
      <c r="Z498" s="151"/>
    </row>
    <row r="499" spans="2:26" ht="24" x14ac:dyDescent="0.2">
      <c r="C499" s="91"/>
      <c r="D499" s="196" t="s">
        <v>433</v>
      </c>
      <c r="E499" s="440">
        <v>1E-3</v>
      </c>
      <c r="F499" s="440">
        <v>0</v>
      </c>
      <c r="G499" s="440">
        <v>0</v>
      </c>
      <c r="H499" s="197" t="s">
        <v>913</v>
      </c>
      <c r="I499" s="196"/>
      <c r="J499" s="372"/>
      <c r="K499" s="373"/>
      <c r="L499" s="447"/>
      <c r="M499" s="203"/>
      <c r="N499" s="195"/>
      <c r="O499" s="152"/>
      <c r="P499" s="152"/>
      <c r="Q499" s="152"/>
      <c r="R499" s="153"/>
      <c r="S499" s="154"/>
      <c r="T499" s="152"/>
      <c r="U499" s="152"/>
      <c r="V499" s="152"/>
      <c r="W499" s="154"/>
      <c r="X499" s="154"/>
      <c r="Y499" s="155"/>
      <c r="Z499" s="155"/>
    </row>
    <row r="500" spans="2:26" ht="24" x14ac:dyDescent="0.2">
      <c r="C500" s="91"/>
      <c r="D500" s="196" t="s">
        <v>434</v>
      </c>
      <c r="E500" s="440">
        <v>1E-3</v>
      </c>
      <c r="F500" s="440">
        <v>0</v>
      </c>
      <c r="G500" s="440">
        <v>0</v>
      </c>
      <c r="H500" s="203"/>
      <c r="I500" s="196"/>
      <c r="J500" s="372"/>
      <c r="K500" s="373"/>
      <c r="L500" s="447"/>
      <c r="M500" s="203"/>
      <c r="N500" s="195"/>
      <c r="O500" s="156" t="s">
        <v>811</v>
      </c>
      <c r="P500" s="204">
        <v>0.1</v>
      </c>
      <c r="Q500" s="205">
        <v>4.5600000000000002E-2</v>
      </c>
      <c r="R500" s="206">
        <v>1.7000000000000001E-2</v>
      </c>
      <c r="S500" s="160">
        <v>1</v>
      </c>
      <c r="T500" s="156">
        <v>8.5400000000000004E-2</v>
      </c>
      <c r="U500" s="161">
        <v>-20.14383505154639</v>
      </c>
      <c r="V500" s="162">
        <v>91.8</v>
      </c>
      <c r="W500" s="207">
        <v>4.83</v>
      </c>
      <c r="X500" s="164">
        <v>97.29472329896906</v>
      </c>
      <c r="Y500" s="165"/>
      <c r="Z500" s="165"/>
    </row>
    <row r="501" spans="2:26" ht="24" x14ac:dyDescent="0.2">
      <c r="C501" s="91"/>
      <c r="D501" s="196" t="s">
        <v>435</v>
      </c>
      <c r="E501" s="441">
        <v>0.95833333333333337</v>
      </c>
      <c r="F501" s="441">
        <v>0</v>
      </c>
      <c r="G501" s="441">
        <v>0</v>
      </c>
      <c r="H501" s="203"/>
      <c r="I501" s="196"/>
      <c r="J501" s="436">
        <v>0.77083333333333337</v>
      </c>
      <c r="K501" s="436"/>
      <c r="L501" s="436"/>
      <c r="M501" s="241">
        <v>0.95833333333333337</v>
      </c>
      <c r="N501" s="195"/>
      <c r="O501" s="166" t="s">
        <v>812</v>
      </c>
      <c r="P501" s="209">
        <v>0.2</v>
      </c>
      <c r="Q501" s="187">
        <v>3.5533333333333333E-2</v>
      </c>
      <c r="R501" s="210">
        <v>1.7000000000000001E-2</v>
      </c>
      <c r="S501" s="170">
        <v>0.3</v>
      </c>
      <c r="T501" s="211">
        <v>7.0300000000000001E-2</v>
      </c>
      <c r="U501" s="171">
        <v>-9.9492618556701036</v>
      </c>
      <c r="V501" s="172">
        <v>183.6</v>
      </c>
      <c r="W501" s="212">
        <v>5.8</v>
      </c>
      <c r="X501" s="174">
        <v>57.705718762886598</v>
      </c>
      <c r="Y501" s="175"/>
      <c r="Z501" s="175"/>
    </row>
    <row r="502" spans="2:26" ht="24" x14ac:dyDescent="0.2">
      <c r="C502" s="91"/>
      <c r="D502" s="196" t="s">
        <v>436</v>
      </c>
      <c r="E502" s="213" t="s">
        <v>29</v>
      </c>
      <c r="F502" s="213" t="s">
        <v>28</v>
      </c>
      <c r="G502" s="213" t="s">
        <v>27</v>
      </c>
      <c r="H502" s="203" t="s">
        <v>793</v>
      </c>
      <c r="I502" s="196"/>
      <c r="J502" s="213"/>
      <c r="K502" s="213"/>
      <c r="L502" s="203"/>
      <c r="M502" s="203"/>
      <c r="N502" s="195"/>
      <c r="O502" s="154"/>
      <c r="P502" s="176"/>
      <c r="Q502" s="244"/>
      <c r="R502" s="177">
        <v>2.4059381443298973</v>
      </c>
      <c r="S502" s="154"/>
      <c r="T502" s="154"/>
      <c r="U502" s="177">
        <v>141.5257731958763</v>
      </c>
      <c r="V502" s="178"/>
      <c r="W502" s="154"/>
      <c r="X502" s="177"/>
      <c r="Y502" s="155"/>
      <c r="Z502" s="155"/>
    </row>
    <row r="503" spans="2:26" ht="24" x14ac:dyDescent="0.2">
      <c r="C503" s="91"/>
      <c r="D503" s="214">
        <v>45558</v>
      </c>
      <c r="E503" s="215">
        <v>1E-3</v>
      </c>
      <c r="F503" s="215" t="s">
        <v>460</v>
      </c>
      <c r="G503" s="215">
        <v>0</v>
      </c>
      <c r="H503" s="216">
        <v>0.95833333333333337</v>
      </c>
      <c r="I503" s="214"/>
      <c r="J503" s="232"/>
      <c r="K503" s="232"/>
      <c r="L503" s="242"/>
      <c r="M503" s="216"/>
      <c r="N503" s="195"/>
      <c r="O503" s="179"/>
      <c r="P503" s="155"/>
      <c r="Q503" s="179"/>
      <c r="R503" s="179"/>
      <c r="S503" s="179"/>
      <c r="T503" s="179"/>
      <c r="U503" s="179"/>
      <c r="V503" s="179"/>
      <c r="W503" s="179"/>
      <c r="X503" s="179"/>
      <c r="Y503" s="155"/>
      <c r="Z503" s="155"/>
    </row>
    <row r="504" spans="2:26" ht="24" x14ac:dyDescent="0.2">
      <c r="C504" s="91"/>
      <c r="D504" s="214">
        <v>45530</v>
      </c>
      <c r="E504" s="215">
        <v>-1E-3</v>
      </c>
      <c r="F504" s="215" t="s">
        <v>462</v>
      </c>
      <c r="G504" s="215">
        <v>0</v>
      </c>
      <c r="H504" s="216">
        <v>0.95833333333333337</v>
      </c>
      <c r="I504" s="214"/>
      <c r="J504" s="232"/>
      <c r="K504" s="232"/>
      <c r="L504" s="242"/>
      <c r="M504" s="216"/>
      <c r="N504" s="195"/>
      <c r="O504" s="146" t="s">
        <v>813</v>
      </c>
      <c r="P504" s="217">
        <v>-0.15</v>
      </c>
      <c r="Q504" s="180">
        <v>3.5533333333333333E-2</v>
      </c>
      <c r="R504" s="181">
        <v>1.7000000000000001E-2</v>
      </c>
      <c r="S504" s="150">
        <v>-1.5</v>
      </c>
      <c r="T504" s="156">
        <v>7.0300000000000001E-2</v>
      </c>
      <c r="U504" s="182">
        <v>-37.309731958762882</v>
      </c>
      <c r="V504" s="183">
        <v>-137.69999999999999</v>
      </c>
      <c r="W504" s="150">
        <v>2</v>
      </c>
      <c r="X504" s="184">
        <v>74.619463917525763</v>
      </c>
      <c r="Y504" s="185"/>
      <c r="Z504" s="185"/>
    </row>
    <row r="505" spans="2:26" ht="24" x14ac:dyDescent="0.2">
      <c r="C505" s="91"/>
      <c r="D505" s="214">
        <v>45502</v>
      </c>
      <c r="E505" s="215">
        <v>0</v>
      </c>
      <c r="F505" s="215" t="s">
        <v>460</v>
      </c>
      <c r="G505" s="215">
        <v>3.0000000000000001E-3</v>
      </c>
      <c r="H505" s="216">
        <v>0.95833333333333337</v>
      </c>
      <c r="I505" s="214"/>
      <c r="J505" s="232"/>
      <c r="K505" s="232"/>
      <c r="L505" s="242"/>
      <c r="M505" s="216"/>
      <c r="N505" s="195"/>
      <c r="O505" s="146"/>
      <c r="P505" s="146"/>
      <c r="Q505" s="180"/>
      <c r="R505" s="181"/>
      <c r="S505" s="150"/>
      <c r="T505" s="199"/>
      <c r="U505" s="182"/>
      <c r="V505" s="183"/>
      <c r="W505" s="150"/>
      <c r="X505" s="184"/>
      <c r="Y505" s="185"/>
      <c r="Z505" s="185"/>
    </row>
    <row r="506" spans="2:26" ht="24" x14ac:dyDescent="0.2">
      <c r="C506" s="91"/>
      <c r="D506" s="214">
        <v>45467</v>
      </c>
      <c r="E506" s="215">
        <v>2E-3</v>
      </c>
      <c r="F506" s="215" t="s">
        <v>467</v>
      </c>
      <c r="G506" s="215">
        <v>1E-3</v>
      </c>
      <c r="H506" s="216">
        <v>0.95833333333333337</v>
      </c>
      <c r="I506" s="214"/>
      <c r="J506" s="232"/>
      <c r="K506" s="232"/>
      <c r="L506" s="242"/>
      <c r="M506" s="216"/>
      <c r="N506" s="195"/>
      <c r="O506" s="146" t="s">
        <v>816</v>
      </c>
      <c r="P506" s="147"/>
      <c r="Q506" s="180"/>
      <c r="R506" s="181"/>
      <c r="S506" s="150"/>
      <c r="T506" s="147"/>
      <c r="U506" s="182">
        <v>0</v>
      </c>
      <c r="V506" s="183"/>
      <c r="W506" s="150"/>
      <c r="X506" s="184">
        <v>0</v>
      </c>
      <c r="Y506" s="185"/>
      <c r="Z506" s="185"/>
    </row>
    <row r="507" spans="2:26" ht="24" x14ac:dyDescent="0.2">
      <c r="C507" s="91"/>
      <c r="D507" s="214">
        <v>45439</v>
      </c>
      <c r="E507" s="215">
        <v>1E-3</v>
      </c>
      <c r="F507" s="215" t="s">
        <v>903</v>
      </c>
      <c r="G507" s="215">
        <v>1.2E-2</v>
      </c>
      <c r="H507" s="216">
        <v>0.95833333333333337</v>
      </c>
      <c r="I507" s="214"/>
      <c r="J507" s="232"/>
      <c r="K507" s="232"/>
      <c r="L507" s="242"/>
      <c r="M507" s="216"/>
      <c r="N507" s="195"/>
      <c r="O507" s="91"/>
      <c r="P507" s="91"/>
      <c r="Q507" s="91"/>
      <c r="R507" s="91"/>
      <c r="S507" s="91"/>
      <c r="T507" s="91"/>
      <c r="U507" s="91"/>
      <c r="V507" s="91"/>
      <c r="W507" s="91"/>
      <c r="X507" s="91"/>
      <c r="Y507" s="91"/>
      <c r="Z507" s="91"/>
    </row>
    <row r="508" spans="2:26" ht="25" thickBot="1" x14ac:dyDescent="0.25">
      <c r="C508" s="91"/>
      <c r="D508" s="214">
        <v>45411</v>
      </c>
      <c r="E508" s="215">
        <v>1.2E-2</v>
      </c>
      <c r="F508" s="215" t="s">
        <v>462</v>
      </c>
      <c r="G508" s="215">
        <v>-1E-3</v>
      </c>
      <c r="H508" s="216">
        <v>0.95833333333333337</v>
      </c>
      <c r="I508" s="214"/>
      <c r="J508" s="232"/>
      <c r="K508" s="232"/>
      <c r="L508" s="242"/>
      <c r="M508" s="216"/>
      <c r="N508" s="195"/>
      <c r="O508" s="91"/>
      <c r="P508" s="91"/>
      <c r="Q508" s="91"/>
      <c r="R508" s="91"/>
      <c r="S508" s="91"/>
      <c r="T508" s="91"/>
      <c r="U508" s="91"/>
      <c r="V508" s="91"/>
      <c r="W508" s="91"/>
      <c r="X508" s="91"/>
      <c r="Y508" s="91"/>
      <c r="Z508" s="91"/>
    </row>
    <row r="509" spans="2:26" ht="73" thickBot="1" x14ac:dyDescent="0.25">
      <c r="B509" s="93" t="s">
        <v>429</v>
      </c>
      <c r="C509" s="93">
        <v>1</v>
      </c>
      <c r="D509" s="123" t="s">
        <v>30</v>
      </c>
      <c r="E509" s="363" t="s">
        <v>915</v>
      </c>
      <c r="F509" s="364"/>
      <c r="G509" s="365"/>
      <c r="H509" s="265" t="s">
        <v>790</v>
      </c>
      <c r="I509" s="406" t="s">
        <v>633</v>
      </c>
      <c r="J509" s="407"/>
      <c r="K509" s="408"/>
      <c r="L509" s="266" t="s">
        <v>430</v>
      </c>
      <c r="M509" s="267" t="s">
        <v>431</v>
      </c>
      <c r="N509" s="195" t="s">
        <v>105</v>
      </c>
      <c r="O509" s="145" t="s">
        <v>800</v>
      </c>
      <c r="P509" s="145" t="s">
        <v>801</v>
      </c>
      <c r="Q509" s="145" t="s">
        <v>802</v>
      </c>
      <c r="R509" s="145" t="s">
        <v>803</v>
      </c>
      <c r="S509" s="145" t="s">
        <v>804</v>
      </c>
      <c r="T509" s="145" t="s">
        <v>805</v>
      </c>
      <c r="U509" s="145" t="s">
        <v>806</v>
      </c>
      <c r="V509" s="145" t="s">
        <v>807</v>
      </c>
      <c r="W509" s="145" t="s">
        <v>808</v>
      </c>
      <c r="X509" s="145" t="s">
        <v>809</v>
      </c>
      <c r="Y509" s="145" t="s">
        <v>75</v>
      </c>
      <c r="Z509" s="145" t="s">
        <v>75</v>
      </c>
    </row>
    <row r="510" spans="2:26" ht="24" x14ac:dyDescent="0.2">
      <c r="C510"/>
      <c r="D510" s="122" t="s">
        <v>432</v>
      </c>
      <c r="E510" s="342"/>
      <c r="F510" s="343"/>
      <c r="G510" s="344"/>
      <c r="H510" s="268" t="s">
        <v>904</v>
      </c>
      <c r="I510" s="397" t="s">
        <v>916</v>
      </c>
      <c r="J510" s="398"/>
      <c r="K510" s="399"/>
      <c r="L510" s="198"/>
      <c r="M510" s="269"/>
      <c r="N510" s="195"/>
      <c r="O510" s="146" t="s">
        <v>810</v>
      </c>
      <c r="P510" s="199">
        <v>0.1</v>
      </c>
      <c r="Q510" s="200">
        <v>1.9E-2</v>
      </c>
      <c r="R510" s="201">
        <v>2.199999999999136E-2</v>
      </c>
      <c r="S510" s="150"/>
      <c r="T510" s="146">
        <v>5.0499999999991357E-2</v>
      </c>
      <c r="U510" s="200">
        <v>-12.04</v>
      </c>
      <c r="V510" s="199">
        <v>60.5</v>
      </c>
      <c r="W510" s="202">
        <v>2</v>
      </c>
      <c r="X510" s="184">
        <v>24.08</v>
      </c>
      <c r="Y510" s="151"/>
      <c r="Z510" s="151"/>
    </row>
    <row r="511" spans="2:26" ht="24" x14ac:dyDescent="0.2">
      <c r="C511"/>
      <c r="D511" s="92" t="s">
        <v>433</v>
      </c>
      <c r="E511" s="357">
        <v>4.3499999999999997E-2</v>
      </c>
      <c r="F511" s="358"/>
      <c r="G511" s="359"/>
      <c r="H511" s="268" t="s">
        <v>905</v>
      </c>
      <c r="I511" s="400"/>
      <c r="J511" s="401"/>
      <c r="K511" s="402"/>
      <c r="L511" s="198"/>
      <c r="M511" s="269"/>
      <c r="N511" s="195"/>
      <c r="O511" s="152"/>
      <c r="P511" s="152"/>
      <c r="Q511" s="152"/>
      <c r="R511" s="153"/>
      <c r="S511" s="154"/>
      <c r="T511" s="152"/>
      <c r="U511" s="152"/>
      <c r="V511" s="152"/>
      <c r="W511" s="154"/>
      <c r="X511" s="154"/>
      <c r="Y511" s="155"/>
      <c r="Z511" s="155"/>
    </row>
    <row r="512" spans="2:26" ht="24" x14ac:dyDescent="0.2">
      <c r="C512"/>
      <c r="D512" s="92" t="s">
        <v>434</v>
      </c>
      <c r="E512" s="357">
        <v>4.3499999999999997E-2</v>
      </c>
      <c r="F512" s="358"/>
      <c r="G512" s="359"/>
      <c r="H512" s="270"/>
      <c r="I512" s="400"/>
      <c r="J512" s="401"/>
      <c r="K512" s="402"/>
      <c r="L512" s="198"/>
      <c r="M512" s="269"/>
      <c r="N512" s="195"/>
      <c r="O512" s="156" t="s">
        <v>811</v>
      </c>
      <c r="P512" s="204">
        <v>0.1</v>
      </c>
      <c r="Q512" s="205">
        <v>5.7299999999999997E-2</v>
      </c>
      <c r="R512" s="206">
        <v>0.05</v>
      </c>
      <c r="S512" s="160">
        <v>1</v>
      </c>
      <c r="T512" s="156">
        <v>0.13595000000000002</v>
      </c>
      <c r="U512" s="161">
        <v>-32.412633663371885</v>
      </c>
      <c r="V512" s="162">
        <v>60.5</v>
      </c>
      <c r="W512" s="207">
        <v>3.28</v>
      </c>
      <c r="X512" s="164">
        <v>106.31343841585978</v>
      </c>
      <c r="Y512" s="165"/>
      <c r="Z512" s="165"/>
    </row>
    <row r="513" spans="3:26" ht="25" thickBot="1" x14ac:dyDescent="0.25">
      <c r="C513"/>
      <c r="D513" s="94" t="s">
        <v>435</v>
      </c>
      <c r="E513" s="360">
        <v>0.14583333333333334</v>
      </c>
      <c r="F513" s="361"/>
      <c r="G513" s="362"/>
      <c r="H513" s="270"/>
      <c r="I513" s="400"/>
      <c r="J513" s="401"/>
      <c r="K513" s="402"/>
      <c r="L513" s="208">
        <v>0.375</v>
      </c>
      <c r="M513" s="271">
        <v>0.22916666666666666</v>
      </c>
      <c r="N513" s="195"/>
      <c r="O513" s="166" t="s">
        <v>812</v>
      </c>
      <c r="P513" s="209">
        <v>0.1</v>
      </c>
      <c r="Q513" s="187">
        <v>7.0800000000000002E-2</v>
      </c>
      <c r="R513" s="210">
        <v>0.05</v>
      </c>
      <c r="S513" s="170">
        <v>1</v>
      </c>
      <c r="T513" s="211">
        <v>0.15620000000000001</v>
      </c>
      <c r="U513" s="171">
        <v>-37.240554455451914</v>
      </c>
      <c r="V513" s="172">
        <v>60.5</v>
      </c>
      <c r="W513" s="212">
        <v>2.97</v>
      </c>
      <c r="X513" s="174">
        <v>110.6044467326922</v>
      </c>
      <c r="Y513" s="175"/>
      <c r="Z513" s="175"/>
    </row>
    <row r="514" spans="3:26" ht="25" thickBot="1" x14ac:dyDescent="0.25">
      <c r="C514"/>
      <c r="D514" s="96" t="s">
        <v>436</v>
      </c>
      <c r="E514" s="97" t="s">
        <v>29</v>
      </c>
      <c r="F514" s="97" t="s">
        <v>28</v>
      </c>
      <c r="G514" s="98" t="s">
        <v>27</v>
      </c>
      <c r="H514" s="270" t="s">
        <v>793</v>
      </c>
      <c r="I514" s="400"/>
      <c r="J514" s="401"/>
      <c r="K514" s="402"/>
      <c r="L514" s="198"/>
      <c r="M514" s="269"/>
      <c r="N514" s="195"/>
      <c r="O514" s="154"/>
      <c r="P514" s="176"/>
      <c r="Q514" s="154"/>
      <c r="R514" s="154"/>
      <c r="S514" s="154"/>
      <c r="T514" s="154"/>
      <c r="U514" s="177"/>
      <c r="V514" s="178"/>
      <c r="W514" s="154"/>
      <c r="X514" s="177"/>
      <c r="Y514" s="155"/>
      <c r="Z514" s="155"/>
    </row>
    <row r="515" spans="3:26" ht="24" x14ac:dyDescent="0.2">
      <c r="C515"/>
      <c r="D515" s="99">
        <v>45559</v>
      </c>
      <c r="E515" s="113">
        <v>4.3499999999999997E-2</v>
      </c>
      <c r="F515" s="113" t="s">
        <v>938</v>
      </c>
      <c r="G515" s="113">
        <v>4.3499999999999997E-2</v>
      </c>
      <c r="H515" s="272">
        <v>0.1875</v>
      </c>
      <c r="I515" s="400"/>
      <c r="J515" s="401"/>
      <c r="K515" s="402"/>
      <c r="L515" s="198"/>
      <c r="M515" s="269"/>
      <c r="N515" s="195"/>
      <c r="O515" s="179"/>
      <c r="P515" s="155"/>
      <c r="Q515" s="179"/>
      <c r="R515" s="179"/>
      <c r="S515" s="179"/>
      <c r="T515" s="179"/>
      <c r="U515" s="179"/>
      <c r="V515" s="179"/>
      <c r="W515" s="179"/>
      <c r="X515" s="179"/>
      <c r="Y515" s="155"/>
      <c r="Z515" s="155"/>
    </row>
    <row r="516" spans="3:26" ht="24" x14ac:dyDescent="0.2">
      <c r="C516"/>
      <c r="D516" s="99">
        <v>45510</v>
      </c>
      <c r="E516" s="113">
        <v>4.3499999999999997E-2</v>
      </c>
      <c r="F516" s="113" t="s">
        <v>938</v>
      </c>
      <c r="G516" s="113">
        <v>4.3499999999999997E-2</v>
      </c>
      <c r="H516" s="272">
        <v>0.1875</v>
      </c>
      <c r="I516" s="400"/>
      <c r="J516" s="401"/>
      <c r="K516" s="402"/>
      <c r="L516" s="198"/>
      <c r="M516" s="269"/>
      <c r="N516" s="195"/>
      <c r="O516" s="146" t="s">
        <v>813</v>
      </c>
      <c r="P516" s="199">
        <v>0.1</v>
      </c>
      <c r="Q516" s="180">
        <v>6.4049999999999996E-2</v>
      </c>
      <c r="R516" s="181">
        <v>0.05</v>
      </c>
      <c r="S516" s="150">
        <v>1</v>
      </c>
      <c r="T516" s="156">
        <v>0.14607500000000001</v>
      </c>
      <c r="U516" s="182">
        <v>-34.826594059411903</v>
      </c>
      <c r="V516" s="183">
        <v>60.5</v>
      </c>
      <c r="W516" s="150">
        <v>2</v>
      </c>
      <c r="X516" s="184">
        <v>69.653188118823806</v>
      </c>
      <c r="Y516" s="185"/>
      <c r="Z516" s="185"/>
    </row>
    <row r="517" spans="3:26" ht="24" x14ac:dyDescent="0.2">
      <c r="C517"/>
      <c r="D517" s="99">
        <v>45461</v>
      </c>
      <c r="E517" s="113">
        <v>4.3499999999999997E-2</v>
      </c>
      <c r="F517" s="113" t="s">
        <v>938</v>
      </c>
      <c r="G517" s="113">
        <v>4.3499999999999997E-2</v>
      </c>
      <c r="H517" s="272">
        <v>0.1875</v>
      </c>
      <c r="I517" s="400"/>
      <c r="J517" s="401"/>
      <c r="K517" s="402"/>
      <c r="L517" s="218"/>
      <c r="M517" s="269"/>
      <c r="N517" s="195"/>
      <c r="O517" s="146"/>
      <c r="P517" s="146"/>
      <c r="Q517" s="180"/>
      <c r="R517" s="181"/>
      <c r="S517" s="150"/>
      <c r="T517" s="199"/>
      <c r="U517" s="182"/>
      <c r="V517" s="183"/>
      <c r="W517" s="150"/>
      <c r="X517" s="184"/>
      <c r="Y517" s="185"/>
      <c r="Z517" s="185"/>
    </row>
    <row r="518" spans="3:26" ht="24" x14ac:dyDescent="0.2">
      <c r="C518"/>
      <c r="D518" s="99">
        <v>45419</v>
      </c>
      <c r="E518" s="113">
        <v>4.3499999999999997E-2</v>
      </c>
      <c r="F518" s="113" t="s">
        <v>938</v>
      </c>
      <c r="G518" s="113">
        <v>4.3499999999999997E-2</v>
      </c>
      <c r="H518" s="272">
        <v>0.1875</v>
      </c>
      <c r="I518" s="400"/>
      <c r="J518" s="401"/>
      <c r="K518" s="402"/>
      <c r="L518" s="198"/>
      <c r="M518" s="269"/>
      <c r="N518" s="195"/>
      <c r="O518" s="146" t="s">
        <v>816</v>
      </c>
      <c r="P518" s="147"/>
      <c r="Q518" s="180"/>
      <c r="R518" s="181"/>
      <c r="S518" s="150"/>
      <c r="T518" s="147"/>
      <c r="U518" s="182">
        <v>0</v>
      </c>
      <c r="V518" s="183"/>
      <c r="W518" s="150"/>
      <c r="X518" s="184">
        <v>0</v>
      </c>
      <c r="Y518" s="185"/>
      <c r="Z518" s="185"/>
    </row>
    <row r="519" spans="3:26" ht="24" x14ac:dyDescent="0.2">
      <c r="C519"/>
      <c r="D519" s="99">
        <v>45370</v>
      </c>
      <c r="E519" s="113">
        <v>4.3499999999999997E-2</v>
      </c>
      <c r="F519" s="113" t="s">
        <v>938</v>
      </c>
      <c r="G519" s="113">
        <v>4.3499999999999997E-2</v>
      </c>
      <c r="H519" s="272">
        <v>0.14583333333333334</v>
      </c>
      <c r="I519" s="400"/>
      <c r="J519" s="401"/>
      <c r="K519" s="402"/>
      <c r="L519" s="198"/>
      <c r="M519" s="269"/>
      <c r="N519" s="195"/>
      <c r="O519" s="91"/>
      <c r="P519" s="91"/>
      <c r="Q519" s="91"/>
      <c r="R519" s="91"/>
      <c r="S519" s="91"/>
      <c r="T519" s="91"/>
      <c r="U519" s="91"/>
      <c r="V519" s="91"/>
      <c r="W519" s="91"/>
      <c r="X519" s="91"/>
      <c r="Y519" s="91"/>
      <c r="Z519" s="91"/>
    </row>
    <row r="520" spans="3:26" ht="25" thickBot="1" x14ac:dyDescent="0.25">
      <c r="C520"/>
      <c r="D520" s="99">
        <v>45328</v>
      </c>
      <c r="E520" s="113">
        <v>4.3499999999999997E-2</v>
      </c>
      <c r="F520" s="113" t="s">
        <v>938</v>
      </c>
      <c r="G520" s="113">
        <v>4.3499999999999997E-2</v>
      </c>
      <c r="H520" s="272">
        <v>0.14583333333333334</v>
      </c>
      <c r="I520" s="424"/>
      <c r="J520" s="425"/>
      <c r="K520" s="426"/>
      <c r="L520" s="198"/>
      <c r="M520" s="269"/>
      <c r="N520" s="195"/>
      <c r="O520" s="91"/>
      <c r="P520" s="91"/>
      <c r="Q520" s="91"/>
      <c r="R520" s="91"/>
      <c r="S520" s="91"/>
      <c r="T520" s="91"/>
      <c r="U520" s="91"/>
      <c r="V520" s="91"/>
      <c r="W520" s="91"/>
      <c r="X520" s="91"/>
      <c r="Y520" s="91"/>
      <c r="Z520" s="91"/>
    </row>
    <row r="521" spans="3:26" ht="73" thickBot="1" x14ac:dyDescent="0.25">
      <c r="C521">
        <v>2</v>
      </c>
      <c r="D521" s="123" t="s">
        <v>30</v>
      </c>
      <c r="E521" s="363" t="s">
        <v>917</v>
      </c>
      <c r="F521" s="364"/>
      <c r="G521" s="365"/>
      <c r="H521" s="273" t="s">
        <v>790</v>
      </c>
      <c r="I521" s="421" t="s">
        <v>633</v>
      </c>
      <c r="J521" s="422"/>
      <c r="K521" s="423"/>
      <c r="L521" s="194" t="s">
        <v>430</v>
      </c>
      <c r="M521" s="274" t="s">
        <v>431</v>
      </c>
      <c r="N521" s="195" t="s">
        <v>105</v>
      </c>
      <c r="O521" s="145" t="s">
        <v>800</v>
      </c>
      <c r="P521" s="145" t="s">
        <v>801</v>
      </c>
      <c r="Q521" s="145" t="s">
        <v>802</v>
      </c>
      <c r="R521" s="145" t="s">
        <v>803</v>
      </c>
      <c r="S521" s="145" t="s">
        <v>804</v>
      </c>
      <c r="T521" s="145" t="s">
        <v>805</v>
      </c>
      <c r="U521" s="145" t="s">
        <v>806</v>
      </c>
      <c r="V521" s="145" t="s">
        <v>807</v>
      </c>
      <c r="W521" s="145" t="s">
        <v>808</v>
      </c>
      <c r="X521" s="145" t="s">
        <v>809</v>
      </c>
      <c r="Y521" s="145" t="s">
        <v>75</v>
      </c>
      <c r="Z521" s="145" t="s">
        <v>75</v>
      </c>
    </row>
    <row r="522" spans="3:26" ht="24" x14ac:dyDescent="0.2">
      <c r="C522"/>
      <c r="D522" s="122" t="s">
        <v>432</v>
      </c>
      <c r="E522" s="342"/>
      <c r="F522" s="343"/>
      <c r="G522" s="344"/>
      <c r="H522" s="268" t="s">
        <v>795</v>
      </c>
      <c r="I522" s="397" t="s">
        <v>918</v>
      </c>
      <c r="J522" s="398"/>
      <c r="K522" s="399"/>
      <c r="L522" s="198"/>
      <c r="M522" s="269"/>
      <c r="N522" s="195"/>
      <c r="O522" s="146" t="s">
        <v>810</v>
      </c>
      <c r="P522" s="199">
        <v>0.1</v>
      </c>
      <c r="Q522" s="200">
        <v>0.03</v>
      </c>
      <c r="R522" s="201">
        <v>1.5999999999991132E-2</v>
      </c>
      <c r="S522" s="150"/>
      <c r="T522" s="146">
        <v>6.0999999999991131E-2</v>
      </c>
      <c r="U522" s="200">
        <v>-14.17</v>
      </c>
      <c r="V522" s="199">
        <v>91.8</v>
      </c>
      <c r="W522" s="202">
        <v>2</v>
      </c>
      <c r="X522" s="184">
        <v>28.34</v>
      </c>
      <c r="Y522" s="151"/>
      <c r="Z522" s="151"/>
    </row>
    <row r="523" spans="3:26" ht="24" x14ac:dyDescent="0.2">
      <c r="C523"/>
      <c r="D523" s="92" t="s">
        <v>433</v>
      </c>
      <c r="E523" s="372">
        <v>0</v>
      </c>
      <c r="F523" s="373"/>
      <c r="G523" s="374"/>
      <c r="H523" s="268" t="s">
        <v>795</v>
      </c>
      <c r="I523" s="400"/>
      <c r="J523" s="401"/>
      <c r="K523" s="402"/>
      <c r="L523" s="198"/>
      <c r="M523" s="269"/>
      <c r="N523" s="195"/>
      <c r="O523" s="152"/>
      <c r="P523" s="152"/>
      <c r="Q523" s="152"/>
      <c r="R523" s="153"/>
      <c r="S523" s="154"/>
      <c r="T523" s="152"/>
      <c r="U523" s="152"/>
      <c r="V523" s="152"/>
      <c r="W523" s="154"/>
      <c r="X523" s="154"/>
      <c r="Y523" s="155"/>
      <c r="Z523" s="155"/>
    </row>
    <row r="524" spans="3:26" ht="24" x14ac:dyDescent="0.2">
      <c r="C524"/>
      <c r="D524" s="92" t="s">
        <v>434</v>
      </c>
      <c r="E524" s="372">
        <v>0</v>
      </c>
      <c r="F524" s="373"/>
      <c r="G524" s="374"/>
      <c r="H524" s="270"/>
      <c r="I524" s="400"/>
      <c r="J524" s="401"/>
      <c r="K524" s="402"/>
      <c r="L524" s="198"/>
      <c r="M524" s="269"/>
      <c r="N524" s="195"/>
      <c r="O524" s="156" t="s">
        <v>811</v>
      </c>
      <c r="P524" s="204">
        <v>0.1</v>
      </c>
      <c r="Q524" s="205">
        <v>5.7000000000000002E-2</v>
      </c>
      <c r="R524" s="206">
        <v>7.0000000000000007E-2</v>
      </c>
      <c r="S524" s="160">
        <v>1</v>
      </c>
      <c r="T524" s="156">
        <v>0.15550000000000003</v>
      </c>
      <c r="U524" s="161">
        <v>-36.121885245906896</v>
      </c>
      <c r="V524" s="162">
        <v>60.5</v>
      </c>
      <c r="W524" s="207">
        <v>2.74</v>
      </c>
      <c r="X524" s="164">
        <v>98.973965573784895</v>
      </c>
      <c r="Y524" s="165"/>
      <c r="Z524" s="165">
        <v>4.4350000000000005</v>
      </c>
    </row>
    <row r="525" spans="3:26" ht="25" thickBot="1" x14ac:dyDescent="0.25">
      <c r="C525"/>
      <c r="D525" s="94" t="s">
        <v>435</v>
      </c>
      <c r="E525" s="360">
        <v>0.41666666666666674</v>
      </c>
      <c r="F525" s="361"/>
      <c r="G525" s="362"/>
      <c r="H525" s="270"/>
      <c r="I525" s="400"/>
      <c r="J525" s="401"/>
      <c r="K525" s="402"/>
      <c r="L525" s="208">
        <v>0.64583333333333337</v>
      </c>
      <c r="M525" s="271">
        <v>0.5</v>
      </c>
      <c r="N525" s="195"/>
      <c r="O525" s="166" t="s">
        <v>812</v>
      </c>
      <c r="P525" s="209">
        <v>0.1</v>
      </c>
      <c r="Q525" s="187">
        <v>0.106</v>
      </c>
      <c r="R525" s="210">
        <v>7.0000000000000007E-2</v>
      </c>
      <c r="S525" s="170">
        <v>1</v>
      </c>
      <c r="T525" s="211">
        <v>0.22900000000000001</v>
      </c>
      <c r="U525" s="171">
        <v>-53.195573770499543</v>
      </c>
      <c r="V525" s="172">
        <v>60.5</v>
      </c>
      <c r="W525" s="212">
        <v>2.94</v>
      </c>
      <c r="X525" s="174">
        <v>156.39498688526865</v>
      </c>
      <c r="Y525" s="175"/>
      <c r="Z525" s="175"/>
    </row>
    <row r="526" spans="3:26" ht="25" thickBot="1" x14ac:dyDescent="0.25">
      <c r="C526"/>
      <c r="D526" s="96" t="s">
        <v>436</v>
      </c>
      <c r="E526" s="97" t="s">
        <v>29</v>
      </c>
      <c r="F526" s="97" t="s">
        <v>28</v>
      </c>
      <c r="G526" s="98" t="s">
        <v>27</v>
      </c>
      <c r="H526" s="270" t="s">
        <v>793</v>
      </c>
      <c r="I526" s="400"/>
      <c r="J526" s="401"/>
      <c r="K526" s="402"/>
      <c r="L526" s="198"/>
      <c r="M526" s="269"/>
      <c r="N526" s="195"/>
      <c r="O526" s="154"/>
      <c r="P526" s="176"/>
      <c r="Q526" s="154"/>
      <c r="R526" s="154"/>
      <c r="S526" s="154"/>
      <c r="T526" s="154"/>
      <c r="U526" s="177"/>
      <c r="V526" s="178"/>
      <c r="W526" s="154"/>
      <c r="X526" s="177"/>
      <c r="Y526" s="155"/>
      <c r="Z526" s="155"/>
    </row>
    <row r="527" spans="3:26" ht="23" x14ac:dyDescent="0.2">
      <c r="C527"/>
      <c r="D527" s="99">
        <v>44138</v>
      </c>
      <c r="E527" s="100">
        <v>0</v>
      </c>
      <c r="F527" s="100">
        <v>0</v>
      </c>
      <c r="G527" s="100">
        <v>0</v>
      </c>
      <c r="H527" s="275" t="s">
        <v>944</v>
      </c>
      <c r="I527" s="400"/>
      <c r="J527" s="401"/>
      <c r="K527" s="402"/>
      <c r="L527" s="198"/>
      <c r="M527" s="269"/>
      <c r="N527" s="195"/>
      <c r="O527" s="179"/>
      <c r="P527" s="155"/>
      <c r="Q527" s="179"/>
      <c r="R527" s="179"/>
      <c r="S527" s="179"/>
      <c r="T527" s="179"/>
      <c r="U527" s="179"/>
      <c r="V527" s="179"/>
      <c r="W527" s="179"/>
      <c r="X527" s="179"/>
      <c r="Y527" s="155"/>
      <c r="Z527" s="155"/>
    </row>
    <row r="528" spans="3:26" ht="23" x14ac:dyDescent="0.2">
      <c r="C528"/>
      <c r="D528" s="99">
        <v>42682</v>
      </c>
      <c r="E528" s="100">
        <v>0</v>
      </c>
      <c r="F528" s="100">
        <v>0</v>
      </c>
      <c r="G528" s="100">
        <v>0</v>
      </c>
      <c r="H528" s="275">
        <v>0.32291666666666669</v>
      </c>
      <c r="I528" s="400"/>
      <c r="J528" s="401"/>
      <c r="K528" s="402"/>
      <c r="L528" s="198" t="s">
        <v>945</v>
      </c>
      <c r="M528" s="269"/>
      <c r="N528" s="195"/>
      <c r="O528" s="146" t="s">
        <v>813</v>
      </c>
      <c r="P528" s="199">
        <v>0.1</v>
      </c>
      <c r="Q528" s="180">
        <v>8.1500000000000003E-2</v>
      </c>
      <c r="R528" s="181">
        <v>7.0000000000000007E-2</v>
      </c>
      <c r="S528" s="150">
        <v>1</v>
      </c>
      <c r="T528" s="156">
        <v>0.19225</v>
      </c>
      <c r="U528" s="182">
        <v>-44.658729508203216</v>
      </c>
      <c r="V528" s="183">
        <v>60.5</v>
      </c>
      <c r="W528" s="150">
        <v>2</v>
      </c>
      <c r="X528" s="184">
        <v>89.317459016406431</v>
      </c>
      <c r="Y528" s="185"/>
      <c r="Z528" s="185"/>
    </row>
    <row r="529" spans="3:26" ht="23" x14ac:dyDescent="0.2">
      <c r="C529"/>
      <c r="D529" s="99">
        <v>41219</v>
      </c>
      <c r="E529" s="100">
        <v>0</v>
      </c>
      <c r="F529" s="100">
        <v>0</v>
      </c>
      <c r="G529" s="100">
        <v>0</v>
      </c>
      <c r="H529" s="275" t="s">
        <v>946</v>
      </c>
      <c r="I529" s="400"/>
      <c r="J529" s="401"/>
      <c r="K529" s="402"/>
      <c r="L529" s="218"/>
      <c r="M529" s="269"/>
      <c r="N529" s="195"/>
      <c r="O529" s="146"/>
      <c r="P529" s="146"/>
      <c r="Q529" s="180"/>
      <c r="R529" s="181"/>
      <c r="S529" s="150"/>
      <c r="T529" s="199"/>
      <c r="U529" s="182"/>
      <c r="V529" s="183"/>
      <c r="W529" s="150"/>
      <c r="X529" s="184"/>
      <c r="Y529" s="185"/>
      <c r="Z529" s="185"/>
    </row>
    <row r="530" spans="3:26" ht="23" x14ac:dyDescent="0.2">
      <c r="C530"/>
      <c r="D530" s="99">
        <v>39756</v>
      </c>
      <c r="E530" s="100">
        <v>0</v>
      </c>
      <c r="F530" s="100">
        <v>0</v>
      </c>
      <c r="G530" s="100">
        <v>0</v>
      </c>
      <c r="H530" s="275" t="s">
        <v>946</v>
      </c>
      <c r="I530" s="400"/>
      <c r="J530" s="401"/>
      <c r="K530" s="402"/>
      <c r="L530" s="198"/>
      <c r="M530" s="269"/>
      <c r="N530" s="195"/>
      <c r="O530" s="146" t="s">
        <v>816</v>
      </c>
      <c r="P530" s="147"/>
      <c r="Q530" s="180"/>
      <c r="R530" s="181"/>
      <c r="S530" s="150"/>
      <c r="T530" s="147"/>
      <c r="U530" s="182">
        <v>0</v>
      </c>
      <c r="V530" s="183"/>
      <c r="W530" s="150"/>
      <c r="X530" s="184">
        <v>0</v>
      </c>
      <c r="Y530" s="185"/>
      <c r="Z530" s="185"/>
    </row>
    <row r="531" spans="3:26" ht="23" x14ac:dyDescent="0.2">
      <c r="C531"/>
      <c r="D531" s="99"/>
      <c r="E531" s="105"/>
      <c r="F531" s="105"/>
      <c r="G531" s="105"/>
      <c r="H531" s="272"/>
      <c r="I531" s="400"/>
      <c r="J531" s="401"/>
      <c r="K531" s="402"/>
      <c r="L531" s="198"/>
      <c r="M531" s="269"/>
      <c r="N531" s="195"/>
      <c r="O531" s="91"/>
      <c r="P531" s="91"/>
      <c r="Q531" s="91"/>
      <c r="R531" s="91"/>
      <c r="S531" s="91"/>
      <c r="T531" s="91"/>
      <c r="U531" s="91"/>
      <c r="V531" s="91"/>
      <c r="W531" s="91"/>
      <c r="X531" s="91"/>
      <c r="Y531" s="91"/>
      <c r="Z531" s="91"/>
    </row>
    <row r="532" spans="3:26" ht="24" thickBot="1" x14ac:dyDescent="0.25">
      <c r="C532"/>
      <c r="D532" s="99"/>
      <c r="E532" s="105"/>
      <c r="F532" s="105"/>
      <c r="G532" s="105"/>
      <c r="H532" s="272"/>
      <c r="I532" s="424"/>
      <c r="J532" s="425"/>
      <c r="K532" s="426"/>
      <c r="L532" s="198"/>
      <c r="M532" s="269"/>
      <c r="N532" s="195"/>
      <c r="O532" s="91"/>
      <c r="P532" s="91"/>
      <c r="Q532" s="91"/>
      <c r="R532" s="91"/>
      <c r="S532" s="91"/>
      <c r="T532" s="91"/>
      <c r="U532" s="91"/>
      <c r="V532" s="91"/>
      <c r="W532" s="91"/>
      <c r="X532" s="91"/>
      <c r="Y532" s="91"/>
      <c r="Z532" s="91"/>
    </row>
    <row r="533" spans="3:26" ht="73" thickBot="1" x14ac:dyDescent="0.25">
      <c r="C533">
        <v>3</v>
      </c>
      <c r="D533" s="123" t="s">
        <v>30</v>
      </c>
      <c r="E533" s="363" t="s">
        <v>919</v>
      </c>
      <c r="F533" s="364"/>
      <c r="G533" s="365"/>
      <c r="H533" s="273" t="s">
        <v>790</v>
      </c>
      <c r="I533" s="421" t="s">
        <v>633</v>
      </c>
      <c r="J533" s="422"/>
      <c r="K533" s="423"/>
      <c r="L533" s="194" t="s">
        <v>430</v>
      </c>
      <c r="M533" s="274" t="s">
        <v>431</v>
      </c>
      <c r="N533" s="195" t="s">
        <v>105</v>
      </c>
      <c r="O533" s="145" t="s">
        <v>800</v>
      </c>
      <c r="P533" s="145" t="s">
        <v>801</v>
      </c>
      <c r="Q533" s="145" t="s">
        <v>802</v>
      </c>
      <c r="R533" s="145" t="s">
        <v>803</v>
      </c>
      <c r="S533" s="145" t="s">
        <v>804</v>
      </c>
      <c r="T533" s="145" t="s">
        <v>805</v>
      </c>
      <c r="U533" s="145" t="s">
        <v>806</v>
      </c>
      <c r="V533" s="145" t="s">
        <v>807</v>
      </c>
      <c r="W533" s="145" t="s">
        <v>808</v>
      </c>
      <c r="X533" s="145" t="s">
        <v>809</v>
      </c>
      <c r="Y533" s="145" t="s">
        <v>75</v>
      </c>
      <c r="Z533" s="145" t="s">
        <v>75</v>
      </c>
    </row>
    <row r="534" spans="3:26" ht="24" x14ac:dyDescent="0.2">
      <c r="C534"/>
      <c r="D534" s="122" t="s">
        <v>432</v>
      </c>
      <c r="E534" s="342"/>
      <c r="F534" s="343"/>
      <c r="G534" s="344"/>
      <c r="H534" s="268" t="s">
        <v>794</v>
      </c>
      <c r="I534" s="397" t="s">
        <v>716</v>
      </c>
      <c r="J534" s="398"/>
      <c r="K534" s="399"/>
      <c r="L534" s="198"/>
      <c r="M534" s="269"/>
      <c r="N534" s="195"/>
      <c r="O534" s="146" t="s">
        <v>810</v>
      </c>
      <c r="P534" s="199">
        <v>0.1</v>
      </c>
      <c r="Q534" s="200">
        <v>0.03</v>
      </c>
      <c r="R534" s="201">
        <v>1.5999999999991132E-2</v>
      </c>
      <c r="S534" s="150"/>
      <c r="T534" s="146">
        <v>6.0999999999991131E-2</v>
      </c>
      <c r="U534" s="200">
        <v>-14.17</v>
      </c>
      <c r="V534" s="199">
        <v>91.8</v>
      </c>
      <c r="W534" s="202">
        <v>2</v>
      </c>
      <c r="X534" s="184">
        <v>28.34</v>
      </c>
      <c r="Y534" s="151"/>
      <c r="Z534" s="151"/>
    </row>
    <row r="535" spans="3:26" ht="24" x14ac:dyDescent="0.2">
      <c r="C535"/>
      <c r="D535" s="92" t="s">
        <v>433</v>
      </c>
      <c r="E535" s="372">
        <v>55.3</v>
      </c>
      <c r="F535" s="373"/>
      <c r="G535" s="374"/>
      <c r="H535" s="268" t="s">
        <v>795</v>
      </c>
      <c r="I535" s="400"/>
      <c r="J535" s="401"/>
      <c r="K535" s="402"/>
      <c r="L535" s="198"/>
      <c r="M535" s="269"/>
      <c r="N535" s="195"/>
      <c r="O535" s="152"/>
      <c r="P535" s="152"/>
      <c r="Q535" s="152"/>
      <c r="R535" s="153"/>
      <c r="S535" s="154"/>
      <c r="T535" s="152"/>
      <c r="U535" s="152"/>
      <c r="V535" s="152"/>
      <c r="W535" s="154"/>
      <c r="X535" s="154"/>
      <c r="Y535" s="155"/>
      <c r="Z535" s="155"/>
    </row>
    <row r="536" spans="3:26" ht="24" x14ac:dyDescent="0.2">
      <c r="C536"/>
      <c r="D536" s="92" t="s">
        <v>434</v>
      </c>
      <c r="E536" s="372">
        <v>55.2</v>
      </c>
      <c r="F536" s="373"/>
      <c r="G536" s="374"/>
      <c r="H536" s="270"/>
      <c r="I536" s="400"/>
      <c r="J536" s="401"/>
      <c r="K536" s="402"/>
      <c r="L536" s="198"/>
      <c r="M536" s="269"/>
      <c r="N536" s="195"/>
      <c r="O536" s="156" t="s">
        <v>811</v>
      </c>
      <c r="P536" s="204">
        <v>0.1</v>
      </c>
      <c r="Q536" s="205">
        <v>5.7000000000000002E-2</v>
      </c>
      <c r="R536" s="206">
        <v>7.0000000000000007E-2</v>
      </c>
      <c r="S536" s="160">
        <v>1</v>
      </c>
      <c r="T536" s="156">
        <v>0.15550000000000003</v>
      </c>
      <c r="U536" s="161">
        <v>-36.121885245906896</v>
      </c>
      <c r="V536" s="162">
        <v>60.5</v>
      </c>
      <c r="W536" s="207">
        <v>2.74</v>
      </c>
      <c r="X536" s="164">
        <v>98.973965573784895</v>
      </c>
      <c r="Y536" s="165"/>
      <c r="Z536" s="165">
        <v>4.4350000000000005</v>
      </c>
    </row>
    <row r="537" spans="3:26" ht="25" thickBot="1" x14ac:dyDescent="0.25">
      <c r="C537"/>
      <c r="D537" s="94" t="s">
        <v>435</v>
      </c>
      <c r="E537" s="360">
        <v>0.625</v>
      </c>
      <c r="F537" s="361"/>
      <c r="G537" s="362"/>
      <c r="H537" s="270"/>
      <c r="I537" s="400"/>
      <c r="J537" s="401"/>
      <c r="K537" s="402"/>
      <c r="L537" s="208">
        <v>0.85416666666666663</v>
      </c>
      <c r="M537" s="271">
        <v>0.70833333333333326</v>
      </c>
      <c r="N537" s="195"/>
      <c r="O537" s="166" t="s">
        <v>812</v>
      </c>
      <c r="P537" s="209">
        <v>0.1</v>
      </c>
      <c r="Q537" s="187">
        <v>0.106</v>
      </c>
      <c r="R537" s="210">
        <v>7.0000000000000007E-2</v>
      </c>
      <c r="S537" s="170">
        <v>1</v>
      </c>
      <c r="T537" s="211">
        <v>0.22900000000000001</v>
      </c>
      <c r="U537" s="171">
        <v>-53.195573770499543</v>
      </c>
      <c r="V537" s="172">
        <v>60.5</v>
      </c>
      <c r="W537" s="212">
        <v>2.94</v>
      </c>
      <c r="X537" s="174">
        <v>156.39498688526865</v>
      </c>
      <c r="Y537" s="175"/>
      <c r="Z537" s="175"/>
    </row>
    <row r="538" spans="3:26" ht="25" thickBot="1" x14ac:dyDescent="0.25">
      <c r="C538"/>
      <c r="D538" s="96" t="s">
        <v>436</v>
      </c>
      <c r="E538" s="97" t="s">
        <v>29</v>
      </c>
      <c r="F538" s="97" t="s">
        <v>28</v>
      </c>
      <c r="G538" s="98" t="s">
        <v>27</v>
      </c>
      <c r="H538" s="270" t="s">
        <v>793</v>
      </c>
      <c r="I538" s="400"/>
      <c r="J538" s="401"/>
      <c r="K538" s="402"/>
      <c r="L538" s="198"/>
      <c r="M538" s="269"/>
      <c r="N538" s="195"/>
      <c r="O538" s="154"/>
      <c r="P538" s="176"/>
      <c r="Q538" s="154"/>
      <c r="R538" s="154"/>
      <c r="S538" s="154"/>
      <c r="T538" s="154"/>
      <c r="U538" s="177"/>
      <c r="V538" s="178"/>
      <c r="W538" s="154"/>
      <c r="X538" s="177"/>
      <c r="Y538" s="155"/>
      <c r="Z538" s="155"/>
    </row>
    <row r="539" spans="3:26" ht="24" x14ac:dyDescent="0.2">
      <c r="C539"/>
      <c r="D539" s="99">
        <v>45589</v>
      </c>
      <c r="E539" s="276">
        <v>55.3</v>
      </c>
      <c r="F539" s="276" t="s">
        <v>604</v>
      </c>
      <c r="G539" s="276">
        <v>55.2</v>
      </c>
      <c r="H539" s="272">
        <v>0.58333333333333337</v>
      </c>
      <c r="I539" s="400"/>
      <c r="J539" s="401"/>
      <c r="K539" s="402"/>
      <c r="L539" s="198"/>
      <c r="M539" s="269"/>
      <c r="N539" s="195"/>
      <c r="O539" s="179"/>
      <c r="P539" s="155"/>
      <c r="Q539" s="179"/>
      <c r="R539" s="179"/>
      <c r="S539" s="179"/>
      <c r="T539" s="179"/>
      <c r="U539" s="179"/>
      <c r="V539" s="179"/>
      <c r="W539" s="179"/>
      <c r="X539" s="179"/>
      <c r="Y539" s="155"/>
      <c r="Z539" s="155"/>
    </row>
    <row r="540" spans="3:26" ht="24" x14ac:dyDescent="0.2">
      <c r="C540"/>
      <c r="D540" s="99">
        <v>45568</v>
      </c>
      <c r="E540" s="276">
        <v>55.2</v>
      </c>
      <c r="F540" s="276" t="s">
        <v>759</v>
      </c>
      <c r="G540" s="276">
        <v>55.7</v>
      </c>
      <c r="H540" s="272">
        <v>0.58333333333333337</v>
      </c>
      <c r="I540" s="400"/>
      <c r="J540" s="401"/>
      <c r="K540" s="402"/>
      <c r="L540" s="198"/>
      <c r="M540" s="269"/>
      <c r="N540" s="195"/>
      <c r="O540" s="146" t="s">
        <v>813</v>
      </c>
      <c r="P540" s="199">
        <v>0.1</v>
      </c>
      <c r="Q540" s="180">
        <v>8.1500000000000003E-2</v>
      </c>
      <c r="R540" s="181">
        <v>7.0000000000000007E-2</v>
      </c>
      <c r="S540" s="150">
        <v>1</v>
      </c>
      <c r="T540" s="156">
        <v>0.19225</v>
      </c>
      <c r="U540" s="182">
        <v>-44.658729508203216</v>
      </c>
      <c r="V540" s="183">
        <v>60.5</v>
      </c>
      <c r="W540" s="150">
        <v>2</v>
      </c>
      <c r="X540" s="184">
        <v>89.317459016406431</v>
      </c>
      <c r="Y540" s="185"/>
      <c r="Z540" s="185"/>
    </row>
    <row r="541" spans="3:26" ht="24" x14ac:dyDescent="0.2">
      <c r="C541"/>
      <c r="D541" s="99">
        <v>45558</v>
      </c>
      <c r="E541" s="276">
        <v>55.4</v>
      </c>
      <c r="F541" s="276" t="s">
        <v>585</v>
      </c>
      <c r="G541" s="276">
        <v>55.7</v>
      </c>
      <c r="H541" s="272">
        <v>0.58333333333333337</v>
      </c>
      <c r="I541" s="400"/>
      <c r="J541" s="401"/>
      <c r="K541" s="402"/>
      <c r="L541" s="218"/>
      <c r="M541" s="269"/>
      <c r="N541" s="195"/>
      <c r="O541" s="146"/>
      <c r="P541" s="146"/>
      <c r="Q541" s="180"/>
      <c r="R541" s="181"/>
      <c r="S541" s="150"/>
      <c r="T541" s="199"/>
      <c r="U541" s="182"/>
      <c r="V541" s="183"/>
      <c r="W541" s="150"/>
      <c r="X541" s="184"/>
      <c r="Y541" s="185"/>
      <c r="Z541" s="185"/>
    </row>
    <row r="542" spans="3:26" ht="24" x14ac:dyDescent="0.2">
      <c r="C542"/>
      <c r="D542" s="99">
        <v>45540</v>
      </c>
      <c r="E542" s="276">
        <v>55.7</v>
      </c>
      <c r="F542" s="276" t="s">
        <v>586</v>
      </c>
      <c r="G542" s="276">
        <v>55</v>
      </c>
      <c r="H542" s="272">
        <v>0.58333333333333337</v>
      </c>
      <c r="I542" s="400"/>
      <c r="J542" s="401"/>
      <c r="K542" s="402"/>
      <c r="L542" s="198"/>
      <c r="M542" s="269"/>
      <c r="N542" s="195"/>
      <c r="O542" s="146" t="s">
        <v>816</v>
      </c>
      <c r="P542" s="147"/>
      <c r="Q542" s="180"/>
      <c r="R542" s="181"/>
      <c r="S542" s="150"/>
      <c r="T542" s="147"/>
      <c r="U542" s="182">
        <v>0</v>
      </c>
      <c r="V542" s="183"/>
      <c r="W542" s="150"/>
      <c r="X542" s="184">
        <v>0</v>
      </c>
      <c r="Y542" s="185"/>
      <c r="Z542" s="185"/>
    </row>
    <row r="543" spans="3:26" ht="24" x14ac:dyDescent="0.2">
      <c r="C543"/>
      <c r="D543" s="99">
        <v>45526</v>
      </c>
      <c r="E543" s="276">
        <v>55.2</v>
      </c>
      <c r="F543" s="276" t="s">
        <v>587</v>
      </c>
      <c r="G543" s="276">
        <v>55</v>
      </c>
      <c r="H543" s="272">
        <v>0.58333333333333337</v>
      </c>
      <c r="I543" s="400"/>
      <c r="J543" s="401"/>
      <c r="K543" s="402"/>
      <c r="L543" s="198"/>
      <c r="M543" s="269"/>
      <c r="N543" s="195"/>
      <c r="O543" s="91"/>
      <c r="P543" s="91"/>
      <c r="Q543" s="91"/>
      <c r="R543" s="91"/>
      <c r="S543" s="91"/>
      <c r="T543" s="91"/>
      <c r="U543" s="91"/>
      <c r="V543" s="91"/>
      <c r="W543" s="91"/>
      <c r="X543" s="91"/>
      <c r="Y543" s="91"/>
      <c r="Z543" s="91"/>
    </row>
    <row r="544" spans="3:26" ht="25" thickBot="1" x14ac:dyDescent="0.25">
      <c r="C544"/>
      <c r="D544" s="99">
        <v>45509</v>
      </c>
      <c r="E544" s="276">
        <v>55</v>
      </c>
      <c r="F544" s="276" t="s">
        <v>589</v>
      </c>
      <c r="G544" s="276">
        <v>55.3</v>
      </c>
      <c r="H544" s="272">
        <v>0.58333333333333337</v>
      </c>
      <c r="I544" s="424"/>
      <c r="J544" s="425"/>
      <c r="K544" s="426"/>
      <c r="L544" s="198"/>
      <c r="M544" s="269"/>
      <c r="N544" s="195"/>
      <c r="O544" s="91"/>
      <c r="P544" s="91"/>
      <c r="Q544" s="91"/>
      <c r="R544" s="91"/>
      <c r="S544" s="91"/>
      <c r="T544" s="91"/>
      <c r="U544" s="91"/>
      <c r="V544" s="91"/>
      <c r="W544" s="91"/>
      <c r="X544" s="91"/>
      <c r="Y544" s="91"/>
      <c r="Z544" s="91"/>
    </row>
    <row r="545" spans="3:26" ht="73" thickBot="1" x14ac:dyDescent="0.25">
      <c r="C545">
        <v>4</v>
      </c>
      <c r="D545" s="123" t="s">
        <v>30</v>
      </c>
      <c r="E545" s="363" t="s">
        <v>920</v>
      </c>
      <c r="F545" s="364"/>
      <c r="G545" s="365"/>
      <c r="H545" s="273" t="s">
        <v>790</v>
      </c>
      <c r="I545" s="421" t="s">
        <v>633</v>
      </c>
      <c r="J545" s="422"/>
      <c r="K545" s="423"/>
      <c r="L545" s="194" t="s">
        <v>430</v>
      </c>
      <c r="M545" s="274" t="s">
        <v>431</v>
      </c>
      <c r="N545" s="195" t="s">
        <v>105</v>
      </c>
      <c r="O545" s="145" t="s">
        <v>800</v>
      </c>
      <c r="P545" s="145" t="s">
        <v>801</v>
      </c>
      <c r="Q545" s="145" t="s">
        <v>802</v>
      </c>
      <c r="R545" s="145" t="s">
        <v>803</v>
      </c>
      <c r="S545" s="145" t="s">
        <v>804</v>
      </c>
      <c r="T545" s="145" t="s">
        <v>805</v>
      </c>
      <c r="U545" s="145" t="s">
        <v>806</v>
      </c>
      <c r="V545" s="145" t="s">
        <v>807</v>
      </c>
      <c r="W545" s="145" t="s">
        <v>808</v>
      </c>
      <c r="X545" s="145" t="s">
        <v>809</v>
      </c>
      <c r="Y545" s="145" t="s">
        <v>75</v>
      </c>
      <c r="Z545" s="145" t="s">
        <v>75</v>
      </c>
    </row>
    <row r="546" spans="3:26" ht="24" x14ac:dyDescent="0.2">
      <c r="C546"/>
      <c r="D546" s="122" t="s">
        <v>432</v>
      </c>
      <c r="E546" s="342"/>
      <c r="F546" s="343"/>
      <c r="G546" s="344"/>
      <c r="H546" s="268" t="s">
        <v>794</v>
      </c>
      <c r="I546" s="397" t="s">
        <v>921</v>
      </c>
      <c r="J546" s="398"/>
      <c r="K546" s="399"/>
      <c r="L546" s="198"/>
      <c r="M546" s="269"/>
      <c r="N546" s="195"/>
      <c r="O546" s="146" t="s">
        <v>810</v>
      </c>
      <c r="P546" s="199">
        <v>0.1</v>
      </c>
      <c r="Q546" s="200">
        <v>0.03</v>
      </c>
      <c r="R546" s="201">
        <v>1.5999999999991132E-2</v>
      </c>
      <c r="S546" s="150"/>
      <c r="T546" s="146">
        <v>6.0999999999991131E-2</v>
      </c>
      <c r="U546" s="200">
        <v>-14.17</v>
      </c>
      <c r="V546" s="199">
        <v>91.8</v>
      </c>
      <c r="W546" s="202">
        <v>2</v>
      </c>
      <c r="X546" s="184">
        <v>28.34</v>
      </c>
      <c r="Y546" s="151"/>
      <c r="Z546" s="151"/>
    </row>
    <row r="547" spans="3:26" ht="24" x14ac:dyDescent="0.2">
      <c r="C547"/>
      <c r="D547" s="92" t="s">
        <v>433</v>
      </c>
      <c r="E547" s="372">
        <v>53.3</v>
      </c>
      <c r="F547" s="373"/>
      <c r="G547" s="374"/>
      <c r="H547" s="268" t="s">
        <v>795</v>
      </c>
      <c r="I547" s="400"/>
      <c r="J547" s="401"/>
      <c r="K547" s="402"/>
      <c r="L547" s="198"/>
      <c r="M547" s="269"/>
      <c r="N547" s="195"/>
      <c r="O547" s="152"/>
      <c r="P547" s="152"/>
      <c r="Q547" s="152"/>
      <c r="R547" s="153"/>
      <c r="S547" s="154"/>
      <c r="T547" s="152"/>
      <c r="U547" s="152"/>
      <c r="V547" s="152"/>
      <c r="W547" s="154"/>
      <c r="X547" s="154"/>
      <c r="Y547" s="155"/>
      <c r="Z547" s="155"/>
    </row>
    <row r="548" spans="3:26" ht="24" x14ac:dyDescent="0.2">
      <c r="C548"/>
      <c r="D548" s="92" t="s">
        <v>434</v>
      </c>
      <c r="E548" s="372">
        <v>54.9</v>
      </c>
      <c r="F548" s="373"/>
      <c r="G548" s="374"/>
      <c r="H548" s="270"/>
      <c r="I548" s="400"/>
      <c r="J548" s="401"/>
      <c r="K548" s="402"/>
      <c r="L548" s="198"/>
      <c r="M548" s="269"/>
      <c r="N548" s="195"/>
      <c r="O548" s="156" t="s">
        <v>811</v>
      </c>
      <c r="P548" s="204">
        <v>0.05</v>
      </c>
      <c r="Q548" s="205">
        <v>7.51E-2</v>
      </c>
      <c r="R548" s="206">
        <v>7.0000000000000007E-2</v>
      </c>
      <c r="S548" s="160">
        <v>1</v>
      </c>
      <c r="T548" s="156">
        <v>0.18265000000000001</v>
      </c>
      <c r="U548" s="161">
        <v>-21.214348360658821</v>
      </c>
      <c r="V548" s="162">
        <v>30.25</v>
      </c>
      <c r="W548" s="207">
        <v>2.94</v>
      </c>
      <c r="X548" s="164">
        <v>62.370184180336935</v>
      </c>
      <c r="Y548" s="165"/>
      <c r="Z548" s="165">
        <v>4.4350000000000005</v>
      </c>
    </row>
    <row r="549" spans="3:26" ht="25" thickBot="1" x14ac:dyDescent="0.25">
      <c r="C549"/>
      <c r="D549" s="94" t="s">
        <v>435</v>
      </c>
      <c r="E549" s="360">
        <v>0.625</v>
      </c>
      <c r="F549" s="361"/>
      <c r="G549" s="362"/>
      <c r="H549" s="270"/>
      <c r="I549" s="400"/>
      <c r="J549" s="401"/>
      <c r="K549" s="402"/>
      <c r="L549" s="208">
        <v>0.85416666666666663</v>
      </c>
      <c r="M549" s="271">
        <v>0.70833333333333326</v>
      </c>
      <c r="N549" s="195"/>
      <c r="O549" s="166" t="s">
        <v>812</v>
      </c>
      <c r="P549" s="209">
        <v>0.05</v>
      </c>
      <c r="Q549" s="187">
        <v>0.10166666666666667</v>
      </c>
      <c r="R549" s="210">
        <v>7.0000000000000007E-2</v>
      </c>
      <c r="S549" s="170">
        <v>1</v>
      </c>
      <c r="T549" s="211">
        <v>0.2225</v>
      </c>
      <c r="U549" s="171">
        <v>-25.842827868856215</v>
      </c>
      <c r="V549" s="172">
        <v>30.25</v>
      </c>
      <c r="W549" s="212">
        <v>3.19</v>
      </c>
      <c r="X549" s="174">
        <v>82.438620901651319</v>
      </c>
      <c r="Y549" s="175"/>
      <c r="Z549" s="175"/>
    </row>
    <row r="550" spans="3:26" ht="25" thickBot="1" x14ac:dyDescent="0.25">
      <c r="C550"/>
      <c r="D550" s="96" t="s">
        <v>436</v>
      </c>
      <c r="E550" s="97" t="s">
        <v>29</v>
      </c>
      <c r="F550" s="97" t="s">
        <v>28</v>
      </c>
      <c r="G550" s="98" t="s">
        <v>27</v>
      </c>
      <c r="H550" s="270" t="s">
        <v>793</v>
      </c>
      <c r="I550" s="400"/>
      <c r="J550" s="401"/>
      <c r="K550" s="402"/>
      <c r="L550" s="198"/>
      <c r="M550" s="269"/>
      <c r="N550" s="195"/>
      <c r="O550" s="154"/>
      <c r="P550" s="176"/>
      <c r="Q550" s="154"/>
      <c r="R550" s="154"/>
      <c r="S550" s="154"/>
      <c r="T550" s="154"/>
      <c r="U550" s="177"/>
      <c r="V550" s="178"/>
      <c r="W550" s="154"/>
      <c r="X550" s="177"/>
      <c r="Y550" s="155"/>
      <c r="Z550" s="155"/>
    </row>
    <row r="551" spans="3:26" ht="24" x14ac:dyDescent="0.2">
      <c r="C551"/>
      <c r="D551" s="99">
        <v>45568</v>
      </c>
      <c r="E551" s="276">
        <v>54.9</v>
      </c>
      <c r="F551" s="276" t="s">
        <v>506</v>
      </c>
      <c r="G551" s="276">
        <v>51.5</v>
      </c>
      <c r="H551" s="272">
        <v>0.58333333333333337</v>
      </c>
      <c r="I551" s="400"/>
      <c r="J551" s="401"/>
      <c r="K551" s="402"/>
      <c r="L551" s="198"/>
      <c r="M551" s="269"/>
      <c r="N551" s="195"/>
      <c r="O551" s="179"/>
      <c r="P551" s="155"/>
      <c r="Q551" s="179"/>
      <c r="R551" s="179"/>
      <c r="S551" s="179"/>
      <c r="T551" s="179"/>
      <c r="U551" s="179"/>
      <c r="V551" s="179"/>
      <c r="W551" s="179"/>
      <c r="X551" s="179"/>
      <c r="Y551" s="155"/>
      <c r="Z551" s="155"/>
    </row>
    <row r="552" spans="3:26" ht="24" x14ac:dyDescent="0.2">
      <c r="C552"/>
      <c r="D552" s="99">
        <v>45540</v>
      </c>
      <c r="E552" s="276">
        <v>51.5</v>
      </c>
      <c r="F552" s="276" t="s">
        <v>594</v>
      </c>
      <c r="G552" s="276">
        <v>51.4</v>
      </c>
      <c r="H552" s="272">
        <v>0.58333333333333337</v>
      </c>
      <c r="I552" s="400"/>
      <c r="J552" s="401"/>
      <c r="K552" s="402"/>
      <c r="L552" s="198"/>
      <c r="M552" s="269"/>
      <c r="N552" s="195"/>
      <c r="O552" s="146" t="s">
        <v>813</v>
      </c>
      <c r="P552" s="199">
        <v>-0.05</v>
      </c>
      <c r="Q552" s="180">
        <v>8.8383333333333342E-2</v>
      </c>
      <c r="R552" s="181">
        <v>7.0000000000000007E-2</v>
      </c>
      <c r="S552" s="150">
        <v>-1</v>
      </c>
      <c r="T552" s="156">
        <v>0.20257500000000001</v>
      </c>
      <c r="U552" s="182">
        <v>-23.528588114757518</v>
      </c>
      <c r="V552" s="183">
        <v>-30.25</v>
      </c>
      <c r="W552" s="150">
        <v>2.5</v>
      </c>
      <c r="X552" s="184">
        <v>58.821470286893799</v>
      </c>
      <c r="Y552" s="185"/>
      <c r="Z552" s="185"/>
    </row>
    <row r="553" spans="3:26" ht="24" x14ac:dyDescent="0.2">
      <c r="C553"/>
      <c r="D553" s="99">
        <v>45509</v>
      </c>
      <c r="E553" s="276">
        <v>51.4</v>
      </c>
      <c r="F553" s="276" t="s">
        <v>595</v>
      </c>
      <c r="G553" s="276">
        <v>48.8</v>
      </c>
      <c r="H553" s="272">
        <v>0.58333333333333337</v>
      </c>
      <c r="I553" s="400"/>
      <c r="J553" s="401"/>
      <c r="K553" s="402"/>
      <c r="L553" s="218"/>
      <c r="M553" s="269"/>
      <c r="N553" s="195"/>
      <c r="O553" s="146" t="s">
        <v>813</v>
      </c>
      <c r="P553" s="199">
        <v>0.05</v>
      </c>
      <c r="Q553" s="180">
        <v>8.8383333333333342E-2</v>
      </c>
      <c r="R553" s="181">
        <v>7.0000000000000007E-2</v>
      </c>
      <c r="S553" s="150">
        <v>1</v>
      </c>
      <c r="T553" s="156">
        <v>0.20257500000000001</v>
      </c>
      <c r="U553" s="182">
        <v>-23.528588114757518</v>
      </c>
      <c r="V553" s="183">
        <v>30.25</v>
      </c>
      <c r="W553" s="150">
        <v>2.5</v>
      </c>
      <c r="X553" s="184">
        <v>58.821470286893799</v>
      </c>
      <c r="Y553" s="185"/>
      <c r="Z553" s="185"/>
    </row>
    <row r="554" spans="3:26" ht="24" x14ac:dyDescent="0.2">
      <c r="C554"/>
      <c r="D554" s="99">
        <v>45476</v>
      </c>
      <c r="E554" s="276">
        <v>48.8</v>
      </c>
      <c r="F554" s="276" t="s">
        <v>596</v>
      </c>
      <c r="G554" s="276">
        <v>53.8</v>
      </c>
      <c r="H554" s="272">
        <v>0.58333333333333337</v>
      </c>
      <c r="I554" s="400"/>
      <c r="J554" s="401"/>
      <c r="K554" s="402"/>
      <c r="L554" s="198"/>
      <c r="M554" s="269"/>
      <c r="N554" s="195"/>
      <c r="O554" s="146" t="s">
        <v>816</v>
      </c>
      <c r="P554" s="147"/>
      <c r="Q554" s="180"/>
      <c r="R554" s="181"/>
      <c r="S554" s="150"/>
      <c r="T554" s="147"/>
      <c r="U554" s="182"/>
      <c r="V554" s="183"/>
      <c r="W554" s="150"/>
      <c r="X554" s="184"/>
      <c r="Y554" s="185"/>
      <c r="Z554" s="185"/>
    </row>
    <row r="555" spans="3:26" ht="24" x14ac:dyDescent="0.2">
      <c r="C555"/>
      <c r="D555" s="99">
        <v>45448</v>
      </c>
      <c r="E555" s="276">
        <v>53.8</v>
      </c>
      <c r="F555" s="276" t="s">
        <v>597</v>
      </c>
      <c r="G555" s="276">
        <v>49.4</v>
      </c>
      <c r="H555" s="272">
        <v>0.58333333333333337</v>
      </c>
      <c r="I555" s="400"/>
      <c r="J555" s="401"/>
      <c r="K555" s="402"/>
      <c r="L555" s="198"/>
      <c r="M555" s="269"/>
      <c r="N555" s="195"/>
      <c r="O555" s="91"/>
      <c r="P555" s="91"/>
      <c r="Q555" s="91"/>
      <c r="R555" s="91"/>
      <c r="S555" s="91"/>
      <c r="T555" s="91"/>
      <c r="U555" s="91"/>
      <c r="V555" s="91"/>
      <c r="W555" s="91"/>
      <c r="X555" s="91"/>
      <c r="Y555" s="91"/>
      <c r="Z555" s="91"/>
    </row>
    <row r="556" spans="3:26" ht="25" thickBot="1" x14ac:dyDescent="0.25">
      <c r="C556"/>
      <c r="D556" s="99">
        <v>45415</v>
      </c>
      <c r="E556" s="276">
        <v>49.4</v>
      </c>
      <c r="F556" s="276" t="s">
        <v>599</v>
      </c>
      <c r="G556" s="276">
        <v>51.4</v>
      </c>
      <c r="H556" s="272">
        <v>0.58333333333333337</v>
      </c>
      <c r="I556" s="424"/>
      <c r="J556" s="425"/>
      <c r="K556" s="426"/>
      <c r="L556" s="198"/>
      <c r="M556" s="269"/>
      <c r="N556" s="195"/>
      <c r="O556" s="91"/>
      <c r="P556" s="91"/>
      <c r="Q556" s="91"/>
      <c r="R556" s="91"/>
      <c r="S556" s="91"/>
      <c r="T556" s="91"/>
      <c r="U556" s="91"/>
      <c r="V556" s="91"/>
      <c r="W556" s="91"/>
      <c r="X556" s="91"/>
      <c r="Y556" s="91"/>
      <c r="Z556" s="91"/>
    </row>
    <row r="557" spans="3:26" ht="73" thickBot="1" x14ac:dyDescent="0.25">
      <c r="C557">
        <v>5</v>
      </c>
      <c r="D557" s="123" t="s">
        <v>30</v>
      </c>
      <c r="E557" s="363" t="s">
        <v>922</v>
      </c>
      <c r="F557" s="364"/>
      <c r="G557" s="365"/>
      <c r="H557" s="273" t="s">
        <v>790</v>
      </c>
      <c r="I557" s="421" t="s">
        <v>633</v>
      </c>
      <c r="J557" s="422"/>
      <c r="K557" s="423"/>
      <c r="L557" s="194" t="s">
        <v>430</v>
      </c>
      <c r="M557" s="274" t="s">
        <v>431</v>
      </c>
      <c r="N557" s="195" t="s">
        <v>105</v>
      </c>
      <c r="O557" s="145" t="s">
        <v>800</v>
      </c>
      <c r="P557" s="145" t="s">
        <v>801</v>
      </c>
      <c r="Q557" s="145" t="s">
        <v>802</v>
      </c>
      <c r="R557" s="145" t="s">
        <v>803</v>
      </c>
      <c r="S557" s="145" t="s">
        <v>804</v>
      </c>
      <c r="T557" s="145" t="s">
        <v>805</v>
      </c>
      <c r="U557" s="145" t="s">
        <v>806</v>
      </c>
      <c r="V557" s="145" t="s">
        <v>807</v>
      </c>
      <c r="W557" s="145" t="s">
        <v>808</v>
      </c>
      <c r="X557" s="145" t="s">
        <v>809</v>
      </c>
      <c r="Y557" s="145" t="s">
        <v>75</v>
      </c>
      <c r="Z557" s="145" t="s">
        <v>75</v>
      </c>
    </row>
    <row r="558" spans="3:26" ht="24" x14ac:dyDescent="0.2">
      <c r="C558"/>
      <c r="D558" s="122" t="s">
        <v>432</v>
      </c>
      <c r="E558" s="342"/>
      <c r="F558" s="343"/>
      <c r="G558" s="344"/>
      <c r="H558" s="268" t="s">
        <v>794</v>
      </c>
      <c r="I558" s="397" t="s">
        <v>923</v>
      </c>
      <c r="J558" s="398"/>
      <c r="K558" s="399"/>
      <c r="L558" s="198"/>
      <c r="M558" s="269"/>
      <c r="N558" s="195"/>
      <c r="O558" s="146" t="s">
        <v>810</v>
      </c>
      <c r="P558" s="199">
        <v>0.1</v>
      </c>
      <c r="Q558" s="200">
        <v>1.2999999999999999E-2</v>
      </c>
      <c r="R558" s="201">
        <v>2.199999999999136E-2</v>
      </c>
      <c r="S558" s="150"/>
      <c r="T558" s="146">
        <v>4.1499999999991363E-2</v>
      </c>
      <c r="U558" s="200">
        <v>-10.74</v>
      </c>
      <c r="V558" s="199">
        <v>60.23</v>
      </c>
      <c r="W558" s="199"/>
      <c r="X558" s="184"/>
      <c r="Y558" s="151"/>
      <c r="Z558" s="151"/>
    </row>
    <row r="559" spans="3:26" ht="24" x14ac:dyDescent="0.2">
      <c r="C559"/>
      <c r="D559" s="92" t="s">
        <v>433</v>
      </c>
      <c r="E559" s="372">
        <v>0</v>
      </c>
      <c r="F559" s="373"/>
      <c r="G559" s="374"/>
      <c r="H559" s="268" t="s">
        <v>795</v>
      </c>
      <c r="I559" s="400"/>
      <c r="J559" s="401"/>
      <c r="K559" s="402"/>
      <c r="L559" s="198"/>
      <c r="M559" s="269"/>
      <c r="N559" s="195"/>
      <c r="O559" s="152"/>
      <c r="P559" s="152"/>
      <c r="Q559" s="152"/>
      <c r="R559" s="153"/>
      <c r="S559" s="154"/>
      <c r="T559" s="152"/>
      <c r="U559" s="152"/>
      <c r="V559" s="152"/>
      <c r="W559" s="152"/>
      <c r="X559" s="154"/>
      <c r="Y559" s="155"/>
      <c r="Z559" s="155"/>
    </row>
    <row r="560" spans="3:26" ht="24" x14ac:dyDescent="0.2">
      <c r="C560"/>
      <c r="D560" s="92" t="s">
        <v>434</v>
      </c>
      <c r="E560" s="372">
        <v>59.4</v>
      </c>
      <c r="F560" s="373"/>
      <c r="G560" s="374"/>
      <c r="H560" s="270"/>
      <c r="I560" s="400"/>
      <c r="J560" s="401"/>
      <c r="K560" s="402"/>
      <c r="L560" s="198"/>
      <c r="M560" s="269"/>
      <c r="N560" s="195"/>
      <c r="O560" s="156" t="s">
        <v>811</v>
      </c>
      <c r="P560" s="204">
        <v>0.1</v>
      </c>
      <c r="Q560" s="205">
        <v>9.2700000000000005E-2</v>
      </c>
      <c r="R560" s="206">
        <v>2.4E-2</v>
      </c>
      <c r="S560" s="220">
        <v>1</v>
      </c>
      <c r="T560" s="156">
        <v>0.16305</v>
      </c>
      <c r="U560" s="161">
        <v>-42.196554216876251</v>
      </c>
      <c r="V560" s="162">
        <v>60.5</v>
      </c>
      <c r="W560" s="221">
        <v>4.95</v>
      </c>
      <c r="X560" s="164">
        <v>208.87294337353745</v>
      </c>
      <c r="Y560" s="165"/>
      <c r="Z560" s="165"/>
    </row>
    <row r="561" spans="3:26" ht="25" thickBot="1" x14ac:dyDescent="0.25">
      <c r="C561"/>
      <c r="D561" s="94" t="s">
        <v>435</v>
      </c>
      <c r="E561" s="360">
        <v>0.625</v>
      </c>
      <c r="F561" s="361"/>
      <c r="G561" s="362"/>
      <c r="H561" s="270"/>
      <c r="I561" s="400"/>
      <c r="J561" s="401"/>
      <c r="K561" s="402"/>
      <c r="L561" s="208">
        <v>0.85416666666666663</v>
      </c>
      <c r="M561" s="271">
        <v>0.70833333333333326</v>
      </c>
      <c r="N561" s="195"/>
      <c r="O561" s="166" t="s">
        <v>812</v>
      </c>
      <c r="P561" s="209">
        <v>0.1</v>
      </c>
      <c r="Q561" s="187">
        <v>0.10253333333333335</v>
      </c>
      <c r="R561" s="210">
        <v>2.4E-2</v>
      </c>
      <c r="S561" s="222">
        <v>1</v>
      </c>
      <c r="T561" s="211">
        <v>0.17780000000000001</v>
      </c>
      <c r="U561" s="171">
        <v>-46.0137831325397</v>
      </c>
      <c r="V561" s="172">
        <v>60.5</v>
      </c>
      <c r="W561" s="223">
        <v>3.5933333333333337</v>
      </c>
      <c r="X561" s="174">
        <v>165.34286072292602</v>
      </c>
      <c r="Y561" s="175"/>
      <c r="Z561" s="175"/>
    </row>
    <row r="562" spans="3:26" ht="25" thickBot="1" x14ac:dyDescent="0.25">
      <c r="C562"/>
      <c r="D562" s="96" t="s">
        <v>436</v>
      </c>
      <c r="E562" s="97" t="s">
        <v>29</v>
      </c>
      <c r="F562" s="97" t="s">
        <v>28</v>
      </c>
      <c r="G562" s="98" t="s">
        <v>27</v>
      </c>
      <c r="H562" s="270" t="s">
        <v>793</v>
      </c>
      <c r="I562" s="400"/>
      <c r="J562" s="401"/>
      <c r="K562" s="402"/>
      <c r="L562" s="198"/>
      <c r="M562" s="269"/>
      <c r="N562" s="195"/>
      <c r="O562" s="154"/>
      <c r="P562" s="176"/>
      <c r="Q562" s="154"/>
      <c r="R562" s="154"/>
      <c r="S562" s="224"/>
      <c r="T562" s="154"/>
      <c r="U562" s="177"/>
      <c r="V562" s="178"/>
      <c r="W562" s="225"/>
      <c r="X562" s="177"/>
      <c r="Y562" s="155"/>
      <c r="Z562" s="155"/>
    </row>
    <row r="563" spans="3:26" ht="24" x14ac:dyDescent="0.2">
      <c r="C563"/>
      <c r="D563" s="99">
        <v>45568</v>
      </c>
      <c r="E563" s="276">
        <v>59.4</v>
      </c>
      <c r="F563" s="276" t="s">
        <v>943</v>
      </c>
      <c r="G563" s="276">
        <v>57.3</v>
      </c>
      <c r="H563" s="272">
        <v>0.58333333333333337</v>
      </c>
      <c r="I563" s="400"/>
      <c r="J563" s="401"/>
      <c r="K563" s="402"/>
      <c r="L563" s="198"/>
      <c r="M563" s="269"/>
      <c r="N563" s="195"/>
      <c r="O563" s="179"/>
      <c r="P563" s="155"/>
      <c r="Q563" s="179"/>
      <c r="R563" s="179"/>
      <c r="S563" s="224"/>
      <c r="T563" s="179"/>
      <c r="U563" s="179"/>
      <c r="V563" s="179"/>
      <c r="W563" s="227"/>
      <c r="X563" s="179"/>
      <c r="Y563" s="155"/>
      <c r="Z563" s="155"/>
    </row>
    <row r="564" spans="3:26" ht="24" x14ac:dyDescent="0.2">
      <c r="C564"/>
      <c r="D564" s="99">
        <v>45540</v>
      </c>
      <c r="E564" s="276">
        <v>57.3</v>
      </c>
      <c r="F564" s="276" t="s">
        <v>589</v>
      </c>
      <c r="G564" s="276">
        <v>57</v>
      </c>
      <c r="H564" s="272">
        <v>0.58333333333333337</v>
      </c>
      <c r="I564" s="400"/>
      <c r="J564" s="401"/>
      <c r="K564" s="402"/>
      <c r="L564" s="198"/>
      <c r="M564" s="269"/>
      <c r="N564" s="195"/>
      <c r="O564" s="146" t="s">
        <v>813</v>
      </c>
      <c r="P564" s="228">
        <v>0.1</v>
      </c>
      <c r="Q564" s="180">
        <v>0.10253333333333335</v>
      </c>
      <c r="R564" s="181">
        <v>2.4E-2</v>
      </c>
      <c r="S564" s="228">
        <v>1</v>
      </c>
      <c r="T564" s="229">
        <v>0.17780000000000001</v>
      </c>
      <c r="U564" s="182">
        <v>-46.0137831325397</v>
      </c>
      <c r="V564" s="183">
        <v>60.5</v>
      </c>
      <c r="W564" s="230">
        <v>3</v>
      </c>
      <c r="X564" s="184">
        <v>138.04134939761911</v>
      </c>
      <c r="Y564" s="185"/>
      <c r="Z564" s="185"/>
    </row>
    <row r="565" spans="3:26" ht="24" x14ac:dyDescent="0.2">
      <c r="C565"/>
      <c r="D565" s="99">
        <v>45509</v>
      </c>
      <c r="E565" s="276">
        <v>57</v>
      </c>
      <c r="F565" s="276" t="s">
        <v>589</v>
      </c>
      <c r="G565" s="276">
        <v>56.3</v>
      </c>
      <c r="H565" s="272">
        <v>0.58333333333333337</v>
      </c>
      <c r="I565" s="400"/>
      <c r="J565" s="401"/>
      <c r="K565" s="402"/>
      <c r="L565" s="218"/>
      <c r="M565" s="269"/>
      <c r="N565" s="195"/>
      <c r="O565" s="146"/>
      <c r="P565" s="147"/>
      <c r="Q565" s="180"/>
      <c r="R565" s="181"/>
      <c r="S565" s="170"/>
      <c r="T565" s="147"/>
      <c r="U565" s="182"/>
      <c r="V565" s="183"/>
      <c r="W565" s="150"/>
      <c r="X565" s="184"/>
      <c r="Y565" s="185"/>
      <c r="Z565" s="185"/>
    </row>
    <row r="566" spans="3:26" ht="24" x14ac:dyDescent="0.2">
      <c r="C566"/>
      <c r="D566" s="99">
        <v>45476</v>
      </c>
      <c r="E566" s="276">
        <v>56.3</v>
      </c>
      <c r="F566" s="276" t="s">
        <v>602</v>
      </c>
      <c r="G566" s="276">
        <v>58.1</v>
      </c>
      <c r="H566" s="272">
        <v>0.58333333333333337</v>
      </c>
      <c r="I566" s="400"/>
      <c r="J566" s="401"/>
      <c r="K566" s="402"/>
      <c r="L566" s="198"/>
      <c r="M566" s="269"/>
      <c r="N566" s="195"/>
      <c r="O566" s="146"/>
      <c r="P566" s="147"/>
      <c r="Q566" s="180"/>
      <c r="R566" s="181"/>
      <c r="S566" s="150"/>
      <c r="T566" s="147"/>
      <c r="U566" s="182"/>
      <c r="V566" s="183"/>
      <c r="W566" s="150"/>
      <c r="X566" s="184"/>
      <c r="Y566" s="185"/>
      <c r="Z566" s="185"/>
    </row>
    <row r="567" spans="3:26" ht="24" x14ac:dyDescent="0.2">
      <c r="C567"/>
      <c r="D567" s="99">
        <v>45448</v>
      </c>
      <c r="E567" s="276">
        <v>58.1</v>
      </c>
      <c r="F567" s="276" t="s">
        <v>603</v>
      </c>
      <c r="G567" s="276">
        <v>59.2</v>
      </c>
      <c r="H567" s="272">
        <v>0.58333333333333337</v>
      </c>
      <c r="I567" s="400"/>
      <c r="J567" s="401"/>
      <c r="K567" s="402"/>
      <c r="L567" s="198"/>
      <c r="M567" s="269"/>
      <c r="N567" s="195"/>
      <c r="O567" s="91"/>
      <c r="P567" s="91"/>
      <c r="Q567" s="91"/>
      <c r="R567" s="91"/>
      <c r="S567" s="91"/>
      <c r="T567" s="91"/>
      <c r="U567" s="91"/>
      <c r="V567" s="91"/>
      <c r="W567" s="91"/>
      <c r="X567" s="91"/>
      <c r="Y567" s="91"/>
      <c r="Z567" s="91"/>
    </row>
    <row r="568" spans="3:26" ht="25" thickBot="1" x14ac:dyDescent="0.25">
      <c r="C568"/>
      <c r="D568" s="99">
        <v>45415</v>
      </c>
      <c r="E568" s="276">
        <v>59.2</v>
      </c>
      <c r="F568" s="276" t="s">
        <v>604</v>
      </c>
      <c r="G568" s="276">
        <v>53.4</v>
      </c>
      <c r="H568" s="272">
        <v>0.58333333333333337</v>
      </c>
      <c r="I568" s="424"/>
      <c r="J568" s="425"/>
      <c r="K568" s="426"/>
      <c r="L568" s="198"/>
      <c r="M568" s="269"/>
      <c r="N568" s="195"/>
      <c r="O568" s="91"/>
      <c r="P568" s="91"/>
      <c r="Q568" s="91"/>
      <c r="R568" s="91"/>
      <c r="S568" s="91"/>
      <c r="T568" s="91"/>
      <c r="U568" s="91"/>
      <c r="V568" s="91"/>
      <c r="W568" s="91"/>
      <c r="X568" s="91"/>
      <c r="Y568" s="91"/>
      <c r="Z568" s="91"/>
    </row>
    <row r="569" spans="3:26" ht="73" thickBot="1" x14ac:dyDescent="0.25">
      <c r="C569">
        <v>6</v>
      </c>
      <c r="D569" s="123" t="s">
        <v>30</v>
      </c>
      <c r="E569" s="363" t="s">
        <v>52</v>
      </c>
      <c r="F569" s="364"/>
      <c r="G569" s="365"/>
      <c r="H569" s="273" t="s">
        <v>790</v>
      </c>
      <c r="I569" s="421" t="s">
        <v>633</v>
      </c>
      <c r="J569" s="422"/>
      <c r="K569" s="423"/>
      <c r="L569" s="194" t="s">
        <v>430</v>
      </c>
      <c r="M569" s="274" t="s">
        <v>431</v>
      </c>
      <c r="N569" s="195" t="s">
        <v>105</v>
      </c>
      <c r="O569" s="145" t="s">
        <v>800</v>
      </c>
      <c r="P569" s="145" t="s">
        <v>801</v>
      </c>
      <c r="Q569" s="145" t="s">
        <v>802</v>
      </c>
      <c r="R569" s="145" t="s">
        <v>803</v>
      </c>
      <c r="S569" s="145" t="s">
        <v>804</v>
      </c>
      <c r="T569" s="145" t="s">
        <v>805</v>
      </c>
      <c r="U569" s="145" t="s">
        <v>806</v>
      </c>
      <c r="V569" s="145" t="s">
        <v>807</v>
      </c>
      <c r="W569" s="145" t="s">
        <v>808</v>
      </c>
      <c r="X569" s="145" t="s">
        <v>809</v>
      </c>
      <c r="Y569" s="145" t="s">
        <v>75</v>
      </c>
      <c r="Z569" s="145" t="s">
        <v>75</v>
      </c>
    </row>
    <row r="570" spans="3:26" ht="24" x14ac:dyDescent="0.2">
      <c r="C570" s="91"/>
      <c r="D570" s="122" t="s">
        <v>432</v>
      </c>
      <c r="E570" s="342"/>
      <c r="F570" s="343"/>
      <c r="G570" s="344"/>
      <c r="H570" s="268" t="s">
        <v>794</v>
      </c>
      <c r="I570" s="397" t="s">
        <v>924</v>
      </c>
      <c r="J570" s="398"/>
      <c r="K570" s="399"/>
      <c r="L570" s="198"/>
      <c r="M570" s="269"/>
      <c r="N570" s="195"/>
      <c r="O570" s="146" t="s">
        <v>810</v>
      </c>
      <c r="P570" s="199">
        <v>0.1</v>
      </c>
      <c r="Q570" s="200">
        <v>2.1999999999999999E-2</v>
      </c>
      <c r="R570" s="201">
        <v>3.0000000000001137E-2</v>
      </c>
      <c r="S570" s="150"/>
      <c r="T570" s="146">
        <v>6.3000000000001138E-2</v>
      </c>
      <c r="U570" s="200">
        <v>-15.02</v>
      </c>
      <c r="V570" s="199">
        <v>99.37</v>
      </c>
      <c r="W570" s="199"/>
      <c r="X570" s="184"/>
      <c r="Y570" s="151"/>
      <c r="Z570" s="151"/>
    </row>
    <row r="571" spans="3:26" ht="24" x14ac:dyDescent="0.2">
      <c r="C571" s="91"/>
      <c r="D571" s="92" t="s">
        <v>433</v>
      </c>
      <c r="E571" s="372">
        <v>0</v>
      </c>
      <c r="F571" s="373"/>
      <c r="G571" s="374"/>
      <c r="H571" s="268" t="s">
        <v>795</v>
      </c>
      <c r="I571" s="400"/>
      <c r="J571" s="401"/>
      <c r="K571" s="402"/>
      <c r="L571" s="198"/>
      <c r="M571" s="269"/>
      <c r="N571" s="195"/>
      <c r="O571" s="152"/>
      <c r="P571" s="152"/>
      <c r="Q571" s="152"/>
      <c r="R571" s="153"/>
      <c r="S571" s="154"/>
      <c r="T571" s="152"/>
      <c r="U571" s="152"/>
      <c r="V571" s="152"/>
      <c r="W571" s="152"/>
      <c r="X571" s="154"/>
      <c r="Y571" s="155"/>
      <c r="Z571" s="155"/>
    </row>
    <row r="572" spans="3:26" ht="24" x14ac:dyDescent="0.2">
      <c r="C572" s="91"/>
      <c r="D572" s="92" t="s">
        <v>434</v>
      </c>
      <c r="E572" s="375">
        <v>4.0660000000000002E-2</v>
      </c>
      <c r="F572" s="376"/>
      <c r="G572" s="377"/>
      <c r="H572" s="270"/>
      <c r="I572" s="400"/>
      <c r="J572" s="401"/>
      <c r="K572" s="402"/>
      <c r="L572" s="198"/>
      <c r="M572" s="269"/>
      <c r="N572" s="195"/>
      <c r="O572" s="156" t="s">
        <v>811</v>
      </c>
      <c r="P572" s="204">
        <v>0.1</v>
      </c>
      <c r="Q572" s="205">
        <v>5.0599999999999999E-2</v>
      </c>
      <c r="R572" s="206">
        <v>3.0000000000001137E-2</v>
      </c>
      <c r="S572" s="220">
        <v>1</v>
      </c>
      <c r="T572" s="156">
        <v>0.10590000000000113</v>
      </c>
      <c r="U572" s="161">
        <v>-25.247904761904575</v>
      </c>
      <c r="V572" s="162">
        <v>99.37</v>
      </c>
      <c r="W572" s="221">
        <v>4.26</v>
      </c>
      <c r="X572" s="164">
        <v>107.55607428571348</v>
      </c>
      <c r="Y572" s="165"/>
      <c r="Z572" s="165">
        <v>4.4350000000000005</v>
      </c>
    </row>
    <row r="573" spans="3:26" ht="25" thickBot="1" x14ac:dyDescent="0.25">
      <c r="C573" s="91"/>
      <c r="D573" s="94" t="s">
        <v>435</v>
      </c>
      <c r="E573" s="360">
        <v>0.75</v>
      </c>
      <c r="F573" s="361"/>
      <c r="G573" s="362"/>
      <c r="H573" s="270"/>
      <c r="I573" s="400"/>
      <c r="J573" s="401"/>
      <c r="K573" s="402"/>
      <c r="L573" s="208">
        <v>0.97916666666666663</v>
      </c>
      <c r="M573" s="271">
        <v>0.83333333333333326</v>
      </c>
      <c r="N573" s="195"/>
      <c r="O573" s="166" t="s">
        <v>812</v>
      </c>
      <c r="P573" s="209">
        <v>0.1</v>
      </c>
      <c r="Q573" s="187">
        <v>6.1533333333332579E-2</v>
      </c>
      <c r="R573" s="210">
        <v>3.0000000000001137E-2</v>
      </c>
      <c r="S573" s="222">
        <v>0.5</v>
      </c>
      <c r="T573" s="211">
        <v>0.12230000000000001</v>
      </c>
      <c r="U573" s="171">
        <v>-14.578936507936245</v>
      </c>
      <c r="V573" s="172">
        <v>99.37</v>
      </c>
      <c r="W573" s="223">
        <v>2.15</v>
      </c>
      <c r="X573" s="174">
        <v>31.344713492062926</v>
      </c>
      <c r="Y573" s="175"/>
      <c r="Z573" s="175"/>
    </row>
    <row r="574" spans="3:26" ht="25" thickBot="1" x14ac:dyDescent="0.25">
      <c r="C574" s="91"/>
      <c r="D574" s="96" t="s">
        <v>436</v>
      </c>
      <c r="E574" s="97" t="s">
        <v>29</v>
      </c>
      <c r="F574" s="97" t="s">
        <v>28</v>
      </c>
      <c r="G574" s="98" t="s">
        <v>27</v>
      </c>
      <c r="H574" s="270" t="s">
        <v>793</v>
      </c>
      <c r="I574" s="400"/>
      <c r="J574" s="401"/>
      <c r="K574" s="402"/>
      <c r="L574" s="231"/>
      <c r="M574" s="269"/>
      <c r="N574" s="195"/>
      <c r="O574" s="154"/>
      <c r="P574" s="176"/>
      <c r="Q574" s="154"/>
      <c r="R574" s="154"/>
      <c r="S574" s="224"/>
      <c r="T574" s="154"/>
      <c r="U574" s="177"/>
      <c r="V574" s="178"/>
      <c r="W574" s="225"/>
      <c r="X574" s="177"/>
      <c r="Y574" s="155"/>
      <c r="Z574" s="155"/>
    </row>
    <row r="575" spans="3:26" ht="24" x14ac:dyDescent="0.2">
      <c r="C575" s="91"/>
      <c r="D575" s="99">
        <v>45574</v>
      </c>
      <c r="E575" s="128">
        <v>4.0660000000000002E-2</v>
      </c>
      <c r="F575" s="128" t="s">
        <v>754</v>
      </c>
      <c r="G575" s="128">
        <v>3.6479999999999999E-2</v>
      </c>
      <c r="H575" s="277">
        <v>0.70833333333333337</v>
      </c>
      <c r="I575" s="400"/>
      <c r="J575" s="401"/>
      <c r="K575" s="402"/>
      <c r="L575" s="231"/>
      <c r="M575" s="269"/>
      <c r="N575" s="195"/>
      <c r="O575" s="179"/>
      <c r="P575" s="155"/>
      <c r="Q575" s="179"/>
      <c r="R575" s="179"/>
      <c r="S575" s="224"/>
      <c r="T575" s="179"/>
      <c r="U575" s="179"/>
      <c r="V575" s="179"/>
      <c r="W575" s="227"/>
      <c r="X575" s="179"/>
      <c r="Y575" s="155"/>
      <c r="Z575" s="155"/>
    </row>
    <row r="576" spans="3:26" ht="24" x14ac:dyDescent="0.2">
      <c r="C576" s="91"/>
      <c r="D576" s="99">
        <v>45546</v>
      </c>
      <c r="E576" s="128">
        <v>3.6479999999999999E-2</v>
      </c>
      <c r="F576" s="128" t="s">
        <v>754</v>
      </c>
      <c r="G576" s="128">
        <v>3.9600000000000003E-2</v>
      </c>
      <c r="H576" s="277">
        <v>0.70833333333333337</v>
      </c>
      <c r="I576" s="400"/>
      <c r="J576" s="401"/>
      <c r="K576" s="402"/>
      <c r="L576" s="231"/>
      <c r="M576" s="269"/>
      <c r="N576" s="195"/>
      <c r="O576" s="146" t="s">
        <v>813</v>
      </c>
      <c r="P576" s="228">
        <v>0.1</v>
      </c>
      <c r="Q576" s="180">
        <v>6.1533333333332579E-2</v>
      </c>
      <c r="R576" s="181">
        <v>3.0000000000001137E-2</v>
      </c>
      <c r="S576" s="228">
        <v>1</v>
      </c>
      <c r="T576" s="229">
        <v>0.12230000000000001</v>
      </c>
      <c r="U576" s="182">
        <v>-29.157873015872489</v>
      </c>
      <c r="V576" s="183">
        <v>99.37</v>
      </c>
      <c r="W576" s="230">
        <v>2.15</v>
      </c>
      <c r="X576" s="184">
        <v>62.689426984125852</v>
      </c>
      <c r="Y576" s="185"/>
      <c r="Z576" s="185"/>
    </row>
    <row r="577" spans="3:26" ht="24" x14ac:dyDescent="0.2">
      <c r="C577" s="91"/>
      <c r="D577" s="99">
        <v>45511</v>
      </c>
      <c r="E577" s="128">
        <v>3.9600000000000003E-2</v>
      </c>
      <c r="F577" s="128" t="s">
        <v>754</v>
      </c>
      <c r="G577" s="128">
        <v>4.2759999999999999E-2</v>
      </c>
      <c r="H577" s="277">
        <v>0.70833333333333337</v>
      </c>
      <c r="I577" s="400"/>
      <c r="J577" s="401"/>
      <c r="K577" s="402"/>
      <c r="L577" s="231"/>
      <c r="M577" s="269"/>
      <c r="N577" s="195"/>
      <c r="O577" s="146"/>
      <c r="P577" s="147"/>
      <c r="Q577" s="180"/>
      <c r="R577" s="181"/>
      <c r="S577" s="150"/>
      <c r="T577" s="147"/>
      <c r="U577" s="182"/>
      <c r="V577" s="183"/>
      <c r="W577" s="150"/>
      <c r="X577" s="184"/>
      <c r="Y577" s="185"/>
      <c r="Z577" s="185"/>
    </row>
    <row r="578" spans="3:26" ht="24" x14ac:dyDescent="0.2">
      <c r="C578" s="91"/>
      <c r="D578" s="99">
        <v>45483</v>
      </c>
      <c r="E578" s="128">
        <v>4.2759999999999999E-2</v>
      </c>
      <c r="F578" s="128" t="s">
        <v>754</v>
      </c>
      <c r="G578" s="128">
        <v>4.4380000000000003E-2</v>
      </c>
      <c r="H578" s="277">
        <v>0.70833333333333337</v>
      </c>
      <c r="I578" s="400"/>
      <c r="J578" s="401"/>
      <c r="K578" s="402"/>
      <c r="L578" s="231"/>
      <c r="M578" s="269"/>
      <c r="N578" s="195"/>
      <c r="O578" s="146" t="s">
        <v>816</v>
      </c>
      <c r="P578" s="147"/>
      <c r="Q578" s="180"/>
      <c r="R578" s="181"/>
      <c r="S578" s="150"/>
      <c r="T578" s="147"/>
      <c r="U578" s="182">
        <v>0</v>
      </c>
      <c r="V578" s="183"/>
      <c r="W578" s="150"/>
      <c r="X578" s="184">
        <v>0</v>
      </c>
      <c r="Y578" s="185"/>
      <c r="Z578" s="185"/>
    </row>
    <row r="579" spans="3:26" ht="24" x14ac:dyDescent="0.2">
      <c r="C579" s="91"/>
      <c r="D579" s="99">
        <v>45454</v>
      </c>
      <c r="E579" s="128">
        <v>4.4380000000000003E-2</v>
      </c>
      <c r="F579" s="128" t="s">
        <v>754</v>
      </c>
      <c r="G579" s="128">
        <v>4.4830000000000002E-2</v>
      </c>
      <c r="H579" s="277">
        <v>0.70833333333333337</v>
      </c>
      <c r="I579" s="400"/>
      <c r="J579" s="401"/>
      <c r="K579" s="402"/>
      <c r="L579" s="231"/>
      <c r="M579" s="269"/>
      <c r="N579" s="195"/>
      <c r="O579" s="91"/>
      <c r="P579" s="91"/>
      <c r="Q579" s="91"/>
      <c r="R579" s="91"/>
      <c r="S579" s="91"/>
      <c r="T579" s="91"/>
      <c r="U579" s="91"/>
      <c r="V579" s="91"/>
      <c r="W579" s="91"/>
      <c r="X579" s="91"/>
      <c r="Y579" s="91"/>
      <c r="Z579" s="91"/>
    </row>
    <row r="580" spans="3:26" ht="25" thickBot="1" x14ac:dyDescent="0.25">
      <c r="C580" s="91"/>
      <c r="D580" s="99">
        <v>45420</v>
      </c>
      <c r="E580" s="128">
        <v>4.4830000000000002E-2</v>
      </c>
      <c r="F580" s="128" t="s">
        <v>754</v>
      </c>
      <c r="G580" s="128">
        <v>4.5600000000000002E-2</v>
      </c>
      <c r="H580" s="277">
        <v>0.70833333333333337</v>
      </c>
      <c r="I580" s="424"/>
      <c r="J580" s="425"/>
      <c r="K580" s="426"/>
      <c r="L580" s="231"/>
      <c r="M580" s="269"/>
      <c r="N580" s="195"/>
      <c r="O580" s="91"/>
      <c r="P580" s="91"/>
      <c r="Q580" s="91"/>
      <c r="R580" s="91"/>
      <c r="S580" s="91"/>
      <c r="T580" s="91"/>
      <c r="U580" s="91"/>
      <c r="V580" s="91"/>
      <c r="W580" s="91"/>
      <c r="X580" s="91"/>
      <c r="Y580" s="91"/>
      <c r="Z580" s="91"/>
    </row>
    <row r="581" spans="3:26" ht="73" thickBot="1" x14ac:dyDescent="0.25">
      <c r="C581">
        <v>7</v>
      </c>
      <c r="D581" s="123" t="s">
        <v>30</v>
      </c>
      <c r="E581" s="363" t="s">
        <v>9</v>
      </c>
      <c r="F581" s="364"/>
      <c r="G581" s="365"/>
      <c r="H581" s="273" t="s">
        <v>790</v>
      </c>
      <c r="I581" s="421" t="s">
        <v>633</v>
      </c>
      <c r="J581" s="422"/>
      <c r="K581" s="423"/>
      <c r="L581" s="194" t="s">
        <v>430</v>
      </c>
      <c r="M581" s="274" t="s">
        <v>431</v>
      </c>
      <c r="N581" s="195" t="s">
        <v>105</v>
      </c>
      <c r="O581" s="145" t="s">
        <v>800</v>
      </c>
      <c r="P581" s="145" t="s">
        <v>801</v>
      </c>
      <c r="Q581" s="145" t="s">
        <v>802</v>
      </c>
      <c r="R581" s="145" t="s">
        <v>803</v>
      </c>
      <c r="S581" s="145" t="s">
        <v>804</v>
      </c>
      <c r="T581" s="145" t="s">
        <v>805</v>
      </c>
      <c r="U581" s="145" t="s">
        <v>806</v>
      </c>
      <c r="V581" s="145" t="s">
        <v>807</v>
      </c>
      <c r="W581" s="145" t="s">
        <v>808</v>
      </c>
      <c r="X581" s="145" t="s">
        <v>809</v>
      </c>
      <c r="Y581" s="145" t="s">
        <v>75</v>
      </c>
      <c r="Z581" s="145" t="s">
        <v>75</v>
      </c>
    </row>
    <row r="582" spans="3:26" ht="24" x14ac:dyDescent="0.2">
      <c r="C582" s="91"/>
      <c r="D582" s="122" t="s">
        <v>432</v>
      </c>
      <c r="E582" s="342"/>
      <c r="F582" s="343"/>
      <c r="G582" s="344"/>
      <c r="H582" s="268" t="s">
        <v>796</v>
      </c>
      <c r="I582" s="397" t="s">
        <v>926</v>
      </c>
      <c r="J582" s="398"/>
      <c r="K582" s="399"/>
      <c r="L582" s="198"/>
      <c r="M582" s="269"/>
      <c r="N582" s="195"/>
      <c r="O582" s="146" t="s">
        <v>810</v>
      </c>
      <c r="P582" s="199">
        <v>0.1</v>
      </c>
      <c r="Q582" s="200">
        <v>2.1999999999999999E-2</v>
      </c>
      <c r="R582" s="201">
        <v>3.0000000000001137E-2</v>
      </c>
      <c r="S582" s="150"/>
      <c r="T582" s="146">
        <v>6.3000000000001138E-2</v>
      </c>
      <c r="U582" s="200">
        <v>-15.02</v>
      </c>
      <c r="V582" s="199">
        <v>99.37</v>
      </c>
      <c r="W582" s="199"/>
      <c r="X582" s="184"/>
      <c r="Y582" s="151"/>
      <c r="Z582" s="151"/>
    </row>
    <row r="583" spans="3:26" ht="24" x14ac:dyDescent="0.2">
      <c r="C583" s="91"/>
      <c r="D583" s="92" t="s">
        <v>433</v>
      </c>
      <c r="E583" s="372">
        <v>0</v>
      </c>
      <c r="F583" s="373"/>
      <c r="G583" s="374"/>
      <c r="H583" s="268" t="s">
        <v>796</v>
      </c>
      <c r="I583" s="400"/>
      <c r="J583" s="401"/>
      <c r="K583" s="402"/>
      <c r="L583" s="198"/>
      <c r="M583" s="269"/>
      <c r="N583" s="195"/>
      <c r="O583" s="152"/>
      <c r="P583" s="152"/>
      <c r="Q583" s="152"/>
      <c r="R583" s="153"/>
      <c r="S583" s="154"/>
      <c r="T583" s="152"/>
      <c r="U583" s="152"/>
      <c r="V583" s="152"/>
      <c r="W583" s="152"/>
      <c r="X583" s="154"/>
      <c r="Y583" s="155"/>
      <c r="Z583" s="155"/>
    </row>
    <row r="584" spans="3:26" ht="24" x14ac:dyDescent="0.2">
      <c r="C584" s="91"/>
      <c r="D584" s="92" t="s">
        <v>434</v>
      </c>
      <c r="E584" s="357" t="s">
        <v>925</v>
      </c>
      <c r="F584" s="358"/>
      <c r="G584" s="359"/>
      <c r="H584" s="270"/>
      <c r="I584" s="400"/>
      <c r="J584" s="401"/>
      <c r="K584" s="402"/>
      <c r="L584" s="198"/>
      <c r="M584" s="269"/>
      <c r="N584" s="195"/>
      <c r="O584" s="156" t="s">
        <v>811</v>
      </c>
      <c r="P584" s="204">
        <v>0.1</v>
      </c>
      <c r="Q584" s="205">
        <v>6.4100000000000004E-2</v>
      </c>
      <c r="R584" s="206">
        <v>3.0000000000001137E-2</v>
      </c>
      <c r="S584" s="220">
        <v>1</v>
      </c>
      <c r="T584" s="156">
        <v>0.12615000000000115</v>
      </c>
      <c r="U584" s="161">
        <v>-30.075761904761638</v>
      </c>
      <c r="V584" s="162">
        <v>60.5</v>
      </c>
      <c r="W584" s="221">
        <v>2.39</v>
      </c>
      <c r="X584" s="164">
        <v>71.881070952380313</v>
      </c>
      <c r="Y584" s="165"/>
      <c r="Z584" s="165"/>
    </row>
    <row r="585" spans="3:26" ht="25" thickBot="1" x14ac:dyDescent="0.25">
      <c r="C585" s="91"/>
      <c r="D585" s="94" t="s">
        <v>435</v>
      </c>
      <c r="E585" s="427">
        <v>0.72916666666666663</v>
      </c>
      <c r="F585" s="428"/>
      <c r="G585" s="429"/>
      <c r="H585" s="270"/>
      <c r="I585" s="400"/>
      <c r="J585" s="401"/>
      <c r="K585" s="402"/>
      <c r="L585" s="208">
        <v>0.875</v>
      </c>
      <c r="M585" s="271">
        <v>0.72916666666666663</v>
      </c>
      <c r="N585" s="195"/>
      <c r="O585" s="166" t="s">
        <v>812</v>
      </c>
      <c r="P585" s="209">
        <v>0.1</v>
      </c>
      <c r="Q585" s="187">
        <v>7.6066666666665908E-2</v>
      </c>
      <c r="R585" s="210">
        <v>3.0000000000001137E-2</v>
      </c>
      <c r="S585" s="222">
        <v>1</v>
      </c>
      <c r="T585" s="211">
        <v>0.14410000000000001</v>
      </c>
      <c r="U585" s="171">
        <v>-34.355269841269219</v>
      </c>
      <c r="V585" s="172">
        <v>60.5</v>
      </c>
      <c r="W585" s="223">
        <v>2.08</v>
      </c>
      <c r="X585" s="174">
        <v>71.458961269839975</v>
      </c>
      <c r="Y585" s="175"/>
      <c r="Z585" s="175"/>
    </row>
    <row r="586" spans="3:26" ht="25" thickBot="1" x14ac:dyDescent="0.25">
      <c r="C586" s="91"/>
      <c r="D586" s="96" t="s">
        <v>436</v>
      </c>
      <c r="E586" s="97" t="s">
        <v>29</v>
      </c>
      <c r="F586" s="97" t="s">
        <v>28</v>
      </c>
      <c r="G586" s="98" t="s">
        <v>27</v>
      </c>
      <c r="H586" s="270" t="s">
        <v>793</v>
      </c>
      <c r="I586" s="400"/>
      <c r="J586" s="401"/>
      <c r="K586" s="402"/>
      <c r="L586" s="198"/>
      <c r="M586" s="269"/>
      <c r="N586" s="195"/>
      <c r="O586" s="154"/>
      <c r="P586" s="176"/>
      <c r="Q586" s="154"/>
      <c r="R586" s="154"/>
      <c r="S586" s="224"/>
      <c r="T586" s="154"/>
      <c r="U586" s="177"/>
      <c r="V586" s="178"/>
      <c r="W586" s="225"/>
      <c r="X586" s="177"/>
      <c r="Y586" s="155"/>
      <c r="Z586" s="155"/>
    </row>
    <row r="587" spans="3:26" ht="24" x14ac:dyDescent="0.2">
      <c r="C587" s="91"/>
      <c r="D587" s="99">
        <v>45595</v>
      </c>
      <c r="E587" s="190" t="s">
        <v>925</v>
      </c>
      <c r="F587" s="190" t="s">
        <v>939</v>
      </c>
      <c r="G587" s="190" t="s">
        <v>839</v>
      </c>
      <c r="H587" s="277">
        <v>0.6875</v>
      </c>
      <c r="I587" s="400"/>
      <c r="J587" s="401"/>
      <c r="K587" s="402"/>
      <c r="L587" s="231"/>
      <c r="M587" s="269"/>
      <c r="N587" s="195"/>
      <c r="O587" s="179"/>
      <c r="P587" s="155"/>
      <c r="Q587" s="179"/>
      <c r="R587" s="179"/>
      <c r="S587" s="224"/>
      <c r="T587" s="179"/>
      <c r="U587" s="179"/>
      <c r="V587" s="179"/>
      <c r="W587" s="227"/>
      <c r="X587" s="179"/>
      <c r="Y587" s="155"/>
      <c r="Z587" s="155"/>
    </row>
    <row r="588" spans="3:26" ht="24" x14ac:dyDescent="0.2">
      <c r="C588" s="91"/>
      <c r="D588" s="99">
        <v>45588</v>
      </c>
      <c r="E588" s="190" t="s">
        <v>839</v>
      </c>
      <c r="F588" s="190" t="s">
        <v>891</v>
      </c>
      <c r="G588" s="190" t="s">
        <v>699</v>
      </c>
      <c r="H588" s="278">
        <v>0.6875</v>
      </c>
      <c r="I588" s="400"/>
      <c r="J588" s="401"/>
      <c r="K588" s="402"/>
      <c r="L588" s="231"/>
      <c r="M588" s="269"/>
      <c r="N588" s="195"/>
      <c r="O588" s="146" t="s">
        <v>813</v>
      </c>
      <c r="P588" s="228">
        <v>0.1</v>
      </c>
      <c r="Q588" s="180">
        <v>7.6066666666665908E-2</v>
      </c>
      <c r="R588" s="181">
        <v>3.0000000000001137E-2</v>
      </c>
      <c r="S588" s="228">
        <v>1</v>
      </c>
      <c r="T588" s="229">
        <v>0.14410000000000001</v>
      </c>
      <c r="U588" s="182">
        <v>-34.355269841269219</v>
      </c>
      <c r="V588" s="183">
        <v>60.5</v>
      </c>
      <c r="W588" s="230">
        <v>2.08</v>
      </c>
      <c r="X588" s="184">
        <v>71.458961269839975</v>
      </c>
      <c r="Y588" s="185"/>
      <c r="Z588" s="185"/>
    </row>
    <row r="589" spans="3:26" ht="24" x14ac:dyDescent="0.2">
      <c r="C589" s="91"/>
      <c r="D589" s="99">
        <v>45582</v>
      </c>
      <c r="E589" s="190" t="s">
        <v>699</v>
      </c>
      <c r="F589" s="190" t="s">
        <v>731</v>
      </c>
      <c r="G589" s="190" t="s">
        <v>677</v>
      </c>
      <c r="H589" s="272">
        <v>0.70833333333333337</v>
      </c>
      <c r="I589" s="400"/>
      <c r="J589" s="401"/>
      <c r="K589" s="402"/>
      <c r="L589" s="231"/>
      <c r="M589" s="269"/>
      <c r="N589" s="195"/>
      <c r="O589" s="146"/>
      <c r="P589" s="147"/>
      <c r="Q589" s="180"/>
      <c r="R589" s="181"/>
      <c r="S589" s="150"/>
      <c r="T589" s="147"/>
      <c r="U589" s="182"/>
      <c r="V589" s="183"/>
      <c r="W589" s="150"/>
      <c r="X589" s="184"/>
      <c r="Y589" s="185"/>
      <c r="Z589" s="185"/>
    </row>
    <row r="590" spans="3:26" ht="24" x14ac:dyDescent="0.2">
      <c r="C590" s="91"/>
      <c r="D590" s="99">
        <v>45574</v>
      </c>
      <c r="E590" s="190" t="s">
        <v>677</v>
      </c>
      <c r="F590" s="190" t="s">
        <v>732</v>
      </c>
      <c r="G590" s="190" t="s">
        <v>637</v>
      </c>
      <c r="H590" s="278">
        <v>0.6875</v>
      </c>
      <c r="I590" s="400"/>
      <c r="J590" s="401"/>
      <c r="K590" s="402"/>
      <c r="L590" s="231"/>
      <c r="M590" s="269"/>
      <c r="N590" s="195"/>
      <c r="O590" s="146"/>
      <c r="P590" s="147"/>
      <c r="Q590" s="180"/>
      <c r="R590" s="181"/>
      <c r="S590" s="150"/>
      <c r="T590" s="147"/>
      <c r="U590" s="182"/>
      <c r="V590" s="183"/>
      <c r="W590" s="150"/>
      <c r="X590" s="184"/>
      <c r="Y590" s="185"/>
      <c r="Z590" s="185"/>
    </row>
    <row r="591" spans="3:26" ht="24" x14ac:dyDescent="0.2">
      <c r="C591" s="91"/>
      <c r="D591" s="99">
        <v>45567</v>
      </c>
      <c r="E591" s="190" t="s">
        <v>637</v>
      </c>
      <c r="F591" s="190" t="s">
        <v>733</v>
      </c>
      <c r="G591" s="190" t="s">
        <v>380</v>
      </c>
      <c r="H591" s="278">
        <v>0.6875</v>
      </c>
      <c r="I591" s="400"/>
      <c r="J591" s="401"/>
      <c r="K591" s="402"/>
      <c r="L591" s="231"/>
      <c r="M591" s="269"/>
      <c r="N591" s="195"/>
      <c r="O591" s="91"/>
      <c r="P591" s="91"/>
      <c r="Q591" s="91"/>
      <c r="R591" s="91"/>
      <c r="S591" s="91"/>
      <c r="T591" s="91"/>
      <c r="U591" s="91"/>
      <c r="V591" s="91"/>
      <c r="W591" s="91"/>
      <c r="X591" s="91"/>
      <c r="Y591" s="91"/>
      <c r="Z591" s="91"/>
    </row>
    <row r="592" spans="3:26" ht="25" thickBot="1" x14ac:dyDescent="0.25">
      <c r="C592" s="91"/>
      <c r="D592" s="99">
        <v>45560</v>
      </c>
      <c r="E592" s="190" t="s">
        <v>380</v>
      </c>
      <c r="F592" s="190" t="s">
        <v>564</v>
      </c>
      <c r="G592" s="190" t="s">
        <v>337</v>
      </c>
      <c r="H592" s="278">
        <v>0.6875</v>
      </c>
      <c r="I592" s="424"/>
      <c r="J592" s="425"/>
      <c r="K592" s="426"/>
      <c r="L592" s="231"/>
      <c r="M592" s="269"/>
      <c r="N592" s="195"/>
      <c r="O592" s="91"/>
      <c r="P592" s="91"/>
      <c r="Q592" s="91"/>
      <c r="R592" s="91"/>
      <c r="S592" s="91"/>
      <c r="T592" s="91"/>
      <c r="U592" s="91"/>
      <c r="V592" s="91"/>
      <c r="W592" s="91"/>
      <c r="X592" s="91"/>
      <c r="Y592" s="91"/>
      <c r="Z592" s="91"/>
    </row>
    <row r="593" spans="3:26" ht="73" thickBot="1" x14ac:dyDescent="0.25">
      <c r="C593">
        <v>8</v>
      </c>
      <c r="D593" s="123" t="s">
        <v>30</v>
      </c>
      <c r="E593" s="363" t="s">
        <v>927</v>
      </c>
      <c r="F593" s="364"/>
      <c r="G593" s="365"/>
      <c r="H593" s="273" t="s">
        <v>790</v>
      </c>
      <c r="I593" s="421" t="s">
        <v>633</v>
      </c>
      <c r="J593" s="422"/>
      <c r="K593" s="423"/>
      <c r="L593" s="194" t="s">
        <v>430</v>
      </c>
      <c r="M593" s="274" t="s">
        <v>431</v>
      </c>
      <c r="N593" s="195" t="s">
        <v>105</v>
      </c>
      <c r="O593" s="145" t="s">
        <v>800</v>
      </c>
      <c r="P593" s="145" t="s">
        <v>801</v>
      </c>
      <c r="Q593" s="145" t="s">
        <v>802</v>
      </c>
      <c r="R593" s="145" t="s">
        <v>803</v>
      </c>
      <c r="S593" s="145" t="s">
        <v>804</v>
      </c>
      <c r="T593" s="145" t="s">
        <v>805</v>
      </c>
      <c r="U593" s="145" t="s">
        <v>806</v>
      </c>
      <c r="V593" s="145" t="s">
        <v>807</v>
      </c>
      <c r="W593" s="145" t="s">
        <v>808</v>
      </c>
      <c r="X593" s="145" t="s">
        <v>809</v>
      </c>
      <c r="Y593" s="145" t="s">
        <v>75</v>
      </c>
      <c r="Z593" s="145" t="s">
        <v>75</v>
      </c>
    </row>
    <row r="594" spans="3:26" ht="24" x14ac:dyDescent="0.2">
      <c r="C594" s="91"/>
      <c r="D594" s="122" t="s">
        <v>432</v>
      </c>
      <c r="E594" s="342"/>
      <c r="F594" s="343"/>
      <c r="G594" s="344"/>
      <c r="H594" s="268" t="s">
        <v>794</v>
      </c>
      <c r="I594" s="397" t="s">
        <v>928</v>
      </c>
      <c r="J594" s="398"/>
      <c r="K594" s="399"/>
      <c r="L594" s="198"/>
      <c r="M594" s="269"/>
      <c r="N594" s="195"/>
      <c r="O594" s="146" t="s">
        <v>810</v>
      </c>
      <c r="P594" s="199">
        <v>0.1</v>
      </c>
      <c r="Q594" s="200">
        <v>3.5999999999999997E-2</v>
      </c>
      <c r="R594" s="201">
        <v>2.6999999999986812E-2</v>
      </c>
      <c r="S594" s="150"/>
      <c r="T594" s="146">
        <v>8.0999999999986805E-2</v>
      </c>
      <c r="U594" s="200">
        <v>-22.8</v>
      </c>
      <c r="V594" s="199">
        <v>119.47</v>
      </c>
      <c r="W594" s="199"/>
      <c r="X594" s="184"/>
      <c r="Y594" s="151"/>
      <c r="Z594" s="151"/>
    </row>
    <row r="595" spans="3:26" ht="24" x14ac:dyDescent="0.2">
      <c r="C595" s="91"/>
      <c r="D595" s="92" t="s">
        <v>433</v>
      </c>
      <c r="E595" s="372">
        <v>0</v>
      </c>
      <c r="F595" s="373"/>
      <c r="G595" s="374"/>
      <c r="H595" s="268" t="s">
        <v>795</v>
      </c>
      <c r="I595" s="400"/>
      <c r="J595" s="401"/>
      <c r="K595" s="402"/>
      <c r="L595" s="198"/>
      <c r="M595" s="269"/>
      <c r="N595" s="195"/>
      <c r="O595" s="152"/>
      <c r="P595" s="152"/>
      <c r="Q595" s="152"/>
      <c r="R595" s="153"/>
      <c r="S595" s="154"/>
      <c r="T595" s="152"/>
      <c r="U595" s="152"/>
      <c r="V595" s="152"/>
      <c r="W595" s="152"/>
      <c r="X595" s="154"/>
      <c r="Y595" s="155"/>
      <c r="Z595" s="155"/>
    </row>
    <row r="596" spans="3:26" ht="24" x14ac:dyDescent="0.2">
      <c r="C596" s="91"/>
      <c r="D596" s="92" t="s">
        <v>434</v>
      </c>
      <c r="E596" s="375">
        <v>4.3889999999999998E-2</v>
      </c>
      <c r="F596" s="376"/>
      <c r="G596" s="377"/>
      <c r="H596" s="270"/>
      <c r="I596" s="400"/>
      <c r="J596" s="401"/>
      <c r="K596" s="402"/>
      <c r="L596" s="198"/>
      <c r="M596" s="269"/>
      <c r="N596" s="195"/>
      <c r="O596" s="156" t="s">
        <v>811</v>
      </c>
      <c r="P596" s="204">
        <v>0.1</v>
      </c>
      <c r="Q596" s="205">
        <v>6.4799999999999996E-2</v>
      </c>
      <c r="R596" s="206">
        <v>2.8000000000000001E-2</v>
      </c>
      <c r="S596" s="220">
        <v>1</v>
      </c>
      <c r="T596" s="156">
        <v>0.12520000000000001</v>
      </c>
      <c r="U596" s="161">
        <v>-35.241481481487227</v>
      </c>
      <c r="V596" s="162">
        <v>60.5</v>
      </c>
      <c r="W596" s="221">
        <v>4.17</v>
      </c>
      <c r="X596" s="164">
        <v>146.95697777780174</v>
      </c>
      <c r="Y596" s="165"/>
      <c r="Z596" s="165"/>
    </row>
    <row r="597" spans="3:26" ht="25" thickBot="1" x14ac:dyDescent="0.25">
      <c r="C597" s="91"/>
      <c r="D597" s="94" t="s">
        <v>435</v>
      </c>
      <c r="E597" s="360">
        <v>0.83333333333333326</v>
      </c>
      <c r="F597" s="361"/>
      <c r="G597" s="362"/>
      <c r="H597" s="270"/>
      <c r="I597" s="400"/>
      <c r="J597" s="401"/>
      <c r="K597" s="402"/>
      <c r="L597" s="208">
        <v>0.97916666666666663</v>
      </c>
      <c r="M597" s="271">
        <v>0.83333333333333326</v>
      </c>
      <c r="N597" s="195"/>
      <c r="O597" s="166" t="s">
        <v>812</v>
      </c>
      <c r="P597" s="209">
        <v>0.05</v>
      </c>
      <c r="Q597" s="187">
        <v>7.1466666666666664E-2</v>
      </c>
      <c r="R597" s="210">
        <v>2.8000000000000001E-2</v>
      </c>
      <c r="S597" s="222">
        <v>1</v>
      </c>
      <c r="T597" s="211">
        <v>0.13519999999999999</v>
      </c>
      <c r="U597" s="171">
        <v>-19.028148148151246</v>
      </c>
      <c r="V597" s="172">
        <v>30.25</v>
      </c>
      <c r="W597" s="223">
        <v>4.7300000000000004</v>
      </c>
      <c r="X597" s="174">
        <v>90.003140740755398</v>
      </c>
      <c r="Y597" s="175"/>
      <c r="Z597" s="175"/>
    </row>
    <row r="598" spans="3:26" ht="25" thickBot="1" x14ac:dyDescent="0.25">
      <c r="C598" s="91"/>
      <c r="D598" s="96" t="s">
        <v>436</v>
      </c>
      <c r="E598" s="97" t="s">
        <v>29</v>
      </c>
      <c r="F598" s="97" t="s">
        <v>28</v>
      </c>
      <c r="G598" s="98" t="s">
        <v>27</v>
      </c>
      <c r="H598" s="270" t="s">
        <v>793</v>
      </c>
      <c r="I598" s="400"/>
      <c r="J598" s="401"/>
      <c r="K598" s="402"/>
      <c r="L598" s="198"/>
      <c r="M598" s="269"/>
      <c r="N598" s="195"/>
      <c r="O598" s="154"/>
      <c r="P598" s="176"/>
      <c r="Q598" s="154"/>
      <c r="R598" s="154"/>
      <c r="S598" s="224"/>
      <c r="T598" s="154"/>
      <c r="U598" s="177"/>
      <c r="V598" s="178"/>
      <c r="W598" s="225"/>
      <c r="X598" s="177"/>
      <c r="Y598" s="155"/>
      <c r="Z598" s="155"/>
    </row>
    <row r="599" spans="3:26" ht="24" x14ac:dyDescent="0.2">
      <c r="C599" s="91"/>
      <c r="D599" s="99">
        <v>45575</v>
      </c>
      <c r="E599" s="128">
        <v>4.3889999999999998E-2</v>
      </c>
      <c r="F599" s="128" t="s">
        <v>754</v>
      </c>
      <c r="G599" s="128">
        <v>4.0149999999999998E-2</v>
      </c>
      <c r="H599" s="277">
        <v>0.79166666666666663</v>
      </c>
      <c r="I599" s="400"/>
      <c r="J599" s="401"/>
      <c r="K599" s="402"/>
      <c r="L599" s="198"/>
      <c r="M599" s="269"/>
      <c r="N599" s="195"/>
      <c r="O599" s="179"/>
      <c r="P599" s="155"/>
      <c r="Q599" s="179"/>
      <c r="R599" s="179"/>
      <c r="S599" s="224"/>
      <c r="T599" s="179"/>
      <c r="U599" s="179"/>
      <c r="V599" s="179"/>
      <c r="W599" s="227"/>
      <c r="X599" s="179"/>
      <c r="Y599" s="155"/>
      <c r="Z599" s="155"/>
    </row>
    <row r="600" spans="3:26" ht="24" x14ac:dyDescent="0.2">
      <c r="C600" s="91"/>
      <c r="D600" s="99">
        <v>45547</v>
      </c>
      <c r="E600" s="128">
        <v>4.0149999999999998E-2</v>
      </c>
      <c r="F600" s="128" t="s">
        <v>754</v>
      </c>
      <c r="G600" s="128">
        <v>4.3139999999999998E-2</v>
      </c>
      <c r="H600" s="278">
        <v>0.79166666666666663</v>
      </c>
      <c r="I600" s="400"/>
      <c r="J600" s="401"/>
      <c r="K600" s="402"/>
      <c r="L600" s="198"/>
      <c r="M600" s="269"/>
      <c r="N600" s="195"/>
      <c r="O600" s="146" t="s">
        <v>813</v>
      </c>
      <c r="P600" s="228">
        <v>0.05</v>
      </c>
      <c r="Q600" s="180">
        <v>7.1466666666666664E-2</v>
      </c>
      <c r="R600" s="181">
        <v>2.8000000000000001E-2</v>
      </c>
      <c r="S600" s="228">
        <v>1</v>
      </c>
      <c r="T600" s="229">
        <v>0.13519999999999999</v>
      </c>
      <c r="U600" s="182">
        <v>-19.028148148151246</v>
      </c>
      <c r="V600" s="183">
        <v>30.25</v>
      </c>
      <c r="W600" s="230">
        <v>2</v>
      </c>
      <c r="X600" s="184">
        <v>38.056296296302492</v>
      </c>
      <c r="Y600" s="185"/>
      <c r="Z600" s="185" t="s">
        <v>814</v>
      </c>
    </row>
    <row r="601" spans="3:26" ht="24" x14ac:dyDescent="0.2">
      <c r="C601" s="91"/>
      <c r="D601" s="99">
        <v>45512</v>
      </c>
      <c r="E601" s="128">
        <v>4.3139999999999998E-2</v>
      </c>
      <c r="F601" s="128" t="s">
        <v>754</v>
      </c>
      <c r="G601" s="128">
        <v>4.4049999999999999E-2</v>
      </c>
      <c r="H601" s="278">
        <v>0.79166666666666663</v>
      </c>
      <c r="I601" s="400"/>
      <c r="J601" s="401"/>
      <c r="K601" s="402"/>
      <c r="L601" s="218"/>
      <c r="M601" s="269"/>
      <c r="N601" s="195"/>
      <c r="O601" s="146"/>
      <c r="P601" s="147"/>
      <c r="Q601" s="180"/>
      <c r="R601" s="181"/>
      <c r="S601" s="150"/>
      <c r="T601" s="147"/>
      <c r="U601" s="182"/>
      <c r="V601" s="183"/>
      <c r="W601" s="150"/>
      <c r="X601" s="184"/>
      <c r="Y601" s="185"/>
      <c r="Z601" s="185"/>
    </row>
    <row r="602" spans="3:26" ht="24" x14ac:dyDescent="0.2">
      <c r="C602" s="91"/>
      <c r="D602" s="99">
        <v>45484</v>
      </c>
      <c r="E602" s="128">
        <v>4.4049999999999999E-2</v>
      </c>
      <c r="F602" s="128" t="s">
        <v>754</v>
      </c>
      <c r="G602" s="128">
        <v>4.403E-2</v>
      </c>
      <c r="H602" s="278">
        <v>0.79166666666666663</v>
      </c>
      <c r="I602" s="400"/>
      <c r="J602" s="401"/>
      <c r="K602" s="402"/>
      <c r="L602" s="198"/>
      <c r="M602" s="269"/>
      <c r="N602" s="195"/>
      <c r="O602" s="146"/>
      <c r="P602" s="147"/>
      <c r="Q602" s="180"/>
      <c r="R602" s="181"/>
      <c r="S602" s="150"/>
      <c r="T602" s="147"/>
      <c r="U602" s="182"/>
      <c r="V602" s="183"/>
      <c r="W602" s="150"/>
      <c r="X602" s="184"/>
      <c r="Y602" s="185"/>
      <c r="Z602" s="185"/>
    </row>
    <row r="603" spans="3:26" ht="24" x14ac:dyDescent="0.2">
      <c r="C603" s="91"/>
      <c r="D603" s="99">
        <v>45456</v>
      </c>
      <c r="E603" s="128">
        <v>4.403E-2</v>
      </c>
      <c r="F603" s="128" t="s">
        <v>754</v>
      </c>
      <c r="G603" s="128">
        <v>4.6350000000000002E-2</v>
      </c>
      <c r="H603" s="278">
        <v>0.79166666666666663</v>
      </c>
      <c r="I603" s="400"/>
      <c r="J603" s="401"/>
      <c r="K603" s="402"/>
      <c r="L603" s="198"/>
      <c r="M603" s="269"/>
      <c r="N603" s="195"/>
      <c r="O603" s="91"/>
      <c r="P603" s="91"/>
      <c r="Q603" s="91"/>
      <c r="R603" s="91"/>
      <c r="S603" s="91"/>
      <c r="T603" s="91"/>
      <c r="U603" s="91"/>
      <c r="V603" s="91"/>
      <c r="W603" s="91"/>
      <c r="X603" s="91"/>
      <c r="Y603" s="91"/>
      <c r="Z603" s="91"/>
    </row>
    <row r="604" spans="3:26" ht="25" thickBot="1" x14ac:dyDescent="0.25">
      <c r="C604" s="91"/>
      <c r="D604" s="99">
        <v>45421</v>
      </c>
      <c r="E604" s="128">
        <v>4.6350000000000002E-2</v>
      </c>
      <c r="F604" s="128" t="s">
        <v>754</v>
      </c>
      <c r="G604" s="128">
        <v>4.6710000000000002E-2</v>
      </c>
      <c r="H604" s="278">
        <v>0.79166666666666663</v>
      </c>
      <c r="I604" s="424"/>
      <c r="J604" s="425"/>
      <c r="K604" s="426"/>
      <c r="L604" s="198"/>
      <c r="M604" s="269"/>
      <c r="N604" s="195"/>
      <c r="O604" s="91"/>
      <c r="P604" s="91"/>
      <c r="Q604" s="91"/>
      <c r="R604" s="91"/>
      <c r="S604" s="91"/>
      <c r="T604" s="91"/>
      <c r="U604" s="91"/>
      <c r="V604" s="91"/>
      <c r="W604" s="91"/>
      <c r="X604" s="91"/>
      <c r="Y604" s="91"/>
      <c r="Z604" s="91"/>
    </row>
    <row r="605" spans="3:26" ht="73" thickBot="1" x14ac:dyDescent="0.25">
      <c r="C605">
        <v>9</v>
      </c>
      <c r="D605" s="123" t="s">
        <v>30</v>
      </c>
      <c r="E605" s="363" t="s">
        <v>929</v>
      </c>
      <c r="F605" s="364"/>
      <c r="G605" s="365"/>
      <c r="H605" s="273" t="s">
        <v>790</v>
      </c>
      <c r="I605" s="421" t="s">
        <v>633</v>
      </c>
      <c r="J605" s="422"/>
      <c r="K605" s="423"/>
      <c r="L605" s="194" t="s">
        <v>430</v>
      </c>
      <c r="M605" s="274" t="s">
        <v>431</v>
      </c>
      <c r="N605" s="195" t="s">
        <v>105</v>
      </c>
      <c r="O605" s="145" t="s">
        <v>800</v>
      </c>
      <c r="P605" s="145" t="s">
        <v>801</v>
      </c>
      <c r="Q605" s="145" t="s">
        <v>802</v>
      </c>
      <c r="R605" s="145" t="s">
        <v>803</v>
      </c>
      <c r="S605" s="145" t="s">
        <v>804</v>
      </c>
      <c r="T605" s="145" t="s">
        <v>805</v>
      </c>
      <c r="U605" s="145" t="s">
        <v>806</v>
      </c>
      <c r="V605" s="145" t="s">
        <v>807</v>
      </c>
      <c r="W605" s="145" t="s">
        <v>808</v>
      </c>
      <c r="X605" s="145" t="s">
        <v>809</v>
      </c>
      <c r="Y605" s="145" t="s">
        <v>75</v>
      </c>
      <c r="Z605" s="145" t="s">
        <v>75</v>
      </c>
    </row>
    <row r="606" spans="3:26" ht="24" x14ac:dyDescent="0.2">
      <c r="C606" s="91"/>
      <c r="D606" s="122" t="s">
        <v>432</v>
      </c>
      <c r="E606" s="342"/>
      <c r="F606" s="343"/>
      <c r="G606" s="344"/>
      <c r="H606" s="268" t="s">
        <v>947</v>
      </c>
      <c r="I606" s="397" t="s">
        <v>930</v>
      </c>
      <c r="J606" s="398"/>
      <c r="K606" s="399"/>
      <c r="L606" s="198"/>
      <c r="M606" s="269"/>
      <c r="N606" s="195"/>
      <c r="O606" s="146" t="s">
        <v>810</v>
      </c>
      <c r="P606" s="199">
        <v>0.1</v>
      </c>
      <c r="Q606" s="200">
        <v>3.2000000000000001E-2</v>
      </c>
      <c r="R606" s="201">
        <v>1.8000000000000682E-2</v>
      </c>
      <c r="S606" s="150">
        <v>0</v>
      </c>
      <c r="T606" s="146">
        <v>5.0499999999991357E-2</v>
      </c>
      <c r="U606" s="200">
        <v>-16.61</v>
      </c>
      <c r="V606" s="199">
        <v>60.5</v>
      </c>
      <c r="W606" s="202">
        <v>2</v>
      </c>
      <c r="X606" s="184"/>
      <c r="Y606" s="151"/>
      <c r="Z606" s="151"/>
    </row>
    <row r="607" spans="3:26" ht="24" x14ac:dyDescent="0.2">
      <c r="C607" s="91"/>
      <c r="D607" s="92" t="s">
        <v>433</v>
      </c>
      <c r="E607" s="357">
        <v>4.7500000000000001E-2</v>
      </c>
      <c r="F607" s="358"/>
      <c r="G607" s="359"/>
      <c r="H607" s="268" t="s">
        <v>908</v>
      </c>
      <c r="I607" s="400"/>
      <c r="J607" s="401"/>
      <c r="K607" s="402"/>
      <c r="L607" s="198"/>
      <c r="M607" s="269"/>
      <c r="N607" s="195"/>
      <c r="O607" s="152"/>
      <c r="P607" s="152"/>
      <c r="Q607" s="152"/>
      <c r="R607" s="153"/>
      <c r="S607" s="154"/>
      <c r="T607" s="152"/>
      <c r="U607" s="152"/>
      <c r="V607" s="152"/>
      <c r="W607" s="152"/>
      <c r="X607" s="154"/>
      <c r="Y607" s="155"/>
      <c r="Z607" s="155"/>
    </row>
    <row r="608" spans="3:26" ht="24" x14ac:dyDescent="0.2">
      <c r="C608" s="91"/>
      <c r="D608" s="92" t="s">
        <v>434</v>
      </c>
      <c r="E608" s="357">
        <v>0.05</v>
      </c>
      <c r="F608" s="358"/>
      <c r="G608" s="359"/>
      <c r="H608" s="270"/>
      <c r="I608" s="400"/>
      <c r="J608" s="401"/>
      <c r="K608" s="402"/>
      <c r="L608" s="198"/>
      <c r="M608" s="269"/>
      <c r="N608" s="195"/>
      <c r="O608" s="156" t="s">
        <v>811</v>
      </c>
      <c r="P608" s="204">
        <v>0.1</v>
      </c>
      <c r="Q608" s="205">
        <v>0.1182</v>
      </c>
      <c r="R608" s="206">
        <v>1.7999999999999999E-2</v>
      </c>
      <c r="S608" s="220">
        <v>1</v>
      </c>
      <c r="T608" s="156">
        <v>0.1953</v>
      </c>
      <c r="U608" s="161">
        <v>-64.236297029713967</v>
      </c>
      <c r="V608" s="162">
        <v>60.5</v>
      </c>
      <c r="W608" s="221">
        <v>1.93</v>
      </c>
      <c r="X608" s="164">
        <v>123.97605326734795</v>
      </c>
      <c r="Y608" s="165"/>
      <c r="Z608" s="165"/>
    </row>
    <row r="609" spans="3:26" ht="25" thickBot="1" x14ac:dyDescent="0.25">
      <c r="C609" s="91"/>
      <c r="D609" s="94" t="s">
        <v>435</v>
      </c>
      <c r="E609" s="360">
        <v>0.5</v>
      </c>
      <c r="F609" s="361"/>
      <c r="G609" s="362"/>
      <c r="H609" s="270"/>
      <c r="I609" s="400"/>
      <c r="J609" s="401"/>
      <c r="K609" s="402"/>
      <c r="L609" s="208">
        <v>0.72916666666666663</v>
      </c>
      <c r="M609" s="271">
        <v>0.58333333333333326</v>
      </c>
      <c r="N609" s="195"/>
      <c r="O609" s="166" t="s">
        <v>812</v>
      </c>
      <c r="P609" s="209">
        <v>0.1</v>
      </c>
      <c r="Q609" s="187">
        <v>0.12453333333333334</v>
      </c>
      <c r="R609" s="210">
        <v>1.7999999999999999E-2</v>
      </c>
      <c r="S609" s="222">
        <v>1</v>
      </c>
      <c r="T609" s="211">
        <v>0.20480000000000001</v>
      </c>
      <c r="U609" s="171">
        <v>-67.360950495061033</v>
      </c>
      <c r="V609" s="172">
        <v>60.5</v>
      </c>
      <c r="W609" s="223">
        <v>2.48</v>
      </c>
      <c r="X609" s="174">
        <v>167.05515722775135</v>
      </c>
      <c r="Y609" s="175"/>
      <c r="Z609" s="175"/>
    </row>
    <row r="610" spans="3:26" ht="25" thickBot="1" x14ac:dyDescent="0.25">
      <c r="C610" s="91"/>
      <c r="D610" s="96" t="s">
        <v>436</v>
      </c>
      <c r="E610" s="97" t="s">
        <v>29</v>
      </c>
      <c r="F610" s="97" t="s">
        <v>28</v>
      </c>
      <c r="G610" s="98" t="s">
        <v>27</v>
      </c>
      <c r="H610" s="270" t="s">
        <v>793</v>
      </c>
      <c r="I610" s="400"/>
      <c r="J610" s="401"/>
      <c r="K610" s="402"/>
      <c r="L610" s="198"/>
      <c r="M610" s="269"/>
      <c r="N610" s="195"/>
      <c r="O610" s="154"/>
      <c r="P610" s="176"/>
      <c r="Q610" s="154"/>
      <c r="R610" s="154"/>
      <c r="S610" s="224"/>
      <c r="T610" s="154"/>
      <c r="U610" s="177"/>
      <c r="V610" s="178"/>
      <c r="W610" s="225"/>
      <c r="X610" s="177"/>
      <c r="Y610" s="155"/>
      <c r="Z610" s="155"/>
    </row>
    <row r="611" spans="3:26" ht="24" x14ac:dyDescent="0.2">
      <c r="C611" s="91"/>
      <c r="D611" s="99">
        <v>45554</v>
      </c>
      <c r="E611" s="113">
        <v>0.05</v>
      </c>
      <c r="F611" s="113" t="s">
        <v>728</v>
      </c>
      <c r="G611" s="113">
        <v>0.05</v>
      </c>
      <c r="H611" s="277">
        <v>0.45833333333333331</v>
      </c>
      <c r="I611" s="400"/>
      <c r="J611" s="401"/>
      <c r="K611" s="402"/>
      <c r="L611" s="198"/>
      <c r="M611" s="269"/>
      <c r="N611" s="195"/>
      <c r="O611" s="179"/>
      <c r="P611" s="155"/>
      <c r="Q611" s="179"/>
      <c r="R611" s="179"/>
      <c r="S611" s="224"/>
      <c r="T611" s="179"/>
      <c r="U611" s="179"/>
      <c r="V611" s="179"/>
      <c r="W611" s="227"/>
      <c r="X611" s="179"/>
      <c r="Y611" s="155"/>
      <c r="Z611" s="155"/>
    </row>
    <row r="612" spans="3:26" ht="24" x14ac:dyDescent="0.2">
      <c r="C612" s="91"/>
      <c r="D612" s="99">
        <v>45505</v>
      </c>
      <c r="E612" s="113">
        <v>0.05</v>
      </c>
      <c r="F612" s="113" t="s">
        <v>728</v>
      </c>
      <c r="G612" s="113">
        <v>5.2499999999999998E-2</v>
      </c>
      <c r="H612" s="278">
        <v>0.45833333333333331</v>
      </c>
      <c r="I612" s="400"/>
      <c r="J612" s="401"/>
      <c r="K612" s="402"/>
      <c r="L612" s="198"/>
      <c r="M612" s="269"/>
      <c r="N612" s="195"/>
      <c r="O612" s="146" t="s">
        <v>813</v>
      </c>
      <c r="P612" s="233">
        <v>-0.1</v>
      </c>
      <c r="Q612" s="180">
        <v>0.05</v>
      </c>
      <c r="R612" s="181">
        <v>1.7999999999999999E-2</v>
      </c>
      <c r="S612" s="228">
        <v>-1</v>
      </c>
      <c r="T612" s="156">
        <v>9.3000000000000013E-2</v>
      </c>
      <c r="U612" s="182">
        <v>-30.588712871292365</v>
      </c>
      <c r="V612" s="183">
        <v>60.5</v>
      </c>
      <c r="W612" s="230">
        <v>1.5</v>
      </c>
      <c r="X612" s="184">
        <v>45.883069306938552</v>
      </c>
      <c r="Y612" s="185" t="s">
        <v>814</v>
      </c>
      <c r="Z612" s="185"/>
    </row>
    <row r="613" spans="3:26" ht="24" x14ac:dyDescent="0.2">
      <c r="C613" s="91"/>
      <c r="D613" s="99">
        <v>45463</v>
      </c>
      <c r="E613" s="113">
        <v>5.2499999999999998E-2</v>
      </c>
      <c r="F613" s="113" t="s">
        <v>940</v>
      </c>
      <c r="G613" s="113">
        <v>5.2499999999999998E-2</v>
      </c>
      <c r="H613" s="278">
        <v>0.45833333333333331</v>
      </c>
      <c r="I613" s="400"/>
      <c r="J613" s="401"/>
      <c r="K613" s="402"/>
      <c r="L613" s="218"/>
      <c r="M613" s="269"/>
      <c r="N613" s="195"/>
      <c r="O613" s="146"/>
      <c r="P613" s="147"/>
      <c r="Q613" s="180"/>
      <c r="R613" s="181"/>
      <c r="S613" s="150"/>
      <c r="T613" s="147"/>
      <c r="U613" s="182"/>
      <c r="V613" s="183"/>
      <c r="W613" s="150"/>
      <c r="X613" s="184"/>
      <c r="Y613" s="185"/>
      <c r="Z613" s="185"/>
    </row>
    <row r="614" spans="3:26" ht="24" x14ac:dyDescent="0.2">
      <c r="C614" s="91"/>
      <c r="D614" s="99">
        <v>45421</v>
      </c>
      <c r="E614" s="113">
        <v>5.2499999999999998E-2</v>
      </c>
      <c r="F614" s="113" t="s">
        <v>940</v>
      </c>
      <c r="G614" s="113">
        <v>5.2499999999999998E-2</v>
      </c>
      <c r="H614" s="278">
        <v>0.45833333333333331</v>
      </c>
      <c r="I614" s="400"/>
      <c r="J614" s="401"/>
      <c r="K614" s="402"/>
      <c r="L614" s="198"/>
      <c r="M614" s="269"/>
      <c r="N614" s="195"/>
      <c r="O614" s="146"/>
      <c r="P614" s="147"/>
      <c r="Q614" s="180"/>
      <c r="R614" s="181"/>
      <c r="S614" s="150"/>
      <c r="T614" s="147"/>
      <c r="U614" s="182"/>
      <c r="V614" s="183"/>
      <c r="W614" s="150"/>
      <c r="X614" s="184"/>
      <c r="Y614" s="185"/>
      <c r="Z614" s="185"/>
    </row>
    <row r="615" spans="3:26" ht="24" x14ac:dyDescent="0.2">
      <c r="C615" s="91"/>
      <c r="D615" s="99">
        <v>45372</v>
      </c>
      <c r="E615" s="113">
        <v>5.2499999999999998E-2</v>
      </c>
      <c r="F615" s="113" t="s">
        <v>940</v>
      </c>
      <c r="G615" s="113">
        <v>5.2499999999999998E-2</v>
      </c>
      <c r="H615" s="272">
        <v>0.5</v>
      </c>
      <c r="I615" s="400"/>
      <c r="J615" s="401"/>
      <c r="K615" s="402"/>
      <c r="L615" s="198"/>
      <c r="M615" s="269"/>
      <c r="N615" s="195"/>
      <c r="O615" s="91"/>
      <c r="P615" s="91"/>
      <c r="Q615" s="91"/>
      <c r="R615" s="91"/>
      <c r="S615" s="91"/>
      <c r="T615" s="91"/>
      <c r="U615" s="91"/>
      <c r="V615" s="91"/>
      <c r="W615" s="91"/>
      <c r="X615" s="91"/>
      <c r="Y615" s="91"/>
      <c r="Z615" s="91"/>
    </row>
    <row r="616" spans="3:26" ht="25" thickBot="1" x14ac:dyDescent="0.25">
      <c r="C616" s="91"/>
      <c r="D616" s="99">
        <v>45323</v>
      </c>
      <c r="E616" s="113">
        <v>5.2499999999999998E-2</v>
      </c>
      <c r="F616" s="113" t="s">
        <v>940</v>
      </c>
      <c r="G616" s="113">
        <v>5.2499999999999998E-2</v>
      </c>
      <c r="H616" s="278">
        <v>0.5</v>
      </c>
      <c r="I616" s="424"/>
      <c r="J616" s="425"/>
      <c r="K616" s="426"/>
      <c r="L616" s="198"/>
      <c r="M616" s="269"/>
      <c r="N616" s="195"/>
      <c r="O616" s="91"/>
      <c r="P616" s="91"/>
      <c r="Q616" s="91"/>
      <c r="R616" s="91"/>
      <c r="S616" s="91"/>
      <c r="T616" s="91"/>
      <c r="U616" s="91"/>
      <c r="V616" s="91"/>
      <c r="W616" s="91"/>
      <c r="X616" s="91"/>
      <c r="Y616" s="91"/>
      <c r="Z616" s="91"/>
    </row>
    <row r="617" spans="3:26" ht="73" thickBot="1" x14ac:dyDescent="0.25">
      <c r="C617">
        <v>10</v>
      </c>
      <c r="D617" s="123" t="s">
        <v>30</v>
      </c>
      <c r="E617" s="363" t="s">
        <v>14</v>
      </c>
      <c r="F617" s="364"/>
      <c r="G617" s="365"/>
      <c r="H617" s="273" t="s">
        <v>790</v>
      </c>
      <c r="I617" s="421" t="s">
        <v>633</v>
      </c>
      <c r="J617" s="422"/>
      <c r="K617" s="423"/>
      <c r="L617" s="194" t="s">
        <v>430</v>
      </c>
      <c r="M617" s="274" t="s">
        <v>431</v>
      </c>
      <c r="N617" s="195" t="s">
        <v>105</v>
      </c>
      <c r="O617" s="145" t="s">
        <v>800</v>
      </c>
      <c r="P617" s="145" t="s">
        <v>801</v>
      </c>
      <c r="Q617" s="145" t="s">
        <v>802</v>
      </c>
      <c r="R617" s="145" t="s">
        <v>803</v>
      </c>
      <c r="S617" s="145" t="s">
        <v>804</v>
      </c>
      <c r="T617" s="145" t="s">
        <v>805</v>
      </c>
      <c r="U617" s="145" t="s">
        <v>806</v>
      </c>
      <c r="V617" s="145" t="s">
        <v>807</v>
      </c>
      <c r="W617" s="145" t="s">
        <v>808</v>
      </c>
      <c r="X617" s="145" t="s">
        <v>809</v>
      </c>
      <c r="Y617" s="145" t="s">
        <v>75</v>
      </c>
      <c r="Z617" s="145" t="s">
        <v>75</v>
      </c>
    </row>
    <row r="618" spans="3:26" ht="24" x14ac:dyDescent="0.2">
      <c r="C618" s="91"/>
      <c r="D618" s="122" t="s">
        <v>432</v>
      </c>
      <c r="E618" s="369"/>
      <c r="F618" s="370"/>
      <c r="G618" s="371"/>
      <c r="H618" s="268" t="s">
        <v>794</v>
      </c>
      <c r="I618" s="397" t="s">
        <v>933</v>
      </c>
      <c r="J618" s="398"/>
      <c r="K618" s="399"/>
      <c r="L618" s="198"/>
      <c r="M618" s="269"/>
      <c r="N618" s="195"/>
      <c r="O618" s="146" t="s">
        <v>810</v>
      </c>
      <c r="P618" s="199">
        <v>0.1</v>
      </c>
      <c r="Q618" s="200">
        <v>1.9E-2</v>
      </c>
      <c r="R618" s="201">
        <v>1.8000000000000682E-2</v>
      </c>
      <c r="S618" s="150">
        <v>0</v>
      </c>
      <c r="T618" s="146">
        <v>6.0999999999991131E-2</v>
      </c>
      <c r="U618" s="200">
        <v>-10.78</v>
      </c>
      <c r="V618" s="199">
        <v>91.8</v>
      </c>
      <c r="W618" s="202">
        <v>2</v>
      </c>
      <c r="X618" s="184"/>
      <c r="Y618" s="151"/>
      <c r="Z618" s="151"/>
    </row>
    <row r="619" spans="3:26" ht="24" x14ac:dyDescent="0.2">
      <c r="C619" s="91"/>
      <c r="D619" s="92" t="s">
        <v>433</v>
      </c>
      <c r="E619" s="357" t="s">
        <v>931</v>
      </c>
      <c r="F619" s="358"/>
      <c r="G619" s="359"/>
      <c r="H619" s="268" t="s">
        <v>795</v>
      </c>
      <c r="I619" s="400"/>
      <c r="J619" s="401"/>
      <c r="K619" s="402"/>
      <c r="L619" s="198"/>
      <c r="M619" s="269"/>
      <c r="N619" s="195"/>
      <c r="O619" s="152"/>
      <c r="P619" s="152"/>
      <c r="Q619" s="152"/>
      <c r="R619" s="153"/>
      <c r="S619" s="154"/>
      <c r="T619" s="152"/>
      <c r="U619" s="152"/>
      <c r="V619" s="152"/>
      <c r="W619" s="152"/>
      <c r="X619" s="154"/>
      <c r="Y619" s="155"/>
      <c r="Z619" s="155"/>
    </row>
    <row r="620" spans="3:26" ht="24" x14ac:dyDescent="0.2">
      <c r="C620" s="91"/>
      <c r="D620" s="92" t="s">
        <v>434</v>
      </c>
      <c r="E620" s="357" t="s">
        <v>932</v>
      </c>
      <c r="F620" s="358"/>
      <c r="G620" s="359"/>
      <c r="H620" s="270"/>
      <c r="I620" s="400"/>
      <c r="J620" s="401"/>
      <c r="K620" s="402"/>
      <c r="L620" s="198"/>
      <c r="M620" s="269"/>
      <c r="N620" s="195"/>
      <c r="O620" s="156" t="s">
        <v>811</v>
      </c>
      <c r="P620" s="204">
        <v>0.1</v>
      </c>
      <c r="Q620" s="205">
        <v>6.8099999999999994E-2</v>
      </c>
      <c r="R620" s="206">
        <v>1.8000000000000682E-2</v>
      </c>
      <c r="S620" s="220">
        <v>1</v>
      </c>
      <c r="T620" s="156">
        <v>0.12015000000000067</v>
      </c>
      <c r="U620" s="161">
        <v>-21.233065573773697</v>
      </c>
      <c r="V620" s="162">
        <v>60.5</v>
      </c>
      <c r="W620" s="221">
        <v>1.77</v>
      </c>
      <c r="X620" s="164">
        <v>37.582526065579444</v>
      </c>
      <c r="Y620" s="165"/>
      <c r="Z620" s="165"/>
    </row>
    <row r="621" spans="3:26" ht="25" thickBot="1" x14ac:dyDescent="0.25">
      <c r="C621" s="91"/>
      <c r="D621" s="94" t="s">
        <v>435</v>
      </c>
      <c r="E621" s="360">
        <v>0.5625</v>
      </c>
      <c r="F621" s="361"/>
      <c r="G621" s="362"/>
      <c r="H621" s="270"/>
      <c r="I621" s="400"/>
      <c r="J621" s="401"/>
      <c r="K621" s="402"/>
      <c r="L621" s="208">
        <v>0.79166666666666663</v>
      </c>
      <c r="M621" s="271">
        <v>0.64583333333333326</v>
      </c>
      <c r="N621" s="195"/>
      <c r="O621" s="166" t="s">
        <v>812</v>
      </c>
      <c r="P621" s="209">
        <v>0.1</v>
      </c>
      <c r="Q621" s="187">
        <v>0.11893333333333332</v>
      </c>
      <c r="R621" s="210">
        <v>1.4E-2</v>
      </c>
      <c r="S621" s="222">
        <v>1</v>
      </c>
      <c r="T621" s="211">
        <v>0.19239999999999999</v>
      </c>
      <c r="U621" s="171">
        <v>-34.001180327873797</v>
      </c>
      <c r="V621" s="172">
        <v>60.5</v>
      </c>
      <c r="W621" s="223">
        <v>3.08</v>
      </c>
      <c r="X621" s="174">
        <v>104.7236354098513</v>
      </c>
      <c r="Y621" s="175"/>
      <c r="Z621" s="175"/>
    </row>
    <row r="622" spans="3:26" ht="25" thickBot="1" x14ac:dyDescent="0.25">
      <c r="C622" s="91"/>
      <c r="D622" s="96" t="s">
        <v>436</v>
      </c>
      <c r="E622" s="97" t="s">
        <v>29</v>
      </c>
      <c r="F622" s="97" t="s">
        <v>28</v>
      </c>
      <c r="G622" s="98" t="s">
        <v>27</v>
      </c>
      <c r="H622" s="270" t="s">
        <v>793</v>
      </c>
      <c r="I622" s="400"/>
      <c r="J622" s="401"/>
      <c r="K622" s="402"/>
      <c r="L622" s="198"/>
      <c r="M622" s="269"/>
      <c r="N622" s="195"/>
      <c r="O622" s="154"/>
      <c r="P622" s="176"/>
      <c r="Q622" s="154"/>
      <c r="R622" s="154"/>
      <c r="S622" s="224"/>
      <c r="T622" s="154"/>
      <c r="U622" s="177"/>
      <c r="V622" s="178"/>
      <c r="W622" s="225"/>
      <c r="X622" s="177"/>
      <c r="Y622" s="155"/>
      <c r="Z622" s="155"/>
    </row>
    <row r="623" spans="3:26" ht="24" x14ac:dyDescent="0.2">
      <c r="C623" s="91"/>
      <c r="D623" s="99">
        <v>45596</v>
      </c>
      <c r="E623" s="105" t="s">
        <v>932</v>
      </c>
      <c r="F623" s="105" t="s">
        <v>941</v>
      </c>
      <c r="G623" s="105" t="s">
        <v>579</v>
      </c>
      <c r="H623" s="277">
        <v>0.52083333333333337</v>
      </c>
      <c r="I623" s="400"/>
      <c r="J623" s="401"/>
      <c r="K623" s="402"/>
      <c r="L623" s="198"/>
      <c r="M623" s="269"/>
      <c r="N623" s="195"/>
      <c r="O623" s="179"/>
      <c r="P623" s="155"/>
      <c r="Q623" s="179"/>
      <c r="R623" s="179"/>
      <c r="S623" s="224"/>
      <c r="T623" s="179"/>
      <c r="U623" s="179"/>
      <c r="V623" s="179"/>
      <c r="W623" s="227"/>
      <c r="X623" s="179"/>
      <c r="Y623" s="155"/>
      <c r="Z623" s="155"/>
    </row>
    <row r="624" spans="3:26" ht="24" x14ac:dyDescent="0.2">
      <c r="C624" s="91"/>
      <c r="D624" s="99">
        <v>45589</v>
      </c>
      <c r="E624" s="105" t="s">
        <v>209</v>
      </c>
      <c r="F624" s="105" t="s">
        <v>896</v>
      </c>
      <c r="G624" s="105" t="s">
        <v>897</v>
      </c>
      <c r="H624" s="278">
        <v>0.52083333333333337</v>
      </c>
      <c r="I624" s="400"/>
      <c r="J624" s="401"/>
      <c r="K624" s="402"/>
      <c r="L624" s="198"/>
      <c r="M624" s="269"/>
      <c r="N624" s="195"/>
      <c r="O624" s="146" t="s">
        <v>813</v>
      </c>
      <c r="P624" s="233">
        <v>0.1</v>
      </c>
      <c r="Q624" s="180">
        <v>0.03</v>
      </c>
      <c r="R624" s="181">
        <v>1.4E-2</v>
      </c>
      <c r="S624" s="228">
        <v>1</v>
      </c>
      <c r="T624" s="229">
        <v>0.19239999999999999</v>
      </c>
      <c r="U624" s="182">
        <v>-34.001180327873797</v>
      </c>
      <c r="V624" s="183">
        <v>60.5</v>
      </c>
      <c r="W624" s="230">
        <v>3</v>
      </c>
      <c r="X624" s="184">
        <v>102.00354098362139</v>
      </c>
      <c r="Y624" s="185" t="s">
        <v>814</v>
      </c>
      <c r="Z624" s="185"/>
    </row>
    <row r="625" spans="3:26" ht="24" x14ac:dyDescent="0.2">
      <c r="C625" s="91"/>
      <c r="D625" s="99">
        <v>45582</v>
      </c>
      <c r="E625" s="105" t="s">
        <v>171</v>
      </c>
      <c r="F625" s="105" t="s">
        <v>898</v>
      </c>
      <c r="G625" s="105" t="s">
        <v>692</v>
      </c>
      <c r="H625" s="278">
        <v>0.52083333333333337</v>
      </c>
      <c r="I625" s="400"/>
      <c r="J625" s="401"/>
      <c r="K625" s="402"/>
      <c r="L625" s="218"/>
      <c r="M625" s="269"/>
      <c r="N625" s="195"/>
      <c r="O625" s="146" t="s">
        <v>813</v>
      </c>
      <c r="P625" s="233">
        <v>-0.1</v>
      </c>
      <c r="Q625" s="180">
        <v>0.03</v>
      </c>
      <c r="R625" s="181">
        <v>1.4E-2</v>
      </c>
      <c r="S625" s="228">
        <v>-1</v>
      </c>
      <c r="T625" s="229">
        <v>0.19239999999999999</v>
      </c>
      <c r="U625" s="182">
        <v>-34.001180327873797</v>
      </c>
      <c r="V625" s="183">
        <v>60.5</v>
      </c>
      <c r="W625" s="230">
        <v>3</v>
      </c>
      <c r="X625" s="184">
        <v>102.00354098362139</v>
      </c>
      <c r="Y625" s="185" t="s">
        <v>814</v>
      </c>
      <c r="Z625" s="185"/>
    </row>
    <row r="626" spans="3:26" ht="24" x14ac:dyDescent="0.2">
      <c r="C626" s="91"/>
      <c r="D626" s="99">
        <v>45575</v>
      </c>
      <c r="E626" s="105" t="s">
        <v>678</v>
      </c>
      <c r="F626" s="105" t="s">
        <v>580</v>
      </c>
      <c r="G626" s="105" t="s">
        <v>638</v>
      </c>
      <c r="H626" s="278">
        <v>0.52083333333333337</v>
      </c>
      <c r="I626" s="400"/>
      <c r="J626" s="401"/>
      <c r="K626" s="402"/>
      <c r="L626" s="198"/>
      <c r="M626" s="269"/>
      <c r="N626" s="195"/>
      <c r="O626" s="146"/>
      <c r="P626" s="147"/>
      <c r="Q626" s="180"/>
      <c r="R626" s="181"/>
      <c r="S626" s="150"/>
      <c r="T626" s="147"/>
      <c r="U626" s="182"/>
      <c r="V626" s="183"/>
      <c r="W626" s="150"/>
      <c r="X626" s="184"/>
      <c r="Y626" s="185"/>
      <c r="Z626" s="185"/>
    </row>
    <row r="627" spans="3:26" ht="24" x14ac:dyDescent="0.2">
      <c r="C627" s="91"/>
      <c r="D627" s="99">
        <v>45568</v>
      </c>
      <c r="E627" s="105" t="s">
        <v>638</v>
      </c>
      <c r="F627" s="105" t="s">
        <v>734</v>
      </c>
      <c r="G627" s="105" t="s">
        <v>345</v>
      </c>
      <c r="H627" s="278">
        <v>0.52083333333333337</v>
      </c>
      <c r="I627" s="400"/>
      <c r="J627" s="401"/>
      <c r="K627" s="402"/>
      <c r="L627" s="198"/>
      <c r="M627" s="269"/>
      <c r="N627" s="195"/>
      <c r="O627" s="91"/>
      <c r="P627" s="91"/>
      <c r="Q627" s="91"/>
      <c r="R627" s="91"/>
      <c r="S627" s="91"/>
      <c r="T627" s="91"/>
      <c r="U627" s="91"/>
      <c r="V627" s="91"/>
      <c r="W627" s="91"/>
      <c r="X627" s="91"/>
      <c r="Y627" s="91"/>
      <c r="Z627" s="91"/>
    </row>
    <row r="628" spans="3:26" ht="25" thickBot="1" x14ac:dyDescent="0.25">
      <c r="C628" s="91"/>
      <c r="D628" s="99">
        <v>45561</v>
      </c>
      <c r="E628" s="105" t="s">
        <v>382</v>
      </c>
      <c r="F628" s="105" t="s">
        <v>574</v>
      </c>
      <c r="G628" s="105" t="s">
        <v>72</v>
      </c>
      <c r="H628" s="278">
        <v>0.52083333333333337</v>
      </c>
      <c r="I628" s="424"/>
      <c r="J628" s="425"/>
      <c r="K628" s="426"/>
      <c r="L628" s="198"/>
      <c r="M628" s="269"/>
      <c r="N628" s="195"/>
      <c r="O628" s="91"/>
      <c r="P628" s="91"/>
      <c r="Q628" s="91"/>
      <c r="R628" s="91"/>
      <c r="S628" s="91"/>
      <c r="T628" s="91"/>
      <c r="U628" s="91"/>
      <c r="V628" s="91"/>
      <c r="W628" s="91"/>
      <c r="X628" s="91"/>
      <c r="Y628" s="91"/>
      <c r="Z628" s="91"/>
    </row>
    <row r="629" spans="3:26" ht="73" thickBot="1" x14ac:dyDescent="0.25">
      <c r="C629">
        <v>11</v>
      </c>
      <c r="D629" s="123" t="s">
        <v>30</v>
      </c>
      <c r="E629" s="363" t="s">
        <v>127</v>
      </c>
      <c r="F629" s="364"/>
      <c r="G629" s="365"/>
      <c r="H629" s="273" t="s">
        <v>790</v>
      </c>
      <c r="I629" s="421" t="s">
        <v>633</v>
      </c>
      <c r="J629" s="422"/>
      <c r="K629" s="423"/>
      <c r="L629" s="194" t="s">
        <v>430</v>
      </c>
      <c r="M629" s="274" t="s">
        <v>431</v>
      </c>
      <c r="N629" s="195" t="s">
        <v>105</v>
      </c>
      <c r="O629" s="145" t="s">
        <v>800</v>
      </c>
      <c r="P629" s="145" t="s">
        <v>801</v>
      </c>
      <c r="Q629" s="145" t="s">
        <v>802</v>
      </c>
      <c r="R629" s="145" t="s">
        <v>803</v>
      </c>
      <c r="S629" s="145" t="s">
        <v>804</v>
      </c>
      <c r="T629" s="145" t="s">
        <v>805</v>
      </c>
      <c r="U629" s="145" t="s">
        <v>806</v>
      </c>
      <c r="V629" s="145" t="s">
        <v>807</v>
      </c>
      <c r="W629" s="145" t="s">
        <v>808</v>
      </c>
      <c r="X629" s="145" t="s">
        <v>809</v>
      </c>
      <c r="Y629" s="145" t="s">
        <v>75</v>
      </c>
      <c r="Z629" s="145" t="s">
        <v>75</v>
      </c>
    </row>
    <row r="630" spans="3:26" ht="24" x14ac:dyDescent="0.2">
      <c r="C630" s="91"/>
      <c r="D630" s="122" t="s">
        <v>432</v>
      </c>
      <c r="E630" s="342"/>
      <c r="F630" s="343"/>
      <c r="G630" s="344"/>
      <c r="H630" s="268" t="s">
        <v>794</v>
      </c>
      <c r="I630" s="397" t="s">
        <v>934</v>
      </c>
      <c r="J630" s="398"/>
      <c r="K630" s="399"/>
      <c r="L630" s="198"/>
      <c r="M630" s="269"/>
      <c r="N630" s="195"/>
      <c r="O630" s="146" t="s">
        <v>810</v>
      </c>
      <c r="P630" s="199">
        <v>0.1</v>
      </c>
      <c r="Q630" s="200">
        <v>1.9E-2</v>
      </c>
      <c r="R630" s="201">
        <v>1.8000000000000682E-2</v>
      </c>
      <c r="S630" s="150">
        <v>0</v>
      </c>
      <c r="T630" s="146">
        <v>6.0999999999991131E-2</v>
      </c>
      <c r="U630" s="200">
        <v>-10.78</v>
      </c>
      <c r="V630" s="199">
        <v>91.8</v>
      </c>
      <c r="W630" s="202">
        <v>2</v>
      </c>
      <c r="X630" s="184"/>
      <c r="Y630" s="151"/>
      <c r="Z630" s="151"/>
    </row>
    <row r="631" spans="3:26" ht="24" x14ac:dyDescent="0.2">
      <c r="C631" s="91"/>
      <c r="D631" s="92" t="s">
        <v>433</v>
      </c>
      <c r="E631" s="357">
        <v>4.6199999999999998E-2</v>
      </c>
      <c r="F631" s="358"/>
      <c r="G631" s="359"/>
      <c r="H631" s="268" t="s">
        <v>795</v>
      </c>
      <c r="I631" s="400"/>
      <c r="J631" s="401"/>
      <c r="K631" s="402"/>
      <c r="L631" s="198"/>
      <c r="M631" s="269"/>
      <c r="N631" s="195"/>
      <c r="O631" s="152"/>
      <c r="P631" s="152"/>
      <c r="Q631" s="152"/>
      <c r="R631" s="153"/>
      <c r="S631" s="154"/>
      <c r="T631" s="152"/>
      <c r="U631" s="152"/>
      <c r="V631" s="152"/>
      <c r="W631" s="152"/>
      <c r="X631" s="154"/>
      <c r="Y631" s="155"/>
      <c r="Z631" s="155"/>
    </row>
    <row r="632" spans="3:26" ht="24" x14ac:dyDescent="0.2">
      <c r="C632" s="91"/>
      <c r="D632" s="92" t="s">
        <v>434</v>
      </c>
      <c r="E632" s="357">
        <v>4.8800000000000003E-2</v>
      </c>
      <c r="F632" s="358"/>
      <c r="G632" s="359"/>
      <c r="H632" s="270"/>
      <c r="I632" s="400"/>
      <c r="J632" s="401"/>
      <c r="K632" s="402"/>
      <c r="L632" s="198"/>
      <c r="M632" s="269"/>
      <c r="N632" s="195"/>
      <c r="O632" s="156" t="s">
        <v>811</v>
      </c>
      <c r="P632" s="204">
        <v>0.1</v>
      </c>
      <c r="Q632" s="205">
        <v>6.8099999999999994E-2</v>
      </c>
      <c r="R632" s="206">
        <v>1.8000000000000682E-2</v>
      </c>
      <c r="S632" s="220">
        <v>1</v>
      </c>
      <c r="T632" s="156">
        <v>0.12015000000000067</v>
      </c>
      <c r="U632" s="161">
        <v>-21.233065573773697</v>
      </c>
      <c r="V632" s="162">
        <v>60.5</v>
      </c>
      <c r="W632" s="221">
        <v>1.77</v>
      </c>
      <c r="X632" s="164">
        <v>37.582526065579444</v>
      </c>
      <c r="Y632" s="165"/>
      <c r="Z632" s="165"/>
    </row>
    <row r="633" spans="3:26" ht="25" thickBot="1" x14ac:dyDescent="0.25">
      <c r="C633" s="91"/>
      <c r="D633" s="94" t="s">
        <v>435</v>
      </c>
      <c r="E633" s="360">
        <v>0.79166666666666663</v>
      </c>
      <c r="F633" s="361"/>
      <c r="G633" s="362"/>
      <c r="H633" s="270"/>
      <c r="I633" s="400"/>
      <c r="J633" s="401"/>
      <c r="K633" s="402"/>
      <c r="L633" s="208">
        <v>2.0833333333333332E-2</v>
      </c>
      <c r="M633" s="271">
        <v>0.875</v>
      </c>
      <c r="N633" s="195"/>
      <c r="O633" s="166" t="s">
        <v>812</v>
      </c>
      <c r="P633" s="209">
        <v>0.1</v>
      </c>
      <c r="Q633" s="187">
        <v>0.11893333333333332</v>
      </c>
      <c r="R633" s="210">
        <v>1.4E-2</v>
      </c>
      <c r="S633" s="222">
        <v>1</v>
      </c>
      <c r="T633" s="211">
        <v>0.19239999999999999</v>
      </c>
      <c r="U633" s="171">
        <v>-34.001180327873797</v>
      </c>
      <c r="V633" s="172">
        <v>60.5</v>
      </c>
      <c r="W633" s="223">
        <v>3.08</v>
      </c>
      <c r="X633" s="174">
        <v>104.7236354098513</v>
      </c>
      <c r="Y633" s="175"/>
      <c r="Z633" s="175"/>
    </row>
    <row r="634" spans="3:26" ht="25" thickBot="1" x14ac:dyDescent="0.25">
      <c r="C634" s="91"/>
      <c r="D634" s="96" t="s">
        <v>436</v>
      </c>
      <c r="E634" s="97" t="s">
        <v>29</v>
      </c>
      <c r="F634" s="97" t="s">
        <v>28</v>
      </c>
      <c r="G634" s="98" t="s">
        <v>27</v>
      </c>
      <c r="H634" s="270" t="s">
        <v>793</v>
      </c>
      <c r="I634" s="400"/>
      <c r="J634" s="401"/>
      <c r="K634" s="402"/>
      <c r="L634" s="198"/>
      <c r="M634" s="269"/>
      <c r="N634" s="195"/>
      <c r="O634" s="154"/>
      <c r="P634" s="176"/>
      <c r="Q634" s="154"/>
      <c r="R634" s="154"/>
      <c r="S634" s="224"/>
      <c r="T634" s="154"/>
      <c r="U634" s="177"/>
      <c r="V634" s="178"/>
      <c r="W634" s="225"/>
      <c r="X634" s="177"/>
      <c r="Y634" s="155"/>
      <c r="Z634" s="155"/>
    </row>
    <row r="635" spans="3:26" ht="24" x14ac:dyDescent="0.2">
      <c r="C635" s="91"/>
      <c r="D635" s="99">
        <v>45553</v>
      </c>
      <c r="E635" s="105">
        <v>0.05</v>
      </c>
      <c r="F635" s="105" t="s">
        <v>940</v>
      </c>
      <c r="G635" s="105">
        <v>5.5E-2</v>
      </c>
      <c r="H635" s="278">
        <v>0.79166666666666663</v>
      </c>
      <c r="I635" s="400"/>
      <c r="J635" s="401"/>
      <c r="K635" s="402"/>
      <c r="L635" s="231"/>
      <c r="M635" s="269"/>
      <c r="N635" s="195"/>
      <c r="O635" s="179"/>
      <c r="P635" s="155"/>
      <c r="Q635" s="179"/>
      <c r="R635" s="179"/>
      <c r="S635" s="224"/>
      <c r="T635" s="179"/>
      <c r="U635" s="179"/>
      <c r="V635" s="179"/>
      <c r="W635" s="227"/>
      <c r="X635" s="179"/>
      <c r="Y635" s="155"/>
      <c r="Z635" s="155"/>
    </row>
    <row r="636" spans="3:26" ht="24" x14ac:dyDescent="0.2">
      <c r="C636" s="91"/>
      <c r="D636" s="99">
        <v>45504</v>
      </c>
      <c r="E636" s="105">
        <v>5.5E-2</v>
      </c>
      <c r="F636" s="105" t="s">
        <v>942</v>
      </c>
      <c r="G636" s="105">
        <v>5.5E-2</v>
      </c>
      <c r="H636" s="278">
        <v>0.79166666666666663</v>
      </c>
      <c r="I636" s="400"/>
      <c r="J636" s="401"/>
      <c r="K636" s="402"/>
      <c r="L636" s="231"/>
      <c r="M636" s="269"/>
      <c r="N636" s="195"/>
      <c r="O636" s="146" t="s">
        <v>813</v>
      </c>
      <c r="P636" s="233">
        <v>0.1</v>
      </c>
      <c r="Q636" s="180">
        <v>0.03</v>
      </c>
      <c r="R636" s="181">
        <v>1.4E-2</v>
      </c>
      <c r="S636" s="228">
        <v>1</v>
      </c>
      <c r="T636" s="229">
        <v>0.19239999999999999</v>
      </c>
      <c r="U636" s="182">
        <v>-34.001180327873797</v>
      </c>
      <c r="V636" s="183">
        <v>60.5</v>
      </c>
      <c r="W636" s="230">
        <v>3</v>
      </c>
      <c r="X636" s="184">
        <v>102.00354098362139</v>
      </c>
      <c r="Y636" s="185" t="s">
        <v>814</v>
      </c>
      <c r="Z636" s="185"/>
    </row>
    <row r="637" spans="3:26" ht="24" x14ac:dyDescent="0.2">
      <c r="C637" s="91"/>
      <c r="D637" s="99">
        <v>45455</v>
      </c>
      <c r="E637" s="105">
        <v>5.5E-2</v>
      </c>
      <c r="F637" s="105" t="s">
        <v>942</v>
      </c>
      <c r="G637" s="105">
        <v>5.5E-2</v>
      </c>
      <c r="H637" s="278">
        <v>0.79166666666666663</v>
      </c>
      <c r="I637" s="400"/>
      <c r="J637" s="401"/>
      <c r="K637" s="402"/>
      <c r="L637" s="231"/>
      <c r="M637" s="269"/>
      <c r="N637" s="195"/>
      <c r="O637" s="146" t="s">
        <v>813</v>
      </c>
      <c r="P637" s="233">
        <v>-0.1</v>
      </c>
      <c r="Q637" s="180">
        <v>0.03</v>
      </c>
      <c r="R637" s="181">
        <v>1.4E-2</v>
      </c>
      <c r="S637" s="228">
        <v>-1</v>
      </c>
      <c r="T637" s="229">
        <v>0.19239999999999999</v>
      </c>
      <c r="U637" s="182">
        <v>-34.001180327873797</v>
      </c>
      <c r="V637" s="183">
        <v>60.5</v>
      </c>
      <c r="W637" s="230">
        <v>3</v>
      </c>
      <c r="X637" s="184">
        <v>102.00354098362139</v>
      </c>
      <c r="Y637" s="185" t="s">
        <v>814</v>
      </c>
      <c r="Z637" s="185"/>
    </row>
    <row r="638" spans="3:26" ht="24" x14ac:dyDescent="0.2">
      <c r="C638" s="91"/>
      <c r="D638" s="99">
        <v>45413</v>
      </c>
      <c r="E638" s="105">
        <v>5.5E-2</v>
      </c>
      <c r="F638" s="105" t="s">
        <v>942</v>
      </c>
      <c r="G638" s="105">
        <v>5.5E-2</v>
      </c>
      <c r="H638" s="278">
        <v>0.79166666666666663</v>
      </c>
      <c r="I638" s="400"/>
      <c r="J638" s="401"/>
      <c r="K638" s="402"/>
      <c r="L638" s="231"/>
      <c r="M638" s="269"/>
      <c r="N638" s="195"/>
      <c r="O638" s="146"/>
      <c r="P638" s="147"/>
      <c r="Q638" s="180"/>
      <c r="R638" s="181"/>
      <c r="S638" s="150"/>
      <c r="T638" s="147"/>
      <c r="U638" s="182"/>
      <c r="V638" s="183"/>
      <c r="W638" s="150"/>
      <c r="X638" s="184"/>
      <c r="Y638" s="185"/>
      <c r="Z638" s="185"/>
    </row>
    <row r="639" spans="3:26" ht="24" x14ac:dyDescent="0.2">
      <c r="C639" s="91"/>
      <c r="D639" s="99">
        <v>45371</v>
      </c>
      <c r="E639" s="105">
        <v>5.5E-2</v>
      </c>
      <c r="F639" s="105" t="s">
        <v>942</v>
      </c>
      <c r="G639" s="105">
        <v>5.5E-2</v>
      </c>
      <c r="H639" s="278">
        <v>0.79166666666666663</v>
      </c>
      <c r="I639" s="400"/>
      <c r="J639" s="401"/>
      <c r="K639" s="402"/>
      <c r="L639" s="231"/>
      <c r="M639" s="269"/>
      <c r="N639" s="195"/>
      <c r="O639" s="91"/>
      <c r="P639" s="91"/>
      <c r="Q639" s="91"/>
      <c r="R639" s="91"/>
      <c r="S639" s="91"/>
      <c r="T639" s="91"/>
      <c r="U639" s="91"/>
      <c r="V639" s="91"/>
      <c r="W639" s="91"/>
      <c r="X639" s="91"/>
      <c r="Y639" s="91"/>
      <c r="Z639" s="91"/>
    </row>
    <row r="640" spans="3:26" ht="25" thickBot="1" x14ac:dyDescent="0.25">
      <c r="C640" s="91"/>
      <c r="D640" s="99">
        <v>45322</v>
      </c>
      <c r="E640" s="105">
        <v>5.5E-2</v>
      </c>
      <c r="F640" s="105" t="s">
        <v>942</v>
      </c>
      <c r="G640" s="105">
        <v>5.5E-2</v>
      </c>
      <c r="H640" s="278">
        <v>0.83333333333333326</v>
      </c>
      <c r="I640" s="424"/>
      <c r="J640" s="425"/>
      <c r="K640" s="426"/>
      <c r="L640" s="231"/>
      <c r="M640" s="269"/>
      <c r="N640" s="195"/>
      <c r="O640" s="91"/>
      <c r="P640" s="91"/>
      <c r="Q640" s="91"/>
      <c r="R640" s="91"/>
      <c r="S640" s="91"/>
      <c r="T640" s="91"/>
      <c r="U640" s="91"/>
      <c r="V640" s="91"/>
      <c r="W640" s="91"/>
      <c r="X640" s="91"/>
      <c r="Y640" s="91"/>
      <c r="Z640" s="91"/>
    </row>
    <row r="641" spans="3:26" ht="73" thickBot="1" x14ac:dyDescent="0.25">
      <c r="C641">
        <v>12</v>
      </c>
      <c r="D641" s="123" t="s">
        <v>30</v>
      </c>
      <c r="E641" s="363" t="s">
        <v>125</v>
      </c>
      <c r="F641" s="364"/>
      <c r="G641" s="365"/>
      <c r="H641" s="273" t="s">
        <v>790</v>
      </c>
      <c r="I641" s="421" t="s">
        <v>633</v>
      </c>
      <c r="J641" s="422"/>
      <c r="K641" s="423"/>
      <c r="L641" s="194" t="s">
        <v>430</v>
      </c>
      <c r="M641" s="274" t="s">
        <v>431</v>
      </c>
      <c r="N641" s="195" t="s">
        <v>105</v>
      </c>
      <c r="O641" s="145" t="s">
        <v>800</v>
      </c>
      <c r="P641" s="145" t="s">
        <v>801</v>
      </c>
      <c r="Q641" s="145" t="s">
        <v>802</v>
      </c>
      <c r="R641" s="145" t="s">
        <v>803</v>
      </c>
      <c r="S641" s="145" t="s">
        <v>804</v>
      </c>
      <c r="T641" s="145" t="s">
        <v>805</v>
      </c>
      <c r="U641" s="145" t="s">
        <v>806</v>
      </c>
      <c r="V641" s="145" t="s">
        <v>807</v>
      </c>
      <c r="W641" s="145" t="s">
        <v>808</v>
      </c>
      <c r="X641" s="145" t="s">
        <v>809</v>
      </c>
      <c r="Y641" s="145" t="s">
        <v>75</v>
      </c>
      <c r="Z641" s="145" t="s">
        <v>75</v>
      </c>
    </row>
    <row r="642" spans="3:26" ht="24" x14ac:dyDescent="0.2">
      <c r="C642" s="91"/>
      <c r="D642" s="122" t="s">
        <v>432</v>
      </c>
      <c r="E642" s="342"/>
      <c r="F642" s="343"/>
      <c r="G642" s="344"/>
      <c r="H642" s="268" t="s">
        <v>794</v>
      </c>
      <c r="I642" s="397" t="s">
        <v>935</v>
      </c>
      <c r="J642" s="398"/>
      <c r="K642" s="399"/>
      <c r="L642" s="198"/>
      <c r="M642" s="269"/>
      <c r="N642" s="195"/>
      <c r="O642" s="146" t="s">
        <v>810</v>
      </c>
      <c r="P642" s="147">
        <v>0.1</v>
      </c>
      <c r="Q642" s="148">
        <v>3.9E-2</v>
      </c>
      <c r="R642" s="149">
        <v>2.1000000000015007E-2</v>
      </c>
      <c r="S642" s="150"/>
      <c r="T642" s="146">
        <v>7.9500000000015003E-2</v>
      </c>
      <c r="U642" s="148">
        <v>-18.989999999999998</v>
      </c>
      <c r="V642" s="147">
        <v>91.8</v>
      </c>
      <c r="W642" s="150"/>
      <c r="X642" s="150"/>
      <c r="Y642" s="151"/>
      <c r="Z642" s="151"/>
    </row>
    <row r="643" spans="3:26" ht="24" x14ac:dyDescent="0.2">
      <c r="C643" s="91"/>
      <c r="D643" s="92" t="s">
        <v>433</v>
      </c>
      <c r="E643" s="366">
        <v>0</v>
      </c>
      <c r="F643" s="367"/>
      <c r="G643" s="368"/>
      <c r="H643" s="268" t="s">
        <v>795</v>
      </c>
      <c r="I643" s="400"/>
      <c r="J643" s="401"/>
      <c r="K643" s="402"/>
      <c r="L643" s="198"/>
      <c r="M643" s="269"/>
      <c r="N643" s="195"/>
      <c r="O643" s="152"/>
      <c r="P643" s="152"/>
      <c r="Q643" s="152"/>
      <c r="R643" s="153"/>
      <c r="S643" s="154"/>
      <c r="T643" s="152"/>
      <c r="U643" s="152"/>
      <c r="V643" s="152"/>
      <c r="W643" s="154"/>
      <c r="X643" s="154"/>
      <c r="Y643" s="155"/>
      <c r="Z643" s="155"/>
    </row>
    <row r="644" spans="3:26" ht="24" x14ac:dyDescent="0.2">
      <c r="C644" s="91"/>
      <c r="D644" s="92" t="s">
        <v>434</v>
      </c>
      <c r="E644" s="366">
        <v>0</v>
      </c>
      <c r="F644" s="367"/>
      <c r="G644" s="368"/>
      <c r="H644" s="270"/>
      <c r="I644" s="400"/>
      <c r="J644" s="401"/>
      <c r="K644" s="402"/>
      <c r="L644" s="198"/>
      <c r="M644" s="269"/>
      <c r="N644" s="195"/>
      <c r="O644" s="156" t="s">
        <v>811</v>
      </c>
      <c r="P644" s="157">
        <v>0.1</v>
      </c>
      <c r="Q644" s="158">
        <v>7.22E-2</v>
      </c>
      <c r="R644" s="159">
        <v>1.4999999999999999E-2</v>
      </c>
      <c r="S644" s="160">
        <v>1</v>
      </c>
      <c r="T644" s="156">
        <v>0.12330000000000001</v>
      </c>
      <c r="U644" s="161">
        <v>-29.452415094334064</v>
      </c>
      <c r="V644" s="162">
        <v>60.5</v>
      </c>
      <c r="W644" s="163">
        <v>4.88</v>
      </c>
      <c r="X644" s="164">
        <v>143.72778566035024</v>
      </c>
      <c r="Y644" s="165"/>
      <c r="Z644" s="165">
        <v>4.4350000000000005</v>
      </c>
    </row>
    <row r="645" spans="3:26" ht="25" thickBot="1" x14ac:dyDescent="0.25">
      <c r="C645" s="91"/>
      <c r="D645" s="94" t="s">
        <v>435</v>
      </c>
      <c r="E645" s="360">
        <v>0.79166666666666663</v>
      </c>
      <c r="F645" s="361"/>
      <c r="G645" s="362"/>
      <c r="H645" s="270"/>
      <c r="I645" s="400"/>
      <c r="J645" s="401"/>
      <c r="K645" s="402"/>
      <c r="L645" s="208">
        <v>2.0833333333333332E-2</v>
      </c>
      <c r="M645" s="271">
        <v>0.875</v>
      </c>
      <c r="N645" s="195"/>
      <c r="O645" s="166" t="s">
        <v>812</v>
      </c>
      <c r="P645" s="167">
        <v>0.1</v>
      </c>
      <c r="Q645" s="168">
        <v>4.0533333333333338E-2</v>
      </c>
      <c r="R645" s="169">
        <v>1.4999999999999999E-2</v>
      </c>
      <c r="S645" s="170">
        <v>0.5</v>
      </c>
      <c r="T645" s="166">
        <v>7.5800000000000006E-2</v>
      </c>
      <c r="U645" s="171">
        <v>-9.0530943396209338</v>
      </c>
      <c r="V645" s="172">
        <v>60.5</v>
      </c>
      <c r="W645" s="173">
        <v>2.3650000000000002</v>
      </c>
      <c r="X645" s="174">
        <v>21.41056811320351</v>
      </c>
      <c r="Y645" s="175"/>
      <c r="Z645" s="175"/>
    </row>
    <row r="646" spans="3:26" ht="25" thickBot="1" x14ac:dyDescent="0.25">
      <c r="C646" s="91"/>
      <c r="D646" s="96" t="s">
        <v>436</v>
      </c>
      <c r="E646" s="97" t="s">
        <v>29</v>
      </c>
      <c r="F646" s="97" t="s">
        <v>28</v>
      </c>
      <c r="G646" s="98" t="s">
        <v>27</v>
      </c>
      <c r="H646" s="270" t="s">
        <v>793</v>
      </c>
      <c r="I646" s="400"/>
      <c r="J646" s="401"/>
      <c r="K646" s="402"/>
      <c r="L646" s="198"/>
      <c r="M646" s="269"/>
      <c r="N646" s="195"/>
      <c r="O646" s="154"/>
      <c r="P646" s="176"/>
      <c r="Q646" s="154"/>
      <c r="R646" s="154"/>
      <c r="S646" s="154"/>
      <c r="T646" s="154"/>
      <c r="U646" s="177"/>
      <c r="V646" s="178"/>
      <c r="W646" s="154"/>
      <c r="X646" s="177"/>
      <c r="Y646" s="155"/>
      <c r="Z646" s="155"/>
    </row>
    <row r="647" spans="3:26" ht="24" x14ac:dyDescent="0.2">
      <c r="C647" s="91"/>
      <c r="D647" s="99">
        <v>45553</v>
      </c>
      <c r="E647" s="109">
        <v>0</v>
      </c>
      <c r="F647" s="109" t="s">
        <v>754</v>
      </c>
      <c r="G647" s="109">
        <v>0</v>
      </c>
      <c r="H647" s="278">
        <v>0.79166666666666663</v>
      </c>
      <c r="I647" s="400"/>
      <c r="J647" s="401"/>
      <c r="K647" s="402"/>
      <c r="L647" s="198"/>
      <c r="M647" s="269"/>
      <c r="N647" s="195"/>
      <c r="O647" s="179"/>
      <c r="P647" s="155"/>
      <c r="Q647" s="179"/>
      <c r="R647" s="179"/>
      <c r="S647" s="179"/>
      <c r="T647" s="179"/>
      <c r="U647" s="179"/>
      <c r="V647" s="179"/>
      <c r="W647" s="179"/>
      <c r="X647" s="179"/>
      <c r="Y647" s="155"/>
      <c r="Z647" s="155"/>
    </row>
    <row r="648" spans="3:26" ht="24" x14ac:dyDescent="0.2">
      <c r="C648" s="91"/>
      <c r="D648" s="99">
        <v>45504</v>
      </c>
      <c r="E648" s="109">
        <v>0</v>
      </c>
      <c r="F648" s="109" t="s">
        <v>754</v>
      </c>
      <c r="G648" s="109">
        <v>0</v>
      </c>
      <c r="H648" s="278">
        <v>0.79166666666666663</v>
      </c>
      <c r="I648" s="400"/>
      <c r="J648" s="401"/>
      <c r="K648" s="402"/>
      <c r="L648" s="198"/>
      <c r="M648" s="269"/>
      <c r="N648" s="195"/>
      <c r="O648" s="146" t="s">
        <v>813</v>
      </c>
      <c r="P648" s="147">
        <v>0.25</v>
      </c>
      <c r="Q648" s="180">
        <v>4.0533333333333338E-2</v>
      </c>
      <c r="R648" s="181">
        <v>1.4999999999999999E-2</v>
      </c>
      <c r="S648" s="150">
        <v>0.5</v>
      </c>
      <c r="T648" s="147">
        <v>7.5800000000000006E-2</v>
      </c>
      <c r="U648" s="182">
        <v>-22.632735849052334</v>
      </c>
      <c r="V648" s="183">
        <v>151.25</v>
      </c>
      <c r="W648" s="150">
        <v>2</v>
      </c>
      <c r="X648" s="184">
        <v>45.265471698104669</v>
      </c>
      <c r="Y648" s="185" t="s">
        <v>814</v>
      </c>
      <c r="Z648" s="185"/>
    </row>
    <row r="649" spans="3:26" ht="24" x14ac:dyDescent="0.2">
      <c r="C649" s="91"/>
      <c r="D649" s="99">
        <v>45455</v>
      </c>
      <c r="E649" s="109">
        <v>0</v>
      </c>
      <c r="F649" s="109" t="s">
        <v>754</v>
      </c>
      <c r="G649" s="109">
        <v>0</v>
      </c>
      <c r="H649" s="278">
        <v>0.79166666666666663</v>
      </c>
      <c r="I649" s="400"/>
      <c r="J649" s="401"/>
      <c r="K649" s="402"/>
      <c r="L649" s="218"/>
      <c r="M649" s="269"/>
      <c r="N649" s="195"/>
      <c r="O649" s="146" t="s">
        <v>813</v>
      </c>
      <c r="P649" s="147">
        <v>0.25</v>
      </c>
      <c r="Q649" s="180">
        <v>4.0533333333333338E-2</v>
      </c>
      <c r="R649" s="181">
        <v>1.4999999999999999E-2</v>
      </c>
      <c r="S649" s="150">
        <v>0.5</v>
      </c>
      <c r="T649" s="147">
        <v>7.5800000000000006E-2</v>
      </c>
      <c r="U649" s="182">
        <v>-22.009959016396646</v>
      </c>
      <c r="V649" s="183">
        <v>151.25</v>
      </c>
      <c r="W649" s="150">
        <v>2</v>
      </c>
      <c r="X649" s="184">
        <v>44.019918032793292</v>
      </c>
      <c r="Y649" s="185"/>
      <c r="Z649" s="185"/>
    </row>
    <row r="650" spans="3:26" ht="24" x14ac:dyDescent="0.2">
      <c r="C650" s="91"/>
      <c r="D650" s="99">
        <v>45413</v>
      </c>
      <c r="E650" s="109">
        <v>0</v>
      </c>
      <c r="F650" s="109" t="s">
        <v>754</v>
      </c>
      <c r="G650" s="109">
        <v>0</v>
      </c>
      <c r="H650" s="278">
        <v>0.79166666666666663</v>
      </c>
      <c r="I650" s="400"/>
      <c r="J650" s="401"/>
      <c r="K650" s="402"/>
      <c r="L650" s="198"/>
      <c r="M650" s="269"/>
      <c r="N650" s="195"/>
      <c r="O650" s="146" t="s">
        <v>816</v>
      </c>
      <c r="P650" s="147"/>
      <c r="Q650" s="180"/>
      <c r="R650" s="181"/>
      <c r="S650" s="150"/>
      <c r="T650" s="147"/>
      <c r="U650" s="182">
        <v>-22.009959016396646</v>
      </c>
      <c r="V650" s="183"/>
      <c r="W650" s="150"/>
      <c r="X650" s="184">
        <v>44.019918032793292</v>
      </c>
      <c r="Y650" s="185"/>
      <c r="Z650" s="185"/>
    </row>
    <row r="651" spans="3:26" ht="24" x14ac:dyDescent="0.2">
      <c r="C651" s="91"/>
      <c r="D651" s="99">
        <v>45371</v>
      </c>
      <c r="E651" s="109">
        <v>0</v>
      </c>
      <c r="F651" s="109" t="s">
        <v>754</v>
      </c>
      <c r="G651" s="109">
        <v>0</v>
      </c>
      <c r="H651" s="278">
        <v>0.79166666666666663</v>
      </c>
      <c r="I651" s="400"/>
      <c r="J651" s="401"/>
      <c r="K651" s="402"/>
      <c r="L651" s="198"/>
      <c r="M651" s="269"/>
      <c r="N651" s="195"/>
      <c r="O651" s="91"/>
      <c r="P651" s="91"/>
      <c r="Q651" s="91"/>
      <c r="R651" s="91"/>
      <c r="S651" s="91"/>
      <c r="T651" s="91"/>
      <c r="U651" s="91"/>
      <c r="V651" s="91"/>
      <c r="W651" s="91"/>
      <c r="X651" s="91"/>
      <c r="Y651" s="91"/>
      <c r="Z651" s="91"/>
    </row>
    <row r="652" spans="3:26" ht="24" thickBot="1" x14ac:dyDescent="0.25">
      <c r="C652" s="91"/>
      <c r="D652" s="99">
        <v>45322</v>
      </c>
      <c r="E652" s="109">
        <v>0</v>
      </c>
      <c r="F652" s="109">
        <v>0</v>
      </c>
      <c r="G652" s="109">
        <v>0</v>
      </c>
      <c r="H652" s="278">
        <v>0.83333333333333326</v>
      </c>
      <c r="I652" s="403"/>
      <c r="J652" s="404"/>
      <c r="K652" s="405"/>
      <c r="L652" s="279"/>
      <c r="M652" s="280"/>
      <c r="N652" s="195"/>
      <c r="O652" s="91"/>
      <c r="P652" s="91"/>
      <c r="Q652" s="91"/>
      <c r="R652" s="91"/>
      <c r="S652" s="91"/>
      <c r="T652" s="91"/>
      <c r="U652" s="91"/>
      <c r="V652" s="91"/>
      <c r="W652" s="91"/>
      <c r="X652" s="91"/>
      <c r="Y652" s="91"/>
      <c r="Z652" s="91"/>
    </row>
    <row r="653" spans="3:26" ht="73" thickBot="1" x14ac:dyDescent="0.25">
      <c r="C653">
        <v>13</v>
      </c>
      <c r="D653" s="123" t="s">
        <v>30</v>
      </c>
      <c r="E653" s="363" t="s">
        <v>129</v>
      </c>
      <c r="F653" s="364"/>
      <c r="G653" s="365"/>
      <c r="H653" s="281" t="s">
        <v>790</v>
      </c>
      <c r="I653" s="409" t="s">
        <v>633</v>
      </c>
      <c r="J653" s="410"/>
      <c r="K653" s="411"/>
      <c r="L653" s="282" t="s">
        <v>430</v>
      </c>
      <c r="M653" s="282" t="s">
        <v>431</v>
      </c>
      <c r="N653" s="195" t="s">
        <v>105</v>
      </c>
      <c r="O653" s="145" t="s">
        <v>800</v>
      </c>
      <c r="P653" s="145" t="s">
        <v>801</v>
      </c>
      <c r="Q653" s="145" t="s">
        <v>802</v>
      </c>
      <c r="R653" s="145" t="s">
        <v>803</v>
      </c>
      <c r="S653" s="145" t="s">
        <v>804</v>
      </c>
      <c r="T653" s="145" t="s">
        <v>805</v>
      </c>
      <c r="U653" s="145" t="s">
        <v>806</v>
      </c>
      <c r="V653" s="145" t="s">
        <v>807</v>
      </c>
      <c r="W653" s="145" t="s">
        <v>808</v>
      </c>
      <c r="X653" s="145" t="s">
        <v>809</v>
      </c>
      <c r="Y653" s="145" t="s">
        <v>75</v>
      </c>
      <c r="Z653" s="145" t="s">
        <v>75</v>
      </c>
    </row>
    <row r="654" spans="3:26" ht="24" x14ac:dyDescent="0.2">
      <c r="C654" s="91"/>
      <c r="D654" s="122" t="s">
        <v>432</v>
      </c>
      <c r="E654" s="342"/>
      <c r="F654" s="343"/>
      <c r="G654" s="344"/>
      <c r="H654" s="268" t="s">
        <v>794</v>
      </c>
      <c r="I654" s="412" t="s">
        <v>936</v>
      </c>
      <c r="J654" s="413"/>
      <c r="K654" s="414"/>
      <c r="L654" s="198"/>
      <c r="M654" s="198"/>
      <c r="N654" s="195"/>
      <c r="O654" s="146" t="s">
        <v>810</v>
      </c>
      <c r="P654" s="147">
        <v>0.1</v>
      </c>
      <c r="Q654" s="148">
        <v>3.9E-2</v>
      </c>
      <c r="R654" s="149">
        <v>2.1000000000015007E-2</v>
      </c>
      <c r="S654" s="150"/>
      <c r="T654" s="146">
        <v>7.9500000000015003E-2</v>
      </c>
      <c r="U654" s="148">
        <v>-18.989999999999998</v>
      </c>
      <c r="V654" s="147">
        <v>91.8</v>
      </c>
      <c r="W654" s="150"/>
      <c r="X654" s="150"/>
      <c r="Y654" s="151"/>
      <c r="Z654" s="151"/>
    </row>
    <row r="655" spans="3:26" ht="24" x14ac:dyDescent="0.2">
      <c r="C655" s="91"/>
      <c r="D655" s="92" t="s">
        <v>433</v>
      </c>
      <c r="E655" s="366">
        <v>0</v>
      </c>
      <c r="F655" s="367"/>
      <c r="G655" s="368"/>
      <c r="H655" s="268" t="s">
        <v>795</v>
      </c>
      <c r="I655" s="415"/>
      <c r="J655" s="416"/>
      <c r="K655" s="417"/>
      <c r="L655" s="198"/>
      <c r="M655" s="198"/>
      <c r="N655" s="195"/>
      <c r="O655" s="152"/>
      <c r="P655" s="152"/>
      <c r="Q655" s="152"/>
      <c r="R655" s="153"/>
      <c r="S655" s="154"/>
      <c r="T655" s="152"/>
      <c r="U655" s="152"/>
      <c r="V655" s="152"/>
      <c r="W655" s="154"/>
      <c r="X655" s="154"/>
      <c r="Y655" s="155"/>
      <c r="Z655" s="155"/>
    </row>
    <row r="656" spans="3:26" ht="24" x14ac:dyDescent="0.2">
      <c r="C656" s="91"/>
      <c r="D656" s="92" t="s">
        <v>434</v>
      </c>
      <c r="E656" s="366">
        <v>0</v>
      </c>
      <c r="F656" s="367"/>
      <c r="G656" s="368"/>
      <c r="H656" s="283"/>
      <c r="I656" s="415"/>
      <c r="J656" s="416"/>
      <c r="K656" s="417"/>
      <c r="L656" s="198"/>
      <c r="M656" s="198"/>
      <c r="N656" s="195"/>
      <c r="O656" s="156" t="s">
        <v>811</v>
      </c>
      <c r="P656" s="157">
        <v>0.1</v>
      </c>
      <c r="Q656" s="158">
        <v>7.22E-2</v>
      </c>
      <c r="R656" s="159">
        <v>1.4999999999999999E-2</v>
      </c>
      <c r="S656" s="160">
        <v>1</v>
      </c>
      <c r="T656" s="156">
        <v>0.12330000000000001</v>
      </c>
      <c r="U656" s="161">
        <v>-29.452415094334064</v>
      </c>
      <c r="V656" s="162">
        <v>60.5</v>
      </c>
      <c r="W656" s="163">
        <v>4.88</v>
      </c>
      <c r="X656" s="164">
        <v>143.72778566035024</v>
      </c>
      <c r="Y656" s="165"/>
      <c r="Z656" s="165">
        <v>4.4350000000000005</v>
      </c>
    </row>
    <row r="657" spans="2:40" ht="25" thickBot="1" x14ac:dyDescent="0.25">
      <c r="C657" s="91"/>
      <c r="D657" s="94" t="s">
        <v>435</v>
      </c>
      <c r="E657" s="360">
        <v>0.8125</v>
      </c>
      <c r="F657" s="361"/>
      <c r="G657" s="362"/>
      <c r="H657" s="283"/>
      <c r="I657" s="415"/>
      <c r="J657" s="416"/>
      <c r="K657" s="417"/>
      <c r="L657" s="208">
        <v>4.1666666666666664E-2</v>
      </c>
      <c r="M657" s="208">
        <v>0.89583333333333337</v>
      </c>
      <c r="N657" s="195"/>
      <c r="O657" s="166" t="s">
        <v>812</v>
      </c>
      <c r="P657" s="167">
        <v>0.1</v>
      </c>
      <c r="Q657" s="168">
        <v>4.0533333333333338E-2</v>
      </c>
      <c r="R657" s="169">
        <v>1.4999999999999999E-2</v>
      </c>
      <c r="S657" s="170">
        <v>0.5</v>
      </c>
      <c r="T657" s="166">
        <v>7.5800000000000006E-2</v>
      </c>
      <c r="U657" s="171">
        <v>-9.0530943396209338</v>
      </c>
      <c r="V657" s="172">
        <v>60.5</v>
      </c>
      <c r="W657" s="173">
        <v>2.3650000000000002</v>
      </c>
      <c r="X657" s="174">
        <v>21.41056811320351</v>
      </c>
      <c r="Y657" s="175"/>
      <c r="Z657" s="175"/>
    </row>
    <row r="658" spans="2:40" ht="25" thickBot="1" x14ac:dyDescent="0.25">
      <c r="C658" s="91"/>
      <c r="D658" s="96" t="s">
        <v>436</v>
      </c>
      <c r="E658" s="97" t="s">
        <v>29</v>
      </c>
      <c r="F658" s="97" t="s">
        <v>28</v>
      </c>
      <c r="G658" s="98" t="s">
        <v>27</v>
      </c>
      <c r="H658" s="283" t="s">
        <v>793</v>
      </c>
      <c r="I658" s="415"/>
      <c r="J658" s="416"/>
      <c r="K658" s="417"/>
      <c r="L658" s="198"/>
      <c r="M658" s="198"/>
      <c r="N658" s="195"/>
      <c r="O658" s="154"/>
      <c r="P658" s="176"/>
      <c r="Q658" s="154"/>
      <c r="R658" s="154"/>
      <c r="S658" s="154"/>
      <c r="T658" s="154"/>
      <c r="U658" s="177"/>
      <c r="V658" s="178"/>
      <c r="W658" s="154"/>
      <c r="X658" s="177"/>
      <c r="Y658" s="155"/>
      <c r="Z658" s="155"/>
    </row>
    <row r="659" spans="2:40" ht="24" x14ac:dyDescent="0.2">
      <c r="C659" s="91"/>
      <c r="D659" s="99">
        <v>45553</v>
      </c>
      <c r="E659" s="109">
        <v>0</v>
      </c>
      <c r="F659" s="109" t="s">
        <v>754</v>
      </c>
      <c r="G659" s="110">
        <v>0</v>
      </c>
      <c r="H659" s="278">
        <v>0.8125</v>
      </c>
      <c r="I659" s="415"/>
      <c r="J659" s="416"/>
      <c r="K659" s="417"/>
      <c r="L659" s="198"/>
      <c r="M659" s="198"/>
      <c r="N659" s="195"/>
      <c r="O659" s="179"/>
      <c r="P659" s="155"/>
      <c r="Q659" s="179"/>
      <c r="R659" s="179"/>
      <c r="S659" s="179"/>
      <c r="T659" s="179"/>
      <c r="U659" s="179"/>
      <c r="V659" s="179"/>
      <c r="W659" s="179"/>
      <c r="X659" s="179"/>
      <c r="Y659" s="155"/>
      <c r="Z659" s="155"/>
    </row>
    <row r="660" spans="2:40" ht="24" x14ac:dyDescent="0.2">
      <c r="C660" s="91"/>
      <c r="D660" s="99">
        <v>45504</v>
      </c>
      <c r="E660" s="109">
        <v>0</v>
      </c>
      <c r="F660" s="109" t="s">
        <v>754</v>
      </c>
      <c r="G660" s="110">
        <v>0</v>
      </c>
      <c r="H660" s="278">
        <v>0.8125</v>
      </c>
      <c r="I660" s="415"/>
      <c r="J660" s="416"/>
      <c r="K660" s="417"/>
      <c r="L660" s="198"/>
      <c r="M660" s="198"/>
      <c r="N660" s="195"/>
      <c r="O660" s="146" t="s">
        <v>813</v>
      </c>
      <c r="P660" s="147">
        <v>0.25</v>
      </c>
      <c r="Q660" s="180">
        <v>4.0533333333333338E-2</v>
      </c>
      <c r="R660" s="181">
        <v>1.4999999999999999E-2</v>
      </c>
      <c r="S660" s="150">
        <v>0.5</v>
      </c>
      <c r="T660" s="147">
        <v>7.5800000000000006E-2</v>
      </c>
      <c r="U660" s="182">
        <v>-22.632735849052334</v>
      </c>
      <c r="V660" s="183">
        <v>151.25</v>
      </c>
      <c r="W660" s="150">
        <v>2</v>
      </c>
      <c r="X660" s="184">
        <v>45.265471698104669</v>
      </c>
      <c r="Y660" s="185" t="s">
        <v>814</v>
      </c>
      <c r="Z660" s="185"/>
    </row>
    <row r="661" spans="2:40" ht="24" x14ac:dyDescent="0.2">
      <c r="C661" s="91"/>
      <c r="D661" s="99">
        <v>45455</v>
      </c>
      <c r="E661" s="109">
        <v>0</v>
      </c>
      <c r="F661" s="109" t="s">
        <v>754</v>
      </c>
      <c r="G661" s="110">
        <v>0</v>
      </c>
      <c r="H661" s="278">
        <v>0.8125</v>
      </c>
      <c r="I661" s="415"/>
      <c r="J661" s="416"/>
      <c r="K661" s="417"/>
      <c r="L661" s="218"/>
      <c r="M661" s="198"/>
      <c r="N661" s="195"/>
      <c r="O661" s="146" t="s">
        <v>813</v>
      </c>
      <c r="P661" s="147">
        <v>0.25</v>
      </c>
      <c r="Q661" s="180">
        <v>4.0533333333333338E-2</v>
      </c>
      <c r="R661" s="181">
        <v>1.4999999999999999E-2</v>
      </c>
      <c r="S661" s="150">
        <v>0.5</v>
      </c>
      <c r="T661" s="147">
        <v>7.5800000000000006E-2</v>
      </c>
      <c r="U661" s="182">
        <v>-22.009959016396646</v>
      </c>
      <c r="V661" s="183">
        <v>151.25</v>
      </c>
      <c r="W661" s="150">
        <v>2</v>
      </c>
      <c r="X661" s="184">
        <v>44.019918032793292</v>
      </c>
      <c r="Y661" s="185"/>
      <c r="Z661" s="185"/>
    </row>
    <row r="662" spans="2:40" ht="24" x14ac:dyDescent="0.2">
      <c r="C662" s="91"/>
      <c r="D662" s="99">
        <v>45413</v>
      </c>
      <c r="E662" s="109">
        <v>0</v>
      </c>
      <c r="F662" s="109" t="s">
        <v>754</v>
      </c>
      <c r="G662" s="110">
        <v>0</v>
      </c>
      <c r="H662" s="278">
        <v>0.8125</v>
      </c>
      <c r="I662" s="415"/>
      <c r="J662" s="416"/>
      <c r="K662" s="417"/>
      <c r="L662" s="198"/>
      <c r="M662" s="198"/>
      <c r="N662" s="195"/>
      <c r="O662" s="146" t="s">
        <v>816</v>
      </c>
      <c r="P662" s="147"/>
      <c r="Q662" s="180"/>
      <c r="R662" s="181"/>
      <c r="S662" s="150"/>
      <c r="T662" s="147"/>
      <c r="U662" s="182">
        <v>-22.009959016396646</v>
      </c>
      <c r="V662" s="183"/>
      <c r="W662" s="150"/>
      <c r="X662" s="184">
        <v>44.019918032793292</v>
      </c>
      <c r="Y662" s="185"/>
      <c r="Z662" s="185"/>
    </row>
    <row r="663" spans="2:40" ht="24" x14ac:dyDescent="0.2">
      <c r="C663" s="91"/>
      <c r="D663" s="99">
        <v>45371</v>
      </c>
      <c r="E663" s="109">
        <v>0</v>
      </c>
      <c r="F663" s="109" t="s">
        <v>754</v>
      </c>
      <c r="G663" s="110">
        <v>0</v>
      </c>
      <c r="H663" s="278">
        <v>0.8125</v>
      </c>
      <c r="I663" s="415"/>
      <c r="J663" s="416"/>
      <c r="K663" s="417"/>
      <c r="L663" s="198"/>
      <c r="M663" s="198"/>
      <c r="N663" s="195"/>
      <c r="O663" s="91"/>
      <c r="P663" s="91"/>
      <c r="Q663" s="91"/>
      <c r="R663" s="91"/>
      <c r="S663" s="91"/>
      <c r="T663" s="91"/>
      <c r="U663" s="91"/>
      <c r="V663" s="91"/>
      <c r="W663" s="91"/>
      <c r="X663" s="91"/>
      <c r="Y663" s="91"/>
      <c r="Z663" s="91"/>
    </row>
    <row r="664" spans="2:40" ht="25" thickBot="1" x14ac:dyDescent="0.25">
      <c r="C664" s="91"/>
      <c r="D664" s="143">
        <v>45322</v>
      </c>
      <c r="E664" s="191">
        <v>0</v>
      </c>
      <c r="F664" s="191" t="s">
        <v>754</v>
      </c>
      <c r="G664" s="284">
        <v>0</v>
      </c>
      <c r="H664" s="278">
        <v>0.85416666666666663</v>
      </c>
      <c r="I664" s="418"/>
      <c r="J664" s="419"/>
      <c r="K664" s="420"/>
      <c r="L664" s="198"/>
      <c r="M664" s="198"/>
      <c r="N664" s="195"/>
      <c r="O664" s="91"/>
      <c r="P664" s="91"/>
      <c r="Q664" s="91"/>
      <c r="R664" s="91"/>
      <c r="S664" s="91"/>
      <c r="T664" s="91"/>
      <c r="U664" s="91"/>
      <c r="V664" s="91"/>
      <c r="W664" s="91"/>
      <c r="X664" s="91"/>
      <c r="Y664" s="91"/>
      <c r="Z664" s="91"/>
    </row>
    <row r="665" spans="2:40" ht="73" thickBot="1" x14ac:dyDescent="0.25">
      <c r="B665" s="93" t="s">
        <v>429</v>
      </c>
      <c r="C665" s="93">
        <v>1</v>
      </c>
      <c r="D665" s="123" t="s">
        <v>30</v>
      </c>
      <c r="E665" s="363" t="s">
        <v>948</v>
      </c>
      <c r="F665" s="364"/>
      <c r="G665" s="365"/>
      <c r="H665" s="265" t="s">
        <v>790</v>
      </c>
      <c r="I665" s="406" t="s">
        <v>633</v>
      </c>
      <c r="J665" s="407"/>
      <c r="K665" s="408"/>
      <c r="L665" s="266" t="s">
        <v>430</v>
      </c>
      <c r="M665" s="267" t="s">
        <v>431</v>
      </c>
      <c r="N665" s="195" t="s">
        <v>105</v>
      </c>
      <c r="O665" s="145" t="s">
        <v>800</v>
      </c>
      <c r="P665" s="145" t="s">
        <v>801</v>
      </c>
      <c r="Q665" s="145" t="s">
        <v>802</v>
      </c>
      <c r="R665" s="145" t="s">
        <v>803</v>
      </c>
      <c r="S665" s="145" t="s">
        <v>804</v>
      </c>
      <c r="T665" s="145" t="s">
        <v>805</v>
      </c>
      <c r="U665" s="145" t="s">
        <v>806</v>
      </c>
      <c r="V665" s="145" t="s">
        <v>807</v>
      </c>
      <c r="W665" s="145" t="s">
        <v>808</v>
      </c>
      <c r="X665" s="145" t="s">
        <v>809</v>
      </c>
      <c r="Y665" s="145" t="s">
        <v>75</v>
      </c>
      <c r="Z665" s="145" t="s">
        <v>75</v>
      </c>
      <c r="AA665" s="91"/>
      <c r="AB665" s="91"/>
      <c r="AC665" s="91"/>
      <c r="AD665" s="91"/>
      <c r="AE665" s="91"/>
      <c r="AF665" s="91"/>
      <c r="AG665" s="91"/>
      <c r="AH665" s="91"/>
      <c r="AI665" s="91"/>
      <c r="AJ665" s="91"/>
      <c r="AK665" s="91"/>
      <c r="AL665" s="91"/>
      <c r="AM665" s="91"/>
      <c r="AN665" s="91"/>
    </row>
    <row r="666" spans="2:40" ht="24" x14ac:dyDescent="0.2">
      <c r="C666" s="93"/>
      <c r="D666" s="122" t="s">
        <v>432</v>
      </c>
      <c r="E666" s="342"/>
      <c r="F666" s="343"/>
      <c r="G666" s="344"/>
      <c r="H666" s="268" t="s">
        <v>909</v>
      </c>
      <c r="I666" s="397" t="s">
        <v>949</v>
      </c>
      <c r="J666" s="398"/>
      <c r="K666" s="399"/>
      <c r="L666" s="198"/>
      <c r="M666" s="269"/>
      <c r="N666" s="195"/>
      <c r="O666" s="146" t="s">
        <v>810</v>
      </c>
      <c r="P666" s="199">
        <v>0.1</v>
      </c>
      <c r="Q666" s="200">
        <v>1.9E-2</v>
      </c>
      <c r="R666" s="201">
        <v>2.199999999999136E-2</v>
      </c>
      <c r="S666" s="150"/>
      <c r="T666" s="146">
        <v>5.0499999999991357E-2</v>
      </c>
      <c r="U666" s="200">
        <v>-12.04</v>
      </c>
      <c r="V666" s="199">
        <v>60.5</v>
      </c>
      <c r="W666" s="202">
        <v>2</v>
      </c>
      <c r="X666" s="184">
        <v>24.08</v>
      </c>
      <c r="Y666" s="151"/>
      <c r="Z666" s="151"/>
      <c r="AA666" s="91"/>
      <c r="AB666" s="91"/>
      <c r="AC666" s="91"/>
      <c r="AD666" s="91"/>
      <c r="AE666" s="91"/>
      <c r="AF666" s="91"/>
      <c r="AG666" s="91"/>
      <c r="AH666" s="91"/>
      <c r="AI666" s="91"/>
      <c r="AJ666" s="91"/>
      <c r="AK666" s="91"/>
      <c r="AL666" s="91"/>
      <c r="AM666" s="91"/>
      <c r="AN666" s="91"/>
    </row>
    <row r="667" spans="2:40" ht="24" x14ac:dyDescent="0.2">
      <c r="C667" s="93"/>
      <c r="D667" s="92" t="s">
        <v>433</v>
      </c>
      <c r="E667" s="357">
        <v>4.0000000000000001E-3</v>
      </c>
      <c r="F667" s="358"/>
      <c r="G667" s="359"/>
      <c r="H667" s="268" t="s">
        <v>910</v>
      </c>
      <c r="I667" s="400"/>
      <c r="J667" s="401"/>
      <c r="K667" s="402"/>
      <c r="L667" s="198"/>
      <c r="M667" s="269"/>
      <c r="N667" s="195"/>
      <c r="O667" s="152"/>
      <c r="P667" s="152"/>
      <c r="Q667" s="152"/>
      <c r="R667" s="153"/>
      <c r="S667" s="154"/>
      <c r="T667" s="152"/>
      <c r="U667" s="152"/>
      <c r="V667" s="152"/>
      <c r="W667" s="154"/>
      <c r="X667" s="154"/>
      <c r="Y667" s="155"/>
      <c r="Z667" s="155"/>
      <c r="AA667" s="91"/>
      <c r="AB667" s="91"/>
      <c r="AC667" s="91"/>
      <c r="AD667" s="91"/>
      <c r="AE667" s="91"/>
      <c r="AF667" s="91"/>
      <c r="AG667" s="91"/>
      <c r="AH667" s="91"/>
      <c r="AI667" s="91"/>
      <c r="AJ667" s="91"/>
      <c r="AK667" s="91"/>
      <c r="AL667" s="91"/>
      <c r="AM667" s="91"/>
      <c r="AN667" s="91"/>
    </row>
    <row r="668" spans="2:40" ht="24" x14ac:dyDescent="0.2">
      <c r="C668" s="93"/>
      <c r="D668" s="92" t="s">
        <v>434</v>
      </c>
      <c r="E668" s="357">
        <v>0</v>
      </c>
      <c r="F668" s="358"/>
      <c r="G668" s="359"/>
      <c r="H668" s="270"/>
      <c r="I668" s="400"/>
      <c r="J668" s="401"/>
      <c r="K668" s="402"/>
      <c r="L668" s="198"/>
      <c r="M668" s="269"/>
      <c r="N668" s="195"/>
      <c r="O668" s="156" t="s">
        <v>811</v>
      </c>
      <c r="P668" s="204">
        <v>0.1</v>
      </c>
      <c r="Q668" s="205">
        <v>5.7299999999999997E-2</v>
      </c>
      <c r="R668" s="206">
        <v>0.05</v>
      </c>
      <c r="S668" s="160">
        <v>1</v>
      </c>
      <c r="T668" s="156">
        <v>0.13595000000000002</v>
      </c>
      <c r="U668" s="161">
        <v>-32.412633663371885</v>
      </c>
      <c r="V668" s="162">
        <v>60.5</v>
      </c>
      <c r="W668" s="207">
        <v>3.28</v>
      </c>
      <c r="X668" s="164">
        <v>106.31343841585978</v>
      </c>
      <c r="Y668" s="165"/>
      <c r="Z668" s="165"/>
      <c r="AA668" s="91"/>
      <c r="AB668" s="91"/>
      <c r="AC668" s="91"/>
      <c r="AD668" s="91"/>
      <c r="AE668" s="91"/>
      <c r="AF668" s="91"/>
      <c r="AG668" s="91"/>
      <c r="AH668" s="91"/>
      <c r="AI668" s="91"/>
      <c r="AJ668" s="91"/>
      <c r="AK668" s="91"/>
      <c r="AL668" s="91"/>
      <c r="AM668" s="91"/>
      <c r="AN668" s="91"/>
    </row>
    <row r="669" spans="2:40" ht="25" thickBot="1" x14ac:dyDescent="0.25">
      <c r="C669" s="93"/>
      <c r="D669" s="94" t="s">
        <v>435</v>
      </c>
      <c r="E669" s="360">
        <v>0.29166666666666674</v>
      </c>
      <c r="F669" s="361"/>
      <c r="G669" s="362"/>
      <c r="H669" s="270"/>
      <c r="I669" s="400"/>
      <c r="J669" s="401"/>
      <c r="K669" s="402"/>
      <c r="L669" s="208">
        <v>0.52083333333333337</v>
      </c>
      <c r="M669" s="271">
        <v>0.375</v>
      </c>
      <c r="N669" s="195"/>
      <c r="O669" s="166" t="s">
        <v>812</v>
      </c>
      <c r="P669" s="209">
        <v>0.1</v>
      </c>
      <c r="Q669" s="187">
        <v>7.0800000000000002E-2</v>
      </c>
      <c r="R669" s="210">
        <v>0.05</v>
      </c>
      <c r="S669" s="170">
        <v>1</v>
      </c>
      <c r="T669" s="211">
        <v>0.15620000000000001</v>
      </c>
      <c r="U669" s="171">
        <v>-37.240554455451914</v>
      </c>
      <c r="V669" s="172">
        <v>60.5</v>
      </c>
      <c r="W669" s="212">
        <v>2.97</v>
      </c>
      <c r="X669" s="174">
        <v>110.6044467326922</v>
      </c>
      <c r="Y669" s="175"/>
      <c r="Z669" s="175"/>
      <c r="AA669" s="91"/>
      <c r="AB669" s="91"/>
      <c r="AC669" s="91"/>
      <c r="AD669" s="91"/>
      <c r="AE669" s="91"/>
      <c r="AF669" s="91"/>
      <c r="AG669" s="91"/>
      <c r="AH669" s="91"/>
      <c r="AI669" s="91"/>
      <c r="AJ669" s="91"/>
      <c r="AK669" s="91"/>
      <c r="AL669" s="91"/>
      <c r="AM669" s="91"/>
      <c r="AN669" s="91"/>
    </row>
    <row r="670" spans="2:40" ht="25" thickBot="1" x14ac:dyDescent="0.25">
      <c r="C670" s="93"/>
      <c r="D670" s="96" t="s">
        <v>436</v>
      </c>
      <c r="E670" s="97" t="s">
        <v>29</v>
      </c>
      <c r="F670" s="97" t="s">
        <v>28</v>
      </c>
      <c r="G670" s="98" t="s">
        <v>27</v>
      </c>
      <c r="H670" s="287" t="s">
        <v>793</v>
      </c>
      <c r="I670" s="400"/>
      <c r="J670" s="401"/>
      <c r="K670" s="402"/>
      <c r="L670" s="287" t="s">
        <v>1002</v>
      </c>
      <c r="M670" s="288"/>
      <c r="N670" s="195"/>
      <c r="O670" s="154"/>
      <c r="P670" s="176"/>
      <c r="Q670" s="154"/>
      <c r="R670" s="154"/>
      <c r="S670" s="154"/>
      <c r="T670" s="154"/>
      <c r="U670" s="177"/>
      <c r="V670" s="178"/>
      <c r="W670" s="154"/>
      <c r="X670" s="177"/>
      <c r="Y670" s="155"/>
      <c r="Z670" s="155"/>
      <c r="AA670" s="91"/>
      <c r="AB670" s="91"/>
      <c r="AC670" s="91"/>
      <c r="AD670" s="91"/>
      <c r="AE670" s="91"/>
      <c r="AF670" s="91"/>
      <c r="AG670" s="91"/>
      <c r="AH670" s="91"/>
      <c r="AI670" s="91"/>
      <c r="AJ670" s="91"/>
      <c r="AK670" s="91"/>
      <c r="AL670" s="91"/>
      <c r="AM670" s="91"/>
      <c r="AN670" s="91"/>
    </row>
    <row r="671" spans="2:40" ht="24" x14ac:dyDescent="0.2">
      <c r="C671" s="93"/>
      <c r="D671" s="99">
        <v>45595</v>
      </c>
      <c r="E671" s="113">
        <v>4.0000000000000001E-3</v>
      </c>
      <c r="F671" s="113" t="s">
        <v>460</v>
      </c>
      <c r="G671" s="113">
        <v>0</v>
      </c>
      <c r="H671" s="277">
        <v>0.54166666666666663</v>
      </c>
      <c r="I671" s="400"/>
      <c r="J671" s="401"/>
      <c r="K671" s="402"/>
      <c r="L671" s="272">
        <v>0.33333333333333331</v>
      </c>
      <c r="M671" s="289"/>
      <c r="N671" s="195"/>
      <c r="O671" s="179"/>
      <c r="P671" s="155"/>
      <c r="Q671" s="179"/>
      <c r="R671" s="179"/>
      <c r="S671" s="179"/>
      <c r="T671" s="179"/>
      <c r="U671" s="179"/>
      <c r="V671" s="179"/>
      <c r="W671" s="179"/>
      <c r="X671" s="179"/>
      <c r="Y671" s="155"/>
      <c r="Z671" s="155"/>
      <c r="AA671" s="91"/>
      <c r="AB671" s="91"/>
      <c r="AC671" s="91"/>
      <c r="AD671" s="91"/>
      <c r="AE671" s="91"/>
      <c r="AF671" s="91"/>
      <c r="AG671" s="91"/>
      <c r="AH671" s="91"/>
      <c r="AI671" s="91"/>
      <c r="AJ671" s="91"/>
      <c r="AK671" s="91"/>
      <c r="AL671" s="91"/>
      <c r="AM671" s="91"/>
      <c r="AN671" s="91"/>
    </row>
    <row r="672" spans="2:40" ht="24" x14ac:dyDescent="0.2">
      <c r="C672" s="93"/>
      <c r="D672" s="99">
        <v>45576</v>
      </c>
      <c r="E672" s="113">
        <v>0</v>
      </c>
      <c r="F672" s="113" t="s">
        <v>458</v>
      </c>
      <c r="G672" s="113">
        <v>-1E-3</v>
      </c>
      <c r="H672" s="277">
        <v>0.25</v>
      </c>
      <c r="I672" s="400"/>
      <c r="J672" s="401"/>
      <c r="K672" s="402"/>
      <c r="L672" s="272">
        <v>4.1666666666666664E-2</v>
      </c>
      <c r="M672" s="290"/>
      <c r="N672" s="195"/>
      <c r="O672" s="146" t="s">
        <v>813</v>
      </c>
      <c r="P672" s="199">
        <v>0.1</v>
      </c>
      <c r="Q672" s="180">
        <v>6.4049999999999996E-2</v>
      </c>
      <c r="R672" s="181">
        <v>0.05</v>
      </c>
      <c r="S672" s="150">
        <v>1</v>
      </c>
      <c r="T672" s="156">
        <v>0.14607500000000001</v>
      </c>
      <c r="U672" s="182">
        <v>-34.826594059411903</v>
      </c>
      <c r="V672" s="183">
        <v>60.5</v>
      </c>
      <c r="W672" s="150">
        <v>2</v>
      </c>
      <c r="X672" s="184">
        <v>69.653188118823806</v>
      </c>
      <c r="Y672" s="185"/>
      <c r="Z672" s="185"/>
      <c r="AA672" s="91"/>
      <c r="AB672" s="91"/>
      <c r="AC672" s="91"/>
      <c r="AD672" s="91"/>
      <c r="AE672" s="91"/>
      <c r="AF672" s="91"/>
      <c r="AG672" s="91"/>
      <c r="AH672" s="91"/>
      <c r="AI672" s="91"/>
      <c r="AJ672" s="91"/>
      <c r="AK672" s="91"/>
      <c r="AL672" s="91"/>
      <c r="AM672" s="91"/>
      <c r="AN672" s="91"/>
    </row>
    <row r="673" spans="3:40" ht="24" x14ac:dyDescent="0.2">
      <c r="C673" s="93"/>
      <c r="D673" s="99">
        <v>45565</v>
      </c>
      <c r="E673" s="113">
        <v>0</v>
      </c>
      <c r="F673" s="113" t="s">
        <v>462</v>
      </c>
      <c r="G673" s="113">
        <v>-1E-3</v>
      </c>
      <c r="H673" s="277">
        <v>0.5</v>
      </c>
      <c r="I673" s="400"/>
      <c r="J673" s="401"/>
      <c r="K673" s="402"/>
      <c r="L673" s="272">
        <v>0.29166666666666669</v>
      </c>
      <c r="M673" s="269"/>
      <c r="N673" s="195"/>
      <c r="O673" s="146"/>
      <c r="P673" s="146"/>
      <c r="Q673" s="180"/>
      <c r="R673" s="181"/>
      <c r="S673" s="150"/>
      <c r="T673" s="199"/>
      <c r="U673" s="182"/>
      <c r="V673" s="183"/>
      <c r="W673" s="150"/>
      <c r="X673" s="184"/>
      <c r="Y673" s="185"/>
      <c r="Z673" s="185"/>
      <c r="AA673" s="91"/>
      <c r="AB673" s="91"/>
      <c r="AC673" s="91"/>
      <c r="AD673" s="91"/>
      <c r="AE673" s="91"/>
      <c r="AF673" s="91"/>
      <c r="AG673" s="91"/>
      <c r="AH673" s="91"/>
      <c r="AI673" s="91"/>
      <c r="AJ673" s="91"/>
      <c r="AK673" s="91"/>
      <c r="AL673" s="91"/>
      <c r="AM673" s="91"/>
      <c r="AN673" s="91"/>
    </row>
    <row r="674" spans="3:40" ht="24" x14ac:dyDescent="0.2">
      <c r="C674" s="93"/>
      <c r="D674" s="99">
        <v>45545</v>
      </c>
      <c r="E674" s="113">
        <v>-1E-3</v>
      </c>
      <c r="F674" s="113" t="s">
        <v>456</v>
      </c>
      <c r="G674" s="113">
        <v>3.0000000000000001E-3</v>
      </c>
      <c r="H674" s="277">
        <v>0.25</v>
      </c>
      <c r="I674" s="400"/>
      <c r="J674" s="401"/>
      <c r="K674" s="402"/>
      <c r="L674" s="272">
        <v>4.1666666666666664E-2</v>
      </c>
      <c r="M674" s="269"/>
      <c r="N674" s="195"/>
      <c r="O674" s="146" t="s">
        <v>816</v>
      </c>
      <c r="P674" s="147"/>
      <c r="Q674" s="180"/>
      <c r="R674" s="181"/>
      <c r="S674" s="150"/>
      <c r="T674" s="147"/>
      <c r="U674" s="182">
        <v>0</v>
      </c>
      <c r="V674" s="183"/>
      <c r="W674" s="150"/>
      <c r="X674" s="184">
        <v>0</v>
      </c>
      <c r="Y674" s="185"/>
      <c r="Z674" s="185"/>
      <c r="AA674" s="91"/>
      <c r="AB674" s="91"/>
      <c r="AC674" s="91"/>
      <c r="AD674" s="91"/>
      <c r="AE674" s="91"/>
      <c r="AF674" s="91"/>
      <c r="AG674" s="91"/>
      <c r="AH674" s="91"/>
      <c r="AI674" s="91"/>
      <c r="AJ674" s="91"/>
      <c r="AK674" s="91"/>
      <c r="AL674" s="91"/>
      <c r="AM674" s="91"/>
      <c r="AN674" s="91"/>
    </row>
    <row r="675" spans="3:40" ht="24" x14ac:dyDescent="0.2">
      <c r="C675" s="93"/>
      <c r="D675" s="99">
        <v>45533</v>
      </c>
      <c r="E675" s="113">
        <v>-1E-3</v>
      </c>
      <c r="F675" s="113" t="s">
        <v>458</v>
      </c>
      <c r="G675" s="113">
        <v>3.0000000000000001E-3</v>
      </c>
      <c r="H675" s="277">
        <v>0.5</v>
      </c>
      <c r="I675" s="400"/>
      <c r="J675" s="401"/>
      <c r="K675" s="402"/>
      <c r="L675" s="272">
        <v>0.29166666666666669</v>
      </c>
      <c r="M675" s="269"/>
      <c r="N675" s="195"/>
      <c r="O675" s="91"/>
      <c r="P675" s="91"/>
      <c r="Q675" s="91"/>
      <c r="R675" s="91"/>
      <c r="S675" s="91"/>
      <c r="T675" s="91"/>
      <c r="U675" s="91"/>
      <c r="V675" s="91"/>
      <c r="W675" s="91"/>
      <c r="X675" s="91"/>
      <c r="Y675" s="91"/>
      <c r="Z675" s="91"/>
      <c r="AA675" s="91"/>
      <c r="AB675" s="91"/>
      <c r="AC675" s="91"/>
      <c r="AD675" s="91"/>
      <c r="AE675" s="91"/>
      <c r="AF675" s="91"/>
      <c r="AG675" s="91"/>
      <c r="AH675" s="91"/>
      <c r="AI675" s="91"/>
      <c r="AJ675" s="91"/>
      <c r="AK675" s="91"/>
      <c r="AL675" s="91"/>
      <c r="AM675" s="91"/>
      <c r="AN675" s="91"/>
    </row>
    <row r="676" spans="3:40" ht="25" thickBot="1" x14ac:dyDescent="0.25">
      <c r="C676" s="93"/>
      <c r="D676" s="99">
        <v>45513</v>
      </c>
      <c r="E676" s="113">
        <v>3.0000000000000001E-3</v>
      </c>
      <c r="F676" s="113" t="s">
        <v>467</v>
      </c>
      <c r="G676" s="113">
        <v>1E-3</v>
      </c>
      <c r="H676" s="291">
        <v>0.25</v>
      </c>
      <c r="I676" s="403"/>
      <c r="J676" s="404"/>
      <c r="K676" s="405"/>
      <c r="L676" s="292">
        <v>4.1666666666666664E-2</v>
      </c>
      <c r="M676" s="280"/>
      <c r="N676" s="195"/>
      <c r="O676" s="91"/>
      <c r="P676" s="91"/>
      <c r="Q676" s="91"/>
      <c r="R676" s="91"/>
      <c r="S676" s="91"/>
      <c r="T676" s="91"/>
      <c r="U676" s="91"/>
      <c r="V676" s="91"/>
      <c r="W676" s="91"/>
      <c r="X676" s="91"/>
      <c r="Y676" s="91"/>
      <c r="Z676" s="91"/>
      <c r="AA676" s="91"/>
      <c r="AB676" s="91"/>
      <c r="AC676" s="91"/>
      <c r="AD676" s="91"/>
      <c r="AE676" s="91"/>
      <c r="AF676" s="91"/>
      <c r="AG676" s="91"/>
      <c r="AH676" s="91"/>
      <c r="AI676" s="91"/>
      <c r="AJ676" s="91"/>
      <c r="AK676" s="91"/>
      <c r="AL676" s="91"/>
      <c r="AM676" s="91"/>
      <c r="AN676" s="91"/>
    </row>
    <row r="677" spans="3:40" ht="73" thickBot="1" x14ac:dyDescent="0.25">
      <c r="C677" s="93">
        <v>2</v>
      </c>
      <c r="D677" s="123" t="s">
        <v>30</v>
      </c>
      <c r="E677" s="363" t="s">
        <v>950</v>
      </c>
      <c r="F677" s="364"/>
      <c r="G677" s="365"/>
      <c r="H677" s="265" t="s">
        <v>790</v>
      </c>
      <c r="I677" s="406" t="s">
        <v>633</v>
      </c>
      <c r="J677" s="407"/>
      <c r="K677" s="408"/>
      <c r="L677" s="266" t="s">
        <v>430</v>
      </c>
      <c r="M677" s="267" t="s">
        <v>431</v>
      </c>
      <c r="N677" s="195" t="s">
        <v>105</v>
      </c>
      <c r="O677" s="145" t="s">
        <v>800</v>
      </c>
      <c r="P677" s="145" t="s">
        <v>801</v>
      </c>
      <c r="Q677" s="145" t="s">
        <v>802</v>
      </c>
      <c r="R677" s="145" t="s">
        <v>803</v>
      </c>
      <c r="S677" s="145" t="s">
        <v>804</v>
      </c>
      <c r="T677" s="145" t="s">
        <v>805</v>
      </c>
      <c r="U677" s="145" t="s">
        <v>806</v>
      </c>
      <c r="V677" s="145" t="s">
        <v>807</v>
      </c>
      <c r="W677" s="145" t="s">
        <v>808</v>
      </c>
      <c r="X677" s="145" t="s">
        <v>809</v>
      </c>
      <c r="Y677" s="145" t="s">
        <v>75</v>
      </c>
      <c r="Z677" s="145" t="s">
        <v>75</v>
      </c>
      <c r="AA677" s="91"/>
      <c r="AB677" s="91"/>
      <c r="AC677" s="91"/>
      <c r="AD677" s="91"/>
      <c r="AE677" s="91"/>
      <c r="AF677" s="91"/>
      <c r="AG677" s="91"/>
      <c r="AH677" s="91"/>
      <c r="AI677" s="91"/>
      <c r="AJ677" s="91"/>
      <c r="AK677" s="91"/>
      <c r="AL677" s="91"/>
      <c r="AM677" s="91"/>
      <c r="AN677" s="91"/>
    </row>
    <row r="678" spans="3:40" ht="24" x14ac:dyDescent="0.2">
      <c r="C678" s="93"/>
      <c r="D678" s="122" t="s">
        <v>432</v>
      </c>
      <c r="E678" s="342"/>
      <c r="F678" s="343"/>
      <c r="G678" s="344"/>
      <c r="H678" s="268" t="s">
        <v>794</v>
      </c>
      <c r="I678" s="397" t="s">
        <v>951</v>
      </c>
      <c r="J678" s="398"/>
      <c r="K678" s="399"/>
      <c r="L678" s="198"/>
      <c r="M678" s="269"/>
      <c r="N678" s="195"/>
      <c r="O678" s="146" t="s">
        <v>810</v>
      </c>
      <c r="P678" s="199">
        <v>0.1</v>
      </c>
      <c r="Q678" s="200">
        <v>0.03</v>
      </c>
      <c r="R678" s="201">
        <v>1.5999999999991132E-2</v>
      </c>
      <c r="S678" s="150"/>
      <c r="T678" s="146">
        <v>6.0999999999991131E-2</v>
      </c>
      <c r="U678" s="200">
        <v>-14.17</v>
      </c>
      <c r="V678" s="199">
        <v>91.8</v>
      </c>
      <c r="W678" s="202">
        <v>2</v>
      </c>
      <c r="X678" s="184">
        <v>28.34</v>
      </c>
      <c r="Y678" s="151"/>
      <c r="Z678" s="151"/>
      <c r="AA678" s="91"/>
      <c r="AB678" s="91"/>
      <c r="AC678" s="91"/>
      <c r="AD678" s="91"/>
      <c r="AE678" s="91"/>
      <c r="AF678" s="91"/>
      <c r="AG678" s="91"/>
      <c r="AH678" s="91"/>
      <c r="AI678" s="91"/>
      <c r="AJ678" s="91"/>
      <c r="AK678" s="91"/>
      <c r="AL678" s="91"/>
      <c r="AM678" s="91"/>
      <c r="AN678" s="91"/>
    </row>
    <row r="679" spans="3:40" ht="24" x14ac:dyDescent="0.2">
      <c r="C679" s="93"/>
      <c r="D679" s="92" t="s">
        <v>433</v>
      </c>
      <c r="E679" s="357">
        <v>3.0000000000000001E-3</v>
      </c>
      <c r="F679" s="358"/>
      <c r="G679" s="359"/>
      <c r="H679" s="268" t="s">
        <v>795</v>
      </c>
      <c r="I679" s="400"/>
      <c r="J679" s="401"/>
      <c r="K679" s="402"/>
      <c r="L679" s="198"/>
      <c r="M679" s="269"/>
      <c r="N679" s="195"/>
      <c r="O679" s="152"/>
      <c r="P679" s="152"/>
      <c r="Q679" s="152"/>
      <c r="R679" s="153"/>
      <c r="S679" s="154"/>
      <c r="T679" s="152"/>
      <c r="U679" s="152"/>
      <c r="V679" s="152"/>
      <c r="W679" s="154"/>
      <c r="X679" s="154"/>
      <c r="Y679" s="155"/>
      <c r="Z679" s="155"/>
      <c r="AA679" s="91"/>
      <c r="AB679" s="91"/>
      <c r="AC679" s="91"/>
      <c r="AD679" s="91"/>
      <c r="AE679" s="91"/>
      <c r="AF679" s="91"/>
      <c r="AG679" s="91"/>
      <c r="AH679" s="91"/>
      <c r="AI679" s="91"/>
      <c r="AJ679" s="91"/>
      <c r="AK679" s="91"/>
      <c r="AL679" s="91"/>
      <c r="AM679" s="91"/>
      <c r="AN679" s="91"/>
    </row>
    <row r="680" spans="3:40" ht="24" x14ac:dyDescent="0.2">
      <c r="C680" s="93"/>
      <c r="D680" s="92" t="s">
        <v>434</v>
      </c>
      <c r="E680" s="357">
        <v>3.0000000000000001E-3</v>
      </c>
      <c r="F680" s="358"/>
      <c r="G680" s="359"/>
      <c r="H680" s="270"/>
      <c r="I680" s="400"/>
      <c r="J680" s="401"/>
      <c r="K680" s="402"/>
      <c r="L680" s="198"/>
      <c r="M680" s="269"/>
      <c r="N680" s="195"/>
      <c r="O680" s="156" t="s">
        <v>811</v>
      </c>
      <c r="P680" s="204">
        <v>0.1</v>
      </c>
      <c r="Q680" s="205">
        <v>5.7000000000000002E-2</v>
      </c>
      <c r="R680" s="206">
        <v>7.0000000000000007E-2</v>
      </c>
      <c r="S680" s="160">
        <v>1</v>
      </c>
      <c r="T680" s="156">
        <v>0.15550000000000003</v>
      </c>
      <c r="U680" s="161">
        <v>-36.121885245906896</v>
      </c>
      <c r="V680" s="162">
        <v>60.5</v>
      </c>
      <c r="W680" s="207">
        <v>2.74</v>
      </c>
      <c r="X680" s="164">
        <v>98.973965573784895</v>
      </c>
      <c r="Y680" s="165"/>
      <c r="Z680" s="165">
        <v>4.4350000000000005</v>
      </c>
      <c r="AA680" s="91"/>
      <c r="AB680" s="91"/>
      <c r="AC680" s="91"/>
      <c r="AD680" s="91"/>
      <c r="AE680" s="91"/>
      <c r="AF680" s="91"/>
      <c r="AG680" s="91"/>
      <c r="AH680" s="91"/>
      <c r="AI680" s="91"/>
      <c r="AJ680" s="91"/>
      <c r="AK680" s="91"/>
      <c r="AL680" s="91"/>
      <c r="AM680" s="91"/>
      <c r="AN680" s="91"/>
    </row>
    <row r="681" spans="3:40" ht="25" thickBot="1" x14ac:dyDescent="0.25">
      <c r="C681" s="93"/>
      <c r="D681" s="94" t="s">
        <v>435</v>
      </c>
      <c r="E681" s="360">
        <v>0.5625</v>
      </c>
      <c r="F681" s="361"/>
      <c r="G681" s="362"/>
      <c r="H681" s="270"/>
      <c r="I681" s="400"/>
      <c r="J681" s="401"/>
      <c r="K681" s="402"/>
      <c r="L681" s="208">
        <v>0.79166666666666663</v>
      </c>
      <c r="M681" s="271">
        <v>0.64583333333333326</v>
      </c>
      <c r="N681" s="195"/>
      <c r="O681" s="166" t="s">
        <v>812</v>
      </c>
      <c r="P681" s="209">
        <v>0.1</v>
      </c>
      <c r="Q681" s="187">
        <v>0.106</v>
      </c>
      <c r="R681" s="210">
        <v>7.0000000000000007E-2</v>
      </c>
      <c r="S681" s="170">
        <v>1</v>
      </c>
      <c r="T681" s="211">
        <v>0.22900000000000001</v>
      </c>
      <c r="U681" s="171">
        <v>-53.195573770499543</v>
      </c>
      <c r="V681" s="172">
        <v>60.5</v>
      </c>
      <c r="W681" s="212">
        <v>4.0600000000000005</v>
      </c>
      <c r="X681" s="174">
        <v>215.97402950822817</v>
      </c>
      <c r="Y681" s="175"/>
      <c r="Z681" s="175"/>
      <c r="AA681" s="91"/>
      <c r="AB681" s="91"/>
      <c r="AC681" s="91"/>
      <c r="AD681" s="91"/>
      <c r="AE681" s="91"/>
      <c r="AF681" s="91"/>
      <c r="AG681" s="91"/>
      <c r="AH681" s="91"/>
      <c r="AI681" s="91"/>
      <c r="AJ681" s="91"/>
      <c r="AK681" s="91"/>
      <c r="AL681" s="91"/>
      <c r="AM681" s="91"/>
      <c r="AN681" s="91"/>
    </row>
    <row r="682" spans="3:40" ht="25" thickBot="1" x14ac:dyDescent="0.25">
      <c r="C682" s="93"/>
      <c r="D682" s="96" t="s">
        <v>436</v>
      </c>
      <c r="E682" s="97" t="s">
        <v>29</v>
      </c>
      <c r="F682" s="97" t="s">
        <v>28</v>
      </c>
      <c r="G682" s="98" t="s">
        <v>27</v>
      </c>
      <c r="H682" s="287" t="s">
        <v>793</v>
      </c>
      <c r="I682" s="400"/>
      <c r="J682" s="401"/>
      <c r="K682" s="402"/>
      <c r="L682" s="287" t="s">
        <v>1002</v>
      </c>
      <c r="M682" s="288"/>
      <c r="N682" s="195"/>
      <c r="O682" s="154"/>
      <c r="P682" s="176"/>
      <c r="Q682" s="154"/>
      <c r="R682" s="154"/>
      <c r="S682" s="154"/>
      <c r="T682" s="154"/>
      <c r="U682" s="177"/>
      <c r="V682" s="178"/>
      <c r="W682" s="154"/>
      <c r="X682" s="177"/>
      <c r="Y682" s="155"/>
      <c r="Z682" s="155"/>
      <c r="AA682" s="91"/>
      <c r="AB682" s="91"/>
      <c r="AC682" s="91"/>
      <c r="AD682" s="91"/>
      <c r="AE682" s="91"/>
      <c r="AF682" s="91"/>
      <c r="AG682" s="91"/>
      <c r="AH682" s="91"/>
      <c r="AI682" s="91"/>
      <c r="AJ682" s="91"/>
      <c r="AK682" s="91"/>
      <c r="AL682" s="91"/>
      <c r="AM682" s="91"/>
      <c r="AN682" s="91"/>
    </row>
    <row r="683" spans="3:40" ht="24" x14ac:dyDescent="0.2">
      <c r="C683" s="93"/>
      <c r="D683" s="99">
        <v>45575</v>
      </c>
      <c r="E683" s="113">
        <v>3.0000000000000001E-3</v>
      </c>
      <c r="F683" s="113" t="s">
        <v>460</v>
      </c>
      <c r="G683" s="113">
        <v>3.0000000000000001E-3</v>
      </c>
      <c r="H683" s="277">
        <v>0.52083333333333337</v>
      </c>
      <c r="I683" s="400"/>
      <c r="J683" s="401"/>
      <c r="K683" s="402"/>
      <c r="L683" s="272">
        <v>0.3125</v>
      </c>
      <c r="M683" s="289"/>
      <c r="N683" s="195"/>
      <c r="O683" s="179"/>
      <c r="P683" s="155"/>
      <c r="Q683" s="179"/>
      <c r="R683" s="179"/>
      <c r="S683" s="179"/>
      <c r="T683" s="179"/>
      <c r="U683" s="179"/>
      <c r="V683" s="179"/>
      <c r="W683" s="179"/>
      <c r="X683" s="179"/>
      <c r="Y683" s="155"/>
      <c r="Z683" s="155"/>
      <c r="AA683" s="91"/>
      <c r="AB683" s="91"/>
      <c r="AC683" s="91"/>
      <c r="AD683" s="91"/>
      <c r="AE683" s="91"/>
      <c r="AF683" s="91"/>
      <c r="AG683" s="91"/>
      <c r="AH683" s="91"/>
      <c r="AI683" s="91"/>
      <c r="AJ683" s="91"/>
      <c r="AK683" s="91"/>
      <c r="AL683" s="91"/>
      <c r="AM683" s="91"/>
      <c r="AN683" s="91"/>
    </row>
    <row r="684" spans="3:40" ht="24" x14ac:dyDescent="0.2">
      <c r="C684" s="93"/>
      <c r="D684" s="99">
        <v>45546</v>
      </c>
      <c r="E684" s="113">
        <v>3.0000000000000001E-3</v>
      </c>
      <c r="F684" s="113" t="s">
        <v>460</v>
      </c>
      <c r="G684" s="113">
        <v>2E-3</v>
      </c>
      <c r="H684" s="277">
        <v>0.52083333333333337</v>
      </c>
      <c r="I684" s="400"/>
      <c r="J684" s="401"/>
      <c r="K684" s="402"/>
      <c r="L684" s="272">
        <v>0.3125</v>
      </c>
      <c r="M684" s="290"/>
      <c r="N684" s="195"/>
      <c r="O684" s="146" t="s">
        <v>813</v>
      </c>
      <c r="P684" s="199">
        <v>0.1</v>
      </c>
      <c r="Q684" s="180">
        <v>8.1500000000000003E-2</v>
      </c>
      <c r="R684" s="181">
        <v>7.0000000000000007E-2</v>
      </c>
      <c r="S684" s="150">
        <v>1</v>
      </c>
      <c r="T684" s="156">
        <v>0.19225</v>
      </c>
      <c r="U684" s="182">
        <v>-44.658729508203216</v>
      </c>
      <c r="V684" s="183">
        <v>60.5</v>
      </c>
      <c r="W684" s="150">
        <v>2</v>
      </c>
      <c r="X684" s="184">
        <v>89.317459016406431</v>
      </c>
      <c r="Y684" s="185"/>
      <c r="Z684" s="185"/>
      <c r="AA684" s="91"/>
      <c r="AB684" s="91"/>
      <c r="AC684" s="91"/>
      <c r="AD684" s="91"/>
      <c r="AE684" s="91"/>
      <c r="AF684" s="91"/>
      <c r="AG684" s="91"/>
      <c r="AH684" s="91"/>
      <c r="AI684" s="91"/>
      <c r="AJ684" s="91"/>
      <c r="AK684" s="91"/>
      <c r="AL684" s="91"/>
      <c r="AM684" s="91"/>
      <c r="AN684" s="91"/>
    </row>
    <row r="685" spans="3:40" ht="24" x14ac:dyDescent="0.2">
      <c r="C685" s="93"/>
      <c r="D685" s="99">
        <v>45518</v>
      </c>
      <c r="E685" s="113">
        <v>2E-3</v>
      </c>
      <c r="F685" s="113" t="s">
        <v>460</v>
      </c>
      <c r="G685" s="113">
        <v>1E-3</v>
      </c>
      <c r="H685" s="277">
        <v>0.52083333333333337</v>
      </c>
      <c r="I685" s="400"/>
      <c r="J685" s="401"/>
      <c r="K685" s="402"/>
      <c r="L685" s="272">
        <v>0.3125</v>
      </c>
      <c r="M685" s="269"/>
      <c r="N685" s="195"/>
      <c r="O685" s="146"/>
      <c r="P685" s="146"/>
      <c r="Q685" s="180"/>
      <c r="R685" s="181"/>
      <c r="S685" s="150"/>
      <c r="T685" s="199"/>
      <c r="U685" s="182"/>
      <c r="V685" s="183"/>
      <c r="W685" s="150"/>
      <c r="X685" s="184"/>
      <c r="Y685" s="185"/>
      <c r="Z685" s="185"/>
      <c r="AA685" s="91"/>
      <c r="AB685" s="91"/>
      <c r="AC685" s="91"/>
      <c r="AD685" s="91"/>
      <c r="AE685" s="91"/>
      <c r="AF685" s="91"/>
      <c r="AG685" s="91"/>
      <c r="AH685" s="91"/>
      <c r="AI685" s="91"/>
      <c r="AJ685" s="91"/>
      <c r="AK685" s="91"/>
      <c r="AL685" s="91"/>
      <c r="AM685" s="91"/>
      <c r="AN685" s="91"/>
    </row>
    <row r="686" spans="3:40" ht="24" x14ac:dyDescent="0.2">
      <c r="C686" s="93"/>
      <c r="D686" s="99">
        <v>45484</v>
      </c>
      <c r="E686" s="113">
        <v>1E-3</v>
      </c>
      <c r="F686" s="113" t="s">
        <v>460</v>
      </c>
      <c r="G686" s="113">
        <v>2E-3</v>
      </c>
      <c r="H686" s="277">
        <v>0.52083333333333337</v>
      </c>
      <c r="I686" s="400"/>
      <c r="J686" s="401"/>
      <c r="K686" s="402"/>
      <c r="L686" s="272">
        <v>0.3125</v>
      </c>
      <c r="M686" s="269"/>
      <c r="N686" s="195"/>
      <c r="O686" s="146" t="s">
        <v>816</v>
      </c>
      <c r="P686" s="147"/>
      <c r="Q686" s="180"/>
      <c r="R686" s="181"/>
      <c r="S686" s="150"/>
      <c r="T686" s="147"/>
      <c r="U686" s="182">
        <v>0</v>
      </c>
      <c r="V686" s="183"/>
      <c r="W686" s="150"/>
      <c r="X686" s="184">
        <v>0</v>
      </c>
      <c r="Y686" s="185"/>
      <c r="Z686" s="185"/>
      <c r="AA686" s="91"/>
      <c r="AB686" s="91"/>
      <c r="AC686" s="91"/>
      <c r="AD686" s="91"/>
      <c r="AE686" s="91"/>
      <c r="AF686" s="91"/>
      <c r="AG686" s="91"/>
      <c r="AH686" s="91"/>
      <c r="AI686" s="91"/>
      <c r="AJ686" s="91"/>
      <c r="AK686" s="91"/>
      <c r="AL686" s="91"/>
      <c r="AM686" s="91"/>
      <c r="AN686" s="91"/>
    </row>
    <row r="687" spans="3:40" ht="24" x14ac:dyDescent="0.2">
      <c r="C687" s="93"/>
      <c r="D687" s="99">
        <v>45455</v>
      </c>
      <c r="E687" s="113">
        <v>2E-3</v>
      </c>
      <c r="F687" s="113" t="s">
        <v>467</v>
      </c>
      <c r="G687" s="113">
        <v>3.0000000000000001E-3</v>
      </c>
      <c r="H687" s="277">
        <v>0.52083333333333337</v>
      </c>
      <c r="I687" s="400"/>
      <c r="J687" s="401"/>
      <c r="K687" s="402"/>
      <c r="L687" s="272">
        <v>0.3125</v>
      </c>
      <c r="M687" s="269"/>
      <c r="N687" s="195"/>
      <c r="O687" s="91"/>
      <c r="P687" s="91"/>
      <c r="Q687" s="91"/>
      <c r="R687" s="91"/>
      <c r="S687" s="91"/>
      <c r="T687" s="91"/>
      <c r="U687" s="91"/>
      <c r="V687" s="91"/>
      <c r="W687" s="91"/>
      <c r="X687" s="91"/>
      <c r="Y687" s="91"/>
      <c r="Z687" s="91"/>
      <c r="AA687" s="91"/>
      <c r="AB687" s="91"/>
      <c r="AC687" s="91"/>
      <c r="AD687" s="91"/>
      <c r="AE687" s="91"/>
      <c r="AF687" s="91"/>
      <c r="AG687" s="91"/>
      <c r="AH687" s="91"/>
      <c r="AI687" s="91"/>
      <c r="AJ687" s="91"/>
      <c r="AK687" s="91"/>
      <c r="AL687" s="91"/>
      <c r="AM687" s="91"/>
      <c r="AN687" s="91"/>
    </row>
    <row r="688" spans="3:40" ht="25" thickBot="1" x14ac:dyDescent="0.25">
      <c r="C688" s="93"/>
      <c r="D688" s="99">
        <v>45427</v>
      </c>
      <c r="E688" s="113">
        <v>3.0000000000000001E-3</v>
      </c>
      <c r="F688" s="113" t="s">
        <v>467</v>
      </c>
      <c r="G688" s="113">
        <v>4.0000000000000001E-3</v>
      </c>
      <c r="H688" s="291">
        <v>0.52083333333333337</v>
      </c>
      <c r="I688" s="403"/>
      <c r="J688" s="404"/>
      <c r="K688" s="405"/>
      <c r="L688" s="292">
        <v>0.3125</v>
      </c>
      <c r="M688" s="280"/>
      <c r="N688" s="195"/>
      <c r="O688" s="91"/>
      <c r="P688" s="91"/>
      <c r="Q688" s="91"/>
      <c r="R688" s="91"/>
      <c r="S688" s="91"/>
      <c r="T688" s="91"/>
      <c r="U688" s="91"/>
      <c r="V688" s="91"/>
      <c r="W688" s="91"/>
      <c r="X688" s="91"/>
      <c r="Y688" s="91"/>
      <c r="Z688" s="91"/>
      <c r="AA688" s="91"/>
      <c r="AB688" s="91"/>
      <c r="AC688" s="91"/>
      <c r="AD688" s="91"/>
      <c r="AE688" s="91"/>
      <c r="AF688" s="91"/>
      <c r="AG688" s="91"/>
      <c r="AH688" s="91"/>
      <c r="AI688" s="91"/>
      <c r="AJ688" s="91"/>
      <c r="AK688" s="91"/>
      <c r="AL688" s="91"/>
      <c r="AM688" s="91"/>
      <c r="AN688" s="91"/>
    </row>
    <row r="689" spans="3:40" ht="73" thickBot="1" x14ac:dyDescent="0.25">
      <c r="C689" s="93">
        <v>3</v>
      </c>
      <c r="D689" s="123" t="s">
        <v>30</v>
      </c>
      <c r="E689" s="363" t="s">
        <v>952</v>
      </c>
      <c r="F689" s="364"/>
      <c r="G689" s="365"/>
      <c r="H689" s="265" t="s">
        <v>790</v>
      </c>
      <c r="I689" s="406" t="s">
        <v>633</v>
      </c>
      <c r="J689" s="407"/>
      <c r="K689" s="408"/>
      <c r="L689" s="266" t="s">
        <v>430</v>
      </c>
      <c r="M689" s="267" t="s">
        <v>431</v>
      </c>
      <c r="N689" s="195" t="s">
        <v>105</v>
      </c>
      <c r="O689" s="145" t="s">
        <v>800</v>
      </c>
      <c r="P689" s="145" t="s">
        <v>801</v>
      </c>
      <c r="Q689" s="145" t="s">
        <v>802</v>
      </c>
      <c r="R689" s="145" t="s">
        <v>803</v>
      </c>
      <c r="S689" s="145" t="s">
        <v>804</v>
      </c>
      <c r="T689" s="145" t="s">
        <v>805</v>
      </c>
      <c r="U689" s="145" t="s">
        <v>806</v>
      </c>
      <c r="V689" s="145" t="s">
        <v>807</v>
      </c>
      <c r="W689" s="145" t="s">
        <v>808</v>
      </c>
      <c r="X689" s="145" t="s">
        <v>809</v>
      </c>
      <c r="Y689" s="145" t="s">
        <v>75</v>
      </c>
      <c r="Z689" s="145" t="s">
        <v>75</v>
      </c>
      <c r="AA689" s="91"/>
      <c r="AB689" s="91"/>
      <c r="AC689" s="91"/>
      <c r="AD689" s="91"/>
      <c r="AE689" s="91"/>
      <c r="AF689" s="91"/>
      <c r="AG689" s="91"/>
      <c r="AH689" s="91"/>
      <c r="AI689" s="91"/>
      <c r="AJ689" s="91"/>
      <c r="AK689" s="91"/>
      <c r="AL689" s="91"/>
      <c r="AM689" s="91"/>
      <c r="AN689" s="91"/>
    </row>
    <row r="690" spans="3:40" ht="24" x14ac:dyDescent="0.2">
      <c r="C690" s="93"/>
      <c r="D690" s="122" t="s">
        <v>432</v>
      </c>
      <c r="E690" s="369"/>
      <c r="F690" s="370"/>
      <c r="G690" s="371"/>
      <c r="H690" s="268" t="s">
        <v>794</v>
      </c>
      <c r="I690" s="397" t="s">
        <v>953</v>
      </c>
      <c r="J690" s="398"/>
      <c r="K690" s="399"/>
      <c r="L690" s="198"/>
      <c r="M690" s="269"/>
      <c r="N690" s="195"/>
      <c r="O690" s="146" t="s">
        <v>810</v>
      </c>
      <c r="P690" s="199">
        <v>0.1</v>
      </c>
      <c r="Q690" s="200">
        <v>2.7E-2</v>
      </c>
      <c r="R690" s="201">
        <v>1.5999999999991132E-2</v>
      </c>
      <c r="S690" s="150"/>
      <c r="T690" s="146">
        <v>5.6499999999991134E-2</v>
      </c>
      <c r="U690" s="200">
        <v>-13.31</v>
      </c>
      <c r="V690" s="199">
        <v>91.8</v>
      </c>
      <c r="W690" s="202">
        <v>2</v>
      </c>
      <c r="X690" s="184">
        <v>26.62</v>
      </c>
      <c r="Y690" s="151"/>
      <c r="Z690" s="151"/>
      <c r="AA690" s="91"/>
      <c r="AB690" s="91"/>
      <c r="AC690" s="91"/>
      <c r="AD690" s="91"/>
      <c r="AE690" s="91"/>
      <c r="AF690" s="91"/>
      <c r="AG690" s="91"/>
      <c r="AH690" s="91"/>
      <c r="AI690" s="91"/>
      <c r="AJ690" s="91"/>
      <c r="AK690" s="91"/>
      <c r="AL690" s="91"/>
      <c r="AM690" s="91"/>
      <c r="AN690" s="91"/>
    </row>
    <row r="691" spans="3:40" ht="24" x14ac:dyDescent="0.2">
      <c r="C691" s="93"/>
      <c r="D691" s="92" t="s">
        <v>433</v>
      </c>
      <c r="E691" s="357">
        <v>2.4E-2</v>
      </c>
      <c r="F691" s="358"/>
      <c r="G691" s="359"/>
      <c r="H691" s="268" t="s">
        <v>795</v>
      </c>
      <c r="I691" s="400"/>
      <c r="J691" s="401"/>
      <c r="K691" s="402"/>
      <c r="L691" s="198"/>
      <c r="M691" s="269"/>
      <c r="N691" s="195"/>
      <c r="O691" s="152"/>
      <c r="P691" s="152"/>
      <c r="Q691" s="152"/>
      <c r="R691" s="153"/>
      <c r="S691" s="154"/>
      <c r="T691" s="152"/>
      <c r="U691" s="152"/>
      <c r="V691" s="152"/>
      <c r="W691" s="154"/>
      <c r="X691" s="154"/>
      <c r="Y691" s="155"/>
      <c r="Z691" s="155"/>
      <c r="AA691" s="91"/>
      <c r="AB691" s="91"/>
      <c r="AC691" s="91"/>
      <c r="AD691" s="91"/>
      <c r="AE691" s="91"/>
      <c r="AF691" s="91"/>
      <c r="AG691" s="91"/>
      <c r="AH691" s="91"/>
      <c r="AI691" s="91"/>
      <c r="AJ691" s="91"/>
      <c r="AK691" s="91"/>
      <c r="AL691" s="91"/>
      <c r="AM691" s="91"/>
      <c r="AN691" s="91"/>
    </row>
    <row r="692" spans="3:40" ht="24" x14ac:dyDescent="0.2">
      <c r="C692" s="93"/>
      <c r="D692" s="92" t="s">
        <v>434</v>
      </c>
      <c r="E692" s="357">
        <v>2.4E-2</v>
      </c>
      <c r="F692" s="358"/>
      <c r="G692" s="359"/>
      <c r="H692" s="270"/>
      <c r="I692" s="400"/>
      <c r="J692" s="401"/>
      <c r="K692" s="402"/>
      <c r="L692" s="198"/>
      <c r="M692" s="269"/>
      <c r="N692" s="195"/>
      <c r="O692" s="156" t="s">
        <v>811</v>
      </c>
      <c r="P692" s="204">
        <v>0.1</v>
      </c>
      <c r="Q692" s="205">
        <v>8.3099999999999993E-2</v>
      </c>
      <c r="R692" s="206">
        <v>1.7000000000000001E-2</v>
      </c>
      <c r="S692" s="160">
        <v>1</v>
      </c>
      <c r="T692" s="156">
        <v>0.14165</v>
      </c>
      <c r="U692" s="161">
        <v>-33.369230088500814</v>
      </c>
      <c r="V692" s="162">
        <v>60.5</v>
      </c>
      <c r="W692" s="207">
        <v>5.49</v>
      </c>
      <c r="X692" s="164">
        <v>183.19707318586947</v>
      </c>
      <c r="Y692" s="165"/>
      <c r="Z692" s="165">
        <v>4.4350000000000005</v>
      </c>
      <c r="AA692" s="91"/>
      <c r="AB692" s="91"/>
      <c r="AC692" s="91"/>
      <c r="AD692" s="91"/>
      <c r="AE692" s="91"/>
      <c r="AF692" s="91"/>
      <c r="AG692" s="91"/>
      <c r="AH692" s="91"/>
      <c r="AI692" s="91"/>
      <c r="AJ692" s="91"/>
      <c r="AK692" s="91"/>
      <c r="AL692" s="91"/>
      <c r="AM692" s="91"/>
      <c r="AN692" s="91"/>
    </row>
    <row r="693" spans="3:40" ht="25" thickBot="1" x14ac:dyDescent="0.25">
      <c r="C693" s="93"/>
      <c r="D693" s="94" t="s">
        <v>435</v>
      </c>
      <c r="E693" s="360">
        <v>0.5625</v>
      </c>
      <c r="F693" s="361"/>
      <c r="G693" s="362"/>
      <c r="H693" s="270"/>
      <c r="I693" s="400"/>
      <c r="J693" s="401"/>
      <c r="K693" s="402"/>
      <c r="L693" s="208">
        <v>0.79166666666666663</v>
      </c>
      <c r="M693" s="271">
        <v>0.64583333333333326</v>
      </c>
      <c r="N693" s="195"/>
      <c r="O693" s="166" t="s">
        <v>812</v>
      </c>
      <c r="P693" s="209">
        <v>0.1</v>
      </c>
      <c r="Q693" s="187">
        <v>9.1333333333333336E-2</v>
      </c>
      <c r="R693" s="210">
        <v>1.7000000000000001E-2</v>
      </c>
      <c r="S693" s="170">
        <v>1</v>
      </c>
      <c r="T693" s="211">
        <v>0.154</v>
      </c>
      <c r="U693" s="171">
        <v>-36.278584070802154</v>
      </c>
      <c r="V693" s="172">
        <v>60.5</v>
      </c>
      <c r="W693" s="212">
        <v>4.0600000000000005</v>
      </c>
      <c r="X693" s="174">
        <v>147.29105132745676</v>
      </c>
      <c r="Y693" s="175"/>
      <c r="Z693" s="175"/>
      <c r="AA693" s="91"/>
      <c r="AB693" s="91"/>
      <c r="AC693" s="91"/>
      <c r="AD693" s="91"/>
      <c r="AE693" s="91"/>
      <c r="AF693" s="91"/>
      <c r="AG693" s="91"/>
      <c r="AH693" s="91"/>
      <c r="AI693" s="91"/>
      <c r="AJ693" s="91"/>
      <c r="AK693" s="91"/>
      <c r="AL693" s="91"/>
      <c r="AM693" s="91"/>
      <c r="AN693" s="91"/>
    </row>
    <row r="694" spans="3:40" ht="25" thickBot="1" x14ac:dyDescent="0.25">
      <c r="C694" s="93"/>
      <c r="D694" s="96" t="s">
        <v>436</v>
      </c>
      <c r="E694" s="97" t="s">
        <v>29</v>
      </c>
      <c r="F694" s="97" t="s">
        <v>28</v>
      </c>
      <c r="G694" s="98" t="s">
        <v>27</v>
      </c>
      <c r="H694" s="287" t="s">
        <v>793</v>
      </c>
      <c r="I694" s="400"/>
      <c r="J694" s="401"/>
      <c r="K694" s="402"/>
      <c r="L694" s="287" t="s">
        <v>1002</v>
      </c>
      <c r="M694" s="288"/>
      <c r="N694" s="195"/>
      <c r="O694" s="154"/>
      <c r="P694" s="176"/>
      <c r="Q694" s="154"/>
      <c r="R694" s="154"/>
      <c r="S694" s="154"/>
      <c r="T694" s="154"/>
      <c r="U694" s="177"/>
      <c r="V694" s="178"/>
      <c r="W694" s="154"/>
      <c r="X694" s="177"/>
      <c r="Y694" s="155"/>
      <c r="Z694" s="155"/>
      <c r="AA694" s="91"/>
      <c r="AB694" s="91"/>
      <c r="AC694" s="91"/>
      <c r="AD694" s="91"/>
      <c r="AE694" s="91"/>
      <c r="AF694" s="91"/>
      <c r="AG694" s="91"/>
      <c r="AH694" s="91"/>
      <c r="AI694" s="91"/>
      <c r="AJ694" s="91"/>
      <c r="AK694" s="91"/>
      <c r="AL694" s="91"/>
      <c r="AM694" s="91"/>
      <c r="AN694" s="91"/>
    </row>
    <row r="695" spans="3:40" ht="24" x14ac:dyDescent="0.2">
      <c r="C695" s="93"/>
      <c r="D695" s="99">
        <v>45575</v>
      </c>
      <c r="E695" s="113">
        <v>2.4E-2</v>
      </c>
      <c r="F695" s="113" t="s">
        <v>971</v>
      </c>
      <c r="G695" s="113">
        <v>2.5000000000000001E-2</v>
      </c>
      <c r="H695" s="277">
        <v>0.52083333333333337</v>
      </c>
      <c r="I695" s="400"/>
      <c r="J695" s="401"/>
      <c r="K695" s="402"/>
      <c r="L695" s="272">
        <v>0.3125</v>
      </c>
      <c r="M695" s="289"/>
      <c r="N695" s="195"/>
      <c r="O695" s="179"/>
      <c r="P695" s="155"/>
      <c r="Q695" s="179"/>
      <c r="R695" s="179"/>
      <c r="S695" s="179"/>
      <c r="T695" s="179"/>
      <c r="U695" s="179"/>
      <c r="V695" s="179"/>
      <c r="W695" s="179"/>
      <c r="X695" s="179"/>
      <c r="Y695" s="155"/>
      <c r="Z695" s="155"/>
      <c r="AA695" s="91"/>
      <c r="AB695" s="91"/>
      <c r="AC695" s="91"/>
      <c r="AD695" s="91"/>
      <c r="AE695" s="91"/>
      <c r="AF695" s="91"/>
      <c r="AG695" s="91"/>
      <c r="AH695" s="91"/>
      <c r="AI695" s="91"/>
      <c r="AJ695" s="91"/>
      <c r="AK695" s="91"/>
      <c r="AL695" s="91"/>
      <c r="AM695" s="91"/>
      <c r="AN695" s="91"/>
    </row>
    <row r="696" spans="3:40" ht="24" x14ac:dyDescent="0.2">
      <c r="C696" s="93"/>
      <c r="D696" s="99">
        <v>45546</v>
      </c>
      <c r="E696" s="113">
        <v>2.5000000000000001E-2</v>
      </c>
      <c r="F696" s="113" t="s">
        <v>495</v>
      </c>
      <c r="G696" s="113">
        <v>2.9000000000000001E-2</v>
      </c>
      <c r="H696" s="277">
        <v>0.52083333333333337</v>
      </c>
      <c r="I696" s="400"/>
      <c r="J696" s="401"/>
      <c r="K696" s="402"/>
      <c r="L696" s="272">
        <v>0.3125</v>
      </c>
      <c r="M696" s="290"/>
      <c r="N696" s="195"/>
      <c r="O696" s="146" t="s">
        <v>813</v>
      </c>
      <c r="P696" s="199">
        <v>0.1</v>
      </c>
      <c r="Q696" s="180">
        <v>8.7216666666666665E-2</v>
      </c>
      <c r="R696" s="181">
        <v>1.7000000000000001E-2</v>
      </c>
      <c r="S696" s="150">
        <v>1</v>
      </c>
      <c r="T696" s="156">
        <v>0.14782499999999998</v>
      </c>
      <c r="U696" s="182">
        <v>-34.823907079651477</v>
      </c>
      <c r="V696" s="183">
        <v>60.5</v>
      </c>
      <c r="W696" s="150">
        <v>2</v>
      </c>
      <c r="X696" s="184">
        <v>69.647814159302953</v>
      </c>
      <c r="Y696" s="185"/>
      <c r="Z696" s="185"/>
      <c r="AA696" s="91"/>
      <c r="AB696" s="91"/>
      <c r="AC696" s="91"/>
      <c r="AD696" s="91"/>
      <c r="AE696" s="91"/>
      <c r="AF696" s="91"/>
      <c r="AG696" s="91"/>
      <c r="AH696" s="91"/>
      <c r="AI696" s="91"/>
      <c r="AJ696" s="91"/>
      <c r="AK696" s="91"/>
      <c r="AL696" s="91"/>
      <c r="AM696" s="91"/>
      <c r="AN696" s="91"/>
    </row>
    <row r="697" spans="3:40" ht="24" x14ac:dyDescent="0.2">
      <c r="C697" s="93"/>
      <c r="D697" s="99">
        <v>45518</v>
      </c>
      <c r="E697" s="113">
        <v>2.9000000000000001E-2</v>
      </c>
      <c r="F697" s="113" t="s">
        <v>669</v>
      </c>
      <c r="G697" s="113">
        <v>0.03</v>
      </c>
      <c r="H697" s="277">
        <v>0.52083333333333337</v>
      </c>
      <c r="I697" s="400"/>
      <c r="J697" s="401"/>
      <c r="K697" s="402"/>
      <c r="L697" s="272">
        <v>0.3125</v>
      </c>
      <c r="M697" s="269"/>
      <c r="N697" s="195"/>
      <c r="O697" s="146"/>
      <c r="P697" s="146"/>
      <c r="Q697" s="180"/>
      <c r="R697" s="181"/>
      <c r="S697" s="150"/>
      <c r="T697" s="199"/>
      <c r="U697" s="182"/>
      <c r="V697" s="183"/>
      <c r="W697" s="150"/>
      <c r="X697" s="184"/>
      <c r="Y697" s="185"/>
      <c r="Z697" s="185"/>
      <c r="AA697" s="91"/>
      <c r="AB697" s="91"/>
      <c r="AC697" s="91"/>
      <c r="AD697" s="91"/>
      <c r="AE697" s="91"/>
      <c r="AF697" s="91"/>
      <c r="AG697" s="91"/>
      <c r="AH697" s="91"/>
      <c r="AI697" s="91"/>
      <c r="AJ697" s="91"/>
      <c r="AK697" s="91"/>
      <c r="AL697" s="91"/>
      <c r="AM697" s="91"/>
      <c r="AN697" s="91"/>
    </row>
    <row r="698" spans="3:40" ht="24" x14ac:dyDescent="0.2">
      <c r="C698" s="93"/>
      <c r="D698" s="99">
        <v>45484</v>
      </c>
      <c r="E698" s="113">
        <v>0.03</v>
      </c>
      <c r="F698" s="113" t="s">
        <v>668</v>
      </c>
      <c r="G698" s="113">
        <v>3.3000000000000002E-2</v>
      </c>
      <c r="H698" s="277">
        <v>0.52083333333333337</v>
      </c>
      <c r="I698" s="400"/>
      <c r="J698" s="401"/>
      <c r="K698" s="402"/>
      <c r="L698" s="272">
        <v>0.3125</v>
      </c>
      <c r="M698" s="269"/>
      <c r="N698" s="195"/>
      <c r="O698" s="146" t="s">
        <v>816</v>
      </c>
      <c r="P698" s="147"/>
      <c r="Q698" s="180"/>
      <c r="R698" s="181"/>
      <c r="S698" s="150"/>
      <c r="T698" s="147"/>
      <c r="U698" s="182">
        <v>0</v>
      </c>
      <c r="V698" s="183"/>
      <c r="W698" s="150"/>
      <c r="X698" s="184">
        <v>0</v>
      </c>
      <c r="Y698" s="185"/>
      <c r="Z698" s="185"/>
      <c r="AA698" s="91"/>
      <c r="AB698" s="91"/>
      <c r="AC698" s="91"/>
      <c r="AD698" s="91"/>
      <c r="AE698" s="91"/>
      <c r="AF698" s="91"/>
      <c r="AG698" s="91"/>
      <c r="AH698" s="91"/>
      <c r="AI698" s="91"/>
      <c r="AJ698" s="91"/>
      <c r="AK698" s="91"/>
      <c r="AL698" s="91"/>
      <c r="AM698" s="91"/>
      <c r="AN698" s="91"/>
    </row>
    <row r="699" spans="3:40" ht="24" x14ac:dyDescent="0.2">
      <c r="C699" s="93"/>
      <c r="D699" s="99">
        <v>45455</v>
      </c>
      <c r="E699" s="113">
        <v>3.3000000000000002E-2</v>
      </c>
      <c r="F699" s="113" t="s">
        <v>882</v>
      </c>
      <c r="G699" s="113">
        <v>3.4000000000000002E-2</v>
      </c>
      <c r="H699" s="277">
        <v>0.52083333333333337</v>
      </c>
      <c r="I699" s="400"/>
      <c r="J699" s="401"/>
      <c r="K699" s="402"/>
      <c r="L699" s="272">
        <v>0.3125</v>
      </c>
      <c r="M699" s="269"/>
      <c r="N699" s="195"/>
      <c r="O699" s="91"/>
      <c r="P699" s="91"/>
      <c r="Q699" s="91"/>
      <c r="R699" s="91"/>
      <c r="S699" s="91"/>
      <c r="T699" s="91"/>
      <c r="U699" s="91"/>
      <c r="V699" s="91"/>
      <c r="W699" s="91"/>
      <c r="X699" s="91"/>
      <c r="Y699" s="91"/>
      <c r="Z699" s="91"/>
      <c r="AA699" s="91"/>
      <c r="AB699" s="91"/>
      <c r="AC699" s="91"/>
      <c r="AD699" s="91"/>
      <c r="AE699" s="91"/>
      <c r="AF699" s="91"/>
      <c r="AG699" s="91"/>
      <c r="AH699" s="91"/>
      <c r="AI699" s="91"/>
      <c r="AJ699" s="91"/>
      <c r="AK699" s="91"/>
      <c r="AL699" s="91"/>
      <c r="AM699" s="91"/>
      <c r="AN699" s="91"/>
    </row>
    <row r="700" spans="3:40" ht="25" thickBot="1" x14ac:dyDescent="0.25">
      <c r="C700" s="93"/>
      <c r="D700" s="99">
        <v>45427</v>
      </c>
      <c r="E700" s="113">
        <v>3.4000000000000002E-2</v>
      </c>
      <c r="F700" s="113" t="s">
        <v>882</v>
      </c>
      <c r="G700" s="113">
        <v>3.5000000000000003E-2</v>
      </c>
      <c r="H700" s="291">
        <v>0.52083333333333337</v>
      </c>
      <c r="I700" s="403"/>
      <c r="J700" s="404"/>
      <c r="K700" s="405"/>
      <c r="L700" s="292">
        <v>0.3125</v>
      </c>
      <c r="M700" s="280"/>
      <c r="N700" s="195"/>
      <c r="O700" s="91"/>
      <c r="P700" s="91"/>
      <c r="Q700" s="91"/>
      <c r="R700" s="91"/>
      <c r="S700" s="91"/>
      <c r="T700" s="91"/>
      <c r="U700" s="91"/>
      <c r="V700" s="91"/>
      <c r="W700" s="91"/>
      <c r="X700" s="91"/>
      <c r="Y700" s="91"/>
      <c r="Z700" s="91"/>
      <c r="AA700" s="91"/>
      <c r="AB700" s="91"/>
      <c r="AC700" s="91"/>
      <c r="AD700" s="91"/>
      <c r="AE700" s="91"/>
      <c r="AF700" s="91"/>
      <c r="AG700" s="91"/>
      <c r="AH700" s="91"/>
      <c r="AI700" s="91"/>
      <c r="AJ700" s="91"/>
      <c r="AK700" s="91"/>
      <c r="AL700" s="91"/>
      <c r="AM700" s="91"/>
      <c r="AN700" s="91"/>
    </row>
    <row r="701" spans="3:40" ht="73" thickBot="1" x14ac:dyDescent="0.25">
      <c r="C701" s="93">
        <v>4</v>
      </c>
      <c r="D701" s="123" t="s">
        <v>30</v>
      </c>
      <c r="E701" s="363" t="s">
        <v>954</v>
      </c>
      <c r="F701" s="364"/>
      <c r="G701" s="365"/>
      <c r="H701" s="265" t="s">
        <v>790</v>
      </c>
      <c r="I701" s="406" t="s">
        <v>633</v>
      </c>
      <c r="J701" s="407"/>
      <c r="K701" s="408"/>
      <c r="L701" s="266" t="s">
        <v>430</v>
      </c>
      <c r="M701" s="267" t="s">
        <v>431</v>
      </c>
      <c r="N701" s="195" t="s">
        <v>105</v>
      </c>
      <c r="O701" s="145" t="s">
        <v>800</v>
      </c>
      <c r="P701" s="145" t="s">
        <v>801</v>
      </c>
      <c r="Q701" s="145" t="s">
        <v>802</v>
      </c>
      <c r="R701" s="145" t="s">
        <v>803</v>
      </c>
      <c r="S701" s="145" t="s">
        <v>804</v>
      </c>
      <c r="T701" s="145" t="s">
        <v>805</v>
      </c>
      <c r="U701" s="145" t="s">
        <v>806</v>
      </c>
      <c r="V701" s="145" t="s">
        <v>807</v>
      </c>
      <c r="W701" s="145" t="s">
        <v>808</v>
      </c>
      <c r="X701" s="145" t="s">
        <v>809</v>
      </c>
      <c r="Y701" s="145" t="s">
        <v>75</v>
      </c>
      <c r="Z701" s="145" t="s">
        <v>75</v>
      </c>
      <c r="AA701" s="91"/>
      <c r="AB701" s="91"/>
      <c r="AC701" s="91"/>
      <c r="AD701" s="91"/>
      <c r="AE701" s="91"/>
      <c r="AF701" s="91"/>
      <c r="AG701" s="91"/>
      <c r="AH701" s="91"/>
      <c r="AI701" s="91"/>
      <c r="AJ701" s="91"/>
      <c r="AK701" s="91"/>
      <c r="AL701" s="91"/>
      <c r="AM701" s="91"/>
      <c r="AN701" s="91"/>
    </row>
    <row r="702" spans="3:40" ht="24" x14ac:dyDescent="0.2">
      <c r="C702" s="93"/>
      <c r="D702" s="122" t="s">
        <v>432</v>
      </c>
      <c r="E702" s="342"/>
      <c r="F702" s="343"/>
      <c r="G702" s="344"/>
      <c r="H702" s="268" t="s">
        <v>794</v>
      </c>
      <c r="I702" s="397" t="s">
        <v>953</v>
      </c>
      <c r="J702" s="398"/>
      <c r="K702" s="399"/>
      <c r="L702" s="198"/>
      <c r="M702" s="269"/>
      <c r="N702" s="195"/>
      <c r="O702" s="146" t="s">
        <v>810</v>
      </c>
      <c r="P702" s="199">
        <v>0.1</v>
      </c>
      <c r="Q702" s="200">
        <v>0.03</v>
      </c>
      <c r="R702" s="201">
        <v>1.5999999999991132E-2</v>
      </c>
      <c r="S702" s="150"/>
      <c r="T702" s="146">
        <v>6.0999999999991131E-2</v>
      </c>
      <c r="U702" s="200">
        <v>-14.17</v>
      </c>
      <c r="V702" s="199">
        <v>91.8</v>
      </c>
      <c r="W702" s="202">
        <v>2</v>
      </c>
      <c r="X702" s="184">
        <v>28.34</v>
      </c>
      <c r="Y702" s="151"/>
      <c r="Z702" s="151"/>
      <c r="AA702" s="91"/>
      <c r="AB702" s="91"/>
      <c r="AC702" s="91"/>
      <c r="AD702" s="91"/>
      <c r="AE702" s="91"/>
      <c r="AF702" s="91"/>
      <c r="AG702" s="91"/>
      <c r="AH702" s="91"/>
      <c r="AI702" s="91"/>
      <c r="AJ702" s="91"/>
      <c r="AK702" s="91"/>
      <c r="AL702" s="91"/>
      <c r="AM702" s="91"/>
      <c r="AN702" s="91"/>
    </row>
    <row r="703" spans="3:40" ht="24" x14ac:dyDescent="0.2">
      <c r="C703" s="93"/>
      <c r="D703" s="92" t="s">
        <v>433</v>
      </c>
      <c r="E703" s="357">
        <v>2E-3</v>
      </c>
      <c r="F703" s="358"/>
      <c r="G703" s="359"/>
      <c r="H703" s="268" t="s">
        <v>795</v>
      </c>
      <c r="I703" s="400"/>
      <c r="J703" s="401"/>
      <c r="K703" s="402"/>
      <c r="L703" s="198"/>
      <c r="M703" s="269"/>
      <c r="N703" s="195"/>
      <c r="O703" s="152"/>
      <c r="P703" s="152"/>
      <c r="Q703" s="152"/>
      <c r="R703" s="153"/>
      <c r="S703" s="154"/>
      <c r="T703" s="152"/>
      <c r="U703" s="152"/>
      <c r="V703" s="152"/>
      <c r="W703" s="154"/>
      <c r="X703" s="154"/>
      <c r="Y703" s="155"/>
      <c r="Z703" s="155"/>
      <c r="AA703" s="91"/>
      <c r="AB703" s="91"/>
      <c r="AC703" s="91"/>
      <c r="AD703" s="91"/>
      <c r="AE703" s="91"/>
      <c r="AF703" s="91"/>
      <c r="AG703" s="91"/>
      <c r="AH703" s="91"/>
      <c r="AI703" s="91"/>
      <c r="AJ703" s="91"/>
      <c r="AK703" s="91"/>
      <c r="AL703" s="91"/>
      <c r="AM703" s="91"/>
      <c r="AN703" s="91"/>
    </row>
    <row r="704" spans="3:40" ht="24" x14ac:dyDescent="0.2">
      <c r="C704" s="93"/>
      <c r="D704" s="92" t="s">
        <v>434</v>
      </c>
      <c r="E704" s="357">
        <v>2E-3</v>
      </c>
      <c r="F704" s="358"/>
      <c r="G704" s="359"/>
      <c r="H704" s="270"/>
      <c r="I704" s="400"/>
      <c r="J704" s="401"/>
      <c r="K704" s="402"/>
      <c r="L704" s="198"/>
      <c r="M704" s="269"/>
      <c r="N704" s="195"/>
      <c r="O704" s="156" t="s">
        <v>811</v>
      </c>
      <c r="P704" s="204">
        <v>0.05</v>
      </c>
      <c r="Q704" s="205">
        <v>7.51E-2</v>
      </c>
      <c r="R704" s="206">
        <v>7.0000000000000007E-2</v>
      </c>
      <c r="S704" s="160">
        <v>1</v>
      </c>
      <c r="T704" s="156">
        <v>0.18265000000000001</v>
      </c>
      <c r="U704" s="161">
        <v>-21.214348360658821</v>
      </c>
      <c r="V704" s="162">
        <v>30.25</v>
      </c>
      <c r="W704" s="207">
        <v>2.94</v>
      </c>
      <c r="X704" s="164">
        <v>62.370184180336935</v>
      </c>
      <c r="Y704" s="165"/>
      <c r="Z704" s="165">
        <v>4.4350000000000005</v>
      </c>
      <c r="AA704" s="91"/>
      <c r="AB704" s="91"/>
      <c r="AC704" s="91"/>
      <c r="AD704" s="91"/>
      <c r="AE704" s="91"/>
      <c r="AF704" s="91"/>
      <c r="AG704" s="91"/>
      <c r="AH704" s="91"/>
      <c r="AI704" s="91"/>
      <c r="AJ704" s="91"/>
      <c r="AK704" s="91"/>
      <c r="AL704" s="91"/>
      <c r="AM704" s="91"/>
      <c r="AN704" s="91"/>
    </row>
    <row r="705" spans="3:40" ht="25" thickBot="1" x14ac:dyDescent="0.25">
      <c r="C705" s="93"/>
      <c r="D705" s="94" t="s">
        <v>435</v>
      </c>
      <c r="E705" s="360">
        <v>0.5625</v>
      </c>
      <c r="F705" s="361"/>
      <c r="G705" s="362"/>
      <c r="H705" s="270"/>
      <c r="I705" s="400"/>
      <c r="J705" s="401"/>
      <c r="K705" s="402"/>
      <c r="L705" s="208">
        <v>0.79166666666666663</v>
      </c>
      <c r="M705" s="271">
        <v>0.64583333333333326</v>
      </c>
      <c r="N705" s="195"/>
      <c r="O705" s="166" t="s">
        <v>812</v>
      </c>
      <c r="P705" s="209">
        <v>0.05</v>
      </c>
      <c r="Q705" s="187">
        <v>0.10166666666666667</v>
      </c>
      <c r="R705" s="210">
        <v>7.0000000000000007E-2</v>
      </c>
      <c r="S705" s="170">
        <v>1</v>
      </c>
      <c r="T705" s="211">
        <v>0.2225</v>
      </c>
      <c r="U705" s="171">
        <v>-25.842827868856215</v>
      </c>
      <c r="V705" s="172">
        <v>30.25</v>
      </c>
      <c r="W705" s="212">
        <v>3.19</v>
      </c>
      <c r="X705" s="174">
        <v>82.438620901651319</v>
      </c>
      <c r="Y705" s="175"/>
      <c r="Z705" s="175"/>
      <c r="AA705" s="91"/>
      <c r="AB705" s="91"/>
      <c r="AC705" s="91"/>
      <c r="AD705" s="91"/>
      <c r="AE705" s="91"/>
      <c r="AF705" s="91"/>
      <c r="AG705" s="91"/>
      <c r="AH705" s="91"/>
      <c r="AI705" s="91"/>
      <c r="AJ705" s="91"/>
      <c r="AK705" s="91"/>
      <c r="AL705" s="91"/>
      <c r="AM705" s="91"/>
      <c r="AN705" s="91"/>
    </row>
    <row r="706" spans="3:40" ht="25" thickBot="1" x14ac:dyDescent="0.25">
      <c r="C706" s="93"/>
      <c r="D706" s="96" t="s">
        <v>436</v>
      </c>
      <c r="E706" s="97" t="s">
        <v>29</v>
      </c>
      <c r="F706" s="97" t="s">
        <v>28</v>
      </c>
      <c r="G706" s="98" t="s">
        <v>27</v>
      </c>
      <c r="H706" s="287" t="s">
        <v>793</v>
      </c>
      <c r="I706" s="400"/>
      <c r="J706" s="401"/>
      <c r="K706" s="402"/>
      <c r="L706" s="287" t="s">
        <v>1002</v>
      </c>
      <c r="M706" s="288"/>
      <c r="N706" s="195"/>
      <c r="O706" s="154"/>
      <c r="P706" s="176"/>
      <c r="Q706" s="154"/>
      <c r="R706" s="154"/>
      <c r="S706" s="154"/>
      <c r="T706" s="154"/>
      <c r="U706" s="177"/>
      <c r="V706" s="178"/>
      <c r="W706" s="154"/>
      <c r="X706" s="177"/>
      <c r="Y706" s="155"/>
      <c r="Z706" s="155"/>
      <c r="AA706" s="91"/>
      <c r="AB706" s="91"/>
      <c r="AC706" s="91"/>
      <c r="AD706" s="91"/>
      <c r="AE706" s="91"/>
      <c r="AF706" s="91"/>
      <c r="AG706" s="91"/>
      <c r="AH706" s="91"/>
      <c r="AI706" s="91"/>
      <c r="AJ706" s="91"/>
      <c r="AK706" s="91"/>
      <c r="AL706" s="91"/>
      <c r="AM706" s="91"/>
      <c r="AN706" s="91"/>
    </row>
    <row r="707" spans="3:40" ht="24" x14ac:dyDescent="0.2">
      <c r="C707" s="93"/>
      <c r="D707" s="99">
        <v>45575</v>
      </c>
      <c r="E707" s="113">
        <v>2E-3</v>
      </c>
      <c r="F707" s="113" t="s">
        <v>462</v>
      </c>
      <c r="G707" s="113">
        <v>2E-3</v>
      </c>
      <c r="H707" s="277">
        <v>0.52083333333333337</v>
      </c>
      <c r="I707" s="400"/>
      <c r="J707" s="401"/>
      <c r="K707" s="402"/>
      <c r="L707" s="272">
        <v>0.3125</v>
      </c>
      <c r="M707" s="289"/>
      <c r="N707" s="195"/>
      <c r="O707" s="179"/>
      <c r="P707" s="155"/>
      <c r="Q707" s="179"/>
      <c r="R707" s="179"/>
      <c r="S707" s="179"/>
      <c r="T707" s="179"/>
      <c r="U707" s="179"/>
      <c r="V707" s="179"/>
      <c r="W707" s="179"/>
      <c r="X707" s="179"/>
      <c r="Y707" s="155"/>
      <c r="Z707" s="155"/>
      <c r="AA707" s="91"/>
      <c r="AB707" s="91"/>
      <c r="AC707" s="91"/>
      <c r="AD707" s="91"/>
      <c r="AE707" s="91"/>
      <c r="AF707" s="91"/>
      <c r="AG707" s="91"/>
      <c r="AH707" s="91"/>
      <c r="AI707" s="91"/>
      <c r="AJ707" s="91"/>
      <c r="AK707" s="91"/>
      <c r="AL707" s="91"/>
      <c r="AM707" s="91"/>
      <c r="AN707" s="91"/>
    </row>
    <row r="708" spans="3:40" ht="24" x14ac:dyDescent="0.2">
      <c r="C708" s="93"/>
      <c r="D708" s="99">
        <v>45546</v>
      </c>
      <c r="E708" s="113">
        <v>2E-3</v>
      </c>
      <c r="F708" s="113" t="s">
        <v>460</v>
      </c>
      <c r="G708" s="113">
        <v>2E-3</v>
      </c>
      <c r="H708" s="277">
        <v>0.52083333333333337</v>
      </c>
      <c r="I708" s="400"/>
      <c r="J708" s="401"/>
      <c r="K708" s="402"/>
      <c r="L708" s="272">
        <v>0.3125</v>
      </c>
      <c r="M708" s="290"/>
      <c r="N708" s="195"/>
      <c r="O708" s="146" t="s">
        <v>813</v>
      </c>
      <c r="P708" s="199">
        <v>-0.05</v>
      </c>
      <c r="Q708" s="180">
        <v>8.8383333333333342E-2</v>
      </c>
      <c r="R708" s="181">
        <v>7.0000000000000007E-2</v>
      </c>
      <c r="S708" s="150">
        <v>-1</v>
      </c>
      <c r="T708" s="156">
        <v>0.20257500000000001</v>
      </c>
      <c r="U708" s="182">
        <v>-23.528588114757518</v>
      </c>
      <c r="V708" s="183">
        <v>-30.25</v>
      </c>
      <c r="W708" s="150">
        <v>2.5</v>
      </c>
      <c r="X708" s="184">
        <v>58.821470286893799</v>
      </c>
      <c r="Y708" s="185"/>
      <c r="Z708" s="185"/>
      <c r="AA708" s="91"/>
      <c r="AB708" s="91"/>
      <c r="AC708" s="91"/>
      <c r="AD708" s="91"/>
      <c r="AE708" s="91"/>
      <c r="AF708" s="91"/>
      <c r="AG708" s="91"/>
      <c r="AH708" s="91"/>
      <c r="AI708" s="91"/>
      <c r="AJ708" s="91"/>
      <c r="AK708" s="91"/>
      <c r="AL708" s="91"/>
      <c r="AM708" s="91"/>
      <c r="AN708" s="91"/>
    </row>
    <row r="709" spans="3:40" ht="24" x14ac:dyDescent="0.2">
      <c r="C709" s="93"/>
      <c r="D709" s="99">
        <v>45518</v>
      </c>
      <c r="E709" s="113">
        <v>2E-3</v>
      </c>
      <c r="F709" s="113" t="s">
        <v>460</v>
      </c>
      <c r="G709" s="113">
        <v>-1E-3</v>
      </c>
      <c r="H709" s="277">
        <v>0.52083333333333337</v>
      </c>
      <c r="I709" s="400"/>
      <c r="J709" s="401"/>
      <c r="K709" s="402"/>
      <c r="L709" s="272">
        <v>0.3125</v>
      </c>
      <c r="M709" s="269"/>
      <c r="N709" s="195"/>
      <c r="O709" s="146" t="s">
        <v>813</v>
      </c>
      <c r="P709" s="199">
        <v>0.05</v>
      </c>
      <c r="Q709" s="180">
        <v>8.8383333333333342E-2</v>
      </c>
      <c r="R709" s="181">
        <v>7.0000000000000007E-2</v>
      </c>
      <c r="S709" s="150">
        <v>1</v>
      </c>
      <c r="T709" s="156">
        <v>0.20257500000000001</v>
      </c>
      <c r="U709" s="182">
        <v>-23.528588114757518</v>
      </c>
      <c r="V709" s="183">
        <v>30.25</v>
      </c>
      <c r="W709" s="150">
        <v>2.5</v>
      </c>
      <c r="X709" s="184">
        <v>58.821470286893799</v>
      </c>
      <c r="Y709" s="185"/>
      <c r="Z709" s="185"/>
      <c r="AA709" s="91"/>
      <c r="AB709" s="91"/>
      <c r="AC709" s="91"/>
      <c r="AD709" s="91"/>
      <c r="AE709" s="91"/>
      <c r="AF709" s="91"/>
      <c r="AG709" s="91"/>
      <c r="AH709" s="91"/>
      <c r="AI709" s="91"/>
      <c r="AJ709" s="91"/>
      <c r="AK709" s="91"/>
      <c r="AL709" s="91"/>
      <c r="AM709" s="91"/>
      <c r="AN709" s="91"/>
    </row>
    <row r="710" spans="3:40" ht="24" x14ac:dyDescent="0.2">
      <c r="C710" s="93"/>
      <c r="D710" s="99">
        <v>45484</v>
      </c>
      <c r="E710" s="113">
        <v>-1E-3</v>
      </c>
      <c r="F710" s="113" t="s">
        <v>462</v>
      </c>
      <c r="G710" s="113">
        <v>0</v>
      </c>
      <c r="H710" s="277">
        <v>0.52083333333333337</v>
      </c>
      <c r="I710" s="400"/>
      <c r="J710" s="401"/>
      <c r="K710" s="402"/>
      <c r="L710" s="272">
        <v>0.3125</v>
      </c>
      <c r="M710" s="269"/>
      <c r="N710" s="195"/>
      <c r="O710" s="146" t="s">
        <v>816</v>
      </c>
      <c r="P710" s="147"/>
      <c r="Q710" s="180"/>
      <c r="R710" s="181"/>
      <c r="S710" s="150"/>
      <c r="T710" s="147"/>
      <c r="U710" s="182"/>
      <c r="V710" s="183"/>
      <c r="W710" s="150"/>
      <c r="X710" s="184"/>
      <c r="Y710" s="185"/>
      <c r="Z710" s="185"/>
      <c r="AA710" s="91"/>
      <c r="AB710" s="91"/>
      <c r="AC710" s="91"/>
      <c r="AD710" s="91"/>
      <c r="AE710" s="91"/>
      <c r="AF710" s="91"/>
      <c r="AG710" s="91"/>
      <c r="AH710" s="91"/>
      <c r="AI710" s="91"/>
      <c r="AJ710" s="91"/>
      <c r="AK710" s="91"/>
      <c r="AL710" s="91"/>
      <c r="AM710" s="91"/>
      <c r="AN710" s="91"/>
    </row>
    <row r="711" spans="3:40" ht="24" x14ac:dyDescent="0.2">
      <c r="C711" s="93"/>
      <c r="D711" s="99">
        <v>45455</v>
      </c>
      <c r="E711" s="113">
        <v>0</v>
      </c>
      <c r="F711" s="113" t="s">
        <v>462</v>
      </c>
      <c r="G711" s="113">
        <v>3.0000000000000001E-3</v>
      </c>
      <c r="H711" s="277">
        <v>0.52083333333333337</v>
      </c>
      <c r="I711" s="400"/>
      <c r="J711" s="401"/>
      <c r="K711" s="402"/>
      <c r="L711" s="272">
        <v>0.3125</v>
      </c>
      <c r="M711" s="269"/>
      <c r="N711" s="195"/>
      <c r="O711" s="91"/>
      <c r="P711" s="91"/>
      <c r="Q711" s="91"/>
      <c r="R711" s="91"/>
      <c r="S711" s="91"/>
      <c r="T711" s="91"/>
      <c r="U711" s="91"/>
      <c r="V711" s="91"/>
      <c r="W711" s="91"/>
      <c r="X711" s="91"/>
      <c r="Y711" s="91"/>
      <c r="Z711" s="91"/>
      <c r="AA711" s="91"/>
      <c r="AB711" s="91"/>
      <c r="AC711" s="91"/>
      <c r="AD711" s="91"/>
      <c r="AE711" s="91"/>
      <c r="AF711" s="91"/>
      <c r="AG711" s="91"/>
      <c r="AH711" s="91"/>
      <c r="AI711" s="91"/>
      <c r="AJ711" s="91"/>
      <c r="AK711" s="91"/>
      <c r="AL711" s="91"/>
      <c r="AM711" s="91"/>
      <c r="AN711" s="91"/>
    </row>
    <row r="712" spans="3:40" ht="25" thickBot="1" x14ac:dyDescent="0.25">
      <c r="C712" s="93"/>
      <c r="D712" s="99">
        <v>45427</v>
      </c>
      <c r="E712" s="113">
        <v>3.0000000000000001E-3</v>
      </c>
      <c r="F712" s="113" t="s">
        <v>452</v>
      </c>
      <c r="G712" s="113">
        <v>4.0000000000000001E-3</v>
      </c>
      <c r="H712" s="291">
        <v>0.52083333333333337</v>
      </c>
      <c r="I712" s="403"/>
      <c r="J712" s="404"/>
      <c r="K712" s="405"/>
      <c r="L712" s="292">
        <v>0.3125</v>
      </c>
      <c r="M712" s="280"/>
      <c r="N712" s="195"/>
      <c r="O712" s="91"/>
      <c r="P712" s="91"/>
      <c r="Q712" s="91"/>
      <c r="R712" s="91"/>
      <c r="S712" s="91"/>
      <c r="T712" s="91"/>
      <c r="U712" s="91"/>
      <c r="V712" s="91"/>
      <c r="W712" s="91"/>
      <c r="X712" s="91"/>
      <c r="Y712" s="91"/>
      <c r="Z712" s="91"/>
      <c r="AA712" s="91"/>
      <c r="AB712" s="91"/>
      <c r="AC712" s="91"/>
      <c r="AD712" s="91"/>
      <c r="AE712" s="91"/>
      <c r="AF712" s="91"/>
      <c r="AG712" s="91"/>
      <c r="AH712" s="91"/>
      <c r="AI712" s="91"/>
      <c r="AJ712" s="91"/>
      <c r="AK712" s="91"/>
      <c r="AL712" s="91"/>
      <c r="AM712" s="91"/>
      <c r="AN712" s="91"/>
    </row>
    <row r="713" spans="3:40" ht="73" thickBot="1" x14ac:dyDescent="0.25">
      <c r="C713" s="93">
        <v>5</v>
      </c>
      <c r="D713" s="123" t="s">
        <v>30</v>
      </c>
      <c r="E713" s="363" t="s">
        <v>14</v>
      </c>
      <c r="F713" s="364"/>
      <c r="G713" s="365"/>
      <c r="H713" s="265" t="s">
        <v>790</v>
      </c>
      <c r="I713" s="406" t="s">
        <v>633</v>
      </c>
      <c r="J713" s="407"/>
      <c r="K713" s="408"/>
      <c r="L713" s="266" t="s">
        <v>430</v>
      </c>
      <c r="M713" s="267" t="s">
        <v>431</v>
      </c>
      <c r="N713" s="195" t="s">
        <v>105</v>
      </c>
      <c r="O713" s="145" t="s">
        <v>800</v>
      </c>
      <c r="P713" s="145" t="s">
        <v>801</v>
      </c>
      <c r="Q713" s="145" t="s">
        <v>802</v>
      </c>
      <c r="R713" s="145" t="s">
        <v>803</v>
      </c>
      <c r="S713" s="145" t="s">
        <v>804</v>
      </c>
      <c r="T713" s="145" t="s">
        <v>805</v>
      </c>
      <c r="U713" s="145" t="s">
        <v>806</v>
      </c>
      <c r="V713" s="145" t="s">
        <v>807</v>
      </c>
      <c r="W713" s="145" t="s">
        <v>808</v>
      </c>
      <c r="X713" s="145" t="s">
        <v>809</v>
      </c>
      <c r="Y713" s="145" t="s">
        <v>75</v>
      </c>
      <c r="Z713" s="145" t="s">
        <v>75</v>
      </c>
      <c r="AA713" s="91"/>
      <c r="AB713" s="91"/>
      <c r="AC713" s="91"/>
      <c r="AD713" s="91"/>
      <c r="AE713" s="91"/>
      <c r="AF713" s="91"/>
      <c r="AG713" s="91"/>
      <c r="AH713" s="91"/>
      <c r="AI713" s="91"/>
      <c r="AJ713" s="91"/>
      <c r="AK713" s="91"/>
      <c r="AL713" s="91"/>
      <c r="AM713" s="91"/>
      <c r="AN713" s="91"/>
    </row>
    <row r="714" spans="3:40" ht="24" x14ac:dyDescent="0.2">
      <c r="C714" s="93"/>
      <c r="D714" s="122" t="s">
        <v>432</v>
      </c>
      <c r="E714" s="342"/>
      <c r="F714" s="343"/>
      <c r="G714" s="344"/>
      <c r="H714" s="268" t="s">
        <v>794</v>
      </c>
      <c r="I714" s="397" t="s">
        <v>955</v>
      </c>
      <c r="J714" s="398"/>
      <c r="K714" s="399"/>
      <c r="L714" s="198"/>
      <c r="M714" s="269"/>
      <c r="N714" s="195"/>
      <c r="O714" s="146" t="s">
        <v>810</v>
      </c>
      <c r="P714" s="199">
        <v>0.1</v>
      </c>
      <c r="Q714" s="200">
        <v>1.2999999999999999E-2</v>
      </c>
      <c r="R714" s="201">
        <v>2.199999999999136E-2</v>
      </c>
      <c r="S714" s="150"/>
      <c r="T714" s="146">
        <v>4.1499999999991363E-2</v>
      </c>
      <c r="U714" s="200">
        <v>-10.74</v>
      </c>
      <c r="V714" s="199">
        <v>60.23</v>
      </c>
      <c r="W714" s="199"/>
      <c r="X714" s="184"/>
      <c r="Y714" s="151"/>
      <c r="Z714" s="151"/>
      <c r="AA714" s="91"/>
      <c r="AB714" s="91"/>
      <c r="AC714" s="91"/>
      <c r="AD714" s="91"/>
      <c r="AE714" s="91"/>
      <c r="AF714" s="91"/>
      <c r="AG714" s="91"/>
      <c r="AH714" s="91"/>
      <c r="AI714" s="91"/>
      <c r="AJ714" s="91"/>
      <c r="AK714" s="91"/>
      <c r="AL714" s="91"/>
      <c r="AM714" s="91"/>
      <c r="AN714" s="91"/>
    </row>
    <row r="715" spans="3:40" ht="24" x14ac:dyDescent="0.2">
      <c r="C715" s="93"/>
      <c r="D715" s="92" t="s">
        <v>433</v>
      </c>
      <c r="E715" s="357" t="s">
        <v>72</v>
      </c>
      <c r="F715" s="358"/>
      <c r="G715" s="359"/>
      <c r="H715" s="268" t="s">
        <v>795</v>
      </c>
      <c r="I715" s="400"/>
      <c r="J715" s="401"/>
      <c r="K715" s="402"/>
      <c r="L715" s="198"/>
      <c r="M715" s="269"/>
      <c r="N715" s="195"/>
      <c r="O715" s="152"/>
      <c r="P715" s="152"/>
      <c r="Q715" s="152"/>
      <c r="R715" s="153"/>
      <c r="S715" s="154"/>
      <c r="T715" s="152"/>
      <c r="U715" s="152"/>
      <c r="V715" s="152"/>
      <c r="W715" s="152"/>
      <c r="X715" s="154"/>
      <c r="Y715" s="155"/>
      <c r="Z715" s="155"/>
      <c r="AA715" s="91"/>
      <c r="AB715" s="91"/>
      <c r="AC715" s="91"/>
      <c r="AD715" s="91"/>
      <c r="AE715" s="91"/>
      <c r="AF715" s="91"/>
      <c r="AG715" s="91"/>
      <c r="AH715" s="91"/>
      <c r="AI715" s="91"/>
      <c r="AJ715" s="91"/>
      <c r="AK715" s="91"/>
      <c r="AL715" s="91"/>
      <c r="AM715" s="91"/>
      <c r="AN715" s="91"/>
    </row>
    <row r="716" spans="3:40" ht="24" x14ac:dyDescent="0.2">
      <c r="C716" s="93"/>
      <c r="D716" s="92" t="s">
        <v>434</v>
      </c>
      <c r="E716" s="357" t="s">
        <v>413</v>
      </c>
      <c r="F716" s="358"/>
      <c r="G716" s="359"/>
      <c r="H716" s="270"/>
      <c r="I716" s="400"/>
      <c r="J716" s="401"/>
      <c r="K716" s="402"/>
      <c r="L716" s="198"/>
      <c r="M716" s="269"/>
      <c r="N716" s="195"/>
      <c r="O716" s="156" t="s">
        <v>811</v>
      </c>
      <c r="P716" s="204">
        <v>0.1</v>
      </c>
      <c r="Q716" s="205">
        <v>9.2700000000000005E-2</v>
      </c>
      <c r="R716" s="206">
        <v>2.4E-2</v>
      </c>
      <c r="S716" s="220">
        <v>1</v>
      </c>
      <c r="T716" s="156">
        <v>0.16305</v>
      </c>
      <c r="U716" s="161">
        <v>-42.196554216876251</v>
      </c>
      <c r="V716" s="162">
        <v>60.5</v>
      </c>
      <c r="W716" s="221">
        <v>4.95</v>
      </c>
      <c r="X716" s="164">
        <v>208.87294337353745</v>
      </c>
      <c r="Y716" s="165"/>
      <c r="Z716" s="165"/>
      <c r="AA716" s="91"/>
      <c r="AB716" s="91"/>
      <c r="AC716" s="91"/>
      <c r="AD716" s="91"/>
      <c r="AE716" s="91"/>
      <c r="AF716" s="91"/>
      <c r="AG716" s="91"/>
      <c r="AH716" s="91"/>
      <c r="AI716" s="91"/>
      <c r="AJ716" s="91"/>
      <c r="AK716" s="91"/>
      <c r="AL716" s="91"/>
      <c r="AM716" s="91"/>
      <c r="AN716" s="91"/>
    </row>
    <row r="717" spans="3:40" ht="25" thickBot="1" x14ac:dyDescent="0.25">
      <c r="C717" s="93"/>
      <c r="D717" s="94" t="s">
        <v>435</v>
      </c>
      <c r="E717" s="360">
        <v>0.5625</v>
      </c>
      <c r="F717" s="361"/>
      <c r="G717" s="362"/>
      <c r="H717" s="270"/>
      <c r="I717" s="400"/>
      <c r="J717" s="401"/>
      <c r="K717" s="402"/>
      <c r="L717" s="208">
        <v>0.79166666666666663</v>
      </c>
      <c r="M717" s="271">
        <v>0.64583333333333326</v>
      </c>
      <c r="N717" s="195"/>
      <c r="O717" s="166" t="s">
        <v>812</v>
      </c>
      <c r="P717" s="209">
        <v>0.1</v>
      </c>
      <c r="Q717" s="187">
        <v>0.10253333333333335</v>
      </c>
      <c r="R717" s="210">
        <v>2.4E-2</v>
      </c>
      <c r="S717" s="222">
        <v>1</v>
      </c>
      <c r="T717" s="211">
        <v>0.17780000000000001</v>
      </c>
      <c r="U717" s="171">
        <v>-46.0137831325397</v>
      </c>
      <c r="V717" s="172">
        <v>60.5</v>
      </c>
      <c r="W717" s="223">
        <v>3.5933333333333337</v>
      </c>
      <c r="X717" s="174">
        <v>165.34286072292602</v>
      </c>
      <c r="Y717" s="175"/>
      <c r="Z717" s="175"/>
      <c r="AA717" s="91"/>
      <c r="AB717" s="91"/>
      <c r="AC717" s="91"/>
      <c r="AD717" s="91"/>
      <c r="AE717" s="91"/>
      <c r="AF717" s="91"/>
      <c r="AG717" s="91"/>
      <c r="AH717" s="91"/>
      <c r="AI717" s="91"/>
      <c r="AJ717" s="91"/>
      <c r="AK717" s="91"/>
      <c r="AL717" s="91"/>
      <c r="AM717" s="91"/>
      <c r="AN717" s="91"/>
    </row>
    <row r="718" spans="3:40" ht="25" thickBot="1" x14ac:dyDescent="0.25">
      <c r="C718" s="93"/>
      <c r="D718" s="96" t="s">
        <v>436</v>
      </c>
      <c r="E718" s="97" t="s">
        <v>29</v>
      </c>
      <c r="F718" s="97" t="s">
        <v>28</v>
      </c>
      <c r="G718" s="98" t="s">
        <v>27</v>
      </c>
      <c r="H718" s="287" t="s">
        <v>793</v>
      </c>
      <c r="I718" s="400"/>
      <c r="J718" s="401"/>
      <c r="K718" s="402"/>
      <c r="L718" s="287" t="s">
        <v>1002</v>
      </c>
      <c r="M718" s="288"/>
      <c r="N718" s="195"/>
      <c r="O718" s="154"/>
      <c r="P718" s="176"/>
      <c r="Q718" s="154"/>
      <c r="R718" s="154"/>
      <c r="S718" s="224"/>
      <c r="T718" s="154"/>
      <c r="U718" s="177"/>
      <c r="V718" s="178"/>
      <c r="W718" s="225"/>
      <c r="X718" s="177"/>
      <c r="Y718" s="155"/>
      <c r="Z718" s="155"/>
      <c r="AA718" s="91"/>
      <c r="AB718" s="91"/>
      <c r="AC718" s="91"/>
      <c r="AD718" s="91"/>
      <c r="AE718" s="91"/>
      <c r="AF718" s="91"/>
      <c r="AG718" s="91"/>
      <c r="AH718" s="91"/>
      <c r="AI718" s="91"/>
      <c r="AJ718" s="91"/>
      <c r="AK718" s="91"/>
      <c r="AL718" s="91"/>
      <c r="AM718" s="91"/>
      <c r="AN718" s="91"/>
    </row>
    <row r="719" spans="3:40" ht="24" x14ac:dyDescent="0.2">
      <c r="C719" s="93"/>
      <c r="D719" s="99">
        <v>45603</v>
      </c>
      <c r="E719" s="113" t="s">
        <v>972</v>
      </c>
      <c r="F719" s="113" t="s">
        <v>973</v>
      </c>
      <c r="G719" s="113" t="s">
        <v>974</v>
      </c>
      <c r="H719" s="277">
        <v>0.5625</v>
      </c>
      <c r="I719" s="400"/>
      <c r="J719" s="401"/>
      <c r="K719" s="402"/>
      <c r="L719" s="272">
        <v>0.35416666666666669</v>
      </c>
      <c r="M719" s="289"/>
      <c r="N719" s="195"/>
      <c r="O719" s="179"/>
      <c r="P719" s="155"/>
      <c r="Q719" s="179"/>
      <c r="R719" s="179"/>
      <c r="S719" s="224"/>
      <c r="T719" s="179"/>
      <c r="U719" s="179"/>
      <c r="V719" s="179"/>
      <c r="W719" s="227"/>
      <c r="X719" s="179"/>
      <c r="Y719" s="155"/>
      <c r="Z719" s="155"/>
      <c r="AA719" s="91"/>
      <c r="AB719" s="91"/>
      <c r="AC719" s="91"/>
      <c r="AD719" s="91"/>
      <c r="AE719" s="91"/>
      <c r="AF719" s="91"/>
      <c r="AG719" s="91"/>
      <c r="AH719" s="91"/>
      <c r="AI719" s="91"/>
      <c r="AJ719" s="91"/>
      <c r="AK719" s="91"/>
      <c r="AL719" s="91"/>
      <c r="AM719" s="91"/>
      <c r="AN719" s="91"/>
    </row>
    <row r="720" spans="3:40" ht="24" x14ac:dyDescent="0.2">
      <c r="C720" s="93"/>
      <c r="D720" s="99">
        <v>45596</v>
      </c>
      <c r="E720" s="113" t="s">
        <v>975</v>
      </c>
      <c r="F720" s="113" t="s">
        <v>976</v>
      </c>
      <c r="G720" s="113" t="s">
        <v>977</v>
      </c>
      <c r="H720" s="277">
        <v>0.52083333333333337</v>
      </c>
      <c r="I720" s="400"/>
      <c r="J720" s="401"/>
      <c r="K720" s="402"/>
      <c r="L720" s="272">
        <v>0.3125</v>
      </c>
      <c r="M720" s="290"/>
      <c r="N720" s="195"/>
      <c r="O720" s="146" t="s">
        <v>813</v>
      </c>
      <c r="P720" s="228">
        <v>0.1</v>
      </c>
      <c r="Q720" s="180">
        <v>0.10253333333333335</v>
      </c>
      <c r="R720" s="181">
        <v>2.4E-2</v>
      </c>
      <c r="S720" s="228">
        <v>1</v>
      </c>
      <c r="T720" s="229">
        <v>0.17780000000000001</v>
      </c>
      <c r="U720" s="182">
        <v>-46.0137831325397</v>
      </c>
      <c r="V720" s="183">
        <v>60.5</v>
      </c>
      <c r="W720" s="230">
        <v>3</v>
      </c>
      <c r="X720" s="184">
        <v>138.04134939761911</v>
      </c>
      <c r="Y720" s="185"/>
      <c r="Z720" s="185"/>
      <c r="AA720" s="91"/>
      <c r="AB720" s="91"/>
      <c r="AC720" s="91"/>
      <c r="AD720" s="91"/>
      <c r="AE720" s="91"/>
      <c r="AF720" s="91"/>
      <c r="AG720" s="91"/>
      <c r="AH720" s="91"/>
      <c r="AI720" s="91"/>
      <c r="AJ720" s="91"/>
      <c r="AK720" s="91"/>
      <c r="AL720" s="91"/>
      <c r="AM720" s="91"/>
      <c r="AN720" s="91"/>
    </row>
    <row r="721" spans="3:40" ht="24" x14ac:dyDescent="0.2">
      <c r="C721" s="93"/>
      <c r="D721" s="99">
        <v>45589</v>
      </c>
      <c r="E721" s="113" t="s">
        <v>978</v>
      </c>
      <c r="F721" s="113" t="s">
        <v>979</v>
      </c>
      <c r="G721" s="113" t="s">
        <v>980</v>
      </c>
      <c r="H721" s="277">
        <v>0.52083333333333337</v>
      </c>
      <c r="I721" s="400"/>
      <c r="J721" s="401"/>
      <c r="K721" s="402"/>
      <c r="L721" s="272">
        <v>0.3125</v>
      </c>
      <c r="M721" s="269"/>
      <c r="N721" s="195"/>
      <c r="O721" s="146"/>
      <c r="P721" s="147"/>
      <c r="Q721" s="180"/>
      <c r="R721" s="181"/>
      <c r="S721" s="170"/>
      <c r="T721" s="147"/>
      <c r="U721" s="182"/>
      <c r="V721" s="183"/>
      <c r="W721" s="150"/>
      <c r="X721" s="184"/>
      <c r="Y721" s="185"/>
      <c r="Z721" s="185"/>
      <c r="AA721" s="91"/>
      <c r="AB721" s="91"/>
      <c r="AC721" s="91"/>
      <c r="AD721" s="91"/>
      <c r="AE721" s="91"/>
      <c r="AF721" s="91"/>
      <c r="AG721" s="91"/>
      <c r="AH721" s="91"/>
      <c r="AI721" s="91"/>
      <c r="AJ721" s="91"/>
      <c r="AK721" s="91"/>
      <c r="AL721" s="91"/>
      <c r="AM721" s="91"/>
      <c r="AN721" s="91"/>
    </row>
    <row r="722" spans="3:40" ht="24" x14ac:dyDescent="0.2">
      <c r="C722" s="93"/>
      <c r="D722" s="99">
        <v>45582</v>
      </c>
      <c r="E722" s="113" t="s">
        <v>981</v>
      </c>
      <c r="F722" s="113" t="s">
        <v>981</v>
      </c>
      <c r="G722" s="113" t="s">
        <v>982</v>
      </c>
      <c r="H722" s="277">
        <v>0.52083333333333337</v>
      </c>
      <c r="I722" s="400"/>
      <c r="J722" s="401"/>
      <c r="K722" s="402"/>
      <c r="L722" s="272">
        <v>0.3125</v>
      </c>
      <c r="M722" s="269"/>
      <c r="N722" s="195"/>
      <c r="O722" s="146"/>
      <c r="P722" s="147"/>
      <c r="Q722" s="180"/>
      <c r="R722" s="181"/>
      <c r="S722" s="150"/>
      <c r="T722" s="147"/>
      <c r="U722" s="182"/>
      <c r="V722" s="183"/>
      <c r="W722" s="150"/>
      <c r="X722" s="184"/>
      <c r="Y722" s="185"/>
      <c r="Z722" s="185"/>
      <c r="AA722" s="91"/>
      <c r="AB722" s="91"/>
      <c r="AC722" s="91"/>
      <c r="AD722" s="91"/>
      <c r="AE722" s="91"/>
      <c r="AF722" s="91"/>
      <c r="AG722" s="91"/>
      <c r="AH722" s="91"/>
      <c r="AI722" s="91"/>
      <c r="AJ722" s="91"/>
      <c r="AK722" s="91"/>
      <c r="AL722" s="91"/>
      <c r="AM722" s="91"/>
      <c r="AN722" s="91"/>
    </row>
    <row r="723" spans="3:40" ht="24" x14ac:dyDescent="0.2">
      <c r="C723" s="93"/>
      <c r="D723" s="99">
        <v>45575</v>
      </c>
      <c r="E723" s="113" t="s">
        <v>983</v>
      </c>
      <c r="F723" s="113" t="s">
        <v>984</v>
      </c>
      <c r="G723" s="113" t="s">
        <v>985</v>
      </c>
      <c r="H723" s="277">
        <v>0.52083333333333337</v>
      </c>
      <c r="I723" s="400"/>
      <c r="J723" s="401"/>
      <c r="K723" s="402"/>
      <c r="L723" s="272">
        <v>0.3125</v>
      </c>
      <c r="M723" s="269"/>
      <c r="N723" s="195"/>
      <c r="O723" s="91"/>
      <c r="P723" s="91"/>
      <c r="Q723" s="91"/>
      <c r="R723" s="91"/>
      <c r="S723" s="91"/>
      <c r="T723" s="91"/>
      <c r="U723" s="91"/>
      <c r="V723" s="91"/>
      <c r="W723" s="91"/>
      <c r="X723" s="91"/>
      <c r="Y723" s="91"/>
      <c r="Z723" s="91"/>
      <c r="AA723" s="91"/>
      <c r="AB723" s="91"/>
      <c r="AC723" s="91"/>
      <c r="AD723" s="91"/>
      <c r="AE723" s="91"/>
      <c r="AF723" s="91"/>
      <c r="AG723" s="91"/>
      <c r="AH723" s="91"/>
      <c r="AI723" s="91"/>
      <c r="AJ723" s="91"/>
      <c r="AK723" s="91"/>
      <c r="AL723" s="91"/>
      <c r="AM723" s="91"/>
      <c r="AN723" s="91"/>
    </row>
    <row r="724" spans="3:40" ht="25" thickBot="1" x14ac:dyDescent="0.25">
      <c r="C724" s="93"/>
      <c r="D724" s="99">
        <v>45568</v>
      </c>
      <c r="E724" s="113" t="s">
        <v>985</v>
      </c>
      <c r="F724" s="113" t="s">
        <v>986</v>
      </c>
      <c r="G724" s="113" t="s">
        <v>987</v>
      </c>
      <c r="H724" s="291">
        <v>0.52083333333333337</v>
      </c>
      <c r="I724" s="403"/>
      <c r="J724" s="404"/>
      <c r="K724" s="405"/>
      <c r="L724" s="292">
        <v>0.3125</v>
      </c>
      <c r="M724" s="280"/>
      <c r="N724" s="195"/>
      <c r="O724" s="91"/>
      <c r="P724" s="91"/>
      <c r="Q724" s="91"/>
      <c r="R724" s="91"/>
      <c r="S724" s="91"/>
      <c r="T724" s="91"/>
      <c r="U724" s="91"/>
      <c r="V724" s="91"/>
      <c r="W724" s="91"/>
      <c r="X724" s="91"/>
      <c r="Y724" s="91"/>
      <c r="Z724" s="91"/>
      <c r="AA724" s="91"/>
      <c r="AB724" s="91"/>
      <c r="AC724" s="91"/>
      <c r="AD724" s="91"/>
      <c r="AE724" s="91"/>
      <c r="AF724" s="91"/>
      <c r="AG724" s="91"/>
      <c r="AH724" s="91"/>
      <c r="AI724" s="91"/>
      <c r="AJ724" s="91"/>
      <c r="AK724" s="91"/>
      <c r="AL724" s="91"/>
      <c r="AM724" s="91"/>
      <c r="AN724" s="91"/>
    </row>
    <row r="725" spans="3:40" ht="73" thickBot="1" x14ac:dyDescent="0.25">
      <c r="C725" s="93">
        <v>6</v>
      </c>
      <c r="D725" s="123" t="s">
        <v>30</v>
      </c>
      <c r="E725" s="363" t="s">
        <v>956</v>
      </c>
      <c r="F725" s="364"/>
      <c r="G725" s="365"/>
      <c r="H725" s="265" t="s">
        <v>790</v>
      </c>
      <c r="I725" s="406" t="s">
        <v>633</v>
      </c>
      <c r="J725" s="407"/>
      <c r="K725" s="408"/>
      <c r="L725" s="266" t="s">
        <v>430</v>
      </c>
      <c r="M725" s="267" t="s">
        <v>431</v>
      </c>
      <c r="N725" s="195" t="s">
        <v>105</v>
      </c>
      <c r="O725" s="145" t="s">
        <v>800</v>
      </c>
      <c r="P725" s="145" t="s">
        <v>801</v>
      </c>
      <c r="Q725" s="145" t="s">
        <v>802</v>
      </c>
      <c r="R725" s="145" t="s">
        <v>803</v>
      </c>
      <c r="S725" s="145" t="s">
        <v>804</v>
      </c>
      <c r="T725" s="145" t="s">
        <v>805</v>
      </c>
      <c r="U725" s="145" t="s">
        <v>806</v>
      </c>
      <c r="V725" s="145" t="s">
        <v>807</v>
      </c>
      <c r="W725" s="145" t="s">
        <v>808</v>
      </c>
      <c r="X725" s="145" t="s">
        <v>809</v>
      </c>
      <c r="Y725" s="145" t="s">
        <v>75</v>
      </c>
      <c r="Z725" s="145" t="s">
        <v>75</v>
      </c>
      <c r="AA725" s="91"/>
      <c r="AB725" s="91"/>
      <c r="AC725" s="91"/>
      <c r="AD725" s="91"/>
      <c r="AE725" s="91"/>
      <c r="AF725" s="91"/>
      <c r="AG725" s="91"/>
      <c r="AH725" s="91"/>
      <c r="AI725" s="91"/>
      <c r="AJ725" s="91"/>
      <c r="AK725" s="91"/>
      <c r="AL725" s="91"/>
      <c r="AM725" s="91"/>
      <c r="AN725" s="91"/>
    </row>
    <row r="726" spans="3:40" ht="24" x14ac:dyDescent="0.2">
      <c r="C726" s="195"/>
      <c r="D726" s="122" t="s">
        <v>432</v>
      </c>
      <c r="E726" s="342"/>
      <c r="F726" s="343"/>
      <c r="G726" s="344"/>
      <c r="H726" s="268" t="s">
        <v>794</v>
      </c>
      <c r="I726" s="397" t="s">
        <v>957</v>
      </c>
      <c r="J726" s="398"/>
      <c r="K726" s="399"/>
      <c r="L726" s="198"/>
      <c r="M726" s="269"/>
      <c r="N726" s="195"/>
      <c r="O726" s="146" t="s">
        <v>810</v>
      </c>
      <c r="P726" s="199">
        <v>0.1</v>
      </c>
      <c r="Q726" s="200">
        <v>2.7E-2</v>
      </c>
      <c r="R726" s="201">
        <v>1.5999999999991132E-2</v>
      </c>
      <c r="S726" s="150"/>
      <c r="T726" s="146">
        <v>5.6499999999991134E-2</v>
      </c>
      <c r="U726" s="200">
        <v>-13.31</v>
      </c>
      <c r="V726" s="199">
        <v>91.8</v>
      </c>
      <c r="W726" s="202">
        <v>2</v>
      </c>
      <c r="X726" s="184">
        <v>26.62</v>
      </c>
      <c r="Y726" s="151"/>
      <c r="Z726" s="151"/>
      <c r="AA726" s="91"/>
      <c r="AB726" s="91"/>
      <c r="AC726" s="91"/>
      <c r="AD726" s="91"/>
      <c r="AE726" s="91"/>
      <c r="AF726" s="91"/>
      <c r="AG726" s="91"/>
      <c r="AH726" s="91"/>
      <c r="AI726" s="91"/>
      <c r="AJ726" s="91"/>
      <c r="AK726" s="91"/>
      <c r="AL726" s="91"/>
      <c r="AM726" s="91"/>
      <c r="AN726" s="91"/>
    </row>
    <row r="727" spans="3:40" ht="24" x14ac:dyDescent="0.2">
      <c r="C727" s="195"/>
      <c r="D727" s="92" t="s">
        <v>433</v>
      </c>
      <c r="E727" s="357">
        <v>2E-3</v>
      </c>
      <c r="F727" s="358"/>
      <c r="G727" s="359"/>
      <c r="H727" s="268" t="s">
        <v>795</v>
      </c>
      <c r="I727" s="400"/>
      <c r="J727" s="401"/>
      <c r="K727" s="402"/>
      <c r="L727" s="198"/>
      <c r="M727" s="269"/>
      <c r="N727" s="195"/>
      <c r="O727" s="152"/>
      <c r="P727" s="152"/>
      <c r="Q727" s="152"/>
      <c r="R727" s="153"/>
      <c r="S727" s="154"/>
      <c r="T727" s="152"/>
      <c r="U727" s="152"/>
      <c r="V727" s="152"/>
      <c r="W727" s="154"/>
      <c r="X727" s="154"/>
      <c r="Y727" s="155"/>
      <c r="Z727" s="155"/>
      <c r="AA727" s="91"/>
      <c r="AB727" s="91"/>
      <c r="AC727" s="91"/>
      <c r="AD727" s="91"/>
      <c r="AE727" s="91"/>
      <c r="AF727" s="91"/>
      <c r="AG727" s="91"/>
      <c r="AH727" s="91"/>
      <c r="AI727" s="91"/>
      <c r="AJ727" s="91"/>
      <c r="AK727" s="91"/>
      <c r="AL727" s="91"/>
      <c r="AM727" s="91"/>
      <c r="AN727" s="91"/>
    </row>
    <row r="728" spans="3:40" ht="24" x14ac:dyDescent="0.2">
      <c r="C728" s="195"/>
      <c r="D728" s="92" t="s">
        <v>434</v>
      </c>
      <c r="E728" s="357">
        <v>0</v>
      </c>
      <c r="F728" s="358"/>
      <c r="G728" s="359"/>
      <c r="H728" s="270"/>
      <c r="I728" s="400"/>
      <c r="J728" s="401"/>
      <c r="K728" s="402"/>
      <c r="L728" s="198"/>
      <c r="M728" s="269"/>
      <c r="N728" s="195"/>
      <c r="O728" s="156" t="s">
        <v>811</v>
      </c>
      <c r="P728" s="204">
        <v>0.1</v>
      </c>
      <c r="Q728" s="205">
        <v>4.7899999999999998E-2</v>
      </c>
      <c r="R728" s="206">
        <v>1.7000000000000001E-2</v>
      </c>
      <c r="S728" s="160">
        <v>1</v>
      </c>
      <c r="T728" s="156">
        <v>8.8849999999999998E-2</v>
      </c>
      <c r="U728" s="161">
        <v>-20.93085840708293</v>
      </c>
      <c r="V728" s="162">
        <v>60.5</v>
      </c>
      <c r="W728" s="207">
        <v>2.2000000000000002</v>
      </c>
      <c r="X728" s="164">
        <v>46.047888495582448</v>
      </c>
      <c r="Y728" s="165"/>
      <c r="Z728" s="165">
        <v>4.4350000000000005</v>
      </c>
      <c r="AA728" s="91"/>
      <c r="AB728" s="91"/>
      <c r="AC728" s="91"/>
      <c r="AD728" s="91"/>
      <c r="AE728" s="91"/>
      <c r="AF728" s="91"/>
      <c r="AG728" s="91"/>
      <c r="AH728" s="91"/>
      <c r="AI728" s="91"/>
      <c r="AJ728" s="91"/>
      <c r="AK728" s="91"/>
      <c r="AL728" s="91"/>
      <c r="AM728" s="91"/>
      <c r="AN728" s="91"/>
    </row>
    <row r="729" spans="3:40" ht="25" thickBot="1" x14ac:dyDescent="0.25">
      <c r="C729" s="195"/>
      <c r="D729" s="94" t="s">
        <v>435</v>
      </c>
      <c r="E729" s="360">
        <v>0.5625</v>
      </c>
      <c r="F729" s="361"/>
      <c r="G729" s="362"/>
      <c r="H729" s="270"/>
      <c r="I729" s="400"/>
      <c r="J729" s="401"/>
      <c r="K729" s="402"/>
      <c r="L729" s="208">
        <v>0.79166666666666663</v>
      </c>
      <c r="M729" s="271">
        <v>0.64583333333333326</v>
      </c>
      <c r="N729" s="195"/>
      <c r="O729" s="166" t="s">
        <v>812</v>
      </c>
      <c r="P729" s="209">
        <v>0.1</v>
      </c>
      <c r="Q729" s="187">
        <v>7.2866666666666663E-2</v>
      </c>
      <c r="R729" s="210">
        <v>1.7000000000000001E-2</v>
      </c>
      <c r="S729" s="170">
        <v>1</v>
      </c>
      <c r="T729" s="211">
        <v>0.1263</v>
      </c>
      <c r="U729" s="171">
        <v>-29.753150442482543</v>
      </c>
      <c r="V729" s="172">
        <v>60.5</v>
      </c>
      <c r="W729" s="293">
        <v>3.282</v>
      </c>
      <c r="X729" s="174">
        <v>97.649839752227706</v>
      </c>
      <c r="Y729" s="175"/>
      <c r="Z729" s="175"/>
      <c r="AA729" s="91"/>
      <c r="AB729" s="91"/>
      <c r="AC729" s="91"/>
      <c r="AD729" s="91"/>
      <c r="AE729" s="91"/>
      <c r="AF729" s="91"/>
      <c r="AG729" s="91"/>
      <c r="AH729" s="91"/>
      <c r="AI729" s="91"/>
      <c r="AJ729" s="91"/>
      <c r="AK729" s="91"/>
      <c r="AL729" s="91"/>
      <c r="AM729" s="91"/>
      <c r="AN729" s="91"/>
    </row>
    <row r="730" spans="3:40" ht="25" thickBot="1" x14ac:dyDescent="0.25">
      <c r="C730" s="195"/>
      <c r="D730" s="96" t="s">
        <v>436</v>
      </c>
      <c r="E730" s="97" t="s">
        <v>29</v>
      </c>
      <c r="F730" s="97" t="s">
        <v>28</v>
      </c>
      <c r="G730" s="98" t="s">
        <v>27</v>
      </c>
      <c r="H730" s="287" t="s">
        <v>793</v>
      </c>
      <c r="I730" s="400"/>
      <c r="J730" s="401"/>
      <c r="K730" s="402"/>
      <c r="L730" s="287" t="s">
        <v>1002</v>
      </c>
      <c r="M730" s="288"/>
      <c r="N730" s="195"/>
      <c r="O730" s="154"/>
      <c r="P730" s="176"/>
      <c r="Q730" s="154"/>
      <c r="R730" s="154"/>
      <c r="S730" s="154"/>
      <c r="T730" s="154"/>
      <c r="U730" s="177"/>
      <c r="V730" s="178"/>
      <c r="W730" s="154"/>
      <c r="X730" s="177"/>
      <c r="Y730" s="155"/>
      <c r="Z730" s="155"/>
      <c r="AA730" s="91"/>
      <c r="AB730" s="91"/>
      <c r="AC730" s="91"/>
      <c r="AD730" s="91"/>
      <c r="AE730" s="91"/>
      <c r="AF730" s="91"/>
      <c r="AG730" s="91"/>
      <c r="AH730" s="91"/>
      <c r="AI730" s="91"/>
      <c r="AJ730" s="91"/>
      <c r="AK730" s="91"/>
      <c r="AL730" s="91"/>
      <c r="AM730" s="91"/>
      <c r="AN730" s="91"/>
    </row>
    <row r="731" spans="3:40" ht="24" x14ac:dyDescent="0.2">
      <c r="C731" s="195"/>
      <c r="D731" s="99">
        <v>45576</v>
      </c>
      <c r="E731" s="113">
        <v>0</v>
      </c>
      <c r="F731" s="113" t="s">
        <v>462</v>
      </c>
      <c r="G731" s="113">
        <v>2E-3</v>
      </c>
      <c r="H731" s="277">
        <v>0.52083333333333337</v>
      </c>
      <c r="I731" s="400"/>
      <c r="J731" s="401"/>
      <c r="K731" s="402"/>
      <c r="L731" s="272">
        <v>0.3125</v>
      </c>
      <c r="M731" s="289"/>
      <c r="N731" s="195"/>
      <c r="O731" s="179"/>
      <c r="P731" s="155"/>
      <c r="Q731" s="179"/>
      <c r="R731" s="179"/>
      <c r="S731" s="179"/>
      <c r="T731" s="179"/>
      <c r="U731" s="179"/>
      <c r="V731" s="179"/>
      <c r="W731" s="179"/>
      <c r="X731" s="179"/>
      <c r="Y731" s="155"/>
      <c r="Z731" s="155"/>
      <c r="AA731" s="91"/>
      <c r="AB731" s="91"/>
      <c r="AC731" s="91"/>
      <c r="AD731" s="91"/>
      <c r="AE731" s="91"/>
      <c r="AF731" s="91"/>
      <c r="AG731" s="91"/>
      <c r="AH731" s="91"/>
      <c r="AI731" s="91"/>
      <c r="AJ731" s="91"/>
      <c r="AK731" s="91"/>
      <c r="AL731" s="91"/>
      <c r="AM731" s="91"/>
      <c r="AN731" s="91"/>
    </row>
    <row r="732" spans="3:40" ht="24" x14ac:dyDescent="0.2">
      <c r="C732" s="195"/>
      <c r="D732" s="99">
        <v>45547</v>
      </c>
      <c r="E732" s="113">
        <v>2E-3</v>
      </c>
      <c r="F732" s="113" t="s">
        <v>462</v>
      </c>
      <c r="G732" s="113">
        <v>0</v>
      </c>
      <c r="H732" s="277">
        <v>0.52083333333333337</v>
      </c>
      <c r="I732" s="400"/>
      <c r="J732" s="401"/>
      <c r="K732" s="402"/>
      <c r="L732" s="272">
        <v>0.3125</v>
      </c>
      <c r="M732" s="290"/>
      <c r="N732" s="195"/>
      <c r="O732" s="146" t="s">
        <v>813</v>
      </c>
      <c r="P732" s="199">
        <v>0.1</v>
      </c>
      <c r="Q732" s="180">
        <v>6.0383333333333331E-2</v>
      </c>
      <c r="R732" s="181">
        <v>1.7000000000000001E-2</v>
      </c>
      <c r="S732" s="150">
        <v>1</v>
      </c>
      <c r="T732" s="156">
        <v>0.10757499999999999</v>
      </c>
      <c r="U732" s="182">
        <v>-25.342004424782736</v>
      </c>
      <c r="V732" s="183">
        <v>60.5</v>
      </c>
      <c r="W732" s="150">
        <v>2</v>
      </c>
      <c r="X732" s="184">
        <v>50.684008849565473</v>
      </c>
      <c r="Y732" s="185"/>
      <c r="Z732" s="185"/>
      <c r="AA732" s="91"/>
      <c r="AB732" s="91"/>
      <c r="AC732" s="91"/>
      <c r="AD732" s="91"/>
      <c r="AE732" s="91"/>
      <c r="AF732" s="91"/>
      <c r="AG732" s="91"/>
      <c r="AH732" s="91"/>
      <c r="AI732" s="91"/>
      <c r="AJ732" s="91"/>
      <c r="AK732" s="91"/>
      <c r="AL732" s="91"/>
      <c r="AM732" s="91"/>
      <c r="AN732" s="91"/>
    </row>
    <row r="733" spans="3:40" ht="24" x14ac:dyDescent="0.2">
      <c r="C733" s="195"/>
      <c r="D733" s="99">
        <v>45517</v>
      </c>
      <c r="E733" s="113">
        <v>1E-3</v>
      </c>
      <c r="F733" s="113" t="s">
        <v>460</v>
      </c>
      <c r="G733" s="113">
        <v>2E-3</v>
      </c>
      <c r="H733" s="277">
        <v>0.52083333333333337</v>
      </c>
      <c r="I733" s="400"/>
      <c r="J733" s="401"/>
      <c r="K733" s="402"/>
      <c r="L733" s="272">
        <v>0.3125</v>
      </c>
      <c r="M733" s="269"/>
      <c r="N733" s="195"/>
      <c r="O733" s="146" t="s">
        <v>813</v>
      </c>
      <c r="P733" s="199">
        <v>0.1</v>
      </c>
      <c r="Q733" s="180">
        <v>7.2866666666666663E-2</v>
      </c>
      <c r="R733" s="181">
        <v>0</v>
      </c>
      <c r="S733" s="150">
        <v>1</v>
      </c>
      <c r="T733" s="156">
        <v>0.10929999999999999</v>
      </c>
      <c r="U733" s="182">
        <v>-25.748371681419972</v>
      </c>
      <c r="V733" s="183">
        <v>60.5</v>
      </c>
      <c r="W733" s="150">
        <v>2</v>
      </c>
      <c r="X733" s="184">
        <v>51.496743362839943</v>
      </c>
      <c r="Y733" s="185"/>
      <c r="Z733" s="185"/>
      <c r="AA733" s="91"/>
      <c r="AB733" s="91"/>
      <c r="AC733" s="91"/>
      <c r="AD733" s="91"/>
      <c r="AE733" s="91"/>
      <c r="AF733" s="91"/>
      <c r="AG733" s="91"/>
      <c r="AH733" s="91"/>
      <c r="AI733" s="91"/>
      <c r="AJ733" s="91"/>
      <c r="AK733" s="91"/>
      <c r="AL733" s="91"/>
      <c r="AM733" s="91"/>
      <c r="AN733" s="91"/>
    </row>
    <row r="734" spans="3:40" ht="24" x14ac:dyDescent="0.2">
      <c r="C734" s="195"/>
      <c r="D734" s="99">
        <v>45485</v>
      </c>
      <c r="E734" s="113">
        <v>2E-3</v>
      </c>
      <c r="F734" s="113" t="s">
        <v>462</v>
      </c>
      <c r="G734" s="113">
        <v>0</v>
      </c>
      <c r="H734" s="277">
        <v>0.52083333333333337</v>
      </c>
      <c r="I734" s="400"/>
      <c r="J734" s="401"/>
      <c r="K734" s="402"/>
      <c r="L734" s="272">
        <v>0.3125</v>
      </c>
      <c r="M734" s="269"/>
      <c r="N734" s="195"/>
      <c r="O734" s="146" t="s">
        <v>816</v>
      </c>
      <c r="P734" s="147"/>
      <c r="Q734" s="180"/>
      <c r="R734" s="181"/>
      <c r="S734" s="150"/>
      <c r="T734" s="147"/>
      <c r="U734" s="182"/>
      <c r="V734" s="183"/>
      <c r="W734" s="150"/>
      <c r="X734" s="184"/>
      <c r="Y734" s="185"/>
      <c r="Z734" s="185"/>
      <c r="AA734" s="91"/>
      <c r="AB734" s="91"/>
      <c r="AC734" s="91"/>
      <c r="AD734" s="91"/>
      <c r="AE734" s="91"/>
      <c r="AF734" s="91"/>
      <c r="AG734" s="91"/>
      <c r="AH734" s="91"/>
      <c r="AI734" s="91"/>
      <c r="AJ734" s="91"/>
      <c r="AK734" s="91"/>
      <c r="AL734" s="91"/>
      <c r="AM734" s="91"/>
      <c r="AN734" s="91"/>
    </row>
    <row r="735" spans="3:40" ht="24" x14ac:dyDescent="0.2">
      <c r="C735" s="195"/>
      <c r="D735" s="99">
        <v>45456</v>
      </c>
      <c r="E735" s="113">
        <v>-2E-3</v>
      </c>
      <c r="F735" s="113" t="s">
        <v>462</v>
      </c>
      <c r="G735" s="113">
        <v>5.0000000000000001E-3</v>
      </c>
      <c r="H735" s="277">
        <v>0.52083333333333337</v>
      </c>
      <c r="I735" s="400"/>
      <c r="J735" s="401"/>
      <c r="K735" s="402"/>
      <c r="L735" s="272">
        <v>0.3125</v>
      </c>
      <c r="M735" s="269"/>
      <c r="N735" s="195"/>
      <c r="O735" s="91"/>
      <c r="P735" s="91"/>
      <c r="Q735" s="91"/>
      <c r="R735" s="91"/>
      <c r="S735" s="91"/>
      <c r="T735" s="91"/>
      <c r="U735" s="91"/>
      <c r="V735" s="91"/>
      <c r="W735" s="91"/>
      <c r="X735" s="91"/>
      <c r="Y735" s="91"/>
      <c r="Z735" s="91"/>
      <c r="AA735" s="91"/>
      <c r="AB735" s="91"/>
      <c r="AC735" s="91"/>
      <c r="AD735" s="91"/>
      <c r="AE735" s="91"/>
      <c r="AF735" s="91"/>
      <c r="AG735" s="91"/>
      <c r="AH735" s="91"/>
      <c r="AI735" s="91"/>
      <c r="AJ735" s="91"/>
      <c r="AK735" s="91"/>
      <c r="AL735" s="91"/>
      <c r="AM735" s="91"/>
      <c r="AN735" s="91"/>
    </row>
    <row r="736" spans="3:40" ht="25" thickBot="1" x14ac:dyDescent="0.25">
      <c r="C736" s="195"/>
      <c r="D736" s="99">
        <v>45426</v>
      </c>
      <c r="E736" s="113">
        <v>5.0000000000000001E-3</v>
      </c>
      <c r="F736" s="113" t="s">
        <v>467</v>
      </c>
      <c r="G736" s="113">
        <v>-1E-3</v>
      </c>
      <c r="H736" s="291">
        <v>0.52083333333333337</v>
      </c>
      <c r="I736" s="403"/>
      <c r="J736" s="404"/>
      <c r="K736" s="405"/>
      <c r="L736" s="292">
        <v>0.3125</v>
      </c>
      <c r="M736" s="280"/>
      <c r="N736" s="195"/>
      <c r="O736" s="91"/>
      <c r="P736" s="91"/>
      <c r="Q736" s="91"/>
      <c r="R736" s="91"/>
      <c r="S736" s="91"/>
      <c r="T736" s="91"/>
      <c r="U736" s="91"/>
      <c r="V736" s="91"/>
      <c r="W736" s="91"/>
      <c r="X736" s="91"/>
      <c r="Y736" s="91"/>
      <c r="Z736" s="91"/>
      <c r="AA736" s="91"/>
      <c r="AB736" s="91"/>
      <c r="AC736" s="91"/>
      <c r="AD736" s="91"/>
      <c r="AE736" s="91"/>
      <c r="AF736" s="91"/>
      <c r="AG736" s="91"/>
      <c r="AH736" s="91"/>
      <c r="AI736" s="91"/>
      <c r="AJ736" s="91"/>
      <c r="AK736" s="91"/>
      <c r="AL736" s="91"/>
      <c r="AM736" s="91"/>
      <c r="AN736" s="91"/>
    </row>
    <row r="737" spans="3:40" ht="73" thickBot="1" x14ac:dyDescent="0.25">
      <c r="C737" s="93">
        <v>7</v>
      </c>
      <c r="D737" s="123" t="s">
        <v>30</v>
      </c>
      <c r="E737" s="363" t="s">
        <v>9</v>
      </c>
      <c r="F737" s="364"/>
      <c r="G737" s="365"/>
      <c r="H737" s="265" t="s">
        <v>790</v>
      </c>
      <c r="I737" s="406" t="s">
        <v>633</v>
      </c>
      <c r="J737" s="407"/>
      <c r="K737" s="408"/>
      <c r="L737" s="266" t="s">
        <v>430</v>
      </c>
      <c r="M737" s="267" t="s">
        <v>431</v>
      </c>
      <c r="N737" s="195" t="s">
        <v>105</v>
      </c>
      <c r="O737" s="145" t="s">
        <v>800</v>
      </c>
      <c r="P737" s="145" t="s">
        <v>801</v>
      </c>
      <c r="Q737" s="145" t="s">
        <v>802</v>
      </c>
      <c r="R737" s="145" t="s">
        <v>803</v>
      </c>
      <c r="S737" s="145" t="s">
        <v>804</v>
      </c>
      <c r="T737" s="145" t="s">
        <v>805</v>
      </c>
      <c r="U737" s="145" t="s">
        <v>806</v>
      </c>
      <c r="V737" s="145" t="s">
        <v>807</v>
      </c>
      <c r="W737" s="145" t="s">
        <v>808</v>
      </c>
      <c r="X737" s="145" t="s">
        <v>809</v>
      </c>
      <c r="Y737" s="145" t="s">
        <v>75</v>
      </c>
      <c r="Z737" s="145" t="s">
        <v>75</v>
      </c>
      <c r="AA737" s="91"/>
      <c r="AB737" s="91"/>
      <c r="AC737" s="91"/>
      <c r="AD737" s="91"/>
      <c r="AE737" s="91"/>
      <c r="AF737" s="91"/>
      <c r="AG737" s="91"/>
      <c r="AH737" s="91"/>
      <c r="AI737" s="91"/>
      <c r="AJ737" s="91"/>
      <c r="AK737" s="91"/>
      <c r="AL737" s="91"/>
      <c r="AM737" s="91"/>
      <c r="AN737" s="91"/>
    </row>
    <row r="738" spans="3:40" ht="24" x14ac:dyDescent="0.2">
      <c r="C738" s="195"/>
      <c r="D738" s="122" t="s">
        <v>432</v>
      </c>
      <c r="E738" s="342"/>
      <c r="F738" s="343"/>
      <c r="G738" s="344"/>
      <c r="H738" s="268" t="s">
        <v>796</v>
      </c>
      <c r="I738" s="397" t="s">
        <v>926</v>
      </c>
      <c r="J738" s="398"/>
      <c r="K738" s="399"/>
      <c r="L738" s="198"/>
      <c r="M738" s="269"/>
      <c r="N738" s="195"/>
      <c r="O738" s="146" t="s">
        <v>810</v>
      </c>
      <c r="P738" s="199">
        <v>0.1</v>
      </c>
      <c r="Q738" s="200">
        <v>2.1999999999999999E-2</v>
      </c>
      <c r="R738" s="201">
        <v>3.0000000000001137E-2</v>
      </c>
      <c r="S738" s="150"/>
      <c r="T738" s="146">
        <v>6.3000000000001138E-2</v>
      </c>
      <c r="U738" s="200">
        <v>-15.02</v>
      </c>
      <c r="V738" s="199">
        <v>99.37</v>
      </c>
      <c r="W738" s="199"/>
      <c r="X738" s="184"/>
      <c r="Y738" s="151"/>
      <c r="Z738" s="151"/>
      <c r="AA738" s="91"/>
      <c r="AB738" s="91"/>
      <c r="AC738" s="91"/>
      <c r="AD738" s="91"/>
      <c r="AE738" s="91"/>
      <c r="AF738" s="91"/>
      <c r="AG738" s="91"/>
      <c r="AH738" s="91"/>
      <c r="AI738" s="91"/>
      <c r="AJ738" s="91"/>
      <c r="AK738" s="91"/>
      <c r="AL738" s="91"/>
      <c r="AM738" s="91"/>
      <c r="AN738" s="91"/>
    </row>
    <row r="739" spans="3:40" ht="24" x14ac:dyDescent="0.2">
      <c r="C739" s="195"/>
      <c r="D739" s="92" t="s">
        <v>433</v>
      </c>
      <c r="E739" s="357"/>
      <c r="F739" s="358"/>
      <c r="G739" s="359"/>
      <c r="H739" s="268" t="s">
        <v>796</v>
      </c>
      <c r="I739" s="400"/>
      <c r="J739" s="401"/>
      <c r="K739" s="402"/>
      <c r="L739" s="198"/>
      <c r="M739" s="269"/>
      <c r="N739" s="195"/>
      <c r="O739" s="152"/>
      <c r="P739" s="152"/>
      <c r="Q739" s="152"/>
      <c r="R739" s="153"/>
      <c r="S739" s="154"/>
      <c r="T739" s="152"/>
      <c r="U739" s="152"/>
      <c r="V739" s="152"/>
      <c r="W739" s="152"/>
      <c r="X739" s="154"/>
      <c r="Y739" s="155"/>
      <c r="Z739" s="155"/>
      <c r="AA739" s="91"/>
      <c r="AB739" s="91"/>
      <c r="AC739" s="91"/>
      <c r="AD739" s="91"/>
      <c r="AE739" s="91"/>
      <c r="AF739" s="91"/>
      <c r="AG739" s="91"/>
      <c r="AH739" s="91"/>
      <c r="AI739" s="91"/>
      <c r="AJ739" s="91"/>
      <c r="AK739" s="91"/>
      <c r="AL739" s="91"/>
      <c r="AM739" s="91"/>
      <c r="AN739" s="91"/>
    </row>
    <row r="740" spans="3:40" ht="24" x14ac:dyDescent="0.2">
      <c r="C740" s="195"/>
      <c r="D740" s="92" t="s">
        <v>434</v>
      </c>
      <c r="E740" s="357" t="s">
        <v>958</v>
      </c>
      <c r="F740" s="358"/>
      <c r="G740" s="359"/>
      <c r="H740" s="270"/>
      <c r="I740" s="400"/>
      <c r="J740" s="401"/>
      <c r="K740" s="402"/>
      <c r="L740" s="198"/>
      <c r="M740" s="269"/>
      <c r="N740" s="195"/>
      <c r="O740" s="156" t="s">
        <v>811</v>
      </c>
      <c r="P740" s="204">
        <v>0.1</v>
      </c>
      <c r="Q740" s="205">
        <v>6.4100000000000004E-2</v>
      </c>
      <c r="R740" s="206">
        <v>3.0000000000001137E-2</v>
      </c>
      <c r="S740" s="220">
        <v>1</v>
      </c>
      <c r="T740" s="156">
        <v>0.12615000000000115</v>
      </c>
      <c r="U740" s="161">
        <v>-30.075761904761638</v>
      </c>
      <c r="V740" s="162">
        <v>60.5</v>
      </c>
      <c r="W740" s="221">
        <v>2.39</v>
      </c>
      <c r="X740" s="164">
        <v>71.881070952380313</v>
      </c>
      <c r="Y740" s="165"/>
      <c r="Z740" s="165"/>
      <c r="AA740" s="91"/>
      <c r="AB740" s="91"/>
      <c r="AC740" s="91"/>
      <c r="AD740" s="91"/>
      <c r="AE740" s="91"/>
      <c r="AF740" s="91"/>
      <c r="AG740" s="91"/>
      <c r="AH740" s="91"/>
      <c r="AI740" s="91"/>
      <c r="AJ740" s="91"/>
      <c r="AK740" s="91"/>
      <c r="AL740" s="91"/>
      <c r="AM740" s="91"/>
      <c r="AN740" s="91"/>
    </row>
    <row r="741" spans="3:40" ht="25" thickBot="1" x14ac:dyDescent="0.25">
      <c r="C741" s="195"/>
      <c r="D741" s="94" t="s">
        <v>435</v>
      </c>
      <c r="E741" s="360">
        <v>0.66666666666666674</v>
      </c>
      <c r="F741" s="361"/>
      <c r="G741" s="362"/>
      <c r="H741" s="294"/>
      <c r="I741" s="400"/>
      <c r="J741" s="401"/>
      <c r="K741" s="402"/>
      <c r="L741" s="208">
        <v>0.89583333333333337</v>
      </c>
      <c r="M741" s="271">
        <v>0.75</v>
      </c>
      <c r="N741" s="195"/>
      <c r="O741" s="166" t="s">
        <v>812</v>
      </c>
      <c r="P741" s="209">
        <v>0.1</v>
      </c>
      <c r="Q741" s="187">
        <v>7.6066666666665908E-2</v>
      </c>
      <c r="R741" s="210">
        <v>3.0000000000001137E-2</v>
      </c>
      <c r="S741" s="222">
        <v>1</v>
      </c>
      <c r="T741" s="211">
        <v>0.14410000000000001</v>
      </c>
      <c r="U741" s="171">
        <v>-34.355269841269219</v>
      </c>
      <c r="V741" s="172">
        <v>60.5</v>
      </c>
      <c r="W741" s="223">
        <v>2.08</v>
      </c>
      <c r="X741" s="174">
        <v>71.458961269839975</v>
      </c>
      <c r="Y741" s="175"/>
      <c r="Z741" s="175"/>
      <c r="AA741" s="91"/>
      <c r="AB741" s="91"/>
      <c r="AC741" s="91"/>
      <c r="AD741" s="91"/>
      <c r="AE741" s="91"/>
      <c r="AF741" s="91"/>
      <c r="AG741" s="91"/>
      <c r="AH741" s="91"/>
      <c r="AI741" s="91"/>
      <c r="AJ741" s="91"/>
      <c r="AK741" s="91"/>
      <c r="AL741" s="91"/>
      <c r="AM741" s="91"/>
      <c r="AN741" s="91"/>
    </row>
    <row r="742" spans="3:40" ht="25" thickBot="1" x14ac:dyDescent="0.25">
      <c r="C742" s="195"/>
      <c r="D742" s="96" t="s">
        <v>436</v>
      </c>
      <c r="E742" s="97" t="s">
        <v>29</v>
      </c>
      <c r="F742" s="97" t="s">
        <v>28</v>
      </c>
      <c r="G742" s="98" t="s">
        <v>27</v>
      </c>
      <c r="H742" s="287" t="s">
        <v>793</v>
      </c>
      <c r="I742" s="400"/>
      <c r="J742" s="401"/>
      <c r="K742" s="402"/>
      <c r="L742" s="287" t="s">
        <v>1002</v>
      </c>
      <c r="M742" s="288" t="s">
        <v>1003</v>
      </c>
      <c r="N742" s="195"/>
      <c r="O742" s="154"/>
      <c r="P742" s="176"/>
      <c r="Q742" s="154"/>
      <c r="R742" s="154"/>
      <c r="S742" s="224"/>
      <c r="T742" s="154"/>
      <c r="U742" s="177"/>
      <c r="V742" s="178"/>
      <c r="W742" s="225"/>
      <c r="X742" s="177"/>
      <c r="Y742" s="155"/>
      <c r="Z742" s="155"/>
      <c r="AA742" s="91"/>
      <c r="AB742" s="91"/>
      <c r="AC742" s="91"/>
      <c r="AD742" s="91"/>
      <c r="AE742" s="91"/>
      <c r="AF742" s="91"/>
      <c r="AG742" s="91"/>
      <c r="AH742" s="91"/>
      <c r="AI742" s="91"/>
      <c r="AJ742" s="91"/>
      <c r="AK742" s="91"/>
      <c r="AL742" s="91"/>
      <c r="AM742" s="91"/>
      <c r="AN742" s="91"/>
    </row>
    <row r="743" spans="3:40" ht="24" x14ac:dyDescent="0.2">
      <c r="C743" s="195"/>
      <c r="D743" s="99">
        <v>45602</v>
      </c>
      <c r="E743" s="113" t="s">
        <v>988</v>
      </c>
      <c r="F743" s="113" t="s">
        <v>989</v>
      </c>
      <c r="G743" s="113" t="s">
        <v>990</v>
      </c>
      <c r="H743" s="277">
        <v>0.72916666666666674</v>
      </c>
      <c r="I743" s="400"/>
      <c r="J743" s="401"/>
      <c r="K743" s="402"/>
      <c r="L743" s="272">
        <v>0.4375</v>
      </c>
      <c r="M743" s="295">
        <v>0.64583333333333337</v>
      </c>
      <c r="N743" s="195"/>
      <c r="O743" s="179"/>
      <c r="P743" s="155"/>
      <c r="Q743" s="179"/>
      <c r="R743" s="179"/>
      <c r="S743" s="224"/>
      <c r="T743" s="179"/>
      <c r="U743" s="179"/>
      <c r="V743" s="179"/>
      <c r="W743" s="227"/>
      <c r="X743" s="179"/>
      <c r="Y743" s="155"/>
      <c r="Z743" s="155"/>
      <c r="AA743" s="91"/>
      <c r="AB743" s="91"/>
      <c r="AC743" s="91"/>
      <c r="AD743" s="91"/>
      <c r="AE743" s="91"/>
      <c r="AF743" s="91"/>
      <c r="AG743" s="91"/>
      <c r="AH743" s="91"/>
      <c r="AI743" s="91"/>
      <c r="AJ743" s="91"/>
      <c r="AK743" s="91"/>
      <c r="AL743" s="91"/>
      <c r="AM743" s="91"/>
      <c r="AN743" s="91"/>
    </row>
    <row r="744" spans="3:40" ht="24" x14ac:dyDescent="0.2">
      <c r="C744" s="195"/>
      <c r="D744" s="99">
        <v>45595</v>
      </c>
      <c r="E744" s="113" t="s">
        <v>990</v>
      </c>
      <c r="F744" s="113" t="s">
        <v>991</v>
      </c>
      <c r="G744" s="113" t="s">
        <v>992</v>
      </c>
      <c r="H744" s="277">
        <v>0.6875</v>
      </c>
      <c r="I744" s="400"/>
      <c r="J744" s="401"/>
      <c r="K744" s="402"/>
      <c r="L744" s="272">
        <v>0.39583333333333331</v>
      </c>
      <c r="M744" s="295">
        <v>0.60416666666666663</v>
      </c>
      <c r="N744" s="195"/>
      <c r="O744" s="146" t="s">
        <v>813</v>
      </c>
      <c r="P744" s="228">
        <v>0.1</v>
      </c>
      <c r="Q744" s="180">
        <v>7.6066666666665908E-2</v>
      </c>
      <c r="R744" s="181">
        <v>3.0000000000001137E-2</v>
      </c>
      <c r="S744" s="228">
        <v>1</v>
      </c>
      <c r="T744" s="229">
        <v>0.14410000000000001</v>
      </c>
      <c r="U744" s="182">
        <v>-34.355269841269219</v>
      </c>
      <c r="V744" s="183">
        <v>60.5</v>
      </c>
      <c r="W744" s="230">
        <v>2.08</v>
      </c>
      <c r="X744" s="184">
        <v>71.458961269839975</v>
      </c>
      <c r="Y744" s="185"/>
      <c r="Z744" s="185"/>
      <c r="AA744" s="91"/>
      <c r="AB744" s="91"/>
      <c r="AC744" s="91"/>
      <c r="AD744" s="91"/>
      <c r="AE744" s="91"/>
      <c r="AF744" s="91"/>
      <c r="AG744" s="91"/>
      <c r="AH744" s="91"/>
      <c r="AI744" s="91"/>
      <c r="AJ744" s="91"/>
      <c r="AK744" s="91"/>
      <c r="AL744" s="91"/>
      <c r="AM744" s="91"/>
      <c r="AN744" s="91"/>
    </row>
    <row r="745" spans="3:40" ht="24" x14ac:dyDescent="0.2">
      <c r="C745" s="195"/>
      <c r="D745" s="99">
        <v>45588</v>
      </c>
      <c r="E745" s="113" t="s">
        <v>992</v>
      </c>
      <c r="F745" s="113" t="s">
        <v>993</v>
      </c>
      <c r="G745" s="113" t="s">
        <v>994</v>
      </c>
      <c r="H745" s="277">
        <v>0.6875</v>
      </c>
      <c r="I745" s="400"/>
      <c r="J745" s="401"/>
      <c r="K745" s="402"/>
      <c r="L745" s="272">
        <v>0.39583333333333331</v>
      </c>
      <c r="M745" s="295">
        <v>0.60416666666666663</v>
      </c>
      <c r="N745" s="195"/>
      <c r="O745" s="146"/>
      <c r="P745" s="147"/>
      <c r="Q745" s="180"/>
      <c r="R745" s="181"/>
      <c r="S745" s="150"/>
      <c r="T745" s="147"/>
      <c r="U745" s="182"/>
      <c r="V745" s="183"/>
      <c r="W745" s="150"/>
      <c r="X745" s="184"/>
      <c r="Y745" s="185"/>
      <c r="Z745" s="185"/>
      <c r="AA745" s="91"/>
      <c r="AB745" s="91"/>
      <c r="AC745" s="91"/>
      <c r="AD745" s="91"/>
      <c r="AE745" s="91"/>
      <c r="AF745" s="91"/>
      <c r="AG745" s="91"/>
      <c r="AH745" s="91"/>
      <c r="AI745" s="91"/>
      <c r="AJ745" s="91"/>
      <c r="AK745" s="91"/>
      <c r="AL745" s="91"/>
      <c r="AM745" s="91"/>
      <c r="AN745" s="91"/>
    </row>
    <row r="746" spans="3:40" ht="24" x14ac:dyDescent="0.2">
      <c r="C746" s="195"/>
      <c r="D746" s="99">
        <v>45582</v>
      </c>
      <c r="E746" s="113" t="s">
        <v>994</v>
      </c>
      <c r="F746" s="113" t="s">
        <v>995</v>
      </c>
      <c r="G746" s="113" t="s">
        <v>996</v>
      </c>
      <c r="H746" s="277">
        <v>0.70833333333333337</v>
      </c>
      <c r="I746" s="400"/>
      <c r="J746" s="401"/>
      <c r="K746" s="402"/>
      <c r="L746" s="272">
        <v>0.41666666666666669</v>
      </c>
      <c r="M746" s="295">
        <v>0.625</v>
      </c>
      <c r="N746" s="195"/>
      <c r="O746" s="146"/>
      <c r="P746" s="147"/>
      <c r="Q746" s="180"/>
      <c r="R746" s="181"/>
      <c r="S746" s="150"/>
      <c r="T746" s="147"/>
      <c r="U746" s="182"/>
      <c r="V746" s="183"/>
      <c r="W746" s="150"/>
      <c r="X746" s="184"/>
      <c r="Y746" s="185"/>
      <c r="Z746" s="185"/>
      <c r="AA746" s="91"/>
      <c r="AB746" s="91"/>
      <c r="AC746" s="91"/>
      <c r="AD746" s="91"/>
      <c r="AE746" s="91"/>
      <c r="AF746" s="91"/>
      <c r="AG746" s="91"/>
      <c r="AH746" s="91"/>
      <c r="AI746" s="91"/>
      <c r="AJ746" s="91"/>
      <c r="AK746" s="91"/>
      <c r="AL746" s="91"/>
      <c r="AM746" s="91"/>
      <c r="AN746" s="91"/>
    </row>
    <row r="747" spans="3:40" ht="24" x14ac:dyDescent="0.2">
      <c r="C747" s="195"/>
      <c r="D747" s="99">
        <v>45574</v>
      </c>
      <c r="E747" s="113" t="s">
        <v>996</v>
      </c>
      <c r="F747" s="113" t="s">
        <v>997</v>
      </c>
      <c r="G747" s="113" t="s">
        <v>998</v>
      </c>
      <c r="H747" s="277">
        <v>0.6875</v>
      </c>
      <c r="I747" s="400"/>
      <c r="J747" s="401"/>
      <c r="K747" s="402"/>
      <c r="L747" s="272">
        <v>0.39583333333333331</v>
      </c>
      <c r="M747" s="295">
        <v>0.60416666666666663</v>
      </c>
      <c r="N747" s="195"/>
      <c r="O747" s="91"/>
      <c r="P747" s="91"/>
      <c r="Q747" s="91"/>
      <c r="R747" s="91"/>
      <c r="S747" s="91"/>
      <c r="T747" s="91"/>
      <c r="U747" s="91"/>
      <c r="V747" s="91"/>
      <c r="W747" s="91"/>
      <c r="X747" s="91"/>
      <c r="Y747" s="91"/>
      <c r="Z747" s="91"/>
      <c r="AA747" s="91"/>
      <c r="AB747" s="91"/>
      <c r="AC747" s="91"/>
      <c r="AD747" s="91"/>
      <c r="AE747" s="91"/>
      <c r="AF747" s="91"/>
      <c r="AG747" s="91"/>
      <c r="AH747" s="91"/>
      <c r="AI747" s="91"/>
      <c r="AJ747" s="91"/>
      <c r="AK747" s="91"/>
      <c r="AL747" s="91"/>
      <c r="AM747" s="91"/>
      <c r="AN747" s="91"/>
    </row>
    <row r="748" spans="3:40" ht="25" thickBot="1" x14ac:dyDescent="0.25">
      <c r="C748" s="195"/>
      <c r="D748" s="99">
        <v>45567</v>
      </c>
      <c r="E748" s="113" t="s">
        <v>998</v>
      </c>
      <c r="F748" s="113" t="s">
        <v>999</v>
      </c>
      <c r="G748" s="113" t="s">
        <v>1000</v>
      </c>
      <c r="H748" s="277">
        <v>0.6875</v>
      </c>
      <c r="I748" s="403"/>
      <c r="J748" s="404"/>
      <c r="K748" s="405"/>
      <c r="L748" s="292">
        <v>0.39583333333333331</v>
      </c>
      <c r="M748" s="295">
        <v>0.60416666666666663</v>
      </c>
      <c r="N748" s="195"/>
      <c r="O748" s="91"/>
      <c r="P748" s="91"/>
      <c r="Q748" s="91"/>
      <c r="R748" s="91"/>
      <c r="S748" s="91"/>
      <c r="T748" s="91"/>
      <c r="U748" s="91"/>
      <c r="V748" s="91"/>
      <c r="W748" s="91"/>
      <c r="X748" s="91"/>
      <c r="Y748" s="91"/>
      <c r="Z748" s="91"/>
      <c r="AA748" s="91"/>
      <c r="AB748" s="91"/>
      <c r="AC748" s="91"/>
      <c r="AD748" s="91"/>
      <c r="AE748" s="91"/>
      <c r="AF748" s="91"/>
      <c r="AG748" s="91"/>
      <c r="AH748" s="91"/>
      <c r="AI748" s="91"/>
      <c r="AJ748" s="91"/>
      <c r="AK748" s="91"/>
      <c r="AL748" s="91"/>
      <c r="AM748" s="91"/>
      <c r="AN748" s="91"/>
    </row>
    <row r="749" spans="3:40" ht="73" thickBot="1" x14ac:dyDescent="0.25">
      <c r="C749" s="93">
        <v>8</v>
      </c>
      <c r="D749" s="123" t="s">
        <v>30</v>
      </c>
      <c r="E749" s="363" t="s">
        <v>959</v>
      </c>
      <c r="F749" s="364"/>
      <c r="G749" s="365"/>
      <c r="H749" s="265" t="s">
        <v>790</v>
      </c>
      <c r="I749" s="406" t="s">
        <v>633</v>
      </c>
      <c r="J749" s="407"/>
      <c r="K749" s="408"/>
      <c r="L749" s="266" t="s">
        <v>430</v>
      </c>
      <c r="M749" s="267" t="s">
        <v>431</v>
      </c>
      <c r="N749" s="195" t="s">
        <v>105</v>
      </c>
      <c r="O749" s="145" t="s">
        <v>800</v>
      </c>
      <c r="P749" s="145" t="s">
        <v>801</v>
      </c>
      <c r="Q749" s="145" t="s">
        <v>802</v>
      </c>
      <c r="R749" s="145" t="s">
        <v>803</v>
      </c>
      <c r="S749" s="145" t="s">
        <v>804</v>
      </c>
      <c r="T749" s="145" t="s">
        <v>805</v>
      </c>
      <c r="U749" s="145" t="s">
        <v>806</v>
      </c>
      <c r="V749" s="145" t="s">
        <v>807</v>
      </c>
      <c r="W749" s="145" t="s">
        <v>808</v>
      </c>
      <c r="X749" s="145" t="s">
        <v>809</v>
      </c>
      <c r="Y749" s="145" t="s">
        <v>75</v>
      </c>
      <c r="Z749" s="145" t="s">
        <v>75</v>
      </c>
      <c r="AA749" s="91"/>
      <c r="AB749" s="91"/>
      <c r="AC749" s="91"/>
      <c r="AD749" s="91"/>
      <c r="AE749" s="91"/>
      <c r="AF749" s="91"/>
      <c r="AG749" s="91"/>
      <c r="AH749" s="91"/>
      <c r="AI749" s="91"/>
      <c r="AJ749" s="91"/>
      <c r="AK749" s="91"/>
      <c r="AL749" s="91"/>
      <c r="AM749" s="91"/>
      <c r="AN749" s="91"/>
    </row>
    <row r="750" spans="3:40" ht="24" x14ac:dyDescent="0.2">
      <c r="C750" s="195"/>
      <c r="D750" s="122" t="s">
        <v>432</v>
      </c>
      <c r="E750" s="342"/>
      <c r="F750" s="343"/>
      <c r="G750" s="344"/>
      <c r="H750" s="268" t="s">
        <v>794</v>
      </c>
      <c r="I750" s="397" t="s">
        <v>960</v>
      </c>
      <c r="J750" s="398"/>
      <c r="K750" s="399"/>
      <c r="L750" s="198"/>
      <c r="M750" s="269"/>
      <c r="N750" s="195"/>
      <c r="O750" s="146" t="s">
        <v>810</v>
      </c>
      <c r="P750" s="199">
        <v>0.1</v>
      </c>
      <c r="Q750" s="200">
        <v>2.7E-2</v>
      </c>
      <c r="R750" s="201">
        <v>1.5999999999991132E-2</v>
      </c>
      <c r="S750" s="150"/>
      <c r="T750" s="146">
        <v>5.6499999999991134E-2</v>
      </c>
      <c r="U750" s="200">
        <v>-13.31</v>
      </c>
      <c r="V750" s="199">
        <v>91.8</v>
      </c>
      <c r="W750" s="202">
        <v>2</v>
      </c>
      <c r="X750" s="184">
        <v>26.62</v>
      </c>
      <c r="Y750" s="151"/>
      <c r="Z750" s="151"/>
      <c r="AA750" s="91"/>
      <c r="AB750" s="91"/>
      <c r="AC750" s="91"/>
      <c r="AD750" s="91"/>
      <c r="AE750" s="91"/>
      <c r="AF750" s="91"/>
      <c r="AG750" s="91"/>
      <c r="AH750" s="91"/>
      <c r="AI750" s="91"/>
      <c r="AJ750" s="91"/>
      <c r="AK750" s="91"/>
      <c r="AL750" s="91"/>
      <c r="AM750" s="91"/>
      <c r="AN750" s="91"/>
    </row>
    <row r="751" spans="3:40" ht="24" x14ac:dyDescent="0.2">
      <c r="C751" s="195"/>
      <c r="D751" s="92" t="s">
        <v>433</v>
      </c>
      <c r="E751" s="357">
        <v>2E-3</v>
      </c>
      <c r="F751" s="358"/>
      <c r="G751" s="359"/>
      <c r="H751" s="268" t="s">
        <v>795</v>
      </c>
      <c r="I751" s="400"/>
      <c r="J751" s="401"/>
      <c r="K751" s="402"/>
      <c r="L751" s="198"/>
      <c r="M751" s="269"/>
      <c r="N751" s="195"/>
      <c r="O751" s="152"/>
      <c r="P751" s="152"/>
      <c r="Q751" s="152"/>
      <c r="R751" s="153"/>
      <c r="S751" s="154"/>
      <c r="T751" s="152"/>
      <c r="U751" s="152"/>
      <c r="V751" s="152"/>
      <c r="W751" s="154"/>
      <c r="X751" s="154"/>
      <c r="Y751" s="155"/>
      <c r="Z751" s="155"/>
      <c r="AA751" s="91"/>
      <c r="AB751" s="91"/>
      <c r="AC751" s="91"/>
      <c r="AD751" s="91"/>
      <c r="AE751" s="91"/>
      <c r="AF751" s="91"/>
      <c r="AG751" s="91"/>
      <c r="AH751" s="91"/>
      <c r="AI751" s="91"/>
      <c r="AJ751" s="91"/>
      <c r="AK751" s="91"/>
      <c r="AL751" s="91"/>
      <c r="AM751" s="91"/>
      <c r="AN751" s="91"/>
    </row>
    <row r="752" spans="3:40" ht="24" x14ac:dyDescent="0.2">
      <c r="C752" s="195"/>
      <c r="D752" s="92" t="s">
        <v>434</v>
      </c>
      <c r="E752" s="357">
        <v>7.0000000000000001E-3</v>
      </c>
      <c r="F752" s="358"/>
      <c r="G752" s="359"/>
      <c r="H752" s="270"/>
      <c r="I752" s="400"/>
      <c r="J752" s="401"/>
      <c r="K752" s="402"/>
      <c r="L752" s="198"/>
      <c r="M752" s="269"/>
      <c r="N752" s="195"/>
      <c r="O752" s="156" t="s">
        <v>811</v>
      </c>
      <c r="P752" s="204">
        <v>0.1</v>
      </c>
      <c r="Q752" s="205">
        <v>4.0500000000000001E-2</v>
      </c>
      <c r="R752" s="206">
        <v>1.7000000000000001E-2</v>
      </c>
      <c r="S752" s="160">
        <v>1</v>
      </c>
      <c r="T752" s="156">
        <v>7.775E-2</v>
      </c>
      <c r="U752" s="161">
        <v>-18.315973451330308</v>
      </c>
      <c r="V752" s="162">
        <v>60.5</v>
      </c>
      <c r="W752" s="207">
        <v>3.27</v>
      </c>
      <c r="X752" s="164">
        <v>59.893233185850107</v>
      </c>
      <c r="Y752" s="165"/>
      <c r="Z752" s="165">
        <v>4.4350000000000005</v>
      </c>
      <c r="AA752" s="91"/>
      <c r="AB752" s="91"/>
      <c r="AC752" s="91"/>
      <c r="AD752" s="91"/>
      <c r="AE752" s="91"/>
      <c r="AF752" s="91"/>
      <c r="AG752" s="91"/>
      <c r="AH752" s="91"/>
      <c r="AI752" s="91"/>
      <c r="AJ752" s="91"/>
      <c r="AK752" s="91"/>
      <c r="AL752" s="91"/>
      <c r="AM752" s="91"/>
      <c r="AN752" s="91"/>
    </row>
    <row r="753" spans="3:40" ht="25" thickBot="1" x14ac:dyDescent="0.25">
      <c r="C753" s="195"/>
      <c r="D753" s="94" t="s">
        <v>435</v>
      </c>
      <c r="E753" s="360">
        <v>7.6388888888888867E-2</v>
      </c>
      <c r="F753" s="361"/>
      <c r="G753" s="362"/>
      <c r="H753" s="270"/>
      <c r="I753" s="400"/>
      <c r="J753" s="401"/>
      <c r="K753" s="402"/>
      <c r="L753" s="208">
        <v>0.22222222222222221</v>
      </c>
      <c r="M753" s="271">
        <v>7.6388888888888867E-2</v>
      </c>
      <c r="N753" s="195"/>
      <c r="O753" s="166" t="s">
        <v>812</v>
      </c>
      <c r="P753" s="209">
        <v>0.1</v>
      </c>
      <c r="Q753" s="187">
        <v>2.5266666666666663E-2</v>
      </c>
      <c r="R753" s="210">
        <v>1.7000000000000001E-2</v>
      </c>
      <c r="S753" s="170">
        <v>1</v>
      </c>
      <c r="T753" s="211">
        <v>5.4899999999999997E-2</v>
      </c>
      <c r="U753" s="171">
        <v>-12.933079646019728</v>
      </c>
      <c r="V753" s="172">
        <v>60.5</v>
      </c>
      <c r="W753" s="293">
        <v>2.2200000000000002</v>
      </c>
      <c r="X753" s="174">
        <v>28.711436814163797</v>
      </c>
      <c r="Y753" s="175"/>
      <c r="Z753" s="175"/>
      <c r="AA753" s="91"/>
      <c r="AB753" s="91"/>
      <c r="AC753" s="91"/>
      <c r="AD753" s="91"/>
      <c r="AE753" s="91"/>
      <c r="AF753" s="91"/>
      <c r="AG753" s="91"/>
      <c r="AH753" s="91"/>
      <c r="AI753" s="91"/>
      <c r="AJ753" s="91"/>
      <c r="AK753" s="91"/>
      <c r="AL753" s="91"/>
      <c r="AM753" s="91"/>
      <c r="AN753" s="91"/>
    </row>
    <row r="754" spans="3:40" ht="25" thickBot="1" x14ac:dyDescent="0.25">
      <c r="C754" s="195"/>
      <c r="D754" s="96" t="s">
        <v>436</v>
      </c>
      <c r="E754" s="97" t="s">
        <v>29</v>
      </c>
      <c r="F754" s="97" t="s">
        <v>28</v>
      </c>
      <c r="G754" s="98" t="s">
        <v>27</v>
      </c>
      <c r="H754" s="287" t="s">
        <v>793</v>
      </c>
      <c r="I754" s="400"/>
      <c r="J754" s="401"/>
      <c r="K754" s="402"/>
      <c r="L754" s="287" t="s">
        <v>1002</v>
      </c>
      <c r="M754" s="288"/>
      <c r="N754" s="195"/>
      <c r="O754" s="154"/>
      <c r="P754" s="176"/>
      <c r="Q754" s="154"/>
      <c r="R754" s="154"/>
      <c r="S754" s="154"/>
      <c r="T754" s="154"/>
      <c r="U754" s="177"/>
      <c r="V754" s="178"/>
      <c r="W754" s="154"/>
      <c r="X754" s="177"/>
      <c r="Y754" s="155"/>
      <c r="Z754" s="155"/>
      <c r="AA754" s="91"/>
      <c r="AB754" s="91"/>
      <c r="AC754" s="91"/>
      <c r="AD754" s="91"/>
      <c r="AE754" s="91"/>
      <c r="AF754" s="91"/>
      <c r="AG754" s="91"/>
      <c r="AH754" s="91"/>
      <c r="AI754" s="91"/>
      <c r="AJ754" s="91"/>
      <c r="AK754" s="91"/>
      <c r="AL754" s="91"/>
      <c r="AM754" s="91"/>
      <c r="AN754" s="91"/>
    </row>
    <row r="755" spans="3:40" ht="24" x14ac:dyDescent="0.2">
      <c r="C755" s="195"/>
      <c r="D755" s="99">
        <v>45542</v>
      </c>
      <c r="E755" s="113">
        <v>7.0000000000000001E-3</v>
      </c>
      <c r="F755" s="113" t="s">
        <v>1001</v>
      </c>
      <c r="G755" s="113">
        <v>-6.0000000000000001E-3</v>
      </c>
      <c r="H755" s="277">
        <v>0.99305555555555558</v>
      </c>
      <c r="I755" s="400"/>
      <c r="J755" s="401"/>
      <c r="K755" s="402"/>
      <c r="L755" s="272">
        <v>0.78472222222222221</v>
      </c>
      <c r="M755" s="289"/>
      <c r="N755" s="195"/>
      <c r="O755" s="179"/>
      <c r="P755" s="155"/>
      <c r="Q755" s="179"/>
      <c r="R755" s="179"/>
      <c r="S755" s="179"/>
      <c r="T755" s="179"/>
      <c r="U755" s="179"/>
      <c r="V755" s="179"/>
      <c r="W755" s="179"/>
      <c r="X755" s="179"/>
      <c r="Y755" s="155"/>
      <c r="Z755" s="155"/>
      <c r="AA755" s="91"/>
      <c r="AB755" s="91"/>
      <c r="AC755" s="91"/>
      <c r="AD755" s="91"/>
      <c r="AE755" s="91"/>
      <c r="AF755" s="91"/>
      <c r="AG755" s="91"/>
      <c r="AH755" s="91"/>
      <c r="AI755" s="91"/>
      <c r="AJ755" s="91"/>
      <c r="AK755" s="91"/>
      <c r="AL755" s="91"/>
      <c r="AM755" s="91"/>
      <c r="AN755" s="91"/>
    </row>
    <row r="756" spans="3:40" ht="24" x14ac:dyDescent="0.2">
      <c r="C756" s="195"/>
      <c r="D756" s="99">
        <v>45517</v>
      </c>
      <c r="E756" s="113">
        <v>8.0000000000000002E-3</v>
      </c>
      <c r="F756" s="113" t="s">
        <v>449</v>
      </c>
      <c r="G756" s="113">
        <v>-6.0000000000000001E-3</v>
      </c>
      <c r="H756" s="277">
        <v>0.99305555555555558</v>
      </c>
      <c r="I756" s="400"/>
      <c r="J756" s="401"/>
      <c r="K756" s="402"/>
      <c r="L756" s="272">
        <v>0.78472222222222221</v>
      </c>
      <c r="M756" s="290"/>
      <c r="N756" s="195"/>
      <c r="O756" s="146" t="s">
        <v>813</v>
      </c>
      <c r="P756" s="199">
        <v>0.1</v>
      </c>
      <c r="Q756" s="180">
        <v>3.2883333333333334E-2</v>
      </c>
      <c r="R756" s="181">
        <v>1.7000000000000001E-2</v>
      </c>
      <c r="S756" s="150">
        <v>1</v>
      </c>
      <c r="T756" s="156">
        <v>6.6324999999999995E-2</v>
      </c>
      <c r="U756" s="182">
        <v>-15.624526548675018</v>
      </c>
      <c r="V756" s="183">
        <v>60.5</v>
      </c>
      <c r="W756" s="150">
        <v>2</v>
      </c>
      <c r="X756" s="184">
        <v>31.249053097350036</v>
      </c>
      <c r="Y756" s="185"/>
      <c r="Z756" s="185"/>
      <c r="AA756" s="91"/>
      <c r="AB756" s="91"/>
      <c r="AC756" s="91"/>
      <c r="AD756" s="91"/>
      <c r="AE756" s="91"/>
      <c r="AF756" s="91"/>
      <c r="AG756" s="91"/>
      <c r="AH756" s="91"/>
      <c r="AI756" s="91"/>
      <c r="AJ756" s="91"/>
      <c r="AK756" s="91"/>
      <c r="AL756" s="91"/>
      <c r="AM756" s="91"/>
      <c r="AN756" s="91"/>
    </row>
    <row r="757" spans="3:40" ht="24" x14ac:dyDescent="0.2">
      <c r="C757" s="195"/>
      <c r="D757" s="99">
        <v>45451</v>
      </c>
      <c r="E757" s="113">
        <v>-5.0000000000000001E-3</v>
      </c>
      <c r="F757" s="113" t="s">
        <v>782</v>
      </c>
      <c r="G757" s="113">
        <v>1E-3</v>
      </c>
      <c r="H757" s="277">
        <v>0.99305555555555558</v>
      </c>
      <c r="I757" s="400"/>
      <c r="J757" s="401"/>
      <c r="K757" s="402"/>
      <c r="L757" s="272">
        <v>0.78472222222222221</v>
      </c>
      <c r="M757" s="269"/>
      <c r="N757" s="195"/>
      <c r="O757" s="146"/>
      <c r="P757" s="199"/>
      <c r="Q757" s="180"/>
      <c r="R757" s="181"/>
      <c r="S757" s="150"/>
      <c r="T757" s="156"/>
      <c r="U757" s="182"/>
      <c r="V757" s="183"/>
      <c r="W757" s="150"/>
      <c r="X757" s="184"/>
      <c r="Y757" s="185"/>
      <c r="Z757" s="185"/>
      <c r="AA757" s="91"/>
      <c r="AB757" s="91"/>
      <c r="AC757" s="91"/>
      <c r="AD757" s="91"/>
      <c r="AE757" s="91"/>
      <c r="AF757" s="91"/>
      <c r="AG757" s="91"/>
      <c r="AH757" s="91"/>
      <c r="AI757" s="91"/>
      <c r="AJ757" s="91"/>
      <c r="AK757" s="91"/>
      <c r="AL757" s="91"/>
      <c r="AM757" s="91"/>
      <c r="AN757" s="91"/>
    </row>
    <row r="758" spans="3:40" ht="24" x14ac:dyDescent="0.2">
      <c r="C758" s="195"/>
      <c r="D758" s="99">
        <v>45426</v>
      </c>
      <c r="E758" s="113">
        <v>-5.0000000000000001E-3</v>
      </c>
      <c r="F758" s="113" t="s">
        <v>454</v>
      </c>
      <c r="G758" s="113">
        <v>0</v>
      </c>
      <c r="H758" s="277">
        <v>0.99305555555555558</v>
      </c>
      <c r="I758" s="400"/>
      <c r="J758" s="401"/>
      <c r="K758" s="402"/>
      <c r="L758" s="272">
        <v>0.78472222222222221</v>
      </c>
      <c r="M758" s="269"/>
      <c r="N758" s="195"/>
      <c r="O758" s="146"/>
      <c r="P758" s="147"/>
      <c r="Q758" s="180"/>
      <c r="R758" s="181"/>
      <c r="S758" s="150"/>
      <c r="T758" s="147"/>
      <c r="U758" s="182"/>
      <c r="V758" s="183"/>
      <c r="W758" s="150"/>
      <c r="X758" s="184"/>
      <c r="Y758" s="185"/>
      <c r="Z758" s="185"/>
      <c r="AA758" s="91"/>
      <c r="AB758" s="91"/>
      <c r="AC758" s="91"/>
      <c r="AD758" s="91"/>
      <c r="AE758" s="91"/>
      <c r="AF758" s="91"/>
      <c r="AG758" s="91"/>
      <c r="AH758" s="91"/>
      <c r="AI758" s="91"/>
      <c r="AJ758" s="91"/>
      <c r="AK758" s="91"/>
      <c r="AL758" s="91"/>
      <c r="AM758" s="91"/>
      <c r="AN758" s="91"/>
    </row>
    <row r="759" spans="3:40" ht="24" x14ac:dyDescent="0.2">
      <c r="C759" s="195"/>
      <c r="D759" s="99">
        <v>45360</v>
      </c>
      <c r="E759" s="113">
        <v>1E-3</v>
      </c>
      <c r="F759" s="113" t="s">
        <v>456</v>
      </c>
      <c r="G759" s="113">
        <v>-7.0000000000000001E-3</v>
      </c>
      <c r="H759" s="277">
        <v>0.99305555555555558</v>
      </c>
      <c r="I759" s="400"/>
      <c r="J759" s="401"/>
      <c r="K759" s="402"/>
      <c r="L759" s="272">
        <v>0.78472222222222221</v>
      </c>
      <c r="M759" s="269"/>
      <c r="N759" s="195"/>
      <c r="O759" s="91"/>
      <c r="P759" s="91"/>
      <c r="Q759" s="91"/>
      <c r="R759" s="91"/>
      <c r="S759" s="91"/>
      <c r="T759" s="91"/>
      <c r="U759" s="91"/>
      <c r="V759" s="91"/>
      <c r="W759" s="91"/>
      <c r="X759" s="91"/>
      <c r="Y759" s="91"/>
      <c r="Z759" s="91"/>
      <c r="AA759" s="91"/>
      <c r="AB759" s="91"/>
      <c r="AC759" s="91"/>
      <c r="AD759" s="91"/>
      <c r="AE759" s="91"/>
      <c r="AF759" s="91"/>
      <c r="AG759" s="91"/>
      <c r="AH759" s="91"/>
      <c r="AI759" s="91"/>
      <c r="AJ759" s="91"/>
      <c r="AK759" s="91"/>
      <c r="AL759" s="91"/>
      <c r="AM759" s="91"/>
      <c r="AN759" s="91"/>
    </row>
    <row r="760" spans="3:40" ht="25" thickBot="1" x14ac:dyDescent="0.25">
      <c r="C760" s="195"/>
      <c r="D760" s="99">
        <v>45335</v>
      </c>
      <c r="E760" s="113">
        <v>-1E-3</v>
      </c>
      <c r="F760" s="113" t="s">
        <v>460</v>
      </c>
      <c r="G760" s="113">
        <v>-8.0000000000000002E-3</v>
      </c>
      <c r="H760" s="277">
        <v>0.99305555555555558</v>
      </c>
      <c r="I760" s="403"/>
      <c r="J760" s="404"/>
      <c r="K760" s="405"/>
      <c r="L760" s="272">
        <v>0.78472222222222221</v>
      </c>
      <c r="M760" s="280"/>
      <c r="N760" s="195"/>
      <c r="O760" s="91"/>
      <c r="P760" s="91"/>
      <c r="Q760" s="91"/>
      <c r="R760" s="91"/>
      <c r="S760" s="91"/>
      <c r="T760" s="91"/>
      <c r="U760" s="91"/>
      <c r="V760" s="91"/>
      <c r="W760" s="91"/>
      <c r="X760" s="91"/>
      <c r="Y760" s="91"/>
      <c r="Z760" s="91"/>
      <c r="AA760" s="91"/>
      <c r="AB760" s="91"/>
      <c r="AC760" s="91"/>
      <c r="AD760" s="91"/>
      <c r="AE760" s="91"/>
      <c r="AF760" s="91"/>
      <c r="AG760" s="91"/>
      <c r="AH760" s="91"/>
      <c r="AI760" s="91"/>
      <c r="AJ760" s="91"/>
      <c r="AK760" s="91"/>
      <c r="AL760" s="91"/>
      <c r="AM760" s="91"/>
      <c r="AN760" s="91"/>
    </row>
    <row r="761" spans="3:40" ht="73" thickBot="1" x14ac:dyDescent="0.25">
      <c r="C761" s="93">
        <v>9</v>
      </c>
      <c r="D761" s="123" t="s">
        <v>30</v>
      </c>
      <c r="E761" s="363" t="s">
        <v>961</v>
      </c>
      <c r="F761" s="364"/>
      <c r="G761" s="365"/>
      <c r="H761" s="265" t="s">
        <v>790</v>
      </c>
      <c r="I761" s="406" t="s">
        <v>633</v>
      </c>
      <c r="J761" s="407"/>
      <c r="K761" s="408"/>
      <c r="L761" s="266" t="s">
        <v>430</v>
      </c>
      <c r="M761" s="267" t="s">
        <v>431</v>
      </c>
      <c r="N761" s="195" t="s">
        <v>105</v>
      </c>
      <c r="O761" s="145" t="s">
        <v>800</v>
      </c>
      <c r="P761" s="145" t="s">
        <v>801</v>
      </c>
      <c r="Q761" s="145" t="s">
        <v>802</v>
      </c>
      <c r="R761" s="145" t="s">
        <v>803</v>
      </c>
      <c r="S761" s="145" t="s">
        <v>804</v>
      </c>
      <c r="T761" s="145" t="s">
        <v>805</v>
      </c>
      <c r="U761" s="145" t="s">
        <v>806</v>
      </c>
      <c r="V761" s="145" t="s">
        <v>807</v>
      </c>
      <c r="W761" s="145" t="s">
        <v>808</v>
      </c>
      <c r="X761" s="145" t="s">
        <v>809</v>
      </c>
      <c r="Y761" s="145" t="s">
        <v>75</v>
      </c>
      <c r="Z761" s="145" t="s">
        <v>75</v>
      </c>
      <c r="AA761" s="91"/>
      <c r="AB761" s="91"/>
      <c r="AC761" s="91"/>
      <c r="AD761" s="91"/>
      <c r="AE761" s="91"/>
      <c r="AF761" s="91"/>
      <c r="AG761" s="91"/>
      <c r="AH761" s="91"/>
      <c r="AI761" s="91"/>
      <c r="AJ761" s="91"/>
      <c r="AK761" s="91"/>
      <c r="AL761" s="91"/>
      <c r="AM761" s="91"/>
      <c r="AN761" s="91"/>
    </row>
    <row r="762" spans="3:40" ht="24" x14ac:dyDescent="0.2">
      <c r="C762" s="195"/>
      <c r="D762" s="122" t="s">
        <v>432</v>
      </c>
      <c r="E762" s="342"/>
      <c r="F762" s="343"/>
      <c r="G762" s="344"/>
      <c r="H762" s="268" t="s">
        <v>947</v>
      </c>
      <c r="I762" s="397" t="s">
        <v>962</v>
      </c>
      <c r="J762" s="398"/>
      <c r="K762" s="399"/>
      <c r="L762" s="198"/>
      <c r="M762" s="269"/>
      <c r="N762" s="195"/>
      <c r="O762" s="146" t="s">
        <v>810</v>
      </c>
      <c r="P762" s="199">
        <v>0.1</v>
      </c>
      <c r="Q762" s="200">
        <v>3.2000000000000001E-2</v>
      </c>
      <c r="R762" s="201">
        <v>1.8000000000000682E-2</v>
      </c>
      <c r="S762" s="150">
        <v>0</v>
      </c>
      <c r="T762" s="146">
        <v>5.0499999999991357E-2</v>
      </c>
      <c r="U762" s="200">
        <v>-16.61</v>
      </c>
      <c r="V762" s="199">
        <v>60.5</v>
      </c>
      <c r="W762" s="202">
        <v>2</v>
      </c>
      <c r="X762" s="184"/>
      <c r="Y762" s="151"/>
      <c r="Z762" s="151"/>
      <c r="AA762" s="91"/>
      <c r="AB762" s="91"/>
      <c r="AC762" s="91"/>
      <c r="AD762" s="91"/>
      <c r="AE762" s="91"/>
      <c r="AF762" s="91"/>
      <c r="AG762" s="91"/>
      <c r="AH762" s="91"/>
      <c r="AI762" s="91"/>
      <c r="AJ762" s="91"/>
      <c r="AK762" s="91"/>
      <c r="AL762" s="91"/>
      <c r="AM762" s="91"/>
      <c r="AN762" s="91"/>
    </row>
    <row r="763" spans="3:40" ht="24" x14ac:dyDescent="0.2">
      <c r="C763" s="195"/>
      <c r="D763" s="92" t="s">
        <v>433</v>
      </c>
      <c r="E763" s="357">
        <v>1E-3</v>
      </c>
      <c r="F763" s="358"/>
      <c r="G763" s="359"/>
      <c r="H763" s="268" t="s">
        <v>908</v>
      </c>
      <c r="I763" s="400"/>
      <c r="J763" s="401"/>
      <c r="K763" s="402"/>
      <c r="L763" s="198"/>
      <c r="M763" s="269"/>
      <c r="N763" s="195"/>
      <c r="O763" s="152"/>
      <c r="P763" s="152"/>
      <c r="Q763" s="152"/>
      <c r="R763" s="153"/>
      <c r="S763" s="154"/>
      <c r="T763" s="152"/>
      <c r="U763" s="152"/>
      <c r="V763" s="152"/>
      <c r="W763" s="152"/>
      <c r="X763" s="154"/>
      <c r="Y763" s="155"/>
      <c r="Z763" s="155"/>
      <c r="AA763" s="91"/>
      <c r="AB763" s="91"/>
      <c r="AC763" s="91"/>
      <c r="AD763" s="91"/>
      <c r="AE763" s="91"/>
      <c r="AF763" s="91"/>
      <c r="AG763" s="91"/>
      <c r="AH763" s="91"/>
      <c r="AI763" s="91"/>
      <c r="AJ763" s="91"/>
      <c r="AK763" s="91"/>
      <c r="AL763" s="91"/>
      <c r="AM763" s="91"/>
      <c r="AN763" s="91"/>
    </row>
    <row r="764" spans="3:40" ht="24" x14ac:dyDescent="0.2">
      <c r="C764" s="195"/>
      <c r="D764" s="92" t="s">
        <v>434</v>
      </c>
      <c r="E764" s="357">
        <v>7.0000000000000001E-3</v>
      </c>
      <c r="F764" s="358"/>
      <c r="G764" s="359"/>
      <c r="H764" s="270"/>
      <c r="I764" s="400"/>
      <c r="J764" s="401"/>
      <c r="K764" s="402"/>
      <c r="L764" s="198"/>
      <c r="M764" s="269"/>
      <c r="N764" s="195"/>
      <c r="O764" s="156" t="s">
        <v>811</v>
      </c>
      <c r="P764" s="204">
        <v>0.1</v>
      </c>
      <c r="Q764" s="205">
        <v>0.1182</v>
      </c>
      <c r="R764" s="206">
        <v>1.7999999999999999E-2</v>
      </c>
      <c r="S764" s="220">
        <v>1</v>
      </c>
      <c r="T764" s="156">
        <v>0.1953</v>
      </c>
      <c r="U764" s="161">
        <v>-64.236297029713967</v>
      </c>
      <c r="V764" s="162">
        <v>60.5</v>
      </c>
      <c r="W764" s="221">
        <v>1.93</v>
      </c>
      <c r="X764" s="164">
        <v>123.97605326734795</v>
      </c>
      <c r="Y764" s="165"/>
      <c r="Z764" s="165"/>
      <c r="AA764" s="91"/>
      <c r="AB764" s="91"/>
      <c r="AC764" s="91"/>
      <c r="AD764" s="91"/>
      <c r="AE764" s="91"/>
      <c r="AF764" s="91"/>
      <c r="AG764" s="91"/>
      <c r="AH764" s="91"/>
      <c r="AI764" s="91"/>
      <c r="AJ764" s="91"/>
      <c r="AK764" s="91"/>
      <c r="AL764" s="91"/>
      <c r="AM764" s="91"/>
      <c r="AN764" s="91"/>
    </row>
    <row r="765" spans="3:40" ht="25" thickBot="1" x14ac:dyDescent="0.25">
      <c r="C765" s="195"/>
      <c r="D765" s="94" t="s">
        <v>435</v>
      </c>
      <c r="E765" s="360">
        <v>0.29166666666666674</v>
      </c>
      <c r="F765" s="361"/>
      <c r="G765" s="362"/>
      <c r="H765" s="270"/>
      <c r="I765" s="400"/>
      <c r="J765" s="401"/>
      <c r="K765" s="402"/>
      <c r="L765" s="208">
        <v>0.52083333333333337</v>
      </c>
      <c r="M765" s="271">
        <v>0.375</v>
      </c>
      <c r="N765" s="195"/>
      <c r="O765" s="166" t="s">
        <v>812</v>
      </c>
      <c r="P765" s="209">
        <v>0.1</v>
      </c>
      <c r="Q765" s="187">
        <v>0.12453333333333334</v>
      </c>
      <c r="R765" s="210">
        <v>1.7999999999999999E-2</v>
      </c>
      <c r="S765" s="222">
        <v>1</v>
      </c>
      <c r="T765" s="211">
        <v>0.20480000000000001</v>
      </c>
      <c r="U765" s="171">
        <v>-67.360950495061033</v>
      </c>
      <c r="V765" s="172">
        <v>60.5</v>
      </c>
      <c r="W765" s="223">
        <v>2.48</v>
      </c>
      <c r="X765" s="174">
        <v>167.05515722775135</v>
      </c>
      <c r="Y765" s="175"/>
      <c r="Z765" s="175"/>
      <c r="AA765" s="91"/>
      <c r="AB765" s="91"/>
      <c r="AC765" s="91"/>
      <c r="AD765" s="91"/>
      <c r="AE765" s="91"/>
      <c r="AF765" s="91"/>
      <c r="AG765" s="91"/>
      <c r="AH765" s="91"/>
      <c r="AI765" s="91"/>
      <c r="AJ765" s="91"/>
      <c r="AK765" s="91"/>
      <c r="AL765" s="91"/>
      <c r="AM765" s="91"/>
      <c r="AN765" s="91"/>
    </row>
    <row r="766" spans="3:40" ht="25" thickBot="1" x14ac:dyDescent="0.25">
      <c r="C766" s="195"/>
      <c r="D766" s="96" t="s">
        <v>436</v>
      </c>
      <c r="E766" s="97" t="s">
        <v>29</v>
      </c>
      <c r="F766" s="97" t="s">
        <v>28</v>
      </c>
      <c r="G766" s="98" t="s">
        <v>27</v>
      </c>
      <c r="H766" s="287" t="s">
        <v>793</v>
      </c>
      <c r="I766" s="400"/>
      <c r="J766" s="401"/>
      <c r="K766" s="402"/>
      <c r="L766" s="287" t="s">
        <v>1002</v>
      </c>
      <c r="M766" s="288"/>
      <c r="N766" s="195"/>
      <c r="O766" s="154"/>
      <c r="P766" s="176"/>
      <c r="Q766" s="154"/>
      <c r="R766" s="154"/>
      <c r="S766" s="224"/>
      <c r="T766" s="154"/>
      <c r="U766" s="177"/>
      <c r="V766" s="178"/>
      <c r="W766" s="225"/>
      <c r="X766" s="177"/>
      <c r="Y766" s="155"/>
      <c r="Z766" s="155"/>
      <c r="AA766" s="91"/>
      <c r="AB766" s="91"/>
      <c r="AC766" s="91"/>
      <c r="AD766" s="91"/>
      <c r="AE766" s="91"/>
      <c r="AF766" s="91"/>
      <c r="AG766" s="91"/>
      <c r="AH766" s="91"/>
      <c r="AI766" s="91"/>
      <c r="AJ766" s="91"/>
      <c r="AK766" s="91"/>
      <c r="AL766" s="91"/>
      <c r="AM766" s="91"/>
      <c r="AN766" s="91"/>
    </row>
    <row r="767" spans="3:40" ht="24" x14ac:dyDescent="0.2">
      <c r="C767" s="195"/>
      <c r="D767" s="99">
        <v>45565</v>
      </c>
      <c r="E767" s="113">
        <v>7.0000000000000001E-3</v>
      </c>
      <c r="F767" s="113" t="s">
        <v>459</v>
      </c>
      <c r="G767" s="113">
        <v>3.0000000000000001E-3</v>
      </c>
      <c r="H767" s="277">
        <v>0.25</v>
      </c>
      <c r="I767" s="400"/>
      <c r="J767" s="401"/>
      <c r="K767" s="402"/>
      <c r="L767" s="272">
        <v>4.1666666666666664E-2</v>
      </c>
      <c r="M767" s="289"/>
      <c r="N767" s="195"/>
      <c r="O767" s="179"/>
      <c r="P767" s="155"/>
      <c r="Q767" s="179"/>
      <c r="R767" s="179"/>
      <c r="S767" s="224"/>
      <c r="T767" s="179"/>
      <c r="U767" s="179"/>
      <c r="V767" s="179"/>
      <c r="W767" s="227"/>
      <c r="X767" s="179"/>
      <c r="Y767" s="155"/>
      <c r="Z767" s="155"/>
      <c r="AA767" s="91"/>
      <c r="AB767" s="91"/>
      <c r="AC767" s="91"/>
      <c r="AD767" s="91"/>
      <c r="AE767" s="91"/>
      <c r="AF767" s="91"/>
      <c r="AG767" s="91"/>
      <c r="AH767" s="91"/>
      <c r="AI767" s="91"/>
      <c r="AJ767" s="91"/>
      <c r="AK767" s="91"/>
      <c r="AL767" s="91"/>
      <c r="AM767" s="91"/>
      <c r="AN767" s="91"/>
    </row>
    <row r="768" spans="3:40" ht="24" x14ac:dyDescent="0.2">
      <c r="C768" s="195"/>
      <c r="D768" s="99">
        <v>45519</v>
      </c>
      <c r="E768" s="113">
        <v>8.9999999999999993E-3</v>
      </c>
      <c r="F768" s="113" t="s">
        <v>459</v>
      </c>
      <c r="G768" s="113">
        <v>3.0000000000000001E-3</v>
      </c>
      <c r="H768" s="277">
        <v>0.25</v>
      </c>
      <c r="I768" s="400"/>
      <c r="J768" s="401"/>
      <c r="K768" s="402"/>
      <c r="L768" s="272">
        <v>4.1666666666666664E-2</v>
      </c>
      <c r="M768" s="290"/>
      <c r="N768" s="195"/>
      <c r="O768" s="146" t="s">
        <v>813</v>
      </c>
      <c r="P768" s="233">
        <v>-0.1</v>
      </c>
      <c r="Q768" s="180">
        <v>0.05</v>
      </c>
      <c r="R768" s="181">
        <v>1.7999999999999999E-2</v>
      </c>
      <c r="S768" s="228">
        <v>-1</v>
      </c>
      <c r="T768" s="156">
        <v>9.3000000000000013E-2</v>
      </c>
      <c r="U768" s="182">
        <v>-30.588712871292365</v>
      </c>
      <c r="V768" s="183">
        <v>60.5</v>
      </c>
      <c r="W768" s="230">
        <v>1.5</v>
      </c>
      <c r="X768" s="184">
        <v>45.883069306938552</v>
      </c>
      <c r="Y768" s="185" t="s">
        <v>814</v>
      </c>
      <c r="Z768" s="185"/>
      <c r="AA768" s="91"/>
      <c r="AB768" s="91"/>
      <c r="AC768" s="91"/>
      <c r="AD768" s="91"/>
      <c r="AE768" s="91"/>
      <c r="AF768" s="91"/>
      <c r="AG768" s="91"/>
      <c r="AH768" s="91"/>
      <c r="AI768" s="91"/>
      <c r="AJ768" s="91"/>
      <c r="AK768" s="91"/>
      <c r="AL768" s="91"/>
      <c r="AM768" s="91"/>
      <c r="AN768" s="91"/>
    </row>
    <row r="769" spans="3:40" ht="24" x14ac:dyDescent="0.2">
      <c r="C769" s="195"/>
      <c r="D769" s="99">
        <v>45471</v>
      </c>
      <c r="E769" s="113">
        <v>3.0000000000000001E-3</v>
      </c>
      <c r="F769" s="113" t="s">
        <v>460</v>
      </c>
      <c r="G769" s="113">
        <v>-2E-3</v>
      </c>
      <c r="H769" s="277">
        <v>0.25</v>
      </c>
      <c r="I769" s="400"/>
      <c r="J769" s="401"/>
      <c r="K769" s="402"/>
      <c r="L769" s="272">
        <v>4.1666666666666664E-2</v>
      </c>
      <c r="M769" s="269"/>
      <c r="N769" s="195"/>
      <c r="O769" s="146"/>
      <c r="P769" s="147"/>
      <c r="Q769" s="180"/>
      <c r="R769" s="181"/>
      <c r="S769" s="150"/>
      <c r="T769" s="147"/>
      <c r="U769" s="182"/>
      <c r="V769" s="183"/>
      <c r="W769" s="150"/>
      <c r="X769" s="184"/>
      <c r="Y769" s="185"/>
      <c r="Z769" s="185"/>
      <c r="AA769" s="91"/>
      <c r="AB769" s="91"/>
      <c r="AC769" s="91"/>
      <c r="AD769" s="91"/>
      <c r="AE769" s="91"/>
      <c r="AF769" s="91"/>
      <c r="AG769" s="91"/>
      <c r="AH769" s="91"/>
      <c r="AI769" s="91"/>
      <c r="AJ769" s="91"/>
      <c r="AK769" s="91"/>
      <c r="AL769" s="91"/>
      <c r="AM769" s="91"/>
      <c r="AN769" s="91"/>
    </row>
    <row r="770" spans="3:40" ht="24" x14ac:dyDescent="0.2">
      <c r="C770" s="195"/>
      <c r="D770" s="99">
        <v>45422</v>
      </c>
      <c r="E770" s="113">
        <v>2E-3</v>
      </c>
      <c r="F770" s="113" t="s">
        <v>458</v>
      </c>
      <c r="G770" s="113">
        <v>-2E-3</v>
      </c>
      <c r="H770" s="277">
        <v>0.25</v>
      </c>
      <c r="I770" s="400"/>
      <c r="J770" s="401"/>
      <c r="K770" s="402"/>
      <c r="L770" s="272">
        <v>4.1666666666666664E-2</v>
      </c>
      <c r="M770" s="269"/>
      <c r="N770" s="195"/>
      <c r="O770" s="146"/>
      <c r="P770" s="147"/>
      <c r="Q770" s="180"/>
      <c r="R770" s="181"/>
      <c r="S770" s="150"/>
      <c r="T770" s="147"/>
      <c r="U770" s="182"/>
      <c r="V770" s="183"/>
      <c r="W770" s="150"/>
      <c r="X770" s="184"/>
      <c r="Y770" s="185"/>
      <c r="Z770" s="185"/>
      <c r="AA770" s="91"/>
      <c r="AB770" s="91"/>
      <c r="AC770" s="91"/>
      <c r="AD770" s="91"/>
      <c r="AE770" s="91"/>
      <c r="AF770" s="91"/>
      <c r="AG770" s="91"/>
      <c r="AH770" s="91"/>
      <c r="AI770" s="91"/>
      <c r="AJ770" s="91"/>
      <c r="AK770" s="91"/>
      <c r="AL770" s="91"/>
      <c r="AM770" s="91"/>
      <c r="AN770" s="91"/>
    </row>
    <row r="771" spans="3:40" ht="24" x14ac:dyDescent="0.2">
      <c r="C771" s="195"/>
      <c r="D771" s="99">
        <v>45379</v>
      </c>
      <c r="E771" s="113">
        <v>-2E-3</v>
      </c>
      <c r="F771" s="113" t="s">
        <v>461</v>
      </c>
      <c r="G771" s="113">
        <v>3.0000000000000001E-3</v>
      </c>
      <c r="H771" s="277">
        <v>0.29166666666666669</v>
      </c>
      <c r="I771" s="400"/>
      <c r="J771" s="401"/>
      <c r="K771" s="402"/>
      <c r="L771" s="272">
        <v>8.3333333333333329E-2</v>
      </c>
      <c r="M771" s="269"/>
      <c r="N771" s="195"/>
      <c r="O771" s="91"/>
      <c r="P771" s="91"/>
      <c r="Q771" s="91"/>
      <c r="R771" s="91"/>
      <c r="S771" s="91"/>
      <c r="T771" s="91"/>
      <c r="U771" s="91"/>
      <c r="V771" s="91"/>
      <c r="W771" s="91"/>
      <c r="X771" s="91"/>
      <c r="Y771" s="91"/>
      <c r="Z771" s="91"/>
      <c r="AA771" s="91"/>
      <c r="AB771" s="91"/>
      <c r="AC771" s="91"/>
      <c r="AD771" s="91"/>
      <c r="AE771" s="91"/>
      <c r="AF771" s="91"/>
      <c r="AG771" s="91"/>
      <c r="AH771" s="91"/>
      <c r="AI771" s="91"/>
      <c r="AJ771" s="91"/>
      <c r="AK771" s="91"/>
      <c r="AL771" s="91"/>
      <c r="AM771" s="91"/>
      <c r="AN771" s="91"/>
    </row>
    <row r="772" spans="3:40" ht="25" thickBot="1" x14ac:dyDescent="0.25">
      <c r="C772" s="195"/>
      <c r="D772" s="99">
        <v>45337</v>
      </c>
      <c r="E772" s="113">
        <v>-2E-3</v>
      </c>
      <c r="F772" s="113" t="s">
        <v>462</v>
      </c>
      <c r="G772" s="113">
        <v>2E-3</v>
      </c>
      <c r="H772" s="277">
        <v>0.29166666666666669</v>
      </c>
      <c r="I772" s="403"/>
      <c r="J772" s="404"/>
      <c r="K772" s="405"/>
      <c r="L772" s="272">
        <v>8.3333333333333329E-2</v>
      </c>
      <c r="M772" s="280"/>
      <c r="N772" s="195"/>
      <c r="O772" s="91"/>
      <c r="P772" s="91"/>
      <c r="Q772" s="91"/>
      <c r="R772" s="91"/>
      <c r="S772" s="91"/>
      <c r="T772" s="91"/>
      <c r="U772" s="91"/>
      <c r="V772" s="91"/>
      <c r="W772" s="91"/>
      <c r="X772" s="91"/>
      <c r="Y772" s="91"/>
      <c r="Z772" s="91"/>
      <c r="AA772" s="91"/>
      <c r="AB772" s="91"/>
      <c r="AC772" s="91"/>
      <c r="AD772" s="91"/>
      <c r="AE772" s="91"/>
      <c r="AF772" s="91"/>
      <c r="AG772" s="91"/>
      <c r="AH772" s="91"/>
      <c r="AI772" s="91"/>
      <c r="AJ772" s="91"/>
      <c r="AK772" s="91"/>
      <c r="AL772" s="91"/>
      <c r="AM772" s="91"/>
      <c r="AN772" s="91"/>
    </row>
    <row r="773" spans="3:40" ht="73" thickBot="1" x14ac:dyDescent="0.25">
      <c r="C773" s="93">
        <v>10</v>
      </c>
      <c r="D773" s="123" t="s">
        <v>30</v>
      </c>
      <c r="E773" s="363" t="s">
        <v>963</v>
      </c>
      <c r="F773" s="364"/>
      <c r="G773" s="365"/>
      <c r="H773" s="265" t="s">
        <v>790</v>
      </c>
      <c r="I773" s="406" t="s">
        <v>633</v>
      </c>
      <c r="J773" s="407"/>
      <c r="K773" s="408"/>
      <c r="L773" s="266" t="s">
        <v>430</v>
      </c>
      <c r="M773" s="267" t="s">
        <v>431</v>
      </c>
      <c r="N773" s="195" t="s">
        <v>105</v>
      </c>
      <c r="O773" s="145" t="s">
        <v>800</v>
      </c>
      <c r="P773" s="145" t="s">
        <v>801</v>
      </c>
      <c r="Q773" s="145" t="s">
        <v>802</v>
      </c>
      <c r="R773" s="145" t="s">
        <v>803</v>
      </c>
      <c r="S773" s="145" t="s">
        <v>804</v>
      </c>
      <c r="T773" s="145" t="s">
        <v>805</v>
      </c>
      <c r="U773" s="145" t="s">
        <v>806</v>
      </c>
      <c r="V773" s="145" t="s">
        <v>807</v>
      </c>
      <c r="W773" s="145" t="s">
        <v>808</v>
      </c>
      <c r="X773" s="145" t="s">
        <v>809</v>
      </c>
      <c r="Y773" s="145" t="s">
        <v>75</v>
      </c>
      <c r="Z773" s="145" t="s">
        <v>75</v>
      </c>
      <c r="AA773" s="91"/>
      <c r="AB773" s="195" t="s">
        <v>105</v>
      </c>
      <c r="AC773" s="145" t="s">
        <v>800</v>
      </c>
      <c r="AD773" s="145" t="s">
        <v>801</v>
      </c>
      <c r="AE773" s="145" t="s">
        <v>802</v>
      </c>
      <c r="AF773" s="145" t="s">
        <v>803</v>
      </c>
      <c r="AG773" s="145" t="s">
        <v>804</v>
      </c>
      <c r="AH773" s="145" t="s">
        <v>805</v>
      </c>
      <c r="AI773" s="145" t="s">
        <v>806</v>
      </c>
      <c r="AJ773" s="145" t="s">
        <v>807</v>
      </c>
      <c r="AK773" s="145" t="s">
        <v>808</v>
      </c>
      <c r="AL773" s="145" t="s">
        <v>809</v>
      </c>
      <c r="AM773" s="145" t="s">
        <v>75</v>
      </c>
      <c r="AN773" s="145" t="s">
        <v>75</v>
      </c>
    </row>
    <row r="774" spans="3:40" ht="24" x14ac:dyDescent="0.2">
      <c r="C774" s="195"/>
      <c r="D774" s="122" t="s">
        <v>432</v>
      </c>
      <c r="E774" s="342"/>
      <c r="F774" s="343"/>
      <c r="G774" s="344"/>
      <c r="H774" s="268" t="s">
        <v>947</v>
      </c>
      <c r="I774" s="397" t="s">
        <v>964</v>
      </c>
      <c r="J774" s="398"/>
      <c r="K774" s="399"/>
      <c r="L774" s="198"/>
      <c r="M774" s="269"/>
      <c r="N774" s="195"/>
      <c r="O774" s="146" t="s">
        <v>810</v>
      </c>
      <c r="P774" s="199">
        <v>0.1</v>
      </c>
      <c r="Q774" s="200">
        <v>4.9000000000000002E-2</v>
      </c>
      <c r="R774" s="201">
        <v>1.5000000000014779E-2</v>
      </c>
      <c r="S774" s="150">
        <v>0</v>
      </c>
      <c r="T774" s="146">
        <v>6.0999999999991131E-2</v>
      </c>
      <c r="U774" s="200">
        <v>-21.14</v>
      </c>
      <c r="V774" s="199">
        <v>91.8</v>
      </c>
      <c r="W774" s="202">
        <v>2</v>
      </c>
      <c r="X774" s="184"/>
      <c r="Y774" s="151"/>
      <c r="Z774" s="151"/>
      <c r="AA774" s="91"/>
      <c r="AB774" s="195"/>
      <c r="AC774" s="146" t="s">
        <v>810</v>
      </c>
      <c r="AD774" s="199">
        <v>0</v>
      </c>
      <c r="AE774" s="200">
        <v>4.9000000000000002E-2</v>
      </c>
      <c r="AF774" s="201">
        <v>1.5000000000014779E-2</v>
      </c>
      <c r="AG774" s="150">
        <v>0</v>
      </c>
      <c r="AH774" s="150">
        <v>6.0999999999991131E-2</v>
      </c>
      <c r="AI774" s="200">
        <v>-21.14</v>
      </c>
      <c r="AJ774" s="199">
        <v>0</v>
      </c>
      <c r="AK774" s="202">
        <v>0</v>
      </c>
      <c r="AL774" s="184"/>
      <c r="AM774" s="151"/>
      <c r="AN774" s="151"/>
    </row>
    <row r="775" spans="3:40" ht="24" x14ac:dyDescent="0.2">
      <c r="C775" s="195"/>
      <c r="D775" s="92" t="s">
        <v>433</v>
      </c>
      <c r="E775" s="357">
        <v>2E-3</v>
      </c>
      <c r="F775" s="358"/>
      <c r="G775" s="359"/>
      <c r="H775" s="268" t="s">
        <v>908</v>
      </c>
      <c r="I775" s="400"/>
      <c r="J775" s="401"/>
      <c r="K775" s="402"/>
      <c r="L775" s="198"/>
      <c r="M775" s="269"/>
      <c r="N775" s="195"/>
      <c r="O775" s="152"/>
      <c r="P775" s="152"/>
      <c r="Q775" s="152"/>
      <c r="R775" s="153"/>
      <c r="S775" s="154"/>
      <c r="T775" s="152"/>
      <c r="U775" s="152"/>
      <c r="V775" s="152"/>
      <c r="W775" s="152"/>
      <c r="X775" s="154"/>
      <c r="Y775" s="155"/>
      <c r="Z775" s="155"/>
      <c r="AA775" s="91"/>
      <c r="AB775" s="195"/>
      <c r="AC775" s="152"/>
      <c r="AD775" s="152"/>
      <c r="AE775" s="152"/>
      <c r="AF775" s="153"/>
      <c r="AG775" s="154"/>
      <c r="AH775" s="152"/>
      <c r="AI775" s="152"/>
      <c r="AJ775" s="152"/>
      <c r="AK775" s="152"/>
      <c r="AL775" s="154"/>
      <c r="AM775" s="155"/>
      <c r="AN775" s="155"/>
    </row>
    <row r="776" spans="3:40" ht="24" x14ac:dyDescent="0.2">
      <c r="C776" s="195"/>
      <c r="D776" s="92" t="s">
        <v>434</v>
      </c>
      <c r="E776" s="357">
        <v>2E-3</v>
      </c>
      <c r="F776" s="358"/>
      <c r="G776" s="359"/>
      <c r="H776" s="270"/>
      <c r="I776" s="400"/>
      <c r="J776" s="401"/>
      <c r="K776" s="402"/>
      <c r="L776" s="198"/>
      <c r="M776" s="269"/>
      <c r="N776" s="195"/>
      <c r="O776" s="156" t="s">
        <v>811</v>
      </c>
      <c r="P776" s="204">
        <v>0.1</v>
      </c>
      <c r="Q776" s="205">
        <v>9.1399999999999995E-2</v>
      </c>
      <c r="R776" s="206">
        <v>0.02</v>
      </c>
      <c r="S776" s="220">
        <v>1</v>
      </c>
      <c r="T776" s="156">
        <v>0.15709999999999999</v>
      </c>
      <c r="U776" s="161">
        <v>-54.444163934434144</v>
      </c>
      <c r="V776" s="162">
        <v>60.5</v>
      </c>
      <c r="W776" s="221">
        <v>7.02</v>
      </c>
      <c r="X776" s="164">
        <v>382.19803081972765</v>
      </c>
      <c r="Y776" s="165"/>
      <c r="Z776" s="165"/>
      <c r="AA776" s="91"/>
      <c r="AB776" s="195"/>
      <c r="AC776" s="156" t="s">
        <v>811</v>
      </c>
      <c r="AD776" s="204">
        <v>0.1</v>
      </c>
      <c r="AE776" s="205">
        <v>9.1399999999999995E-2</v>
      </c>
      <c r="AF776" s="206">
        <v>0.02</v>
      </c>
      <c r="AG776" s="220">
        <v>1</v>
      </c>
      <c r="AH776" s="156">
        <v>0.15709999999999999</v>
      </c>
      <c r="AI776" s="161">
        <v>-54.444163934434144</v>
      </c>
      <c r="AJ776" s="162">
        <v>60.5</v>
      </c>
      <c r="AK776" s="221">
        <v>7.02</v>
      </c>
      <c r="AL776" s="164">
        <v>382.19803081972765</v>
      </c>
      <c r="AM776" s="165"/>
      <c r="AN776" s="165"/>
    </row>
    <row r="777" spans="3:40" ht="25" thickBot="1" x14ac:dyDescent="0.25">
      <c r="C777" s="195"/>
      <c r="D777" s="94" t="s">
        <v>435</v>
      </c>
      <c r="E777" s="360">
        <v>0.29166666666666674</v>
      </c>
      <c r="F777" s="361"/>
      <c r="G777" s="362"/>
      <c r="H777" s="270"/>
      <c r="I777" s="400"/>
      <c r="J777" s="401"/>
      <c r="K777" s="402"/>
      <c r="L777" s="208">
        <v>0.52083333333333337</v>
      </c>
      <c r="M777" s="271">
        <v>0.375</v>
      </c>
      <c r="N777" s="195"/>
      <c r="O777" s="166" t="s">
        <v>812</v>
      </c>
      <c r="P777" s="209">
        <v>0.1</v>
      </c>
      <c r="Q777" s="187">
        <v>5.673333333333333E-2</v>
      </c>
      <c r="R777" s="210">
        <v>0.02</v>
      </c>
      <c r="S777" s="222">
        <v>1</v>
      </c>
      <c r="T777" s="211">
        <v>0.1051</v>
      </c>
      <c r="U777" s="171">
        <v>-36.423180327874149</v>
      </c>
      <c r="V777" s="172">
        <v>60.5</v>
      </c>
      <c r="W777" s="223">
        <v>2.31</v>
      </c>
      <c r="X777" s="174">
        <v>84.137546557389285</v>
      </c>
      <c r="Y777" s="175"/>
      <c r="Z777" s="175"/>
      <c r="AA777" s="91"/>
      <c r="AB777" s="195"/>
      <c r="AC777" s="166" t="s">
        <v>812</v>
      </c>
      <c r="AD777" s="209">
        <v>0.1</v>
      </c>
      <c r="AE777" s="187">
        <v>5.673333333333333E-2</v>
      </c>
      <c r="AF777" s="210">
        <v>0.02</v>
      </c>
      <c r="AG777" s="222">
        <v>1</v>
      </c>
      <c r="AH777" s="211">
        <v>0.1051</v>
      </c>
      <c r="AI777" s="171">
        <v>-36.423180327874149</v>
      </c>
      <c r="AJ777" s="172">
        <v>60.5</v>
      </c>
      <c r="AK777" s="223">
        <v>2.31</v>
      </c>
      <c r="AL777" s="174">
        <v>84.137546557389285</v>
      </c>
      <c r="AM777" s="175"/>
      <c r="AN777" s="175"/>
    </row>
    <row r="778" spans="3:40" ht="25" thickBot="1" x14ac:dyDescent="0.25">
      <c r="C778" s="195"/>
      <c r="D778" s="96" t="s">
        <v>436</v>
      </c>
      <c r="E778" s="97" t="s">
        <v>29</v>
      </c>
      <c r="F778" s="97" t="s">
        <v>28</v>
      </c>
      <c r="G778" s="98" t="s">
        <v>27</v>
      </c>
      <c r="H778" s="287" t="s">
        <v>793</v>
      </c>
      <c r="I778" s="400"/>
      <c r="J778" s="401"/>
      <c r="K778" s="402"/>
      <c r="L778" s="287" t="s">
        <v>1002</v>
      </c>
      <c r="M778" s="288"/>
      <c r="N778" s="195"/>
      <c r="O778" s="154"/>
      <c r="P778" s="176"/>
      <c r="Q778" s="154"/>
      <c r="R778" s="154"/>
      <c r="S778" s="224"/>
      <c r="T778" s="154"/>
      <c r="U778" s="177"/>
      <c r="V778" s="178"/>
      <c r="W778" s="225"/>
      <c r="X778" s="177"/>
      <c r="Y778" s="155"/>
      <c r="Z778" s="155"/>
      <c r="AA778" s="91"/>
      <c r="AB778" s="195"/>
      <c r="AC778" s="154"/>
      <c r="AD778" s="176"/>
      <c r="AE778" s="154"/>
      <c r="AF778" s="154"/>
      <c r="AG778" s="224"/>
      <c r="AH778" s="154"/>
      <c r="AI778" s="177"/>
      <c r="AJ778" s="178"/>
      <c r="AK778" s="225"/>
      <c r="AL778" s="177"/>
      <c r="AM778" s="155"/>
      <c r="AN778" s="155"/>
    </row>
    <row r="779" spans="3:40" ht="24" x14ac:dyDescent="0.2">
      <c r="C779" s="195"/>
      <c r="D779" s="99">
        <v>45565</v>
      </c>
      <c r="E779" s="113">
        <v>5.0000000000000001E-3</v>
      </c>
      <c r="F779" s="113" t="s">
        <v>449</v>
      </c>
      <c r="G779" s="113">
        <v>7.0000000000000001E-3</v>
      </c>
      <c r="H779" s="277">
        <v>0.25</v>
      </c>
      <c r="I779" s="400"/>
      <c r="J779" s="401"/>
      <c r="K779" s="402"/>
      <c r="L779" s="272">
        <v>4.1666666666666664E-2</v>
      </c>
      <c r="M779" s="289"/>
      <c r="N779" s="195"/>
      <c r="O779" s="179"/>
      <c r="P779" s="155"/>
      <c r="Q779" s="179"/>
      <c r="R779" s="179"/>
      <c r="S779" s="224"/>
      <c r="T779" s="179"/>
      <c r="U779" s="179"/>
      <c r="V779" s="179"/>
      <c r="W779" s="227"/>
      <c r="X779" s="179"/>
      <c r="Y779" s="155"/>
      <c r="Z779" s="155"/>
      <c r="AA779" s="91"/>
      <c r="AB779" s="195"/>
      <c r="AC779" s="179"/>
      <c r="AD779" s="155"/>
      <c r="AE779" s="179"/>
      <c r="AF779" s="179"/>
      <c r="AG779" s="224"/>
      <c r="AH779" s="179"/>
      <c r="AI779" s="179"/>
      <c r="AJ779" s="179"/>
      <c r="AK779" s="227"/>
      <c r="AL779" s="179"/>
      <c r="AM779" s="155"/>
      <c r="AN779" s="155"/>
    </row>
    <row r="780" spans="3:40" ht="24" x14ac:dyDescent="0.2">
      <c r="C780" s="195"/>
      <c r="D780" s="99">
        <v>45519</v>
      </c>
      <c r="E780" s="113">
        <v>6.0000000000000001E-3</v>
      </c>
      <c r="F780" s="113" t="s">
        <v>449</v>
      </c>
      <c r="G780" s="113">
        <v>7.0000000000000001E-3</v>
      </c>
      <c r="H780" s="277">
        <v>0.25</v>
      </c>
      <c r="I780" s="400"/>
      <c r="J780" s="401"/>
      <c r="K780" s="402"/>
      <c r="L780" s="272">
        <v>4.1666666666666664E-2</v>
      </c>
      <c r="M780" s="290"/>
      <c r="N780" s="195"/>
      <c r="O780" s="146" t="s">
        <v>813</v>
      </c>
      <c r="P780" s="233">
        <v>0.05</v>
      </c>
      <c r="Q780" s="180">
        <v>6.5711111111111109E-2</v>
      </c>
      <c r="R780" s="181">
        <v>0.02</v>
      </c>
      <c r="S780" s="228">
        <v>1.5</v>
      </c>
      <c r="T780" s="156">
        <v>0.11856666666666667</v>
      </c>
      <c r="U780" s="182">
        <v>-30.817614754102841</v>
      </c>
      <c r="V780" s="183">
        <v>30.25</v>
      </c>
      <c r="W780" s="230">
        <v>2</v>
      </c>
      <c r="X780" s="184">
        <v>61.635229508205683</v>
      </c>
      <c r="Y780" s="185"/>
      <c r="Z780" s="185"/>
      <c r="AA780" s="91"/>
      <c r="AB780" s="195"/>
      <c r="AC780" s="146" t="s">
        <v>813</v>
      </c>
      <c r="AD780" s="233">
        <v>0.05</v>
      </c>
      <c r="AE780" s="180">
        <v>6.5711111111111109E-2</v>
      </c>
      <c r="AF780" s="181">
        <v>0.02</v>
      </c>
      <c r="AG780" s="228">
        <v>1.5</v>
      </c>
      <c r="AH780" s="156">
        <v>0.11856666666666667</v>
      </c>
      <c r="AI780" s="182">
        <v>-30.817614754102841</v>
      </c>
      <c r="AJ780" s="183">
        <v>30.25</v>
      </c>
      <c r="AK780" s="230">
        <v>2</v>
      </c>
      <c r="AL780" s="184">
        <v>61.635229508205683</v>
      </c>
      <c r="AM780" s="296">
        <v>-3.0817614754102842E-3</v>
      </c>
      <c r="AN780" s="297" t="s">
        <v>1004</v>
      </c>
    </row>
    <row r="781" spans="3:40" ht="24" x14ac:dyDescent="0.2">
      <c r="C781" s="195"/>
      <c r="D781" s="99">
        <v>45471</v>
      </c>
      <c r="E781" s="113">
        <v>7.0000000000000001E-3</v>
      </c>
      <c r="F781" s="113" t="s">
        <v>449</v>
      </c>
      <c r="G781" s="113">
        <v>-3.0000000000000001E-3</v>
      </c>
      <c r="H781" s="277">
        <v>0.25</v>
      </c>
      <c r="I781" s="400"/>
      <c r="J781" s="401"/>
      <c r="K781" s="402"/>
      <c r="L781" s="272">
        <v>4.1666666666666664E-2</v>
      </c>
      <c r="M781" s="269"/>
      <c r="N781" s="195"/>
      <c r="O781" s="146"/>
      <c r="P781" s="233"/>
      <c r="Q781" s="180"/>
      <c r="R781" s="181"/>
      <c r="S781" s="228"/>
      <c r="T781" s="229"/>
      <c r="U781" s="182"/>
      <c r="V781" s="183"/>
      <c r="W781" s="230"/>
      <c r="X781" s="184"/>
      <c r="Y781" s="185"/>
      <c r="Z781" s="185"/>
      <c r="AA781" s="91"/>
      <c r="AB781" s="195"/>
      <c r="AC781" s="146"/>
      <c r="AD781" s="233"/>
      <c r="AE781" s="180"/>
      <c r="AF781" s="181"/>
      <c r="AG781" s="228"/>
      <c r="AH781" s="229"/>
      <c r="AI781" s="91"/>
      <c r="AJ781" s="183"/>
      <c r="AK781" s="230"/>
      <c r="AL781" s="184"/>
      <c r="AM781" s="185"/>
      <c r="AN781" s="185"/>
    </row>
    <row r="782" spans="3:40" ht="24" x14ac:dyDescent="0.2">
      <c r="C782" s="195"/>
      <c r="D782" s="99">
        <v>45422</v>
      </c>
      <c r="E782" s="113">
        <v>6.0000000000000001E-3</v>
      </c>
      <c r="F782" s="113" t="s">
        <v>452</v>
      </c>
      <c r="G782" s="113">
        <v>-3.0000000000000001E-3</v>
      </c>
      <c r="H782" s="277">
        <v>0.25</v>
      </c>
      <c r="I782" s="400"/>
      <c r="J782" s="401"/>
      <c r="K782" s="402"/>
      <c r="L782" s="272">
        <v>4.1666666666666664E-2</v>
      </c>
      <c r="M782" s="269"/>
      <c r="N782" s="195"/>
      <c r="O782" s="146"/>
      <c r="P782" s="147"/>
      <c r="Q782" s="180"/>
      <c r="R782" s="181"/>
      <c r="S782" s="150"/>
      <c r="T782" s="147"/>
      <c r="U782" s="182"/>
      <c r="V782" s="183"/>
      <c r="W782" s="150"/>
      <c r="X782" s="184"/>
      <c r="Y782" s="185"/>
      <c r="Z782" s="185"/>
      <c r="AA782" s="91"/>
      <c r="AB782" s="195"/>
      <c r="AC782" s="146"/>
      <c r="AD782" s="147"/>
      <c r="AE782" s="180"/>
      <c r="AF782" s="181"/>
      <c r="AG782" s="150"/>
      <c r="AH782" s="147"/>
      <c r="AI782" s="182"/>
      <c r="AJ782" s="183"/>
      <c r="AK782" s="150"/>
      <c r="AL782" s="184"/>
      <c r="AM782" s="185"/>
      <c r="AN782" s="185"/>
    </row>
    <row r="783" spans="3:40" ht="24" x14ac:dyDescent="0.2">
      <c r="C783" s="195"/>
      <c r="D783" s="99">
        <v>45379</v>
      </c>
      <c r="E783" s="113">
        <v>-3.0000000000000001E-3</v>
      </c>
      <c r="F783" s="113" t="s">
        <v>454</v>
      </c>
      <c r="G783" s="113">
        <v>-1E-3</v>
      </c>
      <c r="H783" s="277">
        <v>0.25</v>
      </c>
      <c r="I783" s="400"/>
      <c r="J783" s="401"/>
      <c r="K783" s="402"/>
      <c r="L783" s="272">
        <v>4.1666666666666664E-2</v>
      </c>
      <c r="M783" s="269"/>
      <c r="N783" s="195"/>
      <c r="O783" s="91"/>
      <c r="P783" s="91"/>
      <c r="Q783" s="91"/>
      <c r="R783" s="91"/>
      <c r="S783" s="91"/>
      <c r="T783" s="91"/>
      <c r="U783" s="91"/>
      <c r="V783" s="91"/>
      <c r="W783" s="91"/>
      <c r="X783" s="91"/>
      <c r="Y783" s="91"/>
      <c r="Z783" s="91"/>
      <c r="AA783" s="91"/>
      <c r="AB783" s="91"/>
      <c r="AC783" s="91"/>
      <c r="AD783" s="91"/>
      <c r="AE783" s="91"/>
      <c r="AF783" s="91"/>
      <c r="AG783" s="91"/>
      <c r="AH783" s="91"/>
      <c r="AI783" s="91"/>
      <c r="AJ783" s="91"/>
      <c r="AK783" s="91"/>
      <c r="AL783" s="91"/>
      <c r="AM783" s="91"/>
      <c r="AN783" s="91"/>
    </row>
    <row r="784" spans="3:40" ht="25" thickBot="1" x14ac:dyDescent="0.25">
      <c r="C784" s="195"/>
      <c r="D784" s="143">
        <v>45337</v>
      </c>
      <c r="E784" s="298">
        <v>-3.0000000000000001E-3</v>
      </c>
      <c r="F784" s="298" t="s">
        <v>456</v>
      </c>
      <c r="G784" s="298">
        <v>-1E-3</v>
      </c>
      <c r="H784" s="291">
        <v>0.25</v>
      </c>
      <c r="I784" s="403"/>
      <c r="J784" s="404"/>
      <c r="K784" s="405"/>
      <c r="L784" s="292">
        <v>4.1666666666666664E-2</v>
      </c>
      <c r="M784" s="280"/>
      <c r="N784" s="195"/>
      <c r="O784" s="91"/>
      <c r="P784" s="91"/>
      <c r="Q784" s="91"/>
      <c r="R784" s="91"/>
      <c r="S784" s="91"/>
      <c r="T784" s="91"/>
      <c r="U784" s="91"/>
      <c r="V784" s="91"/>
      <c r="W784" s="91"/>
      <c r="X784" s="91"/>
      <c r="Y784" s="91"/>
      <c r="Z784" s="91"/>
      <c r="AA784" s="91"/>
      <c r="AB784" s="91"/>
      <c r="AC784" s="91"/>
      <c r="AD784" s="91"/>
      <c r="AE784" s="91"/>
      <c r="AF784" s="91"/>
      <c r="AG784" s="91"/>
      <c r="AH784" s="91"/>
      <c r="AI784" s="91"/>
      <c r="AJ784" s="91"/>
      <c r="AK784" s="91"/>
      <c r="AL784" s="91"/>
      <c r="AM784" s="91"/>
      <c r="AN784" s="91"/>
    </row>
    <row r="785" spans="3:40" ht="73" thickBot="1" x14ac:dyDescent="0.25">
      <c r="C785" s="93">
        <v>11</v>
      </c>
      <c r="D785" s="123" t="s">
        <v>30</v>
      </c>
      <c r="E785" s="363" t="s">
        <v>965</v>
      </c>
      <c r="F785" s="364"/>
      <c r="G785" s="365"/>
      <c r="H785" s="265" t="s">
        <v>790</v>
      </c>
      <c r="I785" s="406" t="s">
        <v>633</v>
      </c>
      <c r="J785" s="407"/>
      <c r="K785" s="408"/>
      <c r="L785" s="266" t="s">
        <v>430</v>
      </c>
      <c r="M785" s="267" t="s">
        <v>431</v>
      </c>
      <c r="N785" s="195" t="s">
        <v>105</v>
      </c>
      <c r="O785" s="145" t="s">
        <v>800</v>
      </c>
      <c r="P785" s="145" t="s">
        <v>801</v>
      </c>
      <c r="Q785" s="145" t="s">
        <v>802</v>
      </c>
      <c r="R785" s="145" t="s">
        <v>803</v>
      </c>
      <c r="S785" s="145" t="s">
        <v>804</v>
      </c>
      <c r="T785" s="145" t="s">
        <v>805</v>
      </c>
      <c r="U785" s="145" t="s">
        <v>806</v>
      </c>
      <c r="V785" s="145" t="s">
        <v>807</v>
      </c>
      <c r="W785" s="145" t="s">
        <v>808</v>
      </c>
      <c r="X785" s="145" t="s">
        <v>809</v>
      </c>
      <c r="Y785" s="145" t="s">
        <v>75</v>
      </c>
      <c r="Z785" s="145" t="s">
        <v>75</v>
      </c>
      <c r="AA785" s="91"/>
      <c r="AB785" s="91"/>
      <c r="AC785" s="91"/>
      <c r="AD785" s="91"/>
      <c r="AE785" s="91"/>
      <c r="AF785" s="91"/>
      <c r="AG785" s="91"/>
      <c r="AH785" s="91"/>
      <c r="AI785" s="91"/>
      <c r="AJ785" s="91"/>
      <c r="AK785" s="91"/>
      <c r="AL785" s="91"/>
      <c r="AM785" s="91"/>
      <c r="AN785" s="91"/>
    </row>
    <row r="786" spans="3:40" ht="24" x14ac:dyDescent="0.2">
      <c r="C786" s="195"/>
      <c r="D786" s="122" t="s">
        <v>432</v>
      </c>
      <c r="E786" s="342"/>
      <c r="F786" s="343"/>
      <c r="G786" s="344"/>
      <c r="H786" s="268" t="s">
        <v>947</v>
      </c>
      <c r="I786" s="397" t="s">
        <v>966</v>
      </c>
      <c r="J786" s="398"/>
      <c r="K786" s="399"/>
      <c r="L786" s="198"/>
      <c r="M786" s="269"/>
      <c r="N786" s="195"/>
      <c r="O786" s="146" t="s">
        <v>810</v>
      </c>
      <c r="P786" s="199">
        <v>0.1</v>
      </c>
      <c r="Q786" s="200">
        <v>1.9E-2</v>
      </c>
      <c r="R786" s="201">
        <v>1.8000000000000682E-2</v>
      </c>
      <c r="S786" s="150">
        <v>0</v>
      </c>
      <c r="T786" s="146">
        <v>5.6499999999991134E-2</v>
      </c>
      <c r="U786" s="200">
        <v>-10.78</v>
      </c>
      <c r="V786" s="199">
        <v>91.8</v>
      </c>
      <c r="W786" s="202">
        <v>2</v>
      </c>
      <c r="X786" s="184"/>
      <c r="Y786" s="151"/>
      <c r="Z786" s="151"/>
      <c r="AA786" s="91"/>
      <c r="AB786" s="91"/>
      <c r="AC786" s="91"/>
      <c r="AD786" s="91"/>
      <c r="AE786" s="91"/>
      <c r="AF786" s="91"/>
      <c r="AG786" s="91"/>
      <c r="AH786" s="91"/>
      <c r="AI786" s="91"/>
      <c r="AJ786" s="91"/>
      <c r="AK786" s="91"/>
      <c r="AL786" s="91"/>
      <c r="AM786" s="91"/>
      <c r="AN786" s="91"/>
    </row>
    <row r="787" spans="3:40" ht="24" x14ac:dyDescent="0.2">
      <c r="C787" s="195"/>
      <c r="D787" s="92" t="s">
        <v>433</v>
      </c>
      <c r="E787" s="357">
        <v>2E-3</v>
      </c>
      <c r="F787" s="358"/>
      <c r="G787" s="359"/>
      <c r="H787" s="268" t="s">
        <v>908</v>
      </c>
      <c r="I787" s="400"/>
      <c r="J787" s="401"/>
      <c r="K787" s="402"/>
      <c r="L787" s="198"/>
      <c r="M787" s="269"/>
      <c r="N787" s="195"/>
      <c r="O787" s="152"/>
      <c r="P787" s="152"/>
      <c r="Q787" s="152"/>
      <c r="R787" s="153"/>
      <c r="S787" s="154"/>
      <c r="T787" s="152"/>
      <c r="U787" s="152"/>
      <c r="V787" s="152"/>
      <c r="W787" s="152"/>
      <c r="X787" s="154"/>
      <c r="Y787" s="155"/>
      <c r="Z787" s="155"/>
      <c r="AA787" s="91"/>
      <c r="AB787" s="91"/>
      <c r="AC787" s="91"/>
      <c r="AD787" s="91"/>
      <c r="AE787" s="91"/>
      <c r="AF787" s="91"/>
      <c r="AG787" s="91"/>
      <c r="AH787" s="91"/>
      <c r="AI787" s="91"/>
      <c r="AJ787" s="91"/>
      <c r="AK787" s="91"/>
      <c r="AL787" s="91"/>
      <c r="AM787" s="91"/>
      <c r="AN787" s="91"/>
    </row>
    <row r="788" spans="3:40" ht="24" x14ac:dyDescent="0.2">
      <c r="C788" s="195"/>
      <c r="D788" s="92" t="s">
        <v>434</v>
      </c>
      <c r="E788" s="357">
        <v>5.0000000000000001E-3</v>
      </c>
      <c r="F788" s="358"/>
      <c r="G788" s="359"/>
      <c r="H788" s="270"/>
      <c r="I788" s="400"/>
      <c r="J788" s="401"/>
      <c r="K788" s="402"/>
      <c r="L788" s="198"/>
      <c r="M788" s="269"/>
      <c r="N788" s="195"/>
      <c r="O788" s="156" t="s">
        <v>811</v>
      </c>
      <c r="P788" s="204">
        <v>0.1</v>
      </c>
      <c r="Q788" s="205">
        <v>6.8099999999999994E-2</v>
      </c>
      <c r="R788" s="206">
        <v>1.8000000000000682E-2</v>
      </c>
      <c r="S788" s="220">
        <v>1</v>
      </c>
      <c r="T788" s="156">
        <v>0.12015000000000067</v>
      </c>
      <c r="U788" s="161">
        <v>-22.924194690269211</v>
      </c>
      <c r="V788" s="162">
        <v>60.5</v>
      </c>
      <c r="W788" s="221">
        <v>1.77</v>
      </c>
      <c r="X788" s="164">
        <v>40.575824601776503</v>
      </c>
      <c r="Y788" s="165"/>
      <c r="Z788" s="165"/>
      <c r="AA788" s="91"/>
      <c r="AB788" s="91"/>
      <c r="AC788" s="91"/>
      <c r="AD788" s="91"/>
      <c r="AE788" s="91"/>
      <c r="AF788" s="91"/>
      <c r="AG788" s="91"/>
      <c r="AH788" s="91"/>
      <c r="AI788" s="91"/>
      <c r="AJ788" s="91"/>
      <c r="AK788" s="91"/>
      <c r="AL788" s="91"/>
      <c r="AM788" s="91"/>
      <c r="AN788" s="91"/>
    </row>
    <row r="789" spans="3:40" ht="25" thickBot="1" x14ac:dyDescent="0.25">
      <c r="C789" s="195"/>
      <c r="D789" s="94" t="s">
        <v>435</v>
      </c>
      <c r="E789" s="360">
        <v>0.29166666666666674</v>
      </c>
      <c r="F789" s="361"/>
      <c r="G789" s="362"/>
      <c r="H789" s="270"/>
      <c r="I789" s="400"/>
      <c r="J789" s="401"/>
      <c r="K789" s="402"/>
      <c r="L789" s="208">
        <v>0.52083333333333337</v>
      </c>
      <c r="M789" s="271">
        <v>0.375</v>
      </c>
      <c r="N789" s="195"/>
      <c r="O789" s="166" t="s">
        <v>812</v>
      </c>
      <c r="P789" s="209">
        <v>0.1</v>
      </c>
      <c r="Q789" s="187">
        <v>0.11893333333333332</v>
      </c>
      <c r="R789" s="210">
        <v>1.4E-2</v>
      </c>
      <c r="S789" s="222">
        <v>1</v>
      </c>
      <c r="T789" s="211">
        <v>0.19239999999999999</v>
      </c>
      <c r="U789" s="171">
        <v>-36.709238938058853</v>
      </c>
      <c r="V789" s="172">
        <v>60.5</v>
      </c>
      <c r="W789" s="223">
        <v>3.08</v>
      </c>
      <c r="X789" s="174">
        <v>113.06445592922127</v>
      </c>
      <c r="Y789" s="175"/>
      <c r="Z789" s="175"/>
      <c r="AA789" s="91"/>
      <c r="AB789" s="91"/>
      <c r="AC789" s="91"/>
      <c r="AD789" s="91"/>
      <c r="AE789" s="91"/>
      <c r="AF789" s="91"/>
      <c r="AG789" s="91"/>
      <c r="AH789" s="91"/>
      <c r="AI789" s="91"/>
      <c r="AJ789" s="91"/>
      <c r="AK789" s="91"/>
      <c r="AL789" s="91"/>
      <c r="AM789" s="91"/>
      <c r="AN789" s="91"/>
    </row>
    <row r="790" spans="3:40" ht="25" thickBot="1" x14ac:dyDescent="0.25">
      <c r="C790" s="195"/>
      <c r="D790" s="96" t="s">
        <v>436</v>
      </c>
      <c r="E790" s="97" t="s">
        <v>29</v>
      </c>
      <c r="F790" s="97" t="s">
        <v>28</v>
      </c>
      <c r="G790" s="98" t="s">
        <v>27</v>
      </c>
      <c r="H790" s="287" t="s">
        <v>793</v>
      </c>
      <c r="I790" s="400"/>
      <c r="J790" s="401"/>
      <c r="K790" s="402"/>
      <c r="L790" s="287"/>
      <c r="M790" s="288"/>
      <c r="N790" s="195"/>
      <c r="O790" s="154"/>
      <c r="P790" s="176"/>
      <c r="Q790" s="154"/>
      <c r="R790" s="154"/>
      <c r="S790" s="224"/>
      <c r="T790" s="154"/>
      <c r="U790" s="177"/>
      <c r="V790" s="178"/>
      <c r="W790" s="225"/>
      <c r="X790" s="177"/>
      <c r="Y790" s="155"/>
      <c r="Z790" s="155"/>
      <c r="AA790" s="91"/>
      <c r="AB790" s="91"/>
      <c r="AC790" s="91"/>
      <c r="AD790" s="91"/>
      <c r="AE790" s="91"/>
      <c r="AF790" s="91"/>
      <c r="AG790" s="91"/>
      <c r="AH790" s="91"/>
      <c r="AI790" s="91"/>
      <c r="AJ790" s="91"/>
      <c r="AK790" s="91"/>
      <c r="AL790" s="91"/>
      <c r="AM790" s="91"/>
      <c r="AN790" s="91"/>
    </row>
    <row r="791" spans="3:40" ht="24" x14ac:dyDescent="0.2">
      <c r="C791" s="195"/>
      <c r="D791" s="99">
        <v>45565</v>
      </c>
      <c r="E791" s="113">
        <v>5.0000000000000001E-3</v>
      </c>
      <c r="F791" s="113" t="s">
        <v>449</v>
      </c>
      <c r="G791" s="113">
        <v>7.0000000000000001E-3</v>
      </c>
      <c r="H791" s="277">
        <v>0.25</v>
      </c>
      <c r="I791" s="400"/>
      <c r="J791" s="401"/>
      <c r="K791" s="402"/>
      <c r="L791" s="272">
        <v>4.1666666666666664E-2</v>
      </c>
      <c r="M791" s="289"/>
      <c r="N791" s="195"/>
      <c r="O791" s="179"/>
      <c r="P791" s="155"/>
      <c r="Q791" s="179"/>
      <c r="R791" s="179"/>
      <c r="S791" s="224"/>
      <c r="T791" s="179"/>
      <c r="U791" s="179"/>
      <c r="V791" s="179"/>
      <c r="W791" s="227"/>
      <c r="X791" s="179"/>
      <c r="Y791" s="155"/>
      <c r="Z791" s="155"/>
      <c r="AA791" s="91"/>
      <c r="AB791" s="299">
        <v>8.3333333333333329E-2</v>
      </c>
      <c r="AC791" s="91"/>
      <c r="AD791" s="91"/>
      <c r="AE791" s="91"/>
      <c r="AF791" s="91"/>
      <c r="AG791" s="91"/>
      <c r="AH791" s="91"/>
      <c r="AI791" s="91"/>
      <c r="AJ791" s="91"/>
      <c r="AK791" s="91"/>
      <c r="AL791" s="91"/>
      <c r="AM791" s="91"/>
      <c r="AN791" s="91"/>
    </row>
    <row r="792" spans="3:40" ht="24" x14ac:dyDescent="0.2">
      <c r="C792" s="195"/>
      <c r="D792" s="99">
        <v>45519</v>
      </c>
      <c r="E792" s="113">
        <v>6.0000000000000001E-3</v>
      </c>
      <c r="F792" s="113" t="s">
        <v>449</v>
      </c>
      <c r="G792" s="113">
        <v>7.0000000000000001E-3</v>
      </c>
      <c r="H792" s="277">
        <v>0.25</v>
      </c>
      <c r="I792" s="400"/>
      <c r="J792" s="401"/>
      <c r="K792" s="402"/>
      <c r="L792" s="272">
        <v>4.1666666666666664E-2</v>
      </c>
      <c r="M792" s="290"/>
      <c r="N792" s="195"/>
      <c r="O792" s="146" t="s">
        <v>813</v>
      </c>
      <c r="P792" s="233">
        <v>0.1</v>
      </c>
      <c r="Q792" s="180">
        <v>0.03</v>
      </c>
      <c r="R792" s="181">
        <v>1.4E-2</v>
      </c>
      <c r="S792" s="228">
        <v>1</v>
      </c>
      <c r="T792" s="229">
        <v>0.19239999999999999</v>
      </c>
      <c r="U792" s="182">
        <v>-36.709238938058853</v>
      </c>
      <c r="V792" s="183">
        <v>60.5</v>
      </c>
      <c r="W792" s="230">
        <v>3</v>
      </c>
      <c r="X792" s="184">
        <v>110.12771681417655</v>
      </c>
      <c r="Y792" s="185" t="s">
        <v>814</v>
      </c>
      <c r="Z792" s="185"/>
      <c r="AA792" s="91"/>
      <c r="AB792" s="299">
        <v>0.33333333333333331</v>
      </c>
      <c r="AC792" s="91"/>
      <c r="AD792" s="91"/>
      <c r="AE792" s="91"/>
      <c r="AF792" s="91"/>
      <c r="AG792" s="91"/>
      <c r="AH792" s="91"/>
      <c r="AI792" s="91"/>
      <c r="AJ792" s="91"/>
      <c r="AK792" s="91"/>
      <c r="AL792" s="91"/>
      <c r="AM792" s="91"/>
      <c r="AN792" s="91"/>
    </row>
    <row r="793" spans="3:40" ht="24" x14ac:dyDescent="0.2">
      <c r="C793" s="195"/>
      <c r="D793" s="99">
        <v>45471</v>
      </c>
      <c r="E793" s="113">
        <v>7.0000000000000001E-3</v>
      </c>
      <c r="F793" s="113" t="s">
        <v>449</v>
      </c>
      <c r="G793" s="113">
        <v>-3.0000000000000001E-3</v>
      </c>
      <c r="H793" s="277">
        <v>0.25</v>
      </c>
      <c r="I793" s="400"/>
      <c r="J793" s="401"/>
      <c r="K793" s="402"/>
      <c r="L793" s="272">
        <v>4.1666666666666664E-2</v>
      </c>
      <c r="M793" s="269"/>
      <c r="N793" s="195"/>
      <c r="O793" s="146" t="s">
        <v>813</v>
      </c>
      <c r="P793" s="233">
        <v>-0.1</v>
      </c>
      <c r="Q793" s="180">
        <v>0.03</v>
      </c>
      <c r="R793" s="181">
        <v>1.4E-2</v>
      </c>
      <c r="S793" s="228">
        <v>-1</v>
      </c>
      <c r="T793" s="229">
        <v>0.19239999999999999</v>
      </c>
      <c r="U793" s="182">
        <v>-36.709238938058853</v>
      </c>
      <c r="V793" s="183">
        <v>60.5</v>
      </c>
      <c r="W793" s="230">
        <v>3</v>
      </c>
      <c r="X793" s="184">
        <v>110.12771681417655</v>
      </c>
      <c r="Y793" s="185" t="s">
        <v>814</v>
      </c>
      <c r="Z793" s="185"/>
      <c r="AA793" s="91"/>
      <c r="AB793" s="299">
        <v>8.3333333333333329E-2</v>
      </c>
      <c r="AC793" s="91"/>
      <c r="AD793" s="91"/>
      <c r="AE793" s="91"/>
      <c r="AF793" s="91"/>
      <c r="AG793" s="91"/>
      <c r="AH793" s="91"/>
      <c r="AI793" s="91"/>
      <c r="AJ793" s="91"/>
      <c r="AK793" s="91"/>
      <c r="AL793" s="91"/>
      <c r="AM793" s="91"/>
      <c r="AN793" s="91"/>
    </row>
    <row r="794" spans="3:40" ht="24" x14ac:dyDescent="0.2">
      <c r="C794" s="195"/>
      <c r="D794" s="99">
        <v>45422</v>
      </c>
      <c r="E794" s="113">
        <v>6.0000000000000001E-3</v>
      </c>
      <c r="F794" s="113" t="s">
        <v>452</v>
      </c>
      <c r="G794" s="113">
        <v>-3.0000000000000001E-3</v>
      </c>
      <c r="H794" s="277">
        <v>0.25</v>
      </c>
      <c r="I794" s="400"/>
      <c r="J794" s="401"/>
      <c r="K794" s="402"/>
      <c r="L794" s="272">
        <v>4.1666666666666664E-2</v>
      </c>
      <c r="M794" s="269"/>
      <c r="N794" s="195"/>
      <c r="O794" s="146"/>
      <c r="P794" s="147"/>
      <c r="Q794" s="180"/>
      <c r="R794" s="181"/>
      <c r="S794" s="150"/>
      <c r="T794" s="147"/>
      <c r="U794" s="182"/>
      <c r="V794" s="183"/>
      <c r="W794" s="150"/>
      <c r="X794" s="184"/>
      <c r="Y794" s="185"/>
      <c r="Z794" s="185"/>
      <c r="AA794" s="91"/>
      <c r="AB794" s="299">
        <v>0.33333333333333331</v>
      </c>
      <c r="AC794" s="91"/>
      <c r="AD794" s="91"/>
      <c r="AE794" s="91"/>
      <c r="AF794" s="91"/>
      <c r="AG794" s="91"/>
      <c r="AH794" s="91"/>
      <c r="AI794" s="91"/>
      <c r="AJ794" s="91"/>
      <c r="AK794" s="91"/>
      <c r="AL794" s="91"/>
      <c r="AM794" s="91"/>
      <c r="AN794" s="91"/>
    </row>
    <row r="795" spans="3:40" ht="24" x14ac:dyDescent="0.2">
      <c r="C795" s="195"/>
      <c r="D795" s="99">
        <v>45379</v>
      </c>
      <c r="E795" s="113">
        <v>-3.0000000000000001E-3</v>
      </c>
      <c r="F795" s="113" t="s">
        <v>454</v>
      </c>
      <c r="G795" s="113">
        <v>-1E-3</v>
      </c>
      <c r="H795" s="277">
        <v>0.29166666666666669</v>
      </c>
      <c r="I795" s="400"/>
      <c r="J795" s="401"/>
      <c r="K795" s="402"/>
      <c r="L795" s="272">
        <v>8.3333333333333329E-2</v>
      </c>
      <c r="M795" s="269"/>
      <c r="N795" s="195"/>
      <c r="O795" s="91"/>
      <c r="P795" s="91"/>
      <c r="Q795" s="91"/>
      <c r="R795" s="91"/>
      <c r="S795" s="91"/>
      <c r="T795" s="91"/>
      <c r="U795" s="91"/>
      <c r="V795" s="91"/>
      <c r="W795" s="91"/>
      <c r="X795" s="91"/>
      <c r="Y795" s="91"/>
      <c r="Z795" s="91"/>
      <c r="AA795" s="91"/>
      <c r="AB795" s="299">
        <v>8.3333333333333329E-2</v>
      </c>
      <c r="AC795" s="91"/>
      <c r="AD795" s="91"/>
      <c r="AE795" s="91"/>
      <c r="AF795" s="91"/>
      <c r="AG795" s="91"/>
      <c r="AH795" s="91"/>
      <c r="AI795" s="91"/>
      <c r="AJ795" s="91"/>
      <c r="AK795" s="91"/>
      <c r="AL795" s="91"/>
      <c r="AM795" s="91"/>
      <c r="AN795" s="91"/>
    </row>
    <row r="796" spans="3:40" ht="25" thickBot="1" x14ac:dyDescent="0.25">
      <c r="C796" s="195"/>
      <c r="D796" s="143">
        <v>45337</v>
      </c>
      <c r="E796" s="298">
        <v>-3.0000000000000001E-3</v>
      </c>
      <c r="F796" s="298" t="s">
        <v>456</v>
      </c>
      <c r="G796" s="298">
        <v>-1E-3</v>
      </c>
      <c r="H796" s="291">
        <v>0.29166666666666669</v>
      </c>
      <c r="I796" s="403"/>
      <c r="J796" s="404"/>
      <c r="K796" s="405"/>
      <c r="L796" s="292">
        <v>8.3333333333333329E-2</v>
      </c>
      <c r="M796" s="280"/>
      <c r="N796" s="195"/>
      <c r="O796" s="91"/>
      <c r="P796" s="91"/>
      <c r="Q796" s="91"/>
      <c r="R796" s="91"/>
      <c r="S796" s="91"/>
      <c r="T796" s="91"/>
      <c r="U796" s="91"/>
      <c r="V796" s="91"/>
      <c r="W796" s="91"/>
      <c r="X796" s="91"/>
      <c r="Y796" s="91"/>
      <c r="Z796" s="91"/>
      <c r="AA796" s="91"/>
      <c r="AB796" s="299">
        <v>0.33333333333333331</v>
      </c>
      <c r="AC796" s="91"/>
      <c r="AD796" s="91"/>
      <c r="AE796" s="91"/>
      <c r="AF796" s="91"/>
      <c r="AG796" s="91"/>
      <c r="AH796" s="91"/>
      <c r="AI796" s="91"/>
      <c r="AJ796" s="91"/>
      <c r="AK796" s="91"/>
      <c r="AL796" s="91"/>
      <c r="AM796" s="91"/>
      <c r="AN796" s="91"/>
    </row>
    <row r="797" spans="3:40" ht="73" thickBot="1" x14ac:dyDescent="0.25">
      <c r="C797" s="93">
        <v>12</v>
      </c>
      <c r="D797" s="123" t="s">
        <v>30</v>
      </c>
      <c r="E797" s="363" t="s">
        <v>967</v>
      </c>
      <c r="F797" s="364"/>
      <c r="G797" s="365"/>
      <c r="H797" s="265" t="s">
        <v>790</v>
      </c>
      <c r="I797" s="406" t="s">
        <v>633</v>
      </c>
      <c r="J797" s="407"/>
      <c r="K797" s="408"/>
      <c r="L797" s="266" t="s">
        <v>430</v>
      </c>
      <c r="M797" s="267" t="s">
        <v>431</v>
      </c>
      <c r="N797" s="195" t="s">
        <v>105</v>
      </c>
      <c r="O797" s="145" t="s">
        <v>800</v>
      </c>
      <c r="P797" s="145" t="s">
        <v>801</v>
      </c>
      <c r="Q797" s="145" t="s">
        <v>802</v>
      </c>
      <c r="R797" s="145" t="s">
        <v>803</v>
      </c>
      <c r="S797" s="145" t="s">
        <v>804</v>
      </c>
      <c r="T797" s="145" t="s">
        <v>805</v>
      </c>
      <c r="U797" s="145" t="s">
        <v>806</v>
      </c>
      <c r="V797" s="145" t="s">
        <v>807</v>
      </c>
      <c r="W797" s="145" t="s">
        <v>808</v>
      </c>
      <c r="X797" s="145" t="s">
        <v>809</v>
      </c>
      <c r="Y797" s="145" t="s">
        <v>75</v>
      </c>
      <c r="Z797" s="145" t="s">
        <v>75</v>
      </c>
      <c r="AA797" s="91"/>
      <c r="AB797" s="91"/>
      <c r="AC797" s="91"/>
      <c r="AD797" s="91"/>
      <c r="AE797" s="91"/>
      <c r="AF797" s="91"/>
      <c r="AG797" s="91"/>
      <c r="AH797" s="91"/>
      <c r="AI797" s="91"/>
      <c r="AJ797" s="91"/>
      <c r="AK797" s="91"/>
      <c r="AL797" s="91"/>
      <c r="AM797" s="91"/>
      <c r="AN797" s="91"/>
    </row>
    <row r="798" spans="3:40" ht="24" x14ac:dyDescent="0.2">
      <c r="C798" s="195"/>
      <c r="D798" s="122" t="s">
        <v>432</v>
      </c>
      <c r="E798" s="342"/>
      <c r="F798" s="343"/>
      <c r="G798" s="344"/>
      <c r="H798" s="268" t="s">
        <v>794</v>
      </c>
      <c r="I798" s="397" t="s">
        <v>691</v>
      </c>
      <c r="J798" s="398"/>
      <c r="K798" s="399"/>
      <c r="L798" s="198"/>
      <c r="M798" s="269"/>
      <c r="N798" s="195"/>
      <c r="O798" s="146" t="s">
        <v>810</v>
      </c>
      <c r="P798" s="147">
        <v>0.1</v>
      </c>
      <c r="Q798" s="148">
        <v>3.9E-2</v>
      </c>
      <c r="R798" s="149">
        <v>2.1000000000015007E-2</v>
      </c>
      <c r="S798" s="150"/>
      <c r="T798" s="146">
        <v>7.9500000000015003E-2</v>
      </c>
      <c r="U798" s="148">
        <v>-18.989999999999998</v>
      </c>
      <c r="V798" s="147">
        <v>91.8</v>
      </c>
      <c r="W798" s="150"/>
      <c r="X798" s="150"/>
      <c r="Y798" s="151"/>
      <c r="Z798" s="151"/>
      <c r="AA798" s="91"/>
      <c r="AB798" s="91"/>
      <c r="AC798" s="91"/>
      <c r="AD798" s="91"/>
      <c r="AE798" s="91"/>
      <c r="AF798" s="91"/>
      <c r="AG798" s="91"/>
      <c r="AH798" s="91"/>
      <c r="AI798" s="91"/>
      <c r="AJ798" s="91"/>
      <c r="AK798" s="91"/>
      <c r="AL798" s="91"/>
      <c r="AM798" s="91"/>
      <c r="AN798" s="91"/>
    </row>
    <row r="799" spans="3:40" ht="24" x14ac:dyDescent="0.2">
      <c r="C799" s="195"/>
      <c r="D799" s="92" t="s">
        <v>433</v>
      </c>
      <c r="E799" s="357">
        <v>2E-3</v>
      </c>
      <c r="F799" s="358"/>
      <c r="G799" s="359"/>
      <c r="H799" s="268" t="s">
        <v>795</v>
      </c>
      <c r="I799" s="400"/>
      <c r="J799" s="401"/>
      <c r="K799" s="402"/>
      <c r="L799" s="198"/>
      <c r="M799" s="269"/>
      <c r="N799" s="195"/>
      <c r="O799" s="152"/>
      <c r="P799" s="152"/>
      <c r="Q799" s="152"/>
      <c r="R799" s="153"/>
      <c r="S799" s="154"/>
      <c r="T799" s="152"/>
      <c r="U799" s="152"/>
      <c r="V799" s="152"/>
      <c r="W799" s="154"/>
      <c r="X799" s="154"/>
      <c r="Y799" s="155"/>
      <c r="Z799" s="155"/>
      <c r="AA799" s="91"/>
      <c r="AB799" s="91"/>
      <c r="AC799" s="91"/>
      <c r="AD799" s="91"/>
      <c r="AE799" s="91"/>
      <c r="AF799" s="91"/>
      <c r="AG799" s="91"/>
      <c r="AH799" s="91"/>
      <c r="AI799" s="91"/>
      <c r="AJ799" s="91"/>
      <c r="AK799" s="91"/>
      <c r="AL799" s="91"/>
      <c r="AM799" s="91"/>
      <c r="AN799" s="91"/>
    </row>
    <row r="800" spans="3:40" ht="24" x14ac:dyDescent="0.2">
      <c r="C800" s="195"/>
      <c r="D800" s="92" t="s">
        <v>434</v>
      </c>
      <c r="E800" s="357">
        <v>5.0000000000000001E-3</v>
      </c>
      <c r="F800" s="358"/>
      <c r="G800" s="359"/>
      <c r="H800" s="270"/>
      <c r="I800" s="400"/>
      <c r="J800" s="401"/>
      <c r="K800" s="402"/>
      <c r="L800" s="198"/>
      <c r="M800" s="269"/>
      <c r="N800" s="195"/>
      <c r="O800" s="156" t="s">
        <v>811</v>
      </c>
      <c r="P800" s="157">
        <v>0.1</v>
      </c>
      <c r="Q800" s="158">
        <v>7.22E-2</v>
      </c>
      <c r="R800" s="159">
        <v>1.4999999999999999E-2</v>
      </c>
      <c r="S800" s="160">
        <v>1</v>
      </c>
      <c r="T800" s="156">
        <v>0.12330000000000001</v>
      </c>
      <c r="U800" s="161">
        <v>-29.452415094334064</v>
      </c>
      <c r="V800" s="162">
        <v>60.5</v>
      </c>
      <c r="W800" s="163">
        <v>4.88</v>
      </c>
      <c r="X800" s="164">
        <v>143.72778566035024</v>
      </c>
      <c r="Y800" s="165"/>
      <c r="Z800" s="165">
        <v>4.4350000000000005</v>
      </c>
      <c r="AA800" s="91"/>
      <c r="AB800" s="91"/>
      <c r="AC800" s="91"/>
      <c r="AD800" s="91"/>
      <c r="AE800" s="91"/>
      <c r="AF800" s="91"/>
      <c r="AG800" s="91"/>
      <c r="AH800" s="91"/>
      <c r="AI800" s="91"/>
      <c r="AJ800" s="91"/>
      <c r="AK800" s="91"/>
      <c r="AL800" s="91"/>
      <c r="AM800" s="91"/>
      <c r="AN800" s="91"/>
    </row>
    <row r="801" spans="3:40" ht="25" thickBot="1" x14ac:dyDescent="0.25">
      <c r="C801" s="195"/>
      <c r="D801" s="94" t="s">
        <v>435</v>
      </c>
      <c r="E801" s="360">
        <v>0.5625</v>
      </c>
      <c r="F801" s="361"/>
      <c r="G801" s="362"/>
      <c r="H801" s="270"/>
      <c r="I801" s="400"/>
      <c r="J801" s="401"/>
      <c r="K801" s="402"/>
      <c r="L801" s="208">
        <v>0.79166666666666663</v>
      </c>
      <c r="M801" s="271">
        <v>0.64583333333333326</v>
      </c>
      <c r="N801" s="195"/>
      <c r="O801" s="166" t="s">
        <v>812</v>
      </c>
      <c r="P801" s="167">
        <v>0.1</v>
      </c>
      <c r="Q801" s="168">
        <v>4.0533333333333338E-2</v>
      </c>
      <c r="R801" s="169">
        <v>1.4999999999999999E-2</v>
      </c>
      <c r="S801" s="170">
        <v>0.5</v>
      </c>
      <c r="T801" s="166">
        <v>7.5800000000000006E-2</v>
      </c>
      <c r="U801" s="171">
        <v>-9.0530943396209338</v>
      </c>
      <c r="V801" s="172">
        <v>60.5</v>
      </c>
      <c r="W801" s="173">
        <v>2.3650000000000002</v>
      </c>
      <c r="X801" s="174">
        <v>21.41056811320351</v>
      </c>
      <c r="Y801" s="175"/>
      <c r="Z801" s="175"/>
      <c r="AA801" s="91"/>
      <c r="AB801" s="91"/>
      <c r="AC801" s="91"/>
      <c r="AD801" s="91"/>
      <c r="AE801" s="91"/>
      <c r="AF801" s="91"/>
      <c r="AG801" s="91"/>
      <c r="AH801" s="91"/>
      <c r="AI801" s="91"/>
      <c r="AJ801" s="91"/>
      <c r="AK801" s="91"/>
      <c r="AL801" s="91"/>
      <c r="AM801" s="91"/>
      <c r="AN801" s="91"/>
    </row>
    <row r="802" spans="3:40" ht="25" thickBot="1" x14ac:dyDescent="0.25">
      <c r="C802" s="195"/>
      <c r="D802" s="96" t="s">
        <v>436</v>
      </c>
      <c r="E802" s="97" t="s">
        <v>29</v>
      </c>
      <c r="F802" s="97" t="s">
        <v>28</v>
      </c>
      <c r="G802" s="98" t="s">
        <v>27</v>
      </c>
      <c r="H802" s="287" t="s">
        <v>793</v>
      </c>
      <c r="I802" s="400"/>
      <c r="J802" s="401"/>
      <c r="K802" s="402"/>
      <c r="L802" s="287"/>
      <c r="M802" s="288"/>
      <c r="N802" s="195"/>
      <c r="O802" s="154"/>
      <c r="P802" s="176"/>
      <c r="Q802" s="154"/>
      <c r="R802" s="154"/>
      <c r="S802" s="154"/>
      <c r="T802" s="154"/>
      <c r="U802" s="177"/>
      <c r="V802" s="178"/>
      <c r="W802" s="154"/>
      <c r="X802" s="177"/>
      <c r="Y802" s="155"/>
      <c r="Z802" s="155"/>
      <c r="AA802" s="91"/>
      <c r="AB802" s="91"/>
      <c r="AC802" s="91"/>
      <c r="AD802" s="91"/>
      <c r="AE802" s="91"/>
      <c r="AF802" s="91"/>
      <c r="AG802" s="91"/>
      <c r="AH802" s="91"/>
      <c r="AI802" s="91"/>
      <c r="AJ802" s="91"/>
      <c r="AK802" s="91"/>
      <c r="AL802" s="91"/>
      <c r="AM802" s="91"/>
      <c r="AN802" s="91"/>
    </row>
    <row r="803" spans="3:40" ht="24" x14ac:dyDescent="0.2">
      <c r="C803" s="195"/>
      <c r="D803" s="99">
        <v>45582</v>
      </c>
      <c r="E803" s="113">
        <v>5.0000000000000001E-3</v>
      </c>
      <c r="F803" s="113" t="s">
        <v>462</v>
      </c>
      <c r="G803" s="113">
        <v>2E-3</v>
      </c>
      <c r="H803" s="277">
        <v>0.52083333333333337</v>
      </c>
      <c r="I803" s="400"/>
      <c r="J803" s="401"/>
      <c r="K803" s="402"/>
      <c r="L803" s="272">
        <v>0.3125</v>
      </c>
      <c r="M803" s="289"/>
      <c r="N803" s="195"/>
      <c r="O803" s="179"/>
      <c r="P803" s="155"/>
      <c r="Q803" s="179"/>
      <c r="R803" s="179"/>
      <c r="S803" s="179"/>
      <c r="T803" s="179"/>
      <c r="U803" s="179"/>
      <c r="V803" s="179"/>
      <c r="W803" s="179"/>
      <c r="X803" s="179"/>
      <c r="Y803" s="155"/>
      <c r="Z803" s="155"/>
      <c r="AA803" s="91"/>
      <c r="AB803" s="91"/>
      <c r="AC803" s="91"/>
      <c r="AD803" s="91"/>
      <c r="AE803" s="91"/>
      <c r="AF803" s="91"/>
      <c r="AG803" s="91"/>
      <c r="AH803" s="91"/>
      <c r="AI803" s="91"/>
      <c r="AJ803" s="91"/>
      <c r="AK803" s="91"/>
      <c r="AL803" s="91"/>
      <c r="AM803" s="91"/>
      <c r="AN803" s="91"/>
    </row>
    <row r="804" spans="3:40" ht="24" x14ac:dyDescent="0.2">
      <c r="C804" s="195"/>
      <c r="D804" s="99">
        <v>45552</v>
      </c>
      <c r="E804" s="113">
        <v>1E-3</v>
      </c>
      <c r="F804" s="113" t="s">
        <v>460</v>
      </c>
      <c r="G804" s="113">
        <v>4.0000000000000001E-3</v>
      </c>
      <c r="H804" s="277">
        <v>0.52083333333333337</v>
      </c>
      <c r="I804" s="400"/>
      <c r="J804" s="401"/>
      <c r="K804" s="402"/>
      <c r="L804" s="272">
        <v>0.3125</v>
      </c>
      <c r="M804" s="290"/>
      <c r="N804" s="195"/>
      <c r="O804" s="146" t="s">
        <v>813</v>
      </c>
      <c r="P804" s="147">
        <v>0.25</v>
      </c>
      <c r="Q804" s="180">
        <v>4.0533333333333338E-2</v>
      </c>
      <c r="R804" s="181">
        <v>1.4999999999999999E-2</v>
      </c>
      <c r="S804" s="150">
        <v>0.5</v>
      </c>
      <c r="T804" s="147">
        <v>7.5800000000000006E-2</v>
      </c>
      <c r="U804" s="182">
        <v>-22.632735849052334</v>
      </c>
      <c r="V804" s="183">
        <v>151.25</v>
      </c>
      <c r="W804" s="150">
        <v>2</v>
      </c>
      <c r="X804" s="184">
        <v>45.265471698104669</v>
      </c>
      <c r="Y804" s="185" t="s">
        <v>814</v>
      </c>
      <c r="Z804" s="185"/>
      <c r="AA804" s="91"/>
      <c r="AB804" s="91"/>
      <c r="AC804" s="91"/>
      <c r="AD804" s="91"/>
      <c r="AE804" s="91"/>
      <c r="AF804" s="91"/>
      <c r="AG804" s="91"/>
      <c r="AH804" s="91"/>
      <c r="AI804" s="91"/>
      <c r="AJ804" s="91"/>
      <c r="AK804" s="91"/>
      <c r="AL804" s="91"/>
      <c r="AM804" s="91"/>
      <c r="AN804" s="91"/>
    </row>
    <row r="805" spans="3:40" ht="24" x14ac:dyDescent="0.2">
      <c r="C805" s="195"/>
      <c r="D805" s="99">
        <v>45519</v>
      </c>
      <c r="E805" s="113">
        <v>4.0000000000000001E-3</v>
      </c>
      <c r="F805" s="113" t="s">
        <v>462</v>
      </c>
      <c r="G805" s="113">
        <v>5.0000000000000001E-3</v>
      </c>
      <c r="H805" s="277">
        <v>0.52083333333333337</v>
      </c>
      <c r="I805" s="400"/>
      <c r="J805" s="401"/>
      <c r="K805" s="402"/>
      <c r="L805" s="272">
        <v>0.3125</v>
      </c>
      <c r="M805" s="269"/>
      <c r="N805" s="195"/>
      <c r="O805" s="146" t="s">
        <v>813</v>
      </c>
      <c r="P805" s="147">
        <v>0.25</v>
      </c>
      <c r="Q805" s="180">
        <v>4.0533333333333338E-2</v>
      </c>
      <c r="R805" s="181">
        <v>1.4999999999999999E-2</v>
      </c>
      <c r="S805" s="150">
        <v>0.5</v>
      </c>
      <c r="T805" s="147">
        <v>7.5800000000000006E-2</v>
      </c>
      <c r="U805" s="182">
        <v>-22.009959016396646</v>
      </c>
      <c r="V805" s="183">
        <v>151.25</v>
      </c>
      <c r="W805" s="150">
        <v>2</v>
      </c>
      <c r="X805" s="184">
        <v>44.019918032793292</v>
      </c>
      <c r="Y805" s="185"/>
      <c r="Z805" s="185"/>
      <c r="AA805" s="91"/>
      <c r="AB805" s="91"/>
      <c r="AC805" s="91"/>
      <c r="AD805" s="91"/>
      <c r="AE805" s="91"/>
      <c r="AF805" s="91"/>
      <c r="AG805" s="91"/>
      <c r="AH805" s="91"/>
      <c r="AI805" s="91"/>
      <c r="AJ805" s="91"/>
      <c r="AK805" s="91"/>
      <c r="AL805" s="91"/>
      <c r="AM805" s="91"/>
      <c r="AN805" s="91"/>
    </row>
    <row r="806" spans="3:40" ht="24" x14ac:dyDescent="0.2">
      <c r="C806" s="195"/>
      <c r="D806" s="99">
        <v>45489</v>
      </c>
      <c r="E806" s="113">
        <v>4.0000000000000001E-3</v>
      </c>
      <c r="F806" s="113" t="s">
        <v>462</v>
      </c>
      <c r="G806" s="113">
        <v>1E-3</v>
      </c>
      <c r="H806" s="277">
        <v>0.52083333333333337</v>
      </c>
      <c r="I806" s="400"/>
      <c r="J806" s="401"/>
      <c r="K806" s="402"/>
      <c r="L806" s="272">
        <v>0.3125</v>
      </c>
      <c r="M806" s="269"/>
      <c r="N806" s="195"/>
      <c r="O806" s="146" t="s">
        <v>816</v>
      </c>
      <c r="P806" s="147"/>
      <c r="Q806" s="180"/>
      <c r="R806" s="181"/>
      <c r="S806" s="150"/>
      <c r="T806" s="147"/>
      <c r="U806" s="182">
        <v>-22.009959016396646</v>
      </c>
      <c r="V806" s="183"/>
      <c r="W806" s="150"/>
      <c r="X806" s="184">
        <v>44.019918032793292</v>
      </c>
      <c r="Y806" s="185"/>
      <c r="Z806" s="185"/>
      <c r="AA806" s="91"/>
      <c r="AB806" s="91"/>
      <c r="AC806" s="91"/>
      <c r="AD806" s="91"/>
      <c r="AE806" s="91"/>
      <c r="AF806" s="91"/>
      <c r="AG806" s="91"/>
      <c r="AH806" s="91"/>
      <c r="AI806" s="91"/>
      <c r="AJ806" s="91"/>
      <c r="AK806" s="91"/>
      <c r="AL806" s="91"/>
      <c r="AM806" s="91"/>
      <c r="AN806" s="91"/>
    </row>
    <row r="807" spans="3:40" ht="24" x14ac:dyDescent="0.2">
      <c r="C807" s="195"/>
      <c r="D807" s="99">
        <v>45461</v>
      </c>
      <c r="E807" s="113">
        <v>-1E-3</v>
      </c>
      <c r="F807" s="113" t="s">
        <v>460</v>
      </c>
      <c r="G807" s="113">
        <v>-1E-3</v>
      </c>
      <c r="H807" s="277">
        <v>0.52083333333333337</v>
      </c>
      <c r="I807" s="400"/>
      <c r="J807" s="401"/>
      <c r="K807" s="402"/>
      <c r="L807" s="272">
        <v>0.3125</v>
      </c>
      <c r="M807" s="269"/>
      <c r="N807" s="195"/>
      <c r="O807" s="91"/>
      <c r="P807" s="91"/>
      <c r="Q807" s="91"/>
      <c r="R807" s="91"/>
      <c r="S807" s="91"/>
      <c r="T807" s="91"/>
      <c r="U807" s="91"/>
      <c r="V807" s="91"/>
      <c r="W807" s="91"/>
      <c r="X807" s="91"/>
      <c r="Y807" s="91"/>
      <c r="Z807" s="91"/>
      <c r="AA807" s="91"/>
      <c r="AB807" s="91"/>
      <c r="AC807" s="91"/>
      <c r="AD807" s="91"/>
      <c r="AE807" s="91"/>
      <c r="AF807" s="91"/>
      <c r="AG807" s="91"/>
      <c r="AH807" s="91"/>
      <c r="AI807" s="91"/>
      <c r="AJ807" s="91"/>
      <c r="AK807" s="91"/>
      <c r="AL807" s="91"/>
      <c r="AM807" s="91"/>
      <c r="AN807" s="91"/>
    </row>
    <row r="808" spans="3:40" ht="25" thickBot="1" x14ac:dyDescent="0.25">
      <c r="C808" s="195"/>
      <c r="D808" s="143">
        <v>45427</v>
      </c>
      <c r="E808" s="298">
        <v>2E-3</v>
      </c>
      <c r="F808" s="298" t="s">
        <v>460</v>
      </c>
      <c r="G808" s="298">
        <v>8.9999999999999993E-3</v>
      </c>
      <c r="H808" s="291">
        <v>0.52083333333333337</v>
      </c>
      <c r="I808" s="403"/>
      <c r="J808" s="404"/>
      <c r="K808" s="405"/>
      <c r="L808" s="292">
        <v>0.3125</v>
      </c>
      <c r="M808" s="280"/>
      <c r="N808" s="195"/>
      <c r="O808" s="91"/>
      <c r="P808" s="91"/>
      <c r="Q808" s="91"/>
      <c r="R808" s="91"/>
      <c r="S808" s="91"/>
      <c r="T808" s="91"/>
      <c r="U808" s="91"/>
      <c r="V808" s="91"/>
      <c r="W808" s="91"/>
      <c r="X808" s="91"/>
      <c r="Y808" s="91"/>
      <c r="Z808" s="91"/>
      <c r="AA808" s="91"/>
      <c r="AB808" s="91"/>
      <c r="AC808" s="91"/>
      <c r="AD808" s="91"/>
      <c r="AE808" s="91"/>
      <c r="AF808" s="91"/>
      <c r="AG808" s="91"/>
      <c r="AH808" s="91"/>
      <c r="AI808" s="91"/>
      <c r="AJ808" s="91"/>
      <c r="AK808" s="91"/>
      <c r="AL808" s="91"/>
      <c r="AM808" s="91"/>
      <c r="AN808" s="91"/>
    </row>
    <row r="809" spans="3:40" ht="73" thickBot="1" x14ac:dyDescent="0.25">
      <c r="C809" s="93">
        <v>13</v>
      </c>
      <c r="D809" s="123" t="s">
        <v>30</v>
      </c>
      <c r="E809" s="363" t="s">
        <v>968</v>
      </c>
      <c r="F809" s="364"/>
      <c r="G809" s="365"/>
      <c r="H809" s="265" t="s">
        <v>790</v>
      </c>
      <c r="I809" s="406" t="s">
        <v>633</v>
      </c>
      <c r="J809" s="407"/>
      <c r="K809" s="408"/>
      <c r="L809" s="266" t="s">
        <v>430</v>
      </c>
      <c r="M809" s="267" t="s">
        <v>431</v>
      </c>
      <c r="N809" s="195" t="s">
        <v>105</v>
      </c>
      <c r="O809" s="145" t="s">
        <v>800</v>
      </c>
      <c r="P809" s="145" t="s">
        <v>801</v>
      </c>
      <c r="Q809" s="145" t="s">
        <v>802</v>
      </c>
      <c r="R809" s="145" t="s">
        <v>803</v>
      </c>
      <c r="S809" s="145" t="s">
        <v>804</v>
      </c>
      <c r="T809" s="145" t="s">
        <v>805</v>
      </c>
      <c r="U809" s="145" t="s">
        <v>806</v>
      </c>
      <c r="V809" s="145" t="s">
        <v>807</v>
      </c>
      <c r="W809" s="145" t="s">
        <v>808</v>
      </c>
      <c r="X809" s="145" t="s">
        <v>809</v>
      </c>
      <c r="Y809" s="145" t="s">
        <v>75</v>
      </c>
      <c r="Z809" s="145" t="s">
        <v>75</v>
      </c>
      <c r="AA809" s="91"/>
      <c r="AB809" s="91"/>
      <c r="AC809" s="91"/>
      <c r="AD809" s="91"/>
      <c r="AE809" s="91"/>
      <c r="AF809" s="91"/>
      <c r="AG809" s="91"/>
      <c r="AH809" s="91"/>
      <c r="AI809" s="91"/>
      <c r="AJ809" s="91"/>
      <c r="AK809" s="91"/>
      <c r="AL809" s="91"/>
      <c r="AM809" s="91"/>
      <c r="AN809" s="91"/>
    </row>
    <row r="810" spans="3:40" ht="24" x14ac:dyDescent="0.2">
      <c r="C810" s="195"/>
      <c r="D810" s="122" t="s">
        <v>432</v>
      </c>
      <c r="E810" s="342"/>
      <c r="F810" s="343"/>
      <c r="G810" s="344"/>
      <c r="H810" s="268" t="s">
        <v>794</v>
      </c>
      <c r="I810" s="397" t="s">
        <v>969</v>
      </c>
      <c r="J810" s="398"/>
      <c r="K810" s="399"/>
      <c r="L810" s="198"/>
      <c r="M810" s="269"/>
      <c r="N810" s="195"/>
      <c r="O810" s="146" t="s">
        <v>810</v>
      </c>
      <c r="P810" s="199">
        <v>0.1</v>
      </c>
      <c r="Q810" s="200">
        <v>2.7E-2</v>
      </c>
      <c r="R810" s="201">
        <v>1.5999999999991132E-2</v>
      </c>
      <c r="S810" s="150"/>
      <c r="T810" s="146">
        <v>5.6499999999991134E-2</v>
      </c>
      <c r="U810" s="200">
        <v>-13.31</v>
      </c>
      <c r="V810" s="199">
        <v>91.8</v>
      </c>
      <c r="W810" s="202">
        <v>2</v>
      </c>
      <c r="X810" s="184">
        <v>26.62</v>
      </c>
      <c r="Y810" s="151"/>
      <c r="Z810" s="151"/>
      <c r="AA810" s="91"/>
      <c r="AB810" s="91"/>
      <c r="AC810" s="91"/>
      <c r="AD810" s="91"/>
      <c r="AE810" s="91"/>
      <c r="AF810" s="91"/>
      <c r="AG810" s="91"/>
      <c r="AH810" s="91"/>
      <c r="AI810" s="91"/>
      <c r="AJ810" s="91"/>
      <c r="AK810" s="91"/>
      <c r="AL810" s="91"/>
      <c r="AM810" s="91"/>
      <c r="AN810" s="91"/>
    </row>
    <row r="811" spans="3:40" ht="24" x14ac:dyDescent="0.2">
      <c r="C811" s="195"/>
      <c r="D811" s="92" t="s">
        <v>433</v>
      </c>
      <c r="E811" s="357">
        <v>3.0000000000000001E-3</v>
      </c>
      <c r="F811" s="358"/>
      <c r="G811" s="359"/>
      <c r="H811" s="268" t="s">
        <v>795</v>
      </c>
      <c r="I811" s="400"/>
      <c r="J811" s="401"/>
      <c r="K811" s="402"/>
      <c r="L811" s="198"/>
      <c r="M811" s="269"/>
      <c r="N811" s="195"/>
      <c r="O811" s="152"/>
      <c r="P811" s="152"/>
      <c r="Q811" s="152"/>
      <c r="R811" s="153"/>
      <c r="S811" s="154"/>
      <c r="T811" s="152"/>
      <c r="U811" s="152"/>
      <c r="V811" s="152"/>
      <c r="W811" s="154"/>
      <c r="X811" s="154"/>
      <c r="Y811" s="155"/>
      <c r="Z811" s="155"/>
      <c r="AA811" s="91"/>
      <c r="AB811" s="91"/>
      <c r="AC811" s="91"/>
      <c r="AD811" s="91"/>
      <c r="AE811" s="91"/>
      <c r="AF811" s="91"/>
      <c r="AG811" s="91"/>
      <c r="AH811" s="91"/>
      <c r="AI811" s="91"/>
      <c r="AJ811" s="91"/>
      <c r="AK811" s="91"/>
      <c r="AL811" s="91"/>
      <c r="AM811" s="91"/>
      <c r="AN811" s="91"/>
    </row>
    <row r="812" spans="3:40" ht="24" x14ac:dyDescent="0.2">
      <c r="C812" s="195"/>
      <c r="D812" s="92" t="s">
        <v>434</v>
      </c>
      <c r="E812" s="357">
        <v>4.0000000000000001E-3</v>
      </c>
      <c r="F812" s="358"/>
      <c r="G812" s="359"/>
      <c r="H812" s="270"/>
      <c r="I812" s="400"/>
      <c r="J812" s="401"/>
      <c r="K812" s="402"/>
      <c r="L812" s="198"/>
      <c r="M812" s="269"/>
      <c r="N812" s="195"/>
      <c r="O812" s="156" t="s">
        <v>811</v>
      </c>
      <c r="P812" s="204">
        <v>0.1</v>
      </c>
      <c r="Q812" s="205">
        <v>7.6399999999999996E-2</v>
      </c>
      <c r="R812" s="206">
        <v>1.7000000000000001E-2</v>
      </c>
      <c r="S812" s="160">
        <v>1</v>
      </c>
      <c r="T812" s="156">
        <v>0.13159999999999999</v>
      </c>
      <c r="U812" s="161">
        <v>-31.00169911504911</v>
      </c>
      <c r="V812" s="162">
        <v>60.5</v>
      </c>
      <c r="W812" s="300">
        <v>4.3600000000000003</v>
      </c>
      <c r="X812" s="164">
        <v>135.16740814161412</v>
      </c>
      <c r="Y812" s="165"/>
      <c r="Z812" s="165">
        <v>4.4350000000000005</v>
      </c>
      <c r="AA812" s="91"/>
      <c r="AB812" s="91"/>
      <c r="AC812" s="91"/>
      <c r="AD812" s="91"/>
      <c r="AE812" s="91"/>
      <c r="AF812" s="91"/>
      <c r="AG812" s="91"/>
      <c r="AH812" s="91"/>
      <c r="AI812" s="91"/>
      <c r="AJ812" s="91"/>
      <c r="AK812" s="91"/>
      <c r="AL812" s="91"/>
      <c r="AM812" s="91"/>
      <c r="AN812" s="91"/>
    </row>
    <row r="813" spans="3:40" ht="25" thickBot="1" x14ac:dyDescent="0.25">
      <c r="C813" s="195"/>
      <c r="D813" s="94" t="s">
        <v>435</v>
      </c>
      <c r="E813" s="360">
        <v>0.5625</v>
      </c>
      <c r="F813" s="361"/>
      <c r="G813" s="362"/>
      <c r="H813" s="270"/>
      <c r="I813" s="400"/>
      <c r="J813" s="401"/>
      <c r="K813" s="402"/>
      <c r="L813" s="208">
        <v>0.79166666666666663</v>
      </c>
      <c r="M813" s="271">
        <v>0.64583333333333326</v>
      </c>
      <c r="N813" s="195"/>
      <c r="O813" s="166" t="s">
        <v>812</v>
      </c>
      <c r="P813" s="209">
        <v>0.1</v>
      </c>
      <c r="Q813" s="187">
        <v>6.6799999999999998E-2</v>
      </c>
      <c r="R813" s="210">
        <v>1.7000000000000001E-2</v>
      </c>
      <c r="S813" s="170">
        <v>1.5</v>
      </c>
      <c r="T813" s="211">
        <v>0.1172</v>
      </c>
      <c r="U813" s="171">
        <v>-41.414123893811812</v>
      </c>
      <c r="V813" s="172">
        <v>60.5</v>
      </c>
      <c r="W813" s="293">
        <v>5.9039999999999999</v>
      </c>
      <c r="X813" s="174">
        <v>244.50898746906495</v>
      </c>
      <c r="Y813" s="175"/>
      <c r="Z813" s="175"/>
      <c r="AA813" s="91"/>
      <c r="AB813" s="91"/>
      <c r="AC813" s="91"/>
      <c r="AD813" s="91"/>
      <c r="AE813" s="91"/>
      <c r="AF813" s="91"/>
      <c r="AG813" s="91"/>
      <c r="AH813" s="91"/>
      <c r="AI813" s="91"/>
      <c r="AJ813" s="91"/>
      <c r="AK813" s="91"/>
      <c r="AL813" s="91"/>
      <c r="AM813" s="91"/>
      <c r="AN813" s="91"/>
    </row>
    <row r="814" spans="3:40" ht="25" thickBot="1" x14ac:dyDescent="0.25">
      <c r="C814" s="195"/>
      <c r="D814" s="96" t="s">
        <v>436</v>
      </c>
      <c r="E814" s="97" t="s">
        <v>29</v>
      </c>
      <c r="F814" s="97" t="s">
        <v>28</v>
      </c>
      <c r="G814" s="98" t="s">
        <v>27</v>
      </c>
      <c r="H814" s="287" t="s">
        <v>793</v>
      </c>
      <c r="I814" s="400"/>
      <c r="J814" s="401"/>
      <c r="K814" s="402"/>
      <c r="L814" s="287"/>
      <c r="M814" s="288"/>
      <c r="N814" s="195"/>
      <c r="O814" s="154"/>
      <c r="P814" s="176"/>
      <c r="Q814" s="154"/>
      <c r="R814" s="154"/>
      <c r="S814" s="154"/>
      <c r="T814" s="154"/>
      <c r="U814" s="177"/>
      <c r="V814" s="178"/>
      <c r="W814" s="154"/>
      <c r="X814" s="177"/>
      <c r="Y814" s="155"/>
      <c r="Z814" s="155"/>
      <c r="AA814" s="91"/>
      <c r="AB814" s="91"/>
      <c r="AC814" s="91"/>
      <c r="AD814" s="91"/>
      <c r="AE814" s="91"/>
      <c r="AF814" s="91"/>
      <c r="AG814" s="91"/>
      <c r="AH814" s="91"/>
      <c r="AI814" s="91"/>
      <c r="AJ814" s="91"/>
      <c r="AK814" s="91"/>
      <c r="AL814" s="91"/>
      <c r="AM814" s="91"/>
      <c r="AN814" s="91"/>
    </row>
    <row r="815" spans="3:40" ht="24" x14ac:dyDescent="0.2">
      <c r="C815" s="195"/>
      <c r="D815" s="99">
        <v>45582</v>
      </c>
      <c r="E815" s="113">
        <v>4.0000000000000001E-3</v>
      </c>
      <c r="F815" s="113" t="s">
        <v>467</v>
      </c>
      <c r="G815" s="113">
        <v>1E-3</v>
      </c>
      <c r="H815" s="277">
        <v>0.52083333333333337</v>
      </c>
      <c r="I815" s="400"/>
      <c r="J815" s="401"/>
      <c r="K815" s="402"/>
      <c r="L815" s="272">
        <v>0.3125</v>
      </c>
      <c r="M815" s="289"/>
      <c r="N815" s="195"/>
      <c r="O815" s="179"/>
      <c r="P815" s="155"/>
      <c r="Q815" s="179"/>
      <c r="R815" s="179"/>
      <c r="S815" s="179"/>
      <c r="T815" s="179"/>
      <c r="U815" s="179"/>
      <c r="V815" s="179"/>
      <c r="W815" s="179"/>
      <c r="X815" s="179"/>
      <c r="Y815" s="155"/>
      <c r="Z815" s="155"/>
      <c r="AA815" s="91"/>
      <c r="AB815" s="91"/>
      <c r="AC815" s="91"/>
      <c r="AD815" s="91"/>
      <c r="AE815" s="91"/>
      <c r="AF815" s="91"/>
      <c r="AG815" s="91"/>
      <c r="AH815" s="91"/>
      <c r="AI815" s="91"/>
      <c r="AJ815" s="91"/>
      <c r="AK815" s="91"/>
      <c r="AL815" s="91"/>
      <c r="AM815" s="91"/>
      <c r="AN815" s="91"/>
    </row>
    <row r="816" spans="3:40" ht="24" x14ac:dyDescent="0.2">
      <c r="C816" s="195"/>
      <c r="D816" s="99">
        <v>45552</v>
      </c>
      <c r="E816" s="113">
        <v>1E-3</v>
      </c>
      <c r="F816" s="113" t="s">
        <v>461</v>
      </c>
      <c r="G816" s="113">
        <v>1.0999999999999999E-2</v>
      </c>
      <c r="H816" s="277">
        <v>0.52083333333333337</v>
      </c>
      <c r="I816" s="400"/>
      <c r="J816" s="401"/>
      <c r="K816" s="402"/>
      <c r="L816" s="272">
        <v>0.3125</v>
      </c>
      <c r="M816" s="290"/>
      <c r="N816" s="195"/>
      <c r="O816" s="146" t="s">
        <v>813</v>
      </c>
      <c r="P816" s="199">
        <v>0.06</v>
      </c>
      <c r="Q816" s="180">
        <v>7.1599999999999997E-2</v>
      </c>
      <c r="R816" s="181">
        <v>1.7000000000000001E-2</v>
      </c>
      <c r="S816" s="150">
        <v>2</v>
      </c>
      <c r="T816" s="156">
        <v>0.1244</v>
      </c>
      <c r="U816" s="182">
        <v>-35.166669026554196</v>
      </c>
      <c r="V816" s="183">
        <v>36.299999999999997</v>
      </c>
      <c r="W816" s="301">
        <v>4</v>
      </c>
      <c r="X816" s="184">
        <v>140.66667610621678</v>
      </c>
      <c r="Y816" s="185"/>
      <c r="Z816" s="185"/>
      <c r="AA816" s="91"/>
      <c r="AB816" s="91"/>
      <c r="AC816" s="91"/>
      <c r="AD816" s="91"/>
      <c r="AE816" s="91"/>
      <c r="AF816" s="91"/>
      <c r="AG816" s="91"/>
      <c r="AH816" s="91"/>
      <c r="AI816" s="91"/>
      <c r="AJ816" s="91"/>
      <c r="AK816" s="91"/>
      <c r="AL816" s="91"/>
      <c r="AM816" s="91"/>
      <c r="AN816" s="91"/>
    </row>
    <row r="817" spans="2:40" ht="24" x14ac:dyDescent="0.2">
      <c r="C817" s="195"/>
      <c r="D817" s="99">
        <v>45519</v>
      </c>
      <c r="E817" s="113">
        <v>0.01</v>
      </c>
      <c r="F817" s="113" t="s">
        <v>452</v>
      </c>
      <c r="G817" s="113">
        <v>-2E-3</v>
      </c>
      <c r="H817" s="277">
        <v>0.52083333333333337</v>
      </c>
      <c r="I817" s="400"/>
      <c r="J817" s="401"/>
      <c r="K817" s="402"/>
      <c r="L817" s="272">
        <v>0.3125</v>
      </c>
      <c r="M817" s="269"/>
      <c r="N817" s="195"/>
      <c r="O817" s="146" t="s">
        <v>813</v>
      </c>
      <c r="P817" s="199">
        <v>0.06</v>
      </c>
      <c r="Q817" s="180">
        <v>7.1599999999999997E-2</v>
      </c>
      <c r="R817" s="181">
        <v>1.7000000000000001E-2</v>
      </c>
      <c r="S817" s="150">
        <v>2</v>
      </c>
      <c r="T817" s="156">
        <v>0.1244</v>
      </c>
      <c r="U817" s="182">
        <v>-35.166669026554196</v>
      </c>
      <c r="V817" s="183">
        <v>36.299999999999997</v>
      </c>
      <c r="W817" s="301">
        <v>4</v>
      </c>
      <c r="X817" s="184">
        <v>140.66667610621678</v>
      </c>
      <c r="Y817" s="185"/>
      <c r="Z817" s="185"/>
      <c r="AA817" s="91"/>
      <c r="AB817" s="91"/>
      <c r="AC817" s="91"/>
      <c r="AD817" s="91"/>
      <c r="AE817" s="91"/>
      <c r="AF817" s="91"/>
      <c r="AG817" s="91"/>
      <c r="AH817" s="91"/>
      <c r="AI817" s="91"/>
      <c r="AJ817" s="91"/>
      <c r="AK817" s="91"/>
      <c r="AL817" s="91"/>
      <c r="AM817" s="91"/>
      <c r="AN817" s="91"/>
    </row>
    <row r="818" spans="2:40" ht="24" x14ac:dyDescent="0.2">
      <c r="C818" s="195"/>
      <c r="D818" s="99">
        <v>45489</v>
      </c>
      <c r="E818" s="113">
        <v>0</v>
      </c>
      <c r="F818" s="113" t="s">
        <v>454</v>
      </c>
      <c r="G818" s="113">
        <v>3.0000000000000001E-3</v>
      </c>
      <c r="H818" s="277">
        <v>0.52083333333333337</v>
      </c>
      <c r="I818" s="400"/>
      <c r="J818" s="401"/>
      <c r="K818" s="402"/>
      <c r="L818" s="272">
        <v>0.3125</v>
      </c>
      <c r="M818" s="269"/>
      <c r="N818" s="195"/>
      <c r="O818" s="146" t="s">
        <v>816</v>
      </c>
      <c r="P818" s="147"/>
      <c r="Q818" s="180"/>
      <c r="R818" s="181"/>
      <c r="S818" s="150"/>
      <c r="T818" s="147"/>
      <c r="U818" s="182"/>
      <c r="V818" s="183"/>
      <c r="W818" s="150"/>
      <c r="X818" s="184"/>
      <c r="Y818" s="185"/>
      <c r="Z818" s="185"/>
      <c r="AA818" s="91"/>
      <c r="AB818" s="91"/>
      <c r="AC818" s="91"/>
      <c r="AD818" s="91"/>
      <c r="AE818" s="91"/>
      <c r="AF818" s="91"/>
      <c r="AG818" s="91"/>
      <c r="AH818" s="91"/>
      <c r="AI818" s="91"/>
      <c r="AJ818" s="91"/>
      <c r="AK818" s="91"/>
      <c r="AL818" s="91"/>
      <c r="AM818" s="91"/>
      <c r="AN818" s="91"/>
    </row>
    <row r="819" spans="2:40" ht="24" x14ac:dyDescent="0.2">
      <c r="C819" s="195"/>
      <c r="D819" s="99">
        <v>45461</v>
      </c>
      <c r="E819" s="113">
        <v>1E-3</v>
      </c>
      <c r="F819" s="113" t="s">
        <v>467</v>
      </c>
      <c r="G819" s="113">
        <v>-2E-3</v>
      </c>
      <c r="H819" s="277">
        <v>0.52083333333333337</v>
      </c>
      <c r="I819" s="400"/>
      <c r="J819" s="401"/>
      <c r="K819" s="402"/>
      <c r="L819" s="272">
        <v>0.3125</v>
      </c>
      <c r="M819" s="269"/>
      <c r="N819" s="195"/>
      <c r="O819" s="91"/>
      <c r="P819" s="91"/>
      <c r="Q819" s="91"/>
      <c r="R819" s="91"/>
      <c r="S819" s="91"/>
      <c r="T819" s="91"/>
      <c r="U819" s="91"/>
      <c r="V819" s="91"/>
      <c r="W819" s="91"/>
      <c r="X819" s="91"/>
      <c r="Y819" s="91"/>
      <c r="Z819" s="91"/>
      <c r="AA819" s="91"/>
      <c r="AB819" s="91"/>
      <c r="AC819" s="91"/>
      <c r="AD819" s="91"/>
      <c r="AE819" s="91"/>
      <c r="AF819" s="91"/>
      <c r="AG819" s="91"/>
      <c r="AH819" s="91"/>
      <c r="AI819" s="91"/>
      <c r="AJ819" s="91"/>
      <c r="AK819" s="91"/>
      <c r="AL819" s="91"/>
      <c r="AM819" s="91"/>
      <c r="AN819" s="91"/>
    </row>
    <row r="820" spans="2:40" ht="25" thickBot="1" x14ac:dyDescent="0.25">
      <c r="C820" s="195"/>
      <c r="D820" s="143">
        <v>45427</v>
      </c>
      <c r="E820" s="298">
        <v>0</v>
      </c>
      <c r="F820" s="298" t="s">
        <v>452</v>
      </c>
      <c r="G820" s="298">
        <v>6.0000000000000001E-3</v>
      </c>
      <c r="H820" s="291">
        <v>0.52083333333333337</v>
      </c>
      <c r="I820" s="403"/>
      <c r="J820" s="404"/>
      <c r="K820" s="405"/>
      <c r="L820" s="292">
        <v>0.3125</v>
      </c>
      <c r="M820" s="280"/>
      <c r="N820" s="195"/>
      <c r="O820" s="91"/>
      <c r="P820" s="91"/>
      <c r="Q820" s="91"/>
      <c r="R820" s="91"/>
      <c r="S820" s="91"/>
      <c r="T820" s="91"/>
      <c r="U820" s="91"/>
      <c r="V820" s="91"/>
      <c r="W820" s="91"/>
      <c r="X820" s="91"/>
      <c r="Y820" s="91"/>
      <c r="Z820" s="91"/>
      <c r="AA820" s="91"/>
      <c r="AB820" s="91"/>
      <c r="AC820" s="91"/>
      <c r="AD820" s="91"/>
      <c r="AE820" s="91"/>
      <c r="AF820" s="91"/>
      <c r="AG820" s="91"/>
      <c r="AH820" s="91"/>
      <c r="AI820" s="91"/>
      <c r="AJ820" s="91"/>
      <c r="AK820" s="91"/>
      <c r="AL820" s="91"/>
      <c r="AM820" s="91"/>
      <c r="AN820" s="91"/>
    </row>
    <row r="821" spans="2:40" ht="73" thickBot="1" x14ac:dyDescent="0.25">
      <c r="B821" s="93" t="s">
        <v>105</v>
      </c>
      <c r="C821" s="93">
        <v>1</v>
      </c>
      <c r="D821" s="123" t="s">
        <v>30</v>
      </c>
      <c r="E821" s="363" t="s">
        <v>1005</v>
      </c>
      <c r="F821" s="364"/>
      <c r="G821" s="365"/>
      <c r="H821" s="265" t="s">
        <v>790</v>
      </c>
      <c r="I821" s="406" t="s">
        <v>633</v>
      </c>
      <c r="J821" s="407"/>
      <c r="K821" s="408"/>
      <c r="L821" s="266" t="s">
        <v>430</v>
      </c>
      <c r="M821" s="267" t="s">
        <v>431</v>
      </c>
      <c r="N821" s="195" t="s">
        <v>105</v>
      </c>
      <c r="O821" s="145" t="s">
        <v>800</v>
      </c>
      <c r="P821" s="145" t="s">
        <v>801</v>
      </c>
      <c r="Q821" s="145" t="s">
        <v>802</v>
      </c>
      <c r="R821" s="145" t="s">
        <v>803</v>
      </c>
      <c r="S821" s="145" t="s">
        <v>804</v>
      </c>
      <c r="T821" s="145" t="s">
        <v>805</v>
      </c>
      <c r="U821" s="145" t="s">
        <v>806</v>
      </c>
      <c r="V821" s="145" t="s">
        <v>807</v>
      </c>
      <c r="W821" s="145" t="s">
        <v>808</v>
      </c>
      <c r="X821" s="145" t="s">
        <v>809</v>
      </c>
      <c r="Y821" s="145" t="s">
        <v>75</v>
      </c>
      <c r="Z821" s="145" t="s">
        <v>75</v>
      </c>
    </row>
    <row r="822" spans="2:40" ht="24" x14ac:dyDescent="0.2">
      <c r="C822" s="93"/>
      <c r="D822" s="122" t="s">
        <v>432</v>
      </c>
      <c r="E822" s="342"/>
      <c r="F822" s="343"/>
      <c r="G822" s="344"/>
      <c r="H822" s="268" t="s">
        <v>906</v>
      </c>
      <c r="I822" s="397" t="s">
        <v>1006</v>
      </c>
      <c r="J822" s="398"/>
      <c r="K822" s="399"/>
      <c r="L822" s="198"/>
      <c r="M822" s="269"/>
      <c r="N822" s="195"/>
      <c r="O822" s="146" t="s">
        <v>810</v>
      </c>
      <c r="P822" s="199">
        <v>0.1</v>
      </c>
      <c r="Q822" s="200">
        <v>2.1000000000000001E-4</v>
      </c>
      <c r="R822" s="201">
        <v>1.4000000000002899E-4</v>
      </c>
      <c r="S822" s="150"/>
      <c r="T822" s="146">
        <v>4.55000000000029E-4</v>
      </c>
      <c r="U822" s="200">
        <v>-16.510000000000002</v>
      </c>
      <c r="V822" s="199">
        <v>60.5</v>
      </c>
      <c r="W822" s="202">
        <v>2</v>
      </c>
      <c r="X822" s="184">
        <v>33.020000000000003</v>
      </c>
      <c r="Y822" s="151"/>
      <c r="Z822" s="151"/>
    </row>
    <row r="823" spans="2:40" ht="24" x14ac:dyDescent="0.2">
      <c r="C823" s="93"/>
      <c r="D823" s="92" t="s">
        <v>433</v>
      </c>
      <c r="E823" s="357">
        <v>0.02</v>
      </c>
      <c r="F823" s="358"/>
      <c r="G823" s="359"/>
      <c r="H823" s="268" t="s">
        <v>907</v>
      </c>
      <c r="I823" s="400"/>
      <c r="J823" s="401"/>
      <c r="K823" s="402"/>
      <c r="L823" s="198"/>
      <c r="M823" s="269"/>
      <c r="N823" s="195"/>
      <c r="O823" s="152"/>
      <c r="P823" s="152"/>
      <c r="Q823" s="152"/>
      <c r="R823" s="153"/>
      <c r="S823" s="154"/>
      <c r="T823" s="152"/>
      <c r="U823" s="152"/>
      <c r="V823" s="152"/>
      <c r="W823" s="154"/>
      <c r="X823" s="154"/>
      <c r="Y823" s="155"/>
      <c r="Z823" s="155"/>
    </row>
    <row r="824" spans="2:40" ht="24" x14ac:dyDescent="0.2">
      <c r="C824" s="93"/>
      <c r="D824" s="92" t="s">
        <v>434</v>
      </c>
      <c r="E824" s="357">
        <v>0.02</v>
      </c>
      <c r="F824" s="358"/>
      <c r="G824" s="359"/>
      <c r="H824" s="270"/>
      <c r="I824" s="400"/>
      <c r="J824" s="401"/>
      <c r="K824" s="402"/>
      <c r="L824" s="198"/>
      <c r="M824" s="269"/>
      <c r="N824" s="195"/>
      <c r="O824" s="156" t="s">
        <v>811</v>
      </c>
      <c r="P824" s="204">
        <v>0.1</v>
      </c>
      <c r="Q824" s="205">
        <v>2.9999999999999997E-4</v>
      </c>
      <c r="R824" s="206">
        <v>2.0000000000000001E-4</v>
      </c>
      <c r="S824" s="160">
        <v>1</v>
      </c>
      <c r="T824" s="156">
        <v>6.4999999999999997E-4</v>
      </c>
      <c r="U824" s="161">
        <v>-23.585714285712783</v>
      </c>
      <c r="V824" s="162">
        <v>60.5</v>
      </c>
      <c r="W824" s="207">
        <v>1.48</v>
      </c>
      <c r="X824" s="164">
        <v>34.906857142854918</v>
      </c>
      <c r="Y824" s="165"/>
      <c r="Z824" s="165"/>
    </row>
    <row r="825" spans="2:40" ht="25" thickBot="1" x14ac:dyDescent="0.25">
      <c r="C825" s="93"/>
      <c r="D825" s="94" t="s">
        <v>435</v>
      </c>
      <c r="E825" s="360">
        <v>0.41666666666666674</v>
      </c>
      <c r="F825" s="361"/>
      <c r="G825" s="362"/>
      <c r="H825" s="294">
        <v>0.2083333333333334</v>
      </c>
      <c r="I825" s="400"/>
      <c r="J825" s="401"/>
      <c r="K825" s="402"/>
      <c r="L825" s="208">
        <v>0.64583333333333337</v>
      </c>
      <c r="M825" s="271">
        <v>0.5</v>
      </c>
      <c r="N825" s="195"/>
      <c r="O825" s="166" t="s">
        <v>812</v>
      </c>
      <c r="P825" s="209">
        <v>0.1</v>
      </c>
      <c r="Q825" s="187">
        <v>2.6666666666666663E-4</v>
      </c>
      <c r="R825" s="210">
        <v>2.0000000000000001E-4</v>
      </c>
      <c r="S825" s="170">
        <v>1</v>
      </c>
      <c r="T825" s="211">
        <v>5.9999999999999995E-4</v>
      </c>
      <c r="U825" s="171">
        <v>-21.771428571427183</v>
      </c>
      <c r="V825" s="172">
        <v>60.5</v>
      </c>
      <c r="W825" s="212">
        <v>1.75</v>
      </c>
      <c r="X825" s="174">
        <v>38.099999999997571</v>
      </c>
      <c r="Y825" s="175"/>
      <c r="Z825" s="175"/>
    </row>
    <row r="826" spans="2:40" ht="25" thickBot="1" x14ac:dyDescent="0.25">
      <c r="C826" s="93"/>
      <c r="D826" s="96" t="s">
        <v>436</v>
      </c>
      <c r="E826" s="97" t="s">
        <v>29</v>
      </c>
      <c r="F826" s="97" t="s">
        <v>28</v>
      </c>
      <c r="G826" s="98" t="s">
        <v>27</v>
      </c>
      <c r="H826" s="287" t="s">
        <v>793</v>
      </c>
      <c r="I826" s="400"/>
      <c r="J826" s="401"/>
      <c r="K826" s="402"/>
      <c r="L826" s="287" t="s">
        <v>1002</v>
      </c>
      <c r="M826" s="288"/>
      <c r="N826" s="195"/>
      <c r="O826" s="154"/>
      <c r="P826" s="176"/>
      <c r="Q826" s="154"/>
      <c r="R826" s="154"/>
      <c r="S826" s="154"/>
      <c r="T826" s="154"/>
      <c r="U826" s="177"/>
      <c r="V826" s="178"/>
      <c r="W826" s="154"/>
      <c r="X826" s="177"/>
      <c r="Y826" s="155"/>
      <c r="Z826" s="155"/>
    </row>
    <row r="827" spans="2:40" ht="24" x14ac:dyDescent="0.2">
      <c r="C827" s="93"/>
      <c r="D827" s="99">
        <v>45596</v>
      </c>
      <c r="E827" s="113">
        <v>0.02</v>
      </c>
      <c r="F827" s="113" t="s">
        <v>789</v>
      </c>
      <c r="G827" s="113">
        <v>1.7000000000000001E-2</v>
      </c>
      <c r="H827" s="277">
        <v>0.41666666666666674</v>
      </c>
      <c r="I827" s="400"/>
      <c r="J827" s="401"/>
      <c r="K827" s="402"/>
      <c r="L827" s="272">
        <v>0.2083333333333334</v>
      </c>
      <c r="M827" s="289"/>
      <c r="N827" s="195"/>
      <c r="O827" s="179"/>
      <c r="P827" s="155"/>
      <c r="Q827" s="179"/>
      <c r="R827" s="179"/>
      <c r="S827" s="179"/>
      <c r="T827" s="179"/>
      <c r="U827" s="179"/>
      <c r="V827" s="179"/>
      <c r="W827" s="179"/>
      <c r="X827" s="179"/>
      <c r="Y827" s="155"/>
      <c r="Z827" s="155"/>
    </row>
    <row r="828" spans="2:40" ht="24" x14ac:dyDescent="0.2">
      <c r="C828" s="93"/>
      <c r="D828" s="99">
        <v>45582</v>
      </c>
      <c r="E828" s="113">
        <v>1.7000000000000001E-2</v>
      </c>
      <c r="F828" s="113" t="s">
        <v>895</v>
      </c>
      <c r="G828" s="113">
        <v>2.1999999999999999E-2</v>
      </c>
      <c r="H828" s="277">
        <v>0.375</v>
      </c>
      <c r="I828" s="400"/>
      <c r="J828" s="401"/>
      <c r="K828" s="402"/>
      <c r="L828" s="272">
        <v>0.16666666666666666</v>
      </c>
      <c r="M828" s="290"/>
      <c r="N828" s="195"/>
      <c r="O828" s="146" t="s">
        <v>813</v>
      </c>
      <c r="P828" s="199">
        <v>-0.05</v>
      </c>
      <c r="Q828" s="180">
        <v>2.833333333333333E-4</v>
      </c>
      <c r="R828" s="181">
        <v>2.0000000000000001E-4</v>
      </c>
      <c r="S828" s="150">
        <v>-1</v>
      </c>
      <c r="T828" s="156">
        <v>6.249999999999999E-4</v>
      </c>
      <c r="U828" s="182">
        <v>-11.339285714284991</v>
      </c>
      <c r="V828" s="183">
        <v>-30.25</v>
      </c>
      <c r="W828" s="150">
        <v>1.5</v>
      </c>
      <c r="X828" s="184">
        <v>17.008928571427486</v>
      </c>
      <c r="Y828" s="185"/>
      <c r="Z828" s="185" t="s">
        <v>1055</v>
      </c>
    </row>
    <row r="829" spans="2:40" ht="24" x14ac:dyDescent="0.2">
      <c r="C829" s="93"/>
      <c r="D829" s="99">
        <v>45566</v>
      </c>
      <c r="E829" s="113">
        <v>1.7999999999999999E-2</v>
      </c>
      <c r="F829" s="113" t="s">
        <v>895</v>
      </c>
      <c r="G829" s="113">
        <v>2.1999999999999999E-2</v>
      </c>
      <c r="H829" s="277">
        <v>0.375</v>
      </c>
      <c r="I829" s="400"/>
      <c r="J829" s="401"/>
      <c r="K829" s="402"/>
      <c r="L829" s="272">
        <v>0.16666666666666666</v>
      </c>
      <c r="M829" s="269"/>
      <c r="N829" s="195"/>
      <c r="O829" s="146"/>
      <c r="P829" s="199"/>
      <c r="Q829" s="180"/>
      <c r="R829" s="181"/>
      <c r="S829" s="150"/>
      <c r="T829" s="156"/>
      <c r="U829" s="182"/>
      <c r="V829" s="183"/>
      <c r="W829" s="150"/>
      <c r="X829" s="184"/>
      <c r="Y829" s="185"/>
      <c r="Z829" s="185"/>
    </row>
    <row r="830" spans="2:40" ht="24" x14ac:dyDescent="0.2">
      <c r="C830" s="93"/>
      <c r="D830" s="99">
        <v>45553</v>
      </c>
      <c r="E830" s="113">
        <v>2.1999999999999999E-2</v>
      </c>
      <c r="F830" s="113" t="s">
        <v>490</v>
      </c>
      <c r="G830" s="113">
        <v>2.5999999999999999E-2</v>
      </c>
      <c r="H830" s="277">
        <v>0.375</v>
      </c>
      <c r="I830" s="400"/>
      <c r="J830" s="401"/>
      <c r="K830" s="402"/>
      <c r="L830" s="272">
        <v>0.16666666666666666</v>
      </c>
      <c r="M830" s="269"/>
      <c r="N830" s="195"/>
      <c r="O830" s="146"/>
      <c r="P830" s="147"/>
      <c r="Q830" s="180"/>
      <c r="R830" s="181"/>
      <c r="S830" s="150"/>
      <c r="T830" s="147"/>
      <c r="U830" s="182"/>
      <c r="V830" s="183"/>
      <c r="W830" s="150"/>
      <c r="X830" s="184"/>
      <c r="Y830" s="185"/>
      <c r="Z830" s="185"/>
    </row>
    <row r="831" spans="2:40" ht="24" x14ac:dyDescent="0.2">
      <c r="C831" s="93"/>
      <c r="D831" s="99">
        <v>45534</v>
      </c>
      <c r="E831" s="113">
        <v>2.1999999999999999E-2</v>
      </c>
      <c r="F831" s="113" t="s">
        <v>490</v>
      </c>
      <c r="G831" s="113">
        <v>2.5999999999999999E-2</v>
      </c>
      <c r="H831" s="277">
        <v>0.375</v>
      </c>
      <c r="I831" s="400"/>
      <c r="J831" s="401"/>
      <c r="K831" s="402"/>
      <c r="L831" s="272">
        <v>0.16666666666666666</v>
      </c>
      <c r="M831" s="269"/>
      <c r="N831" s="195"/>
      <c r="O831" s="91"/>
      <c r="P831" s="91"/>
      <c r="Q831" s="91"/>
      <c r="R831" s="91"/>
      <c r="S831" s="91"/>
      <c r="T831" s="91"/>
      <c r="U831" s="91"/>
      <c r="V831" s="91"/>
      <c r="W831" s="91"/>
      <c r="X831" s="91"/>
      <c r="Y831" s="91"/>
      <c r="Z831" s="91"/>
    </row>
    <row r="832" spans="2:40" ht="25" thickBot="1" x14ac:dyDescent="0.25">
      <c r="C832" s="93"/>
      <c r="D832" s="99">
        <v>45524</v>
      </c>
      <c r="E832" s="113">
        <v>2.5999999999999999E-2</v>
      </c>
      <c r="F832" s="113" t="s">
        <v>493</v>
      </c>
      <c r="G832" s="113">
        <v>2.5000000000000001E-2</v>
      </c>
      <c r="H832" s="291">
        <v>0.375</v>
      </c>
      <c r="I832" s="403"/>
      <c r="J832" s="404"/>
      <c r="K832" s="405"/>
      <c r="L832" s="272">
        <v>0.16666666666666666</v>
      </c>
      <c r="M832" s="280"/>
      <c r="N832" s="195"/>
      <c r="O832" s="91"/>
      <c r="P832" s="91"/>
      <c r="Q832" s="91"/>
      <c r="R832" s="91"/>
      <c r="S832" s="91"/>
      <c r="T832" s="91"/>
      <c r="U832" s="91"/>
      <c r="V832" s="91"/>
      <c r="W832" s="91"/>
      <c r="X832" s="91"/>
      <c r="Y832" s="91"/>
      <c r="Z832" s="91"/>
    </row>
    <row r="833" spans="3:26" ht="73" thickBot="1" x14ac:dyDescent="0.25">
      <c r="C833" s="93">
        <v>2</v>
      </c>
      <c r="D833" s="123" t="s">
        <v>30</v>
      </c>
      <c r="E833" s="363" t="s">
        <v>1007</v>
      </c>
      <c r="F833" s="364"/>
      <c r="G833" s="365"/>
      <c r="H833" s="265" t="s">
        <v>790</v>
      </c>
      <c r="I833" s="406" t="s">
        <v>633</v>
      </c>
      <c r="J833" s="407"/>
      <c r="K833" s="408"/>
      <c r="L833" s="266" t="s">
        <v>430</v>
      </c>
      <c r="M833" s="267" t="s">
        <v>431</v>
      </c>
      <c r="N833" s="195" t="s">
        <v>105</v>
      </c>
      <c r="O833" s="145" t="s">
        <v>800</v>
      </c>
      <c r="P833" s="145" t="s">
        <v>801</v>
      </c>
      <c r="Q833" s="145" t="s">
        <v>802</v>
      </c>
      <c r="R833" s="145" t="s">
        <v>803</v>
      </c>
      <c r="S833" s="145" t="s">
        <v>804</v>
      </c>
      <c r="T833" s="145" t="s">
        <v>805</v>
      </c>
      <c r="U833" s="145" t="s">
        <v>806</v>
      </c>
      <c r="V833" s="145" t="s">
        <v>807</v>
      </c>
      <c r="W833" s="145" t="s">
        <v>808</v>
      </c>
      <c r="X833" s="145" t="s">
        <v>809</v>
      </c>
      <c r="Y833" s="145" t="s">
        <v>75</v>
      </c>
      <c r="Z833" s="145" t="s">
        <v>75</v>
      </c>
    </row>
    <row r="834" spans="3:26" ht="24" x14ac:dyDescent="0.2">
      <c r="C834" s="93"/>
      <c r="D834" s="122" t="s">
        <v>432</v>
      </c>
      <c r="E834" s="342"/>
      <c r="F834" s="343"/>
      <c r="G834" s="344"/>
      <c r="H834" s="268" t="s">
        <v>1056</v>
      </c>
      <c r="I834" s="397" t="s">
        <v>1008</v>
      </c>
      <c r="J834" s="398"/>
      <c r="K834" s="399"/>
      <c r="L834" s="198"/>
      <c r="M834" s="269"/>
      <c r="N834" s="195"/>
      <c r="O834" s="146" t="s">
        <v>810</v>
      </c>
      <c r="P834" s="199">
        <v>0.1</v>
      </c>
      <c r="Q834" s="200">
        <v>2.0000000000000001E-4</v>
      </c>
      <c r="R834" s="201">
        <v>1.7000000000000348E-4</v>
      </c>
      <c r="S834" s="150"/>
      <c r="T834" s="146">
        <v>4.7000000000000351E-4</v>
      </c>
      <c r="U834" s="200">
        <v>-12.97</v>
      </c>
      <c r="V834" s="199">
        <v>60.5</v>
      </c>
      <c r="W834" s="202">
        <v>2</v>
      </c>
      <c r="X834" s="184">
        <v>25.94</v>
      </c>
      <c r="Y834" s="151"/>
      <c r="Z834" s="151"/>
    </row>
    <row r="835" spans="3:26" ht="24" x14ac:dyDescent="0.2">
      <c r="C835" s="93"/>
      <c r="D835" s="92" t="s">
        <v>433</v>
      </c>
      <c r="E835" s="357">
        <v>0</v>
      </c>
      <c r="F835" s="358"/>
      <c r="G835" s="359"/>
      <c r="H835" s="268" t="s">
        <v>1057</v>
      </c>
      <c r="I835" s="400"/>
      <c r="J835" s="401"/>
      <c r="K835" s="402"/>
      <c r="L835" s="198"/>
      <c r="M835" s="269"/>
      <c r="N835" s="195"/>
      <c r="O835" s="152"/>
      <c r="P835" s="152"/>
      <c r="Q835" s="152"/>
      <c r="R835" s="153"/>
      <c r="S835" s="154"/>
      <c r="T835" s="152"/>
      <c r="U835" s="152"/>
      <c r="V835" s="152"/>
      <c r="W835" s="154"/>
      <c r="X835" s="154"/>
      <c r="Y835" s="155"/>
      <c r="Z835" s="155"/>
    </row>
    <row r="836" spans="3:26" ht="24" x14ac:dyDescent="0.2">
      <c r="C836" s="93"/>
      <c r="D836" s="92" t="s">
        <v>434</v>
      </c>
      <c r="E836" s="357">
        <v>1.6E-2</v>
      </c>
      <c r="F836" s="358"/>
      <c r="G836" s="359"/>
      <c r="H836" s="270"/>
      <c r="I836" s="400"/>
      <c r="J836" s="401"/>
      <c r="K836" s="402"/>
      <c r="L836" s="198"/>
      <c r="M836" s="269"/>
      <c r="N836" s="195"/>
      <c r="O836" s="156" t="s">
        <v>811</v>
      </c>
      <c r="P836" s="204">
        <v>0.1</v>
      </c>
      <c r="Q836" s="205">
        <v>5.9999999999999995E-4</v>
      </c>
      <c r="R836" s="206">
        <v>2.5000000000000001E-4</v>
      </c>
      <c r="S836" s="160">
        <v>1</v>
      </c>
      <c r="T836" s="156">
        <v>1.15E-3</v>
      </c>
      <c r="U836" s="161">
        <v>-31.735106382978486</v>
      </c>
      <c r="V836" s="162">
        <v>60.5</v>
      </c>
      <c r="W836" s="207">
        <v>3.28</v>
      </c>
      <c r="X836" s="164">
        <v>104.09114893616943</v>
      </c>
      <c r="Y836" s="165"/>
      <c r="Z836" s="165"/>
    </row>
    <row r="837" spans="3:26" ht="25" thickBot="1" x14ac:dyDescent="0.25">
      <c r="C837" s="93"/>
      <c r="D837" s="94" t="s">
        <v>435</v>
      </c>
      <c r="E837" s="360">
        <v>0.5625</v>
      </c>
      <c r="F837" s="361"/>
      <c r="G837" s="362"/>
      <c r="H837" s="294">
        <v>0.35416666666666663</v>
      </c>
      <c r="I837" s="400"/>
      <c r="J837" s="401"/>
      <c r="K837" s="402"/>
      <c r="L837" s="208">
        <v>0.79166666666666663</v>
      </c>
      <c r="M837" s="271">
        <v>0.64583333333333326</v>
      </c>
      <c r="N837" s="195"/>
      <c r="O837" s="166" t="s">
        <v>812</v>
      </c>
      <c r="P837" s="209">
        <v>0.1</v>
      </c>
      <c r="Q837" s="187">
        <v>6.333333333333333E-4</v>
      </c>
      <c r="R837" s="210">
        <v>2.5000000000000001E-4</v>
      </c>
      <c r="S837" s="170">
        <v>1</v>
      </c>
      <c r="T837" s="211">
        <v>1.1999999999999999E-3</v>
      </c>
      <c r="U837" s="171">
        <v>-33.114893617021025</v>
      </c>
      <c r="V837" s="172">
        <v>60.5</v>
      </c>
      <c r="W837" s="212">
        <v>2.97</v>
      </c>
      <c r="X837" s="174">
        <v>98.351234042552448</v>
      </c>
      <c r="Y837" s="175"/>
      <c r="Z837" s="175"/>
    </row>
    <row r="838" spans="3:26" ht="25" thickBot="1" x14ac:dyDescent="0.25">
      <c r="C838" s="93"/>
      <c r="D838" s="96" t="s">
        <v>436</v>
      </c>
      <c r="E838" s="97" t="s">
        <v>29</v>
      </c>
      <c r="F838" s="97" t="s">
        <v>28</v>
      </c>
      <c r="G838" s="98" t="s">
        <v>27</v>
      </c>
      <c r="H838" s="287" t="s">
        <v>793</v>
      </c>
      <c r="I838" s="400"/>
      <c r="J838" s="401"/>
      <c r="K838" s="402"/>
      <c r="L838" s="287" t="s">
        <v>1002</v>
      </c>
      <c r="M838" s="288"/>
      <c r="N838" s="195"/>
      <c r="O838" s="154"/>
      <c r="P838" s="176"/>
      <c r="Q838" s="154"/>
      <c r="R838" s="154"/>
      <c r="S838" s="154"/>
      <c r="T838" s="154"/>
      <c r="U838" s="177"/>
      <c r="V838" s="178"/>
      <c r="W838" s="154"/>
      <c r="X838" s="177"/>
      <c r="Y838" s="155"/>
      <c r="Z838" s="155"/>
    </row>
    <row r="839" spans="3:26" ht="24" x14ac:dyDescent="0.2">
      <c r="C839" s="93"/>
      <c r="D839" s="99">
        <v>45580</v>
      </c>
      <c r="E839" s="113">
        <v>1.6E-2</v>
      </c>
      <c r="F839" s="113" t="s">
        <v>895</v>
      </c>
      <c r="G839" s="113">
        <v>0.02</v>
      </c>
      <c r="H839" s="277">
        <v>0.52083333333333337</v>
      </c>
      <c r="I839" s="400"/>
      <c r="J839" s="401"/>
      <c r="K839" s="402"/>
      <c r="L839" s="272">
        <v>0.3125</v>
      </c>
      <c r="M839" s="289"/>
      <c r="N839" s="195"/>
      <c r="O839" s="179"/>
      <c r="P839" s="155"/>
      <c r="Q839" s="179"/>
      <c r="R839" s="179"/>
      <c r="S839" s="179"/>
      <c r="T839" s="179"/>
      <c r="U839" s="179"/>
      <c r="V839" s="179"/>
      <c r="W839" s="179"/>
      <c r="X839" s="179"/>
      <c r="Y839" s="155"/>
      <c r="Z839" s="155"/>
    </row>
    <row r="840" spans="3:26" ht="24" x14ac:dyDescent="0.2">
      <c r="C840" s="93"/>
      <c r="D840" s="99">
        <v>45552</v>
      </c>
      <c r="E840" s="113">
        <v>0.02</v>
      </c>
      <c r="F840" s="113" t="s">
        <v>754</v>
      </c>
      <c r="G840" s="113">
        <v>2.5000000000000001E-2</v>
      </c>
      <c r="H840" s="277">
        <v>0.52083333333333337</v>
      </c>
      <c r="I840" s="400"/>
      <c r="J840" s="401"/>
      <c r="K840" s="402"/>
      <c r="L840" s="272">
        <v>0.3125</v>
      </c>
      <c r="M840" s="290"/>
      <c r="N840" s="195"/>
      <c r="O840" s="146" t="s">
        <v>813</v>
      </c>
      <c r="P840" s="199">
        <v>0.05</v>
      </c>
      <c r="Q840" s="180">
        <v>6.1666666666666662E-4</v>
      </c>
      <c r="R840" s="181">
        <v>2.5000000000000001E-4</v>
      </c>
      <c r="S840" s="150">
        <v>1</v>
      </c>
      <c r="T840" s="156">
        <v>1.1749999999999998E-3</v>
      </c>
      <c r="U840" s="182">
        <v>-16.212499999999878</v>
      </c>
      <c r="V840" s="183">
        <v>30.25</v>
      </c>
      <c r="W840" s="150">
        <v>2</v>
      </c>
      <c r="X840" s="184">
        <v>32.424999999999756</v>
      </c>
      <c r="Y840" s="185"/>
      <c r="Z840" s="185"/>
    </row>
    <row r="841" spans="3:26" ht="24" x14ac:dyDescent="0.2">
      <c r="C841" s="93"/>
      <c r="D841" s="99">
        <v>45524</v>
      </c>
      <c r="E841" s="113">
        <v>2.5000000000000001E-2</v>
      </c>
      <c r="F841" s="113" t="s">
        <v>495</v>
      </c>
      <c r="G841" s="113">
        <v>2.7E-2</v>
      </c>
      <c r="H841" s="277">
        <v>0.52083333333333337</v>
      </c>
      <c r="I841" s="400"/>
      <c r="J841" s="401"/>
      <c r="K841" s="402"/>
      <c r="L841" s="272">
        <v>0.3125</v>
      </c>
      <c r="M841" s="269"/>
      <c r="N841" s="195"/>
      <c r="O841" s="146" t="s">
        <v>813</v>
      </c>
      <c r="P841" s="199">
        <v>0.05</v>
      </c>
      <c r="Q841" s="180">
        <v>6.1666666666666662E-4</v>
      </c>
      <c r="R841" s="181">
        <v>2.5000000000000001E-4</v>
      </c>
      <c r="S841" s="150">
        <v>1</v>
      </c>
      <c r="T841" s="156">
        <v>1.1749999999999998E-3</v>
      </c>
      <c r="U841" s="182">
        <v>-16.212499999999878</v>
      </c>
      <c r="V841" s="183">
        <v>30.25</v>
      </c>
      <c r="W841" s="150">
        <v>2</v>
      </c>
      <c r="X841" s="184">
        <v>32.424999999999756</v>
      </c>
      <c r="Y841" s="185"/>
      <c r="Z841" s="185"/>
    </row>
    <row r="842" spans="3:26" ht="24" x14ac:dyDescent="0.2">
      <c r="C842" s="93"/>
      <c r="D842" s="99">
        <v>45489</v>
      </c>
      <c r="E842" s="113">
        <v>2.7E-2</v>
      </c>
      <c r="F842" s="113" t="s">
        <v>754</v>
      </c>
      <c r="G842" s="113">
        <v>2.9000000000000001E-2</v>
      </c>
      <c r="H842" s="277">
        <v>0.52083333333333337</v>
      </c>
      <c r="I842" s="400"/>
      <c r="J842" s="401"/>
      <c r="K842" s="402"/>
      <c r="L842" s="272">
        <v>0.3125</v>
      </c>
      <c r="M842" s="269"/>
      <c r="N842" s="195"/>
      <c r="O842" s="146"/>
      <c r="P842" s="147"/>
      <c r="Q842" s="180"/>
      <c r="R842" s="181"/>
      <c r="S842" s="150"/>
      <c r="T842" s="147"/>
      <c r="U842" s="182"/>
      <c r="V842" s="183"/>
      <c r="W842" s="150"/>
      <c r="X842" s="184"/>
      <c r="Y842" s="185"/>
      <c r="Z842" s="185"/>
    </row>
    <row r="843" spans="3:26" ht="24" x14ac:dyDescent="0.2">
      <c r="C843" s="93"/>
      <c r="D843" s="99">
        <v>45468</v>
      </c>
      <c r="E843" s="113">
        <v>2.9000000000000001E-2</v>
      </c>
      <c r="F843" s="113" t="s">
        <v>493</v>
      </c>
      <c r="G843" s="113">
        <v>2.7E-2</v>
      </c>
      <c r="H843" s="277">
        <v>0.52083333333333337</v>
      </c>
      <c r="I843" s="400"/>
      <c r="J843" s="401"/>
      <c r="K843" s="402"/>
      <c r="L843" s="272">
        <v>0.3125</v>
      </c>
      <c r="M843" s="269"/>
      <c r="N843" s="195"/>
      <c r="O843" s="91"/>
      <c r="P843" s="91"/>
      <c r="Q843" s="91"/>
      <c r="R843" s="91"/>
      <c r="S843" s="91"/>
      <c r="T843" s="91"/>
      <c r="U843" s="91"/>
      <c r="V843" s="91"/>
      <c r="W843" s="91"/>
      <c r="X843" s="91"/>
      <c r="Y843" s="91"/>
      <c r="Z843" s="91"/>
    </row>
    <row r="844" spans="3:26" ht="25" thickBot="1" x14ac:dyDescent="0.25">
      <c r="C844" s="93"/>
      <c r="D844" s="99">
        <v>45433</v>
      </c>
      <c r="E844" s="113">
        <v>2.7E-2</v>
      </c>
      <c r="F844" s="113" t="s">
        <v>665</v>
      </c>
      <c r="G844" s="113">
        <v>2.9000000000000001E-2</v>
      </c>
      <c r="H844" s="291">
        <v>0.52083333333333337</v>
      </c>
      <c r="I844" s="403"/>
      <c r="J844" s="404"/>
      <c r="K844" s="405"/>
      <c r="L844" s="272">
        <v>0.3125</v>
      </c>
      <c r="M844" s="280"/>
      <c r="N844" s="195"/>
      <c r="O844" s="91"/>
      <c r="P844" s="91"/>
      <c r="Q844" s="91"/>
      <c r="R844" s="91"/>
      <c r="S844" s="91"/>
      <c r="T844" s="91"/>
      <c r="U844" s="91"/>
      <c r="V844" s="91"/>
      <c r="W844" s="91"/>
      <c r="X844" s="91"/>
      <c r="Y844" s="91"/>
      <c r="Z844" s="91"/>
    </row>
    <row r="845" spans="3:26" ht="73" thickBot="1" x14ac:dyDescent="0.25">
      <c r="C845" s="93">
        <v>3</v>
      </c>
      <c r="D845" s="123" t="s">
        <v>30</v>
      </c>
      <c r="E845" s="363" t="s">
        <v>1009</v>
      </c>
      <c r="F845" s="364"/>
      <c r="G845" s="365"/>
      <c r="H845" s="265" t="s">
        <v>790</v>
      </c>
      <c r="I845" s="406" t="s">
        <v>633</v>
      </c>
      <c r="J845" s="407"/>
      <c r="K845" s="408"/>
      <c r="L845" s="266" t="s">
        <v>430</v>
      </c>
      <c r="M845" s="267" t="s">
        <v>431</v>
      </c>
      <c r="N845" s="195" t="s">
        <v>105</v>
      </c>
      <c r="O845" s="145" t="s">
        <v>800</v>
      </c>
      <c r="P845" s="145" t="s">
        <v>801</v>
      </c>
      <c r="Q845" s="145" t="s">
        <v>802</v>
      </c>
      <c r="R845" s="145" t="s">
        <v>803</v>
      </c>
      <c r="S845" s="145" t="s">
        <v>804</v>
      </c>
      <c r="T845" s="145" t="s">
        <v>805</v>
      </c>
      <c r="U845" s="145" t="s">
        <v>806</v>
      </c>
      <c r="V845" s="145" t="s">
        <v>807</v>
      </c>
      <c r="W845" s="145" t="s">
        <v>808</v>
      </c>
      <c r="X845" s="145" t="s">
        <v>809</v>
      </c>
      <c r="Y845" s="145" t="s">
        <v>75</v>
      </c>
      <c r="Z845" s="145" t="s">
        <v>75</v>
      </c>
    </row>
    <row r="846" spans="3:26" ht="24" x14ac:dyDescent="0.2">
      <c r="C846" s="93"/>
      <c r="D846" s="122" t="s">
        <v>432</v>
      </c>
      <c r="E846" s="342"/>
      <c r="F846" s="343"/>
      <c r="G846" s="344"/>
      <c r="H846" s="268" t="s">
        <v>1058</v>
      </c>
      <c r="I846" s="397" t="s">
        <v>1010</v>
      </c>
      <c r="J846" s="398"/>
      <c r="K846" s="399"/>
      <c r="L846" s="198"/>
      <c r="M846" s="269"/>
      <c r="N846" s="195"/>
      <c r="O846" s="146" t="s">
        <v>810</v>
      </c>
      <c r="P846" s="199">
        <v>0.1</v>
      </c>
      <c r="Q846" s="200">
        <v>1.07</v>
      </c>
      <c r="R846" s="201">
        <v>2.6999999999998181</v>
      </c>
      <c r="S846" s="150"/>
      <c r="T846" s="146">
        <v>4.3049999999998185</v>
      </c>
      <c r="U846" s="200">
        <v>-2</v>
      </c>
      <c r="V846" s="199">
        <v>91.8</v>
      </c>
      <c r="W846" s="202">
        <v>2</v>
      </c>
      <c r="X846" s="184">
        <v>4</v>
      </c>
      <c r="Y846" s="151"/>
      <c r="Z846" s="151"/>
    </row>
    <row r="847" spans="3:26" ht="24" x14ac:dyDescent="0.2">
      <c r="C847" s="93"/>
      <c r="D847" s="92" t="s">
        <v>433</v>
      </c>
      <c r="E847" s="357"/>
      <c r="F847" s="358"/>
      <c r="G847" s="359"/>
      <c r="H847" s="268" t="s">
        <v>1058</v>
      </c>
      <c r="I847" s="400"/>
      <c r="J847" s="401"/>
      <c r="K847" s="402"/>
      <c r="L847" s="198"/>
      <c r="M847" s="269"/>
      <c r="N847" s="195"/>
      <c r="O847" s="152"/>
      <c r="P847" s="152"/>
      <c r="Q847" s="152"/>
      <c r="R847" s="153"/>
      <c r="S847" s="154"/>
      <c r="T847" s="152"/>
      <c r="U847" s="152"/>
      <c r="V847" s="152"/>
      <c r="W847" s="154"/>
      <c r="X847" s="154"/>
      <c r="Y847" s="155"/>
      <c r="Z847" s="155"/>
    </row>
    <row r="848" spans="3:26" ht="24" x14ac:dyDescent="0.2">
      <c r="C848" s="93"/>
      <c r="D848" s="92" t="s">
        <v>434</v>
      </c>
      <c r="E848" s="357">
        <v>1.7000000000000001E-2</v>
      </c>
      <c r="F848" s="358"/>
      <c r="G848" s="359"/>
      <c r="H848" s="270"/>
      <c r="I848" s="400"/>
      <c r="J848" s="401"/>
      <c r="K848" s="402"/>
      <c r="L848" s="198"/>
      <c r="M848" s="269"/>
      <c r="N848" s="195"/>
      <c r="O848" s="156" t="s">
        <v>811</v>
      </c>
      <c r="P848" s="204">
        <v>0.65</v>
      </c>
      <c r="Q848" s="205">
        <v>5.5713999999999997</v>
      </c>
      <c r="R848" s="206">
        <v>2.7</v>
      </c>
      <c r="S848" s="160">
        <v>1</v>
      </c>
      <c r="T848" s="156">
        <v>11.057099999999998</v>
      </c>
      <c r="U848" s="161">
        <v>-33.38961672474008</v>
      </c>
      <c r="V848" s="162">
        <v>393.25</v>
      </c>
      <c r="W848" s="207">
        <v>5.31</v>
      </c>
      <c r="X848" s="164">
        <v>177.29886480836981</v>
      </c>
      <c r="Y848" s="165"/>
      <c r="Z848" s="165"/>
    </row>
    <row r="849" spans="3:26" ht="25" thickBot="1" x14ac:dyDescent="0.25">
      <c r="C849" s="93"/>
      <c r="D849" s="94" t="s">
        <v>435</v>
      </c>
      <c r="E849" s="360">
        <v>0.29166666666666674</v>
      </c>
      <c r="F849" s="361"/>
      <c r="G849" s="362"/>
      <c r="H849" s="294">
        <v>8.3333333333333398E-2</v>
      </c>
      <c r="I849" s="400"/>
      <c r="J849" s="401"/>
      <c r="K849" s="402"/>
      <c r="L849" s="208">
        <v>0.52083333333333337</v>
      </c>
      <c r="M849" s="271">
        <v>0.375</v>
      </c>
      <c r="N849" s="195"/>
      <c r="O849" s="166" t="s">
        <v>812</v>
      </c>
      <c r="P849" s="209">
        <v>0.65</v>
      </c>
      <c r="Q849" s="187">
        <v>4.056</v>
      </c>
      <c r="R849" s="210">
        <v>2.7</v>
      </c>
      <c r="S849" s="170">
        <v>1</v>
      </c>
      <c r="T849" s="211">
        <v>8.7840000000000007</v>
      </c>
      <c r="U849" s="171">
        <v>-26.525435540070806</v>
      </c>
      <c r="V849" s="172">
        <v>393.25</v>
      </c>
      <c r="W849" s="212">
        <v>4.0679999999999996</v>
      </c>
      <c r="X849" s="174">
        <v>107.90547177700803</v>
      </c>
      <c r="Y849" s="175"/>
      <c r="Z849" s="175"/>
    </row>
    <row r="850" spans="3:26" ht="25" thickBot="1" x14ac:dyDescent="0.25">
      <c r="C850" s="93"/>
      <c r="D850" s="96" t="s">
        <v>436</v>
      </c>
      <c r="E850" s="97" t="s">
        <v>29</v>
      </c>
      <c r="F850" s="97" t="s">
        <v>28</v>
      </c>
      <c r="G850" s="98" t="s">
        <v>27</v>
      </c>
      <c r="H850" s="287" t="s">
        <v>793</v>
      </c>
      <c r="I850" s="400"/>
      <c r="J850" s="401"/>
      <c r="K850" s="402"/>
      <c r="L850" s="287" t="s">
        <v>1002</v>
      </c>
      <c r="M850" s="288"/>
      <c r="N850" s="195"/>
      <c r="O850" s="154"/>
      <c r="P850" s="176"/>
      <c r="Q850" s="154"/>
      <c r="R850" s="154"/>
      <c r="S850" s="154"/>
      <c r="T850" s="154"/>
      <c r="U850" s="177"/>
      <c r="V850" s="178"/>
      <c r="W850" s="154"/>
      <c r="X850" s="177"/>
      <c r="Y850" s="155"/>
      <c r="Z850" s="155"/>
    </row>
    <row r="851" spans="3:26" ht="24" x14ac:dyDescent="0.2">
      <c r="C851" s="93"/>
      <c r="D851" s="99">
        <v>45581</v>
      </c>
      <c r="E851" s="113">
        <v>1.7000000000000001E-2</v>
      </c>
      <c r="F851" s="113" t="s">
        <v>789</v>
      </c>
      <c r="G851" s="113">
        <v>2.1999999999999999E-2</v>
      </c>
      <c r="H851" s="277">
        <v>0.25</v>
      </c>
      <c r="I851" s="400"/>
      <c r="J851" s="401"/>
      <c r="K851" s="402"/>
      <c r="L851" s="272">
        <v>4.1666666666666664E-2</v>
      </c>
      <c r="M851" s="289"/>
      <c r="N851" s="195"/>
      <c r="O851" s="179"/>
      <c r="P851" s="155"/>
      <c r="Q851" s="179"/>
      <c r="R851" s="179"/>
      <c r="S851" s="179"/>
      <c r="T851" s="179"/>
      <c r="U851" s="179"/>
      <c r="V851" s="179"/>
      <c r="W851" s="179"/>
      <c r="X851" s="179"/>
      <c r="Y851" s="155"/>
      <c r="Z851" s="155"/>
    </row>
    <row r="852" spans="3:26" ht="24" x14ac:dyDescent="0.2">
      <c r="C852" s="93"/>
      <c r="D852" s="99">
        <v>45553</v>
      </c>
      <c r="E852" s="113">
        <v>2.1999999999999999E-2</v>
      </c>
      <c r="F852" s="113" t="s">
        <v>490</v>
      </c>
      <c r="G852" s="113">
        <v>2.1999999999999999E-2</v>
      </c>
      <c r="H852" s="277">
        <v>0.25</v>
      </c>
      <c r="I852" s="400"/>
      <c r="J852" s="401"/>
      <c r="K852" s="402"/>
      <c r="L852" s="272">
        <v>4.1666666666666664E-2</v>
      </c>
      <c r="M852" s="290"/>
      <c r="N852" s="195"/>
      <c r="O852" s="146" t="s">
        <v>813</v>
      </c>
      <c r="P852" s="199">
        <v>0.65</v>
      </c>
      <c r="Q852" s="180">
        <v>4.8136999999999999</v>
      </c>
      <c r="R852" s="181">
        <v>2.7</v>
      </c>
      <c r="S852" s="150">
        <v>1</v>
      </c>
      <c r="T852" s="156">
        <v>9.9205499999999986</v>
      </c>
      <c r="U852" s="182">
        <v>-29.957526132405437</v>
      </c>
      <c r="V852" s="183">
        <v>393.25</v>
      </c>
      <c r="W852" s="150">
        <v>4</v>
      </c>
      <c r="X852" s="184">
        <v>119.83010452962175</v>
      </c>
      <c r="Y852" s="185"/>
      <c r="Z852" s="185"/>
    </row>
    <row r="853" spans="3:26" ht="24" x14ac:dyDescent="0.2">
      <c r="C853" s="93"/>
      <c r="D853" s="99">
        <v>45518</v>
      </c>
      <c r="E853" s="113">
        <v>2.1999999999999999E-2</v>
      </c>
      <c r="F853" s="113" t="s">
        <v>971</v>
      </c>
      <c r="G853" s="113">
        <v>0.02</v>
      </c>
      <c r="H853" s="277">
        <v>0.25</v>
      </c>
      <c r="I853" s="400"/>
      <c r="J853" s="401"/>
      <c r="K853" s="402"/>
      <c r="L853" s="272">
        <v>4.1666666666666664E-2</v>
      </c>
      <c r="M853" s="269"/>
      <c r="N853" s="195"/>
      <c r="O853" s="146" t="s">
        <v>813</v>
      </c>
      <c r="P853" s="199">
        <v>0.65</v>
      </c>
      <c r="Q853" s="180">
        <v>4.8136999999999999</v>
      </c>
      <c r="R853" s="181">
        <v>2.7</v>
      </c>
      <c r="S853" s="150">
        <v>1</v>
      </c>
      <c r="T853" s="156">
        <v>9.9205499999999986</v>
      </c>
      <c r="U853" s="182">
        <v>-29.957526132405437</v>
      </c>
      <c r="V853" s="183">
        <v>393.25</v>
      </c>
      <c r="W853" s="150">
        <v>4</v>
      </c>
      <c r="X853" s="184">
        <v>119.83010452962175</v>
      </c>
      <c r="Y853" s="185"/>
      <c r="Z853" s="185"/>
    </row>
    <row r="854" spans="3:26" ht="24" x14ac:dyDescent="0.2">
      <c r="C854" s="93"/>
      <c r="D854" s="99">
        <v>45490</v>
      </c>
      <c r="E854" s="113">
        <v>0.02</v>
      </c>
      <c r="F854" s="113" t="s">
        <v>789</v>
      </c>
      <c r="G854" s="113">
        <v>0.02</v>
      </c>
      <c r="H854" s="277">
        <v>0.25</v>
      </c>
      <c r="I854" s="400"/>
      <c r="J854" s="401"/>
      <c r="K854" s="402"/>
      <c r="L854" s="272">
        <v>4.1666666666666664E-2</v>
      </c>
      <c r="M854" s="269"/>
      <c r="N854" s="195"/>
      <c r="O854" s="146"/>
      <c r="P854" s="147"/>
      <c r="Q854" s="180"/>
      <c r="R854" s="181"/>
      <c r="S854" s="150"/>
      <c r="T854" s="147"/>
      <c r="U854" s="182"/>
      <c r="V854" s="183"/>
      <c r="W854" s="150"/>
      <c r="X854" s="184"/>
      <c r="Y854" s="185"/>
      <c r="Z854" s="185"/>
    </row>
    <row r="855" spans="3:26" ht="24" x14ac:dyDescent="0.2">
      <c r="C855" s="93"/>
      <c r="D855" s="99">
        <v>45462</v>
      </c>
      <c r="E855" s="113">
        <v>0.02</v>
      </c>
      <c r="F855" s="113" t="s">
        <v>788</v>
      </c>
      <c r="G855" s="113">
        <v>2.3E-2</v>
      </c>
      <c r="H855" s="277">
        <v>0.25</v>
      </c>
      <c r="I855" s="400"/>
      <c r="J855" s="401"/>
      <c r="K855" s="402"/>
      <c r="L855" s="272">
        <v>4.1666666666666664E-2</v>
      </c>
      <c r="M855" s="269"/>
      <c r="N855" s="195"/>
      <c r="O855" s="91"/>
      <c r="P855" s="91"/>
      <c r="Q855" s="91"/>
      <c r="R855" s="91"/>
      <c r="S855" s="91"/>
      <c r="T855" s="91"/>
      <c r="U855" s="91"/>
      <c r="V855" s="91"/>
      <c r="W855" s="91"/>
      <c r="X855" s="91"/>
      <c r="Y855" s="91"/>
      <c r="Z855" s="91"/>
    </row>
    <row r="856" spans="3:26" ht="25" thickBot="1" x14ac:dyDescent="0.25">
      <c r="C856" s="93"/>
      <c r="D856" s="99">
        <v>45434</v>
      </c>
      <c r="E856" s="113">
        <v>2.3E-2</v>
      </c>
      <c r="F856" s="113" t="s">
        <v>1028</v>
      </c>
      <c r="G856" s="113">
        <v>3.2000000000000001E-2</v>
      </c>
      <c r="H856" s="291">
        <v>0.25</v>
      </c>
      <c r="I856" s="403"/>
      <c r="J856" s="404"/>
      <c r="K856" s="405"/>
      <c r="L856" s="272">
        <v>4.1666666666666664E-2</v>
      </c>
      <c r="M856" s="280"/>
      <c r="N856" s="195"/>
      <c r="O856" s="91"/>
      <c r="P856" s="91"/>
      <c r="Q856" s="91"/>
      <c r="R856" s="91"/>
      <c r="S856" s="91"/>
      <c r="T856" s="91"/>
      <c r="U856" s="91"/>
      <c r="V856" s="91"/>
      <c r="W856" s="91"/>
      <c r="X856" s="91"/>
      <c r="Y856" s="91"/>
      <c r="Z856" s="91"/>
    </row>
    <row r="857" spans="3:26" ht="73" thickBot="1" x14ac:dyDescent="0.25">
      <c r="C857" s="93">
        <v>4</v>
      </c>
      <c r="D857" s="123" t="s">
        <v>30</v>
      </c>
      <c r="E857" s="363" t="s">
        <v>9</v>
      </c>
      <c r="F857" s="364"/>
      <c r="G857" s="365"/>
      <c r="H857" s="265" t="s">
        <v>790</v>
      </c>
      <c r="I857" s="406" t="s">
        <v>633</v>
      </c>
      <c r="J857" s="407"/>
      <c r="K857" s="408"/>
      <c r="L857" s="266" t="s">
        <v>430</v>
      </c>
      <c r="M857" s="267" t="s">
        <v>431</v>
      </c>
      <c r="N857" s="195" t="s">
        <v>105</v>
      </c>
      <c r="O857" s="145" t="s">
        <v>800</v>
      </c>
      <c r="P857" s="145" t="s">
        <v>801</v>
      </c>
      <c r="Q857" s="145" t="s">
        <v>802</v>
      </c>
      <c r="R857" s="145" t="s">
        <v>803</v>
      </c>
      <c r="S857" s="145" t="s">
        <v>804</v>
      </c>
      <c r="T857" s="145" t="s">
        <v>805</v>
      </c>
      <c r="U857" s="145" t="s">
        <v>806</v>
      </c>
      <c r="V857" s="145" t="s">
        <v>807</v>
      </c>
      <c r="W857" s="145" t="s">
        <v>808</v>
      </c>
      <c r="X857" s="145" t="s">
        <v>809</v>
      </c>
      <c r="Y857" s="145" t="s">
        <v>75</v>
      </c>
      <c r="Z857" s="145" t="s">
        <v>75</v>
      </c>
    </row>
    <row r="858" spans="3:26" ht="24" x14ac:dyDescent="0.2">
      <c r="C858" s="93"/>
      <c r="D858" s="122" t="s">
        <v>432</v>
      </c>
      <c r="E858" s="369"/>
      <c r="F858" s="370"/>
      <c r="G858" s="371"/>
      <c r="H858" s="268" t="s">
        <v>796</v>
      </c>
      <c r="I858" s="397" t="s">
        <v>926</v>
      </c>
      <c r="J858" s="398"/>
      <c r="K858" s="399"/>
      <c r="L858" s="198"/>
      <c r="M858" s="269"/>
      <c r="N858" s="195"/>
      <c r="O858" s="146" t="s">
        <v>810</v>
      </c>
      <c r="P858" s="199">
        <v>0.1</v>
      </c>
      <c r="Q858" s="200">
        <v>2.7E-2</v>
      </c>
      <c r="R858" s="201">
        <v>1.5999999999991132E-2</v>
      </c>
      <c r="S858" s="150"/>
      <c r="T858" s="146">
        <v>5.6499999999991134E-2</v>
      </c>
      <c r="U858" s="200">
        <v>-13.31</v>
      </c>
      <c r="V858" s="199">
        <v>91.8</v>
      </c>
      <c r="W858" s="202">
        <v>2</v>
      </c>
      <c r="X858" s="184">
        <v>26.62</v>
      </c>
      <c r="Y858" s="151"/>
      <c r="Z858" s="151"/>
    </row>
    <row r="859" spans="3:26" ht="24" x14ac:dyDescent="0.2">
      <c r="C859" s="93"/>
      <c r="D859" s="92" t="s">
        <v>433</v>
      </c>
      <c r="E859" s="357"/>
      <c r="F859" s="358"/>
      <c r="G859" s="359"/>
      <c r="H859" s="268" t="s">
        <v>796</v>
      </c>
      <c r="I859" s="400"/>
      <c r="J859" s="401"/>
      <c r="K859" s="402"/>
      <c r="L859" s="198"/>
      <c r="M859" s="269"/>
      <c r="N859" s="195"/>
      <c r="O859" s="152"/>
      <c r="P859" s="152"/>
      <c r="Q859" s="152"/>
      <c r="R859" s="153"/>
      <c r="S859" s="154"/>
      <c r="T859" s="152"/>
      <c r="U859" s="152"/>
      <c r="V859" s="152"/>
      <c r="W859" s="154"/>
      <c r="X859" s="154"/>
      <c r="Y859" s="155"/>
      <c r="Z859" s="155"/>
    </row>
    <row r="860" spans="3:26" ht="24" x14ac:dyDescent="0.2">
      <c r="C860" s="93"/>
      <c r="D860" s="92" t="s">
        <v>434</v>
      </c>
      <c r="E860" s="357" t="s">
        <v>1011</v>
      </c>
      <c r="F860" s="358"/>
      <c r="G860" s="359"/>
      <c r="H860" s="270"/>
      <c r="I860" s="400"/>
      <c r="J860" s="401"/>
      <c r="K860" s="402"/>
      <c r="L860" s="198"/>
      <c r="M860" s="269"/>
      <c r="N860" s="195"/>
      <c r="O860" s="156" t="s">
        <v>811</v>
      </c>
      <c r="P860" s="204">
        <v>0.1</v>
      </c>
      <c r="Q860" s="205">
        <v>8.3099999999999993E-2</v>
      </c>
      <c r="R860" s="206">
        <v>1.7000000000000001E-2</v>
      </c>
      <c r="S860" s="160">
        <v>1</v>
      </c>
      <c r="T860" s="156">
        <v>0.14165</v>
      </c>
      <c r="U860" s="161">
        <v>-33.369230088500814</v>
      </c>
      <c r="V860" s="162">
        <v>60.5</v>
      </c>
      <c r="W860" s="207">
        <v>5.49</v>
      </c>
      <c r="X860" s="164">
        <v>183.19707318586947</v>
      </c>
      <c r="Y860" s="165"/>
      <c r="Z860" s="165">
        <v>4.4350000000000005</v>
      </c>
    </row>
    <row r="861" spans="3:26" ht="25" thickBot="1" x14ac:dyDescent="0.25">
      <c r="C861" s="93"/>
      <c r="D861" s="94" t="s">
        <v>435</v>
      </c>
      <c r="E861" s="360">
        <v>0.64583333333333337</v>
      </c>
      <c r="F861" s="361"/>
      <c r="G861" s="362"/>
      <c r="H861" s="294">
        <v>0.4375</v>
      </c>
      <c r="I861" s="400"/>
      <c r="J861" s="401"/>
      <c r="K861" s="402"/>
      <c r="L861" s="208">
        <v>0.875</v>
      </c>
      <c r="M861" s="271">
        <v>0.72916666666666663</v>
      </c>
      <c r="N861" s="195"/>
      <c r="O861" s="166" t="s">
        <v>812</v>
      </c>
      <c r="P861" s="209">
        <v>0.1</v>
      </c>
      <c r="Q861" s="187">
        <v>9.1333333333333336E-2</v>
      </c>
      <c r="R861" s="210">
        <v>1.7000000000000001E-2</v>
      </c>
      <c r="S861" s="170">
        <v>1</v>
      </c>
      <c r="T861" s="211">
        <v>0.154</v>
      </c>
      <c r="U861" s="171">
        <v>-36.278584070802154</v>
      </c>
      <c r="V861" s="172">
        <v>60.5</v>
      </c>
      <c r="W861" s="212">
        <v>4.0600000000000005</v>
      </c>
      <c r="X861" s="174">
        <v>147.29105132745676</v>
      </c>
      <c r="Y861" s="175"/>
      <c r="Z861" s="175"/>
    </row>
    <row r="862" spans="3:26" ht="25" thickBot="1" x14ac:dyDescent="0.25">
      <c r="C862" s="93"/>
      <c r="D862" s="96" t="s">
        <v>436</v>
      </c>
      <c r="E862" s="97" t="s">
        <v>29</v>
      </c>
      <c r="F862" s="97" t="s">
        <v>28</v>
      </c>
      <c r="G862" s="98" t="s">
        <v>27</v>
      </c>
      <c r="H862" s="287" t="s">
        <v>793</v>
      </c>
      <c r="I862" s="400"/>
      <c r="J862" s="401"/>
      <c r="K862" s="402"/>
      <c r="L862" s="287" t="s">
        <v>1002</v>
      </c>
      <c r="M862" s="288"/>
      <c r="N862" s="195"/>
      <c r="O862" s="154"/>
      <c r="P862" s="176"/>
      <c r="Q862" s="154"/>
      <c r="R862" s="154"/>
      <c r="S862" s="154"/>
      <c r="T862" s="154"/>
      <c r="U862" s="177"/>
      <c r="V862" s="178"/>
      <c r="W862" s="154"/>
      <c r="X862" s="177"/>
      <c r="Y862" s="155"/>
      <c r="Z862" s="155"/>
    </row>
    <row r="863" spans="3:26" ht="24" x14ac:dyDescent="0.2">
      <c r="C863" s="93"/>
      <c r="D863" s="99">
        <v>45610</v>
      </c>
      <c r="E863" s="113" t="s">
        <v>1029</v>
      </c>
      <c r="F863" s="113" t="s">
        <v>1030</v>
      </c>
      <c r="G863" s="113" t="s">
        <v>988</v>
      </c>
      <c r="H863" s="277">
        <v>0.66666666666666663</v>
      </c>
      <c r="I863" s="400"/>
      <c r="J863" s="401"/>
      <c r="K863" s="402"/>
      <c r="L863" s="272">
        <v>0.45833333333333331</v>
      </c>
      <c r="M863" s="289"/>
      <c r="N863" s="195"/>
      <c r="O863" s="179"/>
      <c r="P863" s="155"/>
      <c r="Q863" s="179"/>
      <c r="R863" s="179"/>
      <c r="S863" s="179"/>
      <c r="T863" s="179"/>
      <c r="U863" s="179"/>
      <c r="V863" s="179"/>
      <c r="W863" s="179"/>
      <c r="X863" s="179"/>
      <c r="Y863" s="155"/>
      <c r="Z863" s="155"/>
    </row>
    <row r="864" spans="3:26" ht="24" x14ac:dyDescent="0.2">
      <c r="C864" s="93"/>
      <c r="D864" s="99">
        <v>45602</v>
      </c>
      <c r="E864" s="113" t="s">
        <v>988</v>
      </c>
      <c r="F864" s="113" t="s">
        <v>989</v>
      </c>
      <c r="G864" s="113" t="s">
        <v>990</v>
      </c>
      <c r="H864" s="277">
        <v>0.64583333333333337</v>
      </c>
      <c r="I864" s="400"/>
      <c r="J864" s="401"/>
      <c r="K864" s="402"/>
      <c r="L864" s="272">
        <v>0.4375</v>
      </c>
      <c r="M864" s="290"/>
      <c r="N864" s="195"/>
      <c r="O864" s="146" t="s">
        <v>813</v>
      </c>
      <c r="P864" s="199">
        <v>0.1</v>
      </c>
      <c r="Q864" s="180">
        <v>8.7216666666666665E-2</v>
      </c>
      <c r="R864" s="181">
        <v>1.7000000000000001E-2</v>
      </c>
      <c r="S864" s="150">
        <v>1</v>
      </c>
      <c r="T864" s="156">
        <v>0.14782499999999998</v>
      </c>
      <c r="U864" s="182">
        <v>-34.823907079651477</v>
      </c>
      <c r="V864" s="183">
        <v>60.5</v>
      </c>
      <c r="W864" s="150">
        <v>2</v>
      </c>
      <c r="X864" s="184">
        <v>69.647814159302953</v>
      </c>
      <c r="Y864" s="185"/>
      <c r="Z864" s="185"/>
    </row>
    <row r="865" spans="3:26" ht="24" x14ac:dyDescent="0.2">
      <c r="C865" s="93"/>
      <c r="D865" s="99">
        <v>45595</v>
      </c>
      <c r="E865" s="113" t="s">
        <v>990</v>
      </c>
      <c r="F865" s="113" t="s">
        <v>991</v>
      </c>
      <c r="G865" s="113" t="s">
        <v>992</v>
      </c>
      <c r="H865" s="277">
        <v>0.60416666666666663</v>
      </c>
      <c r="I865" s="400"/>
      <c r="J865" s="401"/>
      <c r="K865" s="402"/>
      <c r="L865" s="272">
        <v>0.39583333333333331</v>
      </c>
      <c r="M865" s="269"/>
      <c r="N865" s="195"/>
      <c r="O865" s="146"/>
      <c r="P865" s="146"/>
      <c r="Q865" s="180"/>
      <c r="R865" s="181"/>
      <c r="S865" s="150"/>
      <c r="T865" s="199"/>
      <c r="U865" s="182"/>
      <c r="V865" s="183"/>
      <c r="W865" s="150"/>
      <c r="X865" s="184"/>
      <c r="Y865" s="185"/>
      <c r="Z865" s="185"/>
    </row>
    <row r="866" spans="3:26" ht="24" x14ac:dyDescent="0.2">
      <c r="C866" s="93"/>
      <c r="D866" s="99">
        <v>45588</v>
      </c>
      <c r="E866" s="113" t="s">
        <v>992</v>
      </c>
      <c r="F866" s="113" t="s">
        <v>993</v>
      </c>
      <c r="G866" s="113" t="s">
        <v>994</v>
      </c>
      <c r="H866" s="277">
        <v>0.60416666666666663</v>
      </c>
      <c r="I866" s="400"/>
      <c r="J866" s="401"/>
      <c r="K866" s="402"/>
      <c r="L866" s="272">
        <v>0.39583333333333331</v>
      </c>
      <c r="M866" s="269"/>
      <c r="N866" s="195"/>
      <c r="O866" s="146" t="s">
        <v>816</v>
      </c>
      <c r="P866" s="147"/>
      <c r="Q866" s="180"/>
      <c r="R866" s="181"/>
      <c r="S866" s="150"/>
      <c r="T866" s="147"/>
      <c r="U866" s="182">
        <v>0</v>
      </c>
      <c r="V866" s="183"/>
      <c r="W866" s="150"/>
      <c r="X866" s="184">
        <v>0</v>
      </c>
      <c r="Y866" s="185"/>
      <c r="Z866" s="185"/>
    </row>
    <row r="867" spans="3:26" ht="24" x14ac:dyDescent="0.2">
      <c r="C867" s="93"/>
      <c r="D867" s="99">
        <v>45582</v>
      </c>
      <c r="E867" s="113" t="s">
        <v>994</v>
      </c>
      <c r="F867" s="113" t="s">
        <v>995</v>
      </c>
      <c r="G867" s="113" t="s">
        <v>996</v>
      </c>
      <c r="H867" s="277">
        <v>0.625</v>
      </c>
      <c r="I867" s="400"/>
      <c r="J867" s="401"/>
      <c r="K867" s="402"/>
      <c r="L867" s="272">
        <v>0.41666666666666669</v>
      </c>
      <c r="M867" s="269"/>
      <c r="N867" s="195"/>
      <c r="O867" s="91"/>
      <c r="P867" s="91"/>
      <c r="Q867" s="91"/>
      <c r="R867" s="91"/>
      <c r="S867" s="91"/>
      <c r="T867" s="91"/>
      <c r="U867" s="91"/>
      <c r="V867" s="91"/>
      <c r="W867" s="91"/>
      <c r="X867" s="91"/>
      <c r="Y867" s="91"/>
      <c r="Z867" s="91"/>
    </row>
    <row r="868" spans="3:26" ht="25" thickBot="1" x14ac:dyDescent="0.25">
      <c r="C868" s="93"/>
      <c r="D868" s="99">
        <v>45574</v>
      </c>
      <c r="E868" s="113" t="s">
        <v>996</v>
      </c>
      <c r="F868" s="113" t="s">
        <v>997</v>
      </c>
      <c r="G868" s="113" t="s">
        <v>998</v>
      </c>
      <c r="H868" s="291">
        <v>0.60416666666666663</v>
      </c>
      <c r="I868" s="403"/>
      <c r="J868" s="404"/>
      <c r="K868" s="405"/>
      <c r="L868" s="272">
        <v>0.39583333333333331</v>
      </c>
      <c r="M868" s="280"/>
      <c r="N868" s="195"/>
      <c r="O868" s="91"/>
      <c r="P868" s="91"/>
      <c r="Q868" s="91"/>
      <c r="R868" s="91"/>
      <c r="S868" s="91"/>
      <c r="T868" s="91"/>
      <c r="U868" s="91"/>
      <c r="V868" s="91"/>
      <c r="W868" s="91"/>
      <c r="X868" s="91"/>
      <c r="Y868" s="91"/>
      <c r="Z868" s="91"/>
    </row>
    <row r="869" spans="3:26" ht="73" thickBot="1" x14ac:dyDescent="0.25">
      <c r="C869" s="93">
        <v>5</v>
      </c>
      <c r="D869" s="123" t="s">
        <v>30</v>
      </c>
      <c r="E869" s="363" t="s">
        <v>1012</v>
      </c>
      <c r="F869" s="364"/>
      <c r="G869" s="365"/>
      <c r="H869" s="265" t="s">
        <v>790</v>
      </c>
      <c r="I869" s="406" t="s">
        <v>633</v>
      </c>
      <c r="J869" s="407"/>
      <c r="K869" s="408"/>
      <c r="L869" s="266" t="s">
        <v>430</v>
      </c>
      <c r="M869" s="267" t="s">
        <v>431</v>
      </c>
      <c r="N869" s="195" t="s">
        <v>105</v>
      </c>
      <c r="O869" s="145" t="s">
        <v>800</v>
      </c>
      <c r="P869" s="145" t="s">
        <v>801</v>
      </c>
      <c r="Q869" s="145" t="s">
        <v>802</v>
      </c>
      <c r="R869" s="145" t="s">
        <v>803</v>
      </c>
      <c r="S869" s="145" t="s">
        <v>804</v>
      </c>
      <c r="T869" s="145" t="s">
        <v>805</v>
      </c>
      <c r="U869" s="145" t="s">
        <v>806</v>
      </c>
      <c r="V869" s="145" t="s">
        <v>807</v>
      </c>
      <c r="W869" s="145" t="s">
        <v>808</v>
      </c>
      <c r="X869" s="145" t="s">
        <v>809</v>
      </c>
      <c r="Y869" s="145" t="s">
        <v>75</v>
      </c>
      <c r="Z869" s="145" t="s">
        <v>75</v>
      </c>
    </row>
    <row r="870" spans="3:26" ht="24" x14ac:dyDescent="0.2">
      <c r="C870" s="93"/>
      <c r="D870" s="122" t="s">
        <v>432</v>
      </c>
      <c r="E870" s="369"/>
      <c r="F870" s="370"/>
      <c r="G870" s="371"/>
      <c r="H870" s="268" t="s">
        <v>1059</v>
      </c>
      <c r="I870" s="397" t="s">
        <v>1013</v>
      </c>
      <c r="J870" s="398"/>
      <c r="K870" s="399"/>
      <c r="L870" s="198"/>
      <c r="M870" s="269"/>
      <c r="N870" s="195"/>
      <c r="O870" s="146" t="s">
        <v>810</v>
      </c>
      <c r="P870" s="199">
        <v>0.1</v>
      </c>
      <c r="Q870" s="200">
        <v>1.82</v>
      </c>
      <c r="R870" s="201">
        <v>3</v>
      </c>
      <c r="S870" s="150"/>
      <c r="T870" s="146">
        <v>5.73</v>
      </c>
      <c r="U870" s="200">
        <v>-2.16</v>
      </c>
      <c r="V870" s="199">
        <v>91.8</v>
      </c>
      <c r="W870" s="202">
        <v>2</v>
      </c>
      <c r="X870" s="184">
        <v>4.32</v>
      </c>
      <c r="Y870" s="151"/>
      <c r="Z870" s="151"/>
    </row>
    <row r="871" spans="3:26" ht="24" x14ac:dyDescent="0.2">
      <c r="C871" s="93"/>
      <c r="D871" s="92" t="s">
        <v>433</v>
      </c>
      <c r="E871" s="372">
        <v>32.97</v>
      </c>
      <c r="F871" s="373"/>
      <c r="G871" s="374"/>
      <c r="H871" s="268" t="s">
        <v>1059</v>
      </c>
      <c r="I871" s="400"/>
      <c r="J871" s="401"/>
      <c r="K871" s="402"/>
      <c r="L871" s="198"/>
      <c r="M871" s="269"/>
      <c r="N871" s="195"/>
      <c r="O871" s="152"/>
      <c r="P871" s="152"/>
      <c r="Q871" s="152"/>
      <c r="R871" s="153"/>
      <c r="S871" s="154"/>
      <c r="T871" s="152"/>
      <c r="U871" s="152"/>
      <c r="V871" s="152"/>
      <c r="W871" s="154"/>
      <c r="X871" s="154"/>
      <c r="Y871" s="155"/>
      <c r="Z871" s="155"/>
    </row>
    <row r="872" spans="3:26" ht="24" x14ac:dyDescent="0.2">
      <c r="C872" s="93"/>
      <c r="D872" s="92" t="s">
        <v>434</v>
      </c>
      <c r="E872" s="357"/>
      <c r="F872" s="358"/>
      <c r="G872" s="359"/>
      <c r="H872" s="270"/>
      <c r="I872" s="400"/>
      <c r="J872" s="401"/>
      <c r="K872" s="402"/>
      <c r="L872" s="198"/>
      <c r="M872" s="269"/>
      <c r="N872" s="195"/>
      <c r="O872" s="156" t="s">
        <v>811</v>
      </c>
      <c r="P872" s="204">
        <v>0.15</v>
      </c>
      <c r="Q872" s="205">
        <v>20.9971</v>
      </c>
      <c r="R872" s="206">
        <v>3</v>
      </c>
      <c r="S872" s="160">
        <v>1</v>
      </c>
      <c r="T872" s="156">
        <v>34.495649999999998</v>
      </c>
      <c r="U872" s="161">
        <v>-19.505393717277485</v>
      </c>
      <c r="V872" s="162">
        <v>90.749999999999986</v>
      </c>
      <c r="W872" s="207">
        <v>8.0299999999999994</v>
      </c>
      <c r="X872" s="164">
        <v>156.62831154973819</v>
      </c>
      <c r="Y872" s="165"/>
      <c r="Z872" s="165"/>
    </row>
    <row r="873" spans="3:26" ht="25" thickBot="1" x14ac:dyDescent="0.25">
      <c r="C873" s="93"/>
      <c r="D873" s="94" t="s">
        <v>435</v>
      </c>
      <c r="E873" s="360">
        <v>1</v>
      </c>
      <c r="F873" s="361"/>
      <c r="G873" s="362"/>
      <c r="H873" s="294"/>
      <c r="I873" s="400"/>
      <c r="J873" s="401"/>
      <c r="K873" s="402"/>
      <c r="L873" s="208">
        <v>0.10416666666666667</v>
      </c>
      <c r="M873" s="271">
        <v>1</v>
      </c>
      <c r="N873" s="195"/>
      <c r="O873" s="166" t="s">
        <v>812</v>
      </c>
      <c r="P873" s="209">
        <v>0.25</v>
      </c>
      <c r="Q873" s="187">
        <v>13.426666666666668</v>
      </c>
      <c r="R873" s="210">
        <v>3</v>
      </c>
      <c r="S873" s="170">
        <v>1</v>
      </c>
      <c r="T873" s="211">
        <v>23.14</v>
      </c>
      <c r="U873" s="171">
        <v>-21.807329842931939</v>
      </c>
      <c r="V873" s="172">
        <v>151.25</v>
      </c>
      <c r="W873" s="212">
        <v>4.75</v>
      </c>
      <c r="X873" s="174">
        <v>103.5848167539267</v>
      </c>
      <c r="Y873" s="175"/>
      <c r="Z873" s="175"/>
    </row>
    <row r="874" spans="3:26" ht="25" thickBot="1" x14ac:dyDescent="0.25">
      <c r="C874" s="93"/>
      <c r="D874" s="96" t="s">
        <v>436</v>
      </c>
      <c r="E874" s="97" t="s">
        <v>29</v>
      </c>
      <c r="F874" s="97" t="s">
        <v>28</v>
      </c>
      <c r="G874" s="98" t="s">
        <v>27</v>
      </c>
      <c r="H874" s="287" t="s">
        <v>793</v>
      </c>
      <c r="I874" s="400"/>
      <c r="J874" s="401"/>
      <c r="K874" s="402"/>
      <c r="L874" s="287" t="s">
        <v>1002</v>
      </c>
      <c r="M874" s="288"/>
      <c r="N874" s="195"/>
      <c r="O874" s="154"/>
      <c r="P874" s="176"/>
      <c r="Q874" s="154"/>
      <c r="R874" s="154"/>
      <c r="S874" s="154"/>
      <c r="T874" s="154"/>
      <c r="U874" s="177"/>
      <c r="V874" s="178"/>
      <c r="W874" s="154"/>
      <c r="X874" s="177"/>
      <c r="Y874" s="155"/>
      <c r="Z874" s="155"/>
    </row>
    <row r="875" spans="3:26" ht="23" x14ac:dyDescent="0.2">
      <c r="C875" s="93"/>
      <c r="D875" s="99">
        <v>45532</v>
      </c>
      <c r="E875" s="100">
        <v>0.68</v>
      </c>
      <c r="F875" s="100">
        <v>0.64</v>
      </c>
      <c r="G875" s="113"/>
      <c r="H875" s="277">
        <v>0.95833333333333337</v>
      </c>
      <c r="I875" s="400"/>
      <c r="J875" s="401"/>
      <c r="K875" s="402"/>
      <c r="L875" s="272">
        <v>0</v>
      </c>
      <c r="M875" s="289"/>
      <c r="N875" s="195"/>
      <c r="O875" s="179"/>
      <c r="P875" s="155"/>
      <c r="Q875" s="179"/>
      <c r="R875" s="179"/>
      <c r="S875" s="179"/>
      <c r="T875" s="179"/>
      <c r="U875" s="179"/>
      <c r="V875" s="179"/>
      <c r="W875" s="179"/>
      <c r="X875" s="179"/>
      <c r="Y875" s="155"/>
      <c r="Z875" s="155"/>
    </row>
    <row r="876" spans="3:26" ht="23" x14ac:dyDescent="0.2">
      <c r="C876" s="93"/>
      <c r="D876" s="99">
        <v>45434</v>
      </c>
      <c r="E876" s="100">
        <v>0.61</v>
      </c>
      <c r="F876" s="100">
        <v>0.55000000000000004</v>
      </c>
      <c r="G876" s="113"/>
      <c r="H876" s="277">
        <v>0.95833333333333337</v>
      </c>
      <c r="I876" s="400"/>
      <c r="J876" s="401"/>
      <c r="K876" s="402"/>
      <c r="L876" s="272">
        <v>0</v>
      </c>
      <c r="M876" s="290"/>
      <c r="N876" s="195"/>
      <c r="O876" s="146" t="s">
        <v>813</v>
      </c>
      <c r="P876" s="199">
        <v>0.1</v>
      </c>
      <c r="Q876" s="180">
        <v>17.211883333333333</v>
      </c>
      <c r="R876" s="181">
        <v>3</v>
      </c>
      <c r="S876" s="150">
        <v>1.5</v>
      </c>
      <c r="T876" s="156">
        <v>28.817824999999999</v>
      </c>
      <c r="U876" s="182">
        <v>-16.294895811518327</v>
      </c>
      <c r="V876" s="183">
        <v>60.5</v>
      </c>
      <c r="W876" s="150">
        <v>2</v>
      </c>
      <c r="X876" s="184">
        <v>32.589791623036653</v>
      </c>
      <c r="Y876" s="185"/>
      <c r="Z876" s="185"/>
    </row>
    <row r="877" spans="3:26" ht="23" x14ac:dyDescent="0.2">
      <c r="C877" s="93"/>
      <c r="D877" s="99">
        <v>45343</v>
      </c>
      <c r="E877" s="100">
        <v>0.52</v>
      </c>
      <c r="F877" s="100">
        <v>0.46</v>
      </c>
      <c r="G877" s="113"/>
      <c r="H877" s="277">
        <v>0</v>
      </c>
      <c r="I877" s="400"/>
      <c r="J877" s="401"/>
      <c r="K877" s="402"/>
      <c r="L877" s="272">
        <v>0</v>
      </c>
      <c r="M877" s="269"/>
      <c r="N877" s="195"/>
      <c r="O877" s="146" t="s">
        <v>813</v>
      </c>
      <c r="P877" s="199">
        <v>0.1</v>
      </c>
      <c r="Q877" s="180">
        <v>17.211883333333333</v>
      </c>
      <c r="R877" s="181">
        <v>3</v>
      </c>
      <c r="S877" s="150">
        <v>1.5</v>
      </c>
      <c r="T877" s="156">
        <v>28.817824999999999</v>
      </c>
      <c r="U877" s="182">
        <v>-16.294895811518327</v>
      </c>
      <c r="V877" s="183">
        <v>60.5</v>
      </c>
      <c r="W877" s="150">
        <v>2</v>
      </c>
      <c r="X877" s="184">
        <v>32.589791623036653</v>
      </c>
      <c r="Y877" s="185"/>
      <c r="Z877" s="185"/>
    </row>
    <row r="878" spans="3:26" ht="23" x14ac:dyDescent="0.2">
      <c r="C878" s="93"/>
      <c r="D878" s="99">
        <v>45251</v>
      </c>
      <c r="E878" s="100">
        <v>0.4</v>
      </c>
      <c r="F878" s="100">
        <v>0.34</v>
      </c>
      <c r="G878" s="113"/>
      <c r="H878" s="277">
        <v>0</v>
      </c>
      <c r="I878" s="400"/>
      <c r="J878" s="401"/>
      <c r="K878" s="402"/>
      <c r="L878" s="272">
        <v>0</v>
      </c>
      <c r="M878" s="269"/>
      <c r="N878" s="195"/>
      <c r="O878" s="146"/>
      <c r="P878" s="147"/>
      <c r="Q878" s="180"/>
      <c r="R878" s="181"/>
      <c r="S878" s="150"/>
      <c r="T878" s="147"/>
      <c r="U878" s="182"/>
      <c r="V878" s="183"/>
      <c r="W878" s="150"/>
      <c r="X878" s="184"/>
      <c r="Y878" s="185"/>
      <c r="Z878" s="185"/>
    </row>
    <row r="879" spans="3:26" ht="23" x14ac:dyDescent="0.2">
      <c r="C879" s="93"/>
      <c r="D879" s="99">
        <v>45161</v>
      </c>
      <c r="E879" s="100">
        <v>0.27</v>
      </c>
      <c r="F879" s="100">
        <v>0.21</v>
      </c>
      <c r="G879" s="113"/>
      <c r="H879" s="277">
        <v>0.95833333333333337</v>
      </c>
      <c r="I879" s="400"/>
      <c r="J879" s="401"/>
      <c r="K879" s="402"/>
      <c r="L879" s="272">
        <v>0</v>
      </c>
      <c r="M879" s="269"/>
      <c r="N879" s="195"/>
      <c r="O879" s="91"/>
      <c r="P879" s="91"/>
      <c r="Q879" s="91"/>
      <c r="R879" s="91"/>
      <c r="S879" s="91"/>
      <c r="T879" s="91"/>
      <c r="U879" s="91"/>
      <c r="V879" s="91"/>
      <c r="W879" s="91"/>
      <c r="X879" s="91"/>
      <c r="Y879" s="91"/>
      <c r="Z879" s="91"/>
    </row>
    <row r="880" spans="3:26" ht="24" thickBot="1" x14ac:dyDescent="0.25">
      <c r="C880" s="93"/>
      <c r="D880" s="99">
        <v>45070</v>
      </c>
      <c r="E880" s="100">
        <v>0.11</v>
      </c>
      <c r="F880" s="100">
        <v>0.09</v>
      </c>
      <c r="G880" s="113"/>
      <c r="H880" s="277">
        <v>0.95833333333333337</v>
      </c>
      <c r="I880" s="403"/>
      <c r="J880" s="404"/>
      <c r="K880" s="405"/>
      <c r="L880" s="272">
        <v>0</v>
      </c>
      <c r="M880" s="280"/>
      <c r="N880" s="195"/>
      <c r="O880" s="91"/>
      <c r="P880" s="91"/>
      <c r="Q880" s="91"/>
      <c r="R880" s="91"/>
      <c r="S880" s="91"/>
      <c r="T880" s="91"/>
      <c r="U880" s="91"/>
      <c r="V880" s="91"/>
      <c r="W880" s="91"/>
      <c r="X880" s="91"/>
      <c r="Y880" s="91"/>
      <c r="Z880" s="91"/>
    </row>
    <row r="881" spans="3:26" ht="73" thickBot="1" x14ac:dyDescent="0.25">
      <c r="C881" s="93">
        <v>6</v>
      </c>
      <c r="D881" s="123" t="s">
        <v>30</v>
      </c>
      <c r="E881" s="363" t="s">
        <v>14</v>
      </c>
      <c r="F881" s="364"/>
      <c r="G881" s="365"/>
      <c r="H881" s="265" t="s">
        <v>790</v>
      </c>
      <c r="I881" s="406" t="s">
        <v>633</v>
      </c>
      <c r="J881" s="407"/>
      <c r="K881" s="408"/>
      <c r="L881" s="266" t="s">
        <v>430</v>
      </c>
      <c r="M881" s="267" t="s">
        <v>431</v>
      </c>
      <c r="N881" s="195" t="s">
        <v>105</v>
      </c>
      <c r="O881" s="145" t="s">
        <v>800</v>
      </c>
      <c r="P881" s="145" t="s">
        <v>801</v>
      </c>
      <c r="Q881" s="145" t="s">
        <v>802</v>
      </c>
      <c r="R881" s="145" t="s">
        <v>803</v>
      </c>
      <c r="S881" s="145" t="s">
        <v>804</v>
      </c>
      <c r="T881" s="145" t="s">
        <v>805</v>
      </c>
      <c r="U881" s="145" t="s">
        <v>806</v>
      </c>
      <c r="V881" s="145" t="s">
        <v>807</v>
      </c>
      <c r="W881" s="145" t="s">
        <v>808</v>
      </c>
      <c r="X881" s="145" t="s">
        <v>809</v>
      </c>
      <c r="Y881" s="145" t="s">
        <v>75</v>
      </c>
      <c r="Z881" s="145" t="s">
        <v>75</v>
      </c>
    </row>
    <row r="882" spans="3:26" ht="24" x14ac:dyDescent="0.2">
      <c r="C882" s="93"/>
      <c r="D882" s="122" t="s">
        <v>432</v>
      </c>
      <c r="E882" s="342"/>
      <c r="F882" s="343"/>
      <c r="G882" s="344"/>
      <c r="H882" s="268" t="s">
        <v>906</v>
      </c>
      <c r="I882" s="397" t="s">
        <v>955</v>
      </c>
      <c r="J882" s="398"/>
      <c r="K882" s="399"/>
      <c r="L882" s="198"/>
      <c r="M882" s="269"/>
      <c r="N882" s="195"/>
      <c r="O882" s="146" t="s">
        <v>810</v>
      </c>
      <c r="P882" s="199">
        <v>0.1</v>
      </c>
      <c r="Q882" s="200">
        <v>0.03</v>
      </c>
      <c r="R882" s="201">
        <v>1.5999999999991132E-2</v>
      </c>
      <c r="S882" s="150"/>
      <c r="T882" s="146">
        <v>6.0999999999991131E-2</v>
      </c>
      <c r="U882" s="200">
        <v>-14.17</v>
      </c>
      <c r="V882" s="199">
        <v>91.8</v>
      </c>
      <c r="W882" s="202">
        <v>2</v>
      </c>
      <c r="X882" s="184">
        <v>28.34</v>
      </c>
      <c r="Y882" s="151"/>
      <c r="Z882" s="151"/>
    </row>
    <row r="883" spans="3:26" ht="24" x14ac:dyDescent="0.2">
      <c r="C883" s="93"/>
      <c r="D883" s="92" t="s">
        <v>433</v>
      </c>
      <c r="E883" s="357" t="s">
        <v>1014</v>
      </c>
      <c r="F883" s="358"/>
      <c r="G883" s="359"/>
      <c r="H883" s="268" t="s">
        <v>907</v>
      </c>
      <c r="I883" s="400"/>
      <c r="J883" s="401"/>
      <c r="K883" s="402"/>
      <c r="L883" s="198"/>
      <c r="M883" s="269"/>
      <c r="N883" s="195"/>
      <c r="O883" s="152"/>
      <c r="P883" s="152"/>
      <c r="Q883" s="152"/>
      <c r="R883" s="153"/>
      <c r="S883" s="154"/>
      <c r="T883" s="152"/>
      <c r="U883" s="152"/>
      <c r="V883" s="152"/>
      <c r="W883" s="154"/>
      <c r="X883" s="154"/>
      <c r="Y883" s="155"/>
      <c r="Z883" s="155"/>
    </row>
    <row r="884" spans="3:26" ht="24" x14ac:dyDescent="0.2">
      <c r="C884" s="93"/>
      <c r="D884" s="92" t="s">
        <v>434</v>
      </c>
      <c r="E884" s="357" t="s">
        <v>1015</v>
      </c>
      <c r="F884" s="358"/>
      <c r="G884" s="359"/>
      <c r="H884" s="270"/>
      <c r="I884" s="400"/>
      <c r="J884" s="401"/>
      <c r="K884" s="402"/>
      <c r="L884" s="198"/>
      <c r="M884" s="269"/>
      <c r="N884" s="195"/>
      <c r="O884" s="156" t="s">
        <v>811</v>
      </c>
      <c r="P884" s="204">
        <v>0.05</v>
      </c>
      <c r="Q884" s="205">
        <v>7.51E-2</v>
      </c>
      <c r="R884" s="206">
        <v>7.0000000000000007E-2</v>
      </c>
      <c r="S884" s="160">
        <v>1</v>
      </c>
      <c r="T884" s="156">
        <v>0.18265000000000001</v>
      </c>
      <c r="U884" s="161">
        <v>-21.214348360658821</v>
      </c>
      <c r="V884" s="162">
        <v>30.25</v>
      </c>
      <c r="W884" s="207">
        <v>2.94</v>
      </c>
      <c r="X884" s="164">
        <v>62.370184180336935</v>
      </c>
      <c r="Y884" s="165"/>
      <c r="Z884" s="165">
        <v>4.4350000000000005</v>
      </c>
    </row>
    <row r="885" spans="3:26" ht="25" thickBot="1" x14ac:dyDescent="0.25">
      <c r="C885" s="93"/>
      <c r="D885" s="94" t="s">
        <v>435</v>
      </c>
      <c r="E885" s="360">
        <v>0.5625</v>
      </c>
      <c r="F885" s="361"/>
      <c r="G885" s="362"/>
      <c r="H885" s="294">
        <v>0.35416666666666663</v>
      </c>
      <c r="I885" s="400"/>
      <c r="J885" s="401"/>
      <c r="K885" s="402"/>
      <c r="L885" s="208">
        <v>0.79166666666666663</v>
      </c>
      <c r="M885" s="271">
        <v>0.64583333333333326</v>
      </c>
      <c r="N885" s="195"/>
      <c r="O885" s="166" t="s">
        <v>812</v>
      </c>
      <c r="P885" s="209">
        <v>0.05</v>
      </c>
      <c r="Q885" s="187">
        <v>0.10166666666666667</v>
      </c>
      <c r="R885" s="210">
        <v>7.0000000000000007E-2</v>
      </c>
      <c r="S885" s="170">
        <v>1</v>
      </c>
      <c r="T885" s="211">
        <v>0.2225</v>
      </c>
      <c r="U885" s="171">
        <v>-25.842827868856215</v>
      </c>
      <c r="V885" s="172">
        <v>30.25</v>
      </c>
      <c r="W885" s="212">
        <v>3.19</v>
      </c>
      <c r="X885" s="174">
        <v>82.438620901651319</v>
      </c>
      <c r="Y885" s="175"/>
      <c r="Z885" s="175"/>
    </row>
    <row r="886" spans="3:26" ht="25" thickBot="1" x14ac:dyDescent="0.25">
      <c r="C886" s="93"/>
      <c r="D886" s="96" t="s">
        <v>436</v>
      </c>
      <c r="E886" s="97" t="s">
        <v>29</v>
      </c>
      <c r="F886" s="97" t="s">
        <v>28</v>
      </c>
      <c r="G886" s="98" t="s">
        <v>27</v>
      </c>
      <c r="H886" s="287" t="s">
        <v>793</v>
      </c>
      <c r="I886" s="400"/>
      <c r="J886" s="401"/>
      <c r="K886" s="402"/>
      <c r="L886" s="287" t="s">
        <v>1002</v>
      </c>
      <c r="M886" s="288"/>
      <c r="N886" s="195"/>
      <c r="O886" s="154"/>
      <c r="P886" s="176"/>
      <c r="Q886" s="154"/>
      <c r="R886" s="154"/>
      <c r="S886" s="154"/>
      <c r="T886" s="154"/>
      <c r="U886" s="177"/>
      <c r="V886" s="178"/>
      <c r="W886" s="154"/>
      <c r="X886" s="177"/>
      <c r="Y886" s="155"/>
      <c r="Z886" s="155"/>
    </row>
    <row r="887" spans="3:26" ht="24" x14ac:dyDescent="0.2">
      <c r="C887" s="93"/>
      <c r="D887" s="99">
        <v>45610</v>
      </c>
      <c r="E887" s="113" t="s">
        <v>1031</v>
      </c>
      <c r="F887" s="113" t="s">
        <v>1032</v>
      </c>
      <c r="G887" s="113" t="s">
        <v>972</v>
      </c>
      <c r="H887" s="277">
        <v>0.5625</v>
      </c>
      <c r="I887" s="400"/>
      <c r="J887" s="401"/>
      <c r="K887" s="402"/>
      <c r="L887" s="272">
        <v>0.35416666666666663</v>
      </c>
      <c r="M887" s="289"/>
      <c r="N887" s="195"/>
      <c r="O887" s="179"/>
      <c r="P887" s="155"/>
      <c r="Q887" s="179"/>
      <c r="R887" s="179"/>
      <c r="S887" s="179"/>
      <c r="T887" s="179"/>
      <c r="U887" s="179"/>
      <c r="V887" s="179"/>
      <c r="W887" s="179"/>
      <c r="X887" s="179"/>
      <c r="Y887" s="155"/>
      <c r="Z887" s="155"/>
    </row>
    <row r="888" spans="3:26" ht="24" x14ac:dyDescent="0.2">
      <c r="C888" s="93"/>
      <c r="D888" s="99">
        <v>45603</v>
      </c>
      <c r="E888" s="113" t="s">
        <v>972</v>
      </c>
      <c r="F888" s="113" t="s">
        <v>973</v>
      </c>
      <c r="G888" s="113" t="s">
        <v>974</v>
      </c>
      <c r="H888" s="277">
        <v>0.5625</v>
      </c>
      <c r="I888" s="400"/>
      <c r="J888" s="401"/>
      <c r="K888" s="402"/>
      <c r="L888" s="272">
        <v>0.35416666666666663</v>
      </c>
      <c r="M888" s="290"/>
      <c r="N888" s="195"/>
      <c r="O888" s="146" t="s">
        <v>813</v>
      </c>
      <c r="P888" s="199">
        <v>-0.05</v>
      </c>
      <c r="Q888" s="180">
        <v>8.8383333333333342E-2</v>
      </c>
      <c r="R888" s="181">
        <v>7.0000000000000007E-2</v>
      </c>
      <c r="S888" s="150">
        <v>-1</v>
      </c>
      <c r="T888" s="156">
        <v>0.20257500000000001</v>
      </c>
      <c r="U888" s="182">
        <v>-23.528588114757518</v>
      </c>
      <c r="V888" s="183">
        <v>-30.25</v>
      </c>
      <c r="W888" s="150">
        <v>2.5</v>
      </c>
      <c r="X888" s="184">
        <v>58.821470286893799</v>
      </c>
      <c r="Y888" s="185"/>
      <c r="Z888" s="185"/>
    </row>
    <row r="889" spans="3:26" ht="24" x14ac:dyDescent="0.2">
      <c r="C889" s="93"/>
      <c r="D889" s="99">
        <v>45596</v>
      </c>
      <c r="E889" s="113" t="s">
        <v>975</v>
      </c>
      <c r="F889" s="113" t="s">
        <v>976</v>
      </c>
      <c r="G889" s="113" t="s">
        <v>977</v>
      </c>
      <c r="H889" s="277">
        <v>0.52083333333333337</v>
      </c>
      <c r="I889" s="400"/>
      <c r="J889" s="401"/>
      <c r="K889" s="402"/>
      <c r="L889" s="272">
        <v>0.3125</v>
      </c>
      <c r="M889" s="269"/>
      <c r="N889" s="195"/>
      <c r="O889" s="146" t="s">
        <v>813</v>
      </c>
      <c r="P889" s="199">
        <v>0.05</v>
      </c>
      <c r="Q889" s="180">
        <v>8.8383333333333342E-2</v>
      </c>
      <c r="R889" s="181">
        <v>7.0000000000000007E-2</v>
      </c>
      <c r="S889" s="150">
        <v>1</v>
      </c>
      <c r="T889" s="156">
        <v>0.20257500000000001</v>
      </c>
      <c r="U889" s="182">
        <v>-23.528588114757518</v>
      </c>
      <c r="V889" s="183">
        <v>30.25</v>
      </c>
      <c r="W889" s="150">
        <v>2.5</v>
      </c>
      <c r="X889" s="184">
        <v>58.821470286893799</v>
      </c>
      <c r="Y889" s="185"/>
      <c r="Z889" s="185"/>
    </row>
    <row r="890" spans="3:26" ht="24" x14ac:dyDescent="0.2">
      <c r="C890" s="93"/>
      <c r="D890" s="99">
        <v>45589</v>
      </c>
      <c r="E890" s="113" t="s">
        <v>978</v>
      </c>
      <c r="F890" s="113" t="s">
        <v>979</v>
      </c>
      <c r="G890" s="113" t="s">
        <v>980</v>
      </c>
      <c r="H890" s="277">
        <v>0.52083333333333337</v>
      </c>
      <c r="I890" s="400"/>
      <c r="J890" s="401"/>
      <c r="K890" s="402"/>
      <c r="L890" s="272">
        <v>0.3125</v>
      </c>
      <c r="M890" s="269"/>
      <c r="N890" s="195"/>
      <c r="O890" s="146" t="s">
        <v>816</v>
      </c>
      <c r="P890" s="147"/>
      <c r="Q890" s="180"/>
      <c r="R890" s="181"/>
      <c r="S890" s="150"/>
      <c r="T890" s="147"/>
      <c r="U890" s="182"/>
      <c r="V890" s="183"/>
      <c r="W890" s="150"/>
      <c r="X890" s="184"/>
      <c r="Y890" s="185"/>
      <c r="Z890" s="185"/>
    </row>
    <row r="891" spans="3:26" ht="24" x14ac:dyDescent="0.2">
      <c r="C891" s="93"/>
      <c r="D891" s="99">
        <v>45582</v>
      </c>
      <c r="E891" s="113" t="s">
        <v>981</v>
      </c>
      <c r="F891" s="113" t="s">
        <v>981</v>
      </c>
      <c r="G891" s="113" t="s">
        <v>982</v>
      </c>
      <c r="H891" s="277">
        <v>0.52083333333333337</v>
      </c>
      <c r="I891" s="400"/>
      <c r="J891" s="401"/>
      <c r="K891" s="402"/>
      <c r="L891" s="272">
        <v>0.3125</v>
      </c>
      <c r="M891" s="269"/>
      <c r="N891" s="195"/>
      <c r="O891" s="91"/>
      <c r="P891" s="91"/>
      <c r="Q891" s="91"/>
      <c r="R891" s="91"/>
      <c r="S891" s="91"/>
      <c r="T891" s="91"/>
      <c r="U891" s="91"/>
      <c r="V891" s="91"/>
      <c r="W891" s="91"/>
      <c r="X891" s="91"/>
      <c r="Y891" s="91"/>
      <c r="Z891" s="91"/>
    </row>
    <row r="892" spans="3:26" ht="25" thickBot="1" x14ac:dyDescent="0.25">
      <c r="C892" s="93"/>
      <c r="D892" s="99">
        <v>45575</v>
      </c>
      <c r="E892" s="113" t="s">
        <v>983</v>
      </c>
      <c r="F892" s="113" t="s">
        <v>984</v>
      </c>
      <c r="G892" s="113" t="s">
        <v>985</v>
      </c>
      <c r="H892" s="291">
        <v>0.52083333333333337</v>
      </c>
      <c r="I892" s="403"/>
      <c r="J892" s="404"/>
      <c r="K892" s="405"/>
      <c r="L892" s="292">
        <v>0.3125</v>
      </c>
      <c r="M892" s="280"/>
      <c r="N892" s="195"/>
      <c r="O892" s="91"/>
      <c r="P892" s="91"/>
      <c r="Q892" s="91"/>
      <c r="R892" s="91"/>
      <c r="S892" s="91"/>
      <c r="T892" s="91"/>
      <c r="U892" s="91"/>
      <c r="V892" s="91"/>
      <c r="W892" s="91"/>
      <c r="X892" s="91"/>
      <c r="Y892" s="91"/>
      <c r="Z892" s="91"/>
    </row>
    <row r="893" spans="3:26" ht="73" thickBot="1" x14ac:dyDescent="0.25">
      <c r="C893" s="93">
        <v>7</v>
      </c>
      <c r="D893" s="123" t="s">
        <v>30</v>
      </c>
      <c r="E893" s="363" t="s">
        <v>1016</v>
      </c>
      <c r="F893" s="364"/>
      <c r="G893" s="365"/>
      <c r="H893" s="265" t="s">
        <v>790</v>
      </c>
      <c r="I893" s="406" t="s">
        <v>633</v>
      </c>
      <c r="J893" s="407"/>
      <c r="K893" s="408"/>
      <c r="L893" s="266" t="s">
        <v>430</v>
      </c>
      <c r="M893" s="267" t="s">
        <v>431</v>
      </c>
      <c r="N893" s="195" t="s">
        <v>105</v>
      </c>
      <c r="O893" s="145" t="s">
        <v>800</v>
      </c>
      <c r="P893" s="145" t="s">
        <v>801</v>
      </c>
      <c r="Q893" s="145" t="s">
        <v>802</v>
      </c>
      <c r="R893" s="145" t="s">
        <v>803</v>
      </c>
      <c r="S893" s="145" t="s">
        <v>804</v>
      </c>
      <c r="T893" s="145" t="s">
        <v>805</v>
      </c>
      <c r="U893" s="145" t="s">
        <v>806</v>
      </c>
      <c r="V893" s="145" t="s">
        <v>807</v>
      </c>
      <c r="W893" s="145" t="s">
        <v>808</v>
      </c>
      <c r="X893" s="145" t="s">
        <v>809</v>
      </c>
      <c r="Y893" s="145" t="s">
        <v>75</v>
      </c>
      <c r="Z893" s="145" t="s">
        <v>75</v>
      </c>
    </row>
    <row r="894" spans="3:26" ht="24" x14ac:dyDescent="0.2">
      <c r="C894" s="93"/>
      <c r="D894" s="122" t="s">
        <v>432</v>
      </c>
      <c r="E894" s="342"/>
      <c r="F894" s="343"/>
      <c r="G894" s="344"/>
      <c r="H894" s="268" t="s">
        <v>906</v>
      </c>
      <c r="I894" s="397" t="s">
        <v>1017</v>
      </c>
      <c r="J894" s="398"/>
      <c r="K894" s="399"/>
      <c r="L894" s="198"/>
      <c r="M894" s="269"/>
      <c r="N894" s="195"/>
      <c r="O894" s="146" t="s">
        <v>810</v>
      </c>
      <c r="P894" s="199">
        <v>0.1</v>
      </c>
      <c r="Q894" s="200">
        <v>3.9E-2</v>
      </c>
      <c r="R894" s="201">
        <v>1.7000000000024329E-2</v>
      </c>
      <c r="S894" s="150"/>
      <c r="T894" s="146">
        <v>7.5500000000024325E-2</v>
      </c>
      <c r="U894" s="200">
        <v>-17.670000000000002</v>
      </c>
      <c r="V894" s="199">
        <v>60.23</v>
      </c>
      <c r="W894" s="199"/>
      <c r="X894" s="184"/>
      <c r="Y894" s="151"/>
      <c r="Z894" s="151"/>
    </row>
    <row r="895" spans="3:26" ht="24" x14ac:dyDescent="0.2">
      <c r="C895" s="93"/>
      <c r="D895" s="92" t="s">
        <v>433</v>
      </c>
      <c r="E895" s="357"/>
      <c r="F895" s="358"/>
      <c r="G895" s="359"/>
      <c r="H895" s="268" t="s">
        <v>907</v>
      </c>
      <c r="I895" s="400"/>
      <c r="J895" s="401"/>
      <c r="K895" s="402"/>
      <c r="L895" s="198"/>
      <c r="M895" s="269"/>
      <c r="N895" s="195"/>
      <c r="O895" s="152"/>
      <c r="P895" s="152"/>
      <c r="Q895" s="152"/>
      <c r="R895" s="153"/>
      <c r="S895" s="154"/>
      <c r="T895" s="152"/>
      <c r="U895" s="152"/>
      <c r="V895" s="152"/>
      <c r="W895" s="152"/>
      <c r="X895" s="154"/>
      <c r="Y895" s="155"/>
      <c r="Z895" s="155"/>
    </row>
    <row r="896" spans="3:26" ht="24" x14ac:dyDescent="0.2">
      <c r="C896" s="93"/>
      <c r="D896" s="92" t="s">
        <v>434</v>
      </c>
      <c r="E896" s="372">
        <v>10.3</v>
      </c>
      <c r="F896" s="373"/>
      <c r="G896" s="374"/>
      <c r="H896" s="270"/>
      <c r="I896" s="400"/>
      <c r="J896" s="401"/>
      <c r="K896" s="402"/>
      <c r="L896" s="198"/>
      <c r="M896" s="269"/>
      <c r="N896" s="195"/>
      <c r="O896" s="156" t="s">
        <v>811</v>
      </c>
      <c r="P896" s="204">
        <v>0.1</v>
      </c>
      <c r="Q896" s="205">
        <v>7.6399999999999996E-2</v>
      </c>
      <c r="R896" s="206">
        <v>1.7000000000000001E-2</v>
      </c>
      <c r="S896" s="220">
        <v>1</v>
      </c>
      <c r="T896" s="156">
        <v>0.13159999999999999</v>
      </c>
      <c r="U896" s="161">
        <v>-30.799629139062926</v>
      </c>
      <c r="V896" s="162">
        <v>60.5</v>
      </c>
      <c r="W896" s="221">
        <v>4.29</v>
      </c>
      <c r="X896" s="164">
        <v>132.13040900657995</v>
      </c>
      <c r="Y896" s="165"/>
      <c r="Z896" s="165"/>
    </row>
    <row r="897" spans="3:26" ht="25" thickBot="1" x14ac:dyDescent="0.25">
      <c r="C897" s="93"/>
      <c r="D897" s="94" t="s">
        <v>435</v>
      </c>
      <c r="E897" s="360">
        <v>0.5625</v>
      </c>
      <c r="F897" s="361"/>
      <c r="G897" s="362"/>
      <c r="H897" s="294">
        <v>0.35416666666666663</v>
      </c>
      <c r="I897" s="400"/>
      <c r="J897" s="401"/>
      <c r="K897" s="402"/>
      <c r="L897" s="208">
        <v>0.79166666666666663</v>
      </c>
      <c r="M897" s="271">
        <v>0.64583333333333326</v>
      </c>
      <c r="N897" s="195"/>
      <c r="O897" s="166" t="s">
        <v>812</v>
      </c>
      <c r="P897" s="209">
        <v>0.1</v>
      </c>
      <c r="Q897" s="187">
        <v>6.5266666666666667E-2</v>
      </c>
      <c r="R897" s="210">
        <v>1.7000000000000001E-2</v>
      </c>
      <c r="S897" s="222">
        <v>1</v>
      </c>
      <c r="T897" s="211">
        <v>0.1149</v>
      </c>
      <c r="U897" s="171">
        <v>-26.891165562905247</v>
      </c>
      <c r="V897" s="172">
        <v>60.5</v>
      </c>
      <c r="W897" s="223">
        <v>4.9249999999999998</v>
      </c>
      <c r="X897" s="174">
        <v>132.43899039730834</v>
      </c>
      <c r="Y897" s="175"/>
      <c r="Z897" s="175"/>
    </row>
    <row r="898" spans="3:26" ht="25" thickBot="1" x14ac:dyDescent="0.25">
      <c r="C898" s="93"/>
      <c r="D898" s="96" t="s">
        <v>436</v>
      </c>
      <c r="E898" s="255" t="s">
        <v>29</v>
      </c>
      <c r="F898" s="255" t="s">
        <v>28</v>
      </c>
      <c r="G898" s="256" t="s">
        <v>27</v>
      </c>
      <c r="H898" s="287" t="s">
        <v>793</v>
      </c>
      <c r="I898" s="400"/>
      <c r="J898" s="401"/>
      <c r="K898" s="402"/>
      <c r="L898" s="287" t="s">
        <v>1002</v>
      </c>
      <c r="M898" s="288"/>
      <c r="N898" s="195"/>
      <c r="O898" s="154"/>
      <c r="P898" s="176"/>
      <c r="Q898" s="154"/>
      <c r="R898" s="154"/>
      <c r="S898" s="224"/>
      <c r="T898" s="154"/>
      <c r="U898" s="177"/>
      <c r="V898" s="178"/>
      <c r="W898" s="225"/>
      <c r="X898" s="177"/>
      <c r="Y898" s="155"/>
      <c r="Z898" s="155"/>
    </row>
    <row r="899" spans="3:26" ht="24" x14ac:dyDescent="0.2">
      <c r="C899" s="93"/>
      <c r="D899" s="99">
        <v>45582</v>
      </c>
      <c r="E899" s="263">
        <v>10.3</v>
      </c>
      <c r="F899" s="263" t="s">
        <v>1033</v>
      </c>
      <c r="G899" s="263">
        <v>1.7</v>
      </c>
      <c r="H899" s="277">
        <v>0.52083333333333337</v>
      </c>
      <c r="I899" s="400"/>
      <c r="J899" s="401"/>
      <c r="K899" s="402"/>
      <c r="L899" s="272">
        <v>0.3125</v>
      </c>
      <c r="M899" s="289"/>
      <c r="N899" s="195"/>
      <c r="O899" s="179"/>
      <c r="P899" s="155"/>
      <c r="Q899" s="179"/>
      <c r="R899" s="179"/>
      <c r="S899" s="224"/>
      <c r="T899" s="179"/>
      <c r="U899" s="179"/>
      <c r="V899" s="179"/>
      <c r="W899" s="227"/>
      <c r="X899" s="179"/>
      <c r="Y899" s="155"/>
      <c r="Z899" s="155"/>
    </row>
    <row r="900" spans="3:26" ht="24" x14ac:dyDescent="0.2">
      <c r="C900" s="93"/>
      <c r="D900" s="99">
        <v>45554</v>
      </c>
      <c r="E900" s="263">
        <v>1.7</v>
      </c>
      <c r="F900" s="263" t="s">
        <v>1034</v>
      </c>
      <c r="G900" s="263">
        <v>-7</v>
      </c>
      <c r="H900" s="277">
        <v>0.52083333333333337</v>
      </c>
      <c r="I900" s="400"/>
      <c r="J900" s="401"/>
      <c r="K900" s="402"/>
      <c r="L900" s="272">
        <v>0.3125</v>
      </c>
      <c r="M900" s="290"/>
      <c r="N900" s="195"/>
      <c r="O900" s="146" t="s">
        <v>813</v>
      </c>
      <c r="P900" s="228">
        <v>0.1</v>
      </c>
      <c r="Q900" s="180">
        <v>6.5266666666666667E-2</v>
      </c>
      <c r="R900" s="181">
        <v>1.7000000000000001E-2</v>
      </c>
      <c r="S900" s="228">
        <v>1</v>
      </c>
      <c r="T900" s="229">
        <v>0.1149</v>
      </c>
      <c r="U900" s="182">
        <v>-26.891165562905247</v>
      </c>
      <c r="V900" s="183">
        <v>60.5</v>
      </c>
      <c r="W900" s="230">
        <v>3</v>
      </c>
      <c r="X900" s="184">
        <v>80.673496688715744</v>
      </c>
      <c r="Y900" s="185"/>
      <c r="Z900" s="185"/>
    </row>
    <row r="901" spans="3:26" ht="24" x14ac:dyDescent="0.2">
      <c r="C901" s="93"/>
      <c r="D901" s="99">
        <v>45519</v>
      </c>
      <c r="E901" s="263">
        <v>-7</v>
      </c>
      <c r="F901" s="263" t="s">
        <v>1035</v>
      </c>
      <c r="G901" s="263">
        <v>13.9</v>
      </c>
      <c r="H901" s="277">
        <v>0.52083333333333337</v>
      </c>
      <c r="I901" s="400"/>
      <c r="J901" s="401"/>
      <c r="K901" s="402"/>
      <c r="L901" s="272">
        <v>0.3125</v>
      </c>
      <c r="M901" s="269"/>
      <c r="N901" s="195"/>
      <c r="O901" s="146" t="s">
        <v>813</v>
      </c>
      <c r="P901" s="228">
        <v>0.1</v>
      </c>
      <c r="Q901" s="180">
        <v>6.5266666666666667E-2</v>
      </c>
      <c r="R901" s="181">
        <v>1.7000000000000001E-2</v>
      </c>
      <c r="S901" s="228">
        <v>1</v>
      </c>
      <c r="T901" s="229">
        <v>0.1149</v>
      </c>
      <c r="U901" s="182">
        <v>-26.891165562905247</v>
      </c>
      <c r="V901" s="183">
        <v>60.5</v>
      </c>
      <c r="W901" s="230">
        <v>3</v>
      </c>
      <c r="X901" s="184">
        <v>80.673496688715744</v>
      </c>
      <c r="Y901" s="185"/>
      <c r="Z901" s="185"/>
    </row>
    <row r="902" spans="3:26" ht="24" x14ac:dyDescent="0.2">
      <c r="C902" s="93"/>
      <c r="D902" s="99">
        <v>45491</v>
      </c>
      <c r="E902" s="263">
        <v>13.9</v>
      </c>
      <c r="F902" s="263" t="s">
        <v>1036</v>
      </c>
      <c r="G902" s="263">
        <v>1.3</v>
      </c>
      <c r="H902" s="277">
        <v>0.52083333333333337</v>
      </c>
      <c r="I902" s="400"/>
      <c r="J902" s="401"/>
      <c r="K902" s="402"/>
      <c r="L902" s="272">
        <v>0.3125</v>
      </c>
      <c r="M902" s="269"/>
      <c r="N902" s="195"/>
      <c r="O902" s="146"/>
      <c r="P902" s="147"/>
      <c r="Q902" s="180"/>
      <c r="R902" s="181"/>
      <c r="S902" s="150"/>
      <c r="T902" s="147"/>
      <c r="U902" s="182"/>
      <c r="V902" s="183"/>
      <c r="W902" s="150"/>
      <c r="X902" s="184"/>
      <c r="Y902" s="185"/>
      <c r="Z902" s="185"/>
    </row>
    <row r="903" spans="3:26" ht="24" x14ac:dyDescent="0.2">
      <c r="C903" s="93"/>
      <c r="D903" s="99">
        <v>45463</v>
      </c>
      <c r="E903" s="263">
        <v>1.3</v>
      </c>
      <c r="F903" s="263" t="s">
        <v>1037</v>
      </c>
      <c r="G903" s="263">
        <v>4.5</v>
      </c>
      <c r="H903" s="277">
        <v>0.52083333333333337</v>
      </c>
      <c r="I903" s="400"/>
      <c r="J903" s="401"/>
      <c r="K903" s="402"/>
      <c r="L903" s="272">
        <v>0.3125</v>
      </c>
      <c r="M903" s="269"/>
      <c r="N903" s="195"/>
      <c r="O903" s="91"/>
      <c r="P903" s="91"/>
      <c r="Q903" s="91"/>
      <c r="R903" s="91"/>
      <c r="S903" s="91"/>
      <c r="T903" s="91"/>
      <c r="U903" s="91"/>
      <c r="V903" s="91"/>
      <c r="W903" s="91"/>
      <c r="X903" s="91"/>
      <c r="Y903" s="91"/>
      <c r="Z903" s="91"/>
    </row>
    <row r="904" spans="3:26" ht="25" thickBot="1" x14ac:dyDescent="0.25">
      <c r="C904" s="93"/>
      <c r="D904" s="99">
        <v>45428</v>
      </c>
      <c r="E904" s="263">
        <v>4.5</v>
      </c>
      <c r="F904" s="263" t="s">
        <v>1038</v>
      </c>
      <c r="G904" s="263">
        <v>15.5</v>
      </c>
      <c r="H904" s="291">
        <v>0.52083333333333337</v>
      </c>
      <c r="I904" s="403"/>
      <c r="J904" s="404"/>
      <c r="K904" s="405"/>
      <c r="L904" s="292">
        <v>0.3125</v>
      </c>
      <c r="M904" s="280"/>
      <c r="N904" s="195"/>
      <c r="O904" s="91"/>
      <c r="P904" s="91"/>
      <c r="Q904" s="91"/>
      <c r="R904" s="91"/>
      <c r="S904" s="91"/>
      <c r="T904" s="91"/>
      <c r="U904" s="91"/>
      <c r="V904" s="91"/>
      <c r="W904" s="91"/>
      <c r="X904" s="91"/>
      <c r="Y904" s="91"/>
      <c r="Z904" s="91"/>
    </row>
    <row r="905" spans="3:26" ht="73" thickBot="1" x14ac:dyDescent="0.25">
      <c r="C905" s="93">
        <v>8</v>
      </c>
      <c r="D905" s="123" t="s">
        <v>30</v>
      </c>
      <c r="E905" s="363" t="s">
        <v>1018</v>
      </c>
      <c r="F905" s="364"/>
      <c r="G905" s="365"/>
      <c r="H905" s="265" t="s">
        <v>790</v>
      </c>
      <c r="I905" s="406" t="s">
        <v>633</v>
      </c>
      <c r="J905" s="407"/>
      <c r="K905" s="408"/>
      <c r="L905" s="266" t="s">
        <v>430</v>
      </c>
      <c r="M905" s="267" t="s">
        <v>431</v>
      </c>
      <c r="N905" s="195" t="s">
        <v>105</v>
      </c>
      <c r="O905" s="145" t="s">
        <v>800</v>
      </c>
      <c r="P905" s="145" t="s">
        <v>801</v>
      </c>
      <c r="Q905" s="145" t="s">
        <v>802</v>
      </c>
      <c r="R905" s="145" t="s">
        <v>803</v>
      </c>
      <c r="S905" s="145" t="s">
        <v>804</v>
      </c>
      <c r="T905" s="145" t="s">
        <v>805</v>
      </c>
      <c r="U905" s="145" t="s">
        <v>806</v>
      </c>
      <c r="V905" s="145" t="s">
        <v>807</v>
      </c>
      <c r="W905" s="145" t="s">
        <v>808</v>
      </c>
      <c r="X905" s="145" t="s">
        <v>809</v>
      </c>
      <c r="Y905" s="145" t="s">
        <v>75</v>
      </c>
      <c r="Z905" s="145" t="s">
        <v>75</v>
      </c>
    </row>
    <row r="906" spans="3:26" ht="24" x14ac:dyDescent="0.2">
      <c r="C906" s="195"/>
      <c r="D906" s="122" t="s">
        <v>432</v>
      </c>
      <c r="E906" s="342"/>
      <c r="F906" s="343"/>
      <c r="G906" s="344"/>
      <c r="H906" s="268" t="s">
        <v>906</v>
      </c>
      <c r="I906" s="397" t="s">
        <v>1020</v>
      </c>
      <c r="J906" s="398"/>
      <c r="K906" s="399"/>
      <c r="L906" s="198"/>
      <c r="M906" s="269"/>
      <c r="N906" s="195"/>
      <c r="O906" s="146" t="s">
        <v>810</v>
      </c>
      <c r="P906" s="199">
        <v>0.1</v>
      </c>
      <c r="Q906" s="200">
        <v>3.9E-2</v>
      </c>
      <c r="R906" s="201">
        <v>1.7000000000024329E-2</v>
      </c>
      <c r="S906" s="150"/>
      <c r="T906" s="146">
        <v>7.5500000000024325E-2</v>
      </c>
      <c r="U906" s="200">
        <v>-17.670000000000002</v>
      </c>
      <c r="V906" s="199">
        <v>60.23</v>
      </c>
      <c r="W906" s="199"/>
      <c r="X906" s="184"/>
      <c r="Y906" s="151"/>
      <c r="Z906" s="151"/>
    </row>
    <row r="907" spans="3:26" ht="24" x14ac:dyDescent="0.2">
      <c r="C907" s="195"/>
      <c r="D907" s="92" t="s">
        <v>433</v>
      </c>
      <c r="E907" s="357" t="s">
        <v>707</v>
      </c>
      <c r="F907" s="358"/>
      <c r="G907" s="359"/>
      <c r="H907" s="268" t="s">
        <v>907</v>
      </c>
      <c r="I907" s="400"/>
      <c r="J907" s="401"/>
      <c r="K907" s="402"/>
      <c r="L907" s="198"/>
      <c r="M907" s="269"/>
      <c r="N907" s="195"/>
      <c r="O907" s="152"/>
      <c r="P907" s="152"/>
      <c r="Q907" s="152"/>
      <c r="R907" s="153"/>
      <c r="S907" s="154"/>
      <c r="T907" s="152"/>
      <c r="U907" s="152"/>
      <c r="V907" s="152"/>
      <c r="W907" s="152"/>
      <c r="X907" s="154"/>
      <c r="Y907" s="155"/>
      <c r="Z907" s="155"/>
    </row>
    <row r="908" spans="3:26" ht="24" x14ac:dyDescent="0.2">
      <c r="C908" s="195"/>
      <c r="D908" s="92" t="s">
        <v>434</v>
      </c>
      <c r="E908" s="357" t="s">
        <v>1019</v>
      </c>
      <c r="F908" s="358"/>
      <c r="G908" s="359"/>
      <c r="H908" s="270"/>
      <c r="I908" s="400"/>
      <c r="J908" s="401"/>
      <c r="K908" s="402"/>
      <c r="L908" s="198"/>
      <c r="M908" s="269"/>
      <c r="N908" s="195"/>
      <c r="O908" s="156" t="s">
        <v>811</v>
      </c>
      <c r="P908" s="204">
        <v>0.1</v>
      </c>
      <c r="Q908" s="205">
        <v>3.9100000000000003E-2</v>
      </c>
      <c r="R908" s="206">
        <v>1.4E-2</v>
      </c>
      <c r="S908" s="220">
        <v>1</v>
      </c>
      <c r="T908" s="156">
        <v>7.2650000000000006E-2</v>
      </c>
      <c r="U908" s="161">
        <v>-17.002986754961412</v>
      </c>
      <c r="V908" s="162">
        <v>60.5</v>
      </c>
      <c r="W908" s="221">
        <v>4.29</v>
      </c>
      <c r="X908" s="164">
        <v>72.942813178784462</v>
      </c>
      <c r="Y908" s="165"/>
      <c r="Z908" s="165"/>
    </row>
    <row r="909" spans="3:26" ht="25" thickBot="1" x14ac:dyDescent="0.25">
      <c r="C909" s="195"/>
      <c r="D909" s="94" t="s">
        <v>435</v>
      </c>
      <c r="E909" s="360">
        <v>0.625</v>
      </c>
      <c r="F909" s="361"/>
      <c r="G909" s="362"/>
      <c r="H909" s="294">
        <v>0.41666666666666663</v>
      </c>
      <c r="I909" s="400"/>
      <c r="J909" s="401"/>
      <c r="K909" s="402"/>
      <c r="L909" s="208">
        <v>0.85416666666666663</v>
      </c>
      <c r="M909" s="271">
        <v>0.70833333333333326</v>
      </c>
      <c r="N909" s="195"/>
      <c r="O909" s="166" t="s">
        <v>812</v>
      </c>
      <c r="P909" s="209">
        <v>0.1</v>
      </c>
      <c r="Q909" s="187">
        <v>4.9933333333333337E-2</v>
      </c>
      <c r="R909" s="210">
        <v>1.4E-2</v>
      </c>
      <c r="S909" s="222">
        <v>1</v>
      </c>
      <c r="T909" s="211">
        <v>8.8900000000000007E-2</v>
      </c>
      <c r="U909" s="171">
        <v>-20.806132450324426</v>
      </c>
      <c r="V909" s="172">
        <v>60.5</v>
      </c>
      <c r="W909" s="223">
        <v>4.9249999999999998</v>
      </c>
      <c r="X909" s="174">
        <v>102.47020231784779</v>
      </c>
      <c r="Y909" s="175"/>
      <c r="Z909" s="175"/>
    </row>
    <row r="910" spans="3:26" ht="25" thickBot="1" x14ac:dyDescent="0.25">
      <c r="C910" s="195"/>
      <c r="D910" s="96" t="s">
        <v>436</v>
      </c>
      <c r="E910" s="97" t="s">
        <v>29</v>
      </c>
      <c r="F910" s="97" t="s">
        <v>28</v>
      </c>
      <c r="G910" s="98" t="s">
        <v>27</v>
      </c>
      <c r="H910" s="287" t="s">
        <v>793</v>
      </c>
      <c r="I910" s="400"/>
      <c r="J910" s="401"/>
      <c r="K910" s="402"/>
      <c r="L910" s="287" t="s">
        <v>1002</v>
      </c>
      <c r="M910" s="288"/>
      <c r="N910" s="195"/>
      <c r="O910" s="154"/>
      <c r="P910" s="176"/>
      <c r="Q910" s="154"/>
      <c r="R910" s="154"/>
      <c r="S910" s="224"/>
      <c r="T910" s="154"/>
      <c r="U910" s="177"/>
      <c r="V910" s="178"/>
      <c r="W910" s="225"/>
      <c r="X910" s="177"/>
      <c r="Y910" s="155"/>
      <c r="Z910" s="155"/>
    </row>
    <row r="911" spans="3:26" ht="24" x14ac:dyDescent="0.2">
      <c r="C911" s="195"/>
      <c r="D911" s="99">
        <v>45588</v>
      </c>
      <c r="E911" s="113" t="s">
        <v>1039</v>
      </c>
      <c r="F911" s="113" t="s">
        <v>1040</v>
      </c>
      <c r="G911" s="113" t="s">
        <v>1040</v>
      </c>
      <c r="H911" s="277">
        <v>0.58333333333333337</v>
      </c>
      <c r="I911" s="400"/>
      <c r="J911" s="401"/>
      <c r="K911" s="402"/>
      <c r="L911" s="272">
        <v>0.375</v>
      </c>
      <c r="M911" s="289"/>
      <c r="N911" s="195"/>
      <c r="O911" s="179"/>
      <c r="P911" s="155"/>
      <c r="Q911" s="179"/>
      <c r="R911" s="179"/>
      <c r="S911" s="224"/>
      <c r="T911" s="179"/>
      <c r="U911" s="179"/>
      <c r="V911" s="179"/>
      <c r="W911" s="227"/>
      <c r="X911" s="179"/>
      <c r="Y911" s="155"/>
      <c r="Z911" s="155"/>
    </row>
    <row r="912" spans="3:26" ht="24" x14ac:dyDescent="0.2">
      <c r="C912" s="195"/>
      <c r="D912" s="99">
        <v>45554</v>
      </c>
      <c r="E912" s="113" t="s">
        <v>1041</v>
      </c>
      <c r="F912" s="113" t="s">
        <v>1042</v>
      </c>
      <c r="G912" s="113" t="s">
        <v>1043</v>
      </c>
      <c r="H912" s="277">
        <v>0.58333333333333337</v>
      </c>
      <c r="I912" s="400"/>
      <c r="J912" s="401"/>
      <c r="K912" s="402"/>
      <c r="L912" s="272">
        <v>0.375</v>
      </c>
      <c r="M912" s="290"/>
      <c r="N912" s="195"/>
      <c r="O912" s="146" t="s">
        <v>813</v>
      </c>
      <c r="P912" s="228">
        <v>0.1</v>
      </c>
      <c r="Q912" s="180">
        <v>4.9933333333333337E-2</v>
      </c>
      <c r="R912" s="181">
        <v>1.4E-2</v>
      </c>
      <c r="S912" s="228">
        <v>1</v>
      </c>
      <c r="T912" s="229">
        <v>8.8900000000000007E-2</v>
      </c>
      <c r="U912" s="182">
        <v>-20.806132450324426</v>
      </c>
      <c r="V912" s="183">
        <v>60.5</v>
      </c>
      <c r="W912" s="230">
        <v>2</v>
      </c>
      <c r="X912" s="184">
        <v>41.612264900648853</v>
      </c>
      <c r="Y912" s="185"/>
      <c r="Z912" s="185"/>
    </row>
    <row r="913" spans="3:26" ht="24" x14ac:dyDescent="0.2">
      <c r="C913" s="195"/>
      <c r="D913" s="99">
        <v>45526</v>
      </c>
      <c r="E913" s="113" t="s">
        <v>1044</v>
      </c>
      <c r="F913" s="113" t="s">
        <v>1045</v>
      </c>
      <c r="G913" s="113" t="s">
        <v>1046</v>
      </c>
      <c r="H913" s="277">
        <v>0.58333333333333337</v>
      </c>
      <c r="I913" s="400"/>
      <c r="J913" s="401"/>
      <c r="K913" s="402"/>
      <c r="L913" s="272">
        <v>0.375</v>
      </c>
      <c r="M913" s="269"/>
      <c r="N913" s="195"/>
      <c r="O913" s="146" t="s">
        <v>813</v>
      </c>
      <c r="P913" s="228">
        <v>0.1</v>
      </c>
      <c r="Q913" s="180">
        <v>4.9933333333333337E-2</v>
      </c>
      <c r="R913" s="181">
        <v>1.4E-2</v>
      </c>
      <c r="S913" s="228">
        <v>1</v>
      </c>
      <c r="T913" s="229">
        <v>8.8900000000000007E-2</v>
      </c>
      <c r="U913" s="182">
        <v>-20.806132450324426</v>
      </c>
      <c r="V913" s="183">
        <v>60.5</v>
      </c>
      <c r="W913" s="230">
        <v>2</v>
      </c>
      <c r="X913" s="184">
        <v>41.612264900648853</v>
      </c>
      <c r="Y913" s="185"/>
      <c r="Z913" s="185"/>
    </row>
    <row r="914" spans="3:26" ht="24" x14ac:dyDescent="0.2">
      <c r="C914" s="195"/>
      <c r="D914" s="99">
        <v>45496</v>
      </c>
      <c r="E914" s="113" t="s">
        <v>1047</v>
      </c>
      <c r="F914" s="113" t="s">
        <v>1048</v>
      </c>
      <c r="G914" s="113" t="s">
        <v>1049</v>
      </c>
      <c r="H914" s="277">
        <v>0.58333333333333337</v>
      </c>
      <c r="I914" s="400"/>
      <c r="J914" s="401"/>
      <c r="K914" s="402"/>
      <c r="L914" s="272">
        <v>0.375</v>
      </c>
      <c r="M914" s="269"/>
      <c r="N914" s="195"/>
      <c r="O914" s="146"/>
      <c r="P914" s="147"/>
      <c r="Q914" s="180"/>
      <c r="R914" s="181"/>
      <c r="S914" s="150"/>
      <c r="T914" s="147"/>
      <c r="U914" s="182"/>
      <c r="V914" s="183"/>
      <c r="W914" s="150"/>
      <c r="X914" s="184"/>
      <c r="Y914" s="185"/>
      <c r="Z914" s="185"/>
    </row>
    <row r="915" spans="3:26" ht="24" x14ac:dyDescent="0.2">
      <c r="C915" s="195"/>
      <c r="D915" s="99">
        <v>45464</v>
      </c>
      <c r="E915" s="113" t="s">
        <v>1049</v>
      </c>
      <c r="F915" s="113" t="s">
        <v>1050</v>
      </c>
      <c r="G915" s="113" t="s">
        <v>1051</v>
      </c>
      <c r="H915" s="277">
        <v>0.58333333333333337</v>
      </c>
      <c r="I915" s="400"/>
      <c r="J915" s="401"/>
      <c r="K915" s="402"/>
      <c r="L915" s="272">
        <v>0.375</v>
      </c>
      <c r="M915" s="269"/>
      <c r="N915" s="195"/>
      <c r="O915" s="91"/>
      <c r="P915" s="91"/>
      <c r="Q915" s="91"/>
      <c r="R915" s="91"/>
      <c r="S915" s="91"/>
      <c r="T915" s="91"/>
      <c r="U915" s="91"/>
      <c r="V915" s="91"/>
      <c r="W915" s="91"/>
      <c r="X915" s="91"/>
      <c r="Y915" s="91"/>
      <c r="Z915" s="91"/>
    </row>
    <row r="916" spans="3:26" ht="25" thickBot="1" x14ac:dyDescent="0.25">
      <c r="C916" s="195"/>
      <c r="D916" s="99">
        <v>45434</v>
      </c>
      <c r="E916" s="113" t="s">
        <v>1051</v>
      </c>
      <c r="F916" s="113" t="s">
        <v>1052</v>
      </c>
      <c r="G916" s="113" t="s">
        <v>1053</v>
      </c>
      <c r="H916" s="291">
        <v>0.58333333333333337</v>
      </c>
      <c r="I916" s="403"/>
      <c r="J916" s="404"/>
      <c r="K916" s="405"/>
      <c r="L916" s="272">
        <v>0.375</v>
      </c>
      <c r="M916" s="280"/>
      <c r="N916" s="195"/>
      <c r="O916" s="91"/>
      <c r="P916" s="91"/>
      <c r="Q916" s="91"/>
      <c r="R916" s="91"/>
      <c r="S916" s="91"/>
      <c r="T916" s="91"/>
      <c r="U916" s="91"/>
      <c r="V916" s="91"/>
      <c r="W916" s="91"/>
      <c r="X916" s="91"/>
      <c r="Y916" s="91"/>
      <c r="Z916" s="91"/>
    </row>
    <row r="917" spans="3:26" ht="73" thickBot="1" x14ac:dyDescent="0.25">
      <c r="C917" s="93">
        <v>9</v>
      </c>
      <c r="D917" s="123" t="s">
        <v>30</v>
      </c>
      <c r="E917" s="363" t="s">
        <v>1021</v>
      </c>
      <c r="F917" s="364"/>
      <c r="G917" s="365"/>
      <c r="H917" s="265" t="s">
        <v>790</v>
      </c>
      <c r="I917" s="406" t="s">
        <v>633</v>
      </c>
      <c r="J917" s="407"/>
      <c r="K917" s="408"/>
      <c r="L917" s="266" t="s">
        <v>430</v>
      </c>
      <c r="M917" s="267" t="s">
        <v>431</v>
      </c>
      <c r="N917" s="195" t="s">
        <v>105</v>
      </c>
      <c r="O917" s="145" t="s">
        <v>800</v>
      </c>
      <c r="P917" s="145" t="s">
        <v>801</v>
      </c>
      <c r="Q917" s="145" t="s">
        <v>802</v>
      </c>
      <c r="R917" s="145" t="s">
        <v>803</v>
      </c>
      <c r="S917" s="145" t="s">
        <v>804</v>
      </c>
      <c r="T917" s="145" t="s">
        <v>805</v>
      </c>
      <c r="U917" s="145" t="s">
        <v>806</v>
      </c>
      <c r="V917" s="145" t="s">
        <v>807</v>
      </c>
      <c r="W917" s="145" t="s">
        <v>808</v>
      </c>
      <c r="X917" s="145" t="s">
        <v>809</v>
      </c>
      <c r="Y917" s="145" t="s">
        <v>75</v>
      </c>
      <c r="Z917" s="145" t="s">
        <v>75</v>
      </c>
    </row>
    <row r="918" spans="3:26" ht="24" x14ac:dyDescent="0.2">
      <c r="C918" s="195"/>
      <c r="D918" s="122" t="s">
        <v>432</v>
      </c>
      <c r="E918" s="342"/>
      <c r="F918" s="343"/>
      <c r="G918" s="344"/>
      <c r="H918" s="268" t="s">
        <v>906</v>
      </c>
      <c r="I918" s="397" t="s">
        <v>1022</v>
      </c>
      <c r="J918" s="398"/>
      <c r="K918" s="399"/>
      <c r="L918" s="198"/>
      <c r="M918" s="269"/>
      <c r="N918" s="195"/>
      <c r="O918" s="146" t="s">
        <v>810</v>
      </c>
      <c r="P918" s="199">
        <v>0.1</v>
      </c>
      <c r="Q918" s="200">
        <v>2.1999999999999999E-2</v>
      </c>
      <c r="R918" s="201">
        <v>3.0000000000001137E-2</v>
      </c>
      <c r="S918" s="150"/>
      <c r="T918" s="146">
        <v>6.3000000000001138E-2</v>
      </c>
      <c r="U918" s="200">
        <v>-15.02</v>
      </c>
      <c r="V918" s="199">
        <v>99.37</v>
      </c>
      <c r="W918" s="199"/>
      <c r="X918" s="184"/>
      <c r="Y918" s="151"/>
      <c r="Z918" s="151"/>
    </row>
    <row r="919" spans="3:26" ht="24" x14ac:dyDescent="0.2">
      <c r="C919" s="195"/>
      <c r="D919" s="92" t="s">
        <v>433</v>
      </c>
      <c r="E919" s="357"/>
      <c r="F919" s="358"/>
      <c r="G919" s="359"/>
      <c r="H919" s="268" t="s">
        <v>907</v>
      </c>
      <c r="I919" s="400"/>
      <c r="J919" s="401"/>
      <c r="K919" s="402"/>
      <c r="L919" s="198"/>
      <c r="M919" s="269"/>
      <c r="N919" s="195"/>
      <c r="O919" s="152"/>
      <c r="P919" s="152"/>
      <c r="Q919" s="152"/>
      <c r="R919" s="153"/>
      <c r="S919" s="154"/>
      <c r="T919" s="152"/>
      <c r="U919" s="152"/>
      <c r="V919" s="152"/>
      <c r="W919" s="152"/>
      <c r="X919" s="154"/>
      <c r="Y919" s="155"/>
      <c r="Z919" s="155"/>
    </row>
    <row r="920" spans="3:26" ht="24" x14ac:dyDescent="0.2">
      <c r="C920" s="195"/>
      <c r="D920" s="92" t="s">
        <v>434</v>
      </c>
      <c r="E920" s="357">
        <v>2E-3</v>
      </c>
      <c r="F920" s="358"/>
      <c r="G920" s="359"/>
      <c r="H920" s="270"/>
      <c r="I920" s="400"/>
      <c r="J920" s="401"/>
      <c r="K920" s="402"/>
      <c r="L920" s="198"/>
      <c r="M920" s="269"/>
      <c r="N920" s="195"/>
      <c r="O920" s="156" t="s">
        <v>811</v>
      </c>
      <c r="P920" s="204">
        <v>0.1</v>
      </c>
      <c r="Q920" s="205">
        <v>6.4100000000000004E-2</v>
      </c>
      <c r="R920" s="206">
        <v>3.0000000000001137E-2</v>
      </c>
      <c r="S920" s="220">
        <v>1</v>
      </c>
      <c r="T920" s="156">
        <v>0.12615000000000115</v>
      </c>
      <c r="U920" s="161">
        <v>-30.075761904761638</v>
      </c>
      <c r="V920" s="162">
        <v>60.5</v>
      </c>
      <c r="W920" s="221">
        <v>2.39</v>
      </c>
      <c r="X920" s="164">
        <v>71.881070952380313</v>
      </c>
      <c r="Y920" s="165"/>
      <c r="Z920" s="165"/>
    </row>
    <row r="921" spans="3:26" ht="25" thickBot="1" x14ac:dyDescent="0.25">
      <c r="C921" s="195"/>
      <c r="D921" s="94" t="s">
        <v>435</v>
      </c>
      <c r="E921" s="360">
        <v>0.29166666666666674</v>
      </c>
      <c r="F921" s="361"/>
      <c r="G921" s="362"/>
      <c r="H921" s="294">
        <v>8.3333333333333398E-2</v>
      </c>
      <c r="I921" s="400"/>
      <c r="J921" s="401"/>
      <c r="K921" s="402"/>
      <c r="L921" s="208">
        <v>0.52083333333333337</v>
      </c>
      <c r="M921" s="271">
        <v>0.375</v>
      </c>
      <c r="N921" s="195"/>
      <c r="O921" s="166" t="s">
        <v>812</v>
      </c>
      <c r="P921" s="209">
        <v>0.1</v>
      </c>
      <c r="Q921" s="187">
        <v>7.6066666666665908E-2</v>
      </c>
      <c r="R921" s="210">
        <v>3.0000000000001137E-2</v>
      </c>
      <c r="S921" s="222">
        <v>1</v>
      </c>
      <c r="T921" s="211">
        <v>0.14410000000000001</v>
      </c>
      <c r="U921" s="171">
        <v>-34.355269841269219</v>
      </c>
      <c r="V921" s="172">
        <v>60.5</v>
      </c>
      <c r="W921" s="223">
        <v>2.08</v>
      </c>
      <c r="X921" s="174">
        <v>71.458961269839975</v>
      </c>
      <c r="Y921" s="175"/>
      <c r="Z921" s="175"/>
    </row>
    <row r="922" spans="3:26" ht="25" thickBot="1" x14ac:dyDescent="0.25">
      <c r="C922" s="195"/>
      <c r="D922" s="96" t="s">
        <v>436</v>
      </c>
      <c r="E922" s="97" t="s">
        <v>29</v>
      </c>
      <c r="F922" s="97" t="s">
        <v>28</v>
      </c>
      <c r="G922" s="98" t="s">
        <v>27</v>
      </c>
      <c r="H922" s="287" t="s">
        <v>793</v>
      </c>
      <c r="I922" s="400"/>
      <c r="J922" s="401"/>
      <c r="K922" s="402"/>
      <c r="L922" s="287" t="s">
        <v>1002</v>
      </c>
      <c r="M922" s="288" t="s">
        <v>1003</v>
      </c>
      <c r="N922" s="195"/>
      <c r="O922" s="154"/>
      <c r="P922" s="176"/>
      <c r="Q922" s="154"/>
      <c r="R922" s="154"/>
      <c r="S922" s="224"/>
      <c r="T922" s="154"/>
      <c r="U922" s="177"/>
      <c r="V922" s="178"/>
      <c r="W922" s="225"/>
      <c r="X922" s="177"/>
      <c r="Y922" s="155"/>
      <c r="Z922" s="155"/>
    </row>
    <row r="923" spans="3:26" ht="24" x14ac:dyDescent="0.2">
      <c r="C923" s="195"/>
      <c r="D923" s="99">
        <v>45595</v>
      </c>
      <c r="E923" s="113">
        <v>2E-3</v>
      </c>
      <c r="F923" s="113" t="s">
        <v>456</v>
      </c>
      <c r="G923" s="113">
        <v>-3.0000000000000001E-3</v>
      </c>
      <c r="H923" s="277">
        <v>0.45833333333333337</v>
      </c>
      <c r="I923" s="400"/>
      <c r="J923" s="401"/>
      <c r="K923" s="402"/>
      <c r="L923" s="272">
        <v>0.16666666666666666</v>
      </c>
      <c r="M923" s="295">
        <v>0.37500000000000006</v>
      </c>
      <c r="N923" s="195"/>
      <c r="O923" s="179"/>
      <c r="P923" s="155"/>
      <c r="Q923" s="179"/>
      <c r="R923" s="179"/>
      <c r="S923" s="224"/>
      <c r="T923" s="179"/>
      <c r="U923" s="179"/>
      <c r="V923" s="179"/>
      <c r="W923" s="227"/>
      <c r="X923" s="179"/>
      <c r="Y923" s="155"/>
      <c r="Z923" s="155"/>
    </row>
    <row r="924" spans="3:26" ht="24" x14ac:dyDescent="0.2">
      <c r="C924" s="195"/>
      <c r="D924" s="99">
        <v>45531</v>
      </c>
      <c r="E924" s="113">
        <v>-1E-3</v>
      </c>
      <c r="F924" s="113" t="s">
        <v>456</v>
      </c>
      <c r="G924" s="113">
        <v>2E-3</v>
      </c>
      <c r="H924" s="277">
        <v>0.33333333333333337</v>
      </c>
      <c r="I924" s="400"/>
      <c r="J924" s="401"/>
      <c r="K924" s="402"/>
      <c r="L924" s="272">
        <v>4.1666666666666664E-2</v>
      </c>
      <c r="M924" s="295">
        <v>0.25000000000000006</v>
      </c>
      <c r="N924" s="195"/>
      <c r="O924" s="146" t="s">
        <v>813</v>
      </c>
      <c r="P924" s="228">
        <v>0.1</v>
      </c>
      <c r="Q924" s="180">
        <v>7.6066666666665908E-2</v>
      </c>
      <c r="R924" s="181">
        <v>3.0000000000001137E-2</v>
      </c>
      <c r="S924" s="228">
        <v>1</v>
      </c>
      <c r="T924" s="229">
        <v>0.14410000000000001</v>
      </c>
      <c r="U924" s="182">
        <v>-34.355269841269219</v>
      </c>
      <c r="V924" s="183">
        <v>60.5</v>
      </c>
      <c r="W924" s="230">
        <v>2.08</v>
      </c>
      <c r="X924" s="184">
        <v>71.458961269839975</v>
      </c>
      <c r="Y924" s="185"/>
      <c r="Z924" s="185"/>
    </row>
    <row r="925" spans="3:26" ht="24" x14ac:dyDescent="0.2">
      <c r="C925" s="195"/>
      <c r="D925" s="99">
        <v>45503</v>
      </c>
      <c r="E925" s="113">
        <v>-1E-3</v>
      </c>
      <c r="F925" s="113" t="s">
        <v>462</v>
      </c>
      <c r="G925" s="113">
        <v>2E-3</v>
      </c>
      <c r="H925" s="277">
        <v>0.41666666666666669</v>
      </c>
      <c r="I925" s="400"/>
      <c r="J925" s="401"/>
      <c r="K925" s="402"/>
      <c r="L925" s="272">
        <v>0.125</v>
      </c>
      <c r="M925" s="295">
        <v>0.33333333333333337</v>
      </c>
      <c r="N925" s="195"/>
      <c r="O925" s="146"/>
      <c r="P925" s="147"/>
      <c r="Q925" s="180"/>
      <c r="R925" s="181"/>
      <c r="S925" s="150"/>
      <c r="T925" s="147"/>
      <c r="U925" s="182"/>
      <c r="V925" s="183"/>
      <c r="W925" s="150"/>
      <c r="X925" s="184"/>
      <c r="Y925" s="185"/>
      <c r="Z925" s="185"/>
    </row>
    <row r="926" spans="3:26" ht="24" x14ac:dyDescent="0.2">
      <c r="C926" s="195"/>
      <c r="D926" s="99">
        <v>45436</v>
      </c>
      <c r="E926" s="113">
        <v>2E-3</v>
      </c>
      <c r="F926" s="113" t="s">
        <v>460</v>
      </c>
      <c r="G926" s="113">
        <v>-3.0000000000000001E-3</v>
      </c>
      <c r="H926" s="277">
        <v>0.33333333333333337</v>
      </c>
      <c r="I926" s="400"/>
      <c r="J926" s="401"/>
      <c r="K926" s="402"/>
      <c r="L926" s="272">
        <v>4.1666666666666664E-2</v>
      </c>
      <c r="M926" s="295">
        <v>0.25000000000000006</v>
      </c>
      <c r="N926" s="195"/>
      <c r="O926" s="146"/>
      <c r="P926" s="147"/>
      <c r="Q926" s="180"/>
      <c r="R926" s="181"/>
      <c r="S926" s="150"/>
      <c r="T926" s="147"/>
      <c r="U926" s="182"/>
      <c r="V926" s="183"/>
      <c r="W926" s="150"/>
      <c r="X926" s="184"/>
      <c r="Y926" s="185"/>
      <c r="Z926" s="185"/>
    </row>
    <row r="927" spans="3:26" ht="24" x14ac:dyDescent="0.2">
      <c r="C927" s="195"/>
      <c r="D927" s="99">
        <v>45412</v>
      </c>
      <c r="E927" s="113">
        <v>2E-3</v>
      </c>
      <c r="F927" s="113" t="s">
        <v>462</v>
      </c>
      <c r="G927" s="113">
        <v>-5.0000000000000001E-3</v>
      </c>
      <c r="H927" s="277">
        <v>0.41666666666666669</v>
      </c>
      <c r="I927" s="400"/>
      <c r="J927" s="401"/>
      <c r="K927" s="402"/>
      <c r="L927" s="272">
        <v>0.125</v>
      </c>
      <c r="M927" s="295">
        <v>0.33333333333333337</v>
      </c>
      <c r="N927" s="195"/>
      <c r="O927" s="91"/>
      <c r="P927" s="91"/>
      <c r="Q927" s="91"/>
      <c r="R927" s="91"/>
      <c r="S927" s="91"/>
      <c r="T927" s="91"/>
      <c r="U927" s="91"/>
      <c r="V927" s="91"/>
      <c r="W927" s="91"/>
      <c r="X927" s="91"/>
      <c r="Y927" s="91"/>
      <c r="Z927" s="91"/>
    </row>
    <row r="928" spans="3:26" ht="25" thickBot="1" x14ac:dyDescent="0.25">
      <c r="C928" s="195"/>
      <c r="D928" s="99">
        <v>45345</v>
      </c>
      <c r="E928" s="113">
        <v>-3.0000000000000001E-3</v>
      </c>
      <c r="F928" s="113" t="s">
        <v>454</v>
      </c>
      <c r="G928" s="113">
        <v>-1E-3</v>
      </c>
      <c r="H928" s="277">
        <v>0.375</v>
      </c>
      <c r="I928" s="403"/>
      <c r="J928" s="404"/>
      <c r="K928" s="405"/>
      <c r="L928" s="292">
        <v>8.3333333333333329E-2</v>
      </c>
      <c r="M928" s="295">
        <v>0.29166666666666669</v>
      </c>
      <c r="N928" s="195"/>
      <c r="O928" s="91"/>
      <c r="P928" s="91"/>
      <c r="Q928" s="91"/>
      <c r="R928" s="91"/>
      <c r="S928" s="91"/>
      <c r="T928" s="91"/>
      <c r="U928" s="91"/>
      <c r="V928" s="91"/>
      <c r="W928" s="91"/>
      <c r="X928" s="91"/>
      <c r="Y928" s="91"/>
      <c r="Z928" s="91"/>
    </row>
    <row r="929" spans="3:26" ht="73" thickBot="1" x14ac:dyDescent="0.25">
      <c r="C929" s="93">
        <v>10</v>
      </c>
      <c r="D929" s="123" t="s">
        <v>30</v>
      </c>
      <c r="E929" s="363" t="s">
        <v>1023</v>
      </c>
      <c r="F929" s="364"/>
      <c r="G929" s="365"/>
      <c r="H929" s="265" t="s">
        <v>790</v>
      </c>
      <c r="I929" s="406" t="s">
        <v>633</v>
      </c>
      <c r="J929" s="407"/>
      <c r="K929" s="408"/>
      <c r="L929" s="266" t="s">
        <v>430</v>
      </c>
      <c r="M929" s="267" t="s">
        <v>431</v>
      </c>
      <c r="N929" s="195" t="s">
        <v>105</v>
      </c>
      <c r="O929" s="145" t="s">
        <v>800</v>
      </c>
      <c r="P929" s="145" t="s">
        <v>801</v>
      </c>
      <c r="Q929" s="145" t="s">
        <v>802</v>
      </c>
      <c r="R929" s="145" t="s">
        <v>803</v>
      </c>
      <c r="S929" s="145" t="s">
        <v>804</v>
      </c>
      <c r="T929" s="145" t="s">
        <v>805</v>
      </c>
      <c r="U929" s="145" t="s">
        <v>806</v>
      </c>
      <c r="V929" s="145" t="s">
        <v>807</v>
      </c>
      <c r="W929" s="145" t="s">
        <v>808</v>
      </c>
      <c r="X929" s="145" t="s">
        <v>809</v>
      </c>
      <c r="Y929" s="145" t="s">
        <v>75</v>
      </c>
      <c r="Z929" s="145" t="s">
        <v>75</v>
      </c>
    </row>
    <row r="930" spans="3:26" ht="24" x14ac:dyDescent="0.2">
      <c r="C930" s="195"/>
      <c r="D930" s="122" t="s">
        <v>432</v>
      </c>
      <c r="E930" s="342"/>
      <c r="F930" s="343"/>
      <c r="G930" s="344"/>
      <c r="H930" s="268" t="s">
        <v>906</v>
      </c>
      <c r="I930" s="397" t="s">
        <v>1024</v>
      </c>
      <c r="J930" s="398"/>
      <c r="K930" s="399"/>
      <c r="L930" s="198"/>
      <c r="M930" s="269"/>
      <c r="N930" s="195"/>
      <c r="O930" s="146" t="s">
        <v>810</v>
      </c>
      <c r="P930" s="199">
        <v>0.1</v>
      </c>
      <c r="Q930" s="200">
        <v>2.7E-2</v>
      </c>
      <c r="R930" s="201">
        <v>1.5999999999991132E-2</v>
      </c>
      <c r="S930" s="150"/>
      <c r="T930" s="146">
        <v>5.6499999999991134E-2</v>
      </c>
      <c r="U930" s="200">
        <v>-13.31</v>
      </c>
      <c r="V930" s="199">
        <v>91.8</v>
      </c>
      <c r="W930" s="202">
        <v>2</v>
      </c>
      <c r="X930" s="184">
        <v>26.62</v>
      </c>
      <c r="Y930" s="151"/>
      <c r="Z930" s="151"/>
    </row>
    <row r="931" spans="3:26" ht="24" x14ac:dyDescent="0.2">
      <c r="C931" s="195"/>
      <c r="D931" s="92" t="s">
        <v>433</v>
      </c>
      <c r="E931" s="357"/>
      <c r="F931" s="358"/>
      <c r="G931" s="359"/>
      <c r="H931" s="268" t="s">
        <v>907</v>
      </c>
      <c r="I931" s="400"/>
      <c r="J931" s="401"/>
      <c r="K931" s="402"/>
      <c r="L931" s="198"/>
      <c r="M931" s="269"/>
      <c r="N931" s="195"/>
      <c r="O931" s="152"/>
      <c r="P931" s="152"/>
      <c r="Q931" s="152"/>
      <c r="R931" s="153"/>
      <c r="S931" s="154"/>
      <c r="T931" s="152"/>
      <c r="U931" s="152"/>
      <c r="V931" s="152"/>
      <c r="W931" s="154"/>
      <c r="X931" s="154"/>
      <c r="Y931" s="155"/>
      <c r="Z931" s="155"/>
    </row>
    <row r="932" spans="3:26" ht="24" x14ac:dyDescent="0.2">
      <c r="C932" s="195"/>
      <c r="D932" s="92" t="s">
        <v>434</v>
      </c>
      <c r="E932" s="372">
        <v>48.5</v>
      </c>
      <c r="F932" s="373"/>
      <c r="G932" s="374"/>
      <c r="H932" s="270"/>
      <c r="I932" s="400"/>
      <c r="J932" s="401"/>
      <c r="K932" s="402"/>
      <c r="L932" s="198"/>
      <c r="M932" s="269"/>
      <c r="N932" s="195"/>
      <c r="O932" s="156" t="s">
        <v>811</v>
      </c>
      <c r="P932" s="204">
        <v>0.1</v>
      </c>
      <c r="Q932" s="205">
        <v>4.0500000000000001E-2</v>
      </c>
      <c r="R932" s="206">
        <v>1.7000000000000001E-2</v>
      </c>
      <c r="S932" s="160">
        <v>1</v>
      </c>
      <c r="T932" s="156">
        <v>7.775E-2</v>
      </c>
      <c r="U932" s="161">
        <v>-18.315973451330308</v>
      </c>
      <c r="V932" s="162">
        <v>60.5</v>
      </c>
      <c r="W932" s="207">
        <v>3.27</v>
      </c>
      <c r="X932" s="164">
        <v>59.893233185850107</v>
      </c>
      <c r="Y932" s="165"/>
      <c r="Z932" s="165">
        <v>4.4350000000000005</v>
      </c>
    </row>
    <row r="933" spans="3:26" ht="25" thickBot="1" x14ac:dyDescent="0.25">
      <c r="C933" s="195"/>
      <c r="D933" s="94" t="s">
        <v>435</v>
      </c>
      <c r="E933" s="360">
        <v>0.61458333333333337</v>
      </c>
      <c r="F933" s="361"/>
      <c r="G933" s="362"/>
      <c r="H933" s="294">
        <v>0.40625</v>
      </c>
      <c r="I933" s="400"/>
      <c r="J933" s="401"/>
      <c r="K933" s="402"/>
      <c r="L933" s="208">
        <v>0.84375</v>
      </c>
      <c r="M933" s="271">
        <v>0.69791666666666663</v>
      </c>
      <c r="N933" s="195"/>
      <c r="O933" s="166" t="s">
        <v>812</v>
      </c>
      <c r="P933" s="209">
        <v>0.1</v>
      </c>
      <c r="Q933" s="187">
        <v>2.5266666666666663E-2</v>
      </c>
      <c r="R933" s="210">
        <v>1.7000000000000001E-2</v>
      </c>
      <c r="S933" s="170">
        <v>1</v>
      </c>
      <c r="T933" s="211">
        <v>5.4899999999999997E-2</v>
      </c>
      <c r="U933" s="171">
        <v>-12.933079646019728</v>
      </c>
      <c r="V933" s="172">
        <v>60.5</v>
      </c>
      <c r="W933" s="293">
        <v>2.2200000000000002</v>
      </c>
      <c r="X933" s="174">
        <v>28.711436814163797</v>
      </c>
      <c r="Y933" s="175"/>
      <c r="Z933" s="175"/>
    </row>
    <row r="934" spans="3:26" ht="25" thickBot="1" x14ac:dyDescent="0.25">
      <c r="C934" s="195"/>
      <c r="D934" s="96" t="s">
        <v>436</v>
      </c>
      <c r="E934" s="97" t="s">
        <v>29</v>
      </c>
      <c r="F934" s="97" t="s">
        <v>28</v>
      </c>
      <c r="G934" s="98" t="s">
        <v>27</v>
      </c>
      <c r="H934" s="287" t="s">
        <v>793</v>
      </c>
      <c r="I934" s="400"/>
      <c r="J934" s="401"/>
      <c r="K934" s="402"/>
      <c r="L934" s="287" t="s">
        <v>1002</v>
      </c>
      <c r="M934" s="288"/>
      <c r="N934" s="195"/>
      <c r="O934" s="154"/>
      <c r="P934" s="176"/>
      <c r="Q934" s="154"/>
      <c r="R934" s="154"/>
      <c r="S934" s="154"/>
      <c r="T934" s="154"/>
      <c r="U934" s="177"/>
      <c r="V934" s="178"/>
      <c r="W934" s="154"/>
      <c r="X934" s="177"/>
      <c r="Y934" s="155"/>
      <c r="Z934" s="155"/>
    </row>
    <row r="935" spans="3:26" ht="24" x14ac:dyDescent="0.2">
      <c r="C935" s="195"/>
      <c r="D935" s="99">
        <v>45597</v>
      </c>
      <c r="E935" s="109">
        <v>48.5</v>
      </c>
      <c r="F935" s="109" t="s">
        <v>1054</v>
      </c>
      <c r="G935" s="109">
        <v>47.8</v>
      </c>
      <c r="H935" s="277">
        <v>0.57291666666666663</v>
      </c>
      <c r="I935" s="400"/>
      <c r="J935" s="401"/>
      <c r="K935" s="402"/>
      <c r="L935" s="272">
        <v>0.36458333333333331</v>
      </c>
      <c r="M935" s="289"/>
      <c r="N935" s="195"/>
      <c r="O935" s="179"/>
      <c r="P935" s="155"/>
      <c r="Q935" s="179"/>
      <c r="R935" s="179"/>
      <c r="S935" s="179"/>
      <c r="T935" s="179"/>
      <c r="U935" s="179"/>
      <c r="V935" s="179"/>
      <c r="W935" s="179"/>
      <c r="X935" s="179"/>
      <c r="Y935" s="155"/>
      <c r="Z935" s="155"/>
    </row>
    <row r="936" spans="3:26" ht="24" x14ac:dyDescent="0.2">
      <c r="C936" s="195"/>
      <c r="D936" s="99">
        <v>45589</v>
      </c>
      <c r="E936" s="109">
        <v>47.8</v>
      </c>
      <c r="F936" s="109" t="s">
        <v>509</v>
      </c>
      <c r="G936" s="109">
        <v>47.3</v>
      </c>
      <c r="H936" s="277">
        <v>0.57291666666666663</v>
      </c>
      <c r="I936" s="400"/>
      <c r="J936" s="401"/>
      <c r="K936" s="402"/>
      <c r="L936" s="272">
        <v>0.36458333333333331</v>
      </c>
      <c r="M936" s="290"/>
      <c r="N936" s="195"/>
      <c r="O936" s="146" t="s">
        <v>813</v>
      </c>
      <c r="P936" s="199">
        <v>0.1</v>
      </c>
      <c r="Q936" s="180">
        <v>3.2883333333333334E-2</v>
      </c>
      <c r="R936" s="181">
        <v>1.7000000000000001E-2</v>
      </c>
      <c r="S936" s="150">
        <v>1</v>
      </c>
      <c r="T936" s="156">
        <v>6.6324999999999995E-2</v>
      </c>
      <c r="U936" s="182">
        <v>-15.624526548675018</v>
      </c>
      <c r="V936" s="183">
        <v>60.5</v>
      </c>
      <c r="W936" s="150">
        <v>2</v>
      </c>
      <c r="X936" s="184">
        <v>31.249053097350036</v>
      </c>
      <c r="Y936" s="185"/>
      <c r="Z936" s="185"/>
    </row>
    <row r="937" spans="3:26" ht="24" x14ac:dyDescent="0.2">
      <c r="C937" s="195"/>
      <c r="D937" s="99">
        <v>45566</v>
      </c>
      <c r="E937" s="109">
        <v>47.3</v>
      </c>
      <c r="F937" s="109" t="s">
        <v>758</v>
      </c>
      <c r="G937" s="109">
        <v>47.9</v>
      </c>
      <c r="H937" s="277">
        <v>0.57291666666666663</v>
      </c>
      <c r="I937" s="400"/>
      <c r="J937" s="401"/>
      <c r="K937" s="402"/>
      <c r="L937" s="272">
        <v>0.36458333333333331</v>
      </c>
      <c r="M937" s="269"/>
      <c r="N937" s="195"/>
      <c r="O937" s="146"/>
      <c r="P937" s="199"/>
      <c r="Q937" s="180"/>
      <c r="R937" s="181"/>
      <c r="S937" s="150"/>
      <c r="T937" s="156"/>
      <c r="U937" s="182"/>
      <c r="V937" s="183"/>
      <c r="W937" s="150"/>
      <c r="X937" s="184"/>
      <c r="Y937" s="185"/>
      <c r="Z937" s="185"/>
    </row>
    <row r="938" spans="3:26" ht="24" x14ac:dyDescent="0.2">
      <c r="C938" s="195"/>
      <c r="D938" s="99">
        <v>45558</v>
      </c>
      <c r="E938" s="109">
        <v>47</v>
      </c>
      <c r="F938" s="109" t="s">
        <v>500</v>
      </c>
      <c r="G938" s="109">
        <v>47.9</v>
      </c>
      <c r="H938" s="277">
        <v>0.57291666666666663</v>
      </c>
      <c r="I938" s="400"/>
      <c r="J938" s="401"/>
      <c r="K938" s="402"/>
      <c r="L938" s="272">
        <v>0.36458333333333331</v>
      </c>
      <c r="M938" s="269"/>
      <c r="N938" s="195"/>
      <c r="O938" s="146"/>
      <c r="P938" s="147"/>
      <c r="Q938" s="180"/>
      <c r="R938" s="181"/>
      <c r="S938" s="150"/>
      <c r="T938" s="147"/>
      <c r="U938" s="182"/>
      <c r="V938" s="183"/>
      <c r="W938" s="150"/>
      <c r="X938" s="184"/>
      <c r="Y938" s="185"/>
      <c r="Z938" s="185"/>
    </row>
    <row r="939" spans="3:26" ht="24" x14ac:dyDescent="0.2">
      <c r="C939" s="195"/>
      <c r="D939" s="99">
        <v>45538</v>
      </c>
      <c r="E939" s="109">
        <v>47.9</v>
      </c>
      <c r="F939" s="109" t="s">
        <v>502</v>
      </c>
      <c r="G939" s="109">
        <v>49.6</v>
      </c>
      <c r="H939" s="277">
        <v>0.57291666666666663</v>
      </c>
      <c r="I939" s="400"/>
      <c r="J939" s="401"/>
      <c r="K939" s="402"/>
      <c r="L939" s="272">
        <v>0.36458333333333331</v>
      </c>
      <c r="M939" s="269"/>
      <c r="N939" s="195"/>
      <c r="O939" s="91"/>
      <c r="P939" s="91"/>
      <c r="Q939" s="91"/>
      <c r="R939" s="91"/>
      <c r="S939" s="91"/>
      <c r="T939" s="91"/>
      <c r="U939" s="91"/>
      <c r="V939" s="91"/>
      <c r="W939" s="91"/>
      <c r="X939" s="91"/>
      <c r="Y939" s="91"/>
      <c r="Z939" s="91"/>
    </row>
    <row r="940" spans="3:26" ht="25" thickBot="1" x14ac:dyDescent="0.25">
      <c r="C940" s="195"/>
      <c r="D940" s="99">
        <v>45526</v>
      </c>
      <c r="E940" s="109">
        <v>48</v>
      </c>
      <c r="F940" s="109" t="s">
        <v>438</v>
      </c>
      <c r="G940" s="109">
        <v>49.6</v>
      </c>
      <c r="H940" s="277">
        <v>0.57291666666666663</v>
      </c>
      <c r="I940" s="403"/>
      <c r="J940" s="404"/>
      <c r="K940" s="405"/>
      <c r="L940" s="272">
        <v>0.36458333333333331</v>
      </c>
      <c r="M940" s="280"/>
      <c r="N940" s="195"/>
      <c r="O940" s="91"/>
      <c r="P940" s="91"/>
      <c r="Q940" s="91"/>
      <c r="R940" s="91"/>
      <c r="S940" s="91"/>
      <c r="T940" s="91"/>
      <c r="U940" s="91"/>
      <c r="V940" s="91"/>
      <c r="W940" s="91"/>
      <c r="X940" s="91"/>
      <c r="Y940" s="91"/>
      <c r="Z940" s="91"/>
    </row>
    <row r="941" spans="3:26" ht="73" thickBot="1" x14ac:dyDescent="0.25">
      <c r="C941" s="93">
        <v>11</v>
      </c>
      <c r="D941" s="123" t="s">
        <v>30</v>
      </c>
      <c r="E941" s="363" t="s">
        <v>1025</v>
      </c>
      <c r="F941" s="364"/>
      <c r="G941" s="365"/>
      <c r="H941" s="265" t="s">
        <v>790</v>
      </c>
      <c r="I941" s="406" t="s">
        <v>633</v>
      </c>
      <c r="J941" s="407"/>
      <c r="K941" s="408"/>
      <c r="L941" s="266" t="s">
        <v>430</v>
      </c>
      <c r="M941" s="267" t="s">
        <v>431</v>
      </c>
      <c r="N941" s="195" t="s">
        <v>105</v>
      </c>
      <c r="O941" s="145" t="s">
        <v>800</v>
      </c>
      <c r="P941" s="145" t="s">
        <v>801</v>
      </c>
      <c r="Q941" s="145" t="s">
        <v>802</v>
      </c>
      <c r="R941" s="145" t="s">
        <v>803</v>
      </c>
      <c r="S941" s="145" t="s">
        <v>804</v>
      </c>
      <c r="T941" s="145" t="s">
        <v>805</v>
      </c>
      <c r="U941" s="145" t="s">
        <v>806</v>
      </c>
      <c r="V941" s="145" t="s">
        <v>807</v>
      </c>
      <c r="W941" s="145" t="s">
        <v>808</v>
      </c>
      <c r="X941" s="145" t="s">
        <v>809</v>
      </c>
      <c r="Y941" s="145" t="s">
        <v>75</v>
      </c>
      <c r="Z941" s="145" t="s">
        <v>75</v>
      </c>
    </row>
    <row r="942" spans="3:26" ht="24" x14ac:dyDescent="0.2">
      <c r="C942" s="195"/>
      <c r="D942" s="122" t="s">
        <v>432</v>
      </c>
      <c r="E942" s="342"/>
      <c r="F942" s="343"/>
      <c r="G942" s="344"/>
      <c r="H942" s="268" t="s">
        <v>906</v>
      </c>
      <c r="I942" s="397" t="s">
        <v>1026</v>
      </c>
      <c r="J942" s="398"/>
      <c r="K942" s="399"/>
      <c r="L942" s="198"/>
      <c r="M942" s="269"/>
      <c r="N942" s="195"/>
      <c r="O942" s="146" t="s">
        <v>810</v>
      </c>
      <c r="P942" s="199">
        <v>0.1</v>
      </c>
      <c r="Q942" s="200">
        <v>3.3E-4</v>
      </c>
      <c r="R942" s="201">
        <v>1.500000000000945E-4</v>
      </c>
      <c r="S942" s="150">
        <v>1</v>
      </c>
      <c r="T942" s="146">
        <v>4.55000000000029E-4</v>
      </c>
      <c r="U942" s="200">
        <v>-22.85</v>
      </c>
      <c r="V942" s="199">
        <v>60.5</v>
      </c>
      <c r="W942" s="202">
        <v>2</v>
      </c>
      <c r="X942" s="184"/>
      <c r="Y942" s="151"/>
      <c r="Z942" s="151"/>
    </row>
    <row r="943" spans="3:26" ht="24" x14ac:dyDescent="0.2">
      <c r="C943" s="195"/>
      <c r="D943" s="92" t="s">
        <v>433</v>
      </c>
      <c r="E943" s="357"/>
      <c r="F943" s="358"/>
      <c r="G943" s="359"/>
      <c r="H943" s="268" t="s">
        <v>907</v>
      </c>
      <c r="I943" s="400"/>
      <c r="J943" s="401"/>
      <c r="K943" s="402"/>
      <c r="L943" s="198"/>
      <c r="M943" s="269"/>
      <c r="N943" s="195"/>
      <c r="O943" s="152"/>
      <c r="P943" s="152"/>
      <c r="Q943" s="152"/>
      <c r="R943" s="153"/>
      <c r="S943" s="154"/>
      <c r="T943" s="152"/>
      <c r="U943" s="152"/>
      <c r="V943" s="152"/>
      <c r="W943" s="152"/>
      <c r="X943" s="154"/>
      <c r="Y943" s="155"/>
      <c r="Z943" s="155"/>
    </row>
    <row r="944" spans="3:26" ht="24" x14ac:dyDescent="0.2">
      <c r="C944" s="195"/>
      <c r="D944" s="92" t="s">
        <v>434</v>
      </c>
      <c r="E944" s="372">
        <v>55</v>
      </c>
      <c r="F944" s="373"/>
      <c r="G944" s="374"/>
      <c r="H944" s="270"/>
      <c r="I944" s="400"/>
      <c r="J944" s="401"/>
      <c r="K944" s="402"/>
      <c r="L944" s="198"/>
      <c r="M944" s="269"/>
      <c r="N944" s="195"/>
      <c r="O944" s="156" t="s">
        <v>811</v>
      </c>
      <c r="P944" s="204">
        <v>0.1</v>
      </c>
      <c r="Q944" s="205">
        <v>2.9999999999999997E-4</v>
      </c>
      <c r="R944" s="206">
        <v>2.0000000000000001E-4</v>
      </c>
      <c r="S944" s="220">
        <v>1</v>
      </c>
      <c r="T944" s="156">
        <v>6.4999999999999997E-4</v>
      </c>
      <c r="U944" s="161">
        <v>-32.642857142855057</v>
      </c>
      <c r="V944" s="162">
        <v>60.5</v>
      </c>
      <c r="W944" s="221">
        <v>2.81</v>
      </c>
      <c r="X944" s="164">
        <v>91.726428571422716</v>
      </c>
      <c r="Y944" s="165"/>
      <c r="Z944" s="165"/>
    </row>
    <row r="945" spans="2:26" ht="25" thickBot="1" x14ac:dyDescent="0.25">
      <c r="C945" s="195"/>
      <c r="D945" s="94" t="s">
        <v>435</v>
      </c>
      <c r="E945" s="360">
        <v>0.61458333333333337</v>
      </c>
      <c r="F945" s="361"/>
      <c r="G945" s="362"/>
      <c r="H945" s="294">
        <v>0.40625</v>
      </c>
      <c r="I945" s="400"/>
      <c r="J945" s="401"/>
      <c r="K945" s="402"/>
      <c r="L945" s="208">
        <v>0.84375</v>
      </c>
      <c r="M945" s="271">
        <v>0.69791666666666663</v>
      </c>
      <c r="N945" s="195"/>
      <c r="O945" s="166" t="s">
        <v>812</v>
      </c>
      <c r="P945" s="209">
        <v>0.1</v>
      </c>
      <c r="Q945" s="187">
        <v>4.0000000000000002E-4</v>
      </c>
      <c r="R945" s="210">
        <v>2.0000000000000001E-4</v>
      </c>
      <c r="S945" s="222">
        <v>1</v>
      </c>
      <c r="T945" s="211">
        <v>8.0000000000000004E-4</v>
      </c>
      <c r="U945" s="171">
        <v>-40.175824175821617</v>
      </c>
      <c r="V945" s="172">
        <v>60.5</v>
      </c>
      <c r="W945" s="223">
        <v>2.48</v>
      </c>
      <c r="X945" s="174">
        <v>99.636043956037611</v>
      </c>
      <c r="Y945" s="175"/>
      <c r="Z945" s="175"/>
    </row>
    <row r="946" spans="2:26" ht="25" thickBot="1" x14ac:dyDescent="0.25">
      <c r="C946" s="195"/>
      <c r="D946" s="96" t="s">
        <v>436</v>
      </c>
      <c r="E946" s="97" t="s">
        <v>29</v>
      </c>
      <c r="F946" s="97" t="s">
        <v>28</v>
      </c>
      <c r="G946" s="98" t="s">
        <v>27</v>
      </c>
      <c r="H946" s="287" t="s">
        <v>793</v>
      </c>
      <c r="I946" s="400"/>
      <c r="J946" s="401"/>
      <c r="K946" s="402"/>
      <c r="L946" s="287" t="s">
        <v>1002</v>
      </c>
      <c r="M946" s="288"/>
      <c r="N946" s="195"/>
      <c r="O946" s="154"/>
      <c r="P946" s="176"/>
      <c r="Q946" s="154"/>
      <c r="R946" s="154"/>
      <c r="S946" s="224"/>
      <c r="T946" s="154"/>
      <c r="U946" s="177"/>
      <c r="V946" s="178"/>
      <c r="W946" s="225"/>
      <c r="X946" s="177"/>
      <c r="Y946" s="155"/>
      <c r="Z946" s="155"/>
    </row>
    <row r="947" spans="2:26" ht="24" x14ac:dyDescent="0.2">
      <c r="C947" s="195"/>
      <c r="D947" s="99">
        <v>45601</v>
      </c>
      <c r="E947" s="100">
        <v>55</v>
      </c>
      <c r="F947" s="100" t="s">
        <v>585</v>
      </c>
      <c r="G947" s="100">
        <v>55.2</v>
      </c>
      <c r="H947" s="277">
        <v>0.61458333333333337</v>
      </c>
      <c r="I947" s="400"/>
      <c r="J947" s="401"/>
      <c r="K947" s="402"/>
      <c r="L947" s="272">
        <v>0.40625</v>
      </c>
      <c r="M947" s="289"/>
      <c r="N947" s="195"/>
      <c r="O947" s="179"/>
      <c r="P947" s="155"/>
      <c r="Q947" s="179"/>
      <c r="R947" s="179"/>
      <c r="S947" s="224"/>
      <c r="T947" s="179"/>
      <c r="U947" s="179"/>
      <c r="V947" s="179"/>
      <c r="W947" s="227"/>
      <c r="X947" s="179"/>
      <c r="Y947" s="155"/>
      <c r="Z947" s="155"/>
    </row>
    <row r="948" spans="2:26" ht="24" x14ac:dyDescent="0.2">
      <c r="C948" s="195"/>
      <c r="D948" s="99">
        <v>45589</v>
      </c>
      <c r="E948" s="100">
        <v>55.3</v>
      </c>
      <c r="F948" s="100" t="s">
        <v>604</v>
      </c>
      <c r="G948" s="100">
        <v>55.2</v>
      </c>
      <c r="H948" s="277">
        <v>0.57291666666666663</v>
      </c>
      <c r="I948" s="400"/>
      <c r="J948" s="401"/>
      <c r="K948" s="402"/>
      <c r="L948" s="272">
        <v>0.36458333333333331</v>
      </c>
      <c r="M948" s="290"/>
      <c r="N948" s="195"/>
      <c r="O948" s="146" t="s">
        <v>813</v>
      </c>
      <c r="P948" s="233">
        <v>-0.1</v>
      </c>
      <c r="Q948" s="180">
        <v>3.4333333333333329E-4</v>
      </c>
      <c r="R948" s="181">
        <v>2.0000000000000001E-4</v>
      </c>
      <c r="S948" s="228">
        <v>-1</v>
      </c>
      <c r="T948" s="156">
        <v>7.1499999999999992E-4</v>
      </c>
      <c r="U948" s="182">
        <v>-35.907142857140563</v>
      </c>
      <c r="V948" s="183">
        <v>60.5</v>
      </c>
      <c r="W948" s="230">
        <v>2</v>
      </c>
      <c r="X948" s="184">
        <v>71.814285714281127</v>
      </c>
      <c r="Y948" s="185" t="s">
        <v>814</v>
      </c>
      <c r="Z948" s="185"/>
    </row>
    <row r="949" spans="2:26" ht="24" x14ac:dyDescent="0.2">
      <c r="C949" s="195"/>
      <c r="D949" s="99">
        <v>45568</v>
      </c>
      <c r="E949" s="100">
        <v>55.2</v>
      </c>
      <c r="F949" s="100" t="s">
        <v>759</v>
      </c>
      <c r="G949" s="100">
        <v>55.7</v>
      </c>
      <c r="H949" s="277">
        <v>0.57291666666666663</v>
      </c>
      <c r="I949" s="400"/>
      <c r="J949" s="401"/>
      <c r="K949" s="402"/>
      <c r="L949" s="272">
        <v>0.36458333333333331</v>
      </c>
      <c r="M949" s="269"/>
      <c r="N949" s="195"/>
      <c r="O949" s="146" t="s">
        <v>813</v>
      </c>
      <c r="P949" s="233">
        <v>0.1</v>
      </c>
      <c r="Q949" s="180">
        <v>3.4333333333333329E-4</v>
      </c>
      <c r="R949" s="181">
        <v>0</v>
      </c>
      <c r="S949" s="228">
        <v>1</v>
      </c>
      <c r="T949" s="156">
        <v>7.1499999999999992E-4</v>
      </c>
      <c r="U949" s="182">
        <v>-35.907142857140563</v>
      </c>
      <c r="V949" s="183">
        <v>60.5</v>
      </c>
      <c r="W949" s="230">
        <v>2</v>
      </c>
      <c r="X949" s="184">
        <v>71.814285714281127</v>
      </c>
      <c r="Y949" s="185" t="s">
        <v>814</v>
      </c>
      <c r="Z949" s="185"/>
    </row>
    <row r="950" spans="2:26" ht="24" x14ac:dyDescent="0.2">
      <c r="C950" s="195"/>
      <c r="D950" s="99">
        <v>45558</v>
      </c>
      <c r="E950" s="100">
        <v>55.4</v>
      </c>
      <c r="F950" s="100" t="s">
        <v>585</v>
      </c>
      <c r="G950" s="100">
        <v>55.7</v>
      </c>
      <c r="H950" s="277">
        <v>0.57291666666666663</v>
      </c>
      <c r="I950" s="400"/>
      <c r="J950" s="401"/>
      <c r="K950" s="402"/>
      <c r="L950" s="272">
        <v>0.36458333333333331</v>
      </c>
      <c r="M950" s="269"/>
      <c r="N950" s="195"/>
      <c r="O950" s="146"/>
      <c r="P950" s="147"/>
      <c r="Q950" s="180"/>
      <c r="R950" s="181"/>
      <c r="S950" s="150"/>
      <c r="T950" s="147"/>
      <c r="U950" s="182"/>
      <c r="V950" s="183"/>
      <c r="W950" s="150"/>
      <c r="X950" s="184"/>
      <c r="Y950" s="185"/>
      <c r="Z950" s="185"/>
    </row>
    <row r="951" spans="2:26" ht="24" x14ac:dyDescent="0.2">
      <c r="C951" s="195"/>
      <c r="D951" s="99">
        <v>45540</v>
      </c>
      <c r="E951" s="100">
        <v>55.7</v>
      </c>
      <c r="F951" s="100" t="s">
        <v>586</v>
      </c>
      <c r="G951" s="100">
        <v>55</v>
      </c>
      <c r="H951" s="277">
        <v>0.57291666666666663</v>
      </c>
      <c r="I951" s="400"/>
      <c r="J951" s="401"/>
      <c r="K951" s="402"/>
      <c r="L951" s="272">
        <v>0.36458333333333331</v>
      </c>
      <c r="M951" s="269"/>
      <c r="N951" s="195"/>
      <c r="O951" s="91"/>
      <c r="P951" s="91"/>
      <c r="Q951" s="91"/>
      <c r="R951" s="91"/>
      <c r="S951" s="91"/>
      <c r="T951" s="91"/>
      <c r="U951" s="91"/>
      <c r="V951" s="91"/>
      <c r="W951" s="91"/>
      <c r="X951" s="91"/>
      <c r="Y951" s="91"/>
      <c r="Z951" s="91"/>
    </row>
    <row r="952" spans="2:26" ht="25" thickBot="1" x14ac:dyDescent="0.25">
      <c r="C952" s="195"/>
      <c r="D952" s="143">
        <v>45526</v>
      </c>
      <c r="E952" s="192">
        <v>55.2</v>
      </c>
      <c r="F952" s="192" t="s">
        <v>587</v>
      </c>
      <c r="G952" s="192">
        <v>55</v>
      </c>
      <c r="H952" s="291">
        <v>0.57291666666666663</v>
      </c>
      <c r="I952" s="403"/>
      <c r="J952" s="404"/>
      <c r="K952" s="405"/>
      <c r="L952" s="292">
        <v>0.36458333333333331</v>
      </c>
      <c r="M952" s="280"/>
      <c r="N952" s="195"/>
      <c r="O952" s="91"/>
      <c r="P952" s="91"/>
      <c r="Q952" s="91"/>
      <c r="R952" s="91"/>
      <c r="S952" s="91"/>
      <c r="T952" s="91"/>
      <c r="U952" s="91"/>
      <c r="V952" s="91"/>
      <c r="W952" s="91"/>
      <c r="X952" s="91"/>
      <c r="Y952" s="91"/>
      <c r="Z952" s="91"/>
    </row>
    <row r="953" spans="2:26" ht="58" thickBot="1" x14ac:dyDescent="0.25">
      <c r="B953" t="s">
        <v>105</v>
      </c>
      <c r="C953" s="452">
        <v>1</v>
      </c>
      <c r="D953" s="453" t="s">
        <v>30</v>
      </c>
      <c r="E953" s="454" t="s">
        <v>1060</v>
      </c>
      <c r="F953" s="455"/>
      <c r="G953" s="456"/>
      <c r="H953" s="457" t="s">
        <v>790</v>
      </c>
      <c r="I953" s="458" t="s">
        <v>633</v>
      </c>
      <c r="J953" s="458"/>
      <c r="K953" s="459"/>
      <c r="L953" s="460" t="s">
        <v>430</v>
      </c>
      <c r="M953" s="461" t="s">
        <v>431</v>
      </c>
      <c r="N953" s="462" t="s">
        <v>105</v>
      </c>
      <c r="O953" s="463" t="s">
        <v>800</v>
      </c>
      <c r="P953" s="463" t="s">
        <v>801</v>
      </c>
      <c r="Q953" s="463" t="s">
        <v>802</v>
      </c>
      <c r="R953" s="463" t="s">
        <v>803</v>
      </c>
      <c r="S953" s="463" t="s">
        <v>804</v>
      </c>
      <c r="T953" s="463" t="s">
        <v>805</v>
      </c>
      <c r="U953" s="463" t="s">
        <v>806</v>
      </c>
      <c r="V953" s="463" t="s">
        <v>807</v>
      </c>
      <c r="W953" s="463" t="s">
        <v>808</v>
      </c>
      <c r="X953" s="463" t="s">
        <v>809</v>
      </c>
      <c r="Y953" s="463" t="s">
        <v>75</v>
      </c>
      <c r="Z953" s="463" t="s">
        <v>75</v>
      </c>
    </row>
    <row r="954" spans="2:26" ht="38" x14ac:dyDescent="0.2">
      <c r="C954" s="452"/>
      <c r="D954" s="464" t="s">
        <v>432</v>
      </c>
      <c r="E954" s="465"/>
      <c r="F954" s="466"/>
      <c r="G954" s="467"/>
      <c r="H954" s="468" t="s">
        <v>906</v>
      </c>
      <c r="I954" s="469" t="s">
        <v>1061</v>
      </c>
      <c r="J954" s="469"/>
      <c r="K954" s="470"/>
      <c r="L954" s="471"/>
      <c r="M954" s="472" t="s">
        <v>1060</v>
      </c>
      <c r="N954" s="462"/>
      <c r="O954" s="473" t="s">
        <v>810</v>
      </c>
      <c r="P954" s="474">
        <v>0.1</v>
      </c>
      <c r="Q954" s="475">
        <v>2.1000000000000001E-4</v>
      </c>
      <c r="R954" s="476">
        <v>1.4000000000002899E-4</v>
      </c>
      <c r="S954" s="477"/>
      <c r="T954" s="473">
        <v>4.55000000000029E-4</v>
      </c>
      <c r="U954" s="475">
        <v>-16.510000000000002</v>
      </c>
      <c r="V954" s="474">
        <v>60.5</v>
      </c>
      <c r="W954" s="478">
        <v>2</v>
      </c>
      <c r="X954" s="479">
        <v>33.020000000000003</v>
      </c>
      <c r="Y954" s="477"/>
      <c r="Z954" s="477"/>
    </row>
    <row r="955" spans="2:26" ht="38" x14ac:dyDescent="0.2">
      <c r="C955" s="452"/>
      <c r="D955" s="480" t="s">
        <v>433</v>
      </c>
      <c r="E955" s="481" t="s">
        <v>1090</v>
      </c>
      <c r="F955" s="482"/>
      <c r="G955" s="483"/>
      <c r="H955" s="468" t="s">
        <v>907</v>
      </c>
      <c r="I955" s="484"/>
      <c r="J955" s="484"/>
      <c r="K955" s="485"/>
      <c r="L955" s="471"/>
      <c r="M955" s="486"/>
      <c r="N955" s="462"/>
      <c r="O955" s="462"/>
      <c r="P955" s="462"/>
      <c r="Q955" s="462"/>
      <c r="R955" s="487"/>
      <c r="S955" s="488"/>
      <c r="T955" s="462"/>
      <c r="U955" s="462"/>
      <c r="V955" s="462"/>
      <c r="W955" s="488"/>
      <c r="X955" s="488"/>
      <c r="Y955" s="489"/>
      <c r="Z955" s="489"/>
    </row>
    <row r="956" spans="2:26" ht="19" x14ac:dyDescent="0.2">
      <c r="C956" s="452"/>
      <c r="D956" s="480" t="s">
        <v>434</v>
      </c>
      <c r="E956" s="481">
        <v>108.7</v>
      </c>
      <c r="F956" s="482"/>
      <c r="G956" s="483"/>
      <c r="H956" s="468"/>
      <c r="I956" s="484"/>
      <c r="J956" s="484"/>
      <c r="K956" s="485"/>
      <c r="L956" s="471"/>
      <c r="M956" s="486"/>
      <c r="N956" s="462"/>
      <c r="O956" s="490" t="s">
        <v>811</v>
      </c>
      <c r="P956" s="491">
        <v>0.1</v>
      </c>
      <c r="Q956" s="492">
        <v>2.9999999999999997E-4</v>
      </c>
      <c r="R956" s="493">
        <v>2.0000000000000001E-4</v>
      </c>
      <c r="S956" s="494">
        <v>1</v>
      </c>
      <c r="T956" s="490">
        <v>6.4999999999999997E-4</v>
      </c>
      <c r="U956" s="495">
        <v>-23.585714285712783</v>
      </c>
      <c r="V956" s="496">
        <v>60.5</v>
      </c>
      <c r="W956" s="497">
        <v>1.48</v>
      </c>
      <c r="X956" s="498">
        <v>34.906857142854918</v>
      </c>
      <c r="Y956" s="499"/>
      <c r="Z956" s="499"/>
    </row>
    <row r="957" spans="2:26" ht="20" thickBot="1" x14ac:dyDescent="0.25">
      <c r="C957" s="452"/>
      <c r="D957" s="500" t="s">
        <v>435</v>
      </c>
      <c r="E957" s="501">
        <v>0.625</v>
      </c>
      <c r="F957" s="502"/>
      <c r="G957" s="503"/>
      <c r="H957" s="504">
        <v>0.41666666666666663</v>
      </c>
      <c r="I957" s="484"/>
      <c r="J957" s="484"/>
      <c r="K957" s="485"/>
      <c r="L957" s="505">
        <v>0.85416666666666663</v>
      </c>
      <c r="M957" s="506">
        <v>0.70833333333333326</v>
      </c>
      <c r="N957" s="462"/>
      <c r="O957" s="507" t="s">
        <v>812</v>
      </c>
      <c r="P957" s="508">
        <v>0.1</v>
      </c>
      <c r="Q957" s="509">
        <v>2.6666666666666663E-4</v>
      </c>
      <c r="R957" s="510">
        <v>2.0000000000000001E-4</v>
      </c>
      <c r="S957" s="511">
        <v>1</v>
      </c>
      <c r="T957" s="512">
        <v>5.9999999999999995E-4</v>
      </c>
      <c r="U957" s="513">
        <v>-21.771428571427183</v>
      </c>
      <c r="V957" s="514">
        <v>60.5</v>
      </c>
      <c r="W957" s="515">
        <v>1.75</v>
      </c>
      <c r="X957" s="516">
        <v>38.099999999997571</v>
      </c>
      <c r="Y957" s="517"/>
      <c r="Z957" s="517"/>
    </row>
    <row r="958" spans="2:26" ht="20" thickBot="1" x14ac:dyDescent="0.25">
      <c r="C958" s="452"/>
      <c r="D958" s="518" t="s">
        <v>436</v>
      </c>
      <c r="E958" s="519" t="s">
        <v>29</v>
      </c>
      <c r="F958" s="519" t="s">
        <v>28</v>
      </c>
      <c r="G958" s="520" t="s">
        <v>27</v>
      </c>
      <c r="H958" s="521" t="s">
        <v>793</v>
      </c>
      <c r="I958" s="484"/>
      <c r="J958" s="484"/>
      <c r="K958" s="485"/>
      <c r="L958" s="522" t="s">
        <v>1002</v>
      </c>
      <c r="M958" s="521"/>
      <c r="N958" s="462"/>
      <c r="O958" s="488"/>
      <c r="P958" s="489"/>
      <c r="Q958" s="488"/>
      <c r="R958" s="488"/>
      <c r="S958" s="488"/>
      <c r="T958" s="488"/>
      <c r="U958" s="523"/>
      <c r="V958" s="524"/>
      <c r="W958" s="488"/>
      <c r="X958" s="523"/>
      <c r="Y958" s="489"/>
      <c r="Z958" s="489"/>
    </row>
    <row r="959" spans="2:26" ht="19" x14ac:dyDescent="0.2">
      <c r="C959" s="452"/>
      <c r="D959" s="525">
        <v>45594</v>
      </c>
      <c r="E959" s="526">
        <v>108.7</v>
      </c>
      <c r="F959" s="526" t="s">
        <v>1091</v>
      </c>
      <c r="G959" s="526">
        <v>99.2</v>
      </c>
      <c r="H959" s="527">
        <v>0.58333333333333337</v>
      </c>
      <c r="I959" s="484"/>
      <c r="J959" s="484"/>
      <c r="K959" s="485"/>
      <c r="L959" s="527">
        <v>0.375</v>
      </c>
      <c r="M959" s="528"/>
      <c r="N959" s="462"/>
      <c r="O959" s="488"/>
      <c r="P959" s="489"/>
      <c r="Q959" s="488"/>
      <c r="R959" s="488"/>
      <c r="S959" s="488"/>
      <c r="T959" s="488"/>
      <c r="U959" s="488"/>
      <c r="V959" s="488"/>
      <c r="W959" s="488"/>
      <c r="X959" s="488"/>
      <c r="Y959" s="489"/>
      <c r="Z959" s="489"/>
    </row>
    <row r="960" spans="2:26" ht="19" x14ac:dyDescent="0.2">
      <c r="C960" s="452"/>
      <c r="D960" s="525">
        <v>45559</v>
      </c>
      <c r="E960" s="526">
        <v>98.7</v>
      </c>
      <c r="F960" s="526" t="s">
        <v>874</v>
      </c>
      <c r="G960" s="526">
        <v>105.6</v>
      </c>
      <c r="H960" s="527">
        <v>0.58333333333333337</v>
      </c>
      <c r="I960" s="484"/>
      <c r="J960" s="484"/>
      <c r="K960" s="485"/>
      <c r="L960" s="527">
        <v>0.375</v>
      </c>
      <c r="M960" s="529"/>
      <c r="N960" s="462"/>
      <c r="O960" s="473" t="s">
        <v>813</v>
      </c>
      <c r="P960" s="474">
        <v>-0.05</v>
      </c>
      <c r="Q960" s="530">
        <v>2.833333333333333E-4</v>
      </c>
      <c r="R960" s="531">
        <v>2.0000000000000001E-4</v>
      </c>
      <c r="S960" s="477">
        <v>-1</v>
      </c>
      <c r="T960" s="490">
        <v>6.249999999999999E-4</v>
      </c>
      <c r="U960" s="532">
        <v>-11.339285714284991</v>
      </c>
      <c r="V960" s="533">
        <v>-30.25</v>
      </c>
      <c r="W960" s="477">
        <v>1.5</v>
      </c>
      <c r="X960" s="479">
        <v>17.008928571427486</v>
      </c>
      <c r="Y960" s="534"/>
      <c r="Z960" s="534" t="s">
        <v>1055</v>
      </c>
    </row>
    <row r="961" spans="3:26" ht="19" x14ac:dyDescent="0.2">
      <c r="C961" s="452"/>
      <c r="D961" s="525">
        <v>45531</v>
      </c>
      <c r="E961" s="526">
        <v>103.3</v>
      </c>
      <c r="F961" s="526" t="s">
        <v>875</v>
      </c>
      <c r="G961" s="526">
        <v>101.9</v>
      </c>
      <c r="H961" s="527">
        <v>0.58333333333333337</v>
      </c>
      <c r="I961" s="484"/>
      <c r="J961" s="484"/>
      <c r="K961" s="485"/>
      <c r="L961" s="527">
        <v>0.375</v>
      </c>
      <c r="M961" s="486"/>
      <c r="N961" s="462"/>
      <c r="O961" s="473"/>
      <c r="P961" s="474"/>
      <c r="Q961" s="530"/>
      <c r="R961" s="531"/>
      <c r="S961" s="477"/>
      <c r="T961" s="490"/>
      <c r="U961" s="532"/>
      <c r="V961" s="533"/>
      <c r="W961" s="477"/>
      <c r="X961" s="479"/>
      <c r="Y961" s="534"/>
      <c r="Z961" s="534"/>
    </row>
    <row r="962" spans="3:26" ht="19" x14ac:dyDescent="0.2">
      <c r="C962" s="452"/>
      <c r="D962" s="525">
        <v>45503</v>
      </c>
      <c r="E962" s="526">
        <v>100.3</v>
      </c>
      <c r="F962" s="526" t="s">
        <v>876</v>
      </c>
      <c r="G962" s="526">
        <v>97.8</v>
      </c>
      <c r="H962" s="527">
        <v>0.58333333333333337</v>
      </c>
      <c r="I962" s="484"/>
      <c r="J962" s="484"/>
      <c r="K962" s="485"/>
      <c r="L962" s="527">
        <v>0.375</v>
      </c>
      <c r="M962" s="486"/>
      <c r="N962" s="462"/>
      <c r="O962" s="473"/>
      <c r="P962" s="535"/>
      <c r="Q962" s="530"/>
      <c r="R962" s="531"/>
      <c r="S962" s="477"/>
      <c r="T962" s="535"/>
      <c r="U962" s="532"/>
      <c r="V962" s="533"/>
      <c r="W962" s="477"/>
      <c r="X962" s="479"/>
      <c r="Y962" s="534"/>
      <c r="Z962" s="534"/>
    </row>
    <row r="963" spans="3:26" ht="19" x14ac:dyDescent="0.2">
      <c r="C963" s="452"/>
      <c r="D963" s="525">
        <v>45468</v>
      </c>
      <c r="E963" s="526">
        <v>100.4</v>
      </c>
      <c r="F963" s="526" t="s">
        <v>877</v>
      </c>
      <c r="G963" s="526">
        <v>101.3</v>
      </c>
      <c r="H963" s="527">
        <v>0.58333333333333337</v>
      </c>
      <c r="I963" s="484"/>
      <c r="J963" s="484"/>
      <c r="K963" s="485"/>
      <c r="L963" s="527">
        <v>0.375</v>
      </c>
      <c r="M963" s="486"/>
      <c r="N963" s="462"/>
      <c r="O963" s="536"/>
      <c r="P963" s="536"/>
      <c r="Q963" s="536"/>
      <c r="R963" s="536"/>
      <c r="S963" s="536"/>
      <c r="T963" s="536"/>
      <c r="U963" s="536"/>
      <c r="V963" s="536"/>
      <c r="W963" s="536"/>
      <c r="X963" s="536"/>
      <c r="Y963" s="536"/>
      <c r="Z963" s="536"/>
    </row>
    <row r="964" spans="3:26" ht="20" thickBot="1" x14ac:dyDescent="0.25">
      <c r="C964" s="452"/>
      <c r="D964" s="525">
        <v>45440</v>
      </c>
      <c r="E964" s="526">
        <v>102</v>
      </c>
      <c r="F964" s="526" t="s">
        <v>878</v>
      </c>
      <c r="G964" s="526">
        <v>97.5</v>
      </c>
      <c r="H964" s="527">
        <v>0.58333333333333337</v>
      </c>
      <c r="I964" s="537"/>
      <c r="J964" s="537"/>
      <c r="K964" s="538"/>
      <c r="L964" s="539">
        <v>0.375</v>
      </c>
      <c r="M964" s="540"/>
      <c r="N964" s="462"/>
      <c r="O964" s="536"/>
      <c r="P964" s="536"/>
      <c r="Q964" s="536"/>
      <c r="R964" s="536"/>
      <c r="S964" s="536"/>
      <c r="T964" s="536"/>
      <c r="U964" s="536"/>
      <c r="V964" s="536"/>
      <c r="W964" s="536"/>
      <c r="X964" s="536"/>
      <c r="Y964" s="536"/>
      <c r="Z964" s="536"/>
    </row>
    <row r="965" spans="3:26" ht="58" thickBot="1" x14ac:dyDescent="0.25">
      <c r="C965" s="452">
        <v>2</v>
      </c>
      <c r="D965" s="453" t="s">
        <v>30</v>
      </c>
      <c r="E965" s="454" t="s">
        <v>1062</v>
      </c>
      <c r="F965" s="455"/>
      <c r="G965" s="456"/>
      <c r="H965" s="457" t="s">
        <v>790</v>
      </c>
      <c r="I965" s="458" t="s">
        <v>633</v>
      </c>
      <c r="J965" s="458"/>
      <c r="K965" s="459"/>
      <c r="L965" s="460" t="s">
        <v>430</v>
      </c>
      <c r="M965" s="461" t="s">
        <v>431</v>
      </c>
      <c r="N965" s="462" t="s">
        <v>105</v>
      </c>
      <c r="O965" s="463" t="s">
        <v>800</v>
      </c>
      <c r="P965" s="463" t="s">
        <v>801</v>
      </c>
      <c r="Q965" s="463" t="s">
        <v>802</v>
      </c>
      <c r="R965" s="463" t="s">
        <v>803</v>
      </c>
      <c r="S965" s="463" t="s">
        <v>804</v>
      </c>
      <c r="T965" s="463" t="s">
        <v>805</v>
      </c>
      <c r="U965" s="463" t="s">
        <v>806</v>
      </c>
      <c r="V965" s="463" t="s">
        <v>807</v>
      </c>
      <c r="W965" s="463" t="s">
        <v>808</v>
      </c>
      <c r="X965" s="463" t="s">
        <v>809</v>
      </c>
      <c r="Y965" s="463" t="s">
        <v>75</v>
      </c>
      <c r="Z965" s="463" t="s">
        <v>75</v>
      </c>
    </row>
    <row r="966" spans="3:26" ht="38" x14ac:dyDescent="0.2">
      <c r="C966" s="452"/>
      <c r="D966" s="541" t="s">
        <v>432</v>
      </c>
      <c r="E966" s="542"/>
      <c r="F966" s="543"/>
      <c r="G966" s="544"/>
      <c r="H966" s="468" t="s">
        <v>906</v>
      </c>
      <c r="I966" s="469" t="s">
        <v>1064</v>
      </c>
      <c r="J966" s="469"/>
      <c r="K966" s="470"/>
      <c r="L966" s="471"/>
      <c r="M966" s="472" t="s">
        <v>1062</v>
      </c>
      <c r="N966" s="462"/>
      <c r="O966" s="473" t="s">
        <v>810</v>
      </c>
      <c r="P966" s="474">
        <v>0.1</v>
      </c>
      <c r="Q966" s="475">
        <v>0.03</v>
      </c>
      <c r="R966" s="476">
        <v>1.4000000000010004E-2</v>
      </c>
      <c r="S966" s="477"/>
      <c r="T966" s="473">
        <v>5.9000000000010003E-2</v>
      </c>
      <c r="U966" s="475">
        <v>-14.72</v>
      </c>
      <c r="V966" s="474">
        <v>60.5</v>
      </c>
      <c r="W966" s="478">
        <v>2</v>
      </c>
      <c r="X966" s="479">
        <v>29.44</v>
      </c>
      <c r="Y966" s="477"/>
      <c r="Z966" s="477"/>
    </row>
    <row r="967" spans="3:26" ht="38" x14ac:dyDescent="0.2">
      <c r="C967" s="452"/>
      <c r="D967" s="545" t="s">
        <v>433</v>
      </c>
      <c r="E967" s="546"/>
      <c r="F967" s="547"/>
      <c r="G967" s="548"/>
      <c r="H967" s="468" t="s">
        <v>907</v>
      </c>
      <c r="I967" s="484"/>
      <c r="J967" s="484"/>
      <c r="K967" s="485"/>
      <c r="L967" s="471"/>
      <c r="M967" s="486"/>
      <c r="N967" s="462"/>
      <c r="O967" s="462"/>
      <c r="P967" s="462"/>
      <c r="Q967" s="462"/>
      <c r="R967" s="487"/>
      <c r="S967" s="488"/>
      <c r="T967" s="462"/>
      <c r="U967" s="462"/>
      <c r="V967" s="462"/>
      <c r="W967" s="488"/>
      <c r="X967" s="488"/>
      <c r="Y967" s="489"/>
      <c r="Z967" s="489"/>
    </row>
    <row r="968" spans="3:26" ht="19" x14ac:dyDescent="0.2">
      <c r="C968" s="452"/>
      <c r="D968" s="545" t="s">
        <v>434</v>
      </c>
      <c r="E968" s="546" t="s">
        <v>1063</v>
      </c>
      <c r="F968" s="547"/>
      <c r="G968" s="548"/>
      <c r="H968" s="468"/>
      <c r="I968" s="484"/>
      <c r="J968" s="484"/>
      <c r="K968" s="485"/>
      <c r="L968" s="471"/>
      <c r="M968" s="486"/>
      <c r="N968" s="462"/>
      <c r="O968" s="490" t="s">
        <v>811</v>
      </c>
      <c r="P968" s="491">
        <v>0.1</v>
      </c>
      <c r="Q968" s="492">
        <v>5.7000000000000002E-2</v>
      </c>
      <c r="R968" s="493">
        <v>1.7999999999999999E-2</v>
      </c>
      <c r="S968" s="494">
        <v>1</v>
      </c>
      <c r="T968" s="490">
        <v>0.10350000000000001</v>
      </c>
      <c r="U968" s="495">
        <v>-25.822372881351555</v>
      </c>
      <c r="V968" s="496">
        <v>60.5</v>
      </c>
      <c r="W968" s="497">
        <v>4.12</v>
      </c>
      <c r="X968" s="498">
        <v>106.3881762711684</v>
      </c>
      <c r="Y968" s="499"/>
      <c r="Z968" s="499"/>
    </row>
    <row r="969" spans="3:26" ht="20" thickBot="1" x14ac:dyDescent="0.25">
      <c r="C969" s="452"/>
      <c r="D969" s="549" t="s">
        <v>435</v>
      </c>
      <c r="E969" s="550">
        <v>0.625</v>
      </c>
      <c r="F969" s="551"/>
      <c r="G969" s="552"/>
      <c r="H969" s="504">
        <v>0.41666666666666663</v>
      </c>
      <c r="I969" s="484"/>
      <c r="J969" s="484"/>
      <c r="K969" s="485"/>
      <c r="L969" s="505">
        <v>0.85416666666666663</v>
      </c>
      <c r="M969" s="506">
        <v>0.70833333333333326</v>
      </c>
      <c r="N969" s="462"/>
      <c r="O969" s="507" t="s">
        <v>812</v>
      </c>
      <c r="P969" s="508">
        <v>0.1</v>
      </c>
      <c r="Q969" s="509">
        <v>6.3266666666666665E-2</v>
      </c>
      <c r="R969" s="510">
        <v>1.7999999999999999E-2</v>
      </c>
      <c r="S969" s="511">
        <v>1</v>
      </c>
      <c r="T969" s="512">
        <v>0.1129</v>
      </c>
      <c r="U969" s="513">
        <v>-28.167593220334208</v>
      </c>
      <c r="V969" s="514">
        <v>60.5</v>
      </c>
      <c r="W969" s="515">
        <v>2.46</v>
      </c>
      <c r="X969" s="516">
        <v>69.292279322022154</v>
      </c>
      <c r="Y969" s="517"/>
      <c r="Z969" s="517"/>
    </row>
    <row r="970" spans="3:26" ht="20" thickBot="1" x14ac:dyDescent="0.25">
      <c r="C970" s="452"/>
      <c r="D970" s="553" t="s">
        <v>436</v>
      </c>
      <c r="E970" s="554" t="s">
        <v>29</v>
      </c>
      <c r="F970" s="554" t="s">
        <v>28</v>
      </c>
      <c r="G970" s="555" t="s">
        <v>27</v>
      </c>
      <c r="H970" s="521" t="s">
        <v>793</v>
      </c>
      <c r="I970" s="484"/>
      <c r="J970" s="484"/>
      <c r="K970" s="485"/>
      <c r="L970" s="522" t="s">
        <v>1002</v>
      </c>
      <c r="M970" s="521"/>
      <c r="N970" s="462"/>
      <c r="O970" s="488"/>
      <c r="P970" s="489"/>
      <c r="Q970" s="488"/>
      <c r="R970" s="488"/>
      <c r="S970" s="488"/>
      <c r="T970" s="488"/>
      <c r="U970" s="523"/>
      <c r="V970" s="524"/>
      <c r="W970" s="488"/>
      <c r="X970" s="523"/>
      <c r="Y970" s="489"/>
      <c r="Z970" s="489"/>
    </row>
    <row r="971" spans="3:26" ht="19" x14ac:dyDescent="0.2">
      <c r="C971" s="452"/>
      <c r="D971" s="556">
        <v>45589</v>
      </c>
      <c r="E971" s="557" t="s">
        <v>1092</v>
      </c>
      <c r="F971" s="557" t="s">
        <v>1093</v>
      </c>
      <c r="G971" s="557" t="s">
        <v>1094</v>
      </c>
      <c r="H971" s="527">
        <v>0.58333333333333337</v>
      </c>
      <c r="I971" s="484"/>
      <c r="J971" s="484"/>
      <c r="K971" s="485"/>
      <c r="L971" s="527">
        <v>0.375</v>
      </c>
      <c r="M971" s="528"/>
      <c r="N971" s="462"/>
      <c r="O971" s="488"/>
      <c r="P971" s="489"/>
      <c r="Q971" s="488"/>
      <c r="R971" s="488"/>
      <c r="S971" s="488"/>
      <c r="T971" s="488"/>
      <c r="U971" s="488"/>
      <c r="V971" s="488"/>
      <c r="W971" s="488"/>
      <c r="X971" s="488"/>
      <c r="Y971" s="489"/>
      <c r="Z971" s="489"/>
    </row>
    <row r="972" spans="3:26" ht="19" x14ac:dyDescent="0.2">
      <c r="C972" s="452"/>
      <c r="D972" s="556">
        <v>45560</v>
      </c>
      <c r="E972" s="557" t="s">
        <v>1095</v>
      </c>
      <c r="F972" s="557" t="s">
        <v>1096</v>
      </c>
      <c r="G972" s="557" t="s">
        <v>1097</v>
      </c>
      <c r="H972" s="527">
        <v>0.58333333333333337</v>
      </c>
      <c r="I972" s="484"/>
      <c r="J972" s="484"/>
      <c r="K972" s="485"/>
      <c r="L972" s="527">
        <v>0.375</v>
      </c>
      <c r="M972" s="529"/>
      <c r="N972" s="462"/>
      <c r="O972" s="473" t="s">
        <v>813</v>
      </c>
      <c r="P972" s="474">
        <v>0.1</v>
      </c>
      <c r="Q972" s="530">
        <v>6.013333333333333E-2</v>
      </c>
      <c r="R972" s="531">
        <v>1.7999999999999999E-2</v>
      </c>
      <c r="S972" s="477">
        <v>1</v>
      </c>
      <c r="T972" s="490">
        <v>0.1082</v>
      </c>
      <c r="U972" s="532">
        <v>-26.994983050842883</v>
      </c>
      <c r="V972" s="533">
        <v>60.5</v>
      </c>
      <c r="W972" s="477">
        <v>2</v>
      </c>
      <c r="X972" s="479">
        <v>53.989966101685766</v>
      </c>
      <c r="Y972" s="534"/>
      <c r="Z972" s="534"/>
    </row>
    <row r="973" spans="3:26" ht="19" x14ac:dyDescent="0.2">
      <c r="C973" s="452"/>
      <c r="D973" s="556">
        <v>45527</v>
      </c>
      <c r="E973" s="557" t="s">
        <v>1098</v>
      </c>
      <c r="F973" s="557" t="s">
        <v>1099</v>
      </c>
      <c r="G973" s="557" t="s">
        <v>1100</v>
      </c>
      <c r="H973" s="527">
        <v>0.58333333333333337</v>
      </c>
      <c r="I973" s="484"/>
      <c r="J973" s="484"/>
      <c r="K973" s="485"/>
      <c r="L973" s="527">
        <v>0.375</v>
      </c>
      <c r="M973" s="486"/>
      <c r="N973" s="462"/>
      <c r="O973" s="473" t="s">
        <v>813</v>
      </c>
      <c r="P973" s="474">
        <v>0.1</v>
      </c>
      <c r="Q973" s="530">
        <v>6.013333333333333E-2</v>
      </c>
      <c r="R973" s="531">
        <v>1.7999999999999999E-2</v>
      </c>
      <c r="S973" s="477">
        <v>1</v>
      </c>
      <c r="T973" s="490">
        <v>0.1082</v>
      </c>
      <c r="U973" s="532">
        <v>-26.994983050842883</v>
      </c>
      <c r="V973" s="533">
        <v>60.5</v>
      </c>
      <c r="W973" s="477">
        <v>2</v>
      </c>
      <c r="X973" s="479">
        <v>53.989966101685766</v>
      </c>
      <c r="Y973" s="534"/>
      <c r="Z973" s="534"/>
    </row>
    <row r="974" spans="3:26" ht="19" x14ac:dyDescent="0.2">
      <c r="C974" s="452"/>
      <c r="D974" s="556">
        <v>45497</v>
      </c>
      <c r="E974" s="557" t="s">
        <v>1101</v>
      </c>
      <c r="F974" s="557" t="s">
        <v>1102</v>
      </c>
      <c r="G974" s="557" t="s">
        <v>1103</v>
      </c>
      <c r="H974" s="527">
        <v>0.58333333333333337</v>
      </c>
      <c r="I974" s="484"/>
      <c r="J974" s="484"/>
      <c r="K974" s="485"/>
      <c r="L974" s="527">
        <v>0.375</v>
      </c>
      <c r="M974" s="486"/>
      <c r="N974" s="462"/>
      <c r="O974" s="473"/>
      <c r="P974" s="535"/>
      <c r="Q974" s="530"/>
      <c r="R974" s="531"/>
      <c r="S974" s="477"/>
      <c r="T974" s="535"/>
      <c r="U974" s="532"/>
      <c r="V974" s="533"/>
      <c r="W974" s="477"/>
      <c r="X974" s="479"/>
      <c r="Y974" s="534"/>
      <c r="Z974" s="534"/>
    </row>
    <row r="975" spans="3:26" ht="19" x14ac:dyDescent="0.2">
      <c r="C975" s="452"/>
      <c r="D975" s="556">
        <v>45469</v>
      </c>
      <c r="E975" s="557" t="s">
        <v>1104</v>
      </c>
      <c r="F975" s="557" t="s">
        <v>1105</v>
      </c>
      <c r="G975" s="557" t="s">
        <v>1106</v>
      </c>
      <c r="H975" s="527">
        <v>0.58333333333333337</v>
      </c>
      <c r="I975" s="484"/>
      <c r="J975" s="484"/>
      <c r="K975" s="485"/>
      <c r="L975" s="527">
        <v>0.375</v>
      </c>
      <c r="M975" s="486"/>
      <c r="N975" s="462"/>
      <c r="O975" s="536"/>
      <c r="P975" s="536"/>
      <c r="Q975" s="536"/>
      <c r="R975" s="536"/>
      <c r="S975" s="536"/>
      <c r="T975" s="536"/>
      <c r="U975" s="536"/>
      <c r="V975" s="536"/>
      <c r="W975" s="536"/>
      <c r="X975" s="536"/>
      <c r="Y975" s="536"/>
      <c r="Z975" s="536"/>
    </row>
    <row r="976" spans="3:26" ht="20" thickBot="1" x14ac:dyDescent="0.25">
      <c r="C976" s="452"/>
      <c r="D976" s="556">
        <v>45435</v>
      </c>
      <c r="E976" s="557" t="s">
        <v>1107</v>
      </c>
      <c r="F976" s="557" t="s">
        <v>1108</v>
      </c>
      <c r="G976" s="557" t="s">
        <v>1109</v>
      </c>
      <c r="H976" s="527">
        <v>0.58333333333333337</v>
      </c>
      <c r="I976" s="537"/>
      <c r="J976" s="537"/>
      <c r="K976" s="538"/>
      <c r="L976" s="539">
        <v>0.375</v>
      </c>
      <c r="M976" s="540"/>
      <c r="N976" s="462"/>
      <c r="O976" s="536"/>
      <c r="P976" s="558"/>
      <c r="Q976" s="536"/>
      <c r="R976" s="536"/>
      <c r="S976" s="536"/>
      <c r="T976" s="536"/>
      <c r="U976" s="536"/>
      <c r="V976" s="536"/>
      <c r="W976" s="536"/>
      <c r="X976" s="536"/>
      <c r="Y976" s="536"/>
      <c r="Z976" s="536"/>
    </row>
    <row r="977" spans="3:26" ht="58" thickBot="1" x14ac:dyDescent="0.25">
      <c r="C977" s="452">
        <v>3</v>
      </c>
      <c r="D977" s="559" t="s">
        <v>30</v>
      </c>
      <c r="E977" s="560" t="s">
        <v>7</v>
      </c>
      <c r="F977" s="561"/>
      <c r="G977" s="562"/>
      <c r="H977" s="563" t="s">
        <v>790</v>
      </c>
      <c r="I977" s="564" t="s">
        <v>633</v>
      </c>
      <c r="J977" s="564"/>
      <c r="K977" s="565"/>
      <c r="L977" s="566" t="s">
        <v>430</v>
      </c>
      <c r="M977" s="567" t="s">
        <v>431</v>
      </c>
      <c r="N977" s="462" t="s">
        <v>105</v>
      </c>
      <c r="O977" s="463" t="s">
        <v>800</v>
      </c>
      <c r="P977" s="463" t="s">
        <v>801</v>
      </c>
      <c r="Q977" s="463" t="s">
        <v>802</v>
      </c>
      <c r="R977" s="463" t="s">
        <v>803</v>
      </c>
      <c r="S977" s="463" t="s">
        <v>804</v>
      </c>
      <c r="T977" s="463" t="s">
        <v>805</v>
      </c>
      <c r="U977" s="463" t="s">
        <v>806</v>
      </c>
      <c r="V977" s="463" t="s">
        <v>807</v>
      </c>
      <c r="W977" s="463" t="s">
        <v>808</v>
      </c>
      <c r="X977" s="463" t="s">
        <v>809</v>
      </c>
      <c r="Y977" s="463" t="s">
        <v>75</v>
      </c>
      <c r="Z977" s="463" t="s">
        <v>75</v>
      </c>
    </row>
    <row r="978" spans="3:26" ht="38" x14ac:dyDescent="0.2">
      <c r="C978" s="452"/>
      <c r="D978" s="541" t="s">
        <v>432</v>
      </c>
      <c r="E978" s="542"/>
      <c r="F978" s="543"/>
      <c r="G978" s="544"/>
      <c r="H978" s="468" t="s">
        <v>794</v>
      </c>
      <c r="I978" s="469" t="s">
        <v>1065</v>
      </c>
      <c r="J978" s="469"/>
      <c r="K978" s="470"/>
      <c r="L978" s="471"/>
      <c r="M978" s="472" t="s">
        <v>7</v>
      </c>
      <c r="N978" s="462"/>
      <c r="O978" s="473" t="s">
        <v>810</v>
      </c>
      <c r="P978" s="474">
        <v>0.1</v>
      </c>
      <c r="Q978" s="475">
        <v>0.03</v>
      </c>
      <c r="R978" s="476">
        <v>1.4000000000010004E-2</v>
      </c>
      <c r="S978" s="477"/>
      <c r="T978" s="473">
        <v>5.9000000000010003E-2</v>
      </c>
      <c r="U978" s="475">
        <v>-14.72</v>
      </c>
      <c r="V978" s="474">
        <v>60.5</v>
      </c>
      <c r="W978" s="478">
        <v>2</v>
      </c>
      <c r="X978" s="479">
        <v>29.44</v>
      </c>
      <c r="Y978" s="477"/>
      <c r="Z978" s="477"/>
    </row>
    <row r="979" spans="3:26" ht="38" x14ac:dyDescent="0.2">
      <c r="C979" s="452"/>
      <c r="D979" s="545" t="s">
        <v>433</v>
      </c>
      <c r="E979" s="546"/>
      <c r="F979" s="547"/>
      <c r="G979" s="548"/>
      <c r="H979" s="468" t="s">
        <v>795</v>
      </c>
      <c r="I979" s="484"/>
      <c r="J979" s="484"/>
      <c r="K979" s="485"/>
      <c r="L979" s="471"/>
      <c r="M979" s="486"/>
      <c r="N979" s="462"/>
      <c r="O979" s="462"/>
      <c r="P979" s="462"/>
      <c r="Q979" s="462"/>
      <c r="R979" s="487"/>
      <c r="S979" s="488"/>
      <c r="T979" s="462"/>
      <c r="U979" s="462"/>
      <c r="V979" s="462"/>
      <c r="W979" s="488"/>
      <c r="X979" s="488"/>
      <c r="Y979" s="489"/>
      <c r="Z979" s="489"/>
    </row>
    <row r="980" spans="3:26" ht="19" x14ac:dyDescent="0.2">
      <c r="C980" s="452"/>
      <c r="D980" s="545" t="s">
        <v>434</v>
      </c>
      <c r="E980" s="568"/>
      <c r="F980" s="569"/>
      <c r="G980" s="570"/>
      <c r="H980" s="468"/>
      <c r="I980" s="484"/>
      <c r="J980" s="484"/>
      <c r="K980" s="485"/>
      <c r="L980" s="471"/>
      <c r="M980" s="486"/>
      <c r="N980" s="462"/>
      <c r="O980" s="490" t="s">
        <v>811</v>
      </c>
      <c r="P980" s="491">
        <v>0.1</v>
      </c>
      <c r="Q980" s="492">
        <v>2.7400000000000001E-2</v>
      </c>
      <c r="R980" s="493">
        <v>1.7000000000000001E-2</v>
      </c>
      <c r="S980" s="494">
        <v>1</v>
      </c>
      <c r="T980" s="490">
        <v>5.8099999999999999E-2</v>
      </c>
      <c r="U980" s="495">
        <v>-14.495457627116187</v>
      </c>
      <c r="V980" s="496">
        <v>60.5</v>
      </c>
      <c r="W980" s="497">
        <v>2.95</v>
      </c>
      <c r="X980" s="498">
        <v>42.761599999992754</v>
      </c>
      <c r="Y980" s="499"/>
      <c r="Z980" s="499"/>
    </row>
    <row r="981" spans="3:26" ht="20" thickBot="1" x14ac:dyDescent="0.25">
      <c r="C981" s="452"/>
      <c r="D981" s="549" t="s">
        <v>435</v>
      </c>
      <c r="E981" s="550">
        <v>0.79166666666666663</v>
      </c>
      <c r="F981" s="551"/>
      <c r="G981" s="552"/>
      <c r="H981" s="504">
        <v>0.58333333333333326</v>
      </c>
      <c r="I981" s="484"/>
      <c r="J981" s="484"/>
      <c r="K981" s="485"/>
      <c r="L981" s="505">
        <v>2.0833333333333332E-2</v>
      </c>
      <c r="M981" s="506">
        <v>0.875</v>
      </c>
      <c r="N981" s="462"/>
      <c r="O981" s="507" t="s">
        <v>812</v>
      </c>
      <c r="P981" s="508">
        <v>0.1</v>
      </c>
      <c r="Q981" s="509">
        <v>2.9466666666666665E-2</v>
      </c>
      <c r="R981" s="510">
        <v>1.7000000000000001E-2</v>
      </c>
      <c r="S981" s="511">
        <v>1</v>
      </c>
      <c r="T981" s="512">
        <v>6.1199999999999997E-2</v>
      </c>
      <c r="U981" s="513">
        <v>-15.268881355929613</v>
      </c>
      <c r="V981" s="514">
        <v>60.5</v>
      </c>
      <c r="W981" s="515">
        <v>3.35</v>
      </c>
      <c r="X981" s="516">
        <v>51.150752542364209</v>
      </c>
      <c r="Y981" s="517"/>
      <c r="Z981" s="517"/>
    </row>
    <row r="982" spans="3:26" ht="20" thickBot="1" x14ac:dyDescent="0.25">
      <c r="C982" s="452"/>
      <c r="D982" s="553" t="s">
        <v>436</v>
      </c>
      <c r="E982" s="554" t="s">
        <v>29</v>
      </c>
      <c r="F982" s="554" t="s">
        <v>28</v>
      </c>
      <c r="G982" s="555" t="s">
        <v>27</v>
      </c>
      <c r="H982" s="521" t="s">
        <v>793</v>
      </c>
      <c r="I982" s="484"/>
      <c r="J982" s="484"/>
      <c r="K982" s="485"/>
      <c r="L982" s="522" t="s">
        <v>1002</v>
      </c>
      <c r="M982" s="521"/>
      <c r="N982" s="462"/>
      <c r="O982" s="488"/>
      <c r="P982" s="489"/>
      <c r="Q982" s="488"/>
      <c r="R982" s="488"/>
      <c r="S982" s="488"/>
      <c r="T982" s="488"/>
      <c r="U982" s="523"/>
      <c r="V982" s="524"/>
      <c r="W982" s="488"/>
      <c r="X982" s="523"/>
      <c r="Y982" s="489"/>
      <c r="Z982" s="489"/>
    </row>
    <row r="983" spans="3:26" ht="19" x14ac:dyDescent="0.2">
      <c r="C983" s="452"/>
      <c r="D983" s="556">
        <v>45574</v>
      </c>
      <c r="E983" s="557"/>
      <c r="F983" s="557"/>
      <c r="G983" s="557"/>
      <c r="H983" s="527">
        <v>0.75</v>
      </c>
      <c r="I983" s="484"/>
      <c r="J983" s="484"/>
      <c r="K983" s="485"/>
      <c r="L983" s="527">
        <v>0.54166666666666663</v>
      </c>
      <c r="M983" s="528"/>
      <c r="N983" s="462"/>
      <c r="O983" s="488"/>
      <c r="P983" s="489"/>
      <c r="Q983" s="488"/>
      <c r="R983" s="488"/>
      <c r="S983" s="488"/>
      <c r="T983" s="488"/>
      <c r="U983" s="488"/>
      <c r="V983" s="488"/>
      <c r="W983" s="488"/>
      <c r="X983" s="488"/>
      <c r="Y983" s="489"/>
      <c r="Z983" s="489"/>
    </row>
    <row r="984" spans="3:26" ht="19" x14ac:dyDescent="0.2">
      <c r="C984" s="452"/>
      <c r="D984" s="556">
        <v>45525</v>
      </c>
      <c r="E984" s="557"/>
      <c r="F984" s="557"/>
      <c r="G984" s="557"/>
      <c r="H984" s="527">
        <v>0.75</v>
      </c>
      <c r="I984" s="484"/>
      <c r="J984" s="484"/>
      <c r="K984" s="485"/>
      <c r="L984" s="527">
        <v>0.54166666666666663</v>
      </c>
      <c r="M984" s="529"/>
      <c r="N984" s="462"/>
      <c r="O984" s="473" t="s">
        <v>813</v>
      </c>
      <c r="P984" s="474">
        <v>0.2</v>
      </c>
      <c r="Q984" s="530">
        <v>2.8433333333333331E-2</v>
      </c>
      <c r="R984" s="531">
        <v>1.7000000000000001E-2</v>
      </c>
      <c r="S984" s="477">
        <v>1</v>
      </c>
      <c r="T984" s="490">
        <v>5.9649999999999995E-2</v>
      </c>
      <c r="U984" s="532">
        <v>-29.7643389830458</v>
      </c>
      <c r="V984" s="533">
        <v>121</v>
      </c>
      <c r="W984" s="477">
        <v>2</v>
      </c>
      <c r="X984" s="479">
        <v>59.5286779660916</v>
      </c>
      <c r="Y984" s="534"/>
      <c r="Z984" s="534"/>
    </row>
    <row r="985" spans="3:26" ht="19" x14ac:dyDescent="0.2">
      <c r="C985" s="452"/>
      <c r="D985" s="556">
        <v>45476</v>
      </c>
      <c r="E985" s="557"/>
      <c r="F985" s="557"/>
      <c r="G985" s="557"/>
      <c r="H985" s="527">
        <v>0.75</v>
      </c>
      <c r="I985" s="484"/>
      <c r="J985" s="484"/>
      <c r="K985" s="485"/>
      <c r="L985" s="527">
        <v>0.54166666666666663</v>
      </c>
      <c r="M985" s="486"/>
      <c r="N985" s="462"/>
      <c r="O985" s="473" t="s">
        <v>813</v>
      </c>
      <c r="P985" s="474">
        <v>0.2</v>
      </c>
      <c r="Q985" s="530">
        <v>2.8433333333333331E-2</v>
      </c>
      <c r="R985" s="531">
        <v>1.7000000000000001E-2</v>
      </c>
      <c r="S985" s="477">
        <v>1</v>
      </c>
      <c r="T985" s="490">
        <v>5.9649999999999995E-2</v>
      </c>
      <c r="U985" s="532">
        <v>-29.7643389830458</v>
      </c>
      <c r="V985" s="533">
        <v>121</v>
      </c>
      <c r="W985" s="477">
        <v>2</v>
      </c>
      <c r="X985" s="479">
        <v>59.5286779660916</v>
      </c>
      <c r="Y985" s="534"/>
      <c r="Z985" s="534"/>
    </row>
    <row r="986" spans="3:26" ht="19" x14ac:dyDescent="0.2">
      <c r="C986" s="452"/>
      <c r="D986" s="556">
        <v>45434</v>
      </c>
      <c r="E986" s="557"/>
      <c r="F986" s="557"/>
      <c r="G986" s="557"/>
      <c r="H986" s="527">
        <v>0.75</v>
      </c>
      <c r="I986" s="484"/>
      <c r="J986" s="484"/>
      <c r="K986" s="485"/>
      <c r="L986" s="527">
        <v>0.54166666666666663</v>
      </c>
      <c r="M986" s="486"/>
      <c r="N986" s="462"/>
      <c r="O986" s="473"/>
      <c r="P986" s="535"/>
      <c r="Q986" s="530"/>
      <c r="R986" s="531"/>
      <c r="S986" s="477"/>
      <c r="T986" s="535"/>
      <c r="U986" s="532"/>
      <c r="V986" s="533"/>
      <c r="W986" s="477"/>
      <c r="X986" s="479"/>
      <c r="Y986" s="534"/>
      <c r="Z986" s="534"/>
    </row>
    <row r="987" spans="3:26" ht="19" x14ac:dyDescent="0.2">
      <c r="C987" s="452"/>
      <c r="D987" s="556">
        <v>45392</v>
      </c>
      <c r="E987" s="557"/>
      <c r="F987" s="557"/>
      <c r="G987" s="557"/>
      <c r="H987" s="527">
        <v>0.75</v>
      </c>
      <c r="I987" s="484"/>
      <c r="J987" s="484"/>
      <c r="K987" s="485"/>
      <c r="L987" s="527">
        <v>0.54166666666666663</v>
      </c>
      <c r="M987" s="486"/>
      <c r="N987" s="462"/>
      <c r="O987" s="536"/>
      <c r="P987" s="536"/>
      <c r="Q987" s="536"/>
      <c r="R987" s="536"/>
      <c r="S987" s="536"/>
      <c r="T987" s="536"/>
      <c r="U987" s="536"/>
      <c r="V987" s="536"/>
      <c r="W987" s="536"/>
      <c r="X987" s="536"/>
      <c r="Y987" s="536"/>
      <c r="Z987" s="536"/>
    </row>
    <row r="988" spans="3:26" ht="20" thickBot="1" x14ac:dyDescent="0.25">
      <c r="C988" s="452"/>
      <c r="D988" s="556">
        <v>45343</v>
      </c>
      <c r="E988" s="557"/>
      <c r="F988" s="557"/>
      <c r="G988" s="557"/>
      <c r="H988" s="527">
        <v>0.79166666666666663</v>
      </c>
      <c r="I988" s="537"/>
      <c r="J988" s="537"/>
      <c r="K988" s="538"/>
      <c r="L988" s="527">
        <v>0.58333333333333337</v>
      </c>
      <c r="M988" s="540"/>
      <c r="N988" s="462"/>
      <c r="O988" s="536"/>
      <c r="P988" s="536"/>
      <c r="Q988" s="536"/>
      <c r="R988" s="536"/>
      <c r="S988" s="536"/>
      <c r="T988" s="536"/>
      <c r="U988" s="536"/>
      <c r="V988" s="536"/>
      <c r="W988" s="536"/>
      <c r="X988" s="536"/>
      <c r="Y988" s="536"/>
      <c r="Z988" s="536"/>
    </row>
    <row r="989" spans="3:26" ht="58" thickBot="1" x14ac:dyDescent="0.25">
      <c r="C989" s="452">
        <v>4</v>
      </c>
      <c r="D989" s="453" t="s">
        <v>30</v>
      </c>
      <c r="E989" s="454" t="s">
        <v>50</v>
      </c>
      <c r="F989" s="455"/>
      <c r="G989" s="456"/>
      <c r="H989" s="457" t="s">
        <v>790</v>
      </c>
      <c r="I989" s="458" t="s">
        <v>633</v>
      </c>
      <c r="J989" s="458"/>
      <c r="K989" s="459"/>
      <c r="L989" s="460" t="s">
        <v>430</v>
      </c>
      <c r="M989" s="461" t="s">
        <v>431</v>
      </c>
      <c r="N989" s="462" t="s">
        <v>105</v>
      </c>
      <c r="O989" s="463" t="s">
        <v>800</v>
      </c>
      <c r="P989" s="463" t="s">
        <v>801</v>
      </c>
      <c r="Q989" s="463" t="s">
        <v>802</v>
      </c>
      <c r="R989" s="463" t="s">
        <v>803</v>
      </c>
      <c r="S989" s="463" t="s">
        <v>804</v>
      </c>
      <c r="T989" s="463" t="s">
        <v>805</v>
      </c>
      <c r="U989" s="463" t="s">
        <v>806</v>
      </c>
      <c r="V989" s="463" t="s">
        <v>807</v>
      </c>
      <c r="W989" s="463" t="s">
        <v>808</v>
      </c>
      <c r="X989" s="463" t="s">
        <v>809</v>
      </c>
      <c r="Y989" s="463" t="s">
        <v>75</v>
      </c>
      <c r="Z989" s="463" t="s">
        <v>75</v>
      </c>
    </row>
    <row r="990" spans="3:26" ht="38" x14ac:dyDescent="0.2">
      <c r="C990" s="452"/>
      <c r="D990" s="541" t="s">
        <v>432</v>
      </c>
      <c r="E990" s="571"/>
      <c r="F990" s="572"/>
      <c r="G990" s="573"/>
      <c r="H990" s="468" t="s">
        <v>1127</v>
      </c>
      <c r="I990" s="469" t="s">
        <v>1066</v>
      </c>
      <c r="J990" s="469"/>
      <c r="K990" s="470"/>
      <c r="L990" s="471"/>
      <c r="M990" s="472" t="s">
        <v>50</v>
      </c>
      <c r="N990" s="462"/>
      <c r="O990" s="473" t="s">
        <v>810</v>
      </c>
      <c r="P990" s="474">
        <v>0.1</v>
      </c>
      <c r="Q990" s="475">
        <v>1.6E-2</v>
      </c>
      <c r="R990" s="476">
        <v>2.4000000000000909E-2</v>
      </c>
      <c r="S990" s="477"/>
      <c r="T990" s="473">
        <v>4.800000000000091E-2</v>
      </c>
      <c r="U990" s="475">
        <v>-10.88</v>
      </c>
      <c r="V990" s="474">
        <v>91.8</v>
      </c>
      <c r="W990" s="478">
        <v>2</v>
      </c>
      <c r="X990" s="479">
        <v>21.76</v>
      </c>
      <c r="Y990" s="477"/>
      <c r="Z990" s="477"/>
    </row>
    <row r="991" spans="3:26" ht="38" x14ac:dyDescent="0.2">
      <c r="C991" s="452"/>
      <c r="D991" s="545" t="s">
        <v>433</v>
      </c>
      <c r="E991" s="546"/>
      <c r="F991" s="547"/>
      <c r="G991" s="548"/>
      <c r="H991" s="468" t="s">
        <v>1128</v>
      </c>
      <c r="I991" s="484"/>
      <c r="J991" s="484"/>
      <c r="K991" s="485"/>
      <c r="L991" s="471"/>
      <c r="M991" s="486"/>
      <c r="N991" s="462"/>
      <c r="O991" s="462"/>
      <c r="P991" s="462"/>
      <c r="Q991" s="462"/>
      <c r="R991" s="487"/>
      <c r="S991" s="488"/>
      <c r="T991" s="462"/>
      <c r="U991" s="462"/>
      <c r="V991" s="462"/>
      <c r="W991" s="488"/>
      <c r="X991" s="488"/>
      <c r="Y991" s="489"/>
      <c r="Z991" s="489"/>
    </row>
    <row r="992" spans="3:26" ht="19" x14ac:dyDescent="0.2">
      <c r="C992" s="452"/>
      <c r="D992" s="545" t="s">
        <v>434</v>
      </c>
      <c r="E992" s="546">
        <v>4.7500000000000001E-2</v>
      </c>
      <c r="F992" s="547"/>
      <c r="G992" s="548"/>
      <c r="H992" s="468"/>
      <c r="I992" s="484"/>
      <c r="J992" s="484"/>
      <c r="K992" s="485"/>
      <c r="L992" s="471"/>
      <c r="M992" s="486"/>
      <c r="N992" s="462"/>
      <c r="O992" s="490" t="s">
        <v>811</v>
      </c>
      <c r="P992" s="491">
        <v>0.15</v>
      </c>
      <c r="Q992" s="492">
        <v>9.2399999999999996E-2</v>
      </c>
      <c r="R992" s="493">
        <v>2.1999999999999999E-2</v>
      </c>
      <c r="S992" s="494">
        <v>1</v>
      </c>
      <c r="T992" s="490">
        <v>0.16059999999999999</v>
      </c>
      <c r="U992" s="495">
        <v>-54.603999999998962</v>
      </c>
      <c r="V992" s="496">
        <v>90.749999999999986</v>
      </c>
      <c r="W992" s="497">
        <v>3.43</v>
      </c>
      <c r="X992" s="498">
        <v>187.29171999999645</v>
      </c>
      <c r="Y992" s="499"/>
      <c r="Z992" s="499">
        <v>4.4350000000000005</v>
      </c>
    </row>
    <row r="993" spans="3:26" ht="20" thickBot="1" x14ac:dyDescent="0.25">
      <c r="C993" s="452"/>
      <c r="D993" s="549" t="s">
        <v>435</v>
      </c>
      <c r="E993" s="550">
        <v>4.1666666666666657E-2</v>
      </c>
      <c r="F993" s="551"/>
      <c r="G993" s="552"/>
      <c r="H993" s="504">
        <v>0.83333333333333337</v>
      </c>
      <c r="I993" s="484"/>
      <c r="J993" s="484"/>
      <c r="K993" s="485"/>
      <c r="L993" s="505">
        <v>0.27083333333333331</v>
      </c>
      <c r="M993" s="506">
        <v>0.12499999999999997</v>
      </c>
      <c r="N993" s="462"/>
      <c r="O993" s="507" t="s">
        <v>812</v>
      </c>
      <c r="P993" s="508">
        <v>0.15</v>
      </c>
      <c r="Q993" s="509">
        <v>0.10386666666666668</v>
      </c>
      <c r="R993" s="510">
        <v>2.1999999999999999E-2</v>
      </c>
      <c r="S993" s="511">
        <v>1</v>
      </c>
      <c r="T993" s="512">
        <v>0.17780000000000001</v>
      </c>
      <c r="U993" s="513">
        <v>-60.451999999998861</v>
      </c>
      <c r="V993" s="514">
        <v>90.749999999999986</v>
      </c>
      <c r="W993" s="515">
        <v>3.55</v>
      </c>
      <c r="X993" s="516">
        <v>214.60459999999594</v>
      </c>
      <c r="Y993" s="517"/>
      <c r="Z993" s="517"/>
    </row>
    <row r="994" spans="3:26" ht="20" thickBot="1" x14ac:dyDescent="0.25">
      <c r="C994" s="452"/>
      <c r="D994" s="553" t="s">
        <v>436</v>
      </c>
      <c r="E994" s="554" t="s">
        <v>29</v>
      </c>
      <c r="F994" s="554" t="s">
        <v>28</v>
      </c>
      <c r="G994" s="555" t="s">
        <v>27</v>
      </c>
      <c r="H994" s="521" t="s">
        <v>793</v>
      </c>
      <c r="I994" s="484"/>
      <c r="J994" s="484"/>
      <c r="K994" s="485"/>
      <c r="L994" s="522" t="s">
        <v>1002</v>
      </c>
      <c r="M994" s="521"/>
      <c r="N994" s="462"/>
      <c r="O994" s="488"/>
      <c r="P994" s="489"/>
      <c r="Q994" s="488"/>
      <c r="R994" s="488"/>
      <c r="S994" s="488"/>
      <c r="T994" s="488"/>
      <c r="U994" s="523"/>
      <c r="V994" s="524"/>
      <c r="W994" s="488"/>
      <c r="X994" s="523"/>
      <c r="Y994" s="489"/>
      <c r="Z994" s="489"/>
    </row>
    <row r="995" spans="3:26" ht="19" x14ac:dyDescent="0.2">
      <c r="C995" s="452"/>
      <c r="D995" s="574">
        <v>45574</v>
      </c>
      <c r="E995" s="557">
        <v>4.7500000000000001E-2</v>
      </c>
      <c r="F995" s="557" t="s">
        <v>726</v>
      </c>
      <c r="G995" s="557">
        <v>5.2499999999999998E-2</v>
      </c>
      <c r="H995" s="527">
        <v>4.1666666666666657E-2</v>
      </c>
      <c r="I995" s="484"/>
      <c r="J995" s="484"/>
      <c r="K995" s="485"/>
      <c r="L995" s="527">
        <v>0.83333333333333337</v>
      </c>
      <c r="M995" s="528"/>
      <c r="N995" s="462"/>
      <c r="O995" s="488"/>
      <c r="P995" s="489"/>
      <c r="Q995" s="488"/>
      <c r="R995" s="488"/>
      <c r="S995" s="488"/>
      <c r="T995" s="488"/>
      <c r="U995" s="488"/>
      <c r="V995" s="488"/>
      <c r="W995" s="488"/>
      <c r="X995" s="488"/>
      <c r="Y995" s="489"/>
      <c r="Z995" s="489"/>
    </row>
    <row r="996" spans="3:26" ht="19" x14ac:dyDescent="0.2">
      <c r="C996" s="452"/>
      <c r="D996" s="574">
        <v>45518</v>
      </c>
      <c r="E996" s="557">
        <v>5.2499999999999998E-2</v>
      </c>
      <c r="F996" s="557" t="s">
        <v>942</v>
      </c>
      <c r="G996" s="557">
        <v>5.5E-2</v>
      </c>
      <c r="H996" s="527">
        <v>8.3333333333333329E-2</v>
      </c>
      <c r="I996" s="484"/>
      <c r="J996" s="484"/>
      <c r="K996" s="485"/>
      <c r="L996" s="527">
        <v>0.875</v>
      </c>
      <c r="M996" s="529"/>
      <c r="N996" s="462"/>
      <c r="O996" s="473" t="s">
        <v>813</v>
      </c>
      <c r="P996" s="474">
        <v>0.15</v>
      </c>
      <c r="Q996" s="530">
        <v>9.8133333333333336E-2</v>
      </c>
      <c r="R996" s="531">
        <v>2.1999999999999999E-2</v>
      </c>
      <c r="S996" s="477">
        <v>1</v>
      </c>
      <c r="T996" s="490">
        <v>0.16919999999999999</v>
      </c>
      <c r="U996" s="532">
        <v>-57.527999999998897</v>
      </c>
      <c r="V996" s="533">
        <v>90.749999999999986</v>
      </c>
      <c r="W996" s="477">
        <v>2.5</v>
      </c>
      <c r="X996" s="479">
        <v>143.81999999999724</v>
      </c>
      <c r="Y996" s="534"/>
      <c r="Z996" s="534"/>
    </row>
    <row r="997" spans="3:26" ht="19" x14ac:dyDescent="0.2">
      <c r="C997" s="452"/>
      <c r="D997" s="574">
        <v>45483</v>
      </c>
      <c r="E997" s="557">
        <v>5.5E-2</v>
      </c>
      <c r="F997" s="557" t="s">
        <v>942</v>
      </c>
      <c r="G997" s="557">
        <v>5.5E-2</v>
      </c>
      <c r="H997" s="527">
        <v>8.3333333333333329E-2</v>
      </c>
      <c r="I997" s="484"/>
      <c r="J997" s="484"/>
      <c r="K997" s="485"/>
      <c r="L997" s="527">
        <v>0.875</v>
      </c>
      <c r="M997" s="486"/>
      <c r="N997" s="462"/>
      <c r="O997" s="473"/>
      <c r="P997" s="473"/>
      <c r="Q997" s="530"/>
      <c r="R997" s="531"/>
      <c r="S997" s="477"/>
      <c r="T997" s="474"/>
      <c r="U997" s="532"/>
      <c r="V997" s="533"/>
      <c r="W997" s="477"/>
      <c r="X997" s="479"/>
      <c r="Y997" s="534"/>
      <c r="Z997" s="534"/>
    </row>
    <row r="998" spans="3:26" ht="19" x14ac:dyDescent="0.2">
      <c r="C998" s="452"/>
      <c r="D998" s="574">
        <v>45434</v>
      </c>
      <c r="E998" s="557">
        <v>5.5E-2</v>
      </c>
      <c r="F998" s="557" t="s">
        <v>942</v>
      </c>
      <c r="G998" s="557">
        <v>5.5E-2</v>
      </c>
      <c r="H998" s="527">
        <v>8.3333333333333329E-2</v>
      </c>
      <c r="I998" s="484"/>
      <c r="J998" s="484"/>
      <c r="K998" s="485"/>
      <c r="L998" s="527">
        <v>0.875</v>
      </c>
      <c r="M998" s="486"/>
      <c r="N998" s="462"/>
      <c r="O998" s="473" t="s">
        <v>816</v>
      </c>
      <c r="P998" s="535"/>
      <c r="Q998" s="530"/>
      <c r="R998" s="531"/>
      <c r="S998" s="477"/>
      <c r="T998" s="535"/>
      <c r="U998" s="532">
        <v>0</v>
      </c>
      <c r="V998" s="533"/>
      <c r="W998" s="477"/>
      <c r="X998" s="479">
        <v>0</v>
      </c>
      <c r="Y998" s="534"/>
      <c r="Z998" s="534"/>
    </row>
    <row r="999" spans="3:26" ht="19" x14ac:dyDescent="0.2">
      <c r="C999" s="452"/>
      <c r="D999" s="574">
        <v>45392</v>
      </c>
      <c r="E999" s="557">
        <v>5.5E-2</v>
      </c>
      <c r="F999" s="557" t="s">
        <v>942</v>
      </c>
      <c r="G999" s="557">
        <v>5.5E-2</v>
      </c>
      <c r="H999" s="527">
        <v>8.3333333333333329E-2</v>
      </c>
      <c r="I999" s="484"/>
      <c r="J999" s="484"/>
      <c r="K999" s="485"/>
      <c r="L999" s="527">
        <v>0.875</v>
      </c>
      <c r="M999" s="486"/>
      <c r="N999" s="462"/>
      <c r="O999" s="536"/>
      <c r="P999" s="536"/>
      <c r="Q999" s="536"/>
      <c r="R999" s="536"/>
      <c r="S999" s="536"/>
      <c r="T999" s="536"/>
      <c r="U999" s="536"/>
      <c r="V999" s="536"/>
      <c r="W999" s="536"/>
      <c r="X999" s="536"/>
      <c r="Y999" s="536"/>
      <c r="Z999" s="536"/>
    </row>
    <row r="1000" spans="3:26" ht="20" thickBot="1" x14ac:dyDescent="0.25">
      <c r="C1000" s="452"/>
      <c r="D1000" s="574">
        <v>45350</v>
      </c>
      <c r="E1000" s="557">
        <v>5.5E-2</v>
      </c>
      <c r="F1000" s="557" t="s">
        <v>942</v>
      </c>
      <c r="G1000" s="557">
        <v>5.5E-2</v>
      </c>
      <c r="H1000" s="527">
        <v>4.1666666666666657E-2</v>
      </c>
      <c r="I1000" s="537"/>
      <c r="J1000" s="537"/>
      <c r="K1000" s="538"/>
      <c r="L1000" s="527">
        <v>0.83333333333333337</v>
      </c>
      <c r="M1000" s="540"/>
      <c r="N1000" s="462"/>
      <c r="O1000" s="536"/>
      <c r="P1000" s="536"/>
      <c r="Q1000" s="536"/>
      <c r="R1000" s="536"/>
      <c r="S1000" s="536"/>
      <c r="T1000" s="536"/>
      <c r="U1000" s="536"/>
      <c r="V1000" s="536"/>
      <c r="W1000" s="536"/>
      <c r="X1000" s="536"/>
      <c r="Y1000" s="536"/>
      <c r="Z1000" s="536"/>
    </row>
    <row r="1001" spans="3:26" ht="58" thickBot="1" x14ac:dyDescent="0.25">
      <c r="C1001" s="452">
        <v>5</v>
      </c>
      <c r="D1001" s="453" t="s">
        <v>30</v>
      </c>
      <c r="E1001" s="454" t="s">
        <v>1067</v>
      </c>
      <c r="F1001" s="455"/>
      <c r="G1001" s="456"/>
      <c r="H1001" s="457" t="s">
        <v>790</v>
      </c>
      <c r="I1001" s="458" t="s">
        <v>633</v>
      </c>
      <c r="J1001" s="458"/>
      <c r="K1001" s="459"/>
      <c r="L1001" s="460" t="s">
        <v>430</v>
      </c>
      <c r="M1001" s="461" t="s">
        <v>431</v>
      </c>
      <c r="N1001" s="462" t="s">
        <v>105</v>
      </c>
      <c r="O1001" s="463" t="s">
        <v>800</v>
      </c>
      <c r="P1001" s="463" t="s">
        <v>801</v>
      </c>
      <c r="Q1001" s="463" t="s">
        <v>802</v>
      </c>
      <c r="R1001" s="463" t="s">
        <v>803</v>
      </c>
      <c r="S1001" s="463" t="s">
        <v>804</v>
      </c>
      <c r="T1001" s="463" t="s">
        <v>805</v>
      </c>
      <c r="U1001" s="463" t="s">
        <v>806</v>
      </c>
      <c r="V1001" s="463" t="s">
        <v>807</v>
      </c>
      <c r="W1001" s="463" t="s">
        <v>808</v>
      </c>
      <c r="X1001" s="463" t="s">
        <v>809</v>
      </c>
      <c r="Y1001" s="463" t="s">
        <v>75</v>
      </c>
      <c r="Z1001" s="463" t="s">
        <v>75</v>
      </c>
    </row>
    <row r="1002" spans="3:26" ht="38" x14ac:dyDescent="0.2">
      <c r="C1002" s="452"/>
      <c r="D1002" s="541" t="s">
        <v>432</v>
      </c>
      <c r="E1002" s="571"/>
      <c r="F1002" s="572"/>
      <c r="G1002" s="573"/>
      <c r="H1002" s="468" t="s">
        <v>906</v>
      </c>
      <c r="I1002" s="469" t="s">
        <v>1068</v>
      </c>
      <c r="J1002" s="469"/>
      <c r="K1002" s="470"/>
      <c r="L1002" s="471"/>
      <c r="M1002" s="472" t="s">
        <v>1067</v>
      </c>
      <c r="N1002" s="462"/>
      <c r="O1002" s="473" t="s">
        <v>810</v>
      </c>
      <c r="P1002" s="474">
        <v>0.1</v>
      </c>
      <c r="Q1002" s="475">
        <v>0.03</v>
      </c>
      <c r="R1002" s="476">
        <v>1.4000000000010004E-2</v>
      </c>
      <c r="S1002" s="477"/>
      <c r="T1002" s="473">
        <v>5.9000000000010003E-2</v>
      </c>
      <c r="U1002" s="475">
        <v>-14.72</v>
      </c>
      <c r="V1002" s="474">
        <v>60.5</v>
      </c>
      <c r="W1002" s="478">
        <v>2</v>
      </c>
      <c r="X1002" s="479">
        <v>29.44</v>
      </c>
      <c r="Y1002" s="477"/>
      <c r="Z1002" s="477"/>
    </row>
    <row r="1003" spans="3:26" ht="38" x14ac:dyDescent="0.2">
      <c r="C1003" s="452"/>
      <c r="D1003" s="545" t="s">
        <v>433</v>
      </c>
      <c r="E1003" s="568"/>
      <c r="F1003" s="569"/>
      <c r="G1003" s="570"/>
      <c r="H1003" s="575" t="s">
        <v>907</v>
      </c>
      <c r="I1003" s="484"/>
      <c r="J1003" s="484"/>
      <c r="K1003" s="485"/>
      <c r="L1003" s="471"/>
      <c r="M1003" s="486"/>
      <c r="N1003" s="462"/>
      <c r="O1003" s="462"/>
      <c r="P1003" s="462"/>
      <c r="Q1003" s="462"/>
      <c r="R1003" s="487"/>
      <c r="S1003" s="488"/>
      <c r="T1003" s="462"/>
      <c r="U1003" s="462"/>
      <c r="V1003" s="462"/>
      <c r="W1003" s="488"/>
      <c r="X1003" s="488"/>
      <c r="Y1003" s="489"/>
      <c r="Z1003" s="489"/>
    </row>
    <row r="1004" spans="3:26" ht="19" x14ac:dyDescent="0.2">
      <c r="C1004" s="452"/>
      <c r="D1004" s="545" t="s">
        <v>434</v>
      </c>
      <c r="E1004" s="568">
        <v>-6.9999999999999993E-3</v>
      </c>
      <c r="F1004" s="569"/>
      <c r="G1004" s="570"/>
      <c r="H1004" s="468"/>
      <c r="I1004" s="484"/>
      <c r="J1004" s="484"/>
      <c r="K1004" s="485"/>
      <c r="L1004" s="471"/>
      <c r="M1004" s="486"/>
      <c r="N1004" s="462"/>
      <c r="O1004" s="490" t="s">
        <v>811</v>
      </c>
      <c r="P1004" s="491">
        <v>0.15</v>
      </c>
      <c r="Q1004" s="492">
        <v>20.9971</v>
      </c>
      <c r="R1004" s="493">
        <v>3</v>
      </c>
      <c r="S1004" s="494">
        <v>1</v>
      </c>
      <c r="T1004" s="490">
        <v>34.495649999999998</v>
      </c>
      <c r="U1004" s="495">
        <v>-12909.558508472384</v>
      </c>
      <c r="V1004" s="496">
        <v>90.749999999999986</v>
      </c>
      <c r="W1004" s="497">
        <v>8.0299999999999994</v>
      </c>
      <c r="X1004" s="498">
        <v>103663.75482303323</v>
      </c>
      <c r="Y1004" s="499"/>
      <c r="Z1004" s="499"/>
    </row>
    <row r="1005" spans="3:26" ht="20" thickBot="1" x14ac:dyDescent="0.25">
      <c r="C1005" s="452"/>
      <c r="D1005" s="549" t="s">
        <v>435</v>
      </c>
      <c r="E1005" s="550">
        <v>0.6875</v>
      </c>
      <c r="F1005" s="551"/>
      <c r="G1005" s="552"/>
      <c r="H1005" s="504">
        <v>0.35416666666666669</v>
      </c>
      <c r="I1005" s="484"/>
      <c r="J1005" s="484"/>
      <c r="K1005" s="485"/>
      <c r="L1005" s="505">
        <v>0.79166666666666663</v>
      </c>
      <c r="M1005" s="506">
        <v>0.6875</v>
      </c>
      <c r="N1005" s="462"/>
      <c r="O1005" s="507" t="s">
        <v>812</v>
      </c>
      <c r="P1005" s="508">
        <v>0.25</v>
      </c>
      <c r="Q1005" s="509">
        <v>13.426666666666668</v>
      </c>
      <c r="R1005" s="510">
        <v>3</v>
      </c>
      <c r="S1005" s="511">
        <v>1</v>
      </c>
      <c r="T1005" s="512">
        <v>23.14</v>
      </c>
      <c r="U1005" s="513">
        <v>-14433.084745760265</v>
      </c>
      <c r="V1005" s="514">
        <v>151.25</v>
      </c>
      <c r="W1005" s="515">
        <v>4.75</v>
      </c>
      <c r="X1005" s="516">
        <v>68557.152542361262</v>
      </c>
      <c r="Y1005" s="517"/>
      <c r="Z1005" s="517"/>
    </row>
    <row r="1006" spans="3:26" ht="20" thickBot="1" x14ac:dyDescent="0.25">
      <c r="C1006" s="452"/>
      <c r="D1006" s="553" t="s">
        <v>436</v>
      </c>
      <c r="E1006" s="554" t="s">
        <v>29</v>
      </c>
      <c r="F1006" s="554" t="s">
        <v>28</v>
      </c>
      <c r="G1006" s="555" t="s">
        <v>27</v>
      </c>
      <c r="H1006" s="521" t="s">
        <v>793</v>
      </c>
      <c r="I1006" s="484"/>
      <c r="J1006" s="484"/>
      <c r="K1006" s="485"/>
      <c r="L1006" s="522" t="s">
        <v>1002</v>
      </c>
      <c r="M1006" s="521"/>
      <c r="N1006" s="462"/>
      <c r="O1006" s="488"/>
      <c r="P1006" s="489"/>
      <c r="Q1006" s="488"/>
      <c r="R1006" s="488"/>
      <c r="S1006" s="488"/>
      <c r="T1006" s="488"/>
      <c r="U1006" s="523"/>
      <c r="V1006" s="524"/>
      <c r="W1006" s="488"/>
      <c r="X1006" s="523"/>
      <c r="Y1006" s="489"/>
      <c r="Z1006" s="489"/>
    </row>
    <row r="1007" spans="3:26" ht="19" x14ac:dyDescent="0.2">
      <c r="C1007" s="452"/>
      <c r="D1007" s="556">
        <v>45590</v>
      </c>
      <c r="E1007" s="557">
        <v>-8.0000000000000002E-3</v>
      </c>
      <c r="F1007" s="557" t="s">
        <v>1110</v>
      </c>
      <c r="G1007" s="557">
        <v>-8.0000000000000002E-3</v>
      </c>
      <c r="H1007" s="527">
        <v>0.64583333333333337</v>
      </c>
      <c r="I1007" s="484"/>
      <c r="J1007" s="484"/>
      <c r="K1007" s="485"/>
      <c r="L1007" s="527">
        <v>0.3125</v>
      </c>
      <c r="M1007" s="528"/>
      <c r="N1007" s="462"/>
      <c r="O1007" s="488"/>
      <c r="P1007" s="489"/>
      <c r="Q1007" s="488"/>
      <c r="R1007" s="488"/>
      <c r="S1007" s="488"/>
      <c r="T1007" s="488"/>
      <c r="U1007" s="488"/>
      <c r="V1007" s="488"/>
      <c r="W1007" s="488"/>
      <c r="X1007" s="488"/>
      <c r="Y1007" s="489"/>
      <c r="Z1007" s="489"/>
    </row>
    <row r="1008" spans="3:26" ht="19" x14ac:dyDescent="0.2">
      <c r="C1008" s="452"/>
      <c r="D1008" s="556">
        <v>45561</v>
      </c>
      <c r="E1008" s="557">
        <v>0</v>
      </c>
      <c r="F1008" s="557" t="s">
        <v>778</v>
      </c>
      <c r="G1008" s="557">
        <v>9.9000000000000005E-2</v>
      </c>
      <c r="H1008" s="527">
        <v>0.64583333333333337</v>
      </c>
      <c r="I1008" s="484"/>
      <c r="J1008" s="484"/>
      <c r="K1008" s="485"/>
      <c r="L1008" s="527">
        <v>0.3125</v>
      </c>
      <c r="M1008" s="529"/>
      <c r="N1008" s="462"/>
      <c r="O1008" s="473" t="s">
        <v>813</v>
      </c>
      <c r="P1008" s="474">
        <v>0.1</v>
      </c>
      <c r="Q1008" s="530">
        <v>17.211883333333333</v>
      </c>
      <c r="R1008" s="531">
        <v>3</v>
      </c>
      <c r="S1008" s="477">
        <v>1.5</v>
      </c>
      <c r="T1008" s="490">
        <v>28.817824999999999</v>
      </c>
      <c r="U1008" s="532">
        <v>-10784.704677964273</v>
      </c>
      <c r="V1008" s="533">
        <v>60.5</v>
      </c>
      <c r="W1008" s="477">
        <v>2</v>
      </c>
      <c r="X1008" s="479">
        <v>21569.409355928547</v>
      </c>
      <c r="Y1008" s="534"/>
      <c r="Z1008" s="534"/>
    </row>
    <row r="1009" spans="3:26" ht="19" x14ac:dyDescent="0.2">
      <c r="C1009" s="452"/>
      <c r="D1009" s="556">
        <v>45530</v>
      </c>
      <c r="E1009" s="557">
        <v>9.9000000000000005E-2</v>
      </c>
      <c r="F1009" s="557" t="s">
        <v>630</v>
      </c>
      <c r="G1009" s="557">
        <v>-6.9000000000000006E-2</v>
      </c>
      <c r="H1009" s="527">
        <v>0.64583333333333337</v>
      </c>
      <c r="I1009" s="484"/>
      <c r="J1009" s="484"/>
      <c r="K1009" s="485"/>
      <c r="L1009" s="527">
        <v>0.3125</v>
      </c>
      <c r="M1009" s="486"/>
      <c r="N1009" s="462"/>
      <c r="O1009" s="473" t="s">
        <v>813</v>
      </c>
      <c r="P1009" s="474">
        <v>0.1</v>
      </c>
      <c r="Q1009" s="530">
        <v>17.211883333333333</v>
      </c>
      <c r="R1009" s="531">
        <v>3</v>
      </c>
      <c r="S1009" s="477">
        <v>1.5</v>
      </c>
      <c r="T1009" s="490">
        <v>28.817824999999999</v>
      </c>
      <c r="U1009" s="532">
        <v>-10784.704677964273</v>
      </c>
      <c r="V1009" s="533">
        <v>60.5</v>
      </c>
      <c r="W1009" s="477">
        <v>2</v>
      </c>
      <c r="X1009" s="479">
        <v>21569.409355928547</v>
      </c>
      <c r="Y1009" s="534"/>
      <c r="Z1009" s="534"/>
    </row>
    <row r="1010" spans="3:26" ht="19" x14ac:dyDescent="0.2">
      <c r="C1010" s="452"/>
      <c r="D1010" s="556">
        <v>45498</v>
      </c>
      <c r="E1010" s="557">
        <v>-6.6000000000000003E-2</v>
      </c>
      <c r="F1010" s="557" t="s">
        <v>467</v>
      </c>
      <c r="G1010" s="557">
        <v>1E-3</v>
      </c>
      <c r="H1010" s="527">
        <v>0.64583333333333337</v>
      </c>
      <c r="I1010" s="484"/>
      <c r="J1010" s="484"/>
      <c r="K1010" s="485"/>
      <c r="L1010" s="527">
        <v>0.3125</v>
      </c>
      <c r="M1010" s="486"/>
      <c r="N1010" s="462"/>
      <c r="O1010" s="473"/>
      <c r="P1010" s="535"/>
      <c r="Q1010" s="530"/>
      <c r="R1010" s="531"/>
      <c r="S1010" s="477"/>
      <c r="T1010" s="535"/>
      <c r="U1010" s="532"/>
      <c r="V1010" s="533"/>
      <c r="W1010" s="477"/>
      <c r="X1010" s="479"/>
      <c r="Y1010" s="534"/>
      <c r="Z1010" s="534"/>
    </row>
    <row r="1011" spans="3:26" ht="19" x14ac:dyDescent="0.2">
      <c r="C1011" s="452"/>
      <c r="D1011" s="556">
        <v>45470</v>
      </c>
      <c r="E1011" s="557">
        <v>1E-3</v>
      </c>
      <c r="F1011" s="557" t="s">
        <v>782</v>
      </c>
      <c r="G1011" s="557">
        <v>2E-3</v>
      </c>
      <c r="H1011" s="527">
        <v>0.64583333333333337</v>
      </c>
      <c r="I1011" s="484"/>
      <c r="J1011" s="484"/>
      <c r="K1011" s="485"/>
      <c r="L1011" s="527">
        <v>0.3125</v>
      </c>
      <c r="M1011" s="486"/>
      <c r="N1011" s="462"/>
      <c r="O1011" s="536"/>
      <c r="P1011" s="536"/>
      <c r="Q1011" s="536"/>
      <c r="R1011" s="536"/>
      <c r="S1011" s="536"/>
      <c r="T1011" s="536"/>
      <c r="U1011" s="536"/>
      <c r="V1011" s="536"/>
      <c r="W1011" s="536"/>
      <c r="X1011" s="536"/>
      <c r="Y1011" s="536"/>
      <c r="Z1011" s="536"/>
    </row>
    <row r="1012" spans="3:26" ht="20" thickBot="1" x14ac:dyDescent="0.25">
      <c r="C1012" s="452"/>
      <c r="D1012" s="556">
        <v>45436</v>
      </c>
      <c r="E1012" s="557">
        <v>7.0000000000000001E-3</v>
      </c>
      <c r="F1012" s="557" t="s">
        <v>784</v>
      </c>
      <c r="G1012" s="557">
        <v>8.0000000000000002E-3</v>
      </c>
      <c r="H1012" s="527">
        <v>0.64583333333333337</v>
      </c>
      <c r="I1012" s="537"/>
      <c r="J1012" s="537"/>
      <c r="K1012" s="538"/>
      <c r="L1012" s="527">
        <v>0.3125</v>
      </c>
      <c r="M1012" s="540"/>
      <c r="N1012" s="462"/>
      <c r="O1012" s="536"/>
      <c r="P1012" s="536"/>
      <c r="Q1012" s="536"/>
      <c r="R1012" s="536"/>
      <c r="S1012" s="536"/>
      <c r="T1012" s="536"/>
      <c r="U1012" s="536"/>
      <c r="V1012" s="536"/>
      <c r="W1012" s="536"/>
      <c r="X1012" s="536"/>
      <c r="Y1012" s="536"/>
      <c r="Z1012" s="536"/>
    </row>
    <row r="1013" spans="3:26" ht="58" thickBot="1" x14ac:dyDescent="0.25">
      <c r="C1013" s="452">
        <v>6</v>
      </c>
      <c r="D1013" s="453" t="s">
        <v>30</v>
      </c>
      <c r="E1013" s="454" t="s">
        <v>1069</v>
      </c>
      <c r="F1013" s="455"/>
      <c r="G1013" s="456"/>
      <c r="H1013" s="457" t="s">
        <v>790</v>
      </c>
      <c r="I1013" s="458" t="s">
        <v>633</v>
      </c>
      <c r="J1013" s="458"/>
      <c r="K1013" s="459"/>
      <c r="L1013" s="460" t="s">
        <v>430</v>
      </c>
      <c r="M1013" s="461" t="s">
        <v>431</v>
      </c>
      <c r="N1013" s="462" t="s">
        <v>105</v>
      </c>
      <c r="O1013" s="463" t="s">
        <v>800</v>
      </c>
      <c r="P1013" s="463" t="s">
        <v>801</v>
      </c>
      <c r="Q1013" s="463" t="s">
        <v>802</v>
      </c>
      <c r="R1013" s="463" t="s">
        <v>803</v>
      </c>
      <c r="S1013" s="463" t="s">
        <v>804</v>
      </c>
      <c r="T1013" s="463" t="s">
        <v>805</v>
      </c>
      <c r="U1013" s="463" t="s">
        <v>806</v>
      </c>
      <c r="V1013" s="463" t="s">
        <v>807</v>
      </c>
      <c r="W1013" s="463" t="s">
        <v>808</v>
      </c>
      <c r="X1013" s="463" t="s">
        <v>809</v>
      </c>
      <c r="Y1013" s="463" t="s">
        <v>75</v>
      </c>
      <c r="Z1013" s="463" t="s">
        <v>75</v>
      </c>
    </row>
    <row r="1014" spans="3:26" ht="38" x14ac:dyDescent="0.2">
      <c r="C1014" s="452"/>
      <c r="D1014" s="541" t="s">
        <v>432</v>
      </c>
      <c r="E1014" s="542"/>
      <c r="F1014" s="543"/>
      <c r="G1014" s="544"/>
      <c r="H1014" s="468" t="s">
        <v>906</v>
      </c>
      <c r="I1014" s="469" t="s">
        <v>1070</v>
      </c>
      <c r="J1014" s="469"/>
      <c r="K1014" s="470"/>
      <c r="L1014" s="471"/>
      <c r="M1014" s="472" t="s">
        <v>1069</v>
      </c>
      <c r="N1014" s="462"/>
      <c r="O1014" s="473" t="s">
        <v>810</v>
      </c>
      <c r="P1014" s="474">
        <v>0.1</v>
      </c>
      <c r="Q1014" s="475">
        <v>0.03</v>
      </c>
      <c r="R1014" s="476">
        <v>1.5999999999991132E-2</v>
      </c>
      <c r="S1014" s="477"/>
      <c r="T1014" s="473">
        <v>6.0999999999991131E-2</v>
      </c>
      <c r="U1014" s="475">
        <v>-14.17</v>
      </c>
      <c r="V1014" s="474">
        <v>91.8</v>
      </c>
      <c r="W1014" s="478">
        <v>2</v>
      </c>
      <c r="X1014" s="479">
        <v>28.34</v>
      </c>
      <c r="Y1014" s="477"/>
      <c r="Z1014" s="477"/>
    </row>
    <row r="1015" spans="3:26" ht="38" x14ac:dyDescent="0.2">
      <c r="C1015" s="452"/>
      <c r="D1015" s="545" t="s">
        <v>433</v>
      </c>
      <c r="E1015" s="546"/>
      <c r="F1015" s="547"/>
      <c r="G1015" s="548"/>
      <c r="H1015" s="575" t="s">
        <v>907</v>
      </c>
      <c r="I1015" s="484"/>
      <c r="J1015" s="484"/>
      <c r="K1015" s="485"/>
      <c r="L1015" s="471"/>
      <c r="M1015" s="486"/>
      <c r="N1015" s="462"/>
      <c r="O1015" s="462"/>
      <c r="P1015" s="462"/>
      <c r="Q1015" s="462"/>
      <c r="R1015" s="487"/>
      <c r="S1015" s="488"/>
      <c r="T1015" s="462"/>
      <c r="U1015" s="462"/>
      <c r="V1015" s="462"/>
      <c r="W1015" s="488"/>
      <c r="X1015" s="488"/>
      <c r="Y1015" s="489"/>
      <c r="Z1015" s="489"/>
    </row>
    <row r="1016" spans="3:26" ht="19" x14ac:dyDescent="0.2">
      <c r="C1016" s="452"/>
      <c r="D1016" s="545" t="s">
        <v>434</v>
      </c>
      <c r="E1016" s="546">
        <v>2.8000000000000001E-2</v>
      </c>
      <c r="F1016" s="547"/>
      <c r="G1016" s="548"/>
      <c r="H1016" s="468"/>
      <c r="I1016" s="484"/>
      <c r="J1016" s="484"/>
      <c r="K1016" s="485"/>
      <c r="L1016" s="471"/>
      <c r="M1016" s="486"/>
      <c r="N1016" s="462"/>
      <c r="O1016" s="490" t="s">
        <v>811</v>
      </c>
      <c r="P1016" s="491">
        <v>0.1</v>
      </c>
      <c r="Q1016" s="492">
        <v>7.9100000000000004E-2</v>
      </c>
      <c r="R1016" s="493">
        <v>1.6E-2</v>
      </c>
      <c r="S1016" s="494">
        <v>1</v>
      </c>
      <c r="T1016" s="490">
        <v>0.13464999999999999</v>
      </c>
      <c r="U1016" s="495">
        <v>-31.278532786889791</v>
      </c>
      <c r="V1016" s="496">
        <v>60.5</v>
      </c>
      <c r="W1016" s="497">
        <v>3.81</v>
      </c>
      <c r="X1016" s="498">
        <v>119.17120991805011</v>
      </c>
      <c r="Y1016" s="499"/>
      <c r="Z1016" s="499">
        <v>4.4350000000000005</v>
      </c>
    </row>
    <row r="1017" spans="3:26" ht="20" thickBot="1" x14ac:dyDescent="0.25">
      <c r="C1017" s="452"/>
      <c r="D1017" s="549" t="s">
        <v>435</v>
      </c>
      <c r="E1017" s="550">
        <v>0.5625</v>
      </c>
      <c r="F1017" s="551"/>
      <c r="G1017" s="552"/>
      <c r="H1017" s="504">
        <v>0.35416666666666663</v>
      </c>
      <c r="I1017" s="484"/>
      <c r="J1017" s="484"/>
      <c r="K1017" s="485"/>
      <c r="L1017" s="505">
        <v>0.79166666666666663</v>
      </c>
      <c r="M1017" s="506">
        <v>0.64583333333333326</v>
      </c>
      <c r="N1017" s="462"/>
      <c r="O1017" s="507" t="s">
        <v>812</v>
      </c>
      <c r="P1017" s="508">
        <v>0.1</v>
      </c>
      <c r="Q1017" s="509">
        <v>6.3266666666666665E-2</v>
      </c>
      <c r="R1017" s="510">
        <v>1.6E-2</v>
      </c>
      <c r="S1017" s="511">
        <v>1</v>
      </c>
      <c r="T1017" s="512">
        <v>0.1109</v>
      </c>
      <c r="U1017" s="513">
        <v>-25.761524590167678</v>
      </c>
      <c r="V1017" s="514">
        <v>60.5</v>
      </c>
      <c r="W1017" s="515">
        <v>5.21</v>
      </c>
      <c r="X1017" s="516">
        <v>134.2175431147736</v>
      </c>
      <c r="Y1017" s="517"/>
      <c r="Z1017" s="517"/>
    </row>
    <row r="1018" spans="3:26" ht="20" thickBot="1" x14ac:dyDescent="0.25">
      <c r="C1018" s="452"/>
      <c r="D1018" s="553" t="s">
        <v>436</v>
      </c>
      <c r="E1018" s="554" t="s">
        <v>29</v>
      </c>
      <c r="F1018" s="554" t="s">
        <v>28</v>
      </c>
      <c r="G1018" s="555" t="s">
        <v>27</v>
      </c>
      <c r="H1018" s="521" t="s">
        <v>793</v>
      </c>
      <c r="I1018" s="484"/>
      <c r="J1018" s="484"/>
      <c r="K1018" s="485"/>
      <c r="L1018" s="522" t="s">
        <v>1002</v>
      </c>
      <c r="M1018" s="521"/>
      <c r="N1018" s="462"/>
      <c r="O1018" s="488"/>
      <c r="P1018" s="489"/>
      <c r="Q1018" s="488"/>
      <c r="R1018" s="488"/>
      <c r="S1018" s="488"/>
      <c r="T1018" s="488"/>
      <c r="U1018" s="523"/>
      <c r="V1018" s="524"/>
      <c r="W1018" s="488"/>
      <c r="X1018" s="523"/>
      <c r="Y1018" s="489"/>
      <c r="Z1018" s="489"/>
    </row>
    <row r="1019" spans="3:26" ht="19" x14ac:dyDescent="0.2">
      <c r="C1019" s="452"/>
      <c r="D1019" s="556">
        <v>45595</v>
      </c>
      <c r="E1019" s="557">
        <v>2.8000000000000001E-2</v>
      </c>
      <c r="F1019" s="557" t="s">
        <v>669</v>
      </c>
      <c r="G1019" s="557">
        <v>0.03</v>
      </c>
      <c r="H1019" s="527">
        <v>0.52083333333333337</v>
      </c>
      <c r="I1019" s="484"/>
      <c r="J1019" s="484"/>
      <c r="K1019" s="485"/>
      <c r="L1019" s="527">
        <v>0.3125</v>
      </c>
      <c r="M1019" s="528"/>
      <c r="N1019" s="462"/>
      <c r="O1019" s="488"/>
      <c r="P1019" s="489"/>
      <c r="Q1019" s="488"/>
      <c r="R1019" s="488"/>
      <c r="S1019" s="488"/>
      <c r="T1019" s="488"/>
      <c r="U1019" s="488"/>
      <c r="V1019" s="488"/>
      <c r="W1019" s="488"/>
      <c r="X1019" s="488"/>
      <c r="Y1019" s="489"/>
      <c r="Z1019" s="489"/>
    </row>
    <row r="1020" spans="3:26" ht="19" x14ac:dyDescent="0.2">
      <c r="C1020" s="452"/>
      <c r="D1020" s="556">
        <v>45561</v>
      </c>
      <c r="E1020" s="557">
        <v>0.03</v>
      </c>
      <c r="F1020" s="557" t="s">
        <v>669</v>
      </c>
      <c r="G1020" s="557">
        <v>1.6E-2</v>
      </c>
      <c r="H1020" s="527">
        <v>0.52083333333333337</v>
      </c>
      <c r="I1020" s="484"/>
      <c r="J1020" s="484"/>
      <c r="K1020" s="485"/>
      <c r="L1020" s="527">
        <v>0.3125</v>
      </c>
      <c r="M1020" s="529"/>
      <c r="N1020" s="462"/>
      <c r="O1020" s="473" t="s">
        <v>813</v>
      </c>
      <c r="P1020" s="474">
        <v>-0.06</v>
      </c>
      <c r="Q1020" s="530">
        <v>7.1183333333333335E-2</v>
      </c>
      <c r="R1020" s="531">
        <v>1.6E-2</v>
      </c>
      <c r="S1020" s="477">
        <v>-1.5</v>
      </c>
      <c r="T1020" s="490">
        <v>0.12277500000000001</v>
      </c>
      <c r="U1020" s="532">
        <v>-25.668025819675861</v>
      </c>
      <c r="V1020" s="533">
        <v>-36.299999999999997</v>
      </c>
      <c r="W1020" s="477">
        <v>2</v>
      </c>
      <c r="X1020" s="479">
        <v>51.336051639351723</v>
      </c>
      <c r="Y1020" s="534"/>
      <c r="Z1020" s="534"/>
    </row>
    <row r="1021" spans="3:26" ht="19" x14ac:dyDescent="0.2">
      <c r="C1021" s="452"/>
      <c r="D1021" s="556">
        <v>45533</v>
      </c>
      <c r="E1021" s="557">
        <v>0.03</v>
      </c>
      <c r="F1021" s="557" t="s">
        <v>666</v>
      </c>
      <c r="G1021" s="557">
        <v>1.4E-2</v>
      </c>
      <c r="H1021" s="527">
        <v>0.52083333333333337</v>
      </c>
      <c r="I1021" s="484"/>
      <c r="J1021" s="484"/>
      <c r="K1021" s="485"/>
      <c r="L1021" s="527">
        <v>0.3125</v>
      </c>
      <c r="M1021" s="486"/>
      <c r="N1021" s="462"/>
      <c r="O1021" s="473" t="s">
        <v>813</v>
      </c>
      <c r="P1021" s="474">
        <v>0.06</v>
      </c>
      <c r="Q1021" s="530">
        <v>7.1183333333333335E-2</v>
      </c>
      <c r="R1021" s="531">
        <v>1.6E-2</v>
      </c>
      <c r="S1021" s="477">
        <v>1.5</v>
      </c>
      <c r="T1021" s="490">
        <v>0.12277500000000001</v>
      </c>
      <c r="U1021" s="532">
        <v>-25.668025819675861</v>
      </c>
      <c r="V1021" s="533">
        <v>36.299999999999997</v>
      </c>
      <c r="W1021" s="477">
        <v>2</v>
      </c>
      <c r="X1021" s="479">
        <v>51.336051639351723</v>
      </c>
      <c r="Y1021" s="534"/>
      <c r="Z1021" s="534"/>
    </row>
    <row r="1022" spans="3:26" ht="19" x14ac:dyDescent="0.2">
      <c r="C1022" s="452"/>
      <c r="D1022" s="556">
        <v>45498</v>
      </c>
      <c r="E1022" s="557">
        <v>2.8000000000000001E-2</v>
      </c>
      <c r="F1022" s="557" t="s">
        <v>788</v>
      </c>
      <c r="G1022" s="557">
        <v>1.4E-2</v>
      </c>
      <c r="H1022" s="527">
        <v>0.52083333333333337</v>
      </c>
      <c r="I1022" s="484"/>
      <c r="J1022" s="484"/>
      <c r="K1022" s="485"/>
      <c r="L1022" s="527">
        <v>0.3125</v>
      </c>
      <c r="M1022" s="486"/>
      <c r="N1022" s="462"/>
      <c r="O1022" s="473" t="s">
        <v>816</v>
      </c>
      <c r="P1022" s="535"/>
      <c r="Q1022" s="530"/>
      <c r="R1022" s="531"/>
      <c r="S1022" s="477"/>
      <c r="T1022" s="535"/>
      <c r="U1022" s="532"/>
      <c r="V1022" s="533"/>
      <c r="W1022" s="477"/>
      <c r="X1022" s="479"/>
      <c r="Y1022" s="534"/>
      <c r="Z1022" s="534"/>
    </row>
    <row r="1023" spans="3:26" ht="19" x14ac:dyDescent="0.2">
      <c r="C1023" s="452"/>
      <c r="D1023" s="556">
        <v>45470</v>
      </c>
      <c r="E1023" s="557">
        <v>1.4E-2</v>
      </c>
      <c r="F1023" s="557" t="s">
        <v>889</v>
      </c>
      <c r="G1023" s="557">
        <v>3.4000000000000002E-2</v>
      </c>
      <c r="H1023" s="527">
        <v>0.52083333333333337</v>
      </c>
      <c r="I1023" s="484"/>
      <c r="J1023" s="484"/>
      <c r="K1023" s="485"/>
      <c r="L1023" s="527">
        <v>0.3125</v>
      </c>
      <c r="M1023" s="486"/>
      <c r="N1023" s="462"/>
      <c r="O1023" s="536"/>
      <c r="P1023" s="536"/>
      <c r="Q1023" s="536"/>
      <c r="R1023" s="536"/>
      <c r="S1023" s="536"/>
      <c r="T1023" s="536"/>
      <c r="U1023" s="536"/>
      <c r="V1023" s="536"/>
      <c r="W1023" s="536"/>
      <c r="X1023" s="536"/>
      <c r="Y1023" s="536"/>
      <c r="Z1023" s="536"/>
    </row>
    <row r="1024" spans="3:26" ht="20" thickBot="1" x14ac:dyDescent="0.25">
      <c r="C1024" s="452"/>
      <c r="D1024" s="556">
        <v>45442</v>
      </c>
      <c r="E1024" s="557">
        <v>1.2999999999999999E-2</v>
      </c>
      <c r="F1024" s="557" t="s">
        <v>890</v>
      </c>
      <c r="G1024" s="557">
        <v>3.4000000000000002E-2</v>
      </c>
      <c r="H1024" s="527">
        <v>0.52083333333333337</v>
      </c>
      <c r="I1024" s="537"/>
      <c r="J1024" s="537"/>
      <c r="K1024" s="538"/>
      <c r="L1024" s="527">
        <v>0.3125</v>
      </c>
      <c r="M1024" s="540"/>
      <c r="N1024" s="462"/>
      <c r="O1024" s="536"/>
      <c r="P1024" s="536"/>
      <c r="Q1024" s="536"/>
      <c r="R1024" s="536"/>
      <c r="S1024" s="536"/>
      <c r="T1024" s="536"/>
      <c r="U1024" s="536"/>
      <c r="V1024" s="536"/>
      <c r="W1024" s="536"/>
      <c r="X1024" s="536"/>
      <c r="Y1024" s="536"/>
      <c r="Z1024" s="536"/>
    </row>
    <row r="1025" spans="3:26" ht="58" thickBot="1" x14ac:dyDescent="0.25">
      <c r="C1025" s="452">
        <v>7</v>
      </c>
      <c r="D1025" s="453" t="s">
        <v>30</v>
      </c>
      <c r="E1025" s="454" t="s">
        <v>14</v>
      </c>
      <c r="F1025" s="455"/>
      <c r="G1025" s="456"/>
      <c r="H1025" s="457" t="s">
        <v>790</v>
      </c>
      <c r="I1025" s="458" t="s">
        <v>633</v>
      </c>
      <c r="J1025" s="458"/>
      <c r="K1025" s="459"/>
      <c r="L1025" s="460" t="s">
        <v>430</v>
      </c>
      <c r="M1025" s="461" t="s">
        <v>431</v>
      </c>
      <c r="N1025" s="462" t="s">
        <v>105</v>
      </c>
      <c r="O1025" s="463" t="s">
        <v>800</v>
      </c>
      <c r="P1025" s="463" t="s">
        <v>801</v>
      </c>
      <c r="Q1025" s="463" t="s">
        <v>802</v>
      </c>
      <c r="R1025" s="463" t="s">
        <v>803</v>
      </c>
      <c r="S1025" s="463" t="s">
        <v>804</v>
      </c>
      <c r="T1025" s="463" t="s">
        <v>805</v>
      </c>
      <c r="U1025" s="463" t="s">
        <v>806</v>
      </c>
      <c r="V1025" s="463" t="s">
        <v>807</v>
      </c>
      <c r="W1025" s="463" t="s">
        <v>808</v>
      </c>
      <c r="X1025" s="463" t="s">
        <v>809</v>
      </c>
      <c r="Y1025" s="463" t="s">
        <v>75</v>
      </c>
      <c r="Z1025" s="463" t="s">
        <v>75</v>
      </c>
    </row>
    <row r="1026" spans="3:26" ht="38" x14ac:dyDescent="0.2">
      <c r="C1026" s="452"/>
      <c r="D1026" s="541" t="s">
        <v>432</v>
      </c>
      <c r="E1026" s="542"/>
      <c r="F1026" s="543"/>
      <c r="G1026" s="544"/>
      <c r="H1026" s="468" t="s">
        <v>906</v>
      </c>
      <c r="I1026" s="469" t="s">
        <v>1072</v>
      </c>
      <c r="J1026" s="469"/>
      <c r="K1026" s="470"/>
      <c r="L1026" s="471"/>
      <c r="M1026" s="472" t="s">
        <v>14</v>
      </c>
      <c r="N1026" s="462"/>
      <c r="O1026" s="473" t="s">
        <v>810</v>
      </c>
      <c r="P1026" s="474">
        <v>0.1</v>
      </c>
      <c r="Q1026" s="475">
        <v>3.9E-2</v>
      </c>
      <c r="R1026" s="476">
        <v>1.7000000000024329E-2</v>
      </c>
      <c r="S1026" s="477"/>
      <c r="T1026" s="473">
        <v>7.5500000000024325E-2</v>
      </c>
      <c r="U1026" s="475">
        <v>-17.670000000000002</v>
      </c>
      <c r="V1026" s="474">
        <v>60.23</v>
      </c>
      <c r="W1026" s="474"/>
      <c r="X1026" s="479"/>
      <c r="Y1026" s="477"/>
      <c r="Z1026" s="477"/>
    </row>
    <row r="1027" spans="3:26" ht="38" x14ac:dyDescent="0.2">
      <c r="C1027" s="452"/>
      <c r="D1027" s="545" t="s">
        <v>433</v>
      </c>
      <c r="E1027" s="546"/>
      <c r="F1027" s="547"/>
      <c r="G1027" s="548"/>
      <c r="H1027" s="575" t="s">
        <v>907</v>
      </c>
      <c r="I1027" s="484"/>
      <c r="J1027" s="484"/>
      <c r="K1027" s="485"/>
      <c r="L1027" s="471"/>
      <c r="M1027" s="486"/>
      <c r="N1027" s="462"/>
      <c r="O1027" s="462"/>
      <c r="P1027" s="462"/>
      <c r="Q1027" s="462"/>
      <c r="R1027" s="487"/>
      <c r="S1027" s="488"/>
      <c r="T1027" s="462"/>
      <c r="U1027" s="462"/>
      <c r="V1027" s="462"/>
      <c r="W1027" s="462"/>
      <c r="X1027" s="488"/>
      <c r="Y1027" s="489"/>
      <c r="Z1027" s="489"/>
    </row>
    <row r="1028" spans="3:26" ht="19" x14ac:dyDescent="0.2">
      <c r="C1028" s="452"/>
      <c r="D1028" s="545" t="s">
        <v>434</v>
      </c>
      <c r="E1028" s="576" t="s">
        <v>1071</v>
      </c>
      <c r="F1028" s="577"/>
      <c r="G1028" s="578"/>
      <c r="H1028" s="575"/>
      <c r="I1028" s="484"/>
      <c r="J1028" s="484"/>
      <c r="K1028" s="485"/>
      <c r="L1028" s="471"/>
      <c r="M1028" s="486"/>
      <c r="N1028" s="462"/>
      <c r="O1028" s="490" t="s">
        <v>811</v>
      </c>
      <c r="P1028" s="491">
        <v>0.1</v>
      </c>
      <c r="Q1028" s="492">
        <v>7.6399999999999996E-2</v>
      </c>
      <c r="R1028" s="493">
        <v>1.7000000000000001E-2</v>
      </c>
      <c r="S1028" s="579">
        <v>1</v>
      </c>
      <c r="T1028" s="490">
        <v>0.13159999999999999</v>
      </c>
      <c r="U1028" s="495">
        <v>-30.799629139062926</v>
      </c>
      <c r="V1028" s="496">
        <v>60.5</v>
      </c>
      <c r="W1028" s="580">
        <v>4.29</v>
      </c>
      <c r="X1028" s="498">
        <v>132.13040900657995</v>
      </c>
      <c r="Y1028" s="499"/>
      <c r="Z1028" s="499"/>
    </row>
    <row r="1029" spans="3:26" ht="20" thickBot="1" x14ac:dyDescent="0.25">
      <c r="C1029" s="452"/>
      <c r="D1029" s="549" t="s">
        <v>435</v>
      </c>
      <c r="E1029" s="550">
        <v>0.5625</v>
      </c>
      <c r="F1029" s="551"/>
      <c r="G1029" s="552"/>
      <c r="H1029" s="504">
        <v>0.35416666666666663</v>
      </c>
      <c r="I1029" s="484"/>
      <c r="J1029" s="484"/>
      <c r="K1029" s="485"/>
      <c r="L1029" s="505">
        <v>0.79166666666666663</v>
      </c>
      <c r="M1029" s="506">
        <v>0.64583333333333326</v>
      </c>
      <c r="N1029" s="462"/>
      <c r="O1029" s="507" t="s">
        <v>812</v>
      </c>
      <c r="P1029" s="508">
        <v>0.1</v>
      </c>
      <c r="Q1029" s="509">
        <v>6.5266666666666667E-2</v>
      </c>
      <c r="R1029" s="510">
        <v>1.7000000000000001E-2</v>
      </c>
      <c r="S1029" s="581">
        <v>1</v>
      </c>
      <c r="T1029" s="512">
        <v>0.1149</v>
      </c>
      <c r="U1029" s="513">
        <v>-26.891165562905247</v>
      </c>
      <c r="V1029" s="514">
        <v>60.5</v>
      </c>
      <c r="W1029" s="582">
        <v>4.9249999999999998</v>
      </c>
      <c r="X1029" s="516">
        <v>132.43899039730834</v>
      </c>
      <c r="Y1029" s="517"/>
      <c r="Z1029" s="517"/>
    </row>
    <row r="1030" spans="3:26" ht="20" thickBot="1" x14ac:dyDescent="0.25">
      <c r="C1030" s="452"/>
      <c r="D1030" s="553" t="s">
        <v>436</v>
      </c>
      <c r="E1030" s="519" t="s">
        <v>29</v>
      </c>
      <c r="F1030" s="519" t="s">
        <v>28</v>
      </c>
      <c r="G1030" s="520" t="s">
        <v>27</v>
      </c>
      <c r="H1030" s="521" t="s">
        <v>793</v>
      </c>
      <c r="I1030" s="484"/>
      <c r="J1030" s="484"/>
      <c r="K1030" s="485"/>
      <c r="L1030" s="522" t="s">
        <v>1002</v>
      </c>
      <c r="M1030" s="521"/>
      <c r="N1030" s="462"/>
      <c r="O1030" s="488"/>
      <c r="P1030" s="489"/>
      <c r="Q1030" s="488"/>
      <c r="R1030" s="488"/>
      <c r="S1030" s="583"/>
      <c r="T1030" s="488"/>
      <c r="U1030" s="523"/>
      <c r="V1030" s="524"/>
      <c r="W1030" s="584"/>
      <c r="X1030" s="523"/>
      <c r="Y1030" s="489"/>
      <c r="Z1030" s="489"/>
    </row>
    <row r="1031" spans="3:26" ht="19" x14ac:dyDescent="0.2">
      <c r="C1031" s="452"/>
      <c r="D1031" s="556">
        <v>45617</v>
      </c>
      <c r="E1031" s="526" t="s">
        <v>1111</v>
      </c>
      <c r="F1031" s="526" t="s">
        <v>1112</v>
      </c>
      <c r="G1031" s="526" t="s">
        <v>987</v>
      </c>
      <c r="H1031" s="527">
        <v>0.5625</v>
      </c>
      <c r="I1031" s="484"/>
      <c r="J1031" s="484"/>
      <c r="K1031" s="485"/>
      <c r="L1031" s="527">
        <v>0.35416666666666663</v>
      </c>
      <c r="M1031" s="528"/>
      <c r="N1031" s="462"/>
      <c r="O1031" s="488"/>
      <c r="P1031" s="489"/>
      <c r="Q1031" s="488"/>
      <c r="R1031" s="488"/>
      <c r="S1031" s="583"/>
      <c r="T1031" s="488"/>
      <c r="U1031" s="488"/>
      <c r="V1031" s="488"/>
      <c r="W1031" s="584"/>
      <c r="X1031" s="488"/>
      <c r="Y1031" s="489"/>
      <c r="Z1031" s="489"/>
    </row>
    <row r="1032" spans="3:26" ht="19" x14ac:dyDescent="0.2">
      <c r="C1032" s="452"/>
      <c r="D1032" s="556">
        <v>45610</v>
      </c>
      <c r="E1032" s="526" t="s">
        <v>1031</v>
      </c>
      <c r="F1032" s="526" t="s">
        <v>1032</v>
      </c>
      <c r="G1032" s="526" t="s">
        <v>972</v>
      </c>
      <c r="H1032" s="527">
        <v>0.5625</v>
      </c>
      <c r="I1032" s="484"/>
      <c r="J1032" s="484"/>
      <c r="K1032" s="485"/>
      <c r="L1032" s="527">
        <v>0.35416666666666663</v>
      </c>
      <c r="M1032" s="529"/>
      <c r="N1032" s="462"/>
      <c r="O1032" s="473" t="s">
        <v>813</v>
      </c>
      <c r="P1032" s="585">
        <v>0.1</v>
      </c>
      <c r="Q1032" s="530">
        <v>6.5266666666666667E-2</v>
      </c>
      <c r="R1032" s="531">
        <v>1.7000000000000001E-2</v>
      </c>
      <c r="S1032" s="585">
        <v>1</v>
      </c>
      <c r="T1032" s="586">
        <v>0.1149</v>
      </c>
      <c r="U1032" s="532">
        <v>-26.891165562905247</v>
      </c>
      <c r="V1032" s="533">
        <v>60.5</v>
      </c>
      <c r="W1032" s="587">
        <v>3</v>
      </c>
      <c r="X1032" s="479">
        <v>80.673496688715744</v>
      </c>
      <c r="Y1032" s="534"/>
      <c r="Z1032" s="534"/>
    </row>
    <row r="1033" spans="3:26" ht="19" x14ac:dyDescent="0.2">
      <c r="C1033" s="452"/>
      <c r="D1033" s="556">
        <v>45603</v>
      </c>
      <c r="E1033" s="526" t="s">
        <v>972</v>
      </c>
      <c r="F1033" s="526" t="s">
        <v>973</v>
      </c>
      <c r="G1033" s="526" t="s">
        <v>974</v>
      </c>
      <c r="H1033" s="527">
        <v>0.5625</v>
      </c>
      <c r="I1033" s="484"/>
      <c r="J1033" s="484"/>
      <c r="K1033" s="485"/>
      <c r="L1033" s="527">
        <v>0.35416666666666663</v>
      </c>
      <c r="M1033" s="486"/>
      <c r="N1033" s="462"/>
      <c r="O1033" s="473" t="s">
        <v>813</v>
      </c>
      <c r="P1033" s="585">
        <v>0.1</v>
      </c>
      <c r="Q1033" s="530">
        <v>6.5266666666666667E-2</v>
      </c>
      <c r="R1033" s="531">
        <v>1.7000000000000001E-2</v>
      </c>
      <c r="S1033" s="585">
        <v>1</v>
      </c>
      <c r="T1033" s="586">
        <v>0.1149</v>
      </c>
      <c r="U1033" s="532">
        <v>-26.891165562905247</v>
      </c>
      <c r="V1033" s="533">
        <v>60.5</v>
      </c>
      <c r="W1033" s="587">
        <v>3</v>
      </c>
      <c r="X1033" s="479">
        <v>80.673496688715744</v>
      </c>
      <c r="Y1033" s="534"/>
      <c r="Z1033" s="534"/>
    </row>
    <row r="1034" spans="3:26" ht="19" x14ac:dyDescent="0.2">
      <c r="C1034" s="452"/>
      <c r="D1034" s="556">
        <v>45596</v>
      </c>
      <c r="E1034" s="526" t="s">
        <v>975</v>
      </c>
      <c r="F1034" s="526" t="s">
        <v>976</v>
      </c>
      <c r="G1034" s="526" t="s">
        <v>977</v>
      </c>
      <c r="H1034" s="527">
        <v>0.52083333333333337</v>
      </c>
      <c r="I1034" s="484"/>
      <c r="J1034" s="484"/>
      <c r="K1034" s="485"/>
      <c r="L1034" s="527">
        <v>0.3125</v>
      </c>
      <c r="M1034" s="486"/>
      <c r="N1034" s="462"/>
      <c r="O1034" s="473"/>
      <c r="P1034" s="535"/>
      <c r="Q1034" s="530"/>
      <c r="R1034" s="531"/>
      <c r="S1034" s="477"/>
      <c r="T1034" s="535"/>
      <c r="U1034" s="532"/>
      <c r="V1034" s="533"/>
      <c r="W1034" s="477"/>
      <c r="X1034" s="479"/>
      <c r="Y1034" s="534"/>
      <c r="Z1034" s="534"/>
    </row>
    <row r="1035" spans="3:26" ht="19" x14ac:dyDescent="0.2">
      <c r="C1035" s="452"/>
      <c r="D1035" s="556">
        <v>45589</v>
      </c>
      <c r="E1035" s="526" t="s">
        <v>978</v>
      </c>
      <c r="F1035" s="526" t="s">
        <v>979</v>
      </c>
      <c r="G1035" s="526" t="s">
        <v>980</v>
      </c>
      <c r="H1035" s="527">
        <v>0.52083333333333337</v>
      </c>
      <c r="I1035" s="484"/>
      <c r="J1035" s="484"/>
      <c r="K1035" s="485"/>
      <c r="L1035" s="527">
        <v>0.3125</v>
      </c>
      <c r="M1035" s="486"/>
      <c r="N1035" s="462"/>
      <c r="O1035" s="536"/>
      <c r="P1035" s="536"/>
      <c r="Q1035" s="536"/>
      <c r="R1035" s="536"/>
      <c r="S1035" s="536"/>
      <c r="T1035" s="536"/>
      <c r="U1035" s="536"/>
      <c r="V1035" s="536"/>
      <c r="W1035" s="536"/>
      <c r="X1035" s="536"/>
      <c r="Y1035" s="536"/>
      <c r="Z1035" s="536"/>
    </row>
    <row r="1036" spans="3:26" ht="20" thickBot="1" x14ac:dyDescent="0.25">
      <c r="C1036" s="452"/>
      <c r="D1036" s="556">
        <v>45582</v>
      </c>
      <c r="E1036" s="526" t="s">
        <v>981</v>
      </c>
      <c r="F1036" s="526" t="s">
        <v>981</v>
      </c>
      <c r="G1036" s="526" t="s">
        <v>982</v>
      </c>
      <c r="H1036" s="527">
        <v>0.52083333333333337</v>
      </c>
      <c r="I1036" s="537"/>
      <c r="J1036" s="537"/>
      <c r="K1036" s="538"/>
      <c r="L1036" s="527">
        <v>0.3125</v>
      </c>
      <c r="M1036" s="540"/>
      <c r="N1036" s="462"/>
      <c r="O1036" s="536"/>
      <c r="P1036" s="536"/>
      <c r="Q1036" s="536"/>
      <c r="R1036" s="536"/>
      <c r="S1036" s="536"/>
      <c r="T1036" s="536"/>
      <c r="U1036" s="536"/>
      <c r="V1036" s="536"/>
      <c r="W1036" s="536"/>
      <c r="X1036" s="536"/>
      <c r="Y1036" s="536"/>
      <c r="Z1036" s="536"/>
    </row>
    <row r="1037" spans="3:26" ht="58" thickBot="1" x14ac:dyDescent="0.25">
      <c r="C1037" s="452">
        <v>8</v>
      </c>
      <c r="D1037" s="453" t="s">
        <v>30</v>
      </c>
      <c r="E1037" s="454" t="s">
        <v>1073</v>
      </c>
      <c r="F1037" s="455"/>
      <c r="G1037" s="456"/>
      <c r="H1037" s="457" t="s">
        <v>790</v>
      </c>
      <c r="I1037" s="458" t="s">
        <v>633</v>
      </c>
      <c r="J1037" s="458"/>
      <c r="K1037" s="459"/>
      <c r="L1037" s="460" t="s">
        <v>430</v>
      </c>
      <c r="M1037" s="461" t="s">
        <v>431</v>
      </c>
      <c r="N1037" s="462" t="s">
        <v>105</v>
      </c>
      <c r="O1037" s="463" t="s">
        <v>800</v>
      </c>
      <c r="P1037" s="463" t="s">
        <v>801</v>
      </c>
      <c r="Q1037" s="463" t="s">
        <v>802</v>
      </c>
      <c r="R1037" s="463" t="s">
        <v>803</v>
      </c>
      <c r="S1037" s="463" t="s">
        <v>804</v>
      </c>
      <c r="T1037" s="463" t="s">
        <v>805</v>
      </c>
      <c r="U1037" s="463" t="s">
        <v>806</v>
      </c>
      <c r="V1037" s="463" t="s">
        <v>807</v>
      </c>
      <c r="W1037" s="463" t="s">
        <v>808</v>
      </c>
      <c r="X1037" s="463" t="s">
        <v>809</v>
      </c>
      <c r="Y1037" s="463" t="s">
        <v>75</v>
      </c>
      <c r="Z1037" s="463" t="s">
        <v>75</v>
      </c>
    </row>
    <row r="1038" spans="3:26" ht="38" x14ac:dyDescent="0.2">
      <c r="C1038" s="462"/>
      <c r="D1038" s="541" t="s">
        <v>432</v>
      </c>
      <c r="E1038" s="542"/>
      <c r="F1038" s="543"/>
      <c r="G1038" s="544"/>
      <c r="H1038" s="468" t="s">
        <v>794</v>
      </c>
      <c r="I1038" s="469" t="s">
        <v>1074</v>
      </c>
      <c r="J1038" s="469"/>
      <c r="K1038" s="470"/>
      <c r="L1038" s="471"/>
      <c r="M1038" s="486"/>
      <c r="N1038" s="462"/>
      <c r="O1038" s="473" t="s">
        <v>810</v>
      </c>
      <c r="P1038" s="474">
        <v>0.1</v>
      </c>
      <c r="Q1038" s="475">
        <v>3.9E-2</v>
      </c>
      <c r="R1038" s="476">
        <v>1.7000000000024329E-2</v>
      </c>
      <c r="S1038" s="477"/>
      <c r="T1038" s="473">
        <v>7.5500000000024325E-2</v>
      </c>
      <c r="U1038" s="475">
        <v>-17.670000000000002</v>
      </c>
      <c r="V1038" s="474">
        <v>60.23</v>
      </c>
      <c r="W1038" s="474"/>
      <c r="X1038" s="479"/>
      <c r="Y1038" s="477"/>
      <c r="Z1038" s="477"/>
    </row>
    <row r="1039" spans="3:26" ht="38" x14ac:dyDescent="0.2">
      <c r="C1039" s="462"/>
      <c r="D1039" s="545" t="s">
        <v>433</v>
      </c>
      <c r="E1039" s="576">
        <v>44.9</v>
      </c>
      <c r="F1039" s="577"/>
      <c r="G1039" s="578"/>
      <c r="H1039" s="575" t="s">
        <v>795</v>
      </c>
      <c r="I1039" s="484"/>
      <c r="J1039" s="484"/>
      <c r="K1039" s="485"/>
      <c r="L1039" s="471"/>
      <c r="M1039" s="486"/>
      <c r="N1039" s="462"/>
      <c r="O1039" s="462"/>
      <c r="P1039" s="462"/>
      <c r="Q1039" s="462"/>
      <c r="R1039" s="487"/>
      <c r="S1039" s="488"/>
      <c r="T1039" s="462"/>
      <c r="U1039" s="462"/>
      <c r="V1039" s="462"/>
      <c r="W1039" s="462"/>
      <c r="X1039" s="488"/>
      <c r="Y1039" s="489"/>
      <c r="Z1039" s="489"/>
    </row>
    <row r="1040" spans="3:26" ht="19" x14ac:dyDescent="0.2">
      <c r="C1040" s="462"/>
      <c r="D1040" s="545" t="s">
        <v>434</v>
      </c>
      <c r="E1040" s="576">
        <v>41.6</v>
      </c>
      <c r="F1040" s="577"/>
      <c r="G1040" s="578"/>
      <c r="H1040" s="468"/>
      <c r="I1040" s="484"/>
      <c r="J1040" s="484"/>
      <c r="K1040" s="485"/>
      <c r="L1040" s="471"/>
      <c r="M1040" s="486"/>
      <c r="N1040" s="462"/>
      <c r="O1040" s="490" t="s">
        <v>811</v>
      </c>
      <c r="P1040" s="491">
        <v>0.1</v>
      </c>
      <c r="Q1040" s="492">
        <v>3.9100000000000003E-2</v>
      </c>
      <c r="R1040" s="493">
        <v>1.4E-2</v>
      </c>
      <c r="S1040" s="579">
        <v>1</v>
      </c>
      <c r="T1040" s="490">
        <v>7.2650000000000006E-2</v>
      </c>
      <c r="U1040" s="495">
        <v>-17.002986754961412</v>
      </c>
      <c r="V1040" s="496">
        <v>60.5</v>
      </c>
      <c r="W1040" s="580">
        <v>4.29</v>
      </c>
      <c r="X1040" s="498">
        <v>72.942813178784462</v>
      </c>
      <c r="Y1040" s="499"/>
      <c r="Z1040" s="499"/>
    </row>
    <row r="1041" spans="3:26" ht="20" thickBot="1" x14ac:dyDescent="0.25">
      <c r="C1041" s="462"/>
      <c r="D1041" s="549" t="s">
        <v>435</v>
      </c>
      <c r="E1041" s="550">
        <v>0.61458333333333337</v>
      </c>
      <c r="F1041" s="551"/>
      <c r="G1041" s="552"/>
      <c r="H1041" s="504">
        <v>0.40625</v>
      </c>
      <c r="I1041" s="484"/>
      <c r="J1041" s="484"/>
      <c r="K1041" s="485"/>
      <c r="L1041" s="505">
        <v>0.84375</v>
      </c>
      <c r="M1041" s="506">
        <v>0.69791666666666663</v>
      </c>
      <c r="N1041" s="462"/>
      <c r="O1041" s="507" t="s">
        <v>812</v>
      </c>
      <c r="P1041" s="508">
        <v>0.1</v>
      </c>
      <c r="Q1041" s="509">
        <v>4.9933333333333337E-2</v>
      </c>
      <c r="R1041" s="510">
        <v>1.4E-2</v>
      </c>
      <c r="S1041" s="581">
        <v>1</v>
      </c>
      <c r="T1041" s="512">
        <v>8.8900000000000007E-2</v>
      </c>
      <c r="U1041" s="513">
        <v>-20.806132450324426</v>
      </c>
      <c r="V1041" s="514">
        <v>60.5</v>
      </c>
      <c r="W1041" s="582">
        <v>4.9249999999999998</v>
      </c>
      <c r="X1041" s="516">
        <v>102.47020231784779</v>
      </c>
      <c r="Y1041" s="517"/>
      <c r="Z1041" s="517"/>
    </row>
    <row r="1042" spans="3:26" ht="20" thickBot="1" x14ac:dyDescent="0.25">
      <c r="C1042" s="462"/>
      <c r="D1042" s="553" t="s">
        <v>436</v>
      </c>
      <c r="E1042" s="554" t="s">
        <v>29</v>
      </c>
      <c r="F1042" s="554" t="s">
        <v>28</v>
      </c>
      <c r="G1042" s="555" t="s">
        <v>27</v>
      </c>
      <c r="H1042" s="521" t="s">
        <v>793</v>
      </c>
      <c r="I1042" s="484"/>
      <c r="J1042" s="484"/>
      <c r="K1042" s="485"/>
      <c r="L1042" s="522" t="s">
        <v>1002</v>
      </c>
      <c r="M1042" s="521"/>
      <c r="N1042" s="462"/>
      <c r="O1042" s="488"/>
      <c r="P1042" s="489"/>
      <c r="Q1042" s="488"/>
      <c r="R1042" s="488"/>
      <c r="S1042" s="583"/>
      <c r="T1042" s="488"/>
      <c r="U1042" s="523"/>
      <c r="V1042" s="524"/>
      <c r="W1042" s="584"/>
      <c r="X1042" s="523"/>
      <c r="Y1042" s="489"/>
      <c r="Z1042" s="489"/>
    </row>
    <row r="1043" spans="3:26" ht="19" x14ac:dyDescent="0.2">
      <c r="C1043" s="462"/>
      <c r="D1043" s="556">
        <v>45596</v>
      </c>
      <c r="E1043" s="557" t="s">
        <v>1113</v>
      </c>
      <c r="F1043" s="557" t="s">
        <v>1114</v>
      </c>
      <c r="G1043" s="557" t="s">
        <v>1115</v>
      </c>
      <c r="H1043" s="527">
        <v>0.57291666666666674</v>
      </c>
      <c r="I1043" s="484"/>
      <c r="J1043" s="484"/>
      <c r="K1043" s="485"/>
      <c r="L1043" s="527">
        <v>0.36458333333333331</v>
      </c>
      <c r="M1043" s="528"/>
      <c r="N1043" s="462"/>
      <c r="O1043" s="488"/>
      <c r="P1043" s="489"/>
      <c r="Q1043" s="488"/>
      <c r="R1043" s="488"/>
      <c r="S1043" s="583"/>
      <c r="T1043" s="488"/>
      <c r="U1043" s="488"/>
      <c r="V1043" s="488"/>
      <c r="W1043" s="584"/>
      <c r="X1043" s="488"/>
      <c r="Y1043" s="489"/>
      <c r="Z1043" s="489"/>
    </row>
    <row r="1044" spans="3:26" ht="19" x14ac:dyDescent="0.2">
      <c r="C1044" s="462"/>
      <c r="D1044" s="556">
        <v>45565</v>
      </c>
      <c r="E1044" s="557" t="s">
        <v>1115</v>
      </c>
      <c r="F1044" s="557" t="s">
        <v>1116</v>
      </c>
      <c r="G1044" s="557" t="s">
        <v>1116</v>
      </c>
      <c r="H1044" s="527">
        <v>0.57291666666666674</v>
      </c>
      <c r="I1044" s="484"/>
      <c r="J1044" s="484"/>
      <c r="K1044" s="485"/>
      <c r="L1044" s="527">
        <v>0.36458333333333331</v>
      </c>
      <c r="M1044" s="529"/>
      <c r="N1044" s="462"/>
      <c r="O1044" s="473" t="s">
        <v>813</v>
      </c>
      <c r="P1044" s="585">
        <v>0.1</v>
      </c>
      <c r="Q1044" s="530">
        <v>4.9933333333333337E-2</v>
      </c>
      <c r="R1044" s="531">
        <v>1.4E-2</v>
      </c>
      <c r="S1044" s="585">
        <v>1</v>
      </c>
      <c r="T1044" s="586">
        <v>8.8900000000000007E-2</v>
      </c>
      <c r="U1044" s="532">
        <v>-20.806132450324426</v>
      </c>
      <c r="V1044" s="533">
        <v>60.5</v>
      </c>
      <c r="W1044" s="587">
        <v>2</v>
      </c>
      <c r="X1044" s="479">
        <v>41.612264900648853</v>
      </c>
      <c r="Y1044" s="534"/>
      <c r="Z1044" s="534"/>
    </row>
    <row r="1045" spans="3:26" ht="19" x14ac:dyDescent="0.2">
      <c r="C1045" s="462"/>
      <c r="D1045" s="556">
        <v>45534</v>
      </c>
      <c r="E1045" s="557" t="s">
        <v>1116</v>
      </c>
      <c r="F1045" s="557" t="s">
        <v>1117</v>
      </c>
      <c r="G1045" s="557" t="s">
        <v>1118</v>
      </c>
      <c r="H1045" s="527">
        <v>0.57291666666666674</v>
      </c>
      <c r="I1045" s="484"/>
      <c r="J1045" s="484"/>
      <c r="K1045" s="485"/>
      <c r="L1045" s="527">
        <v>0.36458333333333331</v>
      </c>
      <c r="M1045" s="486"/>
      <c r="N1045" s="462"/>
      <c r="O1045" s="473" t="s">
        <v>813</v>
      </c>
      <c r="P1045" s="585">
        <v>0.1</v>
      </c>
      <c r="Q1045" s="530">
        <v>4.9933333333333337E-2</v>
      </c>
      <c r="R1045" s="531">
        <v>1.4E-2</v>
      </c>
      <c r="S1045" s="585">
        <v>1</v>
      </c>
      <c r="T1045" s="586">
        <v>8.8900000000000007E-2</v>
      </c>
      <c r="U1045" s="532">
        <v>-20.806132450324426</v>
      </c>
      <c r="V1045" s="533">
        <v>60.5</v>
      </c>
      <c r="W1045" s="587">
        <v>2</v>
      </c>
      <c r="X1045" s="479">
        <v>41.612264900648853</v>
      </c>
      <c r="Y1045" s="534"/>
      <c r="Z1045" s="534"/>
    </row>
    <row r="1046" spans="3:26" ht="19" x14ac:dyDescent="0.2">
      <c r="C1046" s="462"/>
      <c r="D1046" s="556">
        <v>45504</v>
      </c>
      <c r="E1046" s="557" t="s">
        <v>1118</v>
      </c>
      <c r="F1046" s="557" t="s">
        <v>1119</v>
      </c>
      <c r="G1046" s="557" t="s">
        <v>1120</v>
      </c>
      <c r="H1046" s="527">
        <v>0.57291666666666674</v>
      </c>
      <c r="I1046" s="484"/>
      <c r="J1046" s="484"/>
      <c r="K1046" s="485"/>
      <c r="L1046" s="527">
        <v>0.36458333333333331</v>
      </c>
      <c r="M1046" s="486"/>
      <c r="N1046" s="462"/>
      <c r="O1046" s="473"/>
      <c r="P1046" s="535"/>
      <c r="Q1046" s="530"/>
      <c r="R1046" s="531"/>
      <c r="S1046" s="477"/>
      <c r="T1046" s="535"/>
      <c r="U1046" s="532"/>
      <c r="V1046" s="533"/>
      <c r="W1046" s="477"/>
      <c r="X1046" s="479"/>
      <c r="Y1046" s="534"/>
      <c r="Z1046" s="534"/>
    </row>
    <row r="1047" spans="3:26" ht="19" x14ac:dyDescent="0.2">
      <c r="C1047" s="462"/>
      <c r="D1047" s="556">
        <v>45471</v>
      </c>
      <c r="E1047" s="557" t="s">
        <v>1120</v>
      </c>
      <c r="F1047" s="557" t="s">
        <v>1121</v>
      </c>
      <c r="G1047" s="557" t="s">
        <v>1122</v>
      </c>
      <c r="H1047" s="527">
        <v>0.57291666666666674</v>
      </c>
      <c r="I1047" s="484"/>
      <c r="J1047" s="484"/>
      <c r="K1047" s="485"/>
      <c r="L1047" s="527">
        <v>0.36458333333333331</v>
      </c>
      <c r="M1047" s="486"/>
      <c r="N1047" s="462"/>
      <c r="O1047" s="536"/>
      <c r="P1047" s="536"/>
      <c r="Q1047" s="536"/>
      <c r="R1047" s="536"/>
      <c r="S1047" s="536"/>
      <c r="T1047" s="536"/>
      <c r="U1047" s="536"/>
      <c r="V1047" s="536"/>
      <c r="W1047" s="536"/>
      <c r="X1047" s="536"/>
      <c r="Y1047" s="536"/>
      <c r="Z1047" s="536"/>
    </row>
    <row r="1048" spans="3:26" ht="20" thickBot="1" x14ac:dyDescent="0.25">
      <c r="C1048" s="462"/>
      <c r="D1048" s="556">
        <v>45443</v>
      </c>
      <c r="E1048" s="557" t="s">
        <v>1122</v>
      </c>
      <c r="F1048" s="557" t="s">
        <v>1123</v>
      </c>
      <c r="G1048" s="557" t="s">
        <v>1124</v>
      </c>
      <c r="H1048" s="527">
        <v>0.57291666666666674</v>
      </c>
      <c r="I1048" s="537"/>
      <c r="J1048" s="537"/>
      <c r="K1048" s="538"/>
      <c r="L1048" s="527">
        <v>0.36458333333333331</v>
      </c>
      <c r="M1048" s="540"/>
      <c r="N1048" s="462"/>
      <c r="O1048" s="536"/>
      <c r="P1048" s="536"/>
      <c r="Q1048" s="536"/>
      <c r="R1048" s="536"/>
      <c r="S1048" s="536"/>
      <c r="T1048" s="536"/>
      <c r="U1048" s="536"/>
      <c r="V1048" s="536"/>
      <c r="W1048" s="536"/>
      <c r="X1048" s="536"/>
      <c r="Y1048" s="536"/>
      <c r="Z1048" s="536"/>
    </row>
    <row r="1049" spans="3:26" ht="58" thickBot="1" x14ac:dyDescent="0.25">
      <c r="C1049" s="452">
        <v>9</v>
      </c>
      <c r="D1049" s="453" t="s">
        <v>30</v>
      </c>
      <c r="E1049" s="454" t="s">
        <v>1075</v>
      </c>
      <c r="F1049" s="455"/>
      <c r="G1049" s="456"/>
      <c r="H1049" s="457" t="s">
        <v>790</v>
      </c>
      <c r="I1049" s="458" t="s">
        <v>633</v>
      </c>
      <c r="J1049" s="458"/>
      <c r="K1049" s="459"/>
      <c r="L1049" s="460" t="s">
        <v>430</v>
      </c>
      <c r="M1049" s="461" t="s">
        <v>431</v>
      </c>
      <c r="N1049" s="462" t="s">
        <v>105</v>
      </c>
      <c r="O1049" s="463" t="s">
        <v>800</v>
      </c>
      <c r="P1049" s="463" t="s">
        <v>801</v>
      </c>
      <c r="Q1049" s="463" t="s">
        <v>802</v>
      </c>
      <c r="R1049" s="463" t="s">
        <v>803</v>
      </c>
      <c r="S1049" s="463" t="s">
        <v>804</v>
      </c>
      <c r="T1049" s="463" t="s">
        <v>805</v>
      </c>
      <c r="U1049" s="463" t="s">
        <v>806</v>
      </c>
      <c r="V1049" s="463" t="s">
        <v>807</v>
      </c>
      <c r="W1049" s="463" t="s">
        <v>808</v>
      </c>
      <c r="X1049" s="463" t="s">
        <v>809</v>
      </c>
      <c r="Y1049" s="463" t="s">
        <v>75</v>
      </c>
      <c r="Z1049" s="463" t="s">
        <v>75</v>
      </c>
    </row>
    <row r="1050" spans="3:26" ht="38" x14ac:dyDescent="0.2">
      <c r="C1050" s="462"/>
      <c r="D1050" s="541" t="s">
        <v>432</v>
      </c>
      <c r="E1050" s="542"/>
      <c r="F1050" s="543"/>
      <c r="G1050" s="544"/>
      <c r="H1050" s="468" t="s">
        <v>906</v>
      </c>
      <c r="I1050" s="469" t="s">
        <v>1076</v>
      </c>
      <c r="J1050" s="469"/>
      <c r="K1050" s="470"/>
      <c r="L1050" s="471"/>
      <c r="M1050" s="472" t="s">
        <v>1075</v>
      </c>
      <c r="N1050" s="462"/>
      <c r="O1050" s="473" t="s">
        <v>810</v>
      </c>
      <c r="P1050" s="474">
        <v>0.1</v>
      </c>
      <c r="Q1050" s="475">
        <v>2.1999999999999999E-2</v>
      </c>
      <c r="R1050" s="476">
        <v>3.0000000000001137E-2</v>
      </c>
      <c r="S1050" s="477"/>
      <c r="T1050" s="473">
        <v>6.3000000000001138E-2</v>
      </c>
      <c r="U1050" s="475">
        <v>-15.02</v>
      </c>
      <c r="V1050" s="474">
        <v>99.37</v>
      </c>
      <c r="W1050" s="474"/>
      <c r="X1050" s="479"/>
      <c r="Y1050" s="477"/>
      <c r="Z1050" s="477"/>
    </row>
    <row r="1051" spans="3:26" ht="38" x14ac:dyDescent="0.2">
      <c r="C1051" s="462"/>
      <c r="D1051" s="545" t="s">
        <v>433</v>
      </c>
      <c r="E1051" s="546"/>
      <c r="F1051" s="547"/>
      <c r="G1051" s="548"/>
      <c r="H1051" s="575" t="s">
        <v>907</v>
      </c>
      <c r="I1051" s="484"/>
      <c r="J1051" s="484"/>
      <c r="K1051" s="485"/>
      <c r="L1051" s="471"/>
      <c r="M1051" s="486"/>
      <c r="N1051" s="462"/>
      <c r="O1051" s="462"/>
      <c r="P1051" s="462"/>
      <c r="Q1051" s="462"/>
      <c r="R1051" s="487"/>
      <c r="S1051" s="488"/>
      <c r="T1051" s="462"/>
      <c r="U1051" s="462"/>
      <c r="V1051" s="462"/>
      <c r="W1051" s="462"/>
      <c r="X1051" s="488"/>
      <c r="Y1051" s="489"/>
      <c r="Z1051" s="489"/>
    </row>
    <row r="1052" spans="3:26" ht="19" x14ac:dyDescent="0.2">
      <c r="C1052" s="462"/>
      <c r="D1052" s="545" t="s">
        <v>434</v>
      </c>
      <c r="E1052" s="546">
        <v>2.7E-2</v>
      </c>
      <c r="F1052" s="547"/>
      <c r="G1052" s="548"/>
      <c r="H1052" s="468"/>
      <c r="I1052" s="484"/>
      <c r="J1052" s="484"/>
      <c r="K1052" s="485"/>
      <c r="L1052" s="471"/>
      <c r="M1052" s="486"/>
      <c r="N1052" s="462"/>
      <c r="O1052" s="490" t="s">
        <v>811</v>
      </c>
      <c r="P1052" s="491">
        <v>0.1</v>
      </c>
      <c r="Q1052" s="492">
        <v>6.4100000000000004E-2</v>
      </c>
      <c r="R1052" s="493">
        <v>3.0000000000001137E-2</v>
      </c>
      <c r="S1052" s="579">
        <v>1</v>
      </c>
      <c r="T1052" s="490">
        <v>0.12615000000000115</v>
      </c>
      <c r="U1052" s="495">
        <v>-30.075761904761638</v>
      </c>
      <c r="V1052" s="496">
        <v>60.5</v>
      </c>
      <c r="W1052" s="580">
        <v>2.39</v>
      </c>
      <c r="X1052" s="498">
        <v>71.881070952380313</v>
      </c>
      <c r="Y1052" s="499"/>
      <c r="Z1052" s="499"/>
    </row>
    <row r="1053" spans="3:26" ht="20" thickBot="1" x14ac:dyDescent="0.25">
      <c r="C1053" s="462"/>
      <c r="D1053" s="549" t="s">
        <v>435</v>
      </c>
      <c r="E1053" s="550">
        <v>0.5625</v>
      </c>
      <c r="F1053" s="551"/>
      <c r="G1053" s="552"/>
      <c r="H1053" s="504">
        <v>0.35416666666666663</v>
      </c>
      <c r="I1053" s="484"/>
      <c r="J1053" s="484"/>
      <c r="K1053" s="485"/>
      <c r="L1053" s="505">
        <v>0.79166666666666663</v>
      </c>
      <c r="M1053" s="506">
        <v>0.64583333333333326</v>
      </c>
      <c r="N1053" s="462"/>
      <c r="O1053" s="507" t="s">
        <v>812</v>
      </c>
      <c r="P1053" s="508">
        <v>0.1</v>
      </c>
      <c r="Q1053" s="509">
        <v>7.6066666666665908E-2</v>
      </c>
      <c r="R1053" s="510">
        <v>3.0000000000001137E-2</v>
      </c>
      <c r="S1053" s="581">
        <v>1</v>
      </c>
      <c r="T1053" s="512">
        <v>0.14410000000000001</v>
      </c>
      <c r="U1053" s="513">
        <v>-34.355269841269219</v>
      </c>
      <c r="V1053" s="514">
        <v>60.5</v>
      </c>
      <c r="W1053" s="582">
        <v>2.08</v>
      </c>
      <c r="X1053" s="516">
        <v>71.458961269839975</v>
      </c>
      <c r="Y1053" s="517"/>
      <c r="Z1053" s="517"/>
    </row>
    <row r="1054" spans="3:26" ht="20" thickBot="1" x14ac:dyDescent="0.25">
      <c r="C1054" s="462"/>
      <c r="D1054" s="553" t="s">
        <v>436</v>
      </c>
      <c r="E1054" s="554" t="s">
        <v>29</v>
      </c>
      <c r="F1054" s="554" t="s">
        <v>28</v>
      </c>
      <c r="G1054" s="555" t="s">
        <v>27</v>
      </c>
      <c r="H1054" s="521" t="s">
        <v>793</v>
      </c>
      <c r="I1054" s="484"/>
      <c r="J1054" s="484"/>
      <c r="K1054" s="485"/>
      <c r="L1054" s="522" t="s">
        <v>1002</v>
      </c>
      <c r="M1054" s="521"/>
      <c r="N1054" s="462"/>
      <c r="O1054" s="488"/>
      <c r="P1054" s="489"/>
      <c r="Q1054" s="488"/>
      <c r="R1054" s="488"/>
      <c r="S1054" s="583"/>
      <c r="T1054" s="488"/>
      <c r="U1054" s="523"/>
      <c r="V1054" s="524"/>
      <c r="W1054" s="584"/>
      <c r="X1054" s="523"/>
      <c r="Y1054" s="489"/>
      <c r="Z1054" s="489"/>
    </row>
    <row r="1055" spans="3:26" ht="19" x14ac:dyDescent="0.2">
      <c r="C1055" s="462"/>
      <c r="D1055" s="556">
        <v>45596</v>
      </c>
      <c r="E1055" s="557">
        <v>2.7E-2</v>
      </c>
      <c r="F1055" s="557" t="s">
        <v>493</v>
      </c>
      <c r="G1055" s="557">
        <v>2.7E-2</v>
      </c>
      <c r="H1055" s="527">
        <v>0.52083333333333337</v>
      </c>
      <c r="I1055" s="484"/>
      <c r="J1055" s="484"/>
      <c r="K1055" s="485"/>
      <c r="L1055" s="527">
        <v>0.3125</v>
      </c>
      <c r="M1055" s="588"/>
      <c r="N1055" s="462"/>
      <c r="O1055" s="488"/>
      <c r="P1055" s="489"/>
      <c r="Q1055" s="488"/>
      <c r="R1055" s="488"/>
      <c r="S1055" s="583"/>
      <c r="T1055" s="488"/>
      <c r="U1055" s="488"/>
      <c r="V1055" s="488"/>
      <c r="W1055" s="584"/>
      <c r="X1055" s="488"/>
      <c r="Y1055" s="489"/>
      <c r="Z1055" s="489"/>
    </row>
    <row r="1056" spans="3:26" ht="19" x14ac:dyDescent="0.2">
      <c r="C1056" s="462"/>
      <c r="D1056" s="556">
        <v>45562</v>
      </c>
      <c r="E1056" s="557">
        <v>2.7E-2</v>
      </c>
      <c r="F1056" s="557" t="s">
        <v>665</v>
      </c>
      <c r="G1056" s="557">
        <v>2.5999999999999999E-2</v>
      </c>
      <c r="H1056" s="527">
        <v>0.52083333333333337</v>
      </c>
      <c r="I1056" s="484"/>
      <c r="J1056" s="484"/>
      <c r="K1056" s="485"/>
      <c r="L1056" s="527">
        <v>0.3125</v>
      </c>
      <c r="M1056" s="588"/>
      <c r="N1056" s="462"/>
      <c r="O1056" s="473" t="s">
        <v>813</v>
      </c>
      <c r="P1056" s="585">
        <v>0.1</v>
      </c>
      <c r="Q1056" s="530">
        <v>7.6066666666665908E-2</v>
      </c>
      <c r="R1056" s="531">
        <v>3.0000000000001137E-2</v>
      </c>
      <c r="S1056" s="585">
        <v>1</v>
      </c>
      <c r="T1056" s="586">
        <v>0.14410000000000001</v>
      </c>
      <c r="U1056" s="532">
        <v>-34.355269841269219</v>
      </c>
      <c r="V1056" s="533">
        <v>60.5</v>
      </c>
      <c r="W1056" s="587">
        <v>2.08</v>
      </c>
      <c r="X1056" s="479">
        <v>71.458961269839975</v>
      </c>
      <c r="Y1056" s="534"/>
      <c r="Z1056" s="534"/>
    </row>
    <row r="1057" spans="3:26" ht="19" x14ac:dyDescent="0.2">
      <c r="C1057" s="462"/>
      <c r="D1057" s="556">
        <v>45534</v>
      </c>
      <c r="E1057" s="557">
        <v>2.5999999999999999E-2</v>
      </c>
      <c r="F1057" s="557" t="s">
        <v>665</v>
      </c>
      <c r="G1057" s="557">
        <v>2.5999999999999999E-2</v>
      </c>
      <c r="H1057" s="527">
        <v>0.52083333333333337</v>
      </c>
      <c r="I1057" s="484"/>
      <c r="J1057" s="484"/>
      <c r="K1057" s="485"/>
      <c r="L1057" s="527">
        <v>0.3125</v>
      </c>
      <c r="M1057" s="588"/>
      <c r="N1057" s="462"/>
      <c r="O1057" s="473"/>
      <c r="P1057" s="535"/>
      <c r="Q1057" s="530"/>
      <c r="R1057" s="531"/>
      <c r="S1057" s="477"/>
      <c r="T1057" s="535"/>
      <c r="U1057" s="532"/>
      <c r="V1057" s="533"/>
      <c r="W1057" s="477"/>
      <c r="X1057" s="479"/>
      <c r="Y1057" s="534"/>
      <c r="Z1057" s="534"/>
    </row>
    <row r="1058" spans="3:26" ht="19" x14ac:dyDescent="0.2">
      <c r="C1058" s="462"/>
      <c r="D1058" s="556">
        <v>45499</v>
      </c>
      <c r="E1058" s="557">
        <v>2.5999999999999999E-2</v>
      </c>
      <c r="F1058" s="557" t="s">
        <v>495</v>
      </c>
      <c r="G1058" s="557">
        <v>2.5999999999999999E-2</v>
      </c>
      <c r="H1058" s="527">
        <v>0.52083333333333337</v>
      </c>
      <c r="I1058" s="484"/>
      <c r="J1058" s="484"/>
      <c r="K1058" s="485"/>
      <c r="L1058" s="527">
        <v>0.3125</v>
      </c>
      <c r="M1058" s="588"/>
      <c r="N1058" s="462"/>
      <c r="O1058" s="473"/>
      <c r="P1058" s="535"/>
      <c r="Q1058" s="530"/>
      <c r="R1058" s="531"/>
      <c r="S1058" s="477"/>
      <c r="T1058" s="535"/>
      <c r="U1058" s="532"/>
      <c r="V1058" s="533"/>
      <c r="W1058" s="477"/>
      <c r="X1058" s="479"/>
      <c r="Y1058" s="534"/>
      <c r="Z1058" s="534"/>
    </row>
    <row r="1059" spans="3:26" ht="19" x14ac:dyDescent="0.2">
      <c r="C1059" s="462"/>
      <c r="D1059" s="556">
        <v>45471</v>
      </c>
      <c r="E1059" s="557">
        <v>2.5999999999999999E-2</v>
      </c>
      <c r="F1059" s="557" t="s">
        <v>493</v>
      </c>
      <c r="G1059" s="557">
        <v>2.8000000000000001E-2</v>
      </c>
      <c r="H1059" s="527">
        <v>0.52083333333333337</v>
      </c>
      <c r="I1059" s="484"/>
      <c r="J1059" s="484"/>
      <c r="K1059" s="485"/>
      <c r="L1059" s="527">
        <v>0.3125</v>
      </c>
      <c r="M1059" s="588"/>
      <c r="N1059" s="462"/>
      <c r="O1059" s="536"/>
      <c r="P1059" s="536"/>
      <c r="Q1059" s="536"/>
      <c r="R1059" s="536"/>
      <c r="S1059" s="536"/>
      <c r="T1059" s="536"/>
      <c r="U1059" s="536"/>
      <c r="V1059" s="536"/>
      <c r="W1059" s="536"/>
      <c r="X1059" s="536"/>
      <c r="Y1059" s="536"/>
      <c r="Z1059" s="536"/>
    </row>
    <row r="1060" spans="3:26" ht="20" thickBot="1" x14ac:dyDescent="0.25">
      <c r="C1060" s="462"/>
      <c r="D1060" s="556">
        <v>45443</v>
      </c>
      <c r="E1060" s="557">
        <v>2.8000000000000001E-2</v>
      </c>
      <c r="F1060" s="557" t="s">
        <v>666</v>
      </c>
      <c r="G1060" s="557">
        <v>2.8000000000000001E-2</v>
      </c>
      <c r="H1060" s="527">
        <v>0.52083333333333337</v>
      </c>
      <c r="I1060" s="537"/>
      <c r="J1060" s="537"/>
      <c r="K1060" s="538"/>
      <c r="L1060" s="527">
        <v>0.3125</v>
      </c>
      <c r="M1060" s="588"/>
      <c r="N1060" s="462"/>
      <c r="O1060" s="536"/>
      <c r="P1060" s="536"/>
      <c r="Q1060" s="536"/>
      <c r="R1060" s="536"/>
      <c r="S1060" s="536"/>
      <c r="T1060" s="536"/>
      <c r="U1060" s="536"/>
      <c r="V1060" s="536"/>
      <c r="W1060" s="536"/>
      <c r="X1060" s="536"/>
      <c r="Y1060" s="536"/>
      <c r="Z1060" s="536"/>
    </row>
    <row r="1061" spans="3:26" ht="58" thickBot="1" x14ac:dyDescent="0.25">
      <c r="C1061" s="452">
        <v>10</v>
      </c>
      <c r="D1061" s="453" t="s">
        <v>30</v>
      </c>
      <c r="E1061" s="454" t="s">
        <v>1077</v>
      </c>
      <c r="F1061" s="455"/>
      <c r="G1061" s="456"/>
      <c r="H1061" s="457" t="s">
        <v>790</v>
      </c>
      <c r="I1061" s="458" t="s">
        <v>633</v>
      </c>
      <c r="J1061" s="458"/>
      <c r="K1061" s="459"/>
      <c r="L1061" s="460" t="s">
        <v>430</v>
      </c>
      <c r="M1061" s="461" t="s">
        <v>431</v>
      </c>
      <c r="N1061" s="462" t="s">
        <v>105</v>
      </c>
      <c r="O1061" s="463" t="s">
        <v>800</v>
      </c>
      <c r="P1061" s="463" t="s">
        <v>801</v>
      </c>
      <c r="Q1061" s="463" t="s">
        <v>802</v>
      </c>
      <c r="R1061" s="463" t="s">
        <v>803</v>
      </c>
      <c r="S1061" s="463" t="s">
        <v>804</v>
      </c>
      <c r="T1061" s="463" t="s">
        <v>805</v>
      </c>
      <c r="U1061" s="463" t="s">
        <v>806</v>
      </c>
      <c r="V1061" s="463" t="s">
        <v>807</v>
      </c>
      <c r="W1061" s="463" t="s">
        <v>808</v>
      </c>
      <c r="X1061" s="463" t="s">
        <v>809</v>
      </c>
      <c r="Y1061" s="463" t="s">
        <v>75</v>
      </c>
      <c r="Z1061" s="463" t="s">
        <v>75</v>
      </c>
    </row>
    <row r="1062" spans="3:26" ht="38" x14ac:dyDescent="0.2">
      <c r="C1062" s="462"/>
      <c r="D1062" s="541" t="s">
        <v>432</v>
      </c>
      <c r="E1062" s="542"/>
      <c r="F1062" s="543"/>
      <c r="G1062" s="544"/>
      <c r="H1062" s="468" t="s">
        <v>906</v>
      </c>
      <c r="I1062" s="469" t="s">
        <v>1076</v>
      </c>
      <c r="J1062" s="469"/>
      <c r="K1062" s="470"/>
      <c r="L1062" s="471"/>
      <c r="M1062" s="472" t="s">
        <v>1077</v>
      </c>
      <c r="N1062" s="462"/>
      <c r="O1062" s="473" t="s">
        <v>810</v>
      </c>
      <c r="P1062" s="474">
        <v>0.1</v>
      </c>
      <c r="Q1062" s="475">
        <v>2.7E-2</v>
      </c>
      <c r="R1062" s="476">
        <v>1.5999999999991132E-2</v>
      </c>
      <c r="S1062" s="477"/>
      <c r="T1062" s="473">
        <v>5.6499999999991134E-2</v>
      </c>
      <c r="U1062" s="475">
        <v>-13.31</v>
      </c>
      <c r="V1062" s="474">
        <v>91.8</v>
      </c>
      <c r="W1062" s="478">
        <v>2</v>
      </c>
      <c r="X1062" s="479">
        <v>26.62</v>
      </c>
      <c r="Y1062" s="477"/>
      <c r="Z1062" s="477"/>
    </row>
    <row r="1063" spans="3:26" ht="38" x14ac:dyDescent="0.2">
      <c r="C1063" s="462"/>
      <c r="D1063" s="545" t="s">
        <v>433</v>
      </c>
      <c r="E1063" s="546"/>
      <c r="F1063" s="547"/>
      <c r="G1063" s="548"/>
      <c r="H1063" s="575" t="s">
        <v>907</v>
      </c>
      <c r="I1063" s="484"/>
      <c r="J1063" s="484"/>
      <c r="K1063" s="485"/>
      <c r="L1063" s="471"/>
      <c r="M1063" s="486"/>
      <c r="N1063" s="462"/>
      <c r="O1063" s="462"/>
      <c r="P1063" s="462"/>
      <c r="Q1063" s="462"/>
      <c r="R1063" s="487"/>
      <c r="S1063" s="488"/>
      <c r="T1063" s="462"/>
      <c r="U1063" s="462"/>
      <c r="V1063" s="462"/>
      <c r="W1063" s="488"/>
      <c r="X1063" s="488"/>
      <c r="Y1063" s="489"/>
      <c r="Z1063" s="489"/>
    </row>
    <row r="1064" spans="3:26" ht="19" x14ac:dyDescent="0.2">
      <c r="C1064" s="462"/>
      <c r="D1064" s="545" t="s">
        <v>434</v>
      </c>
      <c r="E1064" s="568">
        <v>3.0000000000000001E-3</v>
      </c>
      <c r="F1064" s="569"/>
      <c r="G1064" s="570"/>
      <c r="H1064" s="468"/>
      <c r="I1064" s="484"/>
      <c r="J1064" s="484"/>
      <c r="K1064" s="485"/>
      <c r="L1064" s="471"/>
      <c r="M1064" s="486"/>
      <c r="N1064" s="462"/>
      <c r="O1064" s="490" t="s">
        <v>811</v>
      </c>
      <c r="P1064" s="491">
        <v>0.1</v>
      </c>
      <c r="Q1064" s="492">
        <v>4.0500000000000001E-2</v>
      </c>
      <c r="R1064" s="493">
        <v>1.7000000000000001E-2</v>
      </c>
      <c r="S1064" s="494">
        <v>1</v>
      </c>
      <c r="T1064" s="490">
        <v>7.775E-2</v>
      </c>
      <c r="U1064" s="495">
        <v>-18.315973451330308</v>
      </c>
      <c r="V1064" s="496">
        <v>60.5</v>
      </c>
      <c r="W1064" s="497">
        <v>3.27</v>
      </c>
      <c r="X1064" s="498">
        <v>59.893233185850107</v>
      </c>
      <c r="Y1064" s="499"/>
      <c r="Z1064" s="499">
        <v>4.4350000000000005</v>
      </c>
    </row>
    <row r="1065" spans="3:26" ht="20" thickBot="1" x14ac:dyDescent="0.25">
      <c r="C1065" s="462"/>
      <c r="D1065" s="549" t="s">
        <v>435</v>
      </c>
      <c r="E1065" s="550">
        <v>0.5625</v>
      </c>
      <c r="F1065" s="551"/>
      <c r="G1065" s="552"/>
      <c r="H1065" s="504">
        <v>0.35416666666666663</v>
      </c>
      <c r="I1065" s="484"/>
      <c r="J1065" s="484"/>
      <c r="K1065" s="485"/>
      <c r="L1065" s="505">
        <v>0.79166666666666663</v>
      </c>
      <c r="M1065" s="506">
        <v>0.64583333333333326</v>
      </c>
      <c r="N1065" s="462"/>
      <c r="O1065" s="507" t="s">
        <v>812</v>
      </c>
      <c r="P1065" s="508">
        <v>0.1</v>
      </c>
      <c r="Q1065" s="509">
        <v>2.5266666666666663E-2</v>
      </c>
      <c r="R1065" s="510">
        <v>1.7000000000000001E-2</v>
      </c>
      <c r="S1065" s="511">
        <v>1</v>
      </c>
      <c r="T1065" s="512">
        <v>5.4899999999999997E-2</v>
      </c>
      <c r="U1065" s="513">
        <v>-12.933079646019728</v>
      </c>
      <c r="V1065" s="514">
        <v>60.5</v>
      </c>
      <c r="W1065" s="589">
        <v>2.2200000000000002</v>
      </c>
      <c r="X1065" s="516">
        <v>28.711436814163797</v>
      </c>
      <c r="Y1065" s="517"/>
      <c r="Z1065" s="517"/>
    </row>
    <row r="1066" spans="3:26" ht="20" thickBot="1" x14ac:dyDescent="0.25">
      <c r="C1066" s="462"/>
      <c r="D1066" s="553" t="s">
        <v>436</v>
      </c>
      <c r="E1066" s="554" t="s">
        <v>29</v>
      </c>
      <c r="F1066" s="554" t="s">
        <v>28</v>
      </c>
      <c r="G1066" s="555" t="s">
        <v>27</v>
      </c>
      <c r="H1066" s="521" t="s">
        <v>793</v>
      </c>
      <c r="I1066" s="484"/>
      <c r="J1066" s="484"/>
      <c r="K1066" s="485"/>
      <c r="L1066" s="522" t="s">
        <v>1002</v>
      </c>
      <c r="M1066" s="521"/>
      <c r="N1066" s="462"/>
      <c r="O1066" s="488"/>
      <c r="P1066" s="489"/>
      <c r="Q1066" s="488"/>
      <c r="R1066" s="488"/>
      <c r="S1066" s="488"/>
      <c r="T1066" s="488"/>
      <c r="U1066" s="523"/>
      <c r="V1066" s="524"/>
      <c r="W1066" s="488"/>
      <c r="X1066" s="523"/>
      <c r="Y1066" s="489"/>
      <c r="Z1066" s="489"/>
    </row>
    <row r="1067" spans="3:26" ht="19" x14ac:dyDescent="0.2">
      <c r="C1067" s="462"/>
      <c r="D1067" s="556">
        <v>45596</v>
      </c>
      <c r="E1067" s="557">
        <v>3.0000000000000001E-3</v>
      </c>
      <c r="F1067" s="557" t="s">
        <v>467</v>
      </c>
      <c r="G1067" s="557">
        <v>2E-3</v>
      </c>
      <c r="H1067" s="527">
        <v>0.52083333333333337</v>
      </c>
      <c r="I1067" s="484"/>
      <c r="J1067" s="484"/>
      <c r="K1067" s="485"/>
      <c r="L1067" s="527">
        <v>0.3125</v>
      </c>
      <c r="M1067" s="528"/>
      <c r="N1067" s="462"/>
      <c r="O1067" s="488"/>
      <c r="P1067" s="489"/>
      <c r="Q1067" s="488"/>
      <c r="R1067" s="488"/>
      <c r="S1067" s="488"/>
      <c r="T1067" s="488"/>
      <c r="U1067" s="488"/>
      <c r="V1067" s="488"/>
      <c r="W1067" s="488"/>
      <c r="X1067" s="488"/>
      <c r="Y1067" s="489"/>
      <c r="Z1067" s="489"/>
    </row>
    <row r="1068" spans="3:26" ht="19" x14ac:dyDescent="0.2">
      <c r="C1068" s="462"/>
      <c r="D1068" s="556">
        <v>45562</v>
      </c>
      <c r="E1068" s="557">
        <v>1E-3</v>
      </c>
      <c r="F1068" s="557" t="s">
        <v>460</v>
      </c>
      <c r="G1068" s="557">
        <v>2E-3</v>
      </c>
      <c r="H1068" s="527">
        <v>0.52083333333333337</v>
      </c>
      <c r="I1068" s="484"/>
      <c r="J1068" s="484"/>
      <c r="K1068" s="485"/>
      <c r="L1068" s="527">
        <v>0.3125</v>
      </c>
      <c r="M1068" s="529"/>
      <c r="N1068" s="462"/>
      <c r="O1068" s="473" t="s">
        <v>813</v>
      </c>
      <c r="P1068" s="474">
        <v>0.1</v>
      </c>
      <c r="Q1068" s="530">
        <v>3.2883333333333334E-2</v>
      </c>
      <c r="R1068" s="531">
        <v>1.7000000000000001E-2</v>
      </c>
      <c r="S1068" s="477">
        <v>1</v>
      </c>
      <c r="T1068" s="490">
        <v>6.6324999999999995E-2</v>
      </c>
      <c r="U1068" s="532">
        <v>-15.624526548675018</v>
      </c>
      <c r="V1068" s="533">
        <v>60.5</v>
      </c>
      <c r="W1068" s="477">
        <v>2</v>
      </c>
      <c r="X1068" s="479">
        <v>31.249053097350036</v>
      </c>
      <c r="Y1068" s="534"/>
      <c r="Z1068" s="534"/>
    </row>
    <row r="1069" spans="3:26" ht="19" x14ac:dyDescent="0.2">
      <c r="C1069" s="462"/>
      <c r="D1069" s="556">
        <v>45534</v>
      </c>
      <c r="E1069" s="557">
        <v>2E-3</v>
      </c>
      <c r="F1069" s="557" t="s">
        <v>460</v>
      </c>
      <c r="G1069" s="557">
        <v>2E-3</v>
      </c>
      <c r="H1069" s="527">
        <v>0.52083333333333337</v>
      </c>
      <c r="I1069" s="484"/>
      <c r="J1069" s="484"/>
      <c r="K1069" s="485"/>
      <c r="L1069" s="527">
        <v>0.3125</v>
      </c>
      <c r="M1069" s="486"/>
      <c r="N1069" s="462"/>
      <c r="O1069" s="473"/>
      <c r="P1069" s="474"/>
      <c r="Q1069" s="530"/>
      <c r="R1069" s="531"/>
      <c r="S1069" s="477"/>
      <c r="T1069" s="490"/>
      <c r="U1069" s="532"/>
      <c r="V1069" s="533"/>
      <c r="W1069" s="477"/>
      <c r="X1069" s="479"/>
      <c r="Y1069" s="534"/>
      <c r="Z1069" s="534"/>
    </row>
    <row r="1070" spans="3:26" ht="19" x14ac:dyDescent="0.2">
      <c r="C1070" s="462"/>
      <c r="D1070" s="556">
        <v>45499</v>
      </c>
      <c r="E1070" s="557">
        <v>2E-3</v>
      </c>
      <c r="F1070" s="557" t="s">
        <v>460</v>
      </c>
      <c r="G1070" s="557">
        <v>1E-3</v>
      </c>
      <c r="H1070" s="527">
        <v>0.52083333333333337</v>
      </c>
      <c r="I1070" s="484"/>
      <c r="J1070" s="484"/>
      <c r="K1070" s="485"/>
      <c r="L1070" s="527">
        <v>0.3125</v>
      </c>
      <c r="M1070" s="486"/>
      <c r="N1070" s="462"/>
      <c r="O1070" s="473"/>
      <c r="P1070" s="535"/>
      <c r="Q1070" s="530"/>
      <c r="R1070" s="531"/>
      <c r="S1070" s="477"/>
      <c r="T1070" s="535"/>
      <c r="U1070" s="532"/>
      <c r="V1070" s="533"/>
      <c r="W1070" s="477"/>
      <c r="X1070" s="479"/>
      <c r="Y1070" s="534"/>
      <c r="Z1070" s="534"/>
    </row>
    <row r="1071" spans="3:26" ht="19" x14ac:dyDescent="0.2">
      <c r="C1071" s="462"/>
      <c r="D1071" s="556">
        <v>45471</v>
      </c>
      <c r="E1071" s="557">
        <v>1E-3</v>
      </c>
      <c r="F1071" s="557" t="s">
        <v>462</v>
      </c>
      <c r="G1071" s="557">
        <v>3.0000000000000001E-3</v>
      </c>
      <c r="H1071" s="527">
        <v>0.52083333333333337</v>
      </c>
      <c r="I1071" s="484"/>
      <c r="J1071" s="484"/>
      <c r="K1071" s="485"/>
      <c r="L1071" s="527">
        <v>0.3125</v>
      </c>
      <c r="M1071" s="486"/>
      <c r="N1071" s="462"/>
      <c r="O1071" s="536"/>
      <c r="P1071" s="536"/>
      <c r="Q1071" s="536"/>
      <c r="R1071" s="536"/>
      <c r="S1071" s="536"/>
      <c r="T1071" s="536"/>
      <c r="U1071" s="536"/>
      <c r="V1071" s="536"/>
      <c r="W1071" s="536"/>
      <c r="X1071" s="536"/>
      <c r="Y1071" s="536"/>
      <c r="Z1071" s="536"/>
    </row>
    <row r="1072" spans="3:26" ht="20" thickBot="1" x14ac:dyDescent="0.25">
      <c r="C1072" s="462"/>
      <c r="D1072" s="556">
        <v>45443</v>
      </c>
      <c r="E1072" s="557">
        <v>2E-3</v>
      </c>
      <c r="F1072" s="557" t="s">
        <v>467</v>
      </c>
      <c r="G1072" s="557">
        <v>3.0000000000000001E-3</v>
      </c>
      <c r="H1072" s="527">
        <v>0.52083333333333337</v>
      </c>
      <c r="I1072" s="537"/>
      <c r="J1072" s="537"/>
      <c r="K1072" s="538"/>
      <c r="L1072" s="527">
        <v>0.3125</v>
      </c>
      <c r="M1072" s="540"/>
      <c r="N1072" s="462"/>
      <c r="O1072" s="536"/>
      <c r="P1072" s="536"/>
      <c r="Q1072" s="536"/>
      <c r="R1072" s="536"/>
      <c r="S1072" s="536"/>
      <c r="T1072" s="536"/>
      <c r="U1072" s="536"/>
      <c r="V1072" s="536"/>
      <c r="W1072" s="536"/>
      <c r="X1072" s="536"/>
      <c r="Y1072" s="536"/>
      <c r="Z1072" s="536"/>
    </row>
    <row r="1073" spans="3:26" ht="58" thickBot="1" x14ac:dyDescent="0.25">
      <c r="C1073" s="590">
        <v>11</v>
      </c>
      <c r="D1073" s="591" t="s">
        <v>30</v>
      </c>
      <c r="E1073" s="592" t="s">
        <v>9</v>
      </c>
      <c r="F1073" s="593"/>
      <c r="G1073" s="594"/>
      <c r="H1073" s="595" t="s">
        <v>790</v>
      </c>
      <c r="I1073" s="596" t="s">
        <v>633</v>
      </c>
      <c r="J1073" s="596"/>
      <c r="K1073" s="597"/>
      <c r="L1073" s="598" t="s">
        <v>430</v>
      </c>
      <c r="M1073" s="599" t="s">
        <v>431</v>
      </c>
      <c r="N1073" s="600" t="s">
        <v>105</v>
      </c>
      <c r="O1073" s="601" t="s">
        <v>800</v>
      </c>
      <c r="P1073" s="601" t="s">
        <v>801</v>
      </c>
      <c r="Q1073" s="601" t="s">
        <v>802</v>
      </c>
      <c r="R1073" s="601" t="s">
        <v>803</v>
      </c>
      <c r="S1073" s="601" t="s">
        <v>804</v>
      </c>
      <c r="T1073" s="601" t="s">
        <v>805</v>
      </c>
      <c r="U1073" s="601" t="s">
        <v>806</v>
      </c>
      <c r="V1073" s="601" t="s">
        <v>807</v>
      </c>
      <c r="W1073" s="601" t="s">
        <v>808</v>
      </c>
      <c r="X1073" s="601" t="s">
        <v>809</v>
      </c>
      <c r="Y1073" s="601" t="s">
        <v>75</v>
      </c>
      <c r="Z1073" s="601" t="s">
        <v>75</v>
      </c>
    </row>
    <row r="1074" spans="3:26" ht="38" x14ac:dyDescent="0.2">
      <c r="C1074" s="600"/>
      <c r="D1074" s="602" t="s">
        <v>432</v>
      </c>
      <c r="E1074" s="603"/>
      <c r="F1074" s="604"/>
      <c r="G1074" s="605"/>
      <c r="H1074" s="606" t="s">
        <v>796</v>
      </c>
      <c r="I1074" s="607" t="s">
        <v>1079</v>
      </c>
      <c r="J1074" s="607"/>
      <c r="K1074" s="608"/>
      <c r="L1074" s="609"/>
      <c r="M1074" s="472" t="s">
        <v>9</v>
      </c>
      <c r="N1074" s="600"/>
      <c r="O1074" s="535" t="s">
        <v>810</v>
      </c>
      <c r="P1074" s="535">
        <v>0.1</v>
      </c>
      <c r="Q1074" s="610">
        <v>3.3E-4</v>
      </c>
      <c r="R1074" s="611">
        <v>1.500000000000945E-4</v>
      </c>
      <c r="S1074" s="534">
        <v>1</v>
      </c>
      <c r="T1074" s="535">
        <v>4.55000000000029E-4</v>
      </c>
      <c r="U1074" s="610">
        <v>-22.85</v>
      </c>
      <c r="V1074" s="535">
        <v>60.5</v>
      </c>
      <c r="W1074" s="534">
        <v>2</v>
      </c>
      <c r="X1074" s="612"/>
      <c r="Y1074" s="534"/>
      <c r="Z1074" s="534"/>
    </row>
    <row r="1075" spans="3:26" ht="38" x14ac:dyDescent="0.2">
      <c r="C1075" s="600"/>
      <c r="D1075" s="613" t="s">
        <v>433</v>
      </c>
      <c r="E1075" s="614"/>
      <c r="F1075" s="615"/>
      <c r="G1075" s="616"/>
      <c r="H1075" s="606" t="s">
        <v>796</v>
      </c>
      <c r="I1075" s="617"/>
      <c r="J1075" s="617"/>
      <c r="K1075" s="618"/>
      <c r="L1075" s="609"/>
      <c r="M1075" s="619"/>
      <c r="N1075" s="600"/>
      <c r="O1075" s="600"/>
      <c r="P1075" s="600"/>
      <c r="Q1075" s="600"/>
      <c r="R1075" s="620"/>
      <c r="S1075" s="489"/>
      <c r="T1075" s="600"/>
      <c r="U1075" s="600"/>
      <c r="V1075" s="600"/>
      <c r="W1075" s="600"/>
      <c r="X1075" s="489"/>
      <c r="Y1075" s="489"/>
      <c r="Z1075" s="489"/>
    </row>
    <row r="1076" spans="3:26" ht="19" x14ac:dyDescent="0.2">
      <c r="C1076" s="600"/>
      <c r="D1076" s="613" t="s">
        <v>434</v>
      </c>
      <c r="E1076" s="621" t="s">
        <v>1078</v>
      </c>
      <c r="F1076" s="622"/>
      <c r="G1076" s="623"/>
      <c r="H1076" s="606"/>
      <c r="I1076" s="617"/>
      <c r="J1076" s="617"/>
      <c r="K1076" s="618"/>
      <c r="L1076" s="609"/>
      <c r="M1076" s="619"/>
      <c r="N1076" s="600"/>
      <c r="O1076" s="624" t="s">
        <v>811</v>
      </c>
      <c r="P1076" s="624">
        <v>0.1</v>
      </c>
      <c r="Q1076" s="625">
        <v>2.9999999999999997E-4</v>
      </c>
      <c r="R1076" s="626">
        <v>2.0000000000000001E-4</v>
      </c>
      <c r="S1076" s="627">
        <v>1</v>
      </c>
      <c r="T1076" s="624">
        <v>6.4999999999999997E-4</v>
      </c>
      <c r="U1076" s="628">
        <v>-32.642857142855057</v>
      </c>
      <c r="V1076" s="629">
        <v>60.5</v>
      </c>
      <c r="W1076" s="630">
        <v>2.81</v>
      </c>
      <c r="X1076" s="631">
        <v>91.726428571422716</v>
      </c>
      <c r="Y1076" s="499"/>
      <c r="Z1076" s="499"/>
    </row>
    <row r="1077" spans="3:26" ht="20" thickBot="1" x14ac:dyDescent="0.25">
      <c r="C1077" s="600"/>
      <c r="D1077" s="632" t="s">
        <v>435</v>
      </c>
      <c r="E1077" s="633">
        <v>0.64583333333333337</v>
      </c>
      <c r="F1077" s="634"/>
      <c r="G1077" s="635"/>
      <c r="H1077" s="636">
        <v>0.4375</v>
      </c>
      <c r="I1077" s="617"/>
      <c r="J1077" s="617"/>
      <c r="K1077" s="618"/>
      <c r="L1077" s="637">
        <v>0.875</v>
      </c>
      <c r="M1077" s="638">
        <v>0.72916666666666663</v>
      </c>
      <c r="N1077" s="600"/>
      <c r="O1077" s="639" t="s">
        <v>812</v>
      </c>
      <c r="P1077" s="639">
        <v>0.1</v>
      </c>
      <c r="Q1077" s="640">
        <v>4.0000000000000002E-4</v>
      </c>
      <c r="R1077" s="641">
        <v>2.0000000000000001E-4</v>
      </c>
      <c r="S1077" s="642">
        <v>1</v>
      </c>
      <c r="T1077" s="643">
        <v>8.0000000000000004E-4</v>
      </c>
      <c r="U1077" s="644">
        <v>-40.175824175821617</v>
      </c>
      <c r="V1077" s="645">
        <v>60.5</v>
      </c>
      <c r="W1077" s="646">
        <v>2.48</v>
      </c>
      <c r="X1077" s="647">
        <v>99.636043956037611</v>
      </c>
      <c r="Y1077" s="517"/>
      <c r="Z1077" s="517"/>
    </row>
    <row r="1078" spans="3:26" ht="20" thickBot="1" x14ac:dyDescent="0.25">
      <c r="C1078" s="600"/>
      <c r="D1078" s="648" t="s">
        <v>436</v>
      </c>
      <c r="E1078" s="649" t="s">
        <v>29</v>
      </c>
      <c r="F1078" s="649" t="s">
        <v>28</v>
      </c>
      <c r="G1078" s="650" t="s">
        <v>27</v>
      </c>
      <c r="H1078" s="651" t="s">
        <v>793</v>
      </c>
      <c r="I1078" s="617"/>
      <c r="J1078" s="617"/>
      <c r="K1078" s="618"/>
      <c r="L1078" s="652" t="s">
        <v>1002</v>
      </c>
      <c r="M1078" s="651"/>
      <c r="N1078" s="600"/>
      <c r="O1078" s="489"/>
      <c r="P1078" s="489"/>
      <c r="Q1078" s="489"/>
      <c r="R1078" s="489"/>
      <c r="S1078" s="583"/>
      <c r="T1078" s="489"/>
      <c r="U1078" s="653"/>
      <c r="V1078" s="654"/>
      <c r="W1078" s="655"/>
      <c r="X1078" s="653"/>
      <c r="Y1078" s="489"/>
      <c r="Z1078" s="489"/>
    </row>
    <row r="1079" spans="3:26" ht="19" x14ac:dyDescent="0.2">
      <c r="C1079" s="600"/>
      <c r="D1079" s="574">
        <v>45616</v>
      </c>
      <c r="E1079" s="656" t="s">
        <v>1125</v>
      </c>
      <c r="F1079" s="656" t="s">
        <v>1030</v>
      </c>
      <c r="G1079" s="656" t="s">
        <v>1029</v>
      </c>
      <c r="H1079" s="527">
        <v>0.64583333333333337</v>
      </c>
      <c r="I1079" s="617"/>
      <c r="J1079" s="617"/>
      <c r="K1079" s="618"/>
      <c r="L1079" s="657">
        <v>0.4375</v>
      </c>
      <c r="M1079" s="658"/>
      <c r="N1079" s="600"/>
      <c r="O1079" s="489"/>
      <c r="P1079" s="489"/>
      <c r="Q1079" s="489"/>
      <c r="R1079" s="489"/>
      <c r="S1079" s="583"/>
      <c r="T1079" s="489"/>
      <c r="U1079" s="489"/>
      <c r="V1079" s="489"/>
      <c r="W1079" s="655"/>
      <c r="X1079" s="489"/>
      <c r="Y1079" s="489"/>
      <c r="Z1079" s="489"/>
    </row>
    <row r="1080" spans="3:26" ht="19" x14ac:dyDescent="0.2">
      <c r="C1080" s="600"/>
      <c r="D1080" s="574">
        <v>45610</v>
      </c>
      <c r="E1080" s="656" t="s">
        <v>1029</v>
      </c>
      <c r="F1080" s="656" t="s">
        <v>1030</v>
      </c>
      <c r="G1080" s="656" t="s">
        <v>988</v>
      </c>
      <c r="H1080" s="527">
        <v>0.66666666666666663</v>
      </c>
      <c r="I1080" s="617"/>
      <c r="J1080" s="617"/>
      <c r="K1080" s="618"/>
      <c r="L1080" s="657">
        <v>0.45833333333333331</v>
      </c>
      <c r="M1080" s="659"/>
      <c r="N1080" s="600"/>
      <c r="O1080" s="535" t="s">
        <v>813</v>
      </c>
      <c r="P1080" s="660">
        <v>-0.1</v>
      </c>
      <c r="Q1080" s="661">
        <v>3.4333333333333329E-4</v>
      </c>
      <c r="R1080" s="611">
        <v>2.0000000000000001E-4</v>
      </c>
      <c r="S1080" s="662">
        <v>-1</v>
      </c>
      <c r="T1080" s="624">
        <v>7.1499999999999992E-4</v>
      </c>
      <c r="U1080" s="663">
        <v>-35.907142857140563</v>
      </c>
      <c r="V1080" s="664">
        <v>60.5</v>
      </c>
      <c r="W1080" s="665">
        <v>2</v>
      </c>
      <c r="X1080" s="612">
        <v>71.814285714281127</v>
      </c>
      <c r="Y1080" s="534" t="s">
        <v>814</v>
      </c>
      <c r="Z1080" s="534"/>
    </row>
    <row r="1081" spans="3:26" ht="19" x14ac:dyDescent="0.2">
      <c r="C1081" s="600"/>
      <c r="D1081" s="574">
        <v>45602</v>
      </c>
      <c r="E1081" s="656" t="s">
        <v>988</v>
      </c>
      <c r="F1081" s="656" t="s">
        <v>989</v>
      </c>
      <c r="G1081" s="656" t="s">
        <v>990</v>
      </c>
      <c r="H1081" s="527">
        <v>0.64583333333333337</v>
      </c>
      <c r="I1081" s="617"/>
      <c r="J1081" s="617"/>
      <c r="K1081" s="618"/>
      <c r="L1081" s="657">
        <v>0.4375</v>
      </c>
      <c r="M1081" s="619"/>
      <c r="N1081" s="600"/>
      <c r="O1081" s="535" t="s">
        <v>813</v>
      </c>
      <c r="P1081" s="660">
        <v>0.1</v>
      </c>
      <c r="Q1081" s="661">
        <v>3.4333333333333329E-4</v>
      </c>
      <c r="R1081" s="611">
        <v>0</v>
      </c>
      <c r="S1081" s="662">
        <v>1</v>
      </c>
      <c r="T1081" s="624">
        <v>7.1499999999999992E-4</v>
      </c>
      <c r="U1081" s="663">
        <v>-35.907142857140563</v>
      </c>
      <c r="V1081" s="664">
        <v>60.5</v>
      </c>
      <c r="W1081" s="665">
        <v>2</v>
      </c>
      <c r="X1081" s="612">
        <v>71.814285714281127</v>
      </c>
      <c r="Y1081" s="534" t="s">
        <v>814</v>
      </c>
      <c r="Z1081" s="534"/>
    </row>
    <row r="1082" spans="3:26" ht="19" x14ac:dyDescent="0.2">
      <c r="C1082" s="600"/>
      <c r="D1082" s="574">
        <v>45595</v>
      </c>
      <c r="E1082" s="656" t="s">
        <v>990</v>
      </c>
      <c r="F1082" s="656" t="s">
        <v>991</v>
      </c>
      <c r="G1082" s="656" t="s">
        <v>992</v>
      </c>
      <c r="H1082" s="527">
        <v>0.60416666666666663</v>
      </c>
      <c r="I1082" s="617"/>
      <c r="J1082" s="617"/>
      <c r="K1082" s="618"/>
      <c r="L1082" s="657">
        <v>0.39583333333333331</v>
      </c>
      <c r="M1082" s="619"/>
      <c r="N1082" s="600"/>
      <c r="O1082" s="535"/>
      <c r="P1082" s="535"/>
      <c r="Q1082" s="661"/>
      <c r="R1082" s="611"/>
      <c r="S1082" s="534"/>
      <c r="T1082" s="535"/>
      <c r="U1082" s="663"/>
      <c r="V1082" s="664"/>
      <c r="W1082" s="534"/>
      <c r="X1082" s="612"/>
      <c r="Y1082" s="534"/>
      <c r="Z1082" s="534"/>
    </row>
    <row r="1083" spans="3:26" ht="19" x14ac:dyDescent="0.2">
      <c r="C1083" s="600"/>
      <c r="D1083" s="574">
        <v>45588</v>
      </c>
      <c r="E1083" s="656" t="s">
        <v>992</v>
      </c>
      <c r="F1083" s="656" t="s">
        <v>993</v>
      </c>
      <c r="G1083" s="656" t="s">
        <v>994</v>
      </c>
      <c r="H1083" s="527">
        <v>0.60416666666666663</v>
      </c>
      <c r="I1083" s="617"/>
      <c r="J1083" s="617"/>
      <c r="K1083" s="618"/>
      <c r="L1083" s="657">
        <v>0.39583333333333331</v>
      </c>
      <c r="M1083" s="619"/>
      <c r="N1083" s="600"/>
      <c r="O1083" s="666"/>
      <c r="P1083" s="666"/>
      <c r="Q1083" s="666"/>
      <c r="R1083" s="666"/>
      <c r="S1083" s="666"/>
      <c r="T1083" s="666"/>
      <c r="U1083" s="666"/>
      <c r="V1083" s="666"/>
      <c r="W1083" s="666"/>
      <c r="X1083" s="666"/>
      <c r="Y1083" s="666"/>
      <c r="Z1083" s="666"/>
    </row>
    <row r="1084" spans="3:26" ht="20" thickBot="1" x14ac:dyDescent="0.25">
      <c r="C1084" s="600"/>
      <c r="D1084" s="667">
        <v>45582</v>
      </c>
      <c r="E1084" s="668" t="s">
        <v>994</v>
      </c>
      <c r="F1084" s="668" t="s">
        <v>995</v>
      </c>
      <c r="G1084" s="668" t="s">
        <v>996</v>
      </c>
      <c r="H1084" s="527">
        <v>0.625</v>
      </c>
      <c r="I1084" s="669"/>
      <c r="J1084" s="669"/>
      <c r="K1084" s="670"/>
      <c r="L1084" s="671">
        <v>0.41666666666666669</v>
      </c>
      <c r="M1084" s="672"/>
      <c r="N1084" s="600"/>
      <c r="O1084" s="666"/>
      <c r="P1084" s="666"/>
      <c r="Q1084" s="666"/>
      <c r="R1084" s="666"/>
      <c r="S1084" s="666"/>
      <c r="T1084" s="666"/>
      <c r="U1084" s="666"/>
      <c r="V1084" s="666"/>
      <c r="W1084" s="666"/>
      <c r="X1084" s="666"/>
      <c r="Y1084" s="666"/>
      <c r="Z1084" s="666"/>
    </row>
    <row r="1085" spans="3:26" ht="58" thickBot="1" x14ac:dyDescent="0.25">
      <c r="C1085" s="452">
        <v>12</v>
      </c>
      <c r="D1085" s="453" t="s">
        <v>30</v>
      </c>
      <c r="E1085" s="454" t="s">
        <v>7</v>
      </c>
      <c r="F1085" s="455"/>
      <c r="G1085" s="456"/>
      <c r="H1085" s="457" t="s">
        <v>790</v>
      </c>
      <c r="I1085" s="458" t="s">
        <v>633</v>
      </c>
      <c r="J1085" s="458"/>
      <c r="K1085" s="459"/>
      <c r="L1085" s="460" t="s">
        <v>430</v>
      </c>
      <c r="M1085" s="461" t="s">
        <v>431</v>
      </c>
      <c r="N1085" s="462" t="s">
        <v>105</v>
      </c>
      <c r="O1085" s="463" t="s">
        <v>800</v>
      </c>
      <c r="P1085" s="463" t="s">
        <v>801</v>
      </c>
      <c r="Q1085" s="463" t="s">
        <v>802</v>
      </c>
      <c r="R1085" s="463" t="s">
        <v>803</v>
      </c>
      <c r="S1085" s="463" t="s">
        <v>804</v>
      </c>
      <c r="T1085" s="463" t="s">
        <v>805</v>
      </c>
      <c r="U1085" s="463" t="s">
        <v>806</v>
      </c>
      <c r="V1085" s="463" t="s">
        <v>807</v>
      </c>
      <c r="W1085" s="463" t="s">
        <v>808</v>
      </c>
      <c r="X1085" s="463" t="s">
        <v>809</v>
      </c>
      <c r="Y1085" s="463" t="s">
        <v>75</v>
      </c>
      <c r="Z1085" s="463" t="s">
        <v>75</v>
      </c>
    </row>
    <row r="1086" spans="3:26" ht="38" x14ac:dyDescent="0.2">
      <c r="C1086" s="462"/>
      <c r="D1086" s="541" t="s">
        <v>432</v>
      </c>
      <c r="E1086" s="542"/>
      <c r="F1086" s="543"/>
      <c r="G1086" s="544"/>
      <c r="H1086" s="468" t="s">
        <v>1129</v>
      </c>
      <c r="I1086" s="469" t="s">
        <v>1065</v>
      </c>
      <c r="J1086" s="469"/>
      <c r="K1086" s="470"/>
      <c r="L1086" s="471"/>
      <c r="M1086" s="472" t="s">
        <v>7</v>
      </c>
      <c r="N1086" s="462"/>
      <c r="O1086" s="473" t="s">
        <v>810</v>
      </c>
      <c r="P1086" s="474">
        <v>0.1</v>
      </c>
      <c r="Q1086" s="475">
        <v>2.7E-2</v>
      </c>
      <c r="R1086" s="476">
        <v>1.5999999999991132E-2</v>
      </c>
      <c r="S1086" s="477"/>
      <c r="T1086" s="473">
        <v>5.6499999999991134E-2</v>
      </c>
      <c r="U1086" s="475">
        <v>-13.31</v>
      </c>
      <c r="V1086" s="474">
        <v>91.8</v>
      </c>
      <c r="W1086" s="478">
        <v>2</v>
      </c>
      <c r="X1086" s="479">
        <v>26.62</v>
      </c>
      <c r="Y1086" s="477"/>
      <c r="Z1086" s="477"/>
    </row>
    <row r="1087" spans="3:26" ht="38" x14ac:dyDescent="0.2">
      <c r="C1087" s="462"/>
      <c r="D1087" s="545" t="s">
        <v>433</v>
      </c>
      <c r="E1087" s="546"/>
      <c r="F1087" s="547"/>
      <c r="G1087" s="548"/>
      <c r="H1087" s="468" t="s">
        <v>1129</v>
      </c>
      <c r="I1087" s="484"/>
      <c r="J1087" s="484"/>
      <c r="K1087" s="485"/>
      <c r="L1087" s="471"/>
      <c r="M1087" s="486"/>
      <c r="N1087" s="462"/>
      <c r="O1087" s="462"/>
      <c r="P1087" s="462"/>
      <c r="Q1087" s="462"/>
      <c r="R1087" s="487"/>
      <c r="S1087" s="488"/>
      <c r="T1087" s="462"/>
      <c r="U1087" s="462"/>
      <c r="V1087" s="462"/>
      <c r="W1087" s="488"/>
      <c r="X1087" s="488"/>
      <c r="Y1087" s="489"/>
      <c r="Z1087" s="489"/>
    </row>
    <row r="1088" spans="3:26" ht="19" x14ac:dyDescent="0.2">
      <c r="C1088" s="462"/>
      <c r="D1088" s="545" t="s">
        <v>434</v>
      </c>
      <c r="E1088" s="568"/>
      <c r="F1088" s="569"/>
      <c r="G1088" s="570"/>
      <c r="H1088" s="468"/>
      <c r="I1088" s="484"/>
      <c r="J1088" s="484"/>
      <c r="K1088" s="485"/>
      <c r="L1088" s="471"/>
      <c r="M1088" s="486"/>
      <c r="N1088" s="462"/>
      <c r="O1088" s="490" t="s">
        <v>811</v>
      </c>
      <c r="P1088" s="491">
        <v>0.1</v>
      </c>
      <c r="Q1088" s="492">
        <v>4.0500000000000001E-2</v>
      </c>
      <c r="R1088" s="493">
        <v>1.7000000000000001E-2</v>
      </c>
      <c r="S1088" s="494">
        <v>1</v>
      </c>
      <c r="T1088" s="490">
        <v>7.775E-2</v>
      </c>
      <c r="U1088" s="495">
        <v>-18.315973451330308</v>
      </c>
      <c r="V1088" s="496">
        <v>60.5</v>
      </c>
      <c r="W1088" s="497">
        <v>3.27</v>
      </c>
      <c r="X1088" s="498">
        <v>59.893233185850107</v>
      </c>
      <c r="Y1088" s="499"/>
      <c r="Z1088" s="499">
        <v>4.4350000000000005</v>
      </c>
    </row>
    <row r="1089" spans="3:26" ht="20" thickBot="1" x14ac:dyDescent="0.25">
      <c r="C1089" s="462"/>
      <c r="D1089" s="549" t="s">
        <v>435</v>
      </c>
      <c r="E1089" s="550">
        <v>0.79166666666666663</v>
      </c>
      <c r="F1089" s="551"/>
      <c r="G1089" s="552"/>
      <c r="H1089" s="504">
        <v>0.58333333333333326</v>
      </c>
      <c r="I1089" s="484"/>
      <c r="J1089" s="484"/>
      <c r="K1089" s="485"/>
      <c r="L1089" s="505">
        <v>2.0833333333333332E-2</v>
      </c>
      <c r="M1089" s="506">
        <v>0.875</v>
      </c>
      <c r="N1089" s="462"/>
      <c r="O1089" s="507" t="s">
        <v>812</v>
      </c>
      <c r="P1089" s="508">
        <v>0.1</v>
      </c>
      <c r="Q1089" s="509">
        <v>2.5266666666666663E-2</v>
      </c>
      <c r="R1089" s="510">
        <v>1.7000000000000001E-2</v>
      </c>
      <c r="S1089" s="511">
        <v>1</v>
      </c>
      <c r="T1089" s="512">
        <v>5.4899999999999997E-2</v>
      </c>
      <c r="U1089" s="513">
        <v>-12.933079646019728</v>
      </c>
      <c r="V1089" s="514">
        <v>60.5</v>
      </c>
      <c r="W1089" s="589">
        <v>2.2200000000000002</v>
      </c>
      <c r="X1089" s="516">
        <v>28.711436814163797</v>
      </c>
      <c r="Y1089" s="517"/>
      <c r="Z1089" s="517"/>
    </row>
    <row r="1090" spans="3:26" ht="20" thickBot="1" x14ac:dyDescent="0.25">
      <c r="C1090" s="462"/>
      <c r="D1090" s="553" t="s">
        <v>436</v>
      </c>
      <c r="E1090" s="554" t="s">
        <v>29</v>
      </c>
      <c r="F1090" s="554" t="s">
        <v>28</v>
      </c>
      <c r="G1090" s="555" t="s">
        <v>27</v>
      </c>
      <c r="H1090" s="521" t="s">
        <v>793</v>
      </c>
      <c r="I1090" s="484"/>
      <c r="J1090" s="484"/>
      <c r="K1090" s="485"/>
      <c r="L1090" s="522" t="s">
        <v>1002</v>
      </c>
      <c r="M1090" s="521"/>
      <c r="N1090" s="462"/>
      <c r="O1090" s="488"/>
      <c r="P1090" s="489"/>
      <c r="Q1090" s="488"/>
      <c r="R1090" s="488"/>
      <c r="S1090" s="488"/>
      <c r="T1090" s="488"/>
      <c r="U1090" s="523"/>
      <c r="V1090" s="524"/>
      <c r="W1090" s="488"/>
      <c r="X1090" s="523"/>
      <c r="Y1090" s="489"/>
      <c r="Z1090" s="489"/>
    </row>
    <row r="1091" spans="3:26" ht="19" x14ac:dyDescent="0.2">
      <c r="C1091" s="462"/>
      <c r="D1091" s="556">
        <v>45574</v>
      </c>
      <c r="E1091" s="557" t="s">
        <v>1090</v>
      </c>
      <c r="F1091" s="557" t="s">
        <v>754</v>
      </c>
      <c r="G1091" s="557" t="s">
        <v>1090</v>
      </c>
      <c r="H1091" s="527">
        <v>0.54166666666666663</v>
      </c>
      <c r="I1091" s="484"/>
      <c r="J1091" s="484"/>
      <c r="K1091" s="485"/>
      <c r="L1091" s="673"/>
      <c r="M1091" s="528"/>
      <c r="N1091" s="462"/>
      <c r="O1091" s="488"/>
      <c r="P1091" s="489"/>
      <c r="Q1091" s="488"/>
      <c r="R1091" s="488"/>
      <c r="S1091" s="488"/>
      <c r="T1091" s="488"/>
      <c r="U1091" s="488"/>
      <c r="V1091" s="488"/>
      <c r="W1091" s="488"/>
      <c r="X1091" s="488"/>
      <c r="Y1091" s="489"/>
      <c r="Z1091" s="489"/>
    </row>
    <row r="1092" spans="3:26" ht="19" x14ac:dyDescent="0.2">
      <c r="C1092" s="462"/>
      <c r="D1092" s="556">
        <v>45525</v>
      </c>
      <c r="E1092" s="557" t="s">
        <v>1090</v>
      </c>
      <c r="F1092" s="557" t="s">
        <v>754</v>
      </c>
      <c r="G1092" s="557" t="s">
        <v>1090</v>
      </c>
      <c r="H1092" s="527">
        <v>0.54166666666666663</v>
      </c>
      <c r="I1092" s="484"/>
      <c r="J1092" s="484"/>
      <c r="K1092" s="485"/>
      <c r="L1092" s="673"/>
      <c r="M1092" s="529"/>
      <c r="N1092" s="462"/>
      <c r="O1092" s="473" t="s">
        <v>813</v>
      </c>
      <c r="P1092" s="474">
        <v>0.1</v>
      </c>
      <c r="Q1092" s="530">
        <v>3.2883333333333334E-2</v>
      </c>
      <c r="R1092" s="531">
        <v>1.7000000000000001E-2</v>
      </c>
      <c r="S1092" s="477">
        <v>1</v>
      </c>
      <c r="T1092" s="490">
        <v>6.6324999999999995E-2</v>
      </c>
      <c r="U1092" s="532">
        <v>-15.624526548675018</v>
      </c>
      <c r="V1092" s="533">
        <v>60.5</v>
      </c>
      <c r="W1092" s="477">
        <v>2</v>
      </c>
      <c r="X1092" s="479">
        <v>31.249053097350036</v>
      </c>
      <c r="Y1092" s="534"/>
      <c r="Z1092" s="534"/>
    </row>
    <row r="1093" spans="3:26" ht="19" x14ac:dyDescent="0.2">
      <c r="C1093" s="462"/>
      <c r="D1093" s="556">
        <v>45476</v>
      </c>
      <c r="E1093" s="557" t="s">
        <v>1090</v>
      </c>
      <c r="F1093" s="557" t="s">
        <v>754</v>
      </c>
      <c r="G1093" s="557" t="s">
        <v>1090</v>
      </c>
      <c r="H1093" s="527">
        <v>0.54166666666666663</v>
      </c>
      <c r="I1093" s="484"/>
      <c r="J1093" s="484"/>
      <c r="K1093" s="485"/>
      <c r="L1093" s="673"/>
      <c r="M1093" s="486"/>
      <c r="N1093" s="462"/>
      <c r="O1093" s="473"/>
      <c r="P1093" s="474"/>
      <c r="Q1093" s="530"/>
      <c r="R1093" s="531"/>
      <c r="S1093" s="477"/>
      <c r="T1093" s="490"/>
      <c r="U1093" s="532"/>
      <c r="V1093" s="533"/>
      <c r="W1093" s="477"/>
      <c r="X1093" s="479"/>
      <c r="Y1093" s="534"/>
      <c r="Z1093" s="534"/>
    </row>
    <row r="1094" spans="3:26" ht="19" x14ac:dyDescent="0.2">
      <c r="C1094" s="462"/>
      <c r="D1094" s="556">
        <v>45434</v>
      </c>
      <c r="E1094" s="557" t="s">
        <v>1090</v>
      </c>
      <c r="F1094" s="557" t="s">
        <v>754</v>
      </c>
      <c r="G1094" s="557" t="s">
        <v>1090</v>
      </c>
      <c r="H1094" s="527">
        <v>0.54166666666666663</v>
      </c>
      <c r="I1094" s="484"/>
      <c r="J1094" s="484"/>
      <c r="K1094" s="485"/>
      <c r="L1094" s="673"/>
      <c r="M1094" s="486"/>
      <c r="N1094" s="462"/>
      <c r="O1094" s="473"/>
      <c r="P1094" s="535"/>
      <c r="Q1094" s="530"/>
      <c r="R1094" s="531"/>
      <c r="S1094" s="477"/>
      <c r="T1094" s="535"/>
      <c r="U1094" s="532"/>
      <c r="V1094" s="533"/>
      <c r="W1094" s="477"/>
      <c r="X1094" s="479"/>
      <c r="Y1094" s="534"/>
      <c r="Z1094" s="534"/>
    </row>
    <row r="1095" spans="3:26" ht="19" x14ac:dyDescent="0.2">
      <c r="C1095" s="462"/>
      <c r="D1095" s="556">
        <v>45392</v>
      </c>
      <c r="E1095" s="557" t="s">
        <v>1090</v>
      </c>
      <c r="F1095" s="557" t="s">
        <v>754</v>
      </c>
      <c r="G1095" s="557" t="s">
        <v>1090</v>
      </c>
      <c r="H1095" s="527">
        <v>0.54166666666666663</v>
      </c>
      <c r="I1095" s="484"/>
      <c r="J1095" s="484"/>
      <c r="K1095" s="485"/>
      <c r="L1095" s="673"/>
      <c r="M1095" s="486"/>
      <c r="N1095" s="462"/>
      <c r="O1095" s="536"/>
      <c r="P1095" s="536"/>
      <c r="Q1095" s="536"/>
      <c r="R1095" s="536"/>
      <c r="S1095" s="536"/>
      <c r="T1095" s="536"/>
      <c r="U1095" s="536"/>
      <c r="V1095" s="536"/>
      <c r="W1095" s="536"/>
      <c r="X1095" s="536"/>
      <c r="Y1095" s="536"/>
      <c r="Z1095" s="536"/>
    </row>
    <row r="1096" spans="3:26" ht="20" thickBot="1" x14ac:dyDescent="0.25">
      <c r="C1096" s="462"/>
      <c r="D1096" s="556">
        <v>45343</v>
      </c>
      <c r="E1096" s="557" t="s">
        <v>1090</v>
      </c>
      <c r="F1096" s="557" t="s">
        <v>754</v>
      </c>
      <c r="G1096" s="557" t="s">
        <v>1090</v>
      </c>
      <c r="H1096" s="527">
        <v>0.58333333333333337</v>
      </c>
      <c r="I1096" s="537"/>
      <c r="J1096" s="537"/>
      <c r="K1096" s="538"/>
      <c r="L1096" s="673"/>
      <c r="M1096" s="540"/>
      <c r="N1096" s="462"/>
      <c r="O1096" s="536"/>
      <c r="P1096" s="536"/>
      <c r="Q1096" s="536"/>
      <c r="R1096" s="536"/>
      <c r="S1096" s="536"/>
      <c r="T1096" s="536"/>
      <c r="U1096" s="536"/>
      <c r="V1096" s="536"/>
      <c r="W1096" s="536"/>
      <c r="X1096" s="536"/>
      <c r="Y1096" s="536"/>
      <c r="Z1096" s="536"/>
    </row>
    <row r="1097" spans="3:26" ht="58" thickBot="1" x14ac:dyDescent="0.25">
      <c r="C1097" s="452">
        <v>12</v>
      </c>
      <c r="D1097" s="453" t="s">
        <v>30</v>
      </c>
      <c r="E1097" s="454" t="s">
        <v>1080</v>
      </c>
      <c r="F1097" s="455"/>
      <c r="G1097" s="456"/>
      <c r="H1097" s="457" t="s">
        <v>790</v>
      </c>
      <c r="I1097" s="458" t="s">
        <v>633</v>
      </c>
      <c r="J1097" s="458"/>
      <c r="K1097" s="459"/>
      <c r="L1097" s="460" t="s">
        <v>430</v>
      </c>
      <c r="M1097" s="461" t="s">
        <v>431</v>
      </c>
      <c r="N1097" s="462" t="s">
        <v>105</v>
      </c>
      <c r="O1097" s="463" t="s">
        <v>800</v>
      </c>
      <c r="P1097" s="463" t="s">
        <v>801</v>
      </c>
      <c r="Q1097" s="463" t="s">
        <v>802</v>
      </c>
      <c r="R1097" s="463" t="s">
        <v>803</v>
      </c>
      <c r="S1097" s="463" t="s">
        <v>804</v>
      </c>
      <c r="T1097" s="463" t="s">
        <v>805</v>
      </c>
      <c r="U1097" s="463" t="s">
        <v>806</v>
      </c>
      <c r="V1097" s="463" t="s">
        <v>807</v>
      </c>
      <c r="W1097" s="463" t="s">
        <v>808</v>
      </c>
      <c r="X1097" s="463" t="s">
        <v>809</v>
      </c>
      <c r="Y1097" s="463" t="s">
        <v>75</v>
      </c>
      <c r="Z1097" s="463" t="s">
        <v>75</v>
      </c>
    </row>
    <row r="1098" spans="3:26" ht="38" x14ac:dyDescent="0.2">
      <c r="C1098" s="462"/>
      <c r="D1098" s="541" t="s">
        <v>432</v>
      </c>
      <c r="E1098" s="542"/>
      <c r="F1098" s="543"/>
      <c r="G1098" s="544"/>
      <c r="H1098" s="468" t="s">
        <v>909</v>
      </c>
      <c r="I1098" s="469" t="s">
        <v>1081</v>
      </c>
      <c r="J1098" s="469"/>
      <c r="K1098" s="470"/>
      <c r="L1098" s="471"/>
      <c r="M1098" s="472" t="s">
        <v>1080</v>
      </c>
      <c r="N1098" s="462"/>
      <c r="O1098" s="473" t="s">
        <v>810</v>
      </c>
      <c r="P1098" s="474">
        <v>0.1</v>
      </c>
      <c r="Q1098" s="475">
        <v>4.9000000000000002E-2</v>
      </c>
      <c r="R1098" s="476">
        <v>1.5000000000014779E-2</v>
      </c>
      <c r="S1098" s="477">
        <v>0</v>
      </c>
      <c r="T1098" s="473">
        <v>5.9000000000010003E-2</v>
      </c>
      <c r="U1098" s="475">
        <v>-21.14</v>
      </c>
      <c r="V1098" s="474">
        <v>60.5</v>
      </c>
      <c r="W1098" s="478">
        <v>2</v>
      </c>
      <c r="X1098" s="479"/>
      <c r="Y1098" s="477"/>
      <c r="Z1098" s="477"/>
    </row>
    <row r="1099" spans="3:26" ht="38" x14ac:dyDescent="0.2">
      <c r="C1099" s="462"/>
      <c r="D1099" s="545" t="s">
        <v>433</v>
      </c>
      <c r="E1099" s="546"/>
      <c r="F1099" s="547"/>
      <c r="G1099" s="548"/>
      <c r="H1099" s="575" t="s">
        <v>910</v>
      </c>
      <c r="I1099" s="484"/>
      <c r="J1099" s="484"/>
      <c r="K1099" s="485"/>
      <c r="L1099" s="471"/>
      <c r="M1099" s="486"/>
      <c r="N1099" s="462"/>
      <c r="O1099" s="462"/>
      <c r="P1099" s="462"/>
      <c r="Q1099" s="462"/>
      <c r="R1099" s="487"/>
      <c r="S1099" s="488"/>
      <c r="T1099" s="462"/>
      <c r="U1099" s="462"/>
      <c r="V1099" s="462"/>
      <c r="W1099" s="462"/>
      <c r="X1099" s="488"/>
      <c r="Y1099" s="489"/>
      <c r="Z1099" s="489"/>
    </row>
    <row r="1100" spans="3:26" ht="19" x14ac:dyDescent="0.2">
      <c r="C1100" s="462"/>
      <c r="D1100" s="545" t="s">
        <v>434</v>
      </c>
      <c r="E1100" s="546">
        <v>4.0000000000000001E-3</v>
      </c>
      <c r="F1100" s="547"/>
      <c r="G1100" s="548"/>
      <c r="H1100" s="468"/>
      <c r="I1100" s="484"/>
      <c r="J1100" s="484"/>
      <c r="K1100" s="485"/>
      <c r="L1100" s="471"/>
      <c r="M1100" s="486"/>
      <c r="N1100" s="462"/>
      <c r="O1100" s="490" t="s">
        <v>811</v>
      </c>
      <c r="P1100" s="491">
        <v>0.1</v>
      </c>
      <c r="Q1100" s="492">
        <v>9.1399999999999995E-2</v>
      </c>
      <c r="R1100" s="493">
        <v>0.02</v>
      </c>
      <c r="S1100" s="579">
        <v>1</v>
      </c>
      <c r="T1100" s="490">
        <v>0.15709999999999999</v>
      </c>
      <c r="U1100" s="495">
        <v>-56.289728813549779</v>
      </c>
      <c r="V1100" s="496">
        <v>60.5</v>
      </c>
      <c r="W1100" s="580">
        <v>7.02</v>
      </c>
      <c r="X1100" s="498">
        <v>395.15389627111944</v>
      </c>
      <c r="Y1100" s="499"/>
      <c r="Z1100" s="499"/>
    </row>
    <row r="1101" spans="3:26" ht="20" thickBot="1" x14ac:dyDescent="0.25">
      <c r="C1101" s="462"/>
      <c r="D1101" s="549" t="s">
        <v>435</v>
      </c>
      <c r="E1101" s="550">
        <v>0.54166666666666674</v>
      </c>
      <c r="F1101" s="551"/>
      <c r="G1101" s="552"/>
      <c r="H1101" s="504">
        <v>0.33333333333333337</v>
      </c>
      <c r="I1101" s="484"/>
      <c r="J1101" s="484"/>
      <c r="K1101" s="485"/>
      <c r="L1101" s="505">
        <v>0.77083333333333337</v>
      </c>
      <c r="M1101" s="506">
        <v>0.625</v>
      </c>
      <c r="N1101" s="462"/>
      <c r="O1101" s="507" t="s">
        <v>812</v>
      </c>
      <c r="P1101" s="508">
        <v>0.1</v>
      </c>
      <c r="Q1101" s="509">
        <v>5.673333333333333E-2</v>
      </c>
      <c r="R1101" s="510">
        <v>0.02</v>
      </c>
      <c r="S1101" s="581">
        <v>1</v>
      </c>
      <c r="T1101" s="512">
        <v>0.1051</v>
      </c>
      <c r="U1101" s="513">
        <v>-37.657864406773278</v>
      </c>
      <c r="V1101" s="514">
        <v>60.5</v>
      </c>
      <c r="W1101" s="582">
        <v>2.31</v>
      </c>
      <c r="X1101" s="516">
        <v>86.989666779646271</v>
      </c>
      <c r="Y1101" s="517"/>
      <c r="Z1101" s="517"/>
    </row>
    <row r="1102" spans="3:26" ht="20" thickBot="1" x14ac:dyDescent="0.25">
      <c r="C1102" s="462"/>
      <c r="D1102" s="553" t="s">
        <v>436</v>
      </c>
      <c r="E1102" s="554" t="s">
        <v>29</v>
      </c>
      <c r="F1102" s="554" t="s">
        <v>28</v>
      </c>
      <c r="G1102" s="555" t="s">
        <v>27</v>
      </c>
      <c r="H1102" s="521" t="s">
        <v>793</v>
      </c>
      <c r="I1102" s="484"/>
      <c r="J1102" s="484"/>
      <c r="K1102" s="485"/>
      <c r="L1102" s="522" t="s">
        <v>1002</v>
      </c>
      <c r="M1102" s="521"/>
      <c r="N1102" s="462"/>
      <c r="O1102" s="488"/>
      <c r="P1102" s="489"/>
      <c r="Q1102" s="488"/>
      <c r="R1102" s="488"/>
      <c r="S1102" s="583"/>
      <c r="T1102" s="488"/>
      <c r="U1102" s="523"/>
      <c r="V1102" s="524"/>
      <c r="W1102" s="584"/>
      <c r="X1102" s="523"/>
      <c r="Y1102" s="489"/>
      <c r="Z1102" s="489"/>
    </row>
    <row r="1103" spans="3:26" ht="19" x14ac:dyDescent="0.2">
      <c r="C1103" s="462"/>
      <c r="D1103" s="556">
        <v>45608</v>
      </c>
      <c r="E1103" s="674">
        <v>4.0000000000000001E-3</v>
      </c>
      <c r="F1103" s="674" t="s">
        <v>452</v>
      </c>
      <c r="G1103" s="674">
        <v>0</v>
      </c>
      <c r="H1103" s="588">
        <v>0.29166666666666674</v>
      </c>
      <c r="I1103" s="484"/>
      <c r="J1103" s="484"/>
      <c r="K1103" s="485"/>
      <c r="L1103" s="673">
        <v>0.52083333333333337</v>
      </c>
      <c r="M1103" s="588">
        <v>0.29166666666666674</v>
      </c>
      <c r="N1103" s="462"/>
      <c r="O1103" s="488"/>
      <c r="P1103" s="489"/>
      <c r="Q1103" s="488"/>
      <c r="R1103" s="488"/>
      <c r="S1103" s="583"/>
      <c r="T1103" s="488"/>
      <c r="U1103" s="488"/>
      <c r="V1103" s="488"/>
      <c r="W1103" s="584"/>
      <c r="X1103" s="488"/>
      <c r="Y1103" s="489"/>
      <c r="Z1103" s="489"/>
    </row>
    <row r="1104" spans="3:26" ht="19" x14ac:dyDescent="0.2">
      <c r="C1104" s="462"/>
      <c r="D1104" s="556">
        <v>45595</v>
      </c>
      <c r="E1104" s="674">
        <v>4.0000000000000001E-3</v>
      </c>
      <c r="F1104" s="674" t="s">
        <v>460</v>
      </c>
      <c r="G1104" s="674">
        <v>0</v>
      </c>
      <c r="H1104" s="588">
        <v>0.54166666666666674</v>
      </c>
      <c r="I1104" s="484"/>
      <c r="J1104" s="484"/>
      <c r="K1104" s="485"/>
      <c r="L1104" s="673">
        <v>0.77083333333333337</v>
      </c>
      <c r="M1104" s="588">
        <v>0.54166666666666674</v>
      </c>
      <c r="N1104" s="462"/>
      <c r="O1104" s="473" t="s">
        <v>813</v>
      </c>
      <c r="P1104" s="675">
        <v>0.05</v>
      </c>
      <c r="Q1104" s="530">
        <v>6.5711111111111109E-2</v>
      </c>
      <c r="R1104" s="531">
        <v>0.02</v>
      </c>
      <c r="S1104" s="585">
        <v>1.5</v>
      </c>
      <c r="T1104" s="490">
        <v>0.11856666666666667</v>
      </c>
      <c r="U1104" s="532">
        <v>-31.862279661011549</v>
      </c>
      <c r="V1104" s="533">
        <v>30.25</v>
      </c>
      <c r="W1104" s="587">
        <v>2</v>
      </c>
      <c r="X1104" s="479">
        <v>63.724559322023097</v>
      </c>
      <c r="Y1104" s="534"/>
      <c r="Z1104" s="534"/>
    </row>
    <row r="1105" spans="3:26" ht="19" x14ac:dyDescent="0.2">
      <c r="C1105" s="462"/>
      <c r="D1105" s="556">
        <v>45576</v>
      </c>
      <c r="E1105" s="674">
        <v>0</v>
      </c>
      <c r="F1105" s="674" t="s">
        <v>458</v>
      </c>
      <c r="G1105" s="674">
        <v>-1E-3</v>
      </c>
      <c r="H1105" s="588">
        <v>0.25</v>
      </c>
      <c r="I1105" s="484"/>
      <c r="J1105" s="484"/>
      <c r="K1105" s="485"/>
      <c r="L1105" s="673">
        <v>0.47916666666666669</v>
      </c>
      <c r="M1105" s="588">
        <v>0.25</v>
      </c>
      <c r="N1105" s="462"/>
      <c r="O1105" s="473"/>
      <c r="P1105" s="675"/>
      <c r="Q1105" s="530"/>
      <c r="R1105" s="531"/>
      <c r="S1105" s="585"/>
      <c r="T1105" s="586"/>
      <c r="U1105" s="532"/>
      <c r="V1105" s="533"/>
      <c r="W1105" s="587"/>
      <c r="X1105" s="479"/>
      <c r="Y1105" s="534"/>
      <c r="Z1105" s="534"/>
    </row>
    <row r="1106" spans="3:26" ht="19" x14ac:dyDescent="0.2">
      <c r="C1106" s="462"/>
      <c r="D1106" s="556">
        <v>45565</v>
      </c>
      <c r="E1106" s="674">
        <v>0</v>
      </c>
      <c r="F1106" s="674" t="s">
        <v>462</v>
      </c>
      <c r="G1106" s="674">
        <v>-1E-3</v>
      </c>
      <c r="H1106" s="588">
        <v>0.5</v>
      </c>
      <c r="I1106" s="484"/>
      <c r="J1106" s="484"/>
      <c r="K1106" s="485"/>
      <c r="L1106" s="673">
        <v>0.72916666666666663</v>
      </c>
      <c r="M1106" s="588">
        <v>0.5</v>
      </c>
      <c r="N1106" s="462"/>
      <c r="O1106" s="473"/>
      <c r="P1106" s="535"/>
      <c r="Q1106" s="530"/>
      <c r="R1106" s="531"/>
      <c r="S1106" s="477"/>
      <c r="T1106" s="535"/>
      <c r="U1106" s="532"/>
      <c r="V1106" s="533"/>
      <c r="W1106" s="477"/>
      <c r="X1106" s="479"/>
      <c r="Y1106" s="534"/>
      <c r="Z1106" s="534"/>
    </row>
    <row r="1107" spans="3:26" ht="19" x14ac:dyDescent="0.2">
      <c r="C1107" s="462"/>
      <c r="D1107" s="556">
        <v>45545</v>
      </c>
      <c r="E1107" s="674">
        <v>-1E-3</v>
      </c>
      <c r="F1107" s="674" t="s">
        <v>456</v>
      </c>
      <c r="G1107" s="674">
        <v>3.0000000000000001E-3</v>
      </c>
      <c r="H1107" s="588">
        <v>0.25</v>
      </c>
      <c r="I1107" s="484"/>
      <c r="J1107" s="484"/>
      <c r="K1107" s="485"/>
      <c r="L1107" s="673">
        <v>0.47916666666666669</v>
      </c>
      <c r="M1107" s="588">
        <v>0.25</v>
      </c>
      <c r="N1107" s="462"/>
      <c r="O1107" s="536"/>
      <c r="P1107" s="536"/>
      <c r="Q1107" s="536"/>
      <c r="R1107" s="536"/>
      <c r="S1107" s="536"/>
      <c r="T1107" s="536"/>
      <c r="U1107" s="536"/>
      <c r="V1107" s="536"/>
      <c r="W1107" s="536"/>
      <c r="X1107" s="536"/>
      <c r="Y1107" s="536"/>
      <c r="Z1107" s="536"/>
    </row>
    <row r="1108" spans="3:26" ht="20" thickBot="1" x14ac:dyDescent="0.25">
      <c r="C1108" s="462"/>
      <c r="D1108" s="676">
        <v>45533</v>
      </c>
      <c r="E1108" s="677">
        <v>-1E-3</v>
      </c>
      <c r="F1108" s="677" t="s">
        <v>458</v>
      </c>
      <c r="G1108" s="677">
        <v>3.0000000000000001E-3</v>
      </c>
      <c r="H1108" s="588">
        <v>0.5</v>
      </c>
      <c r="I1108" s="537"/>
      <c r="J1108" s="537"/>
      <c r="K1108" s="538"/>
      <c r="L1108" s="678">
        <v>0.72916666666666663</v>
      </c>
      <c r="M1108" s="588">
        <v>0.5</v>
      </c>
      <c r="N1108" s="462"/>
      <c r="O1108" s="536"/>
      <c r="P1108" s="536"/>
      <c r="Q1108" s="536"/>
      <c r="R1108" s="536"/>
      <c r="S1108" s="536"/>
      <c r="T1108" s="536"/>
      <c r="U1108" s="536"/>
      <c r="V1108" s="536"/>
      <c r="W1108" s="536"/>
      <c r="X1108" s="536"/>
      <c r="Y1108" s="536"/>
      <c r="Z1108" s="536"/>
    </row>
    <row r="1109" spans="3:26" ht="58" thickBot="1" x14ac:dyDescent="0.25">
      <c r="C1109" s="452">
        <v>13</v>
      </c>
      <c r="D1109" s="453" t="s">
        <v>30</v>
      </c>
      <c r="E1109" s="454" t="s">
        <v>1082</v>
      </c>
      <c r="F1109" s="455"/>
      <c r="G1109" s="456"/>
      <c r="H1109" s="457" t="s">
        <v>790</v>
      </c>
      <c r="I1109" s="458" t="s">
        <v>633</v>
      </c>
      <c r="J1109" s="458"/>
      <c r="K1109" s="459"/>
      <c r="L1109" s="460" t="s">
        <v>430</v>
      </c>
      <c r="M1109" s="461" t="s">
        <v>431</v>
      </c>
      <c r="N1109" s="462" t="s">
        <v>105</v>
      </c>
      <c r="O1109" s="463" t="s">
        <v>800</v>
      </c>
      <c r="P1109" s="463" t="s">
        <v>801</v>
      </c>
      <c r="Q1109" s="463" t="s">
        <v>802</v>
      </c>
      <c r="R1109" s="463" t="s">
        <v>803</v>
      </c>
      <c r="S1109" s="463" t="s">
        <v>804</v>
      </c>
      <c r="T1109" s="463" t="s">
        <v>805</v>
      </c>
      <c r="U1109" s="463" t="s">
        <v>806</v>
      </c>
      <c r="V1109" s="463" t="s">
        <v>807</v>
      </c>
      <c r="W1109" s="463" t="s">
        <v>808</v>
      </c>
      <c r="X1109" s="463" t="s">
        <v>809</v>
      </c>
      <c r="Y1109" s="463" t="s">
        <v>75</v>
      </c>
      <c r="Z1109" s="463" t="s">
        <v>75</v>
      </c>
    </row>
    <row r="1110" spans="3:26" ht="38" x14ac:dyDescent="0.2">
      <c r="C1110" s="462"/>
      <c r="D1110" s="541" t="s">
        <v>432</v>
      </c>
      <c r="E1110" s="542"/>
      <c r="F1110" s="543"/>
      <c r="G1110" s="544"/>
      <c r="H1110" s="468" t="s">
        <v>1130</v>
      </c>
      <c r="I1110" s="469" t="s">
        <v>1083</v>
      </c>
      <c r="J1110" s="469"/>
      <c r="K1110" s="470"/>
      <c r="L1110" s="471"/>
      <c r="M1110" s="472" t="s">
        <v>1082</v>
      </c>
      <c r="N1110" s="462"/>
      <c r="O1110" s="473" t="s">
        <v>810</v>
      </c>
      <c r="P1110" s="474">
        <v>0.1</v>
      </c>
      <c r="Q1110" s="475">
        <v>4.9000000000000002E-2</v>
      </c>
      <c r="R1110" s="476">
        <v>2.8000000000020009E-2</v>
      </c>
      <c r="S1110" s="477">
        <v>0</v>
      </c>
      <c r="T1110" s="473">
        <v>4.800000000000091E-2</v>
      </c>
      <c r="U1110" s="475">
        <v>-26.23</v>
      </c>
      <c r="V1110" s="474">
        <v>91.8</v>
      </c>
      <c r="W1110" s="478">
        <v>2</v>
      </c>
      <c r="X1110" s="479"/>
      <c r="Y1110" s="477"/>
      <c r="Z1110" s="477"/>
    </row>
    <row r="1111" spans="3:26" ht="38" x14ac:dyDescent="0.2">
      <c r="C1111" s="462"/>
      <c r="D1111" s="545" t="s">
        <v>433</v>
      </c>
      <c r="E1111" s="546"/>
      <c r="F1111" s="547"/>
      <c r="G1111" s="548"/>
      <c r="H1111" s="468" t="s">
        <v>1131</v>
      </c>
      <c r="I1111" s="484"/>
      <c r="J1111" s="484"/>
      <c r="K1111" s="485"/>
      <c r="L1111" s="471"/>
      <c r="M1111" s="486"/>
      <c r="N1111" s="462"/>
      <c r="O1111" s="462"/>
      <c r="P1111" s="462"/>
      <c r="Q1111" s="462"/>
      <c r="R1111" s="487"/>
      <c r="S1111" s="488"/>
      <c r="T1111" s="462"/>
      <c r="U1111" s="462"/>
      <c r="V1111" s="462"/>
      <c r="W1111" s="462"/>
      <c r="X1111" s="488"/>
      <c r="Y1111" s="489"/>
      <c r="Z1111" s="489"/>
    </row>
    <row r="1112" spans="3:26" ht="19" x14ac:dyDescent="0.2">
      <c r="C1112" s="462"/>
      <c r="D1112" s="545" t="s">
        <v>434</v>
      </c>
      <c r="E1112" s="546">
        <v>7.0000000000000001E-3</v>
      </c>
      <c r="F1112" s="547"/>
      <c r="G1112" s="548"/>
      <c r="H1112" s="468"/>
      <c r="I1112" s="484"/>
      <c r="J1112" s="484"/>
      <c r="K1112" s="485"/>
      <c r="L1112" s="471"/>
      <c r="M1112" s="486"/>
      <c r="N1112" s="462"/>
      <c r="O1112" s="490" t="s">
        <v>811</v>
      </c>
      <c r="P1112" s="491">
        <v>0.02</v>
      </c>
      <c r="Q1112" s="492">
        <v>0.13020000000000001</v>
      </c>
      <c r="R1112" s="493">
        <v>2.9000000000000001E-2</v>
      </c>
      <c r="S1112" s="579">
        <v>1</v>
      </c>
      <c r="T1112" s="490">
        <v>0.22430000000000003</v>
      </c>
      <c r="U1112" s="495">
        <v>-24.514120833332871</v>
      </c>
      <c r="V1112" s="496">
        <v>12.1</v>
      </c>
      <c r="W1112" s="580">
        <v>3</v>
      </c>
      <c r="X1112" s="498">
        <v>73.542362499998617</v>
      </c>
      <c r="Y1112" s="499"/>
      <c r="Z1112" s="499"/>
    </row>
    <row r="1113" spans="3:26" ht="20" thickBot="1" x14ac:dyDescent="0.25">
      <c r="C1113" s="462"/>
      <c r="D1113" s="549" t="s">
        <v>435</v>
      </c>
      <c r="E1113" s="550">
        <v>0.33333333333333337</v>
      </c>
      <c r="F1113" s="551"/>
      <c r="G1113" s="552"/>
      <c r="H1113" s="504">
        <v>0.12500000000000003</v>
      </c>
      <c r="I1113" s="484"/>
      <c r="J1113" s="484"/>
      <c r="K1113" s="485"/>
      <c r="L1113" s="505">
        <v>0.5625</v>
      </c>
      <c r="M1113" s="506">
        <v>0.41666666666666663</v>
      </c>
      <c r="N1113" s="462"/>
      <c r="O1113" s="507" t="s">
        <v>812</v>
      </c>
      <c r="P1113" s="508">
        <v>0.02</v>
      </c>
      <c r="Q1113" s="509">
        <v>9.746666666666666E-2</v>
      </c>
      <c r="R1113" s="510">
        <v>2.9000000000000001E-2</v>
      </c>
      <c r="S1113" s="581">
        <v>1</v>
      </c>
      <c r="T1113" s="512">
        <v>0.17519999999999999</v>
      </c>
      <c r="U1113" s="513">
        <v>-19.147899999999638</v>
      </c>
      <c r="V1113" s="514">
        <v>12.1</v>
      </c>
      <c r="W1113" s="582">
        <v>2.4500000000000002</v>
      </c>
      <c r="X1113" s="516">
        <v>46.912354999999117</v>
      </c>
      <c r="Y1113" s="517"/>
      <c r="Z1113" s="517"/>
    </row>
    <row r="1114" spans="3:26" ht="20" thickBot="1" x14ac:dyDescent="0.25">
      <c r="C1114" s="462"/>
      <c r="D1114" s="553" t="s">
        <v>436</v>
      </c>
      <c r="E1114" s="554" t="s">
        <v>29</v>
      </c>
      <c r="F1114" s="554" t="s">
        <v>28</v>
      </c>
      <c r="G1114" s="555" t="s">
        <v>27</v>
      </c>
      <c r="H1114" s="521" t="s">
        <v>793</v>
      </c>
      <c r="I1114" s="484"/>
      <c r="J1114" s="484"/>
      <c r="K1114" s="485"/>
      <c r="L1114" s="522" t="s">
        <v>1002</v>
      </c>
      <c r="M1114" s="521"/>
      <c r="N1114" s="462"/>
      <c r="O1114" s="488"/>
      <c r="P1114" s="489"/>
      <c r="Q1114" s="488"/>
      <c r="R1114" s="488"/>
      <c r="S1114" s="583"/>
      <c r="T1114" s="488"/>
      <c r="U1114" s="523"/>
      <c r="V1114" s="524"/>
      <c r="W1114" s="584"/>
      <c r="X1114" s="523"/>
      <c r="Y1114" s="489"/>
      <c r="Z1114" s="489"/>
    </row>
    <row r="1115" spans="3:26" ht="19" x14ac:dyDescent="0.2">
      <c r="C1115" s="462"/>
      <c r="D1115" s="556">
        <v>45538</v>
      </c>
      <c r="E1115" s="674">
        <v>7.0000000000000001E-3</v>
      </c>
      <c r="F1115" s="674" t="s">
        <v>903</v>
      </c>
      <c r="G1115" s="674">
        <v>5.0000000000000001E-3</v>
      </c>
      <c r="H1115" s="527">
        <v>0.29166666666666669</v>
      </c>
      <c r="I1115" s="484"/>
      <c r="J1115" s="484"/>
      <c r="K1115" s="485"/>
      <c r="L1115" s="527">
        <v>8.3333333333333329E-2</v>
      </c>
      <c r="M1115" s="528"/>
      <c r="N1115" s="462"/>
      <c r="O1115" s="488"/>
      <c r="P1115" s="489"/>
      <c r="Q1115" s="488"/>
      <c r="R1115" s="488"/>
      <c r="S1115" s="583"/>
      <c r="T1115" s="488"/>
      <c r="U1115" s="488"/>
      <c r="V1115" s="488"/>
      <c r="W1115" s="584"/>
      <c r="X1115" s="488"/>
      <c r="Y1115" s="489"/>
      <c r="Z1115" s="489"/>
    </row>
    <row r="1116" spans="3:26" ht="19" x14ac:dyDescent="0.2">
      <c r="C1116" s="462"/>
      <c r="D1116" s="556">
        <v>45442</v>
      </c>
      <c r="E1116" s="674">
        <v>5.0000000000000001E-3</v>
      </c>
      <c r="F1116" s="674" t="s">
        <v>467</v>
      </c>
      <c r="G1116" s="674">
        <v>3.0000000000000001E-3</v>
      </c>
      <c r="H1116" s="527">
        <v>0.29166666666666669</v>
      </c>
      <c r="I1116" s="484"/>
      <c r="J1116" s="484"/>
      <c r="K1116" s="485"/>
      <c r="L1116" s="527">
        <v>8.3333333333333329E-2</v>
      </c>
      <c r="M1116" s="529"/>
      <c r="N1116" s="462"/>
      <c r="O1116" s="473" t="s">
        <v>813</v>
      </c>
      <c r="P1116" s="675">
        <v>0.02</v>
      </c>
      <c r="Q1116" s="530">
        <v>0.11383333333333334</v>
      </c>
      <c r="R1116" s="531">
        <v>2.9000000000000001E-2</v>
      </c>
      <c r="S1116" s="585">
        <v>1</v>
      </c>
      <c r="T1116" s="490">
        <v>0.19975000000000001</v>
      </c>
      <c r="U1116" s="532">
        <v>-21.831010416666253</v>
      </c>
      <c r="V1116" s="533">
        <v>12.1</v>
      </c>
      <c r="W1116" s="587">
        <v>2</v>
      </c>
      <c r="X1116" s="479">
        <v>43.662020833332505</v>
      </c>
      <c r="Y1116" s="534"/>
      <c r="Z1116" s="534"/>
    </row>
    <row r="1117" spans="3:26" ht="19" x14ac:dyDescent="0.2">
      <c r="C1117" s="462"/>
      <c r="D1117" s="556">
        <v>45351</v>
      </c>
      <c r="E1117" s="674">
        <v>3.0000000000000001E-3</v>
      </c>
      <c r="F1117" s="674" t="s">
        <v>462</v>
      </c>
      <c r="G1117" s="674">
        <v>3.0000000000000001E-3</v>
      </c>
      <c r="H1117" s="527">
        <v>0.33333333333333331</v>
      </c>
      <c r="I1117" s="484"/>
      <c r="J1117" s="484"/>
      <c r="K1117" s="485"/>
      <c r="L1117" s="527">
        <v>0.125</v>
      </c>
      <c r="M1117" s="486"/>
      <c r="N1117" s="462"/>
      <c r="O1117" s="473" t="s">
        <v>813</v>
      </c>
      <c r="P1117" s="675">
        <v>0.02</v>
      </c>
      <c r="Q1117" s="530">
        <v>0.11383333333333334</v>
      </c>
      <c r="R1117" s="531">
        <v>2.9000000000000001E-2</v>
      </c>
      <c r="S1117" s="585">
        <v>1</v>
      </c>
      <c r="T1117" s="490">
        <v>0.19975000000000001</v>
      </c>
      <c r="U1117" s="532">
        <v>-21.831010416666253</v>
      </c>
      <c r="V1117" s="533">
        <v>12.1</v>
      </c>
      <c r="W1117" s="587">
        <v>2</v>
      </c>
      <c r="X1117" s="479">
        <v>43.662020833332505</v>
      </c>
      <c r="Y1117" s="534"/>
      <c r="Z1117" s="534"/>
    </row>
    <row r="1118" spans="3:26" ht="19" x14ac:dyDescent="0.2">
      <c r="C1118" s="462"/>
      <c r="D1118" s="556">
        <v>45261</v>
      </c>
      <c r="E1118" s="674">
        <v>3.0000000000000001E-3</v>
      </c>
      <c r="F1118" s="674" t="s">
        <v>462</v>
      </c>
      <c r="G1118" s="674">
        <v>-1E-3</v>
      </c>
      <c r="H1118" s="527">
        <v>0.33333333333333331</v>
      </c>
      <c r="I1118" s="484"/>
      <c r="J1118" s="484"/>
      <c r="K1118" s="485"/>
      <c r="L1118" s="527">
        <v>0.125</v>
      </c>
      <c r="M1118" s="486"/>
      <c r="N1118" s="462"/>
      <c r="O1118" s="473"/>
      <c r="P1118" s="535"/>
      <c r="Q1118" s="530"/>
      <c r="R1118" s="531"/>
      <c r="S1118" s="477"/>
      <c r="T1118" s="535"/>
      <c r="U1118" s="532"/>
      <c r="V1118" s="533"/>
      <c r="W1118" s="477"/>
      <c r="X1118" s="479"/>
      <c r="Y1118" s="534"/>
      <c r="Z1118" s="534"/>
    </row>
    <row r="1119" spans="3:26" ht="19" x14ac:dyDescent="0.2">
      <c r="C1119" s="462"/>
      <c r="D1119" s="556">
        <v>45173</v>
      </c>
      <c r="E1119" s="674">
        <v>0</v>
      </c>
      <c r="F1119" s="674" t="s">
        <v>462</v>
      </c>
      <c r="G1119" s="674">
        <v>3.0000000000000001E-3</v>
      </c>
      <c r="H1119" s="527">
        <v>0.29166666666666669</v>
      </c>
      <c r="I1119" s="484"/>
      <c r="J1119" s="484"/>
      <c r="K1119" s="485"/>
      <c r="L1119" s="527">
        <v>8.3333333333333329E-2</v>
      </c>
      <c r="M1119" s="486"/>
      <c r="N1119" s="462"/>
      <c r="O1119" s="536"/>
      <c r="P1119" s="536"/>
      <c r="Q1119" s="536"/>
      <c r="R1119" s="536"/>
      <c r="S1119" s="536"/>
      <c r="T1119" s="536"/>
      <c r="U1119" s="536"/>
      <c r="V1119" s="536"/>
      <c r="W1119" s="536"/>
      <c r="X1119" s="536"/>
      <c r="Y1119" s="536"/>
      <c r="Z1119" s="536"/>
    </row>
    <row r="1120" spans="3:26" ht="20" thickBot="1" x14ac:dyDescent="0.25">
      <c r="C1120" s="462"/>
      <c r="D1120" s="676">
        <v>45076</v>
      </c>
      <c r="E1120" s="677">
        <v>3.0000000000000001E-3</v>
      </c>
      <c r="F1120" s="677" t="s">
        <v>462</v>
      </c>
      <c r="G1120" s="677">
        <v>0</v>
      </c>
      <c r="H1120" s="527">
        <v>0.29166666666666669</v>
      </c>
      <c r="I1120" s="537"/>
      <c r="J1120" s="537"/>
      <c r="K1120" s="538"/>
      <c r="L1120" s="527">
        <v>8.3333333333333329E-2</v>
      </c>
      <c r="M1120" s="540"/>
      <c r="N1120" s="462"/>
      <c r="O1120" s="536"/>
      <c r="P1120" s="536"/>
      <c r="Q1120" s="536"/>
      <c r="R1120" s="536"/>
      <c r="S1120" s="536"/>
      <c r="T1120" s="536"/>
      <c r="U1120" s="536"/>
      <c r="V1120" s="536"/>
      <c r="W1120" s="536"/>
      <c r="X1120" s="536"/>
      <c r="Y1120" s="536"/>
      <c r="Z1120" s="536"/>
    </row>
    <row r="1121" spans="3:26" ht="58" thickBot="1" x14ac:dyDescent="0.25">
      <c r="C1121" s="452">
        <v>13</v>
      </c>
      <c r="D1121" s="453" t="s">
        <v>30</v>
      </c>
      <c r="E1121" s="454" t="s">
        <v>1084</v>
      </c>
      <c r="F1121" s="455"/>
      <c r="G1121" s="456"/>
      <c r="H1121" s="457" t="s">
        <v>790</v>
      </c>
      <c r="I1121" s="458" t="s">
        <v>633</v>
      </c>
      <c r="J1121" s="458"/>
      <c r="K1121" s="459"/>
      <c r="L1121" s="460" t="s">
        <v>430</v>
      </c>
      <c r="M1121" s="461" t="s">
        <v>431</v>
      </c>
      <c r="N1121" s="462" t="s">
        <v>105</v>
      </c>
      <c r="O1121" s="463" t="s">
        <v>800</v>
      </c>
      <c r="P1121" s="463" t="s">
        <v>801</v>
      </c>
      <c r="Q1121" s="463" t="s">
        <v>802</v>
      </c>
      <c r="R1121" s="463" t="s">
        <v>803</v>
      </c>
      <c r="S1121" s="463" t="s">
        <v>804</v>
      </c>
      <c r="T1121" s="463" t="s">
        <v>805</v>
      </c>
      <c r="U1121" s="463" t="s">
        <v>806</v>
      </c>
      <c r="V1121" s="463" t="s">
        <v>807</v>
      </c>
      <c r="W1121" s="463" t="s">
        <v>808</v>
      </c>
      <c r="X1121" s="463" t="s">
        <v>809</v>
      </c>
      <c r="Y1121" s="463" t="s">
        <v>75</v>
      </c>
      <c r="Z1121" s="463" t="s">
        <v>75</v>
      </c>
    </row>
    <row r="1122" spans="3:26" ht="38" x14ac:dyDescent="0.2">
      <c r="C1122" s="462"/>
      <c r="D1122" s="541" t="s">
        <v>432</v>
      </c>
      <c r="E1122" s="542"/>
      <c r="F1122" s="543"/>
      <c r="G1122" s="544"/>
      <c r="H1122" s="468" t="s">
        <v>906</v>
      </c>
      <c r="I1122" s="469" t="s">
        <v>1085</v>
      </c>
      <c r="J1122" s="469"/>
      <c r="K1122" s="470"/>
      <c r="L1122" s="471"/>
      <c r="M1122" s="472" t="s">
        <v>1084</v>
      </c>
      <c r="N1122" s="462"/>
      <c r="O1122" s="473" t="s">
        <v>810</v>
      </c>
      <c r="P1122" s="474">
        <v>0.1</v>
      </c>
      <c r="Q1122" s="475">
        <v>2.7E-4</v>
      </c>
      <c r="R1122" s="476">
        <v>1.4999999999987246E-4</v>
      </c>
      <c r="S1122" s="477">
        <v>1</v>
      </c>
      <c r="T1122" s="477">
        <v>5.5499999999987244E-4</v>
      </c>
      <c r="U1122" s="475">
        <v>-19.690000000000001</v>
      </c>
      <c r="V1122" s="474">
        <v>91.8</v>
      </c>
      <c r="W1122" s="478">
        <v>2</v>
      </c>
      <c r="X1122" s="479"/>
      <c r="Y1122" s="477"/>
      <c r="Z1122" s="477"/>
    </row>
    <row r="1123" spans="3:26" ht="38" x14ac:dyDescent="0.2">
      <c r="C1123" s="462"/>
      <c r="D1123" s="545" t="s">
        <v>433</v>
      </c>
      <c r="E1123" s="546"/>
      <c r="F1123" s="547"/>
      <c r="G1123" s="548"/>
      <c r="H1123" s="575" t="s">
        <v>907</v>
      </c>
      <c r="I1123" s="484"/>
      <c r="J1123" s="484"/>
      <c r="K1123" s="485"/>
      <c r="L1123" s="471"/>
      <c r="M1123" s="486"/>
      <c r="N1123" s="462"/>
      <c r="O1123" s="462"/>
      <c r="P1123" s="462"/>
      <c r="Q1123" s="462"/>
      <c r="R1123" s="487"/>
      <c r="S1123" s="488"/>
      <c r="T1123" s="462"/>
      <c r="U1123" s="462"/>
      <c r="V1123" s="462"/>
      <c r="W1123" s="462"/>
      <c r="X1123" s="488"/>
      <c r="Y1123" s="489"/>
      <c r="Z1123" s="489"/>
    </row>
    <row r="1124" spans="3:26" ht="19" x14ac:dyDescent="0.2">
      <c r="C1124" s="462"/>
      <c r="D1124" s="545" t="s">
        <v>434</v>
      </c>
      <c r="E1124" s="546">
        <v>0.02</v>
      </c>
      <c r="F1124" s="547"/>
      <c r="G1124" s="548"/>
      <c r="H1124" s="468"/>
      <c r="I1124" s="484"/>
      <c r="J1124" s="484"/>
      <c r="K1124" s="485"/>
      <c r="L1124" s="471"/>
      <c r="M1124" s="486"/>
      <c r="N1124" s="462"/>
      <c r="O1124" s="490" t="s">
        <v>811</v>
      </c>
      <c r="P1124" s="491">
        <v>0.1</v>
      </c>
      <c r="Q1124" s="492">
        <v>5.0000000000000001E-4</v>
      </c>
      <c r="R1124" s="493">
        <v>1.2999999999999999E-4</v>
      </c>
      <c r="S1124" s="579">
        <v>1</v>
      </c>
      <c r="T1124" s="490">
        <v>8.8000000000000003E-4</v>
      </c>
      <c r="U1124" s="495">
        <v>-31.220180180187356</v>
      </c>
      <c r="V1124" s="496">
        <v>60.5</v>
      </c>
      <c r="W1124" s="580">
        <v>2.4500000000000002</v>
      </c>
      <c r="X1124" s="498">
        <v>76.489441441459022</v>
      </c>
      <c r="Y1124" s="499"/>
      <c r="Z1124" s="499"/>
    </row>
    <row r="1125" spans="3:26" ht="20" thickBot="1" x14ac:dyDescent="0.25">
      <c r="C1125" s="462"/>
      <c r="D1125" s="549" t="s">
        <v>435</v>
      </c>
      <c r="E1125" s="550">
        <v>0.41666666666666674</v>
      </c>
      <c r="F1125" s="551"/>
      <c r="G1125" s="552"/>
      <c r="H1125" s="504">
        <v>0.2083333333333334</v>
      </c>
      <c r="I1125" s="484"/>
      <c r="J1125" s="484"/>
      <c r="K1125" s="485"/>
      <c r="L1125" s="505">
        <v>0.64583333333333337</v>
      </c>
      <c r="M1125" s="506">
        <v>0.5</v>
      </c>
      <c r="N1125" s="462"/>
      <c r="O1125" s="507" t="s">
        <v>812</v>
      </c>
      <c r="P1125" s="508">
        <v>0.1</v>
      </c>
      <c r="Q1125" s="509">
        <v>3.1333333333333327E-4</v>
      </c>
      <c r="R1125" s="510">
        <v>1.2999999999999999E-4</v>
      </c>
      <c r="S1125" s="581">
        <v>1</v>
      </c>
      <c r="T1125" s="512">
        <v>5.9999999999999995E-4</v>
      </c>
      <c r="U1125" s="513">
        <v>-21.286486486491377</v>
      </c>
      <c r="V1125" s="514">
        <v>60.5</v>
      </c>
      <c r="W1125" s="582">
        <v>2.12</v>
      </c>
      <c r="X1125" s="516">
        <v>45.127351351361725</v>
      </c>
      <c r="Y1125" s="517"/>
      <c r="Z1125" s="517"/>
    </row>
    <row r="1126" spans="3:26" ht="20" thickBot="1" x14ac:dyDescent="0.25">
      <c r="C1126" s="462"/>
      <c r="D1126" s="553" t="s">
        <v>436</v>
      </c>
      <c r="E1126" s="554" t="s">
        <v>29</v>
      </c>
      <c r="F1126" s="554" t="s">
        <v>28</v>
      </c>
      <c r="G1126" s="555" t="s">
        <v>27</v>
      </c>
      <c r="H1126" s="521" t="s">
        <v>793</v>
      </c>
      <c r="I1126" s="484"/>
      <c r="J1126" s="484"/>
      <c r="K1126" s="485"/>
      <c r="L1126" s="522"/>
      <c r="M1126" s="521"/>
      <c r="N1126" s="462"/>
      <c r="O1126" s="488"/>
      <c r="P1126" s="489"/>
      <c r="Q1126" s="488"/>
      <c r="R1126" s="488"/>
      <c r="S1126" s="583"/>
      <c r="T1126" s="488"/>
      <c r="U1126" s="523"/>
      <c r="V1126" s="524"/>
      <c r="W1126" s="584"/>
      <c r="X1126" s="523"/>
      <c r="Y1126" s="489"/>
      <c r="Z1126" s="489"/>
    </row>
    <row r="1127" spans="3:26" ht="19" x14ac:dyDescent="0.2">
      <c r="C1127" s="462"/>
      <c r="D1127" s="556">
        <v>45615</v>
      </c>
      <c r="E1127" s="557">
        <v>0.02</v>
      </c>
      <c r="F1127" s="557" t="s">
        <v>788</v>
      </c>
      <c r="G1127" s="557">
        <v>0.02</v>
      </c>
      <c r="H1127" s="527">
        <v>0.41666666666666674</v>
      </c>
      <c r="I1127" s="484"/>
      <c r="J1127" s="484"/>
      <c r="K1127" s="485"/>
      <c r="L1127" s="527">
        <v>0.2083333333333334</v>
      </c>
      <c r="M1127" s="528"/>
      <c r="N1127" s="462"/>
      <c r="O1127" s="488"/>
      <c r="P1127" s="489"/>
      <c r="Q1127" s="488"/>
      <c r="R1127" s="488"/>
      <c r="S1127" s="583"/>
      <c r="T1127" s="488"/>
      <c r="U1127" s="488"/>
      <c r="V1127" s="488"/>
      <c r="W1127" s="584"/>
      <c r="X1127" s="488"/>
      <c r="Y1127" s="489"/>
      <c r="Z1127" s="489"/>
    </row>
    <row r="1128" spans="3:26" ht="19" x14ac:dyDescent="0.2">
      <c r="C1128" s="462"/>
      <c r="D1128" s="556">
        <v>45596</v>
      </c>
      <c r="E1128" s="557">
        <v>0.02</v>
      </c>
      <c r="F1128" s="557" t="s">
        <v>789</v>
      </c>
      <c r="G1128" s="557">
        <v>1.7000000000000001E-2</v>
      </c>
      <c r="H1128" s="527">
        <v>0.41666666666666674</v>
      </c>
      <c r="I1128" s="484"/>
      <c r="J1128" s="484"/>
      <c r="K1128" s="485"/>
      <c r="L1128" s="527">
        <v>0.2083333333333334</v>
      </c>
      <c r="M1128" s="529"/>
      <c r="N1128" s="462"/>
      <c r="O1128" s="473" t="s">
        <v>813</v>
      </c>
      <c r="P1128" s="675">
        <v>0.08</v>
      </c>
      <c r="Q1128" s="530">
        <v>4.0666666666666661E-4</v>
      </c>
      <c r="R1128" s="531">
        <v>1.2999999999999999E-4</v>
      </c>
      <c r="S1128" s="585">
        <v>1</v>
      </c>
      <c r="T1128" s="586">
        <v>5.9999999999999995E-4</v>
      </c>
      <c r="U1128" s="532">
        <v>-17.029189189193101</v>
      </c>
      <c r="V1128" s="533">
        <v>48.4</v>
      </c>
      <c r="W1128" s="587">
        <v>2</v>
      </c>
      <c r="X1128" s="479">
        <v>34.058378378386202</v>
      </c>
      <c r="Y1128" s="534" t="s">
        <v>814</v>
      </c>
      <c r="Z1128" s="534"/>
    </row>
    <row r="1129" spans="3:26" ht="19" x14ac:dyDescent="0.2">
      <c r="C1129" s="462"/>
      <c r="D1129" s="556">
        <v>45582</v>
      </c>
      <c r="E1129" s="557">
        <v>1.7000000000000001E-2</v>
      </c>
      <c r="F1129" s="557" t="s">
        <v>895</v>
      </c>
      <c r="G1129" s="557">
        <v>2.1999999999999999E-2</v>
      </c>
      <c r="H1129" s="527">
        <v>0.375</v>
      </c>
      <c r="I1129" s="484"/>
      <c r="J1129" s="484"/>
      <c r="K1129" s="485"/>
      <c r="L1129" s="527">
        <v>0.16666666666666666</v>
      </c>
      <c r="M1129" s="486"/>
      <c r="N1129" s="462"/>
      <c r="O1129" s="473" t="s">
        <v>813</v>
      </c>
      <c r="P1129" s="675">
        <v>-0.08</v>
      </c>
      <c r="Q1129" s="530">
        <v>4.0666666666666661E-4</v>
      </c>
      <c r="R1129" s="531">
        <v>1.2999999999999999E-4</v>
      </c>
      <c r="S1129" s="585">
        <v>-1</v>
      </c>
      <c r="T1129" s="586">
        <v>5.9999999999999995E-4</v>
      </c>
      <c r="U1129" s="532">
        <v>-17.029189189193101</v>
      </c>
      <c r="V1129" s="533">
        <v>48.4</v>
      </c>
      <c r="W1129" s="587">
        <v>2</v>
      </c>
      <c r="X1129" s="479">
        <v>34.058378378386202</v>
      </c>
      <c r="Y1129" s="534" t="s">
        <v>814</v>
      </c>
      <c r="Z1129" s="534"/>
    </row>
    <row r="1130" spans="3:26" ht="19" x14ac:dyDescent="0.2">
      <c r="C1130" s="462"/>
      <c r="D1130" s="556">
        <v>45566</v>
      </c>
      <c r="E1130" s="557">
        <v>1.7999999999999999E-2</v>
      </c>
      <c r="F1130" s="557" t="s">
        <v>895</v>
      </c>
      <c r="G1130" s="557">
        <v>2.1999999999999999E-2</v>
      </c>
      <c r="H1130" s="527">
        <v>0.375</v>
      </c>
      <c r="I1130" s="484"/>
      <c r="J1130" s="484"/>
      <c r="K1130" s="485"/>
      <c r="L1130" s="527">
        <v>0.16666666666666666</v>
      </c>
      <c r="M1130" s="486"/>
      <c r="N1130" s="462"/>
      <c r="O1130" s="473"/>
      <c r="P1130" s="535"/>
      <c r="Q1130" s="530"/>
      <c r="R1130" s="531"/>
      <c r="S1130" s="477"/>
      <c r="T1130" s="535"/>
      <c r="U1130" s="532"/>
      <c r="V1130" s="533"/>
      <c r="W1130" s="477"/>
      <c r="X1130" s="479"/>
      <c r="Y1130" s="534"/>
      <c r="Z1130" s="534"/>
    </row>
    <row r="1131" spans="3:26" ht="19" x14ac:dyDescent="0.2">
      <c r="C1131" s="462"/>
      <c r="D1131" s="556">
        <v>45553</v>
      </c>
      <c r="E1131" s="557">
        <v>2.1999999999999999E-2</v>
      </c>
      <c r="F1131" s="557" t="s">
        <v>490</v>
      </c>
      <c r="G1131" s="557">
        <v>2.5999999999999999E-2</v>
      </c>
      <c r="H1131" s="527">
        <v>0.375</v>
      </c>
      <c r="I1131" s="484"/>
      <c r="J1131" s="484"/>
      <c r="K1131" s="485"/>
      <c r="L1131" s="527">
        <v>0.16666666666666666</v>
      </c>
      <c r="M1131" s="486"/>
      <c r="N1131" s="462"/>
      <c r="O1131" s="536"/>
      <c r="P1131" s="536"/>
      <c r="Q1131" s="536"/>
      <c r="R1131" s="536"/>
      <c r="S1131" s="536"/>
      <c r="T1131" s="536"/>
      <c r="U1131" s="536"/>
      <c r="V1131" s="536"/>
      <c r="W1131" s="536"/>
      <c r="X1131" s="536"/>
      <c r="Y1131" s="536"/>
      <c r="Z1131" s="536"/>
    </row>
    <row r="1132" spans="3:26" ht="20" thickBot="1" x14ac:dyDescent="0.25">
      <c r="C1132" s="462"/>
      <c r="D1132" s="676">
        <v>45534</v>
      </c>
      <c r="E1132" s="679">
        <v>2.1999999999999999E-2</v>
      </c>
      <c r="F1132" s="679" t="s">
        <v>490</v>
      </c>
      <c r="G1132" s="679">
        <v>2.5999999999999999E-2</v>
      </c>
      <c r="H1132" s="527">
        <v>0.37500000000000006</v>
      </c>
      <c r="I1132" s="537"/>
      <c r="J1132" s="537"/>
      <c r="K1132" s="538"/>
      <c r="L1132" s="527">
        <v>0.16666666666666666</v>
      </c>
      <c r="M1132" s="540"/>
      <c r="N1132" s="462"/>
      <c r="O1132" s="536"/>
      <c r="P1132" s="536"/>
      <c r="Q1132" s="536"/>
      <c r="R1132" s="536"/>
      <c r="S1132" s="536"/>
      <c r="T1132" s="536"/>
      <c r="U1132" s="536"/>
      <c r="V1132" s="536"/>
      <c r="W1132" s="536"/>
      <c r="X1132" s="536"/>
      <c r="Y1132" s="536"/>
      <c r="Z1132" s="536"/>
    </row>
    <row r="1133" spans="3:26" ht="58" thickBot="1" x14ac:dyDescent="0.25">
      <c r="C1133" s="452">
        <v>14</v>
      </c>
      <c r="D1133" s="559" t="s">
        <v>30</v>
      </c>
      <c r="E1133" s="560" t="s">
        <v>1086</v>
      </c>
      <c r="F1133" s="561"/>
      <c r="G1133" s="562"/>
      <c r="H1133" s="563" t="s">
        <v>790</v>
      </c>
      <c r="I1133" s="564" t="s">
        <v>633</v>
      </c>
      <c r="J1133" s="564"/>
      <c r="K1133" s="565"/>
      <c r="L1133" s="566" t="s">
        <v>430</v>
      </c>
      <c r="M1133" s="567" t="s">
        <v>431</v>
      </c>
      <c r="N1133" s="462" t="s">
        <v>105</v>
      </c>
      <c r="O1133" s="463" t="s">
        <v>800</v>
      </c>
      <c r="P1133" s="463" t="s">
        <v>801</v>
      </c>
      <c r="Q1133" s="463" t="s">
        <v>802</v>
      </c>
      <c r="R1133" s="463" t="s">
        <v>803</v>
      </c>
      <c r="S1133" s="463" t="s">
        <v>804</v>
      </c>
      <c r="T1133" s="463" t="s">
        <v>805</v>
      </c>
      <c r="U1133" s="463" t="s">
        <v>806</v>
      </c>
      <c r="V1133" s="463" t="s">
        <v>807</v>
      </c>
      <c r="W1133" s="463" t="s">
        <v>808</v>
      </c>
      <c r="X1133" s="463" t="s">
        <v>809</v>
      </c>
      <c r="Y1133" s="463" t="s">
        <v>75</v>
      </c>
      <c r="Z1133" s="463" t="s">
        <v>75</v>
      </c>
    </row>
    <row r="1134" spans="3:26" ht="38" x14ac:dyDescent="0.2">
      <c r="C1134" s="462"/>
      <c r="D1134" s="680" t="s">
        <v>432</v>
      </c>
      <c r="E1134" s="681"/>
      <c r="F1134" s="682"/>
      <c r="G1134" s="683"/>
      <c r="H1134" s="468" t="s">
        <v>906</v>
      </c>
      <c r="I1134" s="684" t="s">
        <v>1074</v>
      </c>
      <c r="J1134" s="684"/>
      <c r="K1134" s="685"/>
      <c r="L1134" s="471"/>
      <c r="M1134" s="472" t="s">
        <v>1086</v>
      </c>
      <c r="N1134" s="462"/>
      <c r="O1134" s="473" t="s">
        <v>810</v>
      </c>
      <c r="P1134" s="535">
        <v>0.1</v>
      </c>
      <c r="Q1134" s="610">
        <v>3.9E-2</v>
      </c>
      <c r="R1134" s="611">
        <v>2.1000000000015007E-2</v>
      </c>
      <c r="S1134" s="477"/>
      <c r="T1134" s="473">
        <v>7.9500000000015003E-2</v>
      </c>
      <c r="U1134" s="610">
        <v>-18.989999999999998</v>
      </c>
      <c r="V1134" s="535">
        <v>91.8</v>
      </c>
      <c r="W1134" s="477"/>
      <c r="X1134" s="477"/>
      <c r="Y1134" s="477"/>
      <c r="Z1134" s="477"/>
    </row>
    <row r="1135" spans="3:26" ht="38" x14ac:dyDescent="0.2">
      <c r="C1135" s="462"/>
      <c r="D1135" s="686" t="s">
        <v>433</v>
      </c>
      <c r="E1135" s="687">
        <v>0</v>
      </c>
      <c r="F1135" s="688"/>
      <c r="G1135" s="689"/>
      <c r="H1135" s="575" t="s">
        <v>907</v>
      </c>
      <c r="I1135" s="690"/>
      <c r="J1135" s="690"/>
      <c r="K1135" s="691"/>
      <c r="L1135" s="471"/>
      <c r="M1135" s="486"/>
      <c r="N1135" s="462"/>
      <c r="O1135" s="462"/>
      <c r="P1135" s="462"/>
      <c r="Q1135" s="462"/>
      <c r="R1135" s="487"/>
      <c r="S1135" s="488"/>
      <c r="T1135" s="462"/>
      <c r="U1135" s="462"/>
      <c r="V1135" s="462"/>
      <c r="W1135" s="488"/>
      <c r="X1135" s="488"/>
      <c r="Y1135" s="489"/>
      <c r="Z1135" s="489"/>
    </row>
    <row r="1136" spans="3:26" ht="19" x14ac:dyDescent="0.2">
      <c r="C1136" s="462"/>
      <c r="D1136" s="686" t="s">
        <v>434</v>
      </c>
      <c r="E1136" s="687">
        <v>41.6</v>
      </c>
      <c r="F1136" s="688"/>
      <c r="G1136" s="689"/>
      <c r="H1136" s="692"/>
      <c r="I1136" s="690"/>
      <c r="J1136" s="690"/>
      <c r="K1136" s="691"/>
      <c r="L1136" s="471"/>
      <c r="M1136" s="486"/>
      <c r="N1136" s="462"/>
      <c r="O1136" s="490" t="s">
        <v>811</v>
      </c>
      <c r="P1136" s="624">
        <v>0.1</v>
      </c>
      <c r="Q1136" s="625">
        <v>7.22E-2</v>
      </c>
      <c r="R1136" s="626">
        <v>1.4999999999999999E-2</v>
      </c>
      <c r="S1136" s="494">
        <v>1</v>
      </c>
      <c r="T1136" s="490">
        <v>0.12330000000000001</v>
      </c>
      <c r="U1136" s="495">
        <v>-29.452415094334064</v>
      </c>
      <c r="V1136" s="496">
        <v>60.5</v>
      </c>
      <c r="W1136" s="499">
        <v>4.88</v>
      </c>
      <c r="X1136" s="498">
        <v>143.72778566035024</v>
      </c>
      <c r="Y1136" s="499"/>
      <c r="Z1136" s="499">
        <v>4.4350000000000005</v>
      </c>
    </row>
    <row r="1137" spans="3:26" ht="20" thickBot="1" x14ac:dyDescent="0.25">
      <c r="C1137" s="462"/>
      <c r="D1137" s="693" t="s">
        <v>435</v>
      </c>
      <c r="E1137" s="694">
        <v>0.61458333333333337</v>
      </c>
      <c r="F1137" s="695"/>
      <c r="G1137" s="696"/>
      <c r="H1137" s="504">
        <v>0.40625</v>
      </c>
      <c r="I1137" s="690"/>
      <c r="J1137" s="690"/>
      <c r="K1137" s="691"/>
      <c r="L1137" s="505">
        <v>0.84375</v>
      </c>
      <c r="M1137" s="506">
        <v>0.69791666666666663</v>
      </c>
      <c r="N1137" s="462"/>
      <c r="O1137" s="507" t="s">
        <v>812</v>
      </c>
      <c r="P1137" s="639">
        <v>0.1</v>
      </c>
      <c r="Q1137" s="640">
        <v>4.0533333333333338E-2</v>
      </c>
      <c r="R1137" s="641">
        <v>1.4999999999999999E-2</v>
      </c>
      <c r="S1137" s="511">
        <v>0.5</v>
      </c>
      <c r="T1137" s="507">
        <v>7.5800000000000006E-2</v>
      </c>
      <c r="U1137" s="513">
        <v>-9.0530943396209338</v>
      </c>
      <c r="V1137" s="514">
        <v>60.5</v>
      </c>
      <c r="W1137" s="517">
        <v>2.3650000000000002</v>
      </c>
      <c r="X1137" s="516">
        <v>21.41056811320351</v>
      </c>
      <c r="Y1137" s="517"/>
      <c r="Z1137" s="517"/>
    </row>
    <row r="1138" spans="3:26" ht="20" thickBot="1" x14ac:dyDescent="0.25">
      <c r="C1138" s="462"/>
      <c r="D1138" s="697" t="s">
        <v>436</v>
      </c>
      <c r="E1138" s="698" t="s">
        <v>29</v>
      </c>
      <c r="F1138" s="698" t="s">
        <v>28</v>
      </c>
      <c r="G1138" s="699" t="s">
        <v>27</v>
      </c>
      <c r="H1138" s="700" t="s">
        <v>793</v>
      </c>
      <c r="I1138" s="690"/>
      <c r="J1138" s="690"/>
      <c r="K1138" s="691"/>
      <c r="L1138" s="701"/>
      <c r="M1138" s="700"/>
      <c r="N1138" s="462"/>
      <c r="O1138" s="488"/>
      <c r="P1138" s="489"/>
      <c r="Q1138" s="488"/>
      <c r="R1138" s="488"/>
      <c r="S1138" s="488"/>
      <c r="T1138" s="488"/>
      <c r="U1138" s="523"/>
      <c r="V1138" s="524"/>
      <c r="W1138" s="488"/>
      <c r="X1138" s="523"/>
      <c r="Y1138" s="489"/>
      <c r="Z1138" s="489"/>
    </row>
    <row r="1139" spans="3:26" ht="19" x14ac:dyDescent="0.2">
      <c r="C1139" s="462"/>
      <c r="D1139" s="702">
        <v>45596</v>
      </c>
      <c r="E1139" s="526">
        <v>41.6</v>
      </c>
      <c r="F1139" s="526" t="s">
        <v>1126</v>
      </c>
      <c r="G1139" s="526">
        <v>46.6</v>
      </c>
      <c r="H1139" s="527">
        <v>0.57291666666666663</v>
      </c>
      <c r="I1139" s="690"/>
      <c r="J1139" s="690"/>
      <c r="K1139" s="691"/>
      <c r="L1139" s="703">
        <v>0.36458333333333331</v>
      </c>
      <c r="M1139" s="528"/>
      <c r="N1139" s="462"/>
      <c r="O1139" s="488"/>
      <c r="P1139" s="489"/>
      <c r="Q1139" s="488"/>
      <c r="R1139" s="488"/>
      <c r="S1139" s="488"/>
      <c r="T1139" s="488"/>
      <c r="U1139" s="488"/>
      <c r="V1139" s="488"/>
      <c r="W1139" s="488"/>
      <c r="X1139" s="488"/>
      <c r="Y1139" s="489"/>
      <c r="Z1139" s="489"/>
    </row>
    <row r="1140" spans="3:26" ht="19" x14ac:dyDescent="0.2">
      <c r="C1140" s="462"/>
      <c r="D1140" s="702">
        <v>45565</v>
      </c>
      <c r="E1140" s="526">
        <v>46.6</v>
      </c>
      <c r="F1140" s="526" t="s">
        <v>899</v>
      </c>
      <c r="G1140" s="526">
        <v>46.1</v>
      </c>
      <c r="H1140" s="527">
        <v>0.57291666666666663</v>
      </c>
      <c r="I1140" s="690"/>
      <c r="J1140" s="690"/>
      <c r="K1140" s="691"/>
      <c r="L1140" s="703">
        <v>0.36458333333333331</v>
      </c>
      <c r="M1140" s="529"/>
      <c r="N1140" s="462"/>
      <c r="O1140" s="473" t="s">
        <v>813</v>
      </c>
      <c r="P1140" s="535">
        <v>0.25</v>
      </c>
      <c r="Q1140" s="530">
        <v>4.0533333333333338E-2</v>
      </c>
      <c r="R1140" s="531">
        <v>1.4999999999999999E-2</v>
      </c>
      <c r="S1140" s="477">
        <v>0.5</v>
      </c>
      <c r="T1140" s="535">
        <v>7.5800000000000006E-2</v>
      </c>
      <c r="U1140" s="532">
        <v>-22.632735849052334</v>
      </c>
      <c r="V1140" s="533">
        <v>151.25</v>
      </c>
      <c r="W1140" s="477">
        <v>2</v>
      </c>
      <c r="X1140" s="479">
        <v>45.265471698104669</v>
      </c>
      <c r="Y1140" s="534" t="s">
        <v>814</v>
      </c>
      <c r="Z1140" s="534"/>
    </row>
    <row r="1141" spans="3:26" ht="19" x14ac:dyDescent="0.2">
      <c r="C1141" s="462"/>
      <c r="D1141" s="702">
        <v>45534</v>
      </c>
      <c r="E1141" s="526">
        <v>46.1</v>
      </c>
      <c r="F1141" s="526" t="s">
        <v>473</v>
      </c>
      <c r="G1141" s="526">
        <v>45.3</v>
      </c>
      <c r="H1141" s="527">
        <v>0.57291666666666663</v>
      </c>
      <c r="I1141" s="690"/>
      <c r="J1141" s="690"/>
      <c r="K1141" s="691"/>
      <c r="L1141" s="703">
        <v>0.36458333333333331</v>
      </c>
      <c r="M1141" s="486"/>
      <c r="N1141" s="462"/>
      <c r="O1141" s="473" t="s">
        <v>813</v>
      </c>
      <c r="P1141" s="535">
        <v>0.25</v>
      </c>
      <c r="Q1141" s="530">
        <v>4.0533333333333338E-2</v>
      </c>
      <c r="R1141" s="531">
        <v>1.4999999999999999E-2</v>
      </c>
      <c r="S1141" s="477">
        <v>0.5</v>
      </c>
      <c r="T1141" s="535">
        <v>7.5800000000000006E-2</v>
      </c>
      <c r="U1141" s="532">
        <v>-23.639322033894302</v>
      </c>
      <c r="V1141" s="533">
        <v>151.25</v>
      </c>
      <c r="W1141" s="477">
        <v>2</v>
      </c>
      <c r="X1141" s="479">
        <v>47.278644067788605</v>
      </c>
      <c r="Y1141" s="534"/>
      <c r="Z1141" s="534"/>
    </row>
    <row r="1142" spans="3:26" ht="19" x14ac:dyDescent="0.2">
      <c r="C1142" s="462"/>
      <c r="D1142" s="702">
        <v>45504</v>
      </c>
      <c r="E1142" s="526">
        <v>45.3</v>
      </c>
      <c r="F1142" s="526" t="s">
        <v>474</v>
      </c>
      <c r="G1142" s="526">
        <v>47.4</v>
      </c>
      <c r="H1142" s="527">
        <v>0.57291666666666663</v>
      </c>
      <c r="I1142" s="690"/>
      <c r="J1142" s="690"/>
      <c r="K1142" s="691"/>
      <c r="L1142" s="703">
        <v>0.36458333333333331</v>
      </c>
      <c r="M1142" s="486"/>
      <c r="N1142" s="462"/>
      <c r="O1142" s="473" t="s">
        <v>816</v>
      </c>
      <c r="P1142" s="535"/>
      <c r="Q1142" s="530"/>
      <c r="R1142" s="531"/>
      <c r="S1142" s="477"/>
      <c r="T1142" s="535"/>
      <c r="U1142" s="532">
        <v>-23.639322033894302</v>
      </c>
      <c r="V1142" s="533"/>
      <c r="W1142" s="477"/>
      <c r="X1142" s="479">
        <v>47.278644067788605</v>
      </c>
      <c r="Y1142" s="534"/>
      <c r="Z1142" s="534"/>
    </row>
    <row r="1143" spans="3:26" ht="19" x14ac:dyDescent="0.2">
      <c r="C1143" s="462"/>
      <c r="D1143" s="702">
        <v>45471</v>
      </c>
      <c r="E1143" s="526">
        <v>47.4</v>
      </c>
      <c r="F1143" s="526" t="s">
        <v>475</v>
      </c>
      <c r="G1143" s="526">
        <v>35.4</v>
      </c>
      <c r="H1143" s="527">
        <v>0.57291666666666663</v>
      </c>
      <c r="I1143" s="690"/>
      <c r="J1143" s="690"/>
      <c r="K1143" s="691"/>
      <c r="L1143" s="703">
        <v>0.36458333333333331</v>
      </c>
      <c r="M1143" s="486"/>
      <c r="N1143" s="462"/>
      <c r="O1143" s="536"/>
      <c r="P1143" s="536"/>
      <c r="Q1143" s="536"/>
      <c r="R1143" s="536"/>
      <c r="S1143" s="536"/>
      <c r="T1143" s="536"/>
      <c r="U1143" s="536"/>
      <c r="V1143" s="536"/>
      <c r="W1143" s="536"/>
      <c r="X1143" s="536"/>
      <c r="Y1143" s="536"/>
      <c r="Z1143" s="536"/>
    </row>
    <row r="1144" spans="3:26" ht="20" thickBot="1" x14ac:dyDescent="0.25">
      <c r="C1144" s="462"/>
      <c r="D1144" s="704">
        <v>45443</v>
      </c>
      <c r="E1144" s="526">
        <v>35.4</v>
      </c>
      <c r="F1144" s="526" t="s">
        <v>476</v>
      </c>
      <c r="G1144" s="526">
        <v>37.9</v>
      </c>
      <c r="H1144" s="539">
        <v>0.57291666666666663</v>
      </c>
      <c r="I1144" s="705"/>
      <c r="J1144" s="705"/>
      <c r="K1144" s="706"/>
      <c r="L1144" s="703">
        <v>0.36458333333333331</v>
      </c>
      <c r="M1144" s="540"/>
      <c r="N1144" s="462"/>
      <c r="O1144" s="536"/>
      <c r="P1144" s="536"/>
      <c r="Q1144" s="536"/>
      <c r="R1144" s="536"/>
      <c r="S1144" s="536"/>
      <c r="T1144" s="536"/>
      <c r="U1144" s="536"/>
      <c r="V1144" s="536"/>
      <c r="W1144" s="536"/>
      <c r="X1144" s="536"/>
      <c r="Y1144" s="536"/>
      <c r="Z1144" s="536"/>
    </row>
    <row r="1145" spans="3:26" ht="58" thickBot="1" x14ac:dyDescent="0.25">
      <c r="C1145" s="452">
        <v>15</v>
      </c>
      <c r="D1145" s="453" t="s">
        <v>30</v>
      </c>
      <c r="E1145" s="454" t="s">
        <v>1087</v>
      </c>
      <c r="F1145" s="455"/>
      <c r="G1145" s="456"/>
      <c r="H1145" s="457" t="s">
        <v>790</v>
      </c>
      <c r="I1145" s="458" t="s">
        <v>633</v>
      </c>
      <c r="J1145" s="458"/>
      <c r="K1145" s="459"/>
      <c r="L1145" s="460" t="s">
        <v>430</v>
      </c>
      <c r="M1145" s="461" t="s">
        <v>431</v>
      </c>
      <c r="N1145" s="462" t="s">
        <v>105</v>
      </c>
      <c r="O1145" s="463" t="s">
        <v>800</v>
      </c>
      <c r="P1145" s="463" t="s">
        <v>801</v>
      </c>
      <c r="Q1145" s="463" t="s">
        <v>802</v>
      </c>
      <c r="R1145" s="463" t="s">
        <v>803</v>
      </c>
      <c r="S1145" s="463" t="s">
        <v>804</v>
      </c>
      <c r="T1145" s="463" t="s">
        <v>805</v>
      </c>
      <c r="U1145" s="463" t="s">
        <v>806</v>
      </c>
      <c r="V1145" s="463" t="s">
        <v>807</v>
      </c>
      <c r="W1145" s="463" t="s">
        <v>808</v>
      </c>
      <c r="X1145" s="463" t="s">
        <v>809</v>
      </c>
      <c r="Y1145" s="463" t="s">
        <v>75</v>
      </c>
      <c r="Z1145" s="463" t="s">
        <v>75</v>
      </c>
    </row>
    <row r="1146" spans="3:26" ht="38" x14ac:dyDescent="0.2">
      <c r="C1146" s="462"/>
      <c r="D1146" s="541" t="s">
        <v>432</v>
      </c>
      <c r="E1146" s="542"/>
      <c r="F1146" s="543"/>
      <c r="G1146" s="544"/>
      <c r="H1146" s="468" t="s">
        <v>1132</v>
      </c>
      <c r="I1146" s="469" t="s">
        <v>1088</v>
      </c>
      <c r="J1146" s="469"/>
      <c r="K1146" s="470"/>
      <c r="L1146" s="471"/>
      <c r="M1146" s="472" t="s">
        <v>1087</v>
      </c>
      <c r="N1146" s="462"/>
      <c r="O1146" s="473" t="s">
        <v>810</v>
      </c>
      <c r="P1146" s="474">
        <v>0.1</v>
      </c>
      <c r="Q1146" s="475">
        <v>2.7E-2</v>
      </c>
      <c r="R1146" s="476">
        <v>1.5999999999991132E-2</v>
      </c>
      <c r="S1146" s="477"/>
      <c r="T1146" s="473">
        <v>5.6499999999991134E-2</v>
      </c>
      <c r="U1146" s="475">
        <v>-13.31</v>
      </c>
      <c r="V1146" s="474">
        <v>91.8</v>
      </c>
      <c r="W1146" s="478">
        <v>2</v>
      </c>
      <c r="X1146" s="479">
        <v>26.62</v>
      </c>
      <c r="Y1146" s="477"/>
      <c r="Z1146" s="477"/>
    </row>
    <row r="1147" spans="3:26" ht="38" x14ac:dyDescent="0.2">
      <c r="C1147" s="462"/>
      <c r="D1147" s="545" t="s">
        <v>433</v>
      </c>
      <c r="E1147" s="546"/>
      <c r="F1147" s="547"/>
      <c r="G1147" s="548"/>
      <c r="H1147" s="468" t="s">
        <v>1133</v>
      </c>
      <c r="I1147" s="484"/>
      <c r="J1147" s="484"/>
      <c r="K1147" s="485"/>
      <c r="L1147" s="471"/>
      <c r="M1147" s="486"/>
      <c r="N1147" s="462"/>
      <c r="O1147" s="462"/>
      <c r="P1147" s="462"/>
      <c r="Q1147" s="462"/>
      <c r="R1147" s="487"/>
      <c r="S1147" s="488"/>
      <c r="T1147" s="462"/>
      <c r="U1147" s="462"/>
      <c r="V1147" s="462"/>
      <c r="W1147" s="488"/>
      <c r="X1147" s="488"/>
      <c r="Y1147" s="489"/>
      <c r="Z1147" s="489"/>
    </row>
    <row r="1148" spans="3:26" ht="19" x14ac:dyDescent="0.2">
      <c r="C1148" s="462"/>
      <c r="D1148" s="545" t="s">
        <v>434</v>
      </c>
      <c r="E1148" s="707">
        <v>50.1</v>
      </c>
      <c r="F1148" s="708"/>
      <c r="G1148" s="709"/>
      <c r="H1148" s="468"/>
      <c r="I1148" s="484"/>
      <c r="J1148" s="484"/>
      <c r="K1148" s="485"/>
      <c r="L1148" s="471"/>
      <c r="M1148" s="486"/>
      <c r="N1148" s="462"/>
      <c r="O1148" s="490" t="s">
        <v>811</v>
      </c>
      <c r="P1148" s="491">
        <v>0.1</v>
      </c>
      <c r="Q1148" s="492">
        <v>7.6399999999999996E-2</v>
      </c>
      <c r="R1148" s="493">
        <v>1.7000000000000001E-2</v>
      </c>
      <c r="S1148" s="494">
        <v>1</v>
      </c>
      <c r="T1148" s="490">
        <v>0.13159999999999999</v>
      </c>
      <c r="U1148" s="495">
        <v>-31.00169911504911</v>
      </c>
      <c r="V1148" s="496">
        <v>60.5</v>
      </c>
      <c r="W1148" s="710">
        <v>4.3600000000000003</v>
      </c>
      <c r="X1148" s="498">
        <v>135.16740814161412</v>
      </c>
      <c r="Y1148" s="499"/>
      <c r="Z1148" s="499">
        <v>4.4350000000000005</v>
      </c>
    </row>
    <row r="1149" spans="3:26" ht="20" thickBot="1" x14ac:dyDescent="0.25">
      <c r="C1149" s="462"/>
      <c r="D1149" s="549" t="s">
        <v>435</v>
      </c>
      <c r="E1149" s="550">
        <v>6.2500000000000028E-2</v>
      </c>
      <c r="F1149" s="551"/>
      <c r="G1149" s="552"/>
      <c r="H1149" s="504">
        <v>0.85416666666666663</v>
      </c>
      <c r="I1149" s="484"/>
      <c r="J1149" s="484"/>
      <c r="K1149" s="485"/>
      <c r="L1149" s="505">
        <v>0.29166666666666669</v>
      </c>
      <c r="M1149" s="506">
        <v>0.14583333333333334</v>
      </c>
      <c r="N1149" s="462"/>
      <c r="O1149" s="507" t="s">
        <v>812</v>
      </c>
      <c r="P1149" s="508">
        <v>0.1</v>
      </c>
      <c r="Q1149" s="509">
        <v>6.6799999999999998E-2</v>
      </c>
      <c r="R1149" s="510">
        <v>1.7000000000000001E-2</v>
      </c>
      <c r="S1149" s="511">
        <v>1.5</v>
      </c>
      <c r="T1149" s="512">
        <v>0.1172</v>
      </c>
      <c r="U1149" s="513">
        <v>-41.414123893811812</v>
      </c>
      <c r="V1149" s="514">
        <v>60.5</v>
      </c>
      <c r="W1149" s="589">
        <v>5.9039999999999999</v>
      </c>
      <c r="X1149" s="516">
        <v>244.50898746906495</v>
      </c>
      <c r="Y1149" s="517"/>
      <c r="Z1149" s="517"/>
    </row>
    <row r="1150" spans="3:26" ht="20" thickBot="1" x14ac:dyDescent="0.25">
      <c r="C1150" s="462"/>
      <c r="D1150" s="553" t="s">
        <v>436</v>
      </c>
      <c r="E1150" s="554" t="s">
        <v>29</v>
      </c>
      <c r="F1150" s="554" t="s">
        <v>28</v>
      </c>
      <c r="G1150" s="555" t="s">
        <v>27</v>
      </c>
      <c r="H1150" s="521" t="s">
        <v>793</v>
      </c>
      <c r="I1150" s="484"/>
      <c r="J1150" s="484"/>
      <c r="K1150" s="485"/>
      <c r="L1150" s="522"/>
      <c r="M1150" s="521"/>
      <c r="N1150" s="462"/>
      <c r="O1150" s="488"/>
      <c r="P1150" s="489"/>
      <c r="Q1150" s="488"/>
      <c r="R1150" s="488"/>
      <c r="S1150" s="488"/>
      <c r="T1150" s="488"/>
      <c r="U1150" s="523"/>
      <c r="V1150" s="524"/>
      <c r="W1150" s="488"/>
      <c r="X1150" s="523"/>
      <c r="Y1150" s="489"/>
      <c r="Z1150" s="489"/>
    </row>
    <row r="1151" spans="3:26" ht="19" x14ac:dyDescent="0.2">
      <c r="C1151" s="462"/>
      <c r="D1151" s="574">
        <v>45595</v>
      </c>
      <c r="E1151" s="711">
        <v>50.1</v>
      </c>
      <c r="F1151" s="711" t="s">
        <v>513</v>
      </c>
      <c r="G1151" s="711">
        <v>49.8</v>
      </c>
      <c r="H1151" s="527">
        <v>6.2500000000000028E-2</v>
      </c>
      <c r="I1151" s="484"/>
      <c r="J1151" s="484"/>
      <c r="K1151" s="485"/>
      <c r="L1151" s="527">
        <v>0.85416666666666663</v>
      </c>
      <c r="M1151" s="528"/>
      <c r="N1151" s="462"/>
      <c r="O1151" s="488"/>
      <c r="P1151" s="489"/>
      <c r="Q1151" s="488"/>
      <c r="R1151" s="488"/>
      <c r="S1151" s="488"/>
      <c r="T1151" s="488"/>
      <c r="U1151" s="488"/>
      <c r="V1151" s="488"/>
      <c r="W1151" s="488"/>
      <c r="X1151" s="488"/>
      <c r="Y1151" s="489"/>
      <c r="Z1151" s="489"/>
    </row>
    <row r="1152" spans="3:26" ht="19" x14ac:dyDescent="0.2">
      <c r="C1152" s="462"/>
      <c r="D1152" s="574">
        <v>45564</v>
      </c>
      <c r="E1152" s="711">
        <v>49.8</v>
      </c>
      <c r="F1152" s="711" t="s">
        <v>440</v>
      </c>
      <c r="G1152" s="711">
        <v>49.1</v>
      </c>
      <c r="H1152" s="527">
        <v>6.2500000000000028E-2</v>
      </c>
      <c r="I1152" s="484"/>
      <c r="J1152" s="484"/>
      <c r="K1152" s="485"/>
      <c r="L1152" s="527">
        <v>0.85416666666666663</v>
      </c>
      <c r="M1152" s="529"/>
      <c r="N1152" s="462"/>
      <c r="O1152" s="473" t="s">
        <v>813</v>
      </c>
      <c r="P1152" s="474">
        <v>0.06</v>
      </c>
      <c r="Q1152" s="530">
        <v>7.1599999999999997E-2</v>
      </c>
      <c r="R1152" s="531">
        <v>1.7000000000000001E-2</v>
      </c>
      <c r="S1152" s="477">
        <v>2</v>
      </c>
      <c r="T1152" s="490">
        <v>0.1244</v>
      </c>
      <c r="U1152" s="532">
        <v>-35.166669026554196</v>
      </c>
      <c r="V1152" s="533">
        <v>36.299999999999997</v>
      </c>
      <c r="W1152" s="712">
        <v>4</v>
      </c>
      <c r="X1152" s="479">
        <v>140.66667610621678</v>
      </c>
      <c r="Y1152" s="534"/>
      <c r="Z1152" s="534"/>
    </row>
    <row r="1153" spans="3:26" ht="19" x14ac:dyDescent="0.2">
      <c r="C1153" s="462"/>
      <c r="D1153" s="574">
        <v>45534</v>
      </c>
      <c r="E1153" s="711">
        <v>49.1</v>
      </c>
      <c r="F1153" s="711" t="s">
        <v>438</v>
      </c>
      <c r="G1153" s="711">
        <v>49.4</v>
      </c>
      <c r="H1153" s="527">
        <v>6.2500000000000028E-2</v>
      </c>
      <c r="I1153" s="484"/>
      <c r="J1153" s="484"/>
      <c r="K1153" s="485"/>
      <c r="L1153" s="527">
        <v>0.85416666666666663</v>
      </c>
      <c r="M1153" s="486"/>
      <c r="N1153" s="462"/>
      <c r="O1153" s="473" t="s">
        <v>813</v>
      </c>
      <c r="P1153" s="474">
        <v>0.06</v>
      </c>
      <c r="Q1153" s="530">
        <v>7.1599999999999997E-2</v>
      </c>
      <c r="R1153" s="531">
        <v>1.7000000000000001E-2</v>
      </c>
      <c r="S1153" s="477">
        <v>2</v>
      </c>
      <c r="T1153" s="490">
        <v>0.1244</v>
      </c>
      <c r="U1153" s="532">
        <v>-35.166669026554196</v>
      </c>
      <c r="V1153" s="533">
        <v>36.299999999999997</v>
      </c>
      <c r="W1153" s="712">
        <v>4</v>
      </c>
      <c r="X1153" s="479">
        <v>140.66667610621678</v>
      </c>
      <c r="Y1153" s="534"/>
      <c r="Z1153" s="534"/>
    </row>
    <row r="1154" spans="3:26" ht="19" x14ac:dyDescent="0.2">
      <c r="C1154" s="462"/>
      <c r="D1154" s="574">
        <v>45503</v>
      </c>
      <c r="E1154" s="711">
        <v>49.4</v>
      </c>
      <c r="F1154" s="711" t="s">
        <v>440</v>
      </c>
      <c r="G1154" s="711">
        <v>49.5</v>
      </c>
      <c r="H1154" s="527">
        <v>6.2500000000000028E-2</v>
      </c>
      <c r="I1154" s="484"/>
      <c r="J1154" s="484"/>
      <c r="K1154" s="485"/>
      <c r="L1154" s="527">
        <v>0.85416666666666663</v>
      </c>
      <c r="M1154" s="486"/>
      <c r="N1154" s="462"/>
      <c r="O1154" s="473" t="s">
        <v>816</v>
      </c>
      <c r="P1154" s="535"/>
      <c r="Q1154" s="530"/>
      <c r="R1154" s="531"/>
      <c r="S1154" s="477"/>
      <c r="T1154" s="535"/>
      <c r="U1154" s="532"/>
      <c r="V1154" s="533"/>
      <c r="W1154" s="477"/>
      <c r="X1154" s="479"/>
      <c r="Y1154" s="534"/>
      <c r="Z1154" s="534"/>
    </row>
    <row r="1155" spans="3:26" ht="19" x14ac:dyDescent="0.2">
      <c r="C1155" s="462"/>
      <c r="D1155" s="574">
        <v>45472</v>
      </c>
      <c r="E1155" s="711">
        <v>49.5</v>
      </c>
      <c r="F1155" s="711" t="s">
        <v>438</v>
      </c>
      <c r="G1155" s="711">
        <v>49.5</v>
      </c>
      <c r="H1155" s="527">
        <v>6.2500000000000028E-2</v>
      </c>
      <c r="I1155" s="484"/>
      <c r="J1155" s="484"/>
      <c r="K1155" s="485"/>
      <c r="L1155" s="527">
        <v>0.85416666666666663</v>
      </c>
      <c r="M1155" s="486"/>
      <c r="N1155" s="462"/>
      <c r="O1155" s="536"/>
      <c r="P1155" s="536"/>
      <c r="Q1155" s="536"/>
      <c r="R1155" s="536"/>
      <c r="S1155" s="536"/>
      <c r="T1155" s="536"/>
      <c r="U1155" s="536"/>
      <c r="V1155" s="536"/>
      <c r="W1155" s="536"/>
      <c r="X1155" s="536"/>
      <c r="Y1155" s="536"/>
      <c r="Z1155" s="536"/>
    </row>
    <row r="1156" spans="3:26" ht="20" thickBot="1" x14ac:dyDescent="0.25">
      <c r="C1156" s="462"/>
      <c r="D1156" s="667">
        <v>45442</v>
      </c>
      <c r="E1156" s="713">
        <v>49.5</v>
      </c>
      <c r="F1156" s="713" t="s">
        <v>443</v>
      </c>
      <c r="G1156" s="713">
        <v>50.4</v>
      </c>
      <c r="H1156" s="539">
        <v>6.2500000000000028E-2</v>
      </c>
      <c r="I1156" s="537"/>
      <c r="J1156" s="537"/>
      <c r="K1156" s="538"/>
      <c r="L1156" s="539">
        <v>0.85416666666666663</v>
      </c>
      <c r="M1156" s="540"/>
      <c r="N1156" s="462"/>
      <c r="O1156" s="536"/>
      <c r="P1156" s="536"/>
      <c r="Q1156" s="536"/>
      <c r="R1156" s="536"/>
      <c r="S1156" s="536"/>
      <c r="T1156" s="536"/>
      <c r="U1156" s="536"/>
      <c r="V1156" s="536"/>
      <c r="W1156" s="536"/>
      <c r="X1156" s="536"/>
      <c r="Y1156" s="536"/>
      <c r="Z1156" s="536"/>
    </row>
  </sheetData>
  <mergeCells count="693">
    <mergeCell ref="E1146:G1146"/>
    <mergeCell ref="I1146:K1156"/>
    <mergeCell ref="E1147:G1147"/>
    <mergeCell ref="E1148:G1148"/>
    <mergeCell ref="E1149:G1149"/>
    <mergeCell ref="E1133:G1133"/>
    <mergeCell ref="I1133:K1133"/>
    <mergeCell ref="E1134:G1134"/>
    <mergeCell ref="I1134:K1144"/>
    <mergeCell ref="E1135:G1135"/>
    <mergeCell ref="E1136:G1136"/>
    <mergeCell ref="E1137:G1137"/>
    <mergeCell ref="E1145:G1145"/>
    <mergeCell ref="I1145:K1145"/>
    <mergeCell ref="E1110:G1110"/>
    <mergeCell ref="I1110:K1120"/>
    <mergeCell ref="E1111:G1111"/>
    <mergeCell ref="E1112:G1112"/>
    <mergeCell ref="E1113:G1113"/>
    <mergeCell ref="E1121:G1121"/>
    <mergeCell ref="I1121:K1121"/>
    <mergeCell ref="E1122:G1122"/>
    <mergeCell ref="I1122:K1132"/>
    <mergeCell ref="E1123:G1123"/>
    <mergeCell ref="E1124:G1124"/>
    <mergeCell ref="E1125:G1125"/>
    <mergeCell ref="E1097:G1097"/>
    <mergeCell ref="I1097:K1097"/>
    <mergeCell ref="E1098:G1098"/>
    <mergeCell ref="I1098:K1108"/>
    <mergeCell ref="E1099:G1099"/>
    <mergeCell ref="E1100:G1100"/>
    <mergeCell ref="E1101:G1101"/>
    <mergeCell ref="E1109:G1109"/>
    <mergeCell ref="I1109:K1109"/>
    <mergeCell ref="E1074:G1074"/>
    <mergeCell ref="I1074:K1084"/>
    <mergeCell ref="E1075:G1075"/>
    <mergeCell ref="E1076:G1076"/>
    <mergeCell ref="E1077:G1077"/>
    <mergeCell ref="E1085:G1085"/>
    <mergeCell ref="I1085:K1085"/>
    <mergeCell ref="E1086:G1086"/>
    <mergeCell ref="I1086:K1096"/>
    <mergeCell ref="E1087:G1087"/>
    <mergeCell ref="E1088:G1088"/>
    <mergeCell ref="E1089:G1089"/>
    <mergeCell ref="E1061:G1061"/>
    <mergeCell ref="I1061:K1061"/>
    <mergeCell ref="E1062:G1062"/>
    <mergeCell ref="I1062:K1072"/>
    <mergeCell ref="E1063:G1063"/>
    <mergeCell ref="E1064:G1064"/>
    <mergeCell ref="E1065:G1065"/>
    <mergeCell ref="E1073:G1073"/>
    <mergeCell ref="I1073:K1073"/>
    <mergeCell ref="E1038:G1038"/>
    <mergeCell ref="I1038:K1048"/>
    <mergeCell ref="E1039:G1039"/>
    <mergeCell ref="E1040:G1040"/>
    <mergeCell ref="E1041:G1041"/>
    <mergeCell ref="E1049:G1049"/>
    <mergeCell ref="I1049:K1049"/>
    <mergeCell ref="E1050:G1050"/>
    <mergeCell ref="I1050:K1060"/>
    <mergeCell ref="E1051:G1051"/>
    <mergeCell ref="E1052:G1052"/>
    <mergeCell ref="E1053:G1053"/>
    <mergeCell ref="E1025:G1025"/>
    <mergeCell ref="I1025:K1025"/>
    <mergeCell ref="E1026:G1026"/>
    <mergeCell ref="I1026:K1036"/>
    <mergeCell ref="E1027:G1027"/>
    <mergeCell ref="E1028:G1028"/>
    <mergeCell ref="E1029:G1029"/>
    <mergeCell ref="E1037:G1037"/>
    <mergeCell ref="I1037:K1037"/>
    <mergeCell ref="E1002:G1002"/>
    <mergeCell ref="I1002:K1012"/>
    <mergeCell ref="E1003:G1003"/>
    <mergeCell ref="E1004:G1004"/>
    <mergeCell ref="E1005:G1005"/>
    <mergeCell ref="E1013:G1013"/>
    <mergeCell ref="I1013:K1013"/>
    <mergeCell ref="E1014:G1014"/>
    <mergeCell ref="I1014:K1024"/>
    <mergeCell ref="E1015:G1015"/>
    <mergeCell ref="E1016:G1016"/>
    <mergeCell ref="E1017:G1017"/>
    <mergeCell ref="E989:G989"/>
    <mergeCell ref="I989:K989"/>
    <mergeCell ref="E990:G990"/>
    <mergeCell ref="I990:K1000"/>
    <mergeCell ref="E991:G991"/>
    <mergeCell ref="E992:G992"/>
    <mergeCell ref="E993:G993"/>
    <mergeCell ref="E1001:G1001"/>
    <mergeCell ref="I1001:K1001"/>
    <mergeCell ref="E966:G966"/>
    <mergeCell ref="I966:K976"/>
    <mergeCell ref="E967:G967"/>
    <mergeCell ref="E968:G968"/>
    <mergeCell ref="E969:G969"/>
    <mergeCell ref="E977:G977"/>
    <mergeCell ref="I977:K977"/>
    <mergeCell ref="E978:G978"/>
    <mergeCell ref="I978:K988"/>
    <mergeCell ref="E979:G979"/>
    <mergeCell ref="E980:G980"/>
    <mergeCell ref="E981:G981"/>
    <mergeCell ref="E953:G953"/>
    <mergeCell ref="I953:K953"/>
    <mergeCell ref="E954:G954"/>
    <mergeCell ref="I954:K964"/>
    <mergeCell ref="E955:G955"/>
    <mergeCell ref="E956:G956"/>
    <mergeCell ref="E957:G957"/>
    <mergeCell ref="E965:G965"/>
    <mergeCell ref="I965:K965"/>
    <mergeCell ref="E809:G809"/>
    <mergeCell ref="I809:K809"/>
    <mergeCell ref="E810:G810"/>
    <mergeCell ref="I810:K820"/>
    <mergeCell ref="E811:G811"/>
    <mergeCell ref="E812:G812"/>
    <mergeCell ref="E813:G813"/>
    <mergeCell ref="E786:G786"/>
    <mergeCell ref="I786:K796"/>
    <mergeCell ref="E787:G787"/>
    <mergeCell ref="E788:G788"/>
    <mergeCell ref="E789:G789"/>
    <mergeCell ref="E797:G797"/>
    <mergeCell ref="I797:K797"/>
    <mergeCell ref="E798:G798"/>
    <mergeCell ref="I798:K808"/>
    <mergeCell ref="E799:G799"/>
    <mergeCell ref="E800:G800"/>
    <mergeCell ref="E801:G801"/>
    <mergeCell ref="E773:G773"/>
    <mergeCell ref="I773:K773"/>
    <mergeCell ref="E774:G774"/>
    <mergeCell ref="I774:K784"/>
    <mergeCell ref="E775:G775"/>
    <mergeCell ref="E776:G776"/>
    <mergeCell ref="E777:G777"/>
    <mergeCell ref="E785:G785"/>
    <mergeCell ref="I785:K785"/>
    <mergeCell ref="E750:G750"/>
    <mergeCell ref="I750:K760"/>
    <mergeCell ref="E751:G751"/>
    <mergeCell ref="E752:G752"/>
    <mergeCell ref="E753:G753"/>
    <mergeCell ref="E761:G761"/>
    <mergeCell ref="I761:K761"/>
    <mergeCell ref="E762:G762"/>
    <mergeCell ref="I762:K772"/>
    <mergeCell ref="E763:G763"/>
    <mergeCell ref="E764:G764"/>
    <mergeCell ref="E765:G765"/>
    <mergeCell ref="E737:G737"/>
    <mergeCell ref="I737:K737"/>
    <mergeCell ref="E738:G738"/>
    <mergeCell ref="I738:K748"/>
    <mergeCell ref="E739:G739"/>
    <mergeCell ref="E740:G740"/>
    <mergeCell ref="E741:G741"/>
    <mergeCell ref="E749:G749"/>
    <mergeCell ref="I749:K749"/>
    <mergeCell ref="E714:G714"/>
    <mergeCell ref="I714:K724"/>
    <mergeCell ref="E715:G715"/>
    <mergeCell ref="E716:G716"/>
    <mergeCell ref="E717:G717"/>
    <mergeCell ref="E725:G725"/>
    <mergeCell ref="I725:K725"/>
    <mergeCell ref="E726:G726"/>
    <mergeCell ref="I726:K736"/>
    <mergeCell ref="E727:G727"/>
    <mergeCell ref="E728:G728"/>
    <mergeCell ref="E729:G729"/>
    <mergeCell ref="E701:G701"/>
    <mergeCell ref="I701:K701"/>
    <mergeCell ref="E702:G702"/>
    <mergeCell ref="I702:K712"/>
    <mergeCell ref="E703:G703"/>
    <mergeCell ref="E704:G704"/>
    <mergeCell ref="E705:G705"/>
    <mergeCell ref="E713:G713"/>
    <mergeCell ref="I713:K713"/>
    <mergeCell ref="E678:G678"/>
    <mergeCell ref="I678:K688"/>
    <mergeCell ref="E679:G679"/>
    <mergeCell ref="E680:G680"/>
    <mergeCell ref="E681:G681"/>
    <mergeCell ref="E689:G689"/>
    <mergeCell ref="I689:K689"/>
    <mergeCell ref="E690:G690"/>
    <mergeCell ref="I690:K700"/>
    <mergeCell ref="E691:G691"/>
    <mergeCell ref="E692:G692"/>
    <mergeCell ref="E693:G693"/>
    <mergeCell ref="E665:G665"/>
    <mergeCell ref="I665:K665"/>
    <mergeCell ref="E666:G666"/>
    <mergeCell ref="I666:K676"/>
    <mergeCell ref="E667:G667"/>
    <mergeCell ref="E668:G668"/>
    <mergeCell ref="E669:G669"/>
    <mergeCell ref="E677:G677"/>
    <mergeCell ref="I677:K677"/>
    <mergeCell ref="E500:G500"/>
    <mergeCell ref="J500:L500"/>
    <mergeCell ref="E501:G501"/>
    <mergeCell ref="J501:L501"/>
    <mergeCell ref="E497:G497"/>
    <mergeCell ref="J497:L497"/>
    <mergeCell ref="E498:G498"/>
    <mergeCell ref="J498:L498"/>
    <mergeCell ref="E499:G499"/>
    <mergeCell ref="J499:L499"/>
    <mergeCell ref="E487:G487"/>
    <mergeCell ref="J487:L487"/>
    <mergeCell ref="E488:G488"/>
    <mergeCell ref="J488:L488"/>
    <mergeCell ref="E489:G489"/>
    <mergeCell ref="J489:L489"/>
    <mergeCell ref="E477:G477"/>
    <mergeCell ref="J477:L477"/>
    <mergeCell ref="E485:G485"/>
    <mergeCell ref="J485:L485"/>
    <mergeCell ref="E486:G486"/>
    <mergeCell ref="J486:L486"/>
    <mergeCell ref="E474:G474"/>
    <mergeCell ref="J474:L474"/>
    <mergeCell ref="E475:G475"/>
    <mergeCell ref="J475:L475"/>
    <mergeCell ref="E476:G476"/>
    <mergeCell ref="J476:L476"/>
    <mergeCell ref="E464:G464"/>
    <mergeCell ref="J464:L464"/>
    <mergeCell ref="E465:G465"/>
    <mergeCell ref="J465:L465"/>
    <mergeCell ref="E473:G473"/>
    <mergeCell ref="J473:L473"/>
    <mergeCell ref="E461:G461"/>
    <mergeCell ref="J461:L461"/>
    <mergeCell ref="E462:G462"/>
    <mergeCell ref="J462:L462"/>
    <mergeCell ref="E463:G463"/>
    <mergeCell ref="J463:L463"/>
    <mergeCell ref="E451:G451"/>
    <mergeCell ref="J451:L451"/>
    <mergeCell ref="E452:G452"/>
    <mergeCell ref="J452:L452"/>
    <mergeCell ref="E453:G453"/>
    <mergeCell ref="J453:L453"/>
    <mergeCell ref="E441:G441"/>
    <mergeCell ref="J441:L441"/>
    <mergeCell ref="E449:G449"/>
    <mergeCell ref="J449:L449"/>
    <mergeCell ref="E450:G450"/>
    <mergeCell ref="J450:L450"/>
    <mergeCell ref="E438:G438"/>
    <mergeCell ref="J438:L438"/>
    <mergeCell ref="E439:G439"/>
    <mergeCell ref="J439:L439"/>
    <mergeCell ref="E440:G440"/>
    <mergeCell ref="J440:L440"/>
    <mergeCell ref="E428:G428"/>
    <mergeCell ref="J428:L428"/>
    <mergeCell ref="E429:G429"/>
    <mergeCell ref="J429:L429"/>
    <mergeCell ref="E437:G437"/>
    <mergeCell ref="J437:L437"/>
    <mergeCell ref="E425:G425"/>
    <mergeCell ref="J425:L425"/>
    <mergeCell ref="E426:G426"/>
    <mergeCell ref="J426:L426"/>
    <mergeCell ref="E427:G427"/>
    <mergeCell ref="J427:L427"/>
    <mergeCell ref="E412:G412"/>
    <mergeCell ref="I412:K412"/>
    <mergeCell ref="E413:G413"/>
    <mergeCell ref="I413:K423"/>
    <mergeCell ref="E414:G414"/>
    <mergeCell ref="E415:G415"/>
    <mergeCell ref="E416:G416"/>
    <mergeCell ref="E400:G400"/>
    <mergeCell ref="I400:K400"/>
    <mergeCell ref="E401:G401"/>
    <mergeCell ref="I401:K411"/>
    <mergeCell ref="E402:G402"/>
    <mergeCell ref="E403:G403"/>
    <mergeCell ref="E404:G404"/>
    <mergeCell ref="E388:G388"/>
    <mergeCell ref="I388:K388"/>
    <mergeCell ref="E389:G389"/>
    <mergeCell ref="I389:K399"/>
    <mergeCell ref="E390:G390"/>
    <mergeCell ref="E391:G391"/>
    <mergeCell ref="E392:G392"/>
    <mergeCell ref="E376:G376"/>
    <mergeCell ref="I376:K376"/>
    <mergeCell ref="E377:G377"/>
    <mergeCell ref="I377:K387"/>
    <mergeCell ref="E378:G378"/>
    <mergeCell ref="E379:G379"/>
    <mergeCell ref="E380:G380"/>
    <mergeCell ref="E364:G364"/>
    <mergeCell ref="I364:K364"/>
    <mergeCell ref="E365:G365"/>
    <mergeCell ref="I365:K375"/>
    <mergeCell ref="E366:G366"/>
    <mergeCell ref="E367:G367"/>
    <mergeCell ref="E368:G368"/>
    <mergeCell ref="E352:G352"/>
    <mergeCell ref="I352:K352"/>
    <mergeCell ref="E353:G353"/>
    <mergeCell ref="I353:K363"/>
    <mergeCell ref="E354:G354"/>
    <mergeCell ref="E355:G355"/>
    <mergeCell ref="E356:G356"/>
    <mergeCell ref="E340:G340"/>
    <mergeCell ref="I340:K340"/>
    <mergeCell ref="E341:G341"/>
    <mergeCell ref="I341:K351"/>
    <mergeCell ref="E342:G342"/>
    <mergeCell ref="E343:G343"/>
    <mergeCell ref="E344:G344"/>
    <mergeCell ref="E328:G328"/>
    <mergeCell ref="I328:K328"/>
    <mergeCell ref="E329:G329"/>
    <mergeCell ref="I329:K339"/>
    <mergeCell ref="E330:G330"/>
    <mergeCell ref="E331:G331"/>
    <mergeCell ref="E332:G332"/>
    <mergeCell ref="E316:G316"/>
    <mergeCell ref="I316:K316"/>
    <mergeCell ref="E317:G317"/>
    <mergeCell ref="I317:K327"/>
    <mergeCell ref="E318:G318"/>
    <mergeCell ref="E319:G319"/>
    <mergeCell ref="E320:G320"/>
    <mergeCell ref="E304:G304"/>
    <mergeCell ref="I304:K304"/>
    <mergeCell ref="E305:G305"/>
    <mergeCell ref="I305:K315"/>
    <mergeCell ref="E306:G306"/>
    <mergeCell ref="E307:G307"/>
    <mergeCell ref="E308:G308"/>
    <mergeCell ref="E292:G292"/>
    <mergeCell ref="I292:K292"/>
    <mergeCell ref="E293:G293"/>
    <mergeCell ref="I293:K303"/>
    <mergeCell ref="E294:G294"/>
    <mergeCell ref="E295:G295"/>
    <mergeCell ref="E296:G296"/>
    <mergeCell ref="E280:G280"/>
    <mergeCell ref="I280:K280"/>
    <mergeCell ref="E281:G281"/>
    <mergeCell ref="I281:K291"/>
    <mergeCell ref="E282:G282"/>
    <mergeCell ref="E283:G283"/>
    <mergeCell ref="E284:G284"/>
    <mergeCell ref="E268:G268"/>
    <mergeCell ref="I268:K268"/>
    <mergeCell ref="E269:G269"/>
    <mergeCell ref="I269:K279"/>
    <mergeCell ref="E270:G270"/>
    <mergeCell ref="E271:G271"/>
    <mergeCell ref="E272:G272"/>
    <mergeCell ref="E256:G256"/>
    <mergeCell ref="I256:K256"/>
    <mergeCell ref="E257:G257"/>
    <mergeCell ref="I257:K267"/>
    <mergeCell ref="E258:G258"/>
    <mergeCell ref="E259:G259"/>
    <mergeCell ref="E260:G260"/>
    <mergeCell ref="E244:G244"/>
    <mergeCell ref="I244:K244"/>
    <mergeCell ref="E245:G245"/>
    <mergeCell ref="I245:K255"/>
    <mergeCell ref="E246:G246"/>
    <mergeCell ref="E247:G247"/>
    <mergeCell ref="E248:G248"/>
    <mergeCell ref="E232:G232"/>
    <mergeCell ref="I232:K232"/>
    <mergeCell ref="E233:G233"/>
    <mergeCell ref="I233:K243"/>
    <mergeCell ref="E234:G234"/>
    <mergeCell ref="E235:G235"/>
    <mergeCell ref="E236:G236"/>
    <mergeCell ref="E220:G220"/>
    <mergeCell ref="I220:K220"/>
    <mergeCell ref="E221:G221"/>
    <mergeCell ref="I221:K231"/>
    <mergeCell ref="E222:G222"/>
    <mergeCell ref="E223:G223"/>
    <mergeCell ref="E224:G224"/>
    <mergeCell ref="E208:G208"/>
    <mergeCell ref="I208:K208"/>
    <mergeCell ref="E209:G209"/>
    <mergeCell ref="I209:K219"/>
    <mergeCell ref="E210:G210"/>
    <mergeCell ref="E211:G211"/>
    <mergeCell ref="E212:G212"/>
    <mergeCell ref="E196:G196"/>
    <mergeCell ref="I196:K196"/>
    <mergeCell ref="E197:G197"/>
    <mergeCell ref="I197:K207"/>
    <mergeCell ref="E198:G198"/>
    <mergeCell ref="E199:G199"/>
    <mergeCell ref="E200:G200"/>
    <mergeCell ref="E184:G184"/>
    <mergeCell ref="I184:K184"/>
    <mergeCell ref="E185:G185"/>
    <mergeCell ref="I185:K195"/>
    <mergeCell ref="E186:G186"/>
    <mergeCell ref="E187:G187"/>
    <mergeCell ref="E188:G188"/>
    <mergeCell ref="E139:G139"/>
    <mergeCell ref="E140:G140"/>
    <mergeCell ref="E172:G172"/>
    <mergeCell ref="I172:K172"/>
    <mergeCell ref="E173:G173"/>
    <mergeCell ref="I173:K183"/>
    <mergeCell ref="E174:G174"/>
    <mergeCell ref="E175:G175"/>
    <mergeCell ref="E176:G176"/>
    <mergeCell ref="E160:G160"/>
    <mergeCell ref="I160:K160"/>
    <mergeCell ref="E161:G161"/>
    <mergeCell ref="I161:K171"/>
    <mergeCell ref="E162:G162"/>
    <mergeCell ref="E163:G163"/>
    <mergeCell ref="E164:G164"/>
    <mergeCell ref="E4:G4"/>
    <mergeCell ref="I4:K4"/>
    <mergeCell ref="E5:G5"/>
    <mergeCell ref="I5:K15"/>
    <mergeCell ref="E6:G6"/>
    <mergeCell ref="E7:G7"/>
    <mergeCell ref="E8:G8"/>
    <mergeCell ref="E16:G16"/>
    <mergeCell ref="I16:K16"/>
    <mergeCell ref="E17:G17"/>
    <mergeCell ref="I17:K27"/>
    <mergeCell ref="E18:G18"/>
    <mergeCell ref="E19:G19"/>
    <mergeCell ref="E20:G20"/>
    <mergeCell ref="E28:G28"/>
    <mergeCell ref="I28:K28"/>
    <mergeCell ref="E29:G29"/>
    <mergeCell ref="I29:K39"/>
    <mergeCell ref="E30:G30"/>
    <mergeCell ref="E31:G31"/>
    <mergeCell ref="E32:G32"/>
    <mergeCell ref="E40:G40"/>
    <mergeCell ref="I40:K40"/>
    <mergeCell ref="E41:G41"/>
    <mergeCell ref="I41:K51"/>
    <mergeCell ref="E42:G42"/>
    <mergeCell ref="E43:G43"/>
    <mergeCell ref="E44:G44"/>
    <mergeCell ref="E52:G52"/>
    <mergeCell ref="I52:K52"/>
    <mergeCell ref="E53:G53"/>
    <mergeCell ref="I53:K63"/>
    <mergeCell ref="E54:G54"/>
    <mergeCell ref="E55:G55"/>
    <mergeCell ref="E56:G56"/>
    <mergeCell ref="E64:G64"/>
    <mergeCell ref="I64:K64"/>
    <mergeCell ref="E65:G65"/>
    <mergeCell ref="I65:K75"/>
    <mergeCell ref="E66:G66"/>
    <mergeCell ref="E67:G67"/>
    <mergeCell ref="E68:G68"/>
    <mergeCell ref="E76:G76"/>
    <mergeCell ref="I76:K76"/>
    <mergeCell ref="E77:G77"/>
    <mergeCell ref="I77:K87"/>
    <mergeCell ref="E78:G78"/>
    <mergeCell ref="E79:G79"/>
    <mergeCell ref="E80:G80"/>
    <mergeCell ref="E88:G88"/>
    <mergeCell ref="I88:K88"/>
    <mergeCell ref="E89:G89"/>
    <mergeCell ref="I89:K99"/>
    <mergeCell ref="E90:G90"/>
    <mergeCell ref="E91:G91"/>
    <mergeCell ref="E92:G92"/>
    <mergeCell ref="E100:G100"/>
    <mergeCell ref="I100:K100"/>
    <mergeCell ref="E101:G101"/>
    <mergeCell ref="I101:K111"/>
    <mergeCell ref="E102:G102"/>
    <mergeCell ref="E103:G103"/>
    <mergeCell ref="E104:G104"/>
    <mergeCell ref="E112:G112"/>
    <mergeCell ref="I112:K112"/>
    <mergeCell ref="E113:G113"/>
    <mergeCell ref="I113:K123"/>
    <mergeCell ref="E114:G114"/>
    <mergeCell ref="E115:G115"/>
    <mergeCell ref="E116:G116"/>
    <mergeCell ref="E124:G124"/>
    <mergeCell ref="I124:K124"/>
    <mergeCell ref="E125:G125"/>
    <mergeCell ref="I125:K135"/>
    <mergeCell ref="E126:G126"/>
    <mergeCell ref="E127:G127"/>
    <mergeCell ref="E128:G128"/>
    <mergeCell ref="E509:G509"/>
    <mergeCell ref="I509:K509"/>
    <mergeCell ref="E510:G510"/>
    <mergeCell ref="I510:K520"/>
    <mergeCell ref="E511:G511"/>
    <mergeCell ref="E512:G512"/>
    <mergeCell ref="E513:G513"/>
    <mergeCell ref="E148:G148"/>
    <mergeCell ref="I148:K148"/>
    <mergeCell ref="E149:G149"/>
    <mergeCell ref="I149:K159"/>
    <mergeCell ref="E150:G150"/>
    <mergeCell ref="E151:G151"/>
    <mergeCell ref="E152:G152"/>
    <mergeCell ref="E136:G136"/>
    <mergeCell ref="I136:K136"/>
    <mergeCell ref="E137:G137"/>
    <mergeCell ref="I137:K147"/>
    <mergeCell ref="E138:G138"/>
    <mergeCell ref="E521:G521"/>
    <mergeCell ref="I521:K521"/>
    <mergeCell ref="E522:G522"/>
    <mergeCell ref="I522:K532"/>
    <mergeCell ref="E523:G523"/>
    <mergeCell ref="E524:G524"/>
    <mergeCell ref="E525:G525"/>
    <mergeCell ref="E533:G533"/>
    <mergeCell ref="I533:K533"/>
    <mergeCell ref="E534:G534"/>
    <mergeCell ref="I534:K544"/>
    <mergeCell ref="E535:G535"/>
    <mergeCell ref="E536:G536"/>
    <mergeCell ref="E537:G537"/>
    <mergeCell ref="E545:G545"/>
    <mergeCell ref="I545:K545"/>
    <mergeCell ref="E546:G546"/>
    <mergeCell ref="I546:K556"/>
    <mergeCell ref="E547:G547"/>
    <mergeCell ref="E548:G548"/>
    <mergeCell ref="E549:G549"/>
    <mergeCell ref="E557:G557"/>
    <mergeCell ref="I557:K557"/>
    <mergeCell ref="E558:G558"/>
    <mergeCell ref="I558:K568"/>
    <mergeCell ref="E559:G559"/>
    <mergeCell ref="E560:G560"/>
    <mergeCell ref="E561:G561"/>
    <mergeCell ref="E569:G569"/>
    <mergeCell ref="I569:K569"/>
    <mergeCell ref="E570:G570"/>
    <mergeCell ref="I570:K580"/>
    <mergeCell ref="E571:G571"/>
    <mergeCell ref="E572:G572"/>
    <mergeCell ref="E573:G573"/>
    <mergeCell ref="E581:G581"/>
    <mergeCell ref="I581:K581"/>
    <mergeCell ref="E582:G582"/>
    <mergeCell ref="I582:K592"/>
    <mergeCell ref="E583:G583"/>
    <mergeCell ref="E584:G584"/>
    <mergeCell ref="E585:G585"/>
    <mergeCell ref="E593:G593"/>
    <mergeCell ref="I593:K593"/>
    <mergeCell ref="E594:G594"/>
    <mergeCell ref="I594:K604"/>
    <mergeCell ref="E595:G595"/>
    <mergeCell ref="E596:G596"/>
    <mergeCell ref="E597:G597"/>
    <mergeCell ref="E605:G605"/>
    <mergeCell ref="I605:K605"/>
    <mergeCell ref="E606:G606"/>
    <mergeCell ref="I606:K616"/>
    <mergeCell ref="E607:G607"/>
    <mergeCell ref="E608:G608"/>
    <mergeCell ref="E609:G609"/>
    <mergeCell ref="E617:G617"/>
    <mergeCell ref="I617:K617"/>
    <mergeCell ref="E618:G618"/>
    <mergeCell ref="I618:K628"/>
    <mergeCell ref="E619:G619"/>
    <mergeCell ref="E620:G620"/>
    <mergeCell ref="E621:G621"/>
    <mergeCell ref="E629:G629"/>
    <mergeCell ref="I629:K629"/>
    <mergeCell ref="E630:G630"/>
    <mergeCell ref="I630:K640"/>
    <mergeCell ref="E631:G631"/>
    <mergeCell ref="E632:G632"/>
    <mergeCell ref="E633:G633"/>
    <mergeCell ref="E641:G641"/>
    <mergeCell ref="I641:K641"/>
    <mergeCell ref="E642:G642"/>
    <mergeCell ref="I642:K652"/>
    <mergeCell ref="E643:G643"/>
    <mergeCell ref="E644:G644"/>
    <mergeCell ref="E645:G645"/>
    <mergeCell ref="E653:G653"/>
    <mergeCell ref="I653:K653"/>
    <mergeCell ref="E654:G654"/>
    <mergeCell ref="I654:K664"/>
    <mergeCell ref="E655:G655"/>
    <mergeCell ref="E656:G656"/>
    <mergeCell ref="E657:G657"/>
    <mergeCell ref="E821:G821"/>
    <mergeCell ref="I821:K821"/>
    <mergeCell ref="E822:G822"/>
    <mergeCell ref="I822:K832"/>
    <mergeCell ref="E823:G823"/>
    <mergeCell ref="E824:G824"/>
    <mergeCell ref="E825:G825"/>
    <mergeCell ref="E833:G833"/>
    <mergeCell ref="I833:K833"/>
    <mergeCell ref="E834:G834"/>
    <mergeCell ref="I834:K844"/>
    <mergeCell ref="E835:G835"/>
    <mergeCell ref="E836:G836"/>
    <mergeCell ref="E837:G837"/>
    <mergeCell ref="E845:G845"/>
    <mergeCell ref="I845:K845"/>
    <mergeCell ref="E846:G846"/>
    <mergeCell ref="I846:K856"/>
    <mergeCell ref="E847:G847"/>
    <mergeCell ref="E848:G848"/>
    <mergeCell ref="E849:G849"/>
    <mergeCell ref="E857:G857"/>
    <mergeCell ref="I857:K857"/>
    <mergeCell ref="E858:G858"/>
    <mergeCell ref="I858:K868"/>
    <mergeCell ref="E859:G859"/>
    <mergeCell ref="E860:G860"/>
    <mergeCell ref="E861:G861"/>
    <mergeCell ref="E869:G869"/>
    <mergeCell ref="I869:K869"/>
    <mergeCell ref="E870:G870"/>
    <mergeCell ref="I870:K880"/>
    <mergeCell ref="E871:G871"/>
    <mergeCell ref="E872:G872"/>
    <mergeCell ref="E873:G873"/>
    <mergeCell ref="E881:G881"/>
    <mergeCell ref="I881:K881"/>
    <mergeCell ref="E882:G882"/>
    <mergeCell ref="I882:K892"/>
    <mergeCell ref="E883:G883"/>
    <mergeCell ref="E884:G884"/>
    <mergeCell ref="E885:G885"/>
    <mergeCell ref="E893:G893"/>
    <mergeCell ref="I893:K893"/>
    <mergeCell ref="E894:G894"/>
    <mergeCell ref="I894:K904"/>
    <mergeCell ref="E895:G895"/>
    <mergeCell ref="E896:G896"/>
    <mergeCell ref="E897:G897"/>
    <mergeCell ref="E905:G905"/>
    <mergeCell ref="I905:K905"/>
    <mergeCell ref="E906:G906"/>
    <mergeCell ref="I906:K916"/>
    <mergeCell ref="E907:G907"/>
    <mergeCell ref="E908:G908"/>
    <mergeCell ref="E909:G909"/>
    <mergeCell ref="E917:G917"/>
    <mergeCell ref="I917:K917"/>
    <mergeCell ref="E918:G918"/>
    <mergeCell ref="I918:K928"/>
    <mergeCell ref="E919:G919"/>
    <mergeCell ref="E920:G920"/>
    <mergeCell ref="E921:G921"/>
    <mergeCell ref="E942:G942"/>
    <mergeCell ref="I942:K952"/>
    <mergeCell ref="E943:G943"/>
    <mergeCell ref="E944:G944"/>
    <mergeCell ref="E945:G945"/>
    <mergeCell ref="E929:G929"/>
    <mergeCell ref="I929:K929"/>
    <mergeCell ref="E930:G930"/>
    <mergeCell ref="I930:K940"/>
    <mergeCell ref="E931:G931"/>
    <mergeCell ref="E932:G932"/>
    <mergeCell ref="E933:G933"/>
    <mergeCell ref="E941:G941"/>
    <mergeCell ref="I941:K941"/>
  </mergeCells>
  <conditionalFormatting sqref="E238">
    <cfRule type="cellIs" dxfId="4" priority="3" operator="greaterThan">
      <formula>$E$103</formula>
    </cfRule>
  </conditionalFormatting>
  <conditionalFormatting sqref="E635">
    <cfRule type="cellIs" dxfId="3" priority="2" operator="greaterThan">
      <formula>$E$127</formula>
    </cfRule>
  </conditionalFormatting>
  <conditionalFormatting sqref="E82:F82">
    <cfRule type="cellIs" dxfId="2" priority="4" operator="greaterThan">
      <formula>$E$79</formula>
    </cfRule>
  </conditionalFormatting>
  <conditionalFormatting sqref="E1139">
    <cfRule type="cellIs" dxfId="0" priority="1" operator="greaterThan">
      <formula>$E$175</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878BA-C755-D841-ACB2-6C153073EE44}">
  <dimension ref="D4:F19"/>
  <sheetViews>
    <sheetView workbookViewId="0">
      <selection activeCell="E29" sqref="E29"/>
    </sheetView>
  </sheetViews>
  <sheetFormatPr baseColWidth="10" defaultRowHeight="16" x14ac:dyDescent="0.2"/>
  <cols>
    <col min="1" max="1" width="3" customWidth="1"/>
    <col min="2" max="3" width="2.5" customWidth="1"/>
    <col min="4" max="4" width="3.5" customWidth="1"/>
    <col min="5" max="5" width="40.5" bestFit="1" customWidth="1"/>
  </cols>
  <sheetData>
    <row r="4" spans="4:6" x14ac:dyDescent="0.2">
      <c r="D4" s="2" t="s">
        <v>47</v>
      </c>
    </row>
    <row r="5" spans="4:6" x14ac:dyDescent="0.2">
      <c r="D5" s="2"/>
      <c r="E5" t="s">
        <v>213</v>
      </c>
    </row>
    <row r="6" spans="4:6" x14ac:dyDescent="0.2">
      <c r="E6" t="s">
        <v>62</v>
      </c>
    </row>
    <row r="7" spans="4:6" x14ac:dyDescent="0.2">
      <c r="E7" t="s">
        <v>46</v>
      </c>
    </row>
    <row r="8" spans="4:6" x14ac:dyDescent="0.2">
      <c r="E8" t="s">
        <v>45</v>
      </c>
    </row>
    <row r="9" spans="4:6" x14ac:dyDescent="0.2">
      <c r="E9" t="s">
        <v>44</v>
      </c>
      <c r="F9" t="s">
        <v>269</v>
      </c>
    </row>
    <row r="10" spans="4:6" x14ac:dyDescent="0.2">
      <c r="E10" t="s">
        <v>63</v>
      </c>
    </row>
    <row r="11" spans="4:6" x14ac:dyDescent="0.2">
      <c r="E11" t="s">
        <v>64</v>
      </c>
    </row>
    <row r="12" spans="4:6" x14ac:dyDescent="0.2">
      <c r="D12" s="2" t="s">
        <v>34</v>
      </c>
    </row>
    <row r="13" spans="4:6" x14ac:dyDescent="0.2">
      <c r="D13" s="3">
        <v>1</v>
      </c>
      <c r="E13" t="s">
        <v>43</v>
      </c>
    </row>
    <row r="14" spans="4:6" x14ac:dyDescent="0.2">
      <c r="D14" s="3">
        <v>2</v>
      </c>
      <c r="E14" t="s">
        <v>42</v>
      </c>
    </row>
    <row r="15" spans="4:6" x14ac:dyDescent="0.2">
      <c r="D15" s="3">
        <f>D14+1</f>
        <v>3</v>
      </c>
      <c r="E15" t="s">
        <v>41</v>
      </c>
    </row>
    <row r="16" spans="4:6" x14ac:dyDescent="0.2">
      <c r="D16" s="3">
        <f>D15+1</f>
        <v>4</v>
      </c>
      <c r="E16" t="s">
        <v>40</v>
      </c>
    </row>
    <row r="17" spans="4:5" x14ac:dyDescent="0.2">
      <c r="D17" s="3">
        <f>D16+1</f>
        <v>5</v>
      </c>
      <c r="E17" t="s">
        <v>39</v>
      </c>
    </row>
    <row r="18" spans="4:5" x14ac:dyDescent="0.2">
      <c r="D18" s="3">
        <f>D17+1</f>
        <v>6</v>
      </c>
      <c r="E18" t="s">
        <v>38</v>
      </c>
    </row>
    <row r="19" spans="4:5" x14ac:dyDescent="0.2">
      <c r="D19" s="3">
        <f>D18+1</f>
        <v>7</v>
      </c>
      <c r="E19" t="s">
        <v>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83170-D3F4-4E43-B2BF-7F50FBA8BD4D}">
  <dimension ref="A1"/>
  <sheetViews>
    <sheetView workbookViewId="0"/>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Historical</vt:lpstr>
      <vt:lpstr>HEC</vt:lpstr>
      <vt:lpstr>HEC-U</vt:lpstr>
      <vt:lpstr>EC-Commands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Pawan J</dc:creator>
  <cp:keywords/>
  <dc:description/>
  <cp:lastModifiedBy>Pawan J</cp:lastModifiedBy>
  <dcterms:created xsi:type="dcterms:W3CDTF">2024-07-07T14:39:34Z</dcterms:created>
  <dcterms:modified xsi:type="dcterms:W3CDTF">2024-11-29T14:02:57Z</dcterms:modified>
  <cp:category/>
</cp:coreProperties>
</file>