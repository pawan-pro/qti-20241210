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119"/>
  <workbookPr defaultThemeVersion="202300"/>
  <mc:AlternateContent xmlns:mc="http://schemas.openxmlformats.org/markup-compatibility/2006">
    <mc:Choice Requires="x15">
      <x15ac:absPath xmlns:x15ac="http://schemas.microsoft.com/office/spreadsheetml/2010/11/ac" url="/Users/pawan/Documents/GitHub/qti/public/Resources/"/>
    </mc:Choice>
  </mc:AlternateContent>
  <xr:revisionPtr revIDLastSave="0" documentId="8_{A87E3308-FB06-4243-95F5-D73A2F809545}" xr6:coauthVersionLast="47" xr6:coauthVersionMax="47" xr10:uidLastSave="{00000000-0000-0000-0000-000000000000}"/>
  <bookViews>
    <workbookView xWindow="0" yWindow="0" windowWidth="28800" windowHeight="18000" xr2:uid="{063D4EF7-341C-E54C-A634-559694D7D04D}"/>
  </bookViews>
  <sheets>
    <sheet name="Historical" sheetId="2" r:id="rId1"/>
    <sheet name="HEC" sheetId="1" r:id="rId2"/>
    <sheet name="HEC-U" sheetId="5" r:id="rId3"/>
    <sheet name="Sheet1" sheetId="6" state="hidden" r:id="rId4"/>
    <sheet name="EC-Commands" sheetId="3" state="hidden" r:id="rId5"/>
    <sheet name="Sheet2" sheetId="4" state="hidden" r:id="rId6"/>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21" i="2" l="1"/>
  <c r="B522" i="2" s="1"/>
  <c r="B506" i="2"/>
  <c r="B507" i="2" s="1"/>
  <c r="B508" i="2" s="1"/>
  <c r="B509" i="2" s="1"/>
  <c r="B510" i="2" s="1"/>
  <c r="B511" i="2" s="1"/>
  <c r="B502" i="2"/>
  <c r="B503" i="2" s="1"/>
  <c r="B430" i="2"/>
  <c r="B431" i="2" s="1"/>
  <c r="B427" i="2"/>
  <c r="B428" i="2" s="1"/>
  <c r="J379" i="2"/>
  <c r="B377" i="2"/>
  <c r="B374" i="2"/>
  <c r="J367" i="2"/>
  <c r="J361" i="2"/>
  <c r="B355" i="2"/>
  <c r="B356" i="2" s="1"/>
  <c r="B357" i="2" s="1"/>
  <c r="B354" i="2"/>
  <c r="J348" i="2"/>
  <c r="B336" i="2"/>
  <c r="B337" i="2" s="1"/>
  <c r="B338" i="2" s="1"/>
  <c r="B339" i="2" s="1"/>
  <c r="B340" i="2" s="1"/>
  <c r="B341" i="2" s="1"/>
  <c r="B342" i="2" s="1"/>
  <c r="B343" i="2" s="1"/>
  <c r="B344" i="2" s="1"/>
  <c r="B345" i="2" s="1"/>
  <c r="B346" i="2" s="1"/>
  <c r="B347" i="2" s="1"/>
  <c r="J333" i="2"/>
  <c r="B326" i="2"/>
  <c r="B327" i="2" s="1"/>
  <c r="B328" i="2" s="1"/>
  <c r="B329" i="2" s="1"/>
  <c r="B330" i="2" s="1"/>
  <c r="B331" i="2" s="1"/>
  <c r="B332" i="2" s="1"/>
  <c r="D316" i="2"/>
  <c r="F314" i="2"/>
  <c r="F315" i="2" s="1"/>
  <c r="F316" i="2" s="1"/>
  <c r="F317" i="2" s="1"/>
  <c r="C313" i="2"/>
  <c r="C314" i="2" s="1"/>
  <c r="C315" i="2" s="1"/>
  <c r="C316" i="2" s="1"/>
  <c r="C317" i="2" s="1"/>
  <c r="D311" i="2"/>
  <c r="E307" i="2"/>
  <c r="E308" i="2" s="1"/>
  <c r="D307" i="2"/>
  <c r="D308" i="2" s="1"/>
  <c r="C304" i="2"/>
  <c r="C305" i="2" s="1"/>
  <c r="C306" i="2" s="1"/>
  <c r="C307" i="2" s="1"/>
  <c r="C308" i="2" s="1"/>
  <c r="C309" i="2" s="1"/>
  <c r="C296" i="2"/>
  <c r="C297" i="2" s="1"/>
  <c r="C298" i="2" s="1"/>
  <c r="C299" i="2" s="1"/>
  <c r="C300" i="2" s="1"/>
  <c r="C295" i="2"/>
  <c r="B291" i="2"/>
  <c r="D290" i="2"/>
  <c r="B290" i="2"/>
  <c r="B294" i="2" s="1"/>
  <c r="B296" i="2" s="1"/>
  <c r="B297" i="2" s="1"/>
  <c r="B298" i="2" s="1"/>
  <c r="B299" i="2" s="1"/>
  <c r="C283" i="2"/>
  <c r="C284" i="2" s="1"/>
  <c r="C285" i="2" s="1"/>
  <c r="C280" i="2"/>
  <c r="B281" i="2"/>
  <c r="B280" i="2" s="1"/>
  <c r="D280" i="2"/>
  <c r="B279" i="2"/>
  <c r="B282" i="2" s="1"/>
  <c r="B283" i="2" s="1"/>
  <c r="B284" i="2" s="1"/>
  <c r="B285" i="2" s="1"/>
  <c r="B286" i="2" s="1"/>
  <c r="D267" i="2"/>
  <c r="B265" i="2"/>
  <c r="B266" i="2" s="1"/>
  <c r="B267" i="2" s="1"/>
  <c r="B268" i="2" s="1"/>
  <c r="B269" i="2" s="1"/>
  <c r="B270" i="2" s="1"/>
  <c r="B271" i="2" s="1"/>
  <c r="B272" i="2" s="1"/>
  <c r="B273" i="2" s="1"/>
  <c r="B274" i="2" s="1"/>
  <c r="B263" i="2"/>
  <c r="B262" i="2"/>
  <c r="E257" i="2"/>
  <c r="E258" i="2" s="1"/>
  <c r="E259" i="2" s="1"/>
  <c r="D257" i="2"/>
  <c r="D258" i="2" s="1"/>
  <c r="D259" i="2" s="1"/>
  <c r="B245" i="2"/>
  <c r="B246" i="2" s="1"/>
  <c r="L233" i="1"/>
  <c r="M233" i="1" s="1"/>
  <c r="L221" i="1"/>
  <c r="M221" i="1" s="1"/>
  <c r="L209" i="1"/>
  <c r="M209" i="1" s="1"/>
  <c r="L197" i="1"/>
  <c r="M197" i="1" s="1"/>
  <c r="L173" i="1"/>
  <c r="L185" i="1" s="1"/>
  <c r="M185" i="1" s="1"/>
  <c r="L161" i="1"/>
  <c r="M161" i="1" s="1"/>
  <c r="L149" i="1"/>
  <c r="M149" i="1" s="1"/>
  <c r="L137" i="1"/>
  <c r="M137" i="1" s="1"/>
  <c r="L125" i="1"/>
  <c r="M125" i="1" s="1"/>
  <c r="L113" i="1"/>
  <c r="M113" i="1" s="1"/>
  <c r="L101" i="1"/>
  <c r="M101" i="1" s="1"/>
  <c r="L89" i="1"/>
  <c r="M89" i="1" s="1"/>
  <c r="L77" i="1"/>
  <c r="M77" i="1" s="1"/>
  <c r="L65" i="1"/>
  <c r="M65" i="1" s="1"/>
  <c r="L53" i="1"/>
  <c r="M53" i="1" s="1"/>
  <c r="L41" i="1"/>
  <c r="M41" i="1" s="1"/>
  <c r="L29" i="1"/>
  <c r="M29" i="1" s="1"/>
  <c r="L17" i="1"/>
  <c r="M17" i="1" s="1"/>
  <c r="L5" i="1"/>
  <c r="M5" i="1" s="1"/>
  <c r="B222" i="2"/>
  <c r="B223" i="2" s="1"/>
  <c r="D219" i="2"/>
  <c r="B208" i="2"/>
  <c r="C208" i="2" s="1"/>
  <c r="C207" i="2"/>
  <c r="C206" i="2"/>
  <c r="C188" i="2"/>
  <c r="B171" i="2"/>
  <c r="C171" i="2" s="1"/>
  <c r="C169" i="2"/>
  <c r="I168" i="2"/>
  <c r="H168" i="2"/>
  <c r="C168" i="2"/>
  <c r="C166" i="2"/>
  <c r="B164" i="2"/>
  <c r="B165" i="2" s="1"/>
  <c r="C165" i="2" s="1"/>
  <c r="C163" i="2"/>
  <c r="B154" i="2"/>
  <c r="C154" i="2" s="1"/>
  <c r="D153" i="2"/>
  <c r="C153" i="2"/>
  <c r="C152" i="2"/>
  <c r="C151" i="2"/>
  <c r="J150" i="2"/>
  <c r="C150" i="2"/>
  <c r="H137" i="2"/>
  <c r="J137" i="2"/>
  <c r="I137" i="2"/>
  <c r="B137" i="2"/>
  <c r="C137" i="2" s="1"/>
  <c r="C136" i="2"/>
  <c r="B525" i="2" l="1"/>
  <c r="B523" i="2"/>
  <c r="B504" i="2"/>
  <c r="B505" i="2"/>
  <c r="B292" i="2"/>
  <c r="B376" i="2"/>
  <c r="B378" i="2" s="1"/>
  <c r="B293" i="2"/>
  <c r="B295" i="2" s="1"/>
  <c r="B301" i="2"/>
  <c r="B300" i="2"/>
  <c r="B247" i="2"/>
  <c r="M173" i="1"/>
  <c r="B209" i="2"/>
  <c r="C209" i="2" s="1"/>
  <c r="B224" i="2"/>
  <c r="B210" i="2"/>
  <c r="B170" i="2"/>
  <c r="C170" i="2" s="1"/>
  <c r="B172" i="2"/>
  <c r="B173" i="2" s="1"/>
  <c r="B174" i="2" s="1"/>
  <c r="B177" i="2"/>
  <c r="B155" i="2"/>
  <c r="C155" i="2" s="1"/>
  <c r="C164" i="2"/>
  <c r="B138" i="2"/>
  <c r="B524" i="2" l="1"/>
  <c r="B527" i="2" s="1"/>
  <c r="B528" i="2" s="1"/>
  <c r="B529" i="2" s="1"/>
  <c r="B530" i="2" s="1"/>
  <c r="B526" i="2"/>
  <c r="B302" i="2"/>
  <c r="B303" i="2"/>
  <c r="B304" i="2" s="1"/>
  <c r="B305" i="2" s="1"/>
  <c r="B306" i="2" s="1"/>
  <c r="B307" i="2" s="1"/>
  <c r="B308" i="2" s="1"/>
  <c r="B309" i="2" s="1"/>
  <c r="B312" i="2" s="1"/>
  <c r="B248" i="2"/>
  <c r="C172" i="2"/>
  <c r="C173" i="2"/>
  <c r="B225" i="2"/>
  <c r="C210" i="2"/>
  <c r="B211" i="2"/>
  <c r="C177" i="2"/>
  <c r="B178" i="2"/>
  <c r="C178" i="2" s="1"/>
  <c r="B175" i="2"/>
  <c r="C174" i="2"/>
  <c r="B156" i="2"/>
  <c r="B157" i="2" s="1"/>
  <c r="B139" i="2"/>
  <c r="C138" i="2"/>
  <c r="B536" i="2" l="1"/>
  <c r="B531" i="2"/>
  <c r="B532" i="2" s="1"/>
  <c r="B533" i="2" s="1"/>
  <c r="B534" i="2" s="1"/>
  <c r="B535" i="2" s="1"/>
  <c r="B537" i="2" s="1"/>
  <c r="B538" i="2" s="1"/>
  <c r="B539" i="2" s="1"/>
  <c r="B540" i="2" s="1"/>
  <c r="B541" i="2" s="1"/>
  <c r="B542" i="2" s="1"/>
  <c r="B543" i="2" s="1"/>
  <c r="B544" i="2" s="1"/>
  <c r="B313" i="2"/>
  <c r="B314" i="2" s="1"/>
  <c r="B315" i="2" s="1"/>
  <c r="B316" i="2" s="1"/>
  <c r="B317" i="2" s="1"/>
  <c r="B311" i="2"/>
  <c r="B310" i="2" s="1"/>
  <c r="C156" i="2"/>
  <c r="B249" i="2"/>
  <c r="B226" i="2"/>
  <c r="C211" i="2"/>
  <c r="B212" i="2"/>
  <c r="C175" i="2"/>
  <c r="B176" i="2"/>
  <c r="B158" i="2"/>
  <c r="C157" i="2"/>
  <c r="C139" i="2"/>
  <c r="B140" i="2"/>
  <c r="B545" i="2" l="1"/>
  <c r="B546" i="2"/>
  <c r="B547" i="2" s="1"/>
  <c r="B548" i="2" s="1"/>
  <c r="B549" i="2" s="1"/>
  <c r="B250" i="2"/>
  <c r="B227" i="2"/>
  <c r="B213" i="2"/>
  <c r="C212" i="2"/>
  <c r="B179" i="2"/>
  <c r="C176" i="2"/>
  <c r="C158" i="2"/>
  <c r="B159" i="2"/>
  <c r="B141" i="2"/>
  <c r="C140" i="2"/>
  <c r="B251" i="2" l="1"/>
  <c r="B228" i="2"/>
  <c r="C213" i="2"/>
  <c r="B215" i="2"/>
  <c r="B214" i="2"/>
  <c r="C214" i="2" s="1"/>
  <c r="C179" i="2"/>
  <c r="B184" i="2"/>
  <c r="B180" i="2"/>
  <c r="B160" i="2"/>
  <c r="C159" i="2"/>
  <c r="B142" i="2"/>
  <c r="C141" i="2"/>
  <c r="B252" i="2" l="1"/>
  <c r="B229" i="2"/>
  <c r="C215" i="2"/>
  <c r="B216" i="2"/>
  <c r="B181" i="2"/>
  <c r="C180" i="2"/>
  <c r="B185" i="2"/>
  <c r="C184" i="2"/>
  <c r="B161" i="2"/>
  <c r="C160" i="2"/>
  <c r="B143" i="2"/>
  <c r="C142" i="2"/>
  <c r="B253" i="2" l="1"/>
  <c r="B230" i="2"/>
  <c r="C216" i="2"/>
  <c r="B217" i="2"/>
  <c r="B186" i="2"/>
  <c r="C185" i="2"/>
  <c r="B182" i="2"/>
  <c r="C181" i="2"/>
  <c r="B162" i="2"/>
  <c r="C162" i="2" s="1"/>
  <c r="C161" i="2"/>
  <c r="C143" i="2"/>
  <c r="B144" i="2"/>
  <c r="B254" i="2" l="1"/>
  <c r="B231" i="2"/>
  <c r="B218" i="2"/>
  <c r="C217" i="2"/>
  <c r="B183" i="2"/>
  <c r="C183" i="2" s="1"/>
  <c r="C182" i="2"/>
  <c r="B187" i="2"/>
  <c r="C187" i="2" s="1"/>
  <c r="C186" i="2"/>
  <c r="B145" i="2"/>
  <c r="C144" i="2"/>
  <c r="B255" i="2" l="1"/>
  <c r="B232" i="2"/>
  <c r="C218" i="2"/>
  <c r="B219" i="2"/>
  <c r="C219" i="2" s="1"/>
  <c r="B146" i="2"/>
  <c r="C145" i="2"/>
  <c r="J122" i="2"/>
  <c r="D101" i="2"/>
  <c r="D104" i="2" s="1"/>
  <c r="B93" i="2"/>
  <c r="B94" i="2" s="1"/>
  <c r="C92" i="2"/>
  <c r="B68" i="2"/>
  <c r="B66" i="2"/>
  <c r="C66" i="2" s="1"/>
  <c r="C65" i="2"/>
  <c r="C64" i="2"/>
  <c r="D58" i="2"/>
  <c r="D59" i="2" s="1"/>
  <c r="D60" i="2" s="1"/>
  <c r="D61" i="2" s="1"/>
  <c r="D62" i="2" s="1"/>
  <c r="D63" i="2" s="1"/>
  <c r="D53" i="2"/>
  <c r="D54" i="2" s="1"/>
  <c r="B50" i="2"/>
  <c r="C50" i="2" s="1"/>
  <c r="C47" i="2"/>
  <c r="F45" i="2"/>
  <c r="E45" i="2"/>
  <c r="D45" i="2"/>
  <c r="D43" i="2"/>
  <c r="B37" i="2"/>
  <c r="C37" i="2" s="1"/>
  <c r="C36" i="2"/>
  <c r="C35" i="2"/>
  <c r="B22" i="2"/>
  <c r="C21" i="2"/>
  <c r="D15" i="3"/>
  <c r="D16" i="3" s="1"/>
  <c r="D17" i="3" s="1"/>
  <c r="D18" i="3" s="1"/>
  <c r="D19" i="3" s="1"/>
  <c r="C3" i="2"/>
  <c r="C4" i="2"/>
  <c r="C5" i="2"/>
  <c r="C6" i="2"/>
  <c r="B7" i="2"/>
  <c r="C7" i="2" s="1"/>
  <c r="B256" i="2" l="1"/>
  <c r="B234" i="2"/>
  <c r="B233" i="2"/>
  <c r="B69" i="2"/>
  <c r="C69" i="2" s="1"/>
  <c r="C93" i="2"/>
  <c r="B147" i="2"/>
  <c r="C146" i="2"/>
  <c r="B8" i="2"/>
  <c r="C8" i="2" s="1"/>
  <c r="C106" i="2"/>
  <c r="C68" i="2"/>
  <c r="C94" i="2"/>
  <c r="B98" i="2"/>
  <c r="B67" i="2"/>
  <c r="B52" i="2"/>
  <c r="C52" i="2" s="1"/>
  <c r="B51" i="2"/>
  <c r="C51" i="2" s="1"/>
  <c r="B53" i="2"/>
  <c r="B54" i="2" s="1"/>
  <c r="C54" i="2" s="1"/>
  <c r="B38" i="2"/>
  <c r="B39" i="2" s="1"/>
  <c r="C39" i="2" s="1"/>
  <c r="B48" i="2"/>
  <c r="C22" i="2"/>
  <c r="B23" i="2"/>
  <c r="C257" i="2" l="1"/>
  <c r="C258" i="2" s="1"/>
  <c r="C259" i="2" s="1"/>
  <c r="B257" i="2"/>
  <c r="B258" i="2" s="1"/>
  <c r="B259" i="2" s="1"/>
  <c r="B235" i="2"/>
  <c r="B9" i="2"/>
  <c r="C9" i="2" s="1"/>
  <c r="C147" i="2"/>
  <c r="B148" i="2"/>
  <c r="C53" i="2"/>
  <c r="B40" i="2"/>
  <c r="C40" i="2" s="1"/>
  <c r="B55" i="2"/>
  <c r="B56" i="2" s="1"/>
  <c r="C98" i="2"/>
  <c r="B99" i="2"/>
  <c r="B95" i="2"/>
  <c r="C67" i="2"/>
  <c r="B70" i="2"/>
  <c r="C48" i="2"/>
  <c r="B49" i="2"/>
  <c r="C49" i="2" s="1"/>
  <c r="C38" i="2"/>
  <c r="B24" i="2"/>
  <c r="C23" i="2"/>
  <c r="C55" i="2" l="1"/>
  <c r="B236" i="2"/>
  <c r="B10" i="2"/>
  <c r="C10" i="2" s="1"/>
  <c r="B41" i="2"/>
  <c r="B42" i="2" s="1"/>
  <c r="C148" i="2"/>
  <c r="B96" i="2"/>
  <c r="C95" i="2"/>
  <c r="B100" i="2"/>
  <c r="C99" i="2"/>
  <c r="B101" i="2"/>
  <c r="C101" i="2" s="1"/>
  <c r="B71" i="2"/>
  <c r="C70" i="2"/>
  <c r="B57" i="2"/>
  <c r="C56" i="2"/>
  <c r="C41" i="2"/>
  <c r="B25" i="2"/>
  <c r="C24" i="2"/>
  <c r="B11" i="2" l="1"/>
  <c r="B237" i="2"/>
  <c r="B102" i="2"/>
  <c r="C100" i="2"/>
  <c r="B97" i="2"/>
  <c r="C97" i="2" s="1"/>
  <c r="C96" i="2"/>
  <c r="C71" i="2"/>
  <c r="B72" i="2"/>
  <c r="B58" i="2"/>
  <c r="C57" i="2"/>
  <c r="B43" i="2"/>
  <c r="C42" i="2"/>
  <c r="B26" i="2"/>
  <c r="C25" i="2"/>
  <c r="C11" i="2"/>
  <c r="B12" i="2"/>
  <c r="B238" i="2" l="1"/>
  <c r="B103" i="2"/>
  <c r="C102" i="2"/>
  <c r="B73" i="2"/>
  <c r="C72" i="2"/>
  <c r="C58" i="2"/>
  <c r="B59" i="2"/>
  <c r="B44" i="2"/>
  <c r="B45" i="2" s="1"/>
  <c r="B46" i="2" s="1"/>
  <c r="C43" i="2"/>
  <c r="C44" i="2" s="1"/>
  <c r="C45" i="2" s="1"/>
  <c r="C46" i="2" s="1"/>
  <c r="C26" i="2"/>
  <c r="B27" i="2"/>
  <c r="C12" i="2"/>
  <c r="B13" i="2"/>
  <c r="B239" i="2" l="1"/>
  <c r="C103" i="2"/>
  <c r="B104" i="2"/>
  <c r="B74" i="2"/>
  <c r="C73" i="2"/>
  <c r="B60" i="2"/>
  <c r="C59" i="2"/>
  <c r="B28" i="2"/>
  <c r="C27" i="2"/>
  <c r="C13" i="2"/>
  <c r="B14" i="2"/>
  <c r="B240" i="2" l="1"/>
  <c r="B105" i="2"/>
  <c r="C105" i="2" s="1"/>
  <c r="C104" i="2"/>
  <c r="C74" i="2"/>
  <c r="B75" i="2"/>
  <c r="B61" i="2"/>
  <c r="C60" i="2"/>
  <c r="B29" i="2"/>
  <c r="C28" i="2"/>
  <c r="C14" i="2"/>
  <c r="B15" i="2"/>
  <c r="B241" i="2" l="1"/>
  <c r="C75" i="2"/>
  <c r="B76" i="2"/>
  <c r="B62" i="2"/>
  <c r="C61" i="2"/>
  <c r="B30" i="2"/>
  <c r="C29" i="2"/>
  <c r="C15" i="2"/>
  <c r="B16" i="2"/>
  <c r="B79" i="2" l="1"/>
  <c r="C79" i="2" s="1"/>
  <c r="B77" i="2"/>
  <c r="C76" i="2"/>
  <c r="B63" i="2"/>
  <c r="C63" i="2" s="1"/>
  <c r="C62" i="2"/>
  <c r="C30" i="2"/>
  <c r="B31" i="2"/>
  <c r="C16" i="2"/>
  <c r="B17" i="2"/>
  <c r="C77" i="2" l="1"/>
  <c r="B78" i="2"/>
  <c r="B80" i="2"/>
  <c r="C80" i="2" s="1"/>
  <c r="B32" i="2"/>
  <c r="C31" i="2"/>
  <c r="C17" i="2"/>
  <c r="B18" i="2"/>
  <c r="C78" i="2" l="1"/>
  <c r="B81" i="2"/>
  <c r="B33" i="2"/>
  <c r="C32" i="2"/>
  <c r="C18" i="2"/>
  <c r="B19" i="2"/>
  <c r="B82" i="2" l="1"/>
  <c r="C81" i="2"/>
  <c r="B34" i="2"/>
  <c r="C34" i="2" s="1"/>
  <c r="C33" i="2"/>
  <c r="C19" i="2"/>
  <c r="B20" i="2"/>
  <c r="C20" i="2" s="1"/>
  <c r="C82" i="2" l="1"/>
  <c r="B83" i="2"/>
  <c r="C83" i="2" l="1"/>
  <c r="B86" i="2"/>
  <c r="C86" i="2" s="1"/>
  <c r="B84" i="2"/>
  <c r="B87" i="2" l="1"/>
  <c r="C87" i="2" s="1"/>
  <c r="B85" i="2"/>
  <c r="C84" i="2"/>
  <c r="C85" i="2" l="1"/>
  <c r="B89" i="2"/>
  <c r="B88" i="2"/>
  <c r="C88" i="2" s="1"/>
  <c r="B90" i="2" l="1"/>
  <c r="C89" i="2"/>
  <c r="C90" i="2" l="1"/>
  <c r="B91" i="2"/>
  <c r="C91" i="2" s="1"/>
</calcChain>
</file>

<file path=xl/sharedStrings.xml><?xml version="1.0" encoding="utf-8"?>
<sst xmlns="http://schemas.openxmlformats.org/spreadsheetml/2006/main" count="17331" uniqueCount="1560">
  <si>
    <t>Fed Monetary Policy Report</t>
  </si>
  <si>
    <t>USD</t>
  </si>
  <si>
    <t>Unemployment Rate</t>
  </si>
  <si>
    <t>272K</t>
  </si>
  <si>
    <t>180K</t>
  </si>
  <si>
    <t>Nonfarm Payrolls (Jun)</t>
  </si>
  <si>
    <t>Average Hourly Earnings (MoM) (Jun)</t>
  </si>
  <si>
    <t>FOMC Meeting Minutes</t>
  </si>
  <si>
    <t>3.591M</t>
  </si>
  <si>
    <t>Crude Oil Inventories</t>
  </si>
  <si>
    <t>ISM Non-Manufacturing Prices (Jun)</t>
  </si>
  <si>
    <t>ISM Non-Manufacturing PMI (Jun)</t>
  </si>
  <si>
    <t>S&amp;P Global Services PMI (Jun)</t>
  </si>
  <si>
    <t>233K</t>
  </si>
  <si>
    <t>Initial Jobless Claims</t>
  </si>
  <si>
    <t>152K</t>
  </si>
  <si>
    <t>170K</t>
  </si>
  <si>
    <t>ADP Nonfarm Employment Change (Jun)</t>
  </si>
  <si>
    <t>8.059M</t>
  </si>
  <si>
    <t>JOLTs Job Openings (May)</t>
  </si>
  <si>
    <t>Fed Chair Powell Speaks</t>
  </si>
  <si>
    <t>CPI (YoY) (Jun) P</t>
  </si>
  <si>
    <t>EUR</t>
  </si>
  <si>
    <t>ISM Manufacturing Prices (Jun)</t>
  </si>
  <si>
    <t>ISM Manufacturing PMI (Jun)</t>
  </si>
  <si>
    <t>S&amp;P Global US Manufacturing PMI (Jun)</t>
  </si>
  <si>
    <t>German CPI (MoM) (Jun) P</t>
  </si>
  <si>
    <t>Previous</t>
  </si>
  <si>
    <t>Forecast</t>
  </si>
  <si>
    <t>Actual</t>
  </si>
  <si>
    <t>Event</t>
  </si>
  <si>
    <t>Imp.</t>
  </si>
  <si>
    <t>Cur.</t>
  </si>
  <si>
    <t>Time (IST)</t>
  </si>
  <si>
    <t>Day</t>
  </si>
  <si>
    <t>Date</t>
  </si>
  <si>
    <t>Economic Calendar</t>
  </si>
  <si>
    <t>Sun</t>
  </si>
  <si>
    <t>Sat</t>
  </si>
  <si>
    <t>Fri</t>
  </si>
  <si>
    <t>Thu</t>
  </si>
  <si>
    <t>Wed</t>
  </si>
  <si>
    <t>Tue</t>
  </si>
  <si>
    <t>Mon</t>
  </si>
  <si>
    <t>http://35.246.171.209/ec.csv</t>
  </si>
  <si>
    <t>sudo systemctl restart apache2</t>
  </si>
  <si>
    <t>sudo chmod 644 /var/www/html/ec.csv</t>
  </si>
  <si>
    <t>Commands</t>
  </si>
  <si>
    <t>Fed Chair Powell Testifies</t>
  </si>
  <si>
    <t>NZD</t>
  </si>
  <si>
    <t>RBNZ Interest Rate Decision</t>
  </si>
  <si>
    <t>-12.157M</t>
  </si>
  <si>
    <t>10-Year Note Auction</t>
  </si>
  <si>
    <t>GBP</t>
  </si>
  <si>
    <t>GDP (MoM) (May)</t>
  </si>
  <si>
    <t>German CPI (MoM) (Jun)</t>
  </si>
  <si>
    <t>Core CPI (MoM) (Jun)</t>
  </si>
  <si>
    <t>CPI (YoY) (Jun)</t>
  </si>
  <si>
    <t>CPI (MoM) (Jun)</t>
  </si>
  <si>
    <t>238K</t>
  </si>
  <si>
    <t>30-YearBond Auction</t>
  </si>
  <si>
    <t>PPI (MoM) (Jun)</t>
  </si>
  <si>
    <t>sudo mv ~/ec.csv /var/www/html/</t>
  </si>
  <si>
    <t>sudo python3 generate_html3.py</t>
  </si>
  <si>
    <t>http://35.246.171.209/economic_calendar.html</t>
  </si>
  <si>
    <t>CNY</t>
  </si>
  <si>
    <t>GDP (YoY) (Q2)</t>
  </si>
  <si>
    <t>Core Retail Sales (MoM) (Jun)</t>
  </si>
  <si>
    <t>Retail Sales (MoM) (Jun)</t>
  </si>
  <si>
    <t>-3.443M</t>
  </si>
  <si>
    <t>Deposit Facility Rate (Jul)</t>
  </si>
  <si>
    <t>ECB Interest Rate Decision (Jul)</t>
  </si>
  <si>
    <t>222K</t>
  </si>
  <si>
    <t>Philadelphia Fed Manufacturing Index (Jul)</t>
  </si>
  <si>
    <t>ECB Press Conference</t>
  </si>
  <si>
    <t>Notes</t>
  </si>
  <si>
    <t>Existing Home Sales (Jun)</t>
  </si>
  <si>
    <t>4.00M</t>
  </si>
  <si>
    <t>4.11M</t>
  </si>
  <si>
    <t>Alphabet Q2 Earnings Report</t>
  </si>
  <si>
    <t>R: $84.14B | EPS 1.84 | P $23B</t>
  </si>
  <si>
    <t>After hours</t>
  </si>
  <si>
    <t>Tesla Q2 Earnings Report</t>
  </si>
  <si>
    <t>R: $24.6B | EPS $0.46 | P $1.7B</t>
  </si>
  <si>
    <t>HCOB Germany Services PMI (Jul) P</t>
  </si>
  <si>
    <t>Imp. 2 | EURCAD</t>
  </si>
  <si>
    <t xml:space="preserve">HCOB Eurozone Services PMI (Jul) P </t>
  </si>
  <si>
    <t>S&amp;P Global US Manufacturing PMI (Jul) P</t>
  </si>
  <si>
    <t>S&amp;P Global Services PMI (Jul) P</t>
  </si>
  <si>
    <t>CAD</t>
  </si>
  <si>
    <t>BoC Interest Rate Decision</t>
  </si>
  <si>
    <t>EURCAD</t>
  </si>
  <si>
    <t>New Home Sales (Jun)</t>
  </si>
  <si>
    <t>640K</t>
  </si>
  <si>
    <t>619K</t>
  </si>
  <si>
    <t>0.700M</t>
  </si>
  <si>
    <t>-4.870M</t>
  </si>
  <si>
    <t>Durable Goods Orders (MoM) (Jun)</t>
  </si>
  <si>
    <t>GDP (QoQ) (Q2) P</t>
  </si>
  <si>
    <t>243K</t>
  </si>
  <si>
    <t>Core PCE Price Index (MoM) (Jun)</t>
  </si>
  <si>
    <t>if lower-than-expected, B USD | I Copper</t>
  </si>
  <si>
    <t>Core PCE Price Index (YoY) (Jun)</t>
  </si>
  <si>
    <t>PCE Price Index (MoM) (Jun)</t>
  </si>
  <si>
    <t>PCE Price Index (YoY) (Jun)</t>
  </si>
  <si>
    <t>x</t>
  </si>
  <si>
    <t>German GDP (QoQ) (Q2) P</t>
  </si>
  <si>
    <t>-Slowdown in growth for Germany, Italy, Spain</t>
  </si>
  <si>
    <t>German CPI (MoM) (Jul) P</t>
  </si>
  <si>
    <t>CB Consumer Confidence (Jul)</t>
  </si>
  <si>
    <t>JOLTs Job Openings (Jun)</t>
  </si>
  <si>
    <t>8.140M</t>
  </si>
  <si>
    <t>AMD Earnings Report</t>
  </si>
  <si>
    <t>-Support zone***: 136/134
-Resistance Zone***: 145/148.5</t>
  </si>
  <si>
    <t>Microsoft Earnings Report</t>
  </si>
  <si>
    <t>-Support zone***: 409/406
-Resistance Zone***: 430/432</t>
  </si>
  <si>
    <t>Manufacturing PMI (Jul)</t>
  </si>
  <si>
    <t>JPY</t>
  </si>
  <si>
    <t>BoJ Interest Rate Decision</t>
  </si>
  <si>
    <t>-Forecast: Possible rate hike (30% chance)
-Reducing monthly bond purchases</t>
  </si>
  <si>
    <t>CPI (YoY) (Jul) P</t>
  </si>
  <si>
    <t>ADP Nonfarm Employment Change (Jul)</t>
  </si>
  <si>
    <t>150K</t>
  </si>
  <si>
    <t>Chicago PMI (Jul)</t>
  </si>
  <si>
    <t>-3.741M</t>
  </si>
  <si>
    <t>FOMC Statement</t>
  </si>
  <si>
    <t>-Forecast: Rate cut in Sept
-Fed Chair J. Powell may signal rate cut</t>
  </si>
  <si>
    <t>Fed Interest Rate Decision</t>
  </si>
  <si>
    <t>-Forecast: Rate cut in Sept</t>
  </si>
  <si>
    <t>FOMC Press Conference</t>
  </si>
  <si>
    <t>Meta</t>
  </si>
  <si>
    <t>-Support zone***: 459/454
-Resistance Zone***: 478/487</t>
  </si>
  <si>
    <t>ARM</t>
  </si>
  <si>
    <t>-Support zone***: 140/137
-Resistance Zone***: 164/170</t>
  </si>
  <si>
    <t>BoE Interest Rate Decision (Aug)</t>
  </si>
  <si>
    <t>-Forecast: Possible rate cut (50% chance)
-New inflation &amp; growth forecasts</t>
  </si>
  <si>
    <t>235K</t>
  </si>
  <si>
    <t>S&amp;P Global US Manufacturing PMI (Jul)</t>
  </si>
  <si>
    <t>ISM Manufacturing PMI (Jul)</t>
  </si>
  <si>
    <t>ISM Manufacturing Prices (Jul)</t>
  </si>
  <si>
    <t>Amazon</t>
  </si>
  <si>
    <t>-Support zone***: 178/174
-Resistance Zone***: 186/89</t>
  </si>
  <si>
    <t>Apple</t>
  </si>
  <si>
    <t>-Support zone***: 214/209
-Resistance Zone***: 222/226</t>
  </si>
  <si>
    <t>Intel</t>
  </si>
  <si>
    <t>-Support zone***: 30.25/29.7
-Resistance Zone***: 32.55/33.75</t>
  </si>
  <si>
    <t>Average Hourly Earnings (MoM) (Jul)</t>
  </si>
  <si>
    <t>Nonfarm Payrolls (Jul)</t>
  </si>
  <si>
    <t>185K</t>
  </si>
  <si>
    <t>206K</t>
  </si>
  <si>
    <t>Unemployment Rate (Jul)</t>
  </si>
  <si>
    <t>- Lower-than-expected PMI could indicate a weakening services sector, potentially leading to increased recession fears and rate cuts, impacting US500.</t>
  </si>
  <si>
    <t>ISM Non-Manufacturing PMI (Jul)</t>
  </si>
  <si>
    <t>- A lower PMI may lead to heightened concerns over economic slowdown, further supporting Fed rate cut expectations, impacting US500.</t>
  </si>
  <si>
    <t>ISM Non-Manufacturing Prices (Jul)</t>
  </si>
  <si>
    <t>-Changes in pricing pressure could influence inflation outlook, with higher values leading to inflation concerns, influencing Fed policy and US500.</t>
  </si>
  <si>
    <t>Lucid</t>
  </si>
  <si>
    <t>-Support Zone***: 2.92/2.75
-Reistance Zone***: 3.70/3.88</t>
  </si>
  <si>
    <t>Palantir</t>
  </si>
  <si>
    <t>-Support Zone***: 22.81/222.07
-Reistance Zone***: 26.18/26.33</t>
  </si>
  <si>
    <t>Berkshire H</t>
  </si>
  <si>
    <t>-Support Zone***: 422/416
-Reistance Zone***: 439/444
-Berkshire Hathaway’s reduced equity holdings and increased cash position may signal a bearish outlook on the economy, impacting US500.</t>
  </si>
  <si>
    <t>RBA Interest Rate Decision (Aug)</t>
  </si>
  <si>
    <t>-Holding rates steady may support AUD against USD; however, concerns over global economic slowdown may affect AUD/USD.</t>
  </si>
  <si>
    <t>-3.728M</t>
  </si>
  <si>
    <t>-1.600M</t>
  </si>
  <si>
    <t>-3.436M</t>
  </si>
  <si>
    <t>-Lower inventories could indicate supply constraints, potentially impacting oil prices and market sentiment</t>
  </si>
  <si>
    <t>- Bond yields may be influenced by increased demand for safe assets amid economic uncertainty, impacting USD and equities.</t>
  </si>
  <si>
    <t>Supermicro</t>
  </si>
  <si>
    <t>-Support Zone***: 582/569
-Reistance Zone***: 655/663</t>
  </si>
  <si>
    <t>241K</t>
  </si>
  <si>
    <t>249K</t>
  </si>
  <si>
    <t>- Higher-than-expected claims could signal labor market weakness, increasing recession fears and supporting rate cut expectations, affecting USD and AUD/USD.</t>
  </si>
  <si>
    <t>30-Year Bond Auction</t>
  </si>
  <si>
    <t>- Rising bond yields may reflect increased risk aversion and demand for safe assets amid economic concerns.</t>
  </si>
  <si>
    <t>LILY</t>
  </si>
  <si>
    <t>-Support Zone***: 789/776
-Reistance Zone***: 921/929</t>
  </si>
  <si>
    <t>German CPI (MoM) (Jul)</t>
  </si>
  <si>
    <t>- Higher inflation may lead to reduced ECB rate cuts, supporting EUR against CAD, especially if Canadian data shows economic weakness.</t>
  </si>
  <si>
    <t>Next Scheduled FOMC Meet</t>
  </si>
  <si>
    <t>Source: Bloomberg, ADSS, News Articles, Company Research. Notes as of 5PM, 5th Aug'24</t>
  </si>
  <si>
    <t xml:space="preserve"> Tue </t>
  </si>
  <si>
    <t>PPI (MoM) (Jul)</t>
  </si>
  <si>
    <t>Lower-than-expected PPI coild ease inflation concerns, supporting the case for Fed rate cuts and impacting USD negatively</t>
  </si>
  <si>
    <t xml:space="preserve"> Wed </t>
  </si>
  <si>
    <t>According to Bloomberg, there is 77% probability of a 25-basis point rate cut. Expected rate cut could lead to NZD depreciation; however a strong commitment to lowering inflation may limit losses against USD. RBNZ press conference at 8:30 am.</t>
  </si>
  <si>
    <t>CPI (YoY) (Jul)</t>
  </si>
  <si>
    <t>Lower-than-expected inflation could pressure the BoE to consider rate cuts, impacting GBP negatively and potentially boosting UK100.</t>
  </si>
  <si>
    <t>Core CPI (MoM) (Jul)</t>
  </si>
  <si>
    <t>Lower core CPI could strengthen the case for aggressive Fed rate cuts, weakening USD and impacting commodities like oil.</t>
  </si>
  <si>
    <t>Slight decrease expected; weaker inflation figures could lead to increased expectations for rate cuts, affecting USD.</t>
  </si>
  <si>
    <t>CPI (MoM) (Jul)</t>
  </si>
  <si>
    <t>Continued inventory drawdown may provide temporary support to oil prices, but broader demand concerns, especially from China, could pressure Brent.</t>
  </si>
  <si>
    <t xml:space="preserve"> Thu </t>
  </si>
  <si>
    <t>GDP (YoY) (Q2) P</t>
  </si>
  <si>
    <t>Positive GDP growth could bolster UK100, but any downside surprise may raise concerns over economic stability, impacting GBP negatively.</t>
  </si>
  <si>
    <t>GDP (MoM) (Jun) P</t>
  </si>
  <si>
    <t>Steady growth supports UK100, but volatility may arise if figures deviate significantly.</t>
  </si>
  <si>
    <t>Continued GDP growth could postively impact the UK100 index, boosting investor confidence in the British economy.</t>
  </si>
  <si>
    <t>Core Retail Sales (MoM) (Jul)</t>
  </si>
  <si>
    <t>Weaker retail could signal slowing consumer demand, increasing recession fears and supporting rate cut expectations, affecting USD.</t>
  </si>
  <si>
    <t>Stable jobless claims could maitain current economic outlook, but any significant deviation could impact Fed decisions and USD.</t>
  </si>
  <si>
    <t>Philadelphia Fed Manufacturing Index (Aug)</t>
  </si>
  <si>
    <t>Lower-than-expected manufacturing index may indicate economic slowdown, influencing Fed policy and potentially weakening USD.</t>
  </si>
  <si>
    <t>Retail Sales (MoM) (Jul)</t>
  </si>
  <si>
    <t>Retail sales growth, though modest, could support the case for maintaining current rates;  weak sales may increase rate cut expectations, affecting USD.</t>
  </si>
  <si>
    <t>-1.900M</t>
  </si>
  <si>
    <t>1.3570M</t>
  </si>
  <si>
    <t>227K</t>
  </si>
  <si>
    <t>236K</t>
  </si>
  <si>
    <t>234K</t>
  </si>
  <si>
    <t>Source: Bloomberg, ADSS, News Articles, Company Research. Notes as of 5PM, 18th Aug'24</t>
  </si>
  <si>
    <t>cd /var/www/html/</t>
  </si>
  <si>
    <t>SEK</t>
  </si>
  <si>
    <t>Riksbank Interest Rate Decision</t>
  </si>
  <si>
    <t>Markets are fully pricing in a rate cut by the Riksbank, with the primary debate centered around whether the cut will be 25 or 50 basis points.</t>
  </si>
  <si>
    <t>A lower-than-expected figure could pressure the European Central Bank (ECB) to adopt a more dovish stance, potentially weakening the Euro</t>
  </si>
  <si>
    <t>-4.649M</t>
  </si>
  <si>
    <t>-2.000M</t>
  </si>
  <si>
    <t>1.357M</t>
  </si>
  <si>
    <t>The weekly oil inventory data could influence global oil prices, especially in the context of economic growth concerns. Continued drawdowns may temporarily support prices, but broader economic trends, particularly in China, could limit gains. Investors are watching closely as energy costs remain a significant factor in the inflation outlook.</t>
  </si>
  <si>
    <t>These minutes will provide insight into the Fed’s internal discussions regarding rate cuts. Markets will be looking for signs of how aggressive the Fed might be in reducing rates, especially given the recent data on retail sales and jobless claims suggesting economic resilience. The minutes are likely to play a crucial role in setting market expectations for a potential soft landing.</t>
  </si>
  <si>
    <t>232K</t>
  </si>
  <si>
    <t>Stable jobless claims are essential for maintaining the current economic outlook. Any significant deviation could impact the Fed’s decisions and the USD. Given recent strong labor market data, markets will be sensitive to any signs of weakening, which could support the case for rate cuts and influence USDXXX pairs.</t>
  </si>
  <si>
    <t>S&amp;P Global US Manufacturing PMI (Aug) P</t>
  </si>
  <si>
    <t>The PMI figures are a key indicator of the health of the manufacturing sector. Weak numbers could suggest economic slowing, raising concerns over a potential recession. However, this could also strengthen the case for a Fed rate cut, which is generally supportive of equities, including the Nasdaq.</t>
  </si>
  <si>
    <t>S&amp;P Global Services PMI (Aug) P</t>
  </si>
  <si>
    <t>Existing Home Sales (Jul)</t>
  </si>
  <si>
    <t xml:space="preserve"> 3.95M </t>
  </si>
  <si>
    <t xml:space="preserve"> 3.92M </t>
  </si>
  <si>
    <t xml:space="preserve"> 3.89M </t>
  </si>
  <si>
    <t>The housing market data will be closely watched as an indicator of consumer confidence and economic stability. A strong report could ease concerns about a slowing economy, while weaker-than-expected numbers could add to recession fears and support the case for rate cuts.</t>
  </si>
  <si>
    <t xml:space="preserve"> Fri </t>
  </si>
  <si>
    <t xml:space="preserve">BOJ Gov. Ueda speaks </t>
  </si>
  <si>
    <t xml:space="preserve">BoJ Governor Kazuo Ueda will speak at a lower parliamentary committee from 9:30 a.m. to noon wrt July Hike. BoJ Governor Kazuo Ueda will provide insights into Japan’s economic outlook following the July rate hike. His comments could influence global markets, particularly the JPY and USDXXX pairs. </t>
  </si>
  <si>
    <t>Fed Chair Powell Speaks | Jackson Hole</t>
  </si>
  <si>
    <t>This is one of the most anticipated events of the week. Powell’s remarks will likely shape expectations for future Fed rate cuts. His comments will be crucial for understanding the Fed’s outlook on inflation, employment, and the broader economy, with significant implications for both FX and equity markets, including the Nasdaq. The focus will be on whether Powell signals a potential soft landing for the US economy.</t>
  </si>
  <si>
    <t>New Home Sales (Jul)</t>
  </si>
  <si>
    <t>739K</t>
  </si>
  <si>
    <t>628K</t>
  </si>
  <si>
    <t>617K</t>
  </si>
  <si>
    <t>Durable Goods Orders (MoM) (Jul)</t>
  </si>
  <si>
    <r>
      <t xml:space="preserve">The significant rebound in durable goos orders suggeets stabilization in business investments, which could be a positive signal for the US economy. This data reinforces expectations for a soft landing.
</t>
    </r>
    <r>
      <rPr>
        <i/>
        <sz val="9"/>
        <color theme="1"/>
        <rFont val="Verdana"/>
        <family val="2"/>
      </rPr>
      <t xml:space="preserve">If actual data is better than forecasted, it could strenghthen the USD and positively imapct NASDAQ, as it signals economic resilience. If data is worse than expected, it may weaken the USD and pressure NASDAQ, raising concerns about economic slowdown. </t>
    </r>
  </si>
  <si>
    <t>German GDP (QoQ) (Q2)</t>
  </si>
  <si>
    <r>
      <t xml:space="preserve">The slight contraction in Germany's GDP raises concerns about the broader Eurozone economy. Investors will be watching closely for signals from the ECB regarding potential rate cuts. 
</t>
    </r>
    <r>
      <rPr>
        <i/>
        <sz val="9"/>
        <color theme="1"/>
        <rFont val="Verdana"/>
        <family val="2"/>
      </rPr>
      <t xml:space="preserve">Better-than-expected GDP could support the Euro and ease concerns about a Eurozone recession, while worse-than-expected data could weaken the Euro and increase the likelihood of a soft landing through potential ECB rate cuts. </t>
    </r>
  </si>
  <si>
    <t>CB Consumer Confidence (Aug)</t>
  </si>
  <si>
    <r>
      <t xml:space="preserve">Further declines could prompt the Fed to consider more aggressive rate cuts. 
</t>
    </r>
    <r>
      <rPr>
        <i/>
        <sz val="9"/>
        <color theme="1"/>
        <rFont val="Verdana"/>
        <family val="2"/>
      </rPr>
      <t>Stronger-than-expected consumer confidence could bolster the USD and NASDAQ, supporting the soft landing narrative. If confidence falls short, it may increase expectations for larger rate cuts, potentially weakening the USD.</t>
    </r>
  </si>
  <si>
    <r>
      <t xml:space="preserve">Continued drawdowns in oil inventories could temporarily support oil prices, but broader economic trends, particularly in China, might limit gains.
</t>
    </r>
    <r>
      <rPr>
        <i/>
        <sz val="9"/>
        <color theme="1"/>
        <rFont val="Verdana"/>
        <family val="2"/>
      </rPr>
      <t xml:space="preserve">If inventories drop more than expected, oil prices might rise. Converserly, with smaller-than-expected drawdowns, oil prices might decline.   </t>
    </r>
  </si>
  <si>
    <t>NVIDIA Earnings Report (Q2)</t>
  </si>
  <si>
    <r>
      <t xml:space="preserve">NVIDIA's earnings report is critical for NASDAQ, given its influence on the tech sector. Investors are watching if NVIDIA meets or exceeds projections of $0.64 EPS &amp; $28.65 billion in revenue.
</t>
    </r>
    <r>
      <rPr>
        <i/>
        <sz val="9"/>
        <color theme="1"/>
        <rFont val="Verdana"/>
        <family val="2"/>
      </rPr>
      <t xml:space="preserve">If NVIDIA outperforms expectations, it could drive NASDAQ higer, reinforcing confidence in a soft landing. A miss could trigger a sell-off in tech stocks, potentially impacting broader market sentiment. </t>
    </r>
  </si>
  <si>
    <t>German CPI (MoM) (Aug) P</t>
  </si>
  <si>
    <r>
      <t xml:space="preserve">German CPI will influence ECB's upcoming decisions. A lower-than-expected CPI could increase the likelihood of rate cuts, impacting the Euro. </t>
    </r>
    <r>
      <rPr>
        <i/>
        <sz val="9"/>
        <color theme="1"/>
        <rFont val="Verdana"/>
        <family val="2"/>
      </rPr>
      <t xml:space="preserve">
Higher-than-expected CPI could reduce chances of ECB rate cuts, strengthening the Euro, while lower CPI would likely weaken the Euro, supporting the softlanding narrative by justfying further easing. </t>
    </r>
  </si>
  <si>
    <t>US GDP (QoQ) (Q2) P</t>
  </si>
  <si>
    <r>
      <t xml:space="preserve">The stronger-than-expected GDP growth suggests US economic resilience, reducing the urgency for aggressive rate cuts. 
</t>
    </r>
    <r>
      <rPr>
        <i/>
        <sz val="9"/>
        <color theme="1"/>
        <rFont val="Verdana"/>
        <family val="2"/>
      </rPr>
      <t>Better-than-expected GDP would likely boost the USD and NASDAQ, reinforcing the soft landing scenario. Lower-than-expected GDP might raise concerns about economic slowing, weakening the USD &amp; NASDAQ.</t>
    </r>
  </si>
  <si>
    <t xml:space="preserve">Lower-than-expected claims could strengthen the USD and NASDAQ, signaling a robust labor market supportive of a soft landing. Higher claims could weaken the USD and raise concerns about economic resilience. </t>
  </si>
  <si>
    <t>Europe CPI (YoY) (Aug) P</t>
  </si>
  <si>
    <r>
      <t xml:space="preserve">The European CPI will be a key data point for the ECB's policy decisions. </t>
    </r>
    <r>
      <rPr>
        <i/>
        <sz val="9"/>
        <color theme="1"/>
        <rFont val="Verdana"/>
        <family val="2"/>
      </rPr>
      <t xml:space="preserve">
If CPI is lower than expected, it could pressure the Euro and boost equities like ESTOX, aligning with expectations for ECB rate cuts. Higher CPI might strengthen the Euro but dampen equity markets, impacting the softlanding narrative. </t>
    </r>
  </si>
  <si>
    <t>Core PCE Price Index (YoY) (Jul)</t>
  </si>
  <si>
    <t>Core PCE Price Index (MoM) (Jul)</t>
  </si>
  <si>
    <r>
      <t xml:space="preserve">The Core PCE index is the Fed's preferred inflation measure. </t>
    </r>
    <r>
      <rPr>
        <i/>
        <sz val="9"/>
        <color theme="1"/>
        <rFont val="Verdana"/>
        <family val="2"/>
      </rPr>
      <t xml:space="preserve">
Better-than-expected PCE could reduce expectations for aggressive rate cuts, supporting the USD, potentially impacting the softlanding narrative. </t>
    </r>
  </si>
  <si>
    <t>Chicago PMI (Aug)</t>
  </si>
  <si>
    <t xml:space="preserve">The Chicago PMI will provide insights into the health of the manufacturing sector. A reading below expectations could reinforce concerns about a potential economic slowdown.
Higher-than-expected PMI could boost the USD, signalling economic resilience and supporting the softlanding narrative. Lowe PMI might weaken USD and raise recession fears. </t>
  </si>
  <si>
    <t>Manufacturing PMI (Aug)</t>
  </si>
  <si>
    <r>
      <t>China's PMI data will have global implications, particularly for commodity markets and global growth outlooks.</t>
    </r>
    <r>
      <rPr>
        <i/>
        <sz val="9"/>
        <color theme="1"/>
        <rFont val="Verdana"/>
        <family val="2"/>
      </rPr>
      <t xml:space="preserve">
Better-than-expected PMI could ease global growth concerns, positively impacting commodity prices and global equities. Lower PMI might trigger risk-off sentiment, weakening commodities and equities globally.</t>
    </r>
  </si>
  <si>
    <t>Source: Bloomberg, ADSS, News Articles, Company Research. Notes as of 25th Aug 2024</t>
  </si>
  <si>
    <t>-2.700M</t>
  </si>
  <si>
    <t>-0.846M</t>
  </si>
  <si>
    <t>231K</t>
  </si>
  <si>
    <t>http://35.222.178.176/ec20240901.csv</t>
  </si>
  <si>
    <t>CHF</t>
  </si>
  <si>
    <t>CPI (MoM) (Aug)</t>
  </si>
  <si>
    <t>Swiss inflation data plays a crucial roles in shaping the Swiss National Bank's monetary policy. Notably, the SNB was the first major central bank to initiate interest rate cuts, followed by the Canadian, European, and British central banks. This shift was driven by a decline in Swiss inflation, allowing for a more accomodative monetary stance. The previous Swiss inflaiton reading was -0.2%, so a further decline could prompt the SNB to consider current the interest rate of 1.25%, potentially boosting the performance of the Swiss stock index and strengthening of XXXCHF pairs. 
Probable impact on Assets: EURCHF | USDCHF | AUDCHF</t>
  </si>
  <si>
    <t>Stronger than expected reading supports softlanding narrative. 
A reading that is stronger than forecast is generally suppportive (bullish) for the USD while a weaker than forecast reading is generally negative (bearish) for the USD.
Probable impact on Assets: USDJPY | EURUSD</t>
  </si>
  <si>
    <t>ISM Manufacturing PMI (Aug)</t>
  </si>
  <si>
    <t>ISM Manufacturing Prices (Aug)</t>
  </si>
  <si>
    <t>Markets will monitor the BoC's interest rate decision this week. According to Bloomberg, this is expected to result in a 25-basis point cut from 4.5% to 4.25%.
The decline in Canadian inflation levels, nearing the 2% target, has led markets to anticipate a 25-basis point cut for the BoC's remaining meetings this year. 
Investors will pay close attention to the BoC press conference for further insights into Canadian Monteray Policy. Any hints from the BoC's president about the possibility of halting rate cuts before the year-end could support the Canadian dollar against other major currencies like the euro. 
Probable impact on Asset: EURCAD</t>
  </si>
  <si>
    <t>JOLTs Job Openings (Jul)</t>
  </si>
  <si>
    <t>8.000M</t>
  </si>
  <si>
    <t>8.184M</t>
  </si>
  <si>
    <t>ADP Nonfarm Employment Change (Aug)</t>
  </si>
  <si>
    <t>136K</t>
  </si>
  <si>
    <t>122K</t>
  </si>
  <si>
    <t>Weaker than expected reading supports softlanding narrative. 
A reading that is stronger than forecast is generally negative (bearish) for the USD while a weaker than forecast reading is generally supportive (bullish) for the USD.
Probable impact on Assets: USDJPY | EURUSD</t>
  </si>
  <si>
    <t>Services PMI (Aug)</t>
  </si>
  <si>
    <t>ISM Non-Manufacturing PMI (Aug)</t>
  </si>
  <si>
    <t>ISM Non-Manufacturing Prices (Aug)</t>
  </si>
  <si>
    <t>Crudel Oil Inventories</t>
  </si>
  <si>
    <t>If the increase in crude inventories is more than expected, it implies weaker demand and is bearish for crude prices. The same can be said if a decline in inventories is less than expected.
If the increase in crude is less than expectedm it implies greater demand and is bullish for crude prices. The same can be said if a decline in inventories is more than expected. 
Probable impact on Assets: USOILRoll</t>
  </si>
  <si>
    <t>Average Hourly Earnings (MoM) (Aug)</t>
  </si>
  <si>
    <t>Stronger than expected reading supports softlanding narrative. 
A reading that is stronger than forecast is generally suppportive (bullish) for the USD while a weaker than forecast reading is generally negative (bearish) for the USD.
Probable impact on Asset: US2000 | USDJPY | EURUSD</t>
  </si>
  <si>
    <t>Non Farm Payrolls (Aug)</t>
  </si>
  <si>
    <t>155K</t>
  </si>
  <si>
    <t>114K</t>
  </si>
  <si>
    <t>All eyes will be on the US jobs report for August, which will provide a snapshot of the US labour market. This comes after the July report highlighted a significant weakening in labour market strenght and a rise in unemployment, increasing concerns of a potential recession in the US and trigerring a major sell-off in the stock market.
Bloomberg forecasts that the US economy may add 155,000 jobs in the August, with unemployment levels expected to drop from 4.3% to 4.2%. Any data falling short of expectations could underscore the fragility of the US labour market, increasing the likelihood of a 50-basis point interest rate cut by the Federal Reserve, instead of the 25-basis points currently priced by markets. This could have a positive impact on US stock indices, such as the US2000.
Probable impact on Asset: US2000</t>
  </si>
  <si>
    <t>A strong report, indicating falling unemployment rate, could ease concerns about an economic slowdown and support the narrative of a soft landing.</t>
  </si>
  <si>
    <t>CPI Report</t>
  </si>
  <si>
    <t>A continued easing of inflation could give the Fed more room to implement rate cuts without stoking inflation fears, supporting the case for a soft landing.</t>
  </si>
  <si>
    <t xml:space="preserve">USD </t>
  </si>
  <si>
    <t xml:space="preserve">A continued easing of inflation could give the Fed more room to implement rate cuts without stoking inflation fears, supporting the case for a soft landing. </t>
  </si>
  <si>
    <t>Source: Bloomberg, ADSS, News Articles, Company Research. Notes as of 2nd September 2024, 8PM.</t>
  </si>
  <si>
    <t>German CPI (MoM) (Aug)</t>
  </si>
  <si>
    <t>A higher than expected reading should be taken as positive/bullish for the EUR, while a lower than expected reading should be taken as negative/bearish for the EUR. 
Historical impact on Assets: EURUSD | EURAUD</t>
  </si>
  <si>
    <t>OPEC Monthly Report</t>
  </si>
  <si>
    <t>This report delves into the prominent issues impacting the global oil market, offering an in-depth analysis of pivotal developments influencing the trajectory of global oil demand. It also showcases the trends in supply levels and the balance between them for the current and upcoming years. 
Last week, oil prices tested their lowest levels of the year. This was down to several key factors, inlcuding concerns over declining Chinese demand, an expceted increase in supply following the end of voluntary cuts by OPEC+, and easing geopolitical tensiosn with relative calm in the Middle East. As a result, it fell below the $75 per barrel mark. Any further reduction in the expected demand levels in OPEC's upcoming monthly report could negatively impact Brent cryde prices. 
Historical Impact on Assets: EURUSD | UK Oil (Brent)</t>
  </si>
  <si>
    <t>U.S presidential debate between Donald Trump and Kamala Harris</t>
  </si>
  <si>
    <t>Currency movements are influenced by the candidates’ policy positions.
Historical impact on Assets: EURUSD | USDJPY | AUDUSD</t>
  </si>
  <si>
    <t>GDP (MoM) (Jul)</t>
  </si>
  <si>
    <t>A higher than expected reading should be taken as positive/bullish for the GBP, while a lower reading should be taken as negative/bearish for the GBP
Historical impact on Assets: GBPUSD | EURGBP</t>
  </si>
  <si>
    <t>Core CPI (MoM) (Aug)</t>
  </si>
  <si>
    <t>In July, YoY inflation stabilised at 2.9% and Bloomberg expects it to decline to 2.6% in August because of falling global energy prices. Meanwhile, the MoM core inflation is expected to hold steady at 0.2%
Any higher-than-expected inflation data suggests the Federal Reserve could cut interest rates by just 25 basis points in its upcoming September meeting, providing slight support to the US dollar. On the other hand, lower-than-expected data would increase the likelihood of 50-basis point cut, potentially boosting US stock indices such as the US2000.
Historical impact on Assets: EURUSD | RUSS2000 | AUDUSD</t>
  </si>
  <si>
    <t>CPI (YoY) (Aug)</t>
  </si>
  <si>
    <t>-6.873M</t>
  </si>
  <si>
    <t>If the increase in crude inventories is more than expected, it implies weaker demand and is bearish fo crude prices. The same can be said if a decline in inventories is less than expected. 
If the increase in crude is less than expected, it implies greater demand and is bullish for crude prices. The same can be said if a decline in inventories is more than expected. 
Historical impact on Assets: USOILRoll</t>
  </si>
  <si>
    <t>U.S. Treasury Notes have maturities of two to ten years. Governments issue treasuries to borrow money to cover the gap between the amount they receive in taxes and the amunt they spend to refinance existing debt and/or to raise capital. The rate on a Treasury Note represents the return an investor will receive by holding the note for its entire duration. All bidders receive the same rate at the highest accepted bid.
Yield fluctuations should be monitored closely as an indicator of the government debt situation. Investors compare the average rate at auction to the rate at previous auctions of the same security.
Historical impact on Assets: NAS100</t>
  </si>
  <si>
    <t>PPI (MoM) (Aug)</t>
  </si>
  <si>
    <t>A higher than expected reading should be taken as positive/bullish for the JPY, while a lower than expected reading should be taken as negative/bearish for the JPY. 
Historical impact on Assets: USDJPY | AUDJPY</t>
  </si>
  <si>
    <t>PPI (YoY) (Aug)</t>
  </si>
  <si>
    <t>Deposit Facility Rate (Sep)</t>
  </si>
  <si>
    <t>According to Bloomberg, the ECB is expected to cut interest rates by 25 basis points in the September Session.
Investors will also closely follow ECB President Christine Lagarde's press conference for insights into the central bank's future monetary policy direction. Any indication of expected rate cuts this year may postively impact European stock indices such as the French CAC. Conversely, any hint of a potential slowdown in the pace of rate cuts could provide support to the euro.
Historical impact on Assets: FRA40Roll, EURUSD</t>
  </si>
  <si>
    <t>ECB Interest Rate Decision (Sep)</t>
  </si>
  <si>
    <t>229K</t>
  </si>
  <si>
    <t>A higher than expected reading should be taken as negative/bearish for the USD, while a lower than expected reading should be taken as positive/bullish for the USD.
Historical impact on Assets: EURUSD | USDJPY | AUDUSD</t>
  </si>
  <si>
    <t>A higher than expected reading should be taken as positive/bullish for the USD, while a lower than expected reading should be taken as negative/bearish for the USD.
Historical impact on Assets: EURUSD | USDJPY | AUDUSD</t>
  </si>
  <si>
    <t>U.S Treasury Bonds have maturities from ten up to 30 years. Governments issue treasuries to borrow money to cover the gap between the amount they receive in taxes and the amount they spend to refinance exisiting debt and/or to raise capital. The rate on a Treasury Bond represents the return an investor will receive by holding the bond for its entire duration. All bidders receive the same rate at the highest accepted bid.
Yield fluctuations should be monitored closely as an indicator of the government debt situation. Investors compare the average rate at auction to the rate at previous auctions of the same security.
Historical impact on Assets: US30Roll</t>
  </si>
  <si>
    <t>Industrial Production (MoM) (Jul)</t>
  </si>
  <si>
    <t>U. Michigan Consumer Sentiment (Sep) P</t>
  </si>
  <si>
    <t>A higher than expected reading should be taken as positive/bullish for the USD, while a lower than expected reading should be taken as negative/bearish for the USD. 
Historical impact on Assets: EURUSD | AUDUSD | USDJPY</t>
  </si>
  <si>
    <t>-0.833M</t>
  </si>
  <si>
    <t>-0.900M</t>
  </si>
  <si>
    <t>230K</t>
  </si>
  <si>
    <t>Core Retail Sales (MoM) (Aug)</t>
  </si>
  <si>
    <t>US retail sales data for August is set for release this week, and Bloomberg expects the number to decline from July's figure of 1.0% to 0.2%. If it comes in above expectations, it could elevate inflation levels, strengthening the US dollar against other major currencies, and vice versa. At the same time, markets will also look forward to Canadian inflation data for August. Bloomberg forecasts suggest that YoY CPI will decrease from 2.5% in July to 2.1% in August, largely due to falling energy prices. The YoY Core CPI is also expected to drop slightly from 2.7% in July to 2.6% in August. Higher-than-expected readings could prompt the Bank of Canada to consider slowing its rate cuts pace, providing support for the Canadian dollar against major currencies like the US dollar.</t>
  </si>
  <si>
    <t>Retail Sales (MoM) (Aug)</t>
  </si>
  <si>
    <t>Core CPI (YoY) (Aug)</t>
  </si>
  <si>
    <t>A reading that is stronger than forecast is generally supportive (bullish) for the GBP, while a weaker than forecast reading is generally negative (bearish) for the GBP</t>
  </si>
  <si>
    <t>A reading that is stronger than forecast is generally supportive (bullish) for the EUR, while a weaker than forecast reading is generally negative (bearish) for the EUR</t>
  </si>
  <si>
    <t>-1.630M</t>
  </si>
  <si>
    <t>-0.200M</t>
  </si>
  <si>
    <t>0.833M</t>
  </si>
  <si>
    <t>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t>
  </si>
  <si>
    <t>FOMC Economic Projections</t>
  </si>
  <si>
    <t>Markets will closely watch the Federal Reserve's interest rate decision, the central bank's projections for growth, inflation, and unemployment levels for the upcoming year, as well as the Fed dot plot and the subsequent press conference by Federal Reserve Chairman Jerome Powell. The US Consumer Price Index data for August met expectations, with the headline at 2.5% and the core 3.2%. According to Bloomberg, markets anticipate the Federal Reserve will reduce interest rates by 25 basis points at its September meeting. Investors will play close attention to Chairman Powell's press conference in particular, following the rate decision to gauge the Federal Reserve's assessment of the US economy's performance and whether it is on path towards recession. The conference will also provide insights into the pace of interest rate cuts, as reflected in the Fed dot plot, and whether there may be an increase in rate cuts before the year's end. Any indication of a faster pace could negatively impact the US dollar and positively influence precious metals prices, such as silver.</t>
  </si>
  <si>
    <t>BoE Interest Rate Decision (Sep)</t>
  </si>
  <si>
    <t>Before the end of the week, traders will also focus on the Bank of England's interest rate decision. According to Bloomberg, the central bank is expected to maintain the current rate at 5.00%. Investors will pay close attention to the MPC voting split between those favouring unchanged rates and those advocating for cuts to predict the BoE's next step. Interest rates in the last meeting were notably reduced by 25 basis points with a narrow majority of five votes to four. Markets will also examine the minutes from the Bank of England's Monetary Policy Committee meeting for insights into the committee's views on the British economy and future monetary policy direction.</t>
  </si>
  <si>
    <t>219K</t>
  </si>
  <si>
    <t>A higher than expected reading should be taken as negative/bearish for the USD, while a lower than expected reading should be taken as positive/bullish for the USD.</t>
  </si>
  <si>
    <t>Philadelphia Fed Manufacturing Index (Sep)</t>
  </si>
  <si>
    <t>Existing Home Sales (Aug)</t>
  </si>
  <si>
    <t>3.86M</t>
  </si>
  <si>
    <t>3.92M</t>
  </si>
  <si>
    <t>3.96M</t>
  </si>
  <si>
    <t>As per Bloomberg, BoJ chief Kazuo Ueda is bound to get a lot of attention after the board sets policy on Friday. While economists are unanimous in predicting no change to borrowing costs, how the governor characterizes the trajectory could jolt Japan's currency, which has already spooked yen-carry traders by outperforming its peers so far this month. </t>
  </si>
  <si>
    <t>Manufacturing PMI (Sep) P</t>
  </si>
  <si>
    <t>A reading that is stronger than forecast is generally supportive (bullish) for the USD while a weaker than forecast reading is generally negative (bearish) for the USD.
Historical impact on Assets: EURUSD | USDJPY</t>
  </si>
  <si>
    <t>Services PMI (Sep) P</t>
  </si>
  <si>
    <t>A reading that is stronger than forecast is generally supportive (bullish) for the USD, while a weaker than forecast reading is generally negative (bearish) for the USD.
Historical impact on Assets: EURUSD | USDJPY</t>
  </si>
  <si>
    <t>AUD</t>
  </si>
  <si>
    <t>Investors will closely monitor the Reserve Bank of Australia's decision on interest rates, along with the monetary policy statement and press conference.
Bloomberg anticipates the RBA will maintain interest rates at 4.35%, as inflation trends in Australia are not aligning with the central bank's targets. The country's consumer price index has risen from 3.6% in Q1 to 3.8% in Q2 of this year.
Markets expect the RBA to start reducing interest rates by its December meeting, with a 55% likelihood, according to Bloomber. Investors are looking to the upcoming press conference for more insight into the future direction of monetary policy. Any indication that the central bank might join other major banks in cutting rates before the end of the year could negatively impact the Australian dollar's value against currencies like the US dollar. The interest rate decision is followed by the press conference. 
A reading that is stronger than forecast is generally supportive (bullish) for the AUD, while a weaker than forecast reading is generally negative (bearish) for the AUD.
Historical impact on Assets: AUDUSD | AUDJPY</t>
  </si>
  <si>
    <t>RBA Rate Statement</t>
  </si>
  <si>
    <t>Investors will closely monitor the Reserve Bank of Australia's decision on interest rates, along with the monetary policy statement and press conference.
Bloomberg anticipates the RBA will maintain interest rates at 4.35%, as inflation trends in Australia are not aligning with the central bank's targets. The country's consumer price index has risen from 3.6% in Q1 to 3.8% in Q2 of this year.
Markets expect the RBA to start reducing interest rates by its December meeting, with a 55% likelihood, according to Bloomber. Investors are looking to the upcoming press conference for more insight into the future direction of monetary policy. Any indication that the central bank might join other major banks in cutting rates before the end of the year could negatively impact the Australian dollar's value against currencies like the US dollar. 
A more dovish than expected statement could be taken as negative/bearish for the AUD, while a more hawkish than expected statement could be taken as positive/bullish for the AUD.
Historical impact on Assets: AUDUSD | AUDJPY</t>
  </si>
  <si>
    <t xml:space="preserve">
A reading that is stronger than forecast is generally supportive (bullish) for the USD, while a weaker than forecast reading is generally negative (bearish) for the USD.
Historical impact on Assets: EURUSD | USDJPY</t>
  </si>
  <si>
    <t>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t>
  </si>
  <si>
    <t>According to Bloomberg, the Swiss Central Bank is expected to lower interest rates by 25 basis points, from 1.25% to 1.00%, due to a decline in inflation, which remains below the 2% target. Swiss inflation dropped from 1.3% in July to 1.1% in August.
Notably, the Swiss Central Bank was among the first to initiate rate cuts this year, followed by central banks in Canada, Europe, and the UK.
Investor will pay close attention to the Swiss National Bank's press conference for further insight into the future of Swiss monetary policy. Any signals about the continuation of the current rate-cutting strategy could have a positive impact on Swiss indices, such as the SWISS (SMI) index. 
A reading that is stronger than forecast is generally supportive (bullish) for the CHF, while a weaker than forecast reading is generally negative (bearish) for the CHF.
Historical impact on assets: USDCHF | SMI</t>
  </si>
  <si>
    <t>SNB Press Conference</t>
  </si>
  <si>
    <t>According to Bloomberg, the Swiss Central Bank is expected to lower interest rates by 25 basis points, from 1.25% to 1.00%, due to a decline in inflation, which remains below the 2% target. Swiss inflation dropped from 1.3% in July to 1.1% in August.
Notably, the Swiss Central Bank was among the first to initiate rate cuts this year, followed by central banks in Canada, Europe, and the UK.
Investor will pay close attention to the Swiss National Bank's press conference for further insight into the future of Swiss monetary policy. Any signals about the continuation of the current rate-cutting strategy could have a positive impact on Swiss indices, such as the SWISS (SMI) index. 
Historical impact on assets: USDCHF | SMI</t>
  </si>
  <si>
    <t>A reading that is higher than forecast is generally negative (bearish) for the USD, while a lower than forecast reading is generally supportive (bullish) for the USD.
Historical impact on Assets: EURUSD | USDJPY</t>
  </si>
  <si>
    <t xml:space="preserve">Federal Reserve Chair Jerome Powell (Feb. 2018 – Feb. 2026) is to speak. As head of the Fed, which controls short term interest rates, he has more influence over the U.S. dollar's value than any other person. Traders closely watch his speeches as they are often used to drop hints regarding future monetary policy.
Historical impact on Assets: EURUSD | USDJPY		</t>
  </si>
  <si>
    <t>Traders will eagerly await the release of the US Personal Consumption Expenditures Index data for August, which is the Federal Reserve's preferred gauge of inflation in the US.
Bloomberg forecasts suggest the main index wull decrease annually from 2.5% in July to 2.3% in August, while the core index data on an annual basis could increase from 2.6% to 2.7%.
The Federal Reserve defied market expectations in its meeting last week by cutting US interest rates by 50 basis points instead of the anticipated 25. The Fed dot plot suggests the possibility of an additional 50 basis point cut by the end of the year. As a result, any weaker-than-expected data, particularly in core personal spending, could lead the US central bank to proceed with these cuts, potentialy boosting US stock indices, especially US500 &amp; US2000 index.
A reading that is stronger than forecast is generally supportive (bullish) for the USD, while a weaker than forecast reading is generally negative (bearish) for the USD.
Historical impact on assets: EURUSD | USDJPY | US500 | US2000</t>
  </si>
  <si>
    <t>A continued easing of inflation and robust labour market could give the Fed more room to implement rate cuts without stoking inflation fears, supporting the case for a soft landing.</t>
  </si>
  <si>
    <t>RBA Interest Rate Decision (Sep)</t>
  </si>
  <si>
    <t>CB Consumer Confidence (Sep)</t>
  </si>
  <si>
    <t>New Home Sales (Aug)</t>
  </si>
  <si>
    <t>SNB Interest Rate Decision (Q3)</t>
  </si>
  <si>
    <t>Durable Goods Orders (MoM) (Aug)</t>
  </si>
  <si>
    <t>Core PCE Price Index (MoM) (Aug)</t>
  </si>
  <si>
    <t>Core PCE Price Index (YoY) (Aug)</t>
  </si>
  <si>
    <t>700K</t>
  </si>
  <si>
    <t>716K</t>
  </si>
  <si>
    <t>-1.300M</t>
  </si>
  <si>
    <t>-4.471M</t>
  </si>
  <si>
    <t>224K</t>
  </si>
  <si>
    <t>218K</t>
  </si>
  <si>
    <t>Manufacturing PMI (Sep) (CNY)</t>
  </si>
  <si>
    <t xml:space="preserve">China Manufacturing Purchasing Managers Index (PMI) provides an early indication each month of economic activities in the Chinese manufacturing sector. It is compiled by China Federation of Logistics &amp; Purchasing (CFLP) and China Logistics Information Centre (CLIC), based on data collected by the National Bureau of Statistics (NBS).Li &amp; Fung Research Centre is responsible for drafting and disseminating the English PMI report. Every month questionnaires are sent to over 700 manufacturing enterprises all over China. The data presented here is compiled from the enterprises responses about their purchasing activities and supply situations. The PMI should be compared to other economic data sources when used in decision-making.
A reading that is stronger than forecast is generally supportive (bullish) for the CNY , while a weaker than forecast reading is generally negative (bearish) for the CNY.
Historical impact on Assets: USDCNY </t>
  </si>
  <si>
    <t>GDP (QoQ) (Q2) (GBP)</t>
  </si>
  <si>
    <t>Gross Domestic Product (GDP) gauges the inflation-adjusted value of all goods and services produced within the economy. It is the most comprehensive measure of economic activity and an important indicator of economic health.
A reading that is stronger than forecast is generally supportive (bullish) for the GBP, while a weaker than forecast reading is generally negative (bearish) for the GBP.
Historical impact on Assets: GBPUSD</t>
  </si>
  <si>
    <t>GDP (YoY) (Q2) (GBP)</t>
  </si>
  <si>
    <t>German CPI (MoM) (Sep)</t>
  </si>
  <si>
    <t>The Consumer Price Index (CPI) measures the change in the prices of goods and services from the perspective of the consumer. As Germany has the largest output of any country in the euro-zone, the European Central bank pays very close attention to this figure in its role of maintaining price stability.
A reading that is stronger than forecast is generally supportive (bullish) for the EUR, while a weaker than forecast reading is generally negative (bearish) for the EUR.
Historical impact on Assets: EURUSD | EURJPY</t>
  </si>
  <si>
    <t>Chicago PMI (Sep)</t>
  </si>
  <si>
    <t>The Chicago Purchasing Managers' Index (PMI) is a diffusion index incorporating survey results provided by manufacturing firms around the Chicago area. A reading above fifty suggests the manufacturing sector is expanding, while a reading below fifty suggests the manufacturing sector is in contraction. The Chicago PMI can be of some assistance in forecasting the ISM manufacturing PMI.
A reading that is stronger than forecast is generally supportive (bullish) for the USD, while a weaker than forecast reading is generally negative (bearish) for the USD.
Historical impact on Assets: EURUSD | USDJPY</t>
  </si>
  <si>
    <t>Federal Reserve Chair Jerome Powell (Feb. 2018 – Feb. 2026) is to speak. As head of the Fed, which controls short term interest rates, he has more influence over the U.S. dollar's value than any other person. Traders closely watch his speeches as they are often used to drop hints regarding future monetary policy.
Historical impact on Assets: EURUSD | USDJPY</t>
  </si>
  <si>
    <t>CPI (YoY) (Sep) P</t>
  </si>
  <si>
    <t>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EUR, while a weaker than forecast reading is generally negative (bearish) for the EUR.
In August, the YoY consumer price index held steady at 2.2%, thanks to a notable drop in energy prices, while the YoY core consumer price index remained significantly above its target, at 2.8%.
It's important to highlight that markets have already priced in more than 60% chance of the ECB cutting interest rates by 25 basis points in its October meeting (according to Bloomberg). A further decline in September inflation, particularly in core CPI, could increase the likelihood of rate cuts even more, which may positively impact the European stock index, ESTOX. 
Historical impact on Assets: EURUSD | USDJPY | ESTOX</t>
  </si>
  <si>
    <t>Manufacturing PMI (Sep)</t>
  </si>
  <si>
    <t>The Manufacturing Purchasing Managers' Index (PMI) is a diffusion index incorporating survey results provided by manufacturing firms throughout the country. A reading above fifty suggests the manufacturing sector is expanding, while a reading below fifty suggests the manufacturing sector is in contraction. Policymakers and traders watch these surveys closely as purchasing managers usually have early access to data about their company’s performance, rather than waiting for the hard data to emerge. While manufacturing accounts for a far smaller percentage of economic output than services, it is far more cyclical and is therefore a useful indicator of where in the economic cycle the economy is currently situated. A reading that is stronger than forecast is generally supportive (bullish) for the USD while a weaker than forecast reading is generally negative (bearish) for the USD.
Historical impact on Assets: EURUSD | USDJPY</t>
  </si>
  <si>
    <t>ISM Manufacturing PMI (Sep)</t>
  </si>
  <si>
    <t xml:space="preserve">
The Institute of Supply Management (ISM) Manufacturing Purchasing Managers Index (PMI) Report on Business is based on data compiled from monthly replies to questions asked of purchasing and supply executives in over 400 industrial companies across the United States. For each of the indicators measured (New Orders, Backlog of Orders, New Export Orders, Imports, Production, Supplier Deliveries, Inventories, Customers Inventories, Employment, and Prices), a diffusion index is calculated by adding the percent of positive responses plus one-half of those responding the same (considered positive). The resulting single index number is then seasonally adjusted.
The PMI is a composite index based on the seasonally adjusted diffusion indices for five of the indicators with differing weights: New Orders --30% Production --25% Employment --20% Supplier Deliveries --15% and Inventories -- 10%.
A reading that is stronger than forecast is generally supportive (bullish) for the USD, while a weaker than forecast reading is generally negative (bearish) for the USD.
Historical impact on Assets: EURUSD | USDJPY</t>
  </si>
  <si>
    <t>ISM Manufacturing Prices (Sep)</t>
  </si>
  <si>
    <t>The Institute of Supply Management (ISM) Manufacturing Purchasing Managers Index (PMI) Report on Business is based on data compiled from monthly replies to questions asked of purchasing and supply executives in over 400 industrial companies. For each of the indicators measured (New Orders, Backlog of Orders, New Export Orders, Imports, Production, Supplier Deliveries, Inventories, Customers Inventories, Employment, and Prices), this report shows the percentage reporting each response, the net difference between the number of responses in the positive economic direction and the negative economic direction and the diffusion index. Responses are raw data and are never changed.
The diffusion index includes the percent of positive responses plus one-half of those responding the same (considered positive). The resulting single index number is then seasonally adjusted to allow for the effects of repetitive intra-year variations resulting primarily from normal differences in weather conditions, various institutional arrangements, and differences attributable to non-moveable holidays. All seasonal adjustment factors are supplied by the U.S. Department of Commerce and are subject annually to relatively minor changes when conditions warrant them.
The PMI is a composite index based on the seasonally adjusted diffusion indices for five of the indicators with varying weights: New Orders --30% Production --25% Employment --20% Supplier Deliveries --15% and Inventories -- 10%.
The Prices Paid subcategory is a diffusion index calculated by adding the percent of responses indicating they paid more for inputs plus one-half of those responding that they paid the same for inputs. The resulting single index number is then seasonally adjusted.
The Prices Paid diffusion index is one of a number of indicators pointing to the degree of inflationary pressures in the economy.
A higher than expected reading should be taken as positive/bullish for the USD, while a lower than expected reading should be taken as negative/bearish for the USD.
Historical impact on Assets: EURUSD | USDJPY</t>
  </si>
  <si>
    <t>JOLTs Job Openings (Aug)</t>
  </si>
  <si>
    <t>7.640M</t>
  </si>
  <si>
    <t>7.673M</t>
  </si>
  <si>
    <t>A survey done by the US Bureau of Labor Statistics to help measure job vacancies. It collects data from employers about their businesses' employment, job openings, recruitment, hires and separations.
JOLTS defines Job Openings as all positions that are open (not filled) on the last business day of the month. A job is "open" only if it meets all three of the following conditions:
1. A specific position exists and there is work available for that position.
2. The job could start within 30 days, whether or not the establishment finds a suitable candidate during that time.
3. There is active recruiting for workers from outside the establishment location that has the opening.
A reading that is stronger than forecast is generally supportive (bullish) for the USD, while a weaker than forecast reading is generally negative (bearish) for the USD.
Historical impact on Assets: EURUSD | USDJPY</t>
  </si>
  <si>
    <t>ADP Nonfarm Employment Change</t>
  </si>
  <si>
    <t>124K</t>
  </si>
  <si>
    <t>99K</t>
  </si>
  <si>
    <t>ADP is performs payroll services for its clients. The ADP National Employment Report is a measure of the monthly change in non-farm, private employment, based on the payroll data of approximately 400,000 U.S. business clients. The release, two days ahead of government data, is used as a predictor of the government's Labour Market Report.
A reading that is stronger than forecast is generally supportive (bullish) for the USD, while a weaker than forecast reading is generally negative (bearish) for the USD.
Historical impact on Assets: EURUSD | USDJPY</t>
  </si>
  <si>
    <t>4.471M</t>
  </si>
  <si>
    <t>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Historical impact on Assets: EURUSD | USDJPY</t>
  </si>
  <si>
    <t>CPI (MoM) (Sep)</t>
  </si>
  <si>
    <t>The Swiss CPI hit its lowest level in several months, dropping from 1.3% in July to 1.1% in August (YoY). This decline led the SNB to lower interest rates at its recent meeting, reducing them from 1.25% to 1%.
A continued drop in inflation could lead markets to expect further rate cuts in upcoming SCB sessions. Notably, markets have already priced in a 95% chance of a rate cut at December meeting and over 50% for January 2025. A reduction in interest rates could negatively impact the Swiss franc against major currencies.
Historical impact on Assets: USDCHF | CHFJPY</t>
  </si>
  <si>
    <t>221K</t>
  </si>
  <si>
    <t>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Historical impact on Assets: EURUSD | USDJPY</t>
  </si>
  <si>
    <t>Services PMI (Sep)</t>
  </si>
  <si>
    <t xml:space="preserve">
The Service PMI release is published monthly by Markit Economics. The data are based on surveys of over 400 executives in private sector service companies. The surveys cover transport and communication, financial intermediaries, business and personal services, computing &amp; IT, hotels and restaurants. 
An index level of 50 denotes no change since the previous month, while a level above 50 signals an improvement, and below 50 indicates a deterioration. A reading that is stronger than forecast is generally supportive (bullish) for the USD, while a weaker than forecast reading is generally negative (bearish) for the USD.
Historical impact on Assets: EURUSD | USDJPY</t>
  </si>
  <si>
    <t>ISM Non-Manufacturing PMI (Sep)</t>
  </si>
  <si>
    <t xml:space="preserve">
The Institute of Supply Management (ISM) Non-Manufacturing Purchasing Managers' Index (PMI) (also known as the ISM Services PMI) report on Business, is based on data compiled from monthly replies to questions asked of more than 370 purchasing and supply executives in over 62 different industries.
The NMI is a composite index based on the diffusion indexes for four of the indicators with equal weights: Business Activity (seasonally adjusted), New Orders (seasonally adjusted), Employment (seasonally adjusted) and Supplier Deliveries.
A reading above 50 percent indicates the non-manufacturing sector economy is generally expanding; below 50 percent indicates the non-manufacturing sector is generally contracting. Given the large proportion of the US economy engaged in the services sector, this report offers insights into the health of the overall US economy.
A reading that is stronger than forecast is generally supportive (bullish) for the USD, while a weaker than forecast reading is generally negative (bearish) for the USD.
According to Bloomberg, expectations suggest the index may hold steady at 51.5. Any reading below expectations could signal a weakening services sector, potentially reducing inflation, especially core inflation, in the US. This may open the door for further US rate cuts, which could negatively impact the US dollar against major currencies.
Historical impact on Assets: EURUSD | USDJPY | USDCHF</t>
  </si>
  <si>
    <t>ISM Non-Manufacturing Prices (Sep)</t>
  </si>
  <si>
    <t>The Institute of Supply Management (ISM) Non-Manufacturing Purchasing Managers' Index (PMI) (also known as the ISM Services PMI) report on Business, is based on data compiled from monthly replies to questions asked of more than 370 purchasing and supply executives in over 62 different industries.
The Prices Paid subcategory is a diffusion index calculated by adding the percent of responses indicating they paid more for inputs plus one-half of those responding that they paid the same for inputs. The resulting single index number is then seasonally adjusted.
The Prices Paid diffusion index is one of a number of indicators pointing to the degree of inflationary pressures in the economy.
A reading that is stronger than forecast is generally supportive (bullish) for the USD, while a weaker than forecast reading is generally negative (bearish) for the USD.
Historical impact on Assets: EURUSD | USDJPY</t>
  </si>
  <si>
    <t>Average Hourly Earnings (MoM) (Sep)</t>
  </si>
  <si>
    <t>Average Hourly Earnings measures the change in the amount of money businesses pay for labour, excluding the agricultural sector.
A reading that is stronger than forecast is generally supportive (bullish) for the USD, while a weaker than forecast reading is generally negative (bearish) for the USD.
Historical impact on Assets: EURUSD | USDJPY</t>
  </si>
  <si>
    <t>Nonfarm Payroll</t>
  </si>
  <si>
    <t>144K</t>
  </si>
  <si>
    <t>142K</t>
  </si>
  <si>
    <t xml:space="preserve">
Nonfarm Payrolls measures the change in the number of people employed during the prior month, excluding workers in the farming industry. Given that full employment is one of the Federal Reserves mandates, it is very closely watched.
A reading that is stronger than forecast is generally supportive (bullish) for the USD, while a weaker than forecast reading is generally negative (bearish) for the USD.
Bloomberg projects the US economy will have added 120,000 jobs in September, slighlty above the 118,000 added in August, while unemployment rate is expected to remain steady at 4.2%.
The US jobs report has attracted increased investor attention, especially after July's report revealed notable weakness in the labour market, sparking recession concerns and triggering a sharp stock market sell-off. However, markets soon recovered as the immediate risk of recession was reassessed.
As such, labour market data will be closely watched, and any underperformance could reignite fears of recession, potentially pushing the Federal Reserve to accelerate its rate cuts. This could weaken the US dollar and boost appeal of precious metals like silver.
It's also noting that markets have priced in a total rate cut of around 75 basis points by the end of the year, which according to Bloomberg, leaves room for a 50 basis point cut at one of the remaining meetings this year. 
Historical impact on Assets: EURUSD | USDJPY | XAGUSD</t>
  </si>
  <si>
    <t xml:space="preserve">
The Unemployment Rate measures the percentage of the total work force that is not working, yet actively seeking employment.
A reading that is higher than forecast is generally negative (bearish) for the USD, while a lower than forecast reading is generally supportive (bullish) for the USD.
Historical impact on Assets: EURUSD | USDJPY</t>
  </si>
  <si>
    <t>Source: Bloomberg, ADSS, News Articles, Company Research. Notes as of 29th September 2024, 6PM.</t>
  </si>
  <si>
    <t>X</t>
  </si>
  <si>
    <t>IST Time</t>
  </si>
  <si>
    <t>MT5 server time</t>
  </si>
  <si>
    <t>Actual:</t>
  </si>
  <si>
    <t>Forecast:</t>
  </si>
  <si>
    <t>Previous:</t>
  </si>
  <si>
    <t>Time (GMT):</t>
  </si>
  <si>
    <t>Release Date</t>
  </si>
  <si>
    <t>Aug. 31, 2024</t>
  </si>
  <si>
    <t>49.5 </t>
  </si>
  <si>
    <t>Jul. 31, 2024</t>
  </si>
  <si>
    <t>49.4 </t>
  </si>
  <si>
    <t>Jun. 30, 2024</t>
  </si>
  <si>
    <t>May 31, 2024</t>
  </si>
  <si>
    <t>50.5 </t>
  </si>
  <si>
    <t>Apr. 30, 2024</t>
  </si>
  <si>
    <t>50.3 </t>
  </si>
  <si>
    <t>Mar. 31, 2024</t>
  </si>
  <si>
    <t>50.1 </t>
  </si>
  <si>
    <t>Aug. 15, 2024  </t>
  </si>
  <si>
    <t>0.6% </t>
  </si>
  <si>
    <t>Jun. 28, 2024</t>
  </si>
  <si>
    <t>May 10, 2024  </t>
  </si>
  <si>
    <t>0.4% </t>
  </si>
  <si>
    <t>Mar. 28, 2024</t>
  </si>
  <si>
    <t>-0.3% </t>
  </si>
  <si>
    <t>Feb. 15, 2024  </t>
  </si>
  <si>
    <t>-0.1% </t>
  </si>
  <si>
    <t>Dec. 22, 2023</t>
  </si>
  <si>
    <t>0.0% </t>
  </si>
  <si>
    <t>0.9% </t>
  </si>
  <si>
    <t>0.2% </t>
  </si>
  <si>
    <t>-0.2% </t>
  </si>
  <si>
    <t>0.1% </t>
  </si>
  <si>
    <t>German CPI (MoM) (Sep) P</t>
  </si>
  <si>
    <t>Sep. 10, 2024</t>
  </si>
  <si>
    <t>Aug. 29, 2024  </t>
  </si>
  <si>
    <t>Aug. 09, 2024</t>
  </si>
  <si>
    <t>0.3% </t>
  </si>
  <si>
    <t>Jul. 30, 2024  </t>
  </si>
  <si>
    <t>Jul. 11, 2024</t>
  </si>
  <si>
    <t>Jul. 01, 2024  </t>
  </si>
  <si>
    <t xml:space="preserve">
The Chicago Purchasing Managers' Index (PMI) is a diffusion index incorporating survey results provided by manufacturing firms around the Chicago area. A reading above fifty suggests the manufacturing sector is expanding, while a reading below fifty suggests the manufacturing sector is in contraction. The Chicago PMI can be of some assistance in forecasting the ISM manufacturing PMI.
A reading that is stronger than forecast is generally supportive (bullish) for the USD, while a weaker than forecast reading is generally negative (bearish) for the USD.
Historical impact on Assets: EURUSD | USDJPY</t>
  </si>
  <si>
    <t>Aug. 30, 2024</t>
  </si>
  <si>
    <t>45.0 </t>
  </si>
  <si>
    <t>44.8 </t>
  </si>
  <si>
    <t>39.7 </t>
  </si>
  <si>
    <t>41.1 </t>
  </si>
  <si>
    <t>44.9 </t>
  </si>
  <si>
    <t>45.9 </t>
  </si>
  <si>
    <t>Sep. 26, 2024</t>
  </si>
  <si>
    <t>Aug. 23, 2024</t>
  </si>
  <si>
    <t>Jul. 15, 2024</t>
  </si>
  <si>
    <t>Jul. 02, 2024</t>
  </si>
  <si>
    <t>May 19, 2024</t>
  </si>
  <si>
    <t>May 14, 2024</t>
  </si>
  <si>
    <t>CPI (YoY) (Sep) P (EUR)</t>
  </si>
  <si>
    <t>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EUR, while a weaker than forecast reading is generally negative (bearish) for the EUR.
Historical impact on Assets: EURUSD | USDJPY</t>
  </si>
  <si>
    <t>Time (GMT):real</t>
  </si>
  <si>
    <t>Release Datetain</t>
  </si>
  <si>
    <t>Sep. 18, 2024</t>
  </si>
  <si>
    <t>2.2% </t>
  </si>
  <si>
    <t>Aug. 30, 2024  </t>
  </si>
  <si>
    <t>Aug. 20, 2024</t>
  </si>
  <si>
    <t>2.6% </t>
  </si>
  <si>
    <t>Jul. 31, 2024  </t>
  </si>
  <si>
    <t>2.5% </t>
  </si>
  <si>
    <t>Jul. 17, 2024</t>
  </si>
  <si>
    <t>Jul. 02, 2024  </t>
  </si>
  <si>
    <t>Manufacturing PMI (Sep) (USD)</t>
  </si>
  <si>
    <t>Sep. 23, 2024  </t>
  </si>
  <si>
    <t>48.6 </t>
  </si>
  <si>
    <t>Sep. 03, 2024</t>
  </si>
  <si>
    <t>48.0 </t>
  </si>
  <si>
    <t>Aug. 22, 2024  </t>
  </si>
  <si>
    <t>Aug. 01, 2024</t>
  </si>
  <si>
    <t>Jul. 24, 2024  </t>
  </si>
  <si>
    <t>51.7 </t>
  </si>
  <si>
    <t>Jul. 01, 2024</t>
  </si>
  <si>
    <t>ISM Manufacturing PMI (Sep) (USD)</t>
  </si>
  <si>
    <t>47.5 </t>
  </si>
  <si>
    <t>48.8 </t>
  </si>
  <si>
    <t>49.2 </t>
  </si>
  <si>
    <t>Jun. 03, 2024</t>
  </si>
  <si>
    <t>49.8 </t>
  </si>
  <si>
    <t>May 01, 2024</t>
  </si>
  <si>
    <t>50.0 </t>
  </si>
  <si>
    <t>Apr. 01, 2024</t>
  </si>
  <si>
    <t>48.5 </t>
  </si>
  <si>
    <t>ISM Manufacturing Prices (Sep) (USD)</t>
  </si>
  <si>
    <t>52.1 </t>
  </si>
  <si>
    <t>51.9 </t>
  </si>
  <si>
    <t>55.8 </t>
  </si>
  <si>
    <t>60.0 </t>
  </si>
  <si>
    <t>55.5 </t>
  </si>
  <si>
    <t>53.3 </t>
  </si>
  <si>
    <t>JOLTS Job Openings (Aug) (USD)</t>
  </si>
  <si>
    <t>Sep. 04, 2024</t>
  </si>
  <si>
    <t>8.090M </t>
  </si>
  <si>
    <t>7.910M</t>
  </si>
  <si>
    <t>Jul. 30, 2024</t>
  </si>
  <si>
    <t>8.020M </t>
  </si>
  <si>
    <t>8.230M</t>
  </si>
  <si>
    <t>7.960M </t>
  </si>
  <si>
    <t>7.919M</t>
  </si>
  <si>
    <t>Jun. 04, 2024</t>
  </si>
  <si>
    <t>8.370M </t>
  </si>
  <si>
    <t>8.355M</t>
  </si>
  <si>
    <t>8.488M</t>
  </si>
  <si>
    <t>8.680M </t>
  </si>
  <si>
    <t>8.813M</t>
  </si>
  <si>
    <t>Apr. 02, 2024</t>
  </si>
  <si>
    <t>8.756M</t>
  </si>
  <si>
    <t>8.760M </t>
  </si>
  <si>
    <t>8.748M</t>
  </si>
  <si>
    <t>ADP Nonfarm Employment Change (Sep) (USD)</t>
  </si>
  <si>
    <t>Sep. 05, 2024</t>
  </si>
  <si>
    <t>144K </t>
  </si>
  <si>
    <t>111K</t>
  </si>
  <si>
    <t>147K </t>
  </si>
  <si>
    <t>Jul. 03, 2024</t>
  </si>
  <si>
    <t>163K </t>
  </si>
  <si>
    <t>157K</t>
  </si>
  <si>
    <t>Jun. 05, 2024</t>
  </si>
  <si>
    <t>173K </t>
  </si>
  <si>
    <t>188K</t>
  </si>
  <si>
    <t>192K</t>
  </si>
  <si>
    <t>179K </t>
  </si>
  <si>
    <t>208K</t>
  </si>
  <si>
    <t>Apr. 03, 2024</t>
  </si>
  <si>
    <t>184K</t>
  </si>
  <si>
    <t>148K </t>
  </si>
  <si>
    <t>Crude Oil Inventories (USD)</t>
  </si>
  <si>
    <t>[]</t>
  </si>
  <si>
    <t>Sep. 25, 2024</t>
  </si>
  <si>
    <t>-1.300M </t>
  </si>
  <si>
    <t>-0.200M </t>
  </si>
  <si>
    <t>Sep. 11, 2024</t>
  </si>
  <si>
    <t>0.900M </t>
  </si>
  <si>
    <t>-0.600M </t>
  </si>
  <si>
    <t>Aug. 28, 2024</t>
  </si>
  <si>
    <t>-2.700M </t>
  </si>
  <si>
    <t>Aug. 21, 2024</t>
  </si>
  <si>
    <t>-2.000M </t>
  </si>
  <si>
    <t>Initial Jobless Claims (USD)</t>
  </si>
  <si>
    <t>224K </t>
  </si>
  <si>
    <t>Sep. 19, 2024</t>
  </si>
  <si>
    <t>230K </t>
  </si>
  <si>
    <t>Sep. 12, 2024</t>
  </si>
  <si>
    <t>227K </t>
  </si>
  <si>
    <t>228K</t>
  </si>
  <si>
    <t>231K </t>
  </si>
  <si>
    <t>Aug. 29, 2024</t>
  </si>
  <si>
    <t>232K </t>
  </si>
  <si>
    <t>Aug. 22, 2024</t>
  </si>
  <si>
    <t>Services PMI (Sep) (USD)</t>
  </si>
  <si>
    <t>55.3 </t>
  </si>
  <si>
    <t>55.2 </t>
  </si>
  <si>
    <t>54.0 </t>
  </si>
  <si>
    <t>Aug. 05, 2024</t>
  </si>
  <si>
    <t>56.0 </t>
  </si>
  <si>
    <t>54.7 </t>
  </si>
  <si>
    <t>55.1 </t>
  </si>
  <si>
    <t>ISM Non-Manfucturing PMI (Sep) (USD)</t>
  </si>
  <si>
    <t xml:space="preserve">
The Institute of Supply Management (ISM) Non-Manufacturing Purchasing Managers' Index (PMI) (also known as the ISM Services PMI) report on Business, is based on data compiled from monthly replies to questions asked of more than 370 purchasing and supply executives in over 62 different industries.
The NMI is a composite index based on the diffusion indexes for four of the indicators with equal weights: Business Activity (seasonally adjusted), New Orders (seasonally adjusted), Employment (seasonally adjusted) and Supplier Deliveries.
A reading above 50 percent indicates the non-manufacturing sector economy is generally expanding; below 50 percent indicates the non-manufacturing sector is generally contracting. Given the large proportion of the US economy engaged in the services sector, this report offers insights into the health of the overall US economy.
A reading that is stronger than forecast is generally supportive (bullish) for the USD, while a weaker than forecast reading is generally negative (bearish) for the USD.
Historical impact on Assets: EURUSD | USDJPY</t>
  </si>
  <si>
    <t>51.3 </t>
  </si>
  <si>
    <t>51.4 </t>
  </si>
  <si>
    <t>52.6 </t>
  </si>
  <si>
    <t>51.0 </t>
  </si>
  <si>
    <t>May 03, 2024</t>
  </si>
  <si>
    <t>52.0 </t>
  </si>
  <si>
    <t>52.8 </t>
  </si>
  <si>
    <t>ISM Non-Manfucturing Prices (Sep) (USD)</t>
  </si>
  <si>
    <t>56.7 </t>
  </si>
  <si>
    <t>59.0 </t>
  </si>
  <si>
    <t>55.0 </t>
  </si>
  <si>
    <t>58.4 </t>
  </si>
  <si>
    <t>Average Hourly Earnings (MoM) (Sep) (USD)</t>
  </si>
  <si>
    <t>Sep. 06, 2024</t>
  </si>
  <si>
    <t>Aug. 02, 2024</t>
  </si>
  <si>
    <t>Jul. 05, 2024</t>
  </si>
  <si>
    <t>Jun. 07, 2024</t>
  </si>
  <si>
    <t>Apr. 05, 2024</t>
  </si>
  <si>
    <t>Nonfarm Payrolls (Sep) (USD)</t>
  </si>
  <si>
    <t xml:space="preserve">
Nonfarm Payrolls measures the change in the number of people employed during the prior month, excluding workers in the farming industry. Given that full employment is one of the Federal Reserves mandates, it is very closely watched.
A reading that is stronger than forecast is generally supportive (bullish) for the USD, while a weaker than forecast reading is generally negative (bearish) for the USD.
Historical impact on Assets: EURUSD | USDJPY</t>
  </si>
  <si>
    <t>164K </t>
  </si>
  <si>
    <t>89K</t>
  </si>
  <si>
    <t>176K </t>
  </si>
  <si>
    <t>179K</t>
  </si>
  <si>
    <t>191K </t>
  </si>
  <si>
    <t>182K </t>
  </si>
  <si>
    <t>165K</t>
  </si>
  <si>
    <t>175K</t>
  </si>
  <si>
    <t>238K </t>
  </si>
  <si>
    <t>315K</t>
  </si>
  <si>
    <t>303K</t>
  </si>
  <si>
    <t>212K </t>
  </si>
  <si>
    <t>270K</t>
  </si>
  <si>
    <t>Unemployment Rate (Sep)</t>
  </si>
  <si>
    <t>4.2% </t>
  </si>
  <si>
    <t>4.1% </t>
  </si>
  <si>
    <t>4.0% </t>
  </si>
  <si>
    <t>3.9% </t>
  </si>
  <si>
    <t>3.8% </t>
  </si>
  <si>
    <t>Description</t>
  </si>
  <si>
    <t>8.040M</t>
  </si>
  <si>
    <t>143K</t>
  </si>
  <si>
    <t>-1.500M</t>
  </si>
  <si>
    <t>3.889M</t>
  </si>
  <si>
    <t>225K</t>
  </si>
  <si>
    <t>159k</t>
  </si>
  <si>
    <t>147K</t>
  </si>
  <si>
    <t>254K</t>
  </si>
  <si>
    <t xml:space="preserve">The Reserve Bank of New Zealand (RBNZ) governor decides where to set the rate after consulting senior bank staff and external advisers. As short term interest rates are an important determinant of currency valuation, traders watch interest rate changes closely.
A reading that is stronger than forecast is generally supportive (bullish) for the NZD, while a weaker than forecast reading is generally negative (bearish) for the NZD.
Historical impact on Assets: AUDNZD | USDNZD </t>
  </si>
  <si>
    <t xml:space="preserve">
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Historical impact on Assets: USOILX4</t>
  </si>
  <si>
    <t>10-Year Auction Note</t>
  </si>
  <si>
    <t xml:space="preserve">
The figures displayed in the calendar represent the yield on the Treasury Note auctioned.
U.S. Treasury Notes have maturities of two to ten years. Governments issue treasuries to borrow money to cover the gap between the amount they receive in taxes and the amount they spend to refinance existing debt and/or to raise capital. The rate on a Treasury Note represents the return an investor will receive by holding the note for its entire duration. All bidders receive the same rate at the highest accepted bid.
Yield fluctuations should be monitored closely as an indicator of the government debt situation. Investors compare the average rate at auction to the rate at previous auctions of the same security.</t>
  </si>
  <si>
    <t>The Federal Open Market Committee (FOMC) Meeting Minutes are a detailed record of the committee's policy-setting meeting held about three weeks earlier. The minutes offer detailed insights regarding the FOMC's stance on monetary policy, so currency traders carefully examine them for clues regarding the outcome of future interest rate decisions.
Historical impact on Assets: USDJPY</t>
  </si>
  <si>
    <t>Core CPI (MoM) (Sep)</t>
  </si>
  <si>
    <t xml:space="preserve">
The Core Consumer Price Index (CPI) measures the changes in the price of goods and services, excluding food and energy. The Central bank pays very close attention to this figure in its role of maintaining price stability. Because the Fed believes that core inflation is a better gauge of underlying price pressures, it is more closely watched than overall inflation which tends to be more volatile.
A reading that is stronger than forecast is generally supportive (bullish) for the USD, while a weaker than forecast reading is generally negative (bearish) for the USD.
Historical impact on Assets: USDJPY</t>
  </si>
  <si>
    <t>CPI (YoY) (Sep)</t>
  </si>
  <si>
    <t xml:space="preserve">
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USD, while a weaker than forecast reading is generally negative (bearish) for the USD.
Historical impact on Assets: USDJPY</t>
  </si>
  <si>
    <t>B</t>
  </si>
  <si>
    <t xml:space="preserve">
The figures displayed in the calendar represent the yield on the Treasury Bond auctioned.
U.S. Treasury Bonds have maturities from ten up to 30 years. Governments issue treasuries to borrow money to cover the gap between the amount they receive in taxes and the amount they spend to refinance existing debt and/or to raise capital. The rate on a Treasury Bond represents the return an investor will receive by holding the bond for its entire duration. All bidders receive the same rate at the highest accepted bid.
Yield fluctuations should be monitored closely as an indicator of the government debt situation. Investors compare the average rate at auction to the rate at previous auctions of the same security.</t>
  </si>
  <si>
    <t>GDP (MoM) (Aug)</t>
  </si>
  <si>
    <t>Gross Domestic Product (GDP) measures the annualized change in the inflation-adjusted value of all goods and services produced by the economy. It is the broadest measure of economic activity and the primary indicator of the economy's health. A higher than expected reading should be taken as positive/bullish for the GBP, while a lower than expected reading should be taken as negative/bearish for the GBP.
Historical impact on Assets: GBPUSD</t>
  </si>
  <si>
    <t>PPI (MoM) (Sep)</t>
  </si>
  <si>
    <t>The Producer Price Index (PPI) measures a change in input prices of raw, semi-finished or finished goods and services. If input costs rise, some will be absorbed by the producer and some passed on to the consumer. Conversely, if input costs fall, some of the decline will be enjoyed as wider profit margins by the producer and some will be passed on to the consumer in the form of lower prices. Because PPI impacts consumer prices, it is watched by central bankers as part of fulfilling their mandate of price stability.
A reading that is stronger than forecast is generally supportive (bullish) for the USD, while a weaker than forecast reading is generally negative (bearish) for the USD.
Historical impact on Assets: USDJPY</t>
  </si>
  <si>
    <t>  Michigan 1-Year Inflation Expectations</t>
  </si>
  <si>
    <t>University of Michigan (UoM) Inflation Expectations measures the percentage that consumers expect the price of goods and services to change during the next 12 months. There are two versions of this data released two weeks apart,Preliminary and Revised. The preliminary release is the earliest so tends to have more impact.
A higher than expected reading should be taken as positive/bullish for the USD, while a lower than expected reading should be taken as negative/bearish for the USD.</t>
  </si>
  <si>
    <t>  Michigan 5-Year Inflation Expectations</t>
  </si>
  <si>
    <t xml:space="preserve">
The University of Michigan Inflation Expectations survey of consumers presents the median expected price changes for the next 5 years.
A reading that is stronger than forecast is generally supportive (bullish) for the USD, while a weaker than forecast reading is generally negative (bearish) for the USD.</t>
  </si>
  <si>
    <t xml:space="preserve">  Michigan Consumer Expectations</t>
  </si>
  <si>
    <t>The Michigan sentiment index includes two major components, a "current conditions" component and an "expectations" component. The current conditions component index is based on the answers to two standard questions and the expectations component index is based on three standard questions. This number is the expectations part of the overall index. A higher than expected number should be taken as positive to the USD, while a lower than expected number as negative. This is the final number.</t>
  </si>
  <si>
    <t xml:space="preserve">  Michigan Consumer Sentiment</t>
  </si>
  <si>
    <t>The University of Michigan Consumer Sentiment Index is composed of survey results comparing the relative level of both current and future economic conditions. There are two versions of this data released two weeks apart, preliminary and revised. The preliminary data tends to have a greater impact as it is more timely. The reading is compiled from a survey of around 500 consumers.
A reading that is stronger than forecast is generally supportive (bullish) for the USD, while a weaker than forecast reading is generally negative (bearish) for the USD.</t>
  </si>
  <si>
    <t>2.7% </t>
  </si>
  <si>
    <t>2.8% </t>
  </si>
  <si>
    <t>2.9% </t>
  </si>
  <si>
    <t>3.1% </t>
  </si>
  <si>
    <t>3.0% </t>
  </si>
  <si>
    <t>73.0 </t>
  </si>
  <si>
    <t>71.0 </t>
  </si>
  <si>
    <t>72.1 </t>
  </si>
  <si>
    <t>68.5 </t>
  </si>
  <si>
    <t>67.2 </t>
  </si>
  <si>
    <t>69.8 </t>
  </si>
  <si>
    <t>2.000M</t>
  </si>
  <si>
    <t>5.810M</t>
  </si>
  <si>
    <t>258K</t>
  </si>
  <si>
    <t>Source: Bloomberg, ADSS, News Articles, Company Research. Notes as of 5th October 2024, 8 PM.</t>
  </si>
  <si>
    <t>Investors will follow the release of OPEC's monthly report this week.
This essential report explores the major factors affecting the global oil market, providing an in-depth analysis of key developments influencing global oil demand supply, and price stability for the current and upcoming year.
It's worth noting that oil prices corrected higher by the end of September and then rallied since the beginning of October - recouping some of its previous losses due to renewed geopolitical tensions in the Middle East. However, in the absence of further escalations, prices may fall once more with the return of Libyan oil to the market and the lack of signs of increased Chinese oil demand.
If the OPEC report suggests a potential rise in demand, it could lend support to oil prices, which struggle to remain above the $80 per barrel threshold.
Historical impact on Assets: USOILX4</t>
  </si>
  <si>
    <t>CPI (YoY) (Q3) (NZD)</t>
  </si>
  <si>
    <t>The New Zealand Consumer Price Index dropped from 4% in Q1 of 2024 to 3.3% in Q2 of the same year, prompting the Reserve Bank of New Zealand to lower interest rates by 50 basis points at its last meeting (bringing rates down from 5.25% to 4.75%)
With inflation likely to continue falling, Bloomberg reports that markets have already priced in a 50 basis point rate cut by the New Zealand Central Bank at its November meeting, with an additional 50 basis point cut expected in February next year, with a probability of up to 90%.
If inflation rises or remains stable around 3%, the Reserve Bank of New Zealand may slow the pace of rate cuts, which could strengthen the New Zealand dollar against other major currencies.
Historical impact on Assets: NZDJPY | GBPZND</t>
  </si>
  <si>
    <t>CPI (YoY) (Sep) (GBP)</t>
  </si>
  <si>
    <t>In the UK, YoY CPI held steady in August at 2.2%, while core CPI (excluding food and energy) increased from 3.3% in July to 3.6% in August. As a result, markets expect the Bank of England to cut rates, but more cautiously than its counterparts. Bloomberg suggests that a 25-basis point cut is priced in with over 90% certainity for the November meeting, but only 50% certainity for December. If core inflation remains stable or proves difficult to lower in the September report, investors may delay pricing in a full December rate cut until further data is available, which could strengthen the pound against currencies like the New Zealand dollar. 
Historical impact on Assets: GBPJPY | GBPNZD</t>
  </si>
  <si>
    <t>CPI (YoY) (Sep) (EUR)</t>
  </si>
  <si>
    <t>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EUR, while a weaker than forecast reading is generally negative (bearish) for the EUR.
Historical impact on Assets: EURJPY</t>
  </si>
  <si>
    <t>Deposit Facility Rate (Oct)</t>
  </si>
  <si>
    <t>ECB Interest Rate Decision (Oct)</t>
  </si>
  <si>
    <t>Bloomberg anticipates the ECB will lower interest rates by 25 basis points at its upcoming meeting, driven by a significant drop in overall inflation, which has reached its lowest level since April 2021. The consumer price index fell from 2.2% in August to 1.8% in September. 
Bloomberg also reports that markets have priced in a 25-basis point rate cut at the November meeting with about 95% certainity and similar cut in December with over 100% certainty. Any signal from the ECM president suggesting the continuation of this pace into next year could lead investors to expect further cuts, potentially weakening the euro while boosting European stocks like ESTOX
Historical impact on Assets: EURJPY | ESTOX</t>
  </si>
  <si>
    <t>Core Retail Sales (MoM) (Sep)</t>
  </si>
  <si>
    <t>Core Retail Sales measures the change in the total value of sales at the retail level in the U.S., excluding automobiles. It is an important indicator of consumer spending which accounts for a large percentage of US GDP.
A reading that is stronger than forecast is generally supportive (bullish) for the USD, while a weaker than forecast reading is generally negative (bearish) for the USD.
Historical impact on Assets: USDJPY</t>
  </si>
  <si>
    <t>260K</t>
  </si>
  <si>
    <t>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Historical impact on Assets: USDJPY</t>
  </si>
  <si>
    <t>Philadelphia Fed Manufacturing Index (Oct)</t>
  </si>
  <si>
    <t>The Philadelphia Federal Reserve Manufacturing Index measures the relative level of business conditions amongst manufacturers in the Federal reserve district. A level above zero on the index indicates improving conditions; below indicates worsening conditions. The data is compiled from a survey of about 250 manufacturers in the Philadelphia Federal Reserve district.
A reading that is stronger than forecast is generally supportive (bullish) for the USD, while a weaker than forecast reading is generally negative (bearish) for the USD.
Historical impact on Assets: USDJPY</t>
  </si>
  <si>
    <t>Retail Sales (MoM) (Sep)</t>
  </si>
  <si>
    <t>Retail Sales gauges the change in the aggregate value of sales at the retail level across the country. It is an important indicator of consumer spending accounting for the majority of overall economic activity.
A reading that is stronger than forecast is generally supportive (bullish) for the USD, while a weaker than forecast reading is generally negative (bearish) for the USD.
Historical impact on Assets: USDJPY</t>
  </si>
  <si>
    <t>The European Central Bank (ECB) press conference is held monthly, about 45 minutes after the Minimum Bid Rate is announced. The conference is approximately an hour long and has two parts. Firstly, a prepared statement is read, then the conference is open to press questions. The press conference examines the factors which affected the ECB's interest rate decision and deals with the overall economic outlook and inflation. Most importantly, it provides clues regarding future monetary policy. High levels of volatility can frequently be observed during the press conference as press questions lead to unscripted answers.
Historical impact on Assets: EURJPY</t>
  </si>
  <si>
    <t>-2.191M</t>
  </si>
  <si>
    <t>1.800M</t>
  </si>
  <si>
    <t>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Historical impact on Assets: USOILX4</t>
  </si>
  <si>
    <t>GDP (YoY) (Q3)</t>
  </si>
  <si>
    <t>Gross Domestic Product (GDP) gauges the inflation-adjusted value of all goods and services produced within the economy. It is the most comprehensive measure of economic activity and an important indicator of economic health.
A reading that is stronger than forecast is generally supportive (bullish) for the CNY, while a weaker than forecast reading is generally negative (bearish) for the CNY.
Historical impact on Assets: USDCNY</t>
  </si>
  <si>
    <t>Source: Bloomberg, ADSS, News Articles, Company Research. Notes as of 13th October 2024, 8 PM.</t>
  </si>
  <si>
    <t>The Bank of Canada (BOC) is expected to cut rates by 50bps as price pressures ease.
Headline inflation declined more than expected to 1.6% last month. This combined with signs of a slowing economy, has convinced market participants that the BoC will go for a bigger 50bps cut next week. A reminder that the BoC has already cut rates by a cumulative 75bps since early June.
USDCAD has risen given this relative widening in rate cut expectations, with the pair trading up to 1.3800 from 1.3415 in early October.
Traders can expect significant volatility around and post the BoC release next Wednesday. 
Historical impact on Assets: USDCAD | CADJPY</t>
  </si>
  <si>
    <t>Existing Home Sales (Sep)</t>
  </si>
  <si>
    <t>3.88M</t>
  </si>
  <si>
    <t>Existing Home Sales measures the change in the annualised number of existing residential buildings that were sold during the prior month. This report helps to gauge the strength of the U.S. housing market and is an important indicator of overall economic strength.
A reading that is stronger than forecast is generally supportive (bullish) for the USD, while a weaker than forecast reading is generally negative (bearish) for the USD.
Historical impact on Assets: USDJPY</t>
  </si>
  <si>
    <t>Tesla Earnings</t>
  </si>
  <si>
    <t>Earnings result declaration after market close</t>
  </si>
  <si>
    <t>Composite PMI (Oct) P</t>
  </si>
  <si>
    <t>Sterling pairs have seen several weeks of weakness following Fed's 50bps cut in September where GBPUSD traded a high of 1.3433_x000B__x000B_We have seen a slew of robust US data releases including strong payrolls and higher-than-expected CPI casting doubts on the aggressive price cuts priced in for the next 12 months._x000B_In addition to stronger US data, UK rate cut expectations have ramped up with interest rate futures showing a 90% chance of two BOE 25bps cuts by year-end._x000B__x000B_This week has seen GBPUSD test key support around 1.2990, which has been held for now. On Friday we again dropped below 1.30 before stronger-than-expected retail sales which gave GBPUSD a boost and traded up to a high of 1.3070</t>
  </si>
  <si>
    <t>Manufacturing PMI (Oct) P</t>
  </si>
  <si>
    <t>The Manufacturing Purchasing Managers' Index (PMI) is a diffusion index incorporating survey results provided by manufacturing firms throughout the country. A reading above fifty suggests the manufacturing sector is expanding, while a reading below fifty suggests the manufacturing sector is in contraction. Policymakers and traders watch these surveys closely as purchasing managers usually have early access to data about their company’s performance, rather than waiting for the hard data to emerge. While manufacturing accounts for a far smaller percentage of economic output than services, it is far more cyclical and is therefore a useful indicator of where in the economic cycle the economy is currently situated. 
A reading that is stronger than forecast is generally supportive (bullish) for the USD while a weaker than forecast reading is generally negative (bearish) for the USD.
Historical impact on Assets: USDJPY</t>
  </si>
  <si>
    <t>Services PMI (Oct) P</t>
  </si>
  <si>
    <t>The Service PMI release is published monthly by Markit Economics. The data are based on surveys of over 400 executives in private sector service companies. The surveys cover transport and communication, financial intermediaries, business and personal services, computing &amp; IT, hotels and restaurants. 
An index level of 50 denotes no change since the previous month, while a level above 50 signals an improvement, and below 50 indicates a deterioration. 
A reading that is stronger than forecast is generally supportive (bullish) for the USD, while a weaker than forecast reading is generally negative (bearish) for the USD.
Historical impact on Assets: USDJPY</t>
  </si>
  <si>
    <t>New Home Sales (Sep)</t>
  </si>
  <si>
    <t>717K</t>
  </si>
  <si>
    <t>New Home Sales measures the annualised number of new single-family homes that were sold during the prior month. When it's released ahead of Existing Home Sales, this report tends to have more impact because the two reports are highly correlated.
A reading that is stronger than forecast is generally supportive (bullish) for the USD, while a weaker than forecast reading is generally negative (bearish) for the USD.
Historical impact on Assets: USDJPY</t>
  </si>
  <si>
    <t>Durable Goods Orders (MoM) (Sep) P</t>
  </si>
  <si>
    <t>Durable Goods Orders reports the change in the total value of new orders for long lasting manufactured goods, including transportation items.
A reading that is stronger than forecast is generally supportive (bullish) for the USD, while a weaker than forecast reading is generally negative (bearish) for the USD.
Historical impact on Assets: USDJPY</t>
  </si>
  <si>
    <t>Source: Bloomberg, ADSS, News Articles, Company Research. Notes as of 20th October 2024, 8 PM.</t>
  </si>
  <si>
    <t>4.25% </t>
  </si>
  <si>
    <t>Jul. 24, 2024</t>
  </si>
  <si>
    <t>4.50% </t>
  </si>
  <si>
    <t>4.75% </t>
  </si>
  <si>
    <t>Apr. 10, 2024</t>
  </si>
  <si>
    <t>5.00% </t>
  </si>
  <si>
    <t>Mar. 06, 2024</t>
  </si>
  <si>
    <t>Jan. 24, 2024</t>
  </si>
  <si>
    <t>1.800M </t>
  </si>
  <si>
    <t>2.000M </t>
  </si>
  <si>
    <t>-1.500M </t>
  </si>
  <si>
    <t>222K </t>
  </si>
  <si>
    <t>3.92M </t>
  </si>
  <si>
    <t>3.95M</t>
  </si>
  <si>
    <t>3.94M </t>
  </si>
  <si>
    <t>3.90M</t>
  </si>
  <si>
    <t>Jul. 23, 2024</t>
  </si>
  <si>
    <t>3.89M</t>
  </si>
  <si>
    <t>3.99M </t>
  </si>
  <si>
    <t>Jun. 21, 2024</t>
  </si>
  <si>
    <t>4.08M </t>
  </si>
  <si>
    <t>4.14M</t>
  </si>
  <si>
    <t>May 22, 2024</t>
  </si>
  <si>
    <t>4.21M </t>
  </si>
  <si>
    <t>4.22M</t>
  </si>
  <si>
    <t>Apr. 18, 2024</t>
  </si>
  <si>
    <t>4.19M</t>
  </si>
  <si>
    <t>4.20M </t>
  </si>
  <si>
    <t>4.38M</t>
  </si>
  <si>
    <t>Oct. 03, 2024</t>
  </si>
  <si>
    <t>52.9 </t>
  </si>
  <si>
    <t>  </t>
  </si>
  <si>
    <t>53.4 </t>
  </si>
  <si>
    <t>52.7 </t>
  </si>
  <si>
    <t>Oct. 01, 2024</t>
  </si>
  <si>
    <t>47.0 </t>
  </si>
  <si>
    <t>55.4 </t>
  </si>
  <si>
    <t>699K </t>
  </si>
  <si>
    <t>751K</t>
  </si>
  <si>
    <t>624K </t>
  </si>
  <si>
    <t>668K</t>
  </si>
  <si>
    <t>639K </t>
  </si>
  <si>
    <t>621K</t>
  </si>
  <si>
    <t>Jun. 26, 2024</t>
  </si>
  <si>
    <t>636K </t>
  </si>
  <si>
    <t>698K</t>
  </si>
  <si>
    <t>May 23, 2024</t>
  </si>
  <si>
    <t>634K</t>
  </si>
  <si>
    <t>677K </t>
  </si>
  <si>
    <t>665K</t>
  </si>
  <si>
    <t>Apr. 23, 2024</t>
  </si>
  <si>
    <t>693K</t>
  </si>
  <si>
    <t>668K </t>
  </si>
  <si>
    <t>637K</t>
  </si>
  <si>
    <t>Sep. 26, 2024  </t>
  </si>
  <si>
    <t>-2.8% </t>
  </si>
  <si>
    <t>Aug. 26, 2024</t>
  </si>
  <si>
    <t>Jul. 25, 2024</t>
  </si>
  <si>
    <t>Jun. 27, 2024</t>
  </si>
  <si>
    <t>-0.5% </t>
  </si>
  <si>
    <t>May 24, 2024</t>
  </si>
  <si>
    <t>-0.9% </t>
  </si>
  <si>
    <t>Apr. 24, 2024</t>
  </si>
  <si>
    <t>Tokyo Core CPI (YoY)</t>
  </si>
  <si>
    <t>1.7% </t>
  </si>
  <si>
    <t>2.0% </t>
  </si>
  <si>
    <t>1.9% </t>
  </si>
  <si>
    <t>Asset</t>
  </si>
  <si>
    <t>C:USDCAD</t>
  </si>
  <si>
    <t>USDCAD.sd</t>
  </si>
  <si>
    <t>Time</t>
  </si>
  <si>
    <t>C:USDJPY</t>
  </si>
  <si>
    <t>USDJPY.sd</t>
  </si>
  <si>
    <t>USOILRoll</t>
  </si>
  <si>
    <t>TESLA</t>
  </si>
  <si>
    <t>C:GBPUSD</t>
  </si>
  <si>
    <t>GBPUSD.sd</t>
  </si>
  <si>
    <t>Investment</t>
  </si>
  <si>
    <t>Size</t>
  </si>
  <si>
    <t>atr</t>
  </si>
  <si>
    <t>spread</t>
  </si>
  <si>
    <t>factor</t>
  </si>
  <si>
    <t>VU</t>
  </si>
  <si>
    <t>sl</t>
  </si>
  <si>
    <t>margin</t>
  </si>
  <si>
    <t>RRR</t>
  </si>
  <si>
    <t>R</t>
  </si>
  <si>
    <t>on chart</t>
  </si>
  <si>
    <t>Hist 1</t>
  </si>
  <si>
    <t>Hist 2</t>
  </si>
  <si>
    <t>Placement</t>
  </si>
  <si>
    <t>P</t>
  </si>
  <si>
    <t>$ Strengthens due to differentials</t>
  </si>
  <si>
    <t>Final</t>
  </si>
  <si>
    <t>CB Consumer Confidence (Oct)</t>
  </si>
  <si>
    <t>Conference Board (CB) Consumer Confidence measures the level of confidence consumers have in the economy. When consumers are optimistic, they tend to spend more which increases consumption and overall economic growth.
A reading that is stronger than forecast is generally supportive (bullish) for the USD, while a weaker than forecast reading is generally negative (bearish) for the USD. 
Historical impact on Assets: USDJPY</t>
  </si>
  <si>
    <t>JOLTs Job Openings (Sep)</t>
  </si>
  <si>
    <t>7.920M</t>
  </si>
  <si>
    <t>A survey done by the US Bureau of Labor Statistics to help measure job vacancies. It collects data from employers about their businesses' employment, job openings, recruitment, hires and separations.
JOLTS defines Job Openings as all positions that are open (not filled) on the last business day of the month. A job is "open" only if it meets all three of the following conditions:
1. A specific position exists and there is work available for that position.
2. The job could start within 30 days, whether or not the establishment finds a suitable candidate during that time.
3. There is active recruiting for workers from outside the establishment location that has the opening.
A reading that is stronger than forecast is generally supportive (bullish) for the USD, while a weaker than forecast reading is generally negative (bearish) for the USD.
Historical impact on Assets: USDJPY</t>
  </si>
  <si>
    <t>Alphabet Earnings Report</t>
  </si>
  <si>
    <t>Earning report scheduled to be released post market close.</t>
  </si>
  <si>
    <t>CPI (YoY) (Q3) (AUD)</t>
  </si>
  <si>
    <t>Investors are closely monitoring the release of Australia's CPI data for Q3.
During the 2nd quarter, Australian inflation rose to 3.8%, leading markets to dismiss the likelihood the Reserve Bank of Australia would cut interest rates in Q3. As a result, the Australian dollar strengthened, gaining around 2.6% against the euro and 3.6% against the US dollar.
Bloomberg reports that inflation is projected to drop to 3.5% in Q3, which remains above the 2% target. A larger-than-expected decline could prompt Australian policymakers to consider interest rate cuts, potentially weakening the Australian dollar against other major currencies.
Historical impact on Assets: EURAUD | AUDUSD | AUDJPY</t>
  </si>
  <si>
    <t>German GDP (QoQ) (Q3) P</t>
  </si>
  <si>
    <t>Gross Domestic Product (GDP) is the broadest measure of economic activity and is a key indicator of economic health. The quarterly percent changes in GDP show the growth rate of the economy as a whole.
A reading that is stronger than forecast is generally supportive (bullish) for the EUR, while a weaker than forecast reading is generally negative (bearish) for the EUR.
Historical impact on Assets: EURJPY</t>
  </si>
  <si>
    <t>GDP (YoY) (EUR)</t>
  </si>
  <si>
    <t>Traders await the preliminary Q3 European GDP data on the same day. The European economy grew by 0.6% in Q2. If growth falls short of this figure, it could reinforce market expectations that the European Central Bank may need to stimulate the economy further through rate cuts, potentially weighing on the euro's value against currencues like the Australian dollar.
Historical impact on Assets: EURJPY | EURAUD | EURUSD</t>
  </si>
  <si>
    <t>Autumn Forecast Statement</t>
  </si>
  <si>
    <t>The Autumn Statement of the British Government, also known as the "mini-budget", is one of the two statements HM Treasury makes each year to Parliament upon publication of economic forecasts. It usually involves speeches in the House of Commons by the Chancellor of the Exchequer.
Historical impact on Assets: GBPJPY</t>
  </si>
  <si>
    <t>ADP Nonfarm Employment Change (Oct)</t>
  </si>
  <si>
    <t>101K</t>
  </si>
  <si>
    <t xml:space="preserve">
ADP is performs payroll services for its clients. The ADP National Employment Report is a measure of the monthly change in non-farm, private employment, based on the payroll data of approximately 400,000 U.S. business clients. The release, two days ahead of government data, is used as a predictor of the government's Labour Market Report.
A reading that is stronger than forecast is generally supportive (bullish) for the USD, while a weaker than forecast reading is generally negative (bearish) for the USD.
Historical impact on Assets: USDJPY</t>
  </si>
  <si>
    <t>GDP (QoQ) (Q3) P</t>
  </si>
  <si>
    <t>Gross Domestic Product (GDP) measures the annualised change in the inflation-adjusted value of all goods and services produced by the economy. It is the broadest measure of economic activity and the primary indicator of the economy's health.
A reading that is stronger than forecast is generally supportive (bullish) for the USD, while a weaker than forecast reading is generally negative (bearish) for the USD.
Historical impact on Assets: USDJPY</t>
  </si>
  <si>
    <t>German CPI (MoM) (Oct) P</t>
  </si>
  <si>
    <t>The Consumer Price Index (CPI) measures the change in the prices of goods and services from the perspective of the consumer. As Germany has the largest output of any country in the euro-zone, the European Central bank pays very close attention to this figure in its role of maintaining price stability.
A reading that is stronger than forecast is generally supportive (bullish) for the EUR, while a weaker than forecast reading is generally negative (bearish) for the EUR.
Historical impact on Assets: EURJPY</t>
  </si>
  <si>
    <t>5.474M</t>
  </si>
  <si>
    <t>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Historical impact on Assets: USOilRoll</t>
  </si>
  <si>
    <t>Meta Earnings Report</t>
  </si>
  <si>
    <t>Manufacturing PMI (Oct) (CNY)</t>
  </si>
  <si>
    <t>China Manufacturing Purchasing Managers Index (PMI) provides an early indication each month of economic activities in the Chinese manufacturing sector. It is compiled by China Federation of Logistics &amp; Purchasing (CFLP) and China Logistics Information Centre (CLIC), based on data collected by the National Bureau of Statistics (NBS).Li &amp; Fung Research Centre is responsible for drafting and disseminating the English PMI report. Every month questionnaires are sent to over 700 manufacturing enterprises all over China. The data presented here is compiled from the enterprises responses about their purchasing activities and supply situations. The PMI should be compared to other economic data sources when used in decision-making.
A reading that is stronger than forecast is generally supportive (bullish) for the CNY , while a weaker than forecast reading is generally negative (bearish) for the CNY.
Historical impact on Assets: USDCNY</t>
  </si>
  <si>
    <t xml:space="preserve">
Bank of Japan (BOJ) policy board publishes its decision about where to set the target overnight rate. As short term interest rates are an important determinant of currency valuation, traders watch interest rate changes closely. A reading that is stronger than forecast is generally supportive (bullish) for the JPY, while a weaker than forecast reading is generally negative (bearish) for the JPY.
Historical impact on Assets: USDJPY</t>
  </si>
  <si>
    <t>CPI (YoY) (Oct) P (EUR)</t>
  </si>
  <si>
    <t>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EUR, while a weaker than forecast reading is generally negative (bearish) for the EUR.
Historical impact on Assets: EURJPY</t>
  </si>
  <si>
    <t>Core PCE Price Index (YoY) (Sep)</t>
  </si>
  <si>
    <t>The Core PCE price Index is the less volatile measure of the PCE price index which excludes the more volatile and seasonal food and energy prices. The impact on the currency may go both ways, a rise in inflation may lead to a rise in interest rates and a rise in local currency, on the other hand, during recession, a rise in inflation may lead to a deepened recession and therefore a fall in local currency.
Historical impact on Assets: USDJPY</t>
  </si>
  <si>
    <t>Core PCE Price Index (MoM) (Sep)</t>
  </si>
  <si>
    <t>The Core Personal Consumption Expenditure (PCE) Price Index measures the changes in the price of goods and services purchased by consumers for the purpose of consumption, excluding food and energy. Unlike the fixed-weight CPI, PCE is chain-weighted and thus adjusts to changing consumer behaviour. Core PCE is the Fed's preferred inflation measure and thus receives greater attention.
A reading that is stronger than forecast is generally supportive (bullish) for the USD, while a weaker than forecast reading is generally negative (bearish) for the USD.
Historical impact on Assets: USDJPY</t>
  </si>
  <si>
    <t>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Historical impact on Assets: USDJPY</t>
  </si>
  <si>
    <t>Chicago PMI (Oct)</t>
  </si>
  <si>
    <t>The Chicago Purchasing Managers' Index (PMI) is a diffusion index incorporating survey results provided by manufacturing firms around the Chicago area. A reading above fifty suggests the manufacturing sector is expanding, while a reading below fifty suggests the manufacturing sector is in contraction. The Chicago PMI can be of some assistance in forecasting the ISM manufacturing PMI.
A reading that is stronger than forecast is generally supportive (bullish) for the USD, while a weaker than forecast reading is generally negative (bearish) for the USD.
Historical impact on Assets: USDJPY</t>
  </si>
  <si>
    <t>Amazon earnings report</t>
  </si>
  <si>
    <t>Earnings report scheduled to be released post market close.</t>
  </si>
  <si>
    <t>Apple earnings report</t>
  </si>
  <si>
    <t>The markets will closely watch the release of Apple's Q4 earnings report.
The report may highlight Apple's initiative to incorporate artificial intelligence into its devices, particularly the iPhones launched last September, as well as developers' feedback and the potential of this initiative.
Apple's previous quarter earnings per share surpassed expectations of 1.34, reaching 1.40 with a positive growth of 0.14%. For the current quarter, Bloomberg forecasts EPS of 1.59 and quarterly revenues of $94.33 billion.
Any figures below expectations could negatively impact Apple's stock, which may affect the US500 index, where Apple is a key component, and vice verse.
Historical impact on Assets: UTI100Roll | AAPL | US500</t>
  </si>
  <si>
    <t>Average Hourly Earnings (MoM) (Oct)</t>
  </si>
  <si>
    <t>Before the week concludes, traders will wait for the release oftthe US jobs report for October.
Bloomberg forecasts the US economy may add 135,000 jobs in October, a decrease from September's unexpectedly strong report, which showed the addition of 254,000 jobs and a drop in the unemployment rate to 4.1%
Stronger-than-expected figures could bolster the Federal Reserve's confidence in the resilience of the US economy, potentially slowing the pace of interest rate cuts. This would likely support the US dollar while negatively impacting dollar-related commodities like gold, which recently reached record highs, surpassing $2,700 per ounce.
Historical impact on Assets: USDJPY | XAUUSD</t>
  </si>
  <si>
    <t>Nonfarm Payrolls (Oct)</t>
  </si>
  <si>
    <t>Unemployment Rate (Oct)</t>
  </si>
  <si>
    <t>ISM Manufacturing PMI (Oct)</t>
  </si>
  <si>
    <t>The Institute of Supply Management (ISM) Manufacturing Purchasing Managers Index (PMI) Report on Business is based on data compiled from monthly replies to questions asked of purchasing and supply executives in over 400 industrial companies across the United States. For each of the indicators measured (New Orders, Backlog of Orders, New Export Orders, Imports, Production, Supplier Deliveries, Inventories, Customers Inventories, Employment, and Prices), a diffusion index is calculated by adding the percent of positive responses plus one-half of those responding the same (considered positive). The resulting single index number is then seasonally adjusted.
The PMI is a composite index based on the seasonally adjusted diffusion indices for five of the indicators with differing weights: New Orders --30% Production --25% Employment --20% Supplier Deliveries --15% and Inventories -- 10%.
A reading that is stronger than forecast is generally supportive (bullish) for the USD, while a weaker than forecast reading is generally negative (bearish) for the USD.
Historical impact on Assets: USDJPY</t>
  </si>
  <si>
    <t>ISM Manufacturing Prices (Oct)</t>
  </si>
  <si>
    <t>The Institute of Supply Management (ISM) Manufacturing Purchasing Managers Index (PMI) Report on Business is based on data compiled from monthly replies to questions asked of purchasing and supply executives in over 400 industrial companies. For each of the indicators measured (New Orders, Backlog of Orders, New Export Orders, Imports, Production, Supplier Deliveries, Inventories, Customers Inventories, Employment, and Prices), this report shows the percentage reporting each response, the net difference between the number of responses in the positive economic direction and the negative economic direction and the diffusion index. Responses are raw data and are never changed.
The diffusion index includes the percent of positive responses plus one-half of those responding the same (considered positive). The resulting single index number is then seasonally adjusted to allow for the effects of repetitive intra-year variations resulting primarily from normal differences in weather conditions, various institutional arrangements, and differences attributable to non-moveable holidays. All seasonal adjustment factors are supplied by the U.S. Department of Commerce and are subject annually to relatively minor changes when conditions warrant them.
The PMI is a composite index based on the seasonally adjusted diffusion indices for five of the indicators with varying weights: New Orders --30% Production --25% Employment --20% Supplier Deliveries --15% and Inventories -- 10%.
The Prices Paid subcategory is a diffusion index calculated by adding the percent of responses indicating they paid more for inputs plus one-half of those responding that they paid the same for inputs. The resulting single index number is then seasonally adjusted.
The Prices Paid diffusion index is one of a number of indicators pointing to the degree of inflationary pressures in the economy.
A higher than expected reading should be taken as positive/bullish for the USD, while a lower than expected reading should be taken as negative/bearish for the USD.
Historical impact on Assets: USDJPY</t>
  </si>
  <si>
    <t>Manufacturing PMI (Oct)</t>
  </si>
  <si>
    <t>The Manufacturing Purchasing Managers' Index (PMI) is a diffusion index incorporating survey results provided by manufacturing firms throughout the country. A reading above fifty suggests the manufacturing sector is expanding, while a reading below fifty suggests the manufacturing sector is in contraction. Policymakers and traders watch these surveys closely as purchasing managers usually have early access to data about their company’s performance, rather than waiting for the hard data to emerge. While manufacturing accounts for a far smaller percentage of economic output than services, it is far more cyclical and is therefore a useful indicator of where in the economic cycle the economy is currently situated. A reading that is stronger than forecast is generally supportive (bullish) for the USD while a weaker than forecast reading is generally negative (bearish) for the USD.
Historical impact on Assets: USDJPY</t>
  </si>
  <si>
    <t>Apple's earnings report</t>
  </si>
  <si>
    <t>AMD earnings report</t>
  </si>
  <si>
    <t>Alphabet earnings report</t>
  </si>
  <si>
    <t>Microsoft earnings report</t>
  </si>
  <si>
    <t>Meta earnings report</t>
  </si>
  <si>
    <t>House Price Index</t>
  </si>
  <si>
    <t>103.9 </t>
  </si>
  <si>
    <t>100.9 </t>
  </si>
  <si>
    <t>99.7 </t>
  </si>
  <si>
    <t>100.0 </t>
  </si>
  <si>
    <t>96.0 </t>
  </si>
  <si>
    <t>104.0 </t>
  </si>
  <si>
    <t>7.640M </t>
  </si>
  <si>
    <t>7.711M</t>
  </si>
  <si>
    <t>3.4% </t>
  </si>
  <si>
    <t>4.3% </t>
  </si>
  <si>
    <t>5.3% </t>
  </si>
  <si>
    <t>6.2% </t>
  </si>
  <si>
    <t>6.9% </t>
  </si>
  <si>
    <t>124K </t>
  </si>
  <si>
    <t>103K</t>
  </si>
  <si>
    <t>1.3% </t>
  </si>
  <si>
    <t>1.6% </t>
  </si>
  <si>
    <t>0.800M </t>
  </si>
  <si>
    <t>0.25% </t>
  </si>
  <si>
    <t>0.10% </t>
  </si>
  <si>
    <t>-0.10% </t>
  </si>
  <si>
    <t>1.8% </t>
  </si>
  <si>
    <t>243K </t>
  </si>
  <si>
    <t>242K</t>
  </si>
  <si>
    <t>241K </t>
  </si>
  <si>
    <t>46.1 </t>
  </si>
  <si>
    <t>159K</t>
  </si>
  <si>
    <t>47.6 </t>
  </si>
  <si>
    <t>53.5 </t>
  </si>
  <si>
    <t>0.5% </t>
  </si>
  <si>
    <t>C:AUDJPY</t>
  </si>
  <si>
    <t>AUDJPY.sd</t>
  </si>
  <si>
    <t>C:EURUSD</t>
  </si>
  <si>
    <t>EURUSD.sd</t>
  </si>
  <si>
    <t>GBPJPY.sd</t>
  </si>
  <si>
    <t>C:EURJPY</t>
  </si>
  <si>
    <t>EURJPY.sd</t>
  </si>
  <si>
    <t>C:USDCNH</t>
  </si>
  <si>
    <t>USDCNH.sd</t>
  </si>
  <si>
    <t>UT100Roll</t>
  </si>
  <si>
    <t>multipe of 0.1 | 0.15 not tradable</t>
  </si>
  <si>
    <t>RBA Interest Rate Decision (Nov)</t>
  </si>
  <si>
    <t>The Reserve Bank of Australia (RBA) reports its decision on where to set the benchmark interest rate. As short term interest rates are an important determinant of currency valuation, traders watch interest rate changes closely.
A reading that is stronger than forecast is generally supportive (bullish) for the AUD, while a weaker than forecast reading is generally negative (bearish) for the AUD.
Historical impact on Assets: AUDPY</t>
  </si>
  <si>
    <t>US Presidential Election</t>
  </si>
  <si>
    <t xml:space="preserve">
Once every four years, U.S. voters cast ballots for a slate of electors of the U.S. Electoral College, who in turn directly elect the President and Vice President. The most recent presidential election occurred on November 3, 2020, with the next one scheduled for November 5, 2024.
Historical impact on Assets: UTI100Roll</t>
  </si>
  <si>
    <t>Services PMI (Oct)</t>
  </si>
  <si>
    <t>ISM Non-Manufacturing PMI (Oct)</t>
  </si>
  <si>
    <t>The Institute of Supply Management (ISM) Non-Manufacturing Purchasing Managers' Index (PMI) (also known as the ISM Services PMI) report on Business, is based on data compiled from monthly replies to questions asked of more than 370 purchasing and supply executives in over 62 different industries.
The NMI is a composite index based on the diffusion indexes for four of the indicators with equal weights: Business Activity (seasonally adjusted), New Orders (seasonally adjusted), Employment (seasonally adjusted) and Supplier Deliveries.
A reading above 50 percent indicates the non-manufacturing sector economy is generally expanding; below 50 percent indicates the non-manufacturing sector is generally contracting. Given the large proportion of the US economy engaged in the services sector, this report offers insights into the health of the overall US economy.
A reading that is stronger than forecast is generally supportive (bullish) for the USD, while a weaker than forecast reading is generally negative (bearish) for the USD.
Historical impact on Assets: USDJPY</t>
  </si>
  <si>
    <t>ISM Non-Manufacturing Prices (Oct)</t>
  </si>
  <si>
    <t>The Institute of Supply Management (ISM) Non-Manufacturing Purchasing Managers' Index (PMI) (also known as the ISM Services PMI) report on Business, is based on data compiled from monthly replies to questions asked of more than 370 purchasing and supply executives in over 62 different industries.
The Prices Paid subcategory is a diffusion index calculated by adding the percent of responses indicating they paid more for inputs plus one-half of those responding that they paid the same for inputs. The resulting single index number is then seasonally adjusted.
The Prices Paid diffusion index is one of a number of indicators pointing to the degree of inflationary pressures in the economy.
A reading that is stronger than forecast is generally supportive (bullish) for the USD, while a weaker than forecast reading is generally negative (bearish) for the USD.
Historical impact on Assets: USDJPY</t>
  </si>
  <si>
    <t>The figures displayed in the calendar represent the yield on the Treasury Note auctioned.
U.S. Treasury Notes have maturities of two to ten years. Governments issue treasuries to borrow money to cover the gap between the amount they receive in taxes and the amount they spend to refinance existing debt and/or to raise capital. The rate on a Treasury Note represents the return an investor will receive by holding the note for its entire duration. All bidders receive the same rate at the highest accepted bid.
Yield fluctuations should be monitored closely as an indicator of the government debt situation. Investors compare the average rate at auction to the rate at previous auctions of the same security.
Historical impact on Assets: USDJPY</t>
  </si>
  <si>
    <t>-0.515M</t>
  </si>
  <si>
    <t>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Historical impact on Assets: USOilRoll</t>
  </si>
  <si>
    <t>30-Year Note Auction</t>
  </si>
  <si>
    <t>The figures displayed in the calendar represent the yield on the Treasury Bond auctioned.
U.S. Treasury Bonds have maturities from ten up to 30 years. Governments issue treasuries to borrow money to cover the gap between the amount they receive in taxes and the amount they spend to refinance existing debt and/or to raise capital. The rate on a Treasury Bond represents the return an investor will receive by holding the bond for its entire duration. All bidders receive the same rate at the highest accepted bid.
Yield fluctuations should be monitored closely as an indicator of the government debt situation. Investors compare the average rate at auction to the rate at previous auctions of the same security.
Historical impact on Assets: USDJPY</t>
  </si>
  <si>
    <t>BoE Interest Rate Decision (Nov)</t>
  </si>
  <si>
    <t>Bank of England (BOE) monetary policy committee members vote on where to set the Bank Rate. Traders watch interest rate changes closely because short term interest rates are the primary factor in currency valuation.
A reading that is stronger than forecast is generally supportive (bullish) for the GBP, while a weaker than forecast reading is generally negative (bearish) for the GBP.
Historical impact on Assets: GBPJPY</t>
  </si>
  <si>
    <t>220K</t>
  </si>
  <si>
    <t>216K</t>
  </si>
  <si>
    <t xml:space="preserve">
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Historical impact on Assets: USDJPY</t>
  </si>
  <si>
    <t>Federal Open Market Committee (FOMC) members vote on where to set the target interest rate. Traders watch interest rate changes closely as relative short term interest rates are a primary factor in currency valuation.
A reading that is stronger than forecast is generally supportive (bullish) for the USD, while a weaker than forecast reading is generally negative (bearish) for the USD.
A continued easing of inflation and robust labour market could give the Fed more room to implement rate cuts without stoking inflation fears, supporting the case for a soft landing.
Historical impact on Assets: USDJPY | XAGUSD</t>
  </si>
  <si>
    <t xml:space="preserve">
The U.S. Federal Reserve's Federal Open Market Committee (FOMC) statement is the primary tool the panel uses to communicate with investors about monetary policy. It contains the outcome of the vote on interest rates, discusses the economic outlook and offers clues on the outcome of future votes.
A more dovish than expected statement could be taken as negative/bearish for the USD, while a more hawkish than expected statement could be taken as positive/bullish for the USD.
Historical impact on Assets: USDJPY | XAGUSD</t>
  </si>
  <si>
    <t>Historical impact on Assets: USDJPY | XAGUSD</t>
  </si>
  <si>
    <t>Source: Bloomberg, ADSS, News Articles, Company Research. Notes as of 4th November 2024, 9 AM.</t>
  </si>
  <si>
    <t>4.35% </t>
  </si>
  <si>
    <t>1.500M </t>
  </si>
  <si>
    <t>5.25% </t>
  </si>
  <si>
    <t>229K </t>
  </si>
  <si>
    <t>5.50% </t>
  </si>
  <si>
    <t>56.3 </t>
  </si>
  <si>
    <t>6th Nov</t>
  </si>
  <si>
    <t>next day</t>
  </si>
  <si>
    <t>same day</t>
  </si>
  <si>
    <t>C:GBPJPY</t>
  </si>
  <si>
    <t>German CPI (MoM) (Oct)</t>
  </si>
  <si>
    <t>The Consumer Price Index (CPI) measures the change in the prices of goods and services from the perspective of the consumer. As Germany has the largest output of any country in the euro-zone, the European Central bank pays very close attention to this figure in its role of maintaining price stability.
A reading that is stronger than forecast is generally supportive (bullish) for the EUR, while a weaker than forecast reading is generally negative (bearish) for the EUR.
Historical impact on Assets: EURJPY | EURUSD</t>
  </si>
  <si>
    <t>Core CPI (MoM) (Oct)</t>
  </si>
  <si>
    <t>The Core Consumer Price Index (CPI) measures the changes in the price of goods and services, excluding food and energy. The Central bank pays very close attention to this figure in its role of maintaining price stability. Because the Fed believes that core inflation is a better gauge of underlying price pressures, it is more closely watched than overall inflation which tends to be more volatile.
A reading that is stronger than forecast is generally supportive (bullish) for the USD, while a weaker than forecast reading is generally negative (bearish) for the USD.
Historical impact on Assets: USDJPY | EURUSD</t>
  </si>
  <si>
    <t>CPI (YoY) (Oct)</t>
  </si>
  <si>
    <t>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USD, while a weaker than forecast reading is generally negative (bearish) for the USD.
Historical impact on Assets: USDJPY | EURUSD</t>
  </si>
  <si>
    <t>CPI (MoM) (Oct)</t>
  </si>
  <si>
    <t>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Historical impact on Assets: USDJPY | EURUSD</t>
  </si>
  <si>
    <t>PPI (MoM) (Oct)</t>
  </si>
  <si>
    <t>The Producer Price Index (PPI) measures a change in input prices of raw, semi-finished or finished goods and services. If input costs rise, some will be absorbed by the producer and some passed on to the consumer. Conversely, if input costs fall, some of the decline will be enjoyed as wider profit margins by the producer and some will be passed on to the consumer in the form of lower prices. Because PPI impacts consumer prices, it is watched by central bankers as part of fulfilling their mandate of price stability.
A reading that is stronger than forecast is generally supportive (bullish) for the USD, while a weaker than forecast reading is generally negative (bearish) for the USD.
Historical impact on Assets: USDJPY | EURUSD</t>
  </si>
  <si>
    <t>2.149M</t>
  </si>
  <si>
    <t>GDP (QoQ) (Q3) P (Japan)</t>
  </si>
  <si>
    <t>Gross Domestic Product (GDP) measures the change in the inflation-adjusted value of all goods and services produced by the economy. It is the broadest measure of economic activity and the primary indicator of the economy's health.
A reading that is stronger than forecast is generally supportive (bullish) for the JPY, while a weaker than forecast reading is generally negative (bearish) for the JPY.
Historical impact on Assets: USDJPY</t>
  </si>
  <si>
    <t>GDP (YoY) (Q3) P (UK)</t>
  </si>
  <si>
    <t>Gross Domestic Product (GDP) gauges the inflation-adjusted value of all goods and services produced within the economy. It is the most comprehensive measure of economic activity and an important indicator of economic health.
A reading that is stronger than forecast is generally supportive (bullish) for the GBP, while a weaker than forecast reading is generally negative (bearish) for the GBP.
Historical impact on Assets: GBPJPY</t>
  </si>
  <si>
    <t>GDP (MoM) (Sep) (UK)</t>
  </si>
  <si>
    <t xml:space="preserve">
Gross Domestic Product (GDP) measures the annualized change in the inflation-adjusted value of all goods and services produced by the economy. It is the broadest measure of economic activity and the primary indicator of the economy's health. A higher than expected reading should be taken as positive/bullish for the GBP, while a lower than expected reading should be taken as negative/bearish for the GBP.
Historical impact on Assets: GBPJPY</t>
  </si>
  <si>
    <t>GDP (QoQ) (Q3) P (UK)</t>
  </si>
  <si>
    <t xml:space="preserve">
Gross Domestic Product (GDP) gauges the inflation-adjusted value of all goods and services produced within the economy. It is the most comprehensive measure of economic activity and an important indicator of economic health.
A reading that is stronger than forecast is generally supportive (bullish) for the GBP, while a weaker than forecast reading is generally negative (bearish) for the GBP.
Historical impact on Assets: GBPJPY</t>
  </si>
  <si>
    <t>Core Retail Sales (MoM) (Oct)</t>
  </si>
  <si>
    <t>Retail Sales (MoM) (Oct)</t>
  </si>
  <si>
    <t xml:space="preserve">
Retail Sales gauges the change in the aggregate value of sales at the retail level across the country. It is an important indicator of consumer spending accounting for the majority of overall economic activity.
A reading that is stronger than forecast is generally supportive (bullish) for the USD, while a weaker than forecast reading is generally negative (bearish) for the USD.
Historical impact on Assets: USDJPY</t>
  </si>
  <si>
    <t>Source: Bloomberg, ADSS, News Articles, Company Research. Notes as of 11th November 2024, 8 AM.</t>
  </si>
  <si>
    <t>2.3% </t>
  </si>
  <si>
    <t>221</t>
  </si>
  <si>
    <t>223</t>
  </si>
  <si>
    <t>218</t>
  </si>
  <si>
    <t>216</t>
  </si>
  <si>
    <t>229</t>
  </si>
  <si>
    <t>228</t>
  </si>
  <si>
    <t>227</t>
  </si>
  <si>
    <t>243</t>
  </si>
  <si>
    <t>242</t>
  </si>
  <si>
    <t>241</t>
  </si>
  <si>
    <t>260</t>
  </si>
  <si>
    <t>258</t>
  </si>
  <si>
    <t>231</t>
  </si>
  <si>
    <t>225</t>
  </si>
  <si>
    <t>222</t>
  </si>
  <si>
    <t>219</t>
  </si>
  <si>
    <t>2.149</t>
  </si>
  <si>
    <t>0.300</t>
  </si>
  <si>
    <t>-0.51</t>
  </si>
  <si>
    <t>1.500</t>
  </si>
  <si>
    <t>5.474</t>
  </si>
  <si>
    <t>0.800</t>
  </si>
  <si>
    <t>-2.19</t>
  </si>
  <si>
    <t>1.800</t>
  </si>
  <si>
    <t>5.810</t>
  </si>
  <si>
    <t>2.000</t>
  </si>
  <si>
    <t>3.889</t>
  </si>
  <si>
    <t>-1.50</t>
  </si>
  <si>
    <t>-4.47</t>
  </si>
  <si>
    <t>0.8% </t>
  </si>
  <si>
    <t>Time ET</t>
  </si>
  <si>
    <t>GMT</t>
  </si>
  <si>
    <t>% of 10K (OL of 100K)</t>
  </si>
  <si>
    <t>EUR CPI (YoY) (Oct)</t>
  </si>
  <si>
    <t>The YoY inflation headline fell to 1.7% in September primarily due to lower energy prices. Markets now anticipate the European Central Bank (ECB) may continue its rate-cutting trajectory through this year, potentially extending into Q1 of next year. 
Bloomberg forecasts suggest that the YoY CPI of October may stabilize at 2.0%, keeping current market expectations intact. A further drop in inflation could prompt markets to factor in additional rate cuts in Q2 2025, which may exert downward presurre on the euro against major currencies. 
It should be noted that over the past two weeks, the euro has lost approximately 2.5% of its value against the US dollar, largely driven by the dollar's stregth following Trump's returm to power, which raises concerns about overshooting inflation rates under his proposed policies. 
Historical impact on Assets: EURJPY | EURUSD | EURCAD</t>
  </si>
  <si>
    <t>CAD CPI (YoY)</t>
  </si>
  <si>
    <t>In September, the YoY inflation headline reached a three-and-a-half-year low of 1.6% prompting the Bank of Canada to cut rates by 50 basis points at its last meeting. Markets expect a further 25 basis-point cut by December, followed by an addiitonal 25 basis points early next year. 
According to Bloomberg, Canadian CPI may increase from 1.6% in September to 1.9% in October. Any data below expectations could reinforce market predictions for further rate cuts next year, potentially weakening the Canadian dollar against major currencies like the euro. 
Historical impact on Assets: EURCAD</t>
  </si>
  <si>
    <t>GBP CPI (YoY) (Oct)</t>
  </si>
  <si>
    <t>The YoY inflation rate dropeed to a three-year low of 1.7% in September, which encouraged the Bank of England's Monetary Policy Committee to lower rates by 25 basis points in its last meeting.
Bloomberg predicts the YoY inlfation rate could rise to 2.1% in October. However, if the data falls below expectations, it could motivate furhter rate cuts by the Bank of England in the coming year, likely boosting stock pices and the UK100 index.
Historical impact on Assets: GBPJPY | GBPUSD | UK100Roll</t>
  </si>
  <si>
    <t>2.089M</t>
  </si>
  <si>
    <t>NVIDIA's Q4 Earnings Report</t>
  </si>
  <si>
    <t>According to Bloomberg, investors expect NVIDIA to report $32.97 billion of revenue with earnings per share of approximately 0.75.
If results fall below these expectations, it may impact Nvidia’s stock performance and, consequently, the US500 index, as NVIDIA is a key component.
Notably, NVIDIA overtook Apple in market capitalization this month, reaching $3.44 trillion compared to Apple’s $3.37 trillion – although Apple’s share price remains higher.
Historical impact on Assets: US500 | UT100</t>
  </si>
  <si>
    <t>215K</t>
  </si>
  <si>
    <t>217K</t>
  </si>
  <si>
    <t>Philadelphia Fed Manufacturing Index (Nov)</t>
  </si>
  <si>
    <t>_x000B_The Philadelphia Federal Reserve Manufacturing Index measures the relative level of business conditions amongst manufacturers in the Federal reserve district. A level above zero on the index indicates improving conditions; below indicates worsening conditions. The data is compiled from a survey of about 250 manufacturers in the Philadelphia Federal Reserve district._x000B__x000B_A reading that is stronger than forecast is generally supportive (bullish) for the USD, while a weaker than forecast reading is generally negative (bearish) for the USD._x000B__x000B_Historical impact on Assets: USDJPY | EURUSD 
Historical impact on Assets: USDJPY | EURUSD</t>
  </si>
  <si>
    <t>Existing Home Sales (Oct)</t>
  </si>
  <si>
    <t>3.84M</t>
  </si>
  <si>
    <t>Existing Home Sales measures the change in the annualised number of existing residential buildings that were sold during the prior month. This report helps to gauge the strength of the U.S. housing market and is an important indicator of overall economic strength.
A reading that is stronger than forecast is generally supportive (bullish) for the USD, while a weaker than forecast reading is generally negative (bearish) for the USD.
Historical impact on Assets: USDJPY | EURUSD</t>
  </si>
  <si>
    <t>German GDP (QoQ) (Q3)</t>
  </si>
  <si>
    <t>Gross Domestic Product (GDP) is the broadest measure of economic activity and is a key indicator of economic health. The quarterly percent changes in GDP show the growth rate of the economy as a whole.
A reading that is stronger than forecast is generally supportive (bullish) for the EUR, while a weaker than forecast reading is generally negative (bearish) for the EUR.
Historical impact on Assets: EURJPY | EURUSD</t>
  </si>
  <si>
    <t>Manufacturing PMI (Nov) P</t>
  </si>
  <si>
    <t>The Manufacturing Purchasing Managers' Index (PMI) is a diffusion index incorporating survey results provided by manufacturing firms throughout the country. A reading above fifty suggests the manufacturing sector is expanding, while a reading below fifty suggests the manufacturing sector is in contraction. Policymakers and traders watch these surveys closely as purchasing managers usually have early access to data about their company’s performance, rather than waiting for the hard data to emerge. While manufacturing accounts for a far smaller percentage of economic output than services, it is far more cyclical and is therefore a useful indicator of where in the economic cycle the economy is currently situated. A reading that is stronger than forecast is generally supportive (bullish) for the USD while a weaker than forecast reading is generally negative (bearish) for the USD.
Historical impact on Assets: USDJPY | EURUSD</t>
  </si>
  <si>
    <t>Services PMI (Nov) P</t>
  </si>
  <si>
    <t>The Service PMI release is published monthly by Markit Economics. The data are based on surveys of over 400 executives in private sector service companies. The surveys cover transport and communication, financial intermediaries, business and personal services, computing &amp; IT, hotels and restaurants. 
An index level of 50 denotes no change since the previous month, while a level above 50 signals an improvement, and below 50 indicates a deterioration. A reading that is stronger than forecast is generally supportive (bullish) for the USD, while a weaker than forecast reading is generally negative (bearish) for the USD.
Historical impact on Assets: USDJPY | EURUSD</t>
  </si>
  <si>
    <t>Source: Bloomberg, ADSS, News Articles, Company Research. Notes as of 17th November 2024, 9 PM.</t>
  </si>
  <si>
    <t>2.1% </t>
  </si>
  <si>
    <t>2.089</t>
  </si>
  <si>
    <t>0.400</t>
  </si>
  <si>
    <t>217</t>
  </si>
  <si>
    <t>224</t>
  </si>
  <si>
    <t>4.2 </t>
  </si>
  <si>
    <t>-0.8 </t>
  </si>
  <si>
    <t>5.4 </t>
  </si>
  <si>
    <t>2.7 </t>
  </si>
  <si>
    <t>4.8 </t>
  </si>
  <si>
    <t>7.7 </t>
  </si>
  <si>
    <t>3.84</t>
  </si>
  <si>
    <t>3.88</t>
  </si>
  <si>
    <t>3.86</t>
  </si>
  <si>
    <t>3.92</t>
  </si>
  <si>
    <t>3.96</t>
  </si>
  <si>
    <t>3.95</t>
  </si>
  <si>
    <t>3.94</t>
  </si>
  <si>
    <t>3.90</t>
  </si>
  <si>
    <t>3.89</t>
  </si>
  <si>
    <t>3.99</t>
  </si>
  <si>
    <t>4.11</t>
  </si>
  <si>
    <t>4.08</t>
  </si>
  <si>
    <t>4.14</t>
  </si>
  <si>
    <t>4.21</t>
  </si>
  <si>
    <t>4.22</t>
  </si>
  <si>
    <t>47.8 </t>
  </si>
  <si>
    <t>ECB might continue cutting while Fed pauses</t>
  </si>
  <si>
    <t>C:CADJPY</t>
  </si>
  <si>
    <t>CADJPY.sd</t>
  </si>
  <si>
    <t>UK100Roll</t>
  </si>
  <si>
    <t>NVIDIA</t>
  </si>
  <si>
    <t>CB Consumer Confidence (Nov)</t>
  </si>
  <si>
    <t>Conference Board (CB) Consumer Confidence measures the level of confidence consumers have in the economy. When consumers are optimistic, they tend to spend more which increases consumption and overall economic growth.
A reading that is stronger than forecast is generally supportive (bullish) for the USD, while a weaker than forecast reading is generally negative (bearish) for the USD.
Historical impact on Assets: USDJPY | EURUSD</t>
  </si>
  <si>
    <t>New Home Sales (Oct)</t>
  </si>
  <si>
    <t>738K</t>
  </si>
  <si>
    <t>New Home Sales measures the annualised number of new single-family homes that were sold during the prior month. When it's released ahead of Existing Home Sales, this report tends to have more impact because the two reports are highly correlated.
A reading that is stronger than forecast is generally supportive (bullish) for the USD, while a weaker than forecast reading is generally negative (bearish) for the USD.
Historical impact on Assets: USDJPY | EURUSD</t>
  </si>
  <si>
    <t>The Federal Open Market Committee (FOMC) Meeting Minutes are a detailed record of the committee's policy-setting meeting held about three weeks earlier. The minutes offer detailed insights regarding the FOMC's stance on monetary policy, so currency traders carefully examine them for clues regarding the outcome of future interest rate decisions.
Historical impact on Assets: USDJPY | EURUSD</t>
  </si>
  <si>
    <t>New Zealand's inflation rate has significantly declined, dropping from 3.3% in Q2 to 2.2% in Q3. This sharp reduction has paved the way for the RBNZ to ease monetary policy, potentially lowering rates from restrictive levels to a neutral stance that neither stimulates nor constrains economic growth.
Bloomberg predicts a 50-basis-point rate cut at the upcoming RBNZ meeting. A larger reduction of upto 75 basis points remains possible in response to weaker economic performance. If the RBNZ opts for the larger cut, from 4.75% to 4.00%, it could lead to the depreciation of the New Zealand dollar against major currencies like the US dollar, as markets have already priced in a 50-basis-point cut. 
Historical impact on Assets: AUDNZD | NZDJPY | NZDUSD</t>
  </si>
  <si>
    <t>Durable Goods Orders (MoM) (Oct) P</t>
  </si>
  <si>
    <t>Durable Goods Orders reports the change in the total value of new orders for long lasting manufactured goods, including transportation items.
A reading that is stronger than forecast is generally supportive (bullish) for the USD, while a weaker than forecast reading is generally negative (bearish) for the USD.
Historical impact on Assets: USDJPY | EURUSD</t>
  </si>
  <si>
    <t>US GDP (QoQ) (Q3) P</t>
  </si>
  <si>
    <t>Gross Domestic Product (GDP) measures the annualised change in the inflation-adjusted value of all goods and services produced by the economy. It is the broadest measure of economic activity and the primary indicator of the economy's health.
A reading that is stronger than forecast is generally supportive (bullish) for the USD, while a weaker than forecast reading is generally negative (bearish) for the USD.
Historical impact on Assets: USDJPY | EURUSD</t>
  </si>
  <si>
    <t>213K</t>
  </si>
  <si>
    <t xml:space="preserve">
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Historical impact on Assets: USDJPY | EURUSD</t>
  </si>
  <si>
    <t>Chicago PMI</t>
  </si>
  <si>
    <t>The Chicago Purchasing Managers' Index (PMI) is a diffusion index incorporating survey results provided by manufacturing firms around the Chicago area. A reading above fifty suggests the manufacturing sector is expanding, while a reading below fifty suggests the manufacturing sector is in contraction. The Chicago PMI can be of some assistance in forecasting the ISM manufacturing PMI.
A reading that is stronger than forecast is generally supportive (bullish) for the USD, while a weaker than forecast reading is generally negative (bearish) for the USD.
Historical impact on Assets: USDJPY | EURUSD</t>
  </si>
  <si>
    <t>Core PCE Price Index (YoY) (Oct)</t>
  </si>
  <si>
    <t>The Personal Consumption Expenditure, alongside the US jobs report for November (set to be released for December 6), will be pivotal in determining whether the Federal Reserve opts for a 25-basis-points rate hike at its final meeting of the year.
The upcoming jobs report will shed light on whether the labour market's softening in November, a temporary effect of strikes and adverse weather conditions or a sign of a broader economic slowdown could warrant additional stimulus through rate cuts. 
According to Bloomberg, the YoY PCE is projected to increase from 2.1% in September to 2.3% in October, while the Core Index is expected to edge up from 2.7% to 2.8% during the same period. Any data falling short of these expectations could strengthen the case for rate cuts at the December meeting, potentially weakening the dollar while boosting precious metal prices such as silver. 
Historical impact on Assets: USDJPY | EURUSD | XAGUSD</t>
  </si>
  <si>
    <t>Core PCE Price Index (MoM) (Oct)</t>
  </si>
  <si>
    <t>0.545M</t>
  </si>
  <si>
    <t xml:space="preserve">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Historical impact on Assets: USOilRoll </t>
  </si>
  <si>
    <t>German CPI (MoM) (Nov) P</t>
  </si>
  <si>
    <t xml:space="preserve">The Consumer Price Index (CPI) measures the change in the prices of goods and services from the perspective of the consumer. As Germany has the largest output of any country in the euro-zone, the European Central bank pays very close attention to this figure in its role of maintaining price stability.
A reading that is stronger than forecast is generally supportive (bullish) for the EUR, while a weaker than forecast reading is generally negative (bearish) for the EUR.
Historical impact on Assets: EURJPY | EURUSD </t>
  </si>
  <si>
    <t>CHF GDP (QoQ) (Q3)</t>
  </si>
  <si>
    <t>Switzerland's economy expanded by 1.8% in the second quarter, but a slowdown in growth could further suppress inflation, which dropped from 0.8% in September to 0.6% in October. This trend could prompt the Swiss National Bank to consider additional interest rate cuts. 
Markets have already priced in a 25-basis-point cut by the Swiss National Bank. However, weak growth may lead to expectations of a more aggresive 50-basis-point reduction, potentially boosting Swiss index prices. 
Historical impact on Assets: Swiss Market Index | CHFJPY</t>
  </si>
  <si>
    <t>EUR CPI (YoY) (Nov) P</t>
  </si>
  <si>
    <t xml:space="preserve">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EUR, while a weaker than forecast reading is generally negative (bearish) for the EUR.
Historical impact on Assets: EURJPY | EURUSD </t>
  </si>
  <si>
    <t>Chicago PMI (Nov)</t>
  </si>
  <si>
    <t>Manufacturing PMI (Nov)</t>
  </si>
  <si>
    <t xml:space="preserve">China Manufacturing Purchasing Managers Index (PMI) provides an early indication each month of economic activities in the Chinese manufacturing sector. It is compiled by China Federation of Logistics &amp; Purchasing (CFLP) and China Logistics Information Centre (CLIC), based on data collected by the National Bureau of Statistics (NBS).Li &amp; Fung Research Centre is responsible for drafting and disseminating the English PMI report. Every month questionnaires are sent to over 700 manufacturing enterprises all over China. The data presented here is compiled from the enterprises responses about their purchasing activities and supply situations. The PMI should be compared to other economic data sources when used in decision-making.
A reading that is stronger than forecast is generally supportive (bullish) for the CNY , while a weaker than forecast reading is generally negative (bearish) for the CNY.
Historical impact on Assets: USDCNH </t>
  </si>
  <si>
    <t>Source: Bloomberg, ADSS, News Articles, Company Research. Notes as of 25th November 2024, 9 AM.</t>
  </si>
  <si>
    <t/>
  </si>
  <si>
    <t>99.5 </t>
  </si>
  <si>
    <t>738</t>
  </si>
  <si>
    <t>719</t>
  </si>
  <si>
    <t>709</t>
  </si>
  <si>
    <t>716</t>
  </si>
  <si>
    <t>699</t>
  </si>
  <si>
    <t>751</t>
  </si>
  <si>
    <t>739</t>
  </si>
  <si>
    <t>624</t>
  </si>
  <si>
    <t>668</t>
  </si>
  <si>
    <t>617</t>
  </si>
  <si>
    <t>639</t>
  </si>
  <si>
    <t>621</t>
  </si>
  <si>
    <t>619</t>
  </si>
  <si>
    <t>636</t>
  </si>
  <si>
    <t>698</t>
  </si>
  <si>
    <t>634</t>
  </si>
  <si>
    <t>677</t>
  </si>
  <si>
    <t>665</t>
  </si>
  <si>
    <t>-1.1% </t>
  </si>
  <si>
    <t>213</t>
  </si>
  <si>
    <t>220</t>
  </si>
  <si>
    <t>41.6</t>
  </si>
  <si>
    <t>46.9</t>
  </si>
  <si>
    <t>46.6</t>
  </si>
  <si>
    <t>46.1</t>
  </si>
  <si>
    <t>45.0</t>
  </si>
  <si>
    <t>45.3</t>
  </si>
  <si>
    <t>44.8</t>
  </si>
  <si>
    <t>47.4</t>
  </si>
  <si>
    <t>39.7</t>
  </si>
  <si>
    <t>35.4</t>
  </si>
  <si>
    <t>41.1</t>
  </si>
  <si>
    <t>37.9</t>
  </si>
  <si>
    <t>0.545</t>
  </si>
  <si>
    <t>46.9 </t>
  </si>
  <si>
    <t>C:NZDUSD</t>
  </si>
  <si>
    <t>NZDUSD.sd</t>
  </si>
  <si>
    <t>XAGUSD.sd</t>
  </si>
  <si>
    <t>C:CHFUSD</t>
  </si>
  <si>
    <t>CHFUSD.sd</t>
  </si>
  <si>
    <t>C:USDCNY</t>
  </si>
  <si>
    <t>USDCNY.sd</t>
  </si>
  <si>
    <t xml:space="preserve"> Mon </t>
  </si>
  <si>
    <t>JPY GDP (QoQ) (Q3)</t>
  </si>
  <si>
    <t xml:space="preserve">Gross Domestic Product (GDP) measures the change in the inflation-adjusted value of all goods and services produced by the economy. It is the broadest measure of economic activity and the primary indicator of the economy's health._x000B_
_x000B_A reading that is stronger than forecast is generally supportive (bullish) for the JPY, while a weaker than forecast reading is generally negative (bearish) for the JPY._x000B_
_x000B_Historical impact on Assets: USDJPY </t>
  </si>
  <si>
    <t>RBA Interest Rate Decision (Dec)</t>
  </si>
  <si>
    <t>Australian inflation rates dropped significantly from 3.8% in Q2 to 2.8% in Q3, increasing the likelihood that the RBA may consider reducing rates to levels that neither hinder nor overly stimulate economic growth. 
Bloomberg forecasts suggest that the RBA could hold interest rates steady at this meeting. Attention will then shift to the central bank governor’s press conference, where hints about future monetary policy could emerge. Any indication that rate cuts are approaching, could weigh on the Australian dollar against major currencies, including the Japanese yen, which is currently buoyed by expectations of a potential rate hike by the Bank of Japan._x000B_
_x000B_Historical impact on Assets: AUDUSD | AUDJPY</t>
  </si>
  <si>
    <t>German CPI (MoM) (Nov)</t>
  </si>
  <si>
    <t>The Consumer Price Index (CPI) measures the change in the prices of goods and services from the perspective of the consumer. As Germany has the largest output of any country in the euro-zone, the European Central bank pays very close attention to this figure in its role of maintaining price stability._x000B__x000B_A reading that is stronger than forecast is generally supportive (bullish) for the EUR, while a weaker than forecast reading is generally negative (bearish) for the EUR._x000B_
_x000B_Historical impact on Assets: EURUSD | EURJPY</t>
  </si>
  <si>
    <t>USD Core CPI (MoM) (Nov)</t>
  </si>
  <si>
    <t>Bloomberg expects US inflation levels to rise slightly, from 2.6% in October to 2.7% in November, while core inflation is projected to remain stable at 3.3%.
Despite inflation moving contrary to the Federal Reserve’s targets, markets are pricing in a 75% probability of a 25-basis point rate cut at the next meeting. A lower-than-expected inflation rate, particularly in the core index, could reinforce this expectation and increase the likelihood of further rate cut in March. In this scenario, US stock indices, including the S&amp;P500 – which recently surpassed the 6,000 threshold – could benefit. _x000B_
_x000B_Historical impact on Assets: USDJPY | EURUSD | US500</t>
  </si>
  <si>
    <t>USD CPI (MoM) (Nov)</t>
  </si>
  <si>
    <t>Bloomberg expects US inflation levels to rise slightly, from 2.6% in October to 2.7% in November, while core inflation is projected to remain stable at 3.3%.
Despite inflation moving contrary to the Federal Reserve’s targets, markets are pricing in a 75% probability of a 25-basis point rate cut at the next meeting. A lower-than-expected inflation rate, particularly in the core index, could reinforce this expectation and increase the likelihood of further rate cut in March. In this scenario, US stock indices, including the S&amp;P500 – which recently surpassed the 6,000 threshold – could benefit. _x000B_
_x000B_Historical impact on Assets: USDJPY | EURUSD | US500</t>
  </si>
  <si>
    <t>USD CPI (YoY) (Nov)</t>
  </si>
  <si>
    <t>The Bank of Canada (BOC) publishes its decision on where to set the benchmark interest rate. As short term interest rates are an important determinant of currency valuation, traders watch interest rate changes closely._x000B__x000B_A reading that is stronger than forecast is generally supportive (bullish) for the CAD, while a weaker than forecast reading is generally negative (bearish) for the CAD._x000B_
_x000B_Historical impact on Assets: CADJPY | USDCAD</t>
  </si>
  <si>
    <t>-5.073M</t>
  </si>
  <si>
    <t>The Energy Information Administration's (EIA) Crude Oil Inventories measures the weekly change in the number of barrels of commercial crude oil held by US firms. The level of inventories influences the price of petroleum products, which can have an impact on inflation._x000B__x000B_If the increase in crude inventories is more than expected, it implies weaker demand and is bearish for crude prices. The same can be said if a decline in inventories is less than expected._x000B_If the increase in crude is less than expected, it implies greater demand and is bullish for crude prices. The same can be said if a decline in inventories is more than expected._x000B_
_x000B_Historical impact on Assets: GBPJPY | GBPUSD</t>
  </si>
  <si>
    <t>The figures displayed in the calendar represent the yield on the Treasury Note auctioned._x000B__x000B_U.S. Treasury Notes have maturities of two to ten years. Governments issue treasuries to borrow money to cover the gap between the amount they receive in taxes and the amount they spend to refinance existing debt and/or to raise capital. The rate on a Treasury Note represents the return an investor will receive by holding the note for its entire duration. All bidders receive the same rate at the highest accepted bid._x000B__x000B_Yield fluctuations should be monitored closely as an indicator of the government debt situation. Investors compare the average rate at auction to the rate at previous auctions of the same security._x000B_
_x000B_Historical impact on Assets: CHFJPY | USDCHF</t>
  </si>
  <si>
    <t>SNB Interest Rate Decision (Q4)</t>
  </si>
  <si>
    <t>Swiss National Bank (SNB) governing board members come to a consensus on where to set the target range for the rate. Traders watch interest rate changes closely as short term interest rates are the primary factor in currency valuation._x000B__x000B_A reading that is stronger than forecast is generally supportive (bullish) for the CHF, while a weaker than forecast reading is generally negative (bearish) for the CHF._x000B_
_x000B_Historical impact on Assets: CHFJPY | USDCHF</t>
  </si>
  <si>
    <t>EUR Deposit Facility Rate (Dec)</t>
  </si>
  <si>
    <t>Bloomberg anticipates a 25-basis point rate cut, from 3.40% to 3.15%, to align with neutral levels suggested by some ECB board members as being between 2% and 3%. 
While overall European inflation has risen from 1.7% in September to 2.3% in November, core inflation has remained steady at 2.7% since September. Markets expect the ECB to continue its rate cuts, pricing in three reductions over the next three meetings. 
Investors will also closely watch the ECB President, Christine Lagarde’s press conference for hints about the potential end of the rate-cutting cycle. Such signals could boost the euro while negatively impacting European stock indices like ESTOX, DAX _x000B_
_x000B_Historical impact on Assets: EURJPY | EURUSD | ESTOX | DE40Roll</t>
  </si>
  <si>
    <t>ECB Interest Rate Decision (Dec)</t>
  </si>
  <si>
    <t>Initial Jobless Claims measures the number of people who filed for unemployment insurance for the first time during the past week. This is the most timely U.S. economic data, but the market impact varies from week to week._x000B_A reading that is higher than forecast is generally negative (bearish) for the USD, while a lower than forecast reading is generally supportive (bullish) for the USD._x000B_
_x000B_Historical impact on Assets: USDJPY | EURUSD</t>
  </si>
  <si>
    <t>USD PPI (MoM) (Nov)</t>
  </si>
  <si>
    <t>_x000B_The Producer Price Index (PPI) measures a change in input prices of raw, semi-finished or finished goods and services. If input costs rise, some will be absorbed by the producer and some passed on to the consumer. Conversely, if input costs fall, some of the decline will be enjoyed as wider profit margins by the producer and some will be passed on to the consumer in the form of lower prices. Because PPI impacts consumer prices, it is watched by central bankers as part of fulfilling their mandate of price stability._x000B__x000B_A reading that is stronger than forecast is generally supportive (bullish) for the USD, while a weaker than forecast reading is generally negative (bearish) for the USD._x000B_
_x000B_Historical impact on Assets: USDJPY | EURUSD</t>
  </si>
  <si>
    <t>USD 30-Year Bond Auction</t>
  </si>
  <si>
    <t>_x000B_The figures displayed in the calendar represent the yield on the Treasury Bond auctioned.
U.S. Treasury Bonds have maturities from ten up to 30 years. Governments issue treasuries to borrow money to cover the gap between the amount they receive in taxes and the amount they spend to refinance existing debt and/or to raise capital. The rate on a Treasury Bond represents the return an investor will receive by holding the bond for its entire duration. All bidders receive the same rate at the highest accepted bid.
Yield fluctuations should be monitored closely as an indicator of the government debt situation. Investors compare the average rate at auction to the rate at previous auctions of the same security.
_x000B_Historical impact on Assets: USDJPY | EURUSD</t>
  </si>
  <si>
    <t>GBP GDP (MoM) (Oct)</t>
  </si>
  <si>
    <t xml:space="preserve">_x000B_Gross Domestic Product (GDP) measures the annualized change in the inflation-adjusted value of all goods and services produced by the economy. It is the broadest measure of economic activity and the primary indicator of the economy's health. A higher than expected reading should be taken as positive/bullish for the GBP, while a lower than expected reading should be taken as negative/bearish for the GBP._x000B_
_x000B_Historical impact on Assets: GBPJPY | GBPUSD
</t>
  </si>
  <si>
    <t>Source: Bloomberg, ADSS, News Articles, Company Research. Notes as of 8th December 2024, 6 PM.</t>
  </si>
  <si>
    <t>46.5</t>
  </si>
  <si>
    <t>47.6</t>
  </si>
  <si>
    <t>47.2</t>
  </si>
  <si>
    <t>47.5</t>
  </si>
  <si>
    <t>46.8</t>
  </si>
  <si>
    <t>48.8</t>
  </si>
  <si>
    <t>48.5</t>
  </si>
  <si>
    <t>49.2</t>
  </si>
  <si>
    <t>48.7</t>
  </si>
  <si>
    <t>49.8</t>
  </si>
  <si>
    <t>49.9 </t>
  </si>
  <si>
    <t>7.443</t>
  </si>
  <si>
    <t>7.980</t>
  </si>
  <si>
    <t>7.861</t>
  </si>
  <si>
    <t>8.040</t>
  </si>
  <si>
    <t>7.640</t>
  </si>
  <si>
    <t>7.711</t>
  </si>
  <si>
    <t>7.673</t>
  </si>
  <si>
    <t>8.090</t>
  </si>
  <si>
    <t>7.910</t>
  </si>
  <si>
    <t>8.184</t>
  </si>
  <si>
    <t>8.020</t>
  </si>
  <si>
    <t>8.230</t>
  </si>
  <si>
    <t>8.140</t>
  </si>
  <si>
    <t>7.960</t>
  </si>
  <si>
    <t>7.919</t>
  </si>
  <si>
    <t>8.059</t>
  </si>
  <si>
    <t>8.370</t>
  </si>
  <si>
    <t>8.355</t>
  </si>
  <si>
    <t>233</t>
  </si>
  <si>
    <t>110</t>
  </si>
  <si>
    <t>159</t>
  </si>
  <si>
    <t>143</t>
  </si>
  <si>
    <t>124</t>
  </si>
  <si>
    <t>103</t>
  </si>
  <si>
    <t>99</t>
  </si>
  <si>
    <t>144</t>
  </si>
  <si>
    <t>111</t>
  </si>
  <si>
    <t>122</t>
  </si>
  <si>
    <t>147</t>
  </si>
  <si>
    <t>155</t>
  </si>
  <si>
    <t>150</t>
  </si>
  <si>
    <t>163</t>
  </si>
  <si>
    <t>157</t>
  </si>
  <si>
    <t>152</t>
  </si>
  <si>
    <t>173</t>
  </si>
  <si>
    <t>188</t>
  </si>
  <si>
    <t>56</t>
  </si>
  <si>
    <t>53.8</t>
  </si>
  <si>
    <t>54.9</t>
  </si>
  <si>
    <t>51.7</t>
  </si>
  <si>
    <t>51.5</t>
  </si>
  <si>
    <t>51.3</t>
  </si>
  <si>
    <t>51.4</t>
  </si>
  <si>
    <t>52.6</t>
  </si>
  <si>
    <t>51.0</t>
  </si>
  <si>
    <t>49.4</t>
  </si>
  <si>
    <t>58.1</t>
  </si>
  <si>
    <t>58.0</t>
  </si>
  <si>
    <t>59.4</t>
  </si>
  <si>
    <t>56.3</t>
  </si>
  <si>
    <t>57.3</t>
  </si>
  <si>
    <t>56.0</t>
  </si>
  <si>
    <t>57</t>
  </si>
  <si>
    <t>56.7</t>
  </si>
  <si>
    <t>59.0</t>
  </si>
  <si>
    <t>59.2</t>
  </si>
  <si>
    <t>-1.84</t>
  </si>
  <si>
    <t>-1.30</t>
  </si>
  <si>
    <t>215</t>
  </si>
  <si>
    <t>12</t>
  </si>
  <si>
    <t>106</t>
  </si>
  <si>
    <t>254</t>
  </si>
  <si>
    <t>142</t>
  </si>
  <si>
    <t>164</t>
  </si>
  <si>
    <t>114</t>
  </si>
  <si>
    <t>176</t>
  </si>
  <si>
    <t>179</t>
  </si>
  <si>
    <t>206</t>
  </si>
  <si>
    <t>191</t>
  </si>
  <si>
    <t>272</t>
  </si>
  <si>
    <t>182</t>
  </si>
  <si>
    <t>165</t>
  </si>
  <si>
    <t>Time IST</t>
  </si>
  <si>
    <t>US500Roll</t>
  </si>
  <si>
    <t>C:CHFJPY</t>
  </si>
  <si>
    <t>CHFJPY.sd</t>
  </si>
  <si>
    <t>US Manufacturing PMI (Dec)</t>
  </si>
  <si>
    <t xml:space="preserve">
The Manufacturing Purchasing Managers' Index (PMI) is a diffusion index incorporating survey results provided by manufacturing firms throughout the country. A reading above fifty suggests the manufacturing sector is expanding, while a reading below fifty suggests the manufacturing sector is in contraction. Policymakers and traders watch these surveys closely as purchasing managers usually have early access to data about their company’s performance, rather than waiting for the hard data to emerge. While manufacturing accounts for a far smaller percentage of economic output than services, it is far more cyclical and is therefore a useful indicator of where in the economic cycle the economy is currently situated. A reading that is stronger than forecast is generally supportive (bullish) for the USD while a weaker than forecast reading is generally negative (bearish) for the USD.
Historical impact on Assets: USDJPY </t>
  </si>
  <si>
    <t>US Services PMI (Dec)</t>
  </si>
  <si>
    <t xml:space="preserve">The Service PMI release is published monthly by Markit Economics. The data are based on surveys of over 400 executives in private sector service companies. The surveys cover transport and communication, financial intermediaries, business and personal services, computing &amp; IT, hotels and restaurants. 
An index level of 50 denotes no change since the previous month, while a level above 50 signals an improvement, and below 50 indicates a deterioration. A reading that is stronger than forecast is generally supportive (bullish) for the USD, while a weaker than forecast reading is generally negative (bearish) for the USD.
Historical impact on Assets: USDJPY </t>
  </si>
  <si>
    <t>CAD Core CPI (YoY) (Nov)</t>
  </si>
  <si>
    <t xml:space="preserve">According to Bloomberg, Canadian inflation is projected to decline from 2.0% in October to 1.9% in November, while core inflation (exclusind energy and food) expected to ease from 2.6% to 2.5%.
The Bank of Canada reduced interest rates by 50 basis points in its most recent meeting, lowering the rate from 3.75% to 3.25%. With inflation continuing to decline, there remains potential for further rate cuts in upcoming meetings. Markets currently estimate a 65% likelihood of a 25-basis-point reduction at the Januray meeting. However, lower-than-expected inflation data could increase expectations for this rate cuts, potentially weaking the Canadian dollar against major currencies like the US dollar. 
Historical impact on Assets: USDCAD </t>
  </si>
  <si>
    <t>CAD CPI (MoM) (Nov)</t>
  </si>
  <si>
    <t>US Core Retail Sales (MoM) (Nov)</t>
  </si>
  <si>
    <t xml:space="preserve">
Core Retail Sales measures the change in the total value of sales at the retail level in the U.S., excluding automobiles. It is an important indicator of consumer spending which accounts for a large percentage of US GDP.
A reading that is stronger than forecast is generally supportive (bullish) for the USD, while a weaker than forecast reading is generally negative (bearish) for the USD.
Historical impact on Assets: USDJPY </t>
  </si>
  <si>
    <t>US Retail Sales (MoM) (Nov)</t>
  </si>
  <si>
    <t xml:space="preserve">Retail Sales gauges the change in the aggregate value of sales at the retail level across the country. It is an important indicator of consumer spending accounting for the majority of overall economic activity.
A reading that is stronger than forecast is generally supportive (bullish) for the USD, while a weaker than forecast reading is generally negative (bearish) for the USD.
Historical impact on Assets: USDJPY </t>
  </si>
  <si>
    <t>GBP CPI (YoY) (Nov)</t>
  </si>
  <si>
    <t xml:space="preserve">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GBP, while a weaker than forecast reading is generally negative (bearish) for the GBP.
Historical impact on Assets: GBPJPY </t>
  </si>
  <si>
    <t>EUR CPI (YoY) (Nov)</t>
  </si>
  <si>
    <t xml:space="preserve">
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EUR, while a weaker than forecast reading is generally negative (bearish) for the EUR.
Historical impact on Assets: EURJPY </t>
  </si>
  <si>
    <t>-1.425M</t>
  </si>
  <si>
    <t>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Historical impact on Assets: USOILRoll</t>
  </si>
  <si>
    <t xml:space="preserve">
Bloomberg anticipates that the Fed will lower interest rates by 25 basis points, bringing them down from 4.75% to 4.50%. Investors will pay close attention to the "dot plot", which reflects Federal Reserve members' projections for future rate changes. If the dot plot signals more aggresive rate cuts in 2025, it could impact major US stock idices, inlcuding US2000. 
Additionally, traders will tune in the Federal Reserve Chairman Jerome Powell's press conference for insights into the Fed's monetary policy outlook for the coming year. 
Historical impact on Assets: USDJPY | US2000</t>
  </si>
  <si>
    <t xml:space="preserve">Bank of Japan (BOJ) policy board publishes its decision about where to set the target overnight rate. As short term interest rates are an important determinant of currency valuation, traders watch interest rate changes closely. A reading that is stronger than forecast is generally supportive (bullish) for the JPY, while a weaker than forecast reading is generally negative (bearish) for the JPY.
Historical impact on Assets: USDJPY </t>
  </si>
  <si>
    <t>BoE Interest Rate Decision (Dec)</t>
  </si>
  <si>
    <t>Bloomberg expects the Bank of England to maintain interest rate at 4.75%. However, traders will closely monitor the vote distirbution among committee members. A higher number of votes favouring rate cuts could increase expectations for reductions in future meetings, potentially supporting the UK100 stock index. 
Historical impact on Assets: GBPJPY | UK100</t>
  </si>
  <si>
    <t>US GDP (QoQ) (Q3)</t>
  </si>
  <si>
    <t xml:space="preserve">Gross Domestic Product (GDP) measures the annualised change in the inflation-adjusted value of all goods and services produced by the economy. It is the broadest measure of economic activity and the primary indicator of the economy's health.
A reading that is stronger than forecast is generally supportive (bullish) for the USD, while a weaker than forecast reading is generally negative (bearish) for the USD.
Historical impact on Assets: USDJPY </t>
  </si>
  <si>
    <t>US Initial Jobless Claims</t>
  </si>
  <si>
    <t>245K</t>
  </si>
  <si>
    <t xml:space="preserve">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Historical impact on Assets: USDJPY </t>
  </si>
  <si>
    <t>US Philadelphia Fed Manufacturing Index (Dec)</t>
  </si>
  <si>
    <t xml:space="preserve">
The Philadelphia Federal Reserve Manufacturing Index measures the relative level of business conditions amongst manufacturers in the Federal reserve district. A level above zero on the index indicates improving conditions; below indicates worsening conditions. The data is compiled from a survey of about 250 manufacturers in the Philadelphia Federal Reserve district.
A reading that is stronger than forecast is generally supportive (bullish) for the USD, while a weaker than forecast reading is generally negative (bearish) for the USD.
Historical impact on Assets: USDJPY </t>
  </si>
  <si>
    <t>US Existing Home Sales (Nov)</t>
  </si>
  <si>
    <t xml:space="preserve">Existing Home Sales measures the change in the annualised number of existing residential buildings that were sold during the prior month. This report helps to gauge the strength of the U.S. housing market and is an important indicator of overall economic strength.
A reading that is stronger than forecast is generally supportive (bullish) for the USD, while a weaker than forecast reading is generally negative (bearish) for the USD.
Historical impact on Assets: USDJPY </t>
  </si>
  <si>
    <t>US Core PCE Price Index (MoM) (Nov)</t>
  </si>
  <si>
    <t xml:space="preserve">The Core Personal Consumption Expenditure (PCE) Price Index measures the changes in the price of goods and services purchased by consumers for the purpose of consumption, excluding food and energy. Unlike the fixed-weight CPI, PCE is chain-weighted and thus adjusts to changing consumer behaviour. Core PCE is the Fed's preferred inflation measure and thus receives greater attention.
A reading that is stronger than forecast is generally supportive (bullish) for the USD, while a weaker than forecast reading is generally negative (bearish) for the USD.
Historical impact on Assets: USDJPY </t>
  </si>
  <si>
    <t>US Core PCE Price Index (YoY) (Nov)</t>
  </si>
  <si>
    <t xml:space="preserve">
The Core PCE price Index is the less volatile measure of the PCE price index which excludes the more volatile and seasonal food and energy prices. The impact on the currency may go both ways, a rise in inflation may lead to a rise in interest rates and a rise in local currency, on the other hand, during recession, a rise in inflation may lead to a deepened recession and therefore a fall in local currency.
Historical impact on Assets: USDJPY </t>
  </si>
  <si>
    <t xml:space="preserve">A continued easing of inflation and robust labour market could give the Fed more room to implement rate cuts without stoking inflation fears, supporting the case for a soft landing.
Historical impact on Assets: USDJPY </t>
  </si>
  <si>
    <t>57.0 </t>
  </si>
  <si>
    <t>-1.425</t>
  </si>
  <si>
    <t>-1.000</t>
  </si>
  <si>
    <t>-5.073</t>
  </si>
  <si>
    <t>-1.600</t>
  </si>
  <si>
    <t>-1.844</t>
  </si>
  <si>
    <t>-1.300</t>
  </si>
  <si>
    <t>7.4 </t>
  </si>
  <si>
    <t>3.83</t>
  </si>
  <si>
    <t>US2000</t>
  </si>
  <si>
    <t>GBP GDP (QoQ) (Q3)</t>
  </si>
  <si>
    <t xml:space="preserve">Gross Domestic Product (GDP) gauges the inflation-adjusted value of all goods and services produced within the economy. It is the most comprehensive measure of economic activity and an important indicator of economic health.
A reading that is stronger than forecast is generally supportive (bullish) for the GBP, while a weaker than forecast reading is generally negative (bearish) for the GBP.
Historical impact on Assets: GBPJPY </t>
  </si>
  <si>
    <t>GBP GDP (YoY) (Q3)</t>
  </si>
  <si>
    <t>USD CB Consumer Confidence (Dec)</t>
  </si>
  <si>
    <t xml:space="preserve">Conference Board (CB) Consumer Confidence measures the level of confidence consumers have in the economy. When consumers are optimistic, they tend to spend more which increases consumption and overall economic growth.
A reading that is stronger than forecast is generally supportive (bullish) for the USD, while a weaker than forecast reading is generally negative (bearish) for the USD.
Historical impact on Assets: USDJPY </t>
  </si>
  <si>
    <t>Global</t>
  </si>
  <si>
    <t xml:space="preserve">Major markets closing early or closed. </t>
  </si>
  <si>
    <t>USD Durable Goods Orders (MoM) (Nov) P</t>
  </si>
  <si>
    <t xml:space="preserve">Durable Goods Orders reports the change in the total value of new orders for long lasting manufactured goods, including transportation items.
A reading that is stronger than forecast is generally supportive (bullish) for the USD, while a weaker than forecast reading is generally negative (bearish) for the USD.
Historical impact on Assets: USDJPY </t>
  </si>
  <si>
    <t>USD New Homes Sales (Nov)</t>
  </si>
  <si>
    <t>650K</t>
  </si>
  <si>
    <t>610K</t>
  </si>
  <si>
    <t xml:space="preserve">
New Home Sales measures the annualised number of new single-family homes that were sold during the prior month. When it's released ahead of Existing Home Sales, this report tends to have more impact because the two reports are highly correlated.
A reading that is stronger than forecast is generally supportive (bullish) for the USD, while a weaker than forecast reading is generally negative (bearish) for the USD.
Historical impact on Assets: USDJPY </t>
  </si>
  <si>
    <t xml:space="preserve">Major markets closed. </t>
  </si>
  <si>
    <t>USD Initial Jobless Claims</t>
  </si>
  <si>
    <t xml:space="preserve">
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Historical impact on Assets: USDJPY </t>
  </si>
  <si>
    <t>-0.934M</t>
  </si>
  <si>
    <t xml:space="preserve">
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Historical impact on Assets: USOILRoll</t>
  </si>
  <si>
    <t>Source: Bloomberg, ADSS, News Articles, Company Research. Notes as of 22nd December 2024, 6 PM.</t>
  </si>
  <si>
    <t>111.8 </t>
  </si>
  <si>
    <t>-0.8% </t>
  </si>
  <si>
    <t>610</t>
  </si>
  <si>
    <t>725</t>
  </si>
  <si>
    <t>-0.934</t>
  </si>
  <si>
    <t>USD Chicago PMI (Dec)</t>
  </si>
  <si>
    <t>The Chicago Purchasing Managers' Index (PMI) is a diffusion index incorporating survey results provided by manufacturing firms around the Chicago area. A reading above fifty suggests the manufacturing sector is expanding, while a reading below fifty suggests the manufacturing sector is in contraction. The Chicago PMI can be of some assistance in forecasting the ISM manufacturing PMI.
A reading that is stronger than forecast is generally supportive (bullish) for the USD, while a weaker than forecast reading is generally negative (bearish) for the USD.
-Historical Impact on Assets: EURUSD | USDJPY</t>
  </si>
  <si>
    <t>Major Markets closed or closing early</t>
  </si>
  <si>
    <t>CNY Manufacturing PMI (Dec)</t>
  </si>
  <si>
    <t>China Manufacturing Purchasing Managers Index (PMI) provides an early indication each month of economic activities in the Chinese manufacturing sector. It is compiled by China Federation of Logistics &amp; Purchasing (CFLP) and China Logistics Information Centre (CLIC), based on data collected by the National Bureau of Statistics (NBS).Li &amp; Fung Research Centre is responsible for drafting and disseminating the English PMI report. Every month questionnaires are sent to over 700 manufacturing enterprises all over China. The data presented here is compiled from the enterprises responses about their purchasing activities and supply situations. The PMI should be compared to other economic data sources when used in decision-making.
A reading that is stronger than forecast is generally supportive (bullish) for the CNY , while a weaker than forecast reading is generally negative (bearish) for the CNY.
-Historical Impact on Assets: USDCNH | USDCNY</t>
  </si>
  <si>
    <t>Major Markets closed</t>
  </si>
  <si>
    <t>Thur</t>
  </si>
  <si>
    <t>Markets closed: Swiss, Russia, NZ, Japan</t>
  </si>
  <si>
    <t xml:space="preserve">
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-Historical Impact on Assets: EURUSD | USDJPY</t>
  </si>
  <si>
    <t>USD Manufacturing PMI (Dec)</t>
  </si>
  <si>
    <t xml:space="preserve">
The Manufacturing Purchasing Managers' Index (PMI) is a diffusion index incorporating survey results provided by manufacturing firms throughout the country. A reading above fifty suggests the manufacturing sector is expanding, while a reading below fifty suggests the manufacturing sector is in contraction. Policymakers and traders watch these surveys closely as purchasing managers usually have early access to data about their company’s performance, rather than waiting for the hard data to emerge. While manufacturing accounts for a far smaller percentage of economic output than services, it is far more cyclical and is therefore a useful indicator of where in the economic cycle the economy is currently situated. A reading that is stronger than forecast is generally supportive (bullish) for the USD while a weaker than forecast reading is generally negative (bearish) for the USD.
-Historical Impact on Assets: EURUSD | USDJPY</t>
  </si>
  <si>
    <t>USD ISM Manufacturing PMI</t>
  </si>
  <si>
    <t>The Institute of Supply Management (ISM) Manufacturing Purchasing Managers Index (PMI) Report on Business is based on data compiled from monthly replies to questions asked of purchasing and supply executives in over 400 industrial companies across the United States. For each of the indicators measured (New Orders, Backlog of Orders, New Export Orders, Imports, Production, Supplier Deliveries, Inventories, Customers Inventories, Employment, and Prices), a diffusion index is calculated by adding the percent of positive responses plus one-half of those responding the same (considered positive). The resulting single index number is then seasonally adjusted.
The PMI is a composite index based on the seasonally adjusted diffusion indices for five of the indicators with differing weights: New Orders --30% Production --25% Employment --20% Supplier Deliveries --15% and Inventories -- 10%.
A reading that is stronger than forecast is generally supportive (bullish) for the USD, while a weaker than forecast reading is generally negative (bearish) for the USD.
-Historical Impact on Assets: EURUSD | USDJPY</t>
  </si>
  <si>
    <t>USD ISM Manufacturing Prices (Dec)</t>
  </si>
  <si>
    <t>The Institute of Supply Management (ISM) Manufacturing Purchasing Managers Index (PMI) Report on Business is based on data compiled from monthly replies to questions asked of purchasing and supply executives in over 400 industrial companies. For each of the indicators measured (New Orders, Backlog of Orders, New Export Orders, Imports, Production, Supplier Deliveries, Inventories, Customers Inventories, Employment, and Prices), this report shows the percentage reporting each response, the net difference between the number of responses in the positive economic direction and the negative economic direction and the diffusion index. Responses are raw data and are never changed.
The diffusion index includes the percent of positive responses plus one-half of those responding the same (considered positive). The resulting single index number is then seasonally adjusted to allow for the effects of repetitive intra-year variations resulting primarily from normal differences in weather conditions, various institutional arrangements, and differences attributable to non-moveable holidays. All seasonal adjustment factors are supplied by the U.S. Department of Commerce and are subject annually to relatively minor changes when conditions warrant them.
The PMI is a composite index based on the seasonally adjusted diffusion indices for five of the indicators with varying weights: New Orders --30% Production --25% Employment --20% Supplier Deliveries --15% and Inventories -- 10%.
The Prices Paid subcategory is a diffusion index calculated by adding the percent of responses indicating they paid more for inputs plus one-half of those responding that they paid the same for inputs. The resulting single index number is then seasonally adjusted.
The Prices Paid diffusion index is one of a number of indicators pointing to the degree of inflationary pressures in the economy.
A higher than expected reading should be taken as positive/bullish for the USD, while a lower than expected reading should be taken as negative/bearish for the USD.
-Historical Impact on Assets: EURUSD | USDJPY</t>
  </si>
  <si>
    <t>Crude Oil Invetories</t>
  </si>
  <si>
    <t>-4.237M</t>
  </si>
  <si>
    <t>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-Historical Impact on Assets: USOILRoll</t>
  </si>
  <si>
    <t>Markets closed: Japan, Russia</t>
  </si>
  <si>
    <t>Source: Bloomberg, ADSS, News Articles, Company Research. Notes as of 29th December 2024, 8 PM.</t>
  </si>
  <si>
    <t>55.7 </t>
  </si>
  <si>
    <t>50.2 </t>
  </si>
  <si>
    <t>47.7 </t>
  </si>
  <si>
    <t>-4.237</t>
  </si>
  <si>
    <t>-0.700</t>
  </si>
  <si>
    <t>53.8 </t>
  </si>
  <si>
    <t>56.4 </t>
  </si>
  <si>
    <t>58.0 </t>
  </si>
  <si>
    <t>223K</t>
  </si>
  <si>
    <t>EUR German CPI (MoM) (Dec) P</t>
  </si>
  <si>
    <t>The Consumer Price Index (CPI) measures the change in the prices of goods and services from the perspective of the consumer. As Germany has the largest output of any country in the euro-zone, the European Central bank pays very close attention to this figure in its role of maintaining price stability.
A reading that is stronger than forecast is generally supportive (bullish) for the EUR, while a weaker than forecast reading is generally negative (bearish) for the EUR.
-Historical Impact on Assets: EURUSD | EURJPY</t>
  </si>
  <si>
    <t>USD Services PMI (Dec)</t>
  </si>
  <si>
    <t>The Service PMI release is published monthly by Markit Economics. The data are based on surveys of over 400 executives in private sector service companies. The surveys cover transport and communication, financial intermediaries, business and personal services, computing &amp; IT, hotels and restaurants. 
An index level of 50 denotes no change since the previous month, while a level above 50 signals an improvement, and below 50 indicates a deterioration. A reading that is stronger than forecast is generally supportive (bullish) for the USD, while a weaker than forecast reading is generally negative (bearish) for the USD.
-Historical Impact on Assets: EURUSD | USDJPY</t>
  </si>
  <si>
    <t>CHF CPI (YoY) (Dec)</t>
  </si>
  <si>
    <t>According to Bloomberg, Swiss inflation is expected to ease from 0.7% in November to 0.6% in December. Markets have already priced in a 25-basis-point rate cut by the Swiss National Bank at its March meeting. Lower-than-expected inflation could prompt expectations of further rate cuts this year, potentially weakening the Swiss franc against major currencies. 
Investors will also watch the release of European CPI data for December, scheduled on the same day. Bloomberg forecasts that core inflation (excluding food and energy) will remain steady at 2.7% in December. 
In its December meeting, the European Central Bank reduced interest rates by 25 basis points. Markets have priced in three additional 25-basis-point cuts this year. However, higher-than-expected inflation could reduce the likelihood of these cuts, potentially strengthening the euro against major currencies like the Swiss franc. 
-Historical Impact on Assets: EURUSD | EURJPY | EURCHF</t>
  </si>
  <si>
    <t>EUR CPI (YoY) (Dec) P</t>
  </si>
  <si>
    <t>USD ISM Non-Manufacturing PMI (Dec)</t>
  </si>
  <si>
    <t>The Institute of Supply Management (ISM) Non-Manufacturing Purchasing Managers' Index (PMI) (also known as the ISM Services PMI) report on Business, is based on data compiled from monthly replies to questions asked of more than 370 purchasing and supply executives in over 62 different industries.
The NMI is a composite index based on the diffusion indexes for four of the indicators with equal weights: Business Activity (seasonally adjusted), New Orders (seasonally adjusted), Employment (seasonally adjusted) and Supplier Deliveries.
A reading above 50 percent indicates the non-manufacturing sector economy is generally expanding; below 50 percent indicates the non-manufacturing sector is generally contracting. Given the large proportion of the US economy engaged in the services sector, this report offers insights into the health of the overall US economy.
A reading that is stronger than forecast is generally supportive (bullish) for the USD, while a weaker than forecast reading is generally negative (bearish) for the USD.
-Historical Impact on Assets: EURUSD | USDJPY</t>
  </si>
  <si>
    <t>USD ISM Non-Manufacturing Prices (Dec)</t>
  </si>
  <si>
    <t>The Institute of Supply Management (ISM) Non-Manufacturing Purchasing Managers' Index (PMI) (also known as the ISM Services PMI) report on Business, is based on data compiled from monthly replies to questions asked of more than 370 purchasing and supply executives in over 62 different industries.
The Prices Paid subcategory is a diffusion index calculated by adding the percent of responses indicating they paid more for inputs plus one-half of those responding that they paid the same for inputs. The resulting single index number is then seasonally adjusted.
The Prices Paid diffusion index is one of a number of indicators pointing to the degree of inflationary pressures in the economy.
A reading that is stronger than forecast is generally supportive (bullish) for the USD, while a weaker than forecast reading is generally negative (bearish) for the USD.
-Historical Impact on Assets: EURUSD | USDJPY</t>
  </si>
  <si>
    <t>USD JOLTs Job Openings (Nov)</t>
  </si>
  <si>
    <t>7.650M</t>
  </si>
  <si>
    <t>7.744M</t>
  </si>
  <si>
    <t xml:space="preserve">
A survey done by the US Bureau of Labor Statistics to help measure job vacancies. It collects data from employers about their businesses' employment, job openings, recruitment, hires and separations.
JOLTS defines Job Openings as all positions that are open (not filled) on the last business day of the month. A job is "open" only if it meets all three of the following conditions:
1. A specific position exists and there is work available for that position.
2. The job could start within 30 days, whether or not the establishment finds a suitable candidate during that time.
3. There is active recruiting for workers from outside the establishment location that has the opening.
A reading that is stronger than forecast is generally supportive (bullish) for the USD, while a weaker than forecast reading is generally negative (bearish) for the USD.
-Historical Impact on Assets: EURUSD | USDJPY</t>
  </si>
  <si>
    <t xml:space="preserve">
The figures displayed in the calendar represent the yield on the Treasury Note auctioned.
U.S. Treasury Notes have maturities of two to ten years. Governments issue treasuries to borrow money to cover the gap between the amount they receive in taxes and the amount they spend to refinance existing debt and/or to raise capital. The rate on a Treasury Note represents the return an investor will receive by holding the note for its entire duration. All bidders receive the same rate at the highest accepted bid.
Yield fluctuations should be monitored closely as an indicator of the government debt situation. Investors compare the average rate at auction to the rate at previous auctions of the same security.
-Historical Impact on Assets: USDJPY | EURUSD</t>
  </si>
  <si>
    <t>USD ADP Nonfarm Employment Change (Dec)</t>
  </si>
  <si>
    <t>146K</t>
  </si>
  <si>
    <t>ADP is performs payroll services for its clients. The ADP National Employment Report is a measure of the monthly change in non-farm, private employment, based on the payroll data of approximately 400,000 U.S. business clients. The release, two days ahead of government data, is used as a predictor of the government's Labour Market Report.
A reading that is stronger than forecast is generally supportive (bullish) for the USD, while a weaker than forecast reading is generally negative (bearish) for the USD.
-Historical Impact on Assets: EURUSD | USDJPY</t>
  </si>
  <si>
    <t>211K</t>
  </si>
  <si>
    <t>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-Historical Impact on Assets: USDJPY | EURJPY</t>
  </si>
  <si>
    <t>-1.178M</t>
  </si>
  <si>
    <t>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-Historical Impact on Assets: USDOilRoll</t>
  </si>
  <si>
    <t>The figures displayed in the calendar represent the yield on the Treasury Bond auctioned.
U.S. Treasury Bonds have maturities from ten up to 30 years. Governments issue treasuries to borrow money to cover the gap between the amount they receive in taxes and the amount they spend to refinance existing debt and/or to raise capital. The rate on a Treasury Bond represents the return an investor will receive by holding the bond for its entire duration. All bidders receive the same rate at the highest accepted bid.
Yield fluctuations should be monitored closely as an indicator of the government debt situation. Investors compare the average rate at auction to the rate at previous auctions of the same security.
-Historical Impact on Assets: USDJPY | EURUSD</t>
  </si>
  <si>
    <t>U.S. stock markets (NYSE and Nasdaq) closed; CME Group US Equities close early at 8:30 AM CT; Interest Rate, Real Estate, and Weather products close early at 12:15 PM CT; BrokerTec US Treasuries close early at 2:30 PM ET; Repo closes at 3:30 PM ET; CME Group FX, Crypto, Energy, and Metals operate normal hours.</t>
  </si>
  <si>
    <t>US stock markets closed in honor of former President Jimmy Carter (National Day of Mourning)</t>
  </si>
  <si>
    <t>Markets will analyse the release of the minutes from the Federal Reserve's last meeting, providing insight into members' discussions and opinions. These minutes help traders assess the Fed's future monetary policy direction. 
Notably, the Federal Reserve reduced US interest rates by 25 basis points in its last session and hinted at a more cautious approach to future rate cuts. This stance supported the US dollar, with the US Dollar Index rising by 2.5% in December. 
If the minutes indicate that most FOMC members are open to multiple interest rate cuts this year, it could bolster the prices of major U.S. stock indices, including the S&amp;P 500 &amp; Nasdaq 100. 
-Historical Impact on Assets: USDJPY | EURJPY | US500 | UT100</t>
  </si>
  <si>
    <t>According to Bloomberg, the U.S. economy is projected to have added 153,000 jobs in December, down from 227,000 in November. Meanwhile, the unemployment rate is expected to remain stable at 4.2%.
Labour market data, along with inflation trends, play a critical role in shaping Federal Reserve interest rate decisions. With inflation (measured by the U.S. Consumer Spending Index) remaining below 2.5%, the Federal Open Market Committee is likely to focus on labour market performance. 
A weaker-than-expected jobs report may indicate a softening labour market, potentially leading markets to anticipate additional US interest rate cuts this year. This could weigh on the U.S. dollar while providing support for precious metals like silver. 
-Historical Impact on Assets: EURUSD | USDJPY | XAGUSD</t>
  </si>
  <si>
    <t>USD Average Hourly Earnings (MoM) (Dec)</t>
  </si>
  <si>
    <t>154K</t>
  </si>
  <si>
    <t>USD Nonfarm Payrolls (Dec)</t>
  </si>
  <si>
    <t>USD Unemployment Rate (Dec)</t>
  </si>
  <si>
    <t>Recent data indicates that while inflation has moderated to 2.4% as of November 2024, it remains above the Federal Reserve’s 2% target. Simultaneously, the labor market continues to exhibit resilience, with jobless claims reaching an eight-month low. This combination of easing inflation and a strong labor market may provide the Federal Reserve with increased flexibility to adjust interest rates without reigniting inflation concerns, thereby supporting the possibility of a soft landing for the economy.</t>
  </si>
  <si>
    <t>Source: Bloomberg, ADSS, News Articles, Company Research. Notes as of 8th January 2025, 8 PM.</t>
  </si>
  <si>
    <t>1.1% </t>
  </si>
  <si>
    <t>1.2% </t>
  </si>
  <si>
    <t>1.4% </t>
  </si>
  <si>
    <t>7.744</t>
  </si>
  <si>
    <t>7.510</t>
  </si>
  <si>
    <t>7.372</t>
  </si>
  <si>
    <t>146</t>
  </si>
  <si>
    <t>166</t>
  </si>
  <si>
    <t>184</t>
  </si>
  <si>
    <t>-1.178</t>
  </si>
  <si>
    <t>-2.400</t>
  </si>
  <si>
    <t>-1.42</t>
  </si>
  <si>
    <t>-1.00</t>
  </si>
  <si>
    <t>-5.07</t>
  </si>
  <si>
    <t>-1.60</t>
  </si>
  <si>
    <t>202</t>
  </si>
  <si>
    <t>36</t>
  </si>
  <si>
    <t>89</t>
  </si>
  <si>
    <t>C:EURCHF</t>
  </si>
  <si>
    <t>EURCHF.sd</t>
  </si>
  <si>
    <t>Holiday - Japan - Respect for the Aged Day</t>
  </si>
  <si>
    <t>A day to honor elderly citizens, to express appreciation and gratitude for their contribution to society, and to celebrate their longevity and vitality</t>
  </si>
  <si>
    <t>USD - PPI (MoM) (Dec)</t>
  </si>
  <si>
    <t>The Producer Price Index (PPI) measures a change in input prices of raw, semi-finished or finished goods and services. If input costs rise, some will be absorbed by the producer and some passed on to the consumer. Conversely, if input costs fall, some of the decline will be enjoyed as wider profit margins by the producer and some will be passed on to the consumer in the form of lower prices. Because PPI impacts consumer prices, it is watched by central bankers as part of fulfilling their mandate of price stability.
A reading that is stronger than forecast is generally supportive (bullish) for the USD, while a weaker than forecast reading is generally negative (bearish) for the USD.
-Historical Impact on Assets: USDJPY | EURUSD</t>
  </si>
  <si>
    <t>GBP - CPI (YoY) (Dec)</t>
  </si>
  <si>
    <t>At its last Monetary Policy Committee meeting in December 2024, the Bank of England decided to maintain interest rates at 4.75%. The decision was made with a majority of 6 to 3, with the minority favouring a 25-basis-point rate cut. 
Bloomberg expects the MPC to cut interest rates by 25 basis points during its February meeting. Inflation data released in December, as well as in the coming months, will significantly influence the committee's interest rate decisions throughout the year. A sharp decline in inflation levels m bringing them closer to the 2% target, could accelerate the pace of rate cuts in 2025, potentially benefitting British stock indices like the UK100. However, if inflation remains slow to approach the target, the pace of rate reductions may decelerate.
Notably, the YoY inflation in November increased from 2.3% to 2.6%, while the YoY core inflation rose from 3.3% to 3.5%.
-Historical Impact on Assets: GBPJPY | GBPUSD | UK100</t>
  </si>
  <si>
    <t>USD - Core CPI (MoM) (Dec)</t>
  </si>
  <si>
    <t>Bloomberg forecasts suggest YoY inflation will rise from 2.7% in November to 2.9% in December, while the YoY core inflation is expected to remain steady at 3.3%
In his December press conference, the Federal Reserve Chairman indicated that the pace of interest rate cuts might slow this year due to the "remarkable" performance of the US economy. Additionally, the Federal Open Market Committee's dot plot suggests the likelihood of only two rate cuts in 2025.
The persistent rise in inflation could hinder US interest rate cuts, supporting the US dollar and negatively impacting precious metal prices like silver, which have an inverse relationship with the dollar. 
-Historical Impact on Assets: USDJPY | EURUSD | XAGUSD</t>
  </si>
  <si>
    <t>USD - CPI (YoY) (Dec)</t>
  </si>
  <si>
    <t>USD - CPI (MoM) (Dec)</t>
  </si>
  <si>
    <t>Global - Crude Oil Inventories</t>
  </si>
  <si>
    <t>-0.959M</t>
  </si>
  <si>
    <t xml:space="preserve">
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-Historical Impact on Assets: USOILRoll</t>
  </si>
  <si>
    <t>GBP - GDP (MoM) (Nov)</t>
  </si>
  <si>
    <t xml:space="preserve">
Gross Domestic Product (GDP) measures the annualized change in the inflation-adjusted value of all goods and services produced by the economy. It is the broadest measure of economic activity and the primary indicator of the economy's health. A higher than expected reading should be taken as positive/bullish for the GBP, while a lower than expected reading should be taken as negative/bearish for the GBP.
-Historical Impact on Assets: GBPJPY | GBPUSD</t>
  </si>
  <si>
    <t>EUR - German CPI (MoM) (Dec)</t>
  </si>
  <si>
    <t xml:space="preserve">
The Consumer Price Index (CPI) measures the change in the prices of goods and services from the perspective of the consumer. As Germany has the largest output of any country in the euro-zone, the European Central bank pays very close attention to this figure in its role of maintaining price stability.
A reading that is stronger than forecast is generally supportive (bullish) for the EUR, while a weaker than forecast reading is generally negative (bearish) for the EUR.
-Historical Impact on Assets: EURJPY | EURUSD</t>
  </si>
  <si>
    <t>USD - Core Retail Sales (MoM)</t>
  </si>
  <si>
    <t xml:space="preserve">
Core Retail Sales measures the change in the total value of sales at the retail level in the U.S., excluding automobiles. It is an important indicator of consumer spending which accounts for a large percentage of US GDP.
A reading that is stronger than forecast is generally supportive (bullish) for the USD, while a weaker than forecast reading is generally negative (bearish) for the USD.
-Historical Impact on Assets: USDJPY | EURUSD</t>
  </si>
  <si>
    <t>USD - Initial Jobless Claims</t>
  </si>
  <si>
    <t>210K</t>
  </si>
  <si>
    <t>201K</t>
  </si>
  <si>
    <t xml:space="preserve">
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-Historical Impact on Assets: USDJPY | EURUSD</t>
  </si>
  <si>
    <t>USD - Philadelphia Fed Manufacturing Index (Jan)</t>
  </si>
  <si>
    <t>-7</t>
  </si>
  <si>
    <t>-10.9</t>
  </si>
  <si>
    <t xml:space="preserve">
The Philadelphia Federal Reserve Manufacturing Index measures the relative level of business conditions amongst manufacturers in the Federal reserve district. A level above zero on the index indicates improving conditions; below indicates worsening conditions. The data is compiled from a survey of about 250 manufacturers in the Philadelphia Federal Reserve district.
A reading that is stronger than forecast is generally supportive (bullish) for the USD, while a weaker than forecast reading is generally negative (bearish) for the USD.
-Historical Impact on Assets: USDJPY | EURUSD</t>
  </si>
  <si>
    <t>USD - Retail Sales (MoM) (Dec)</t>
  </si>
  <si>
    <t xml:space="preserve">
Retail Sales gauges the change in the aggregate value of sales at the retail level across the country. It is an important indicator of consumer spending accounting for the majority of overall economic activity.
A reading that is stronger than forecast is generally supportive (bullish) for the USD, while a weaker than forecast reading is generally negative (bearish) for the USD.
-Historical Impact on Assets: USDJPY | EURUSD</t>
  </si>
  <si>
    <t>CNY - GDP (YoY) (Q4)</t>
  </si>
  <si>
    <t xml:space="preserve">
Gross Domestic Product (GDP) gauges the inflation-adjusted value of all goods and services produced within the economy. It is the most comprehensive measure of economic activity and an important indicator of economic health.
A reading that is stronger than forecast is generally supportive (bullish) for the CNY, while a weaker than forecast reading is generally negative (bearish) for the CNY.
-Historical Impact on Assets: USDCNH | USDCNY</t>
  </si>
  <si>
    <t>EUR - CPI (YoY) (Dec)</t>
  </si>
  <si>
    <t xml:space="preserve">
Bloomberg forecasts indicate the YoY core inflation in Europe will remain stable at 2.7%, while the YoY inflation in expected to stay at 2.4%.
At its December meeting, the European Central Bank reduced interest rates by 25 basis points and suggested further cuts early next year to reach neutral levels that neither hinder nor stimulate economic growth. 
A decline in inflation closer to the ECB's 2% target would support the current rate reduction pace, potentially benefitting European stock indices like the EURO STOXX 50, DAX, FRA40 indexes. Coversely, rising inflation could obstruct planned rate cuts, negatively impacting these indices.
-Historical Impact on Assets: EURJPY | EURUSD | DE40Roll | ESTOX</t>
  </si>
  <si>
    <t>Source: Bloomberg, ADSS, News Articles, Company Research. Notes as of 12th January 2025, 6 PM.</t>
  </si>
  <si>
    <t>-0.959</t>
  </si>
  <si>
    <t>-1.800</t>
  </si>
  <si>
    <t>201</t>
  </si>
  <si>
    <t>214</t>
  </si>
  <si>
    <t>211</t>
  </si>
  <si>
    <t>2.9 </t>
  </si>
  <si>
    <t>4.6% </t>
  </si>
  <si>
    <t>5.1% </t>
  </si>
  <si>
    <t>4.8% </t>
  </si>
  <si>
    <t>4.4% </t>
  </si>
  <si>
    <t>7.3% </t>
  </si>
  <si>
    <t>2.4% </t>
  </si>
  <si>
    <t>Time MT5</t>
  </si>
  <si>
    <t>All Day</t>
  </si>
  <si>
    <t>United States - Martin Luther King, Jr. Day</t>
  </si>
  <si>
    <t>Martin Luther King Jr. Day is a federal holiday in the United States, observed annually on the third Monday of January to honor the civil rights leader Dr. Martin Luther King Jr. In 2025, it falls on January 20th, coinciding with the presidential inauguration. 
Market Impact: U.S. financial markets are closed. Trading volumes in global markets may be lower due to reduced U.S. participation.
Learn More: Minimal direct impact, but lower market liquidity may increase volatility.
Legacy Reference: https://www.nobelprize.org/prizes/peace/1964/king/biographical/</t>
  </si>
  <si>
    <t>GBP - Unemployment Rate</t>
  </si>
  <si>
    <t>Bloomberg estimates that unemployment could remain staedy at 4.3%, while wages excluding bonuses may decline from 5.2% in October to 5.0% in November. It should be noted that the decrease in wages is a key factor easing inflation, potentially paving the way for the Bank of England's Monetary Policy Committee to cut interest rates further this year. Such a move could weaken the pound against other major currencies. Conversely, stronger-than-expected wage growth could signal persistent inflation, limiting rate cuts and boosting the pound's performance against other currencies. 
Learn More: GBPJPY | GBPCAD</t>
  </si>
  <si>
    <t>GBP - Average Earnings Index + Bonus (Nov)</t>
  </si>
  <si>
    <t>CAD - Common CPI (YoY)</t>
  </si>
  <si>
    <t>December's Conusmer Price Index will also be released, with Bloomberg predicting the YoY inflation headline to edge lower from 1.9% in November to 1.8% in December. 
Last year, the Bank of Canada reduced interest rates from 5% to 3.25%. Continued declines in inflation could set the stage for additional cuts this year. Notably, Canadian officials have hinted at further rate reductions in response to US tariffs proposed by incoming President Trump, aimed at pressuring Canada politically. 
Learn More: CADJPY | GBPCAD</t>
  </si>
  <si>
    <t>NZD - CPI (QoQ) (Q4)</t>
  </si>
  <si>
    <t>According to Bloomberg, New Zealand's YoY inflation headline is expected to decrease slightly, from 2.2% in the third quarter to 2.1% in the fourth quarter. This decline could enable the Reserve Bank of New Zealand to continue its monetary easing, following last year's interest rate cuts from 5.5% to 4.25%.
However, a higher-than-expected rise in inflation could slow the Reserve Bank's rate-cutting trajectory, potentially boosting the value of the New Zealand dollar against major currencies like the US dollar. 
Learn More: NZDUSD</t>
  </si>
  <si>
    <t>US - Initial Jobless Claims</t>
  </si>
  <si>
    <t xml:space="preserve">
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Learn More: USDJPY | EURUSD</t>
  </si>
  <si>
    <t>US - Crude Oil Inventories</t>
  </si>
  <si>
    <t>-1.962M</t>
  </si>
  <si>
    <t xml:space="preserve">
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Learn More:USDOILRoll</t>
  </si>
  <si>
    <t>JPY - BoJ Interest Rate Decision</t>
  </si>
  <si>
    <t xml:space="preserve">
Bank of Japan (BOJ) policy board publishes its decision about where to set the target overnight rate. As short term interest rates are an important determinant of currency valuation, traders watch interest rate changes closely. A reading that is stronger than forecast is generally supportive (bullish) for the JPY, while a weaker than forecast reading is generally negative (bearish) for the JPY.
Learn More:USDJPY | EURJPY</t>
  </si>
  <si>
    <t>US - Manufacturing PMI P</t>
  </si>
  <si>
    <t xml:space="preserve">
Since the beginning of Q3 last year, the PMI has been in contraction territory (below 50).
Bloomberg forecasts the index to slightly improve from 49.4 to 49.6. Any reading above expectations would signal progress toward exiting the contraction zone, positively impacting the US GDP for Q4 and bolstering stock indices like the Dow Jones Industrial Average (US30).
Learn More:USDJPY | EURJUSD | US30</t>
  </si>
  <si>
    <t>US - Services PMI P</t>
  </si>
  <si>
    <t xml:space="preserve">
The Service PMI release is published monthly by Markit Economics. The data are based on surveys of over 400 executives in private sector service companies. The surveys cover transport and communication, financial intermediaries, business and personal services, computing &amp; IT, hotels and restaurants. 
An index level of 50 denotes no change since the previous month, while a level above 50 signals an improvement, and below 50 indicates a deterioration. A reading that is stronger than forecast is generally supportive (bullish) for the USD, while a weaker than forecast reading is generally negative (bearish) for the USD.
Learn More:USDJPY | EURUSD</t>
  </si>
  <si>
    <t>US - Existing Home Sales Dec</t>
  </si>
  <si>
    <t>4.16M</t>
  </si>
  <si>
    <t>4.15M</t>
  </si>
  <si>
    <t xml:space="preserve">
Existing Home Sales measures the change in the annualised number of existing residential buildings that were sold during the prior month. This report helps to gauge the strength of the U.S. housing market and is an important indicator of overall economic strength.
A reading that is stronger than forecast is generally supportive (bullish) for the USD, while a weaker than forecast reading is generally negative (bearish) for the USD.
Learn More:USDJPY | EURJUSD</t>
  </si>
  <si>
    <t>Source: Bloomberg, ADSS, News Articles, Company Research. Notes as of 20th January 2025, 10 AM.</t>
  </si>
  <si>
    <t>Australia - Australia Day</t>
  </si>
  <si>
    <t>Australia Day is a national holiday in Australia, celebrating the country's history and culture. Markets and businesses are typically closed, leading to reduced trading activity.
Learn More: []</t>
  </si>
  <si>
    <t>CNY - Manufacturing PMI (Jan)</t>
  </si>
  <si>
    <t>China Manufacturing Purchasing Managers Index (PMI) provides an early indication each month of economic activities in the Chinese manufacturing sector. It is compiled by China Federation of Logistics &amp; Purchasing (CFLP) and China Logistics Information Centre (CLIC), based on data collected by the National Bureau of Statistics (NBS).Li &amp; Fung Research Centre is responsible for drafting and disseminating the English PMI report. Every month questionnaires are sent to over 700 manufacturing enterprises all over China. The data presented here is compiled from the enterprises responses about their purchasing activities and supply situations. The PMI should be compared to other economic data sources when used in decision-making.
A reading that is stronger than forecast is generally supportive (bullish) for the CNY , while a weaker than forecast reading is generally negative (bearish) for the CNY.
Learn More: USDCNY | USDCNH</t>
  </si>
  <si>
    <t>USD - New Home Sales (Dec)</t>
  </si>
  <si>
    <t>670K</t>
  </si>
  <si>
    <t>664K</t>
  </si>
  <si>
    <t>New Home Sales measures the annualised number of new single-family homes that were sold during the prior month. When it's released ahead of Existing Home Sales, this report tends to have more impact because the two reports are highly correlated.
A reading that is stronger than forecast is generally supportive (bullish) for the USD, while a weaker than forecast reading is generally negative (bearish) for the USD.
Learn More: USDJPY | EURUSD</t>
  </si>
  <si>
    <t>CNY - Chinese New Year</t>
  </si>
  <si>
    <t>Chinese New Year is a major holiday in China, marking the beginning of the lunar new year. Financial markets and businesses are closed, resulting in lower trading volumes across Asia.
Learn More: []</t>
  </si>
  <si>
    <t>KRW</t>
  </si>
  <si>
    <t>KRW - Korean New Year</t>
  </si>
  <si>
    <t>Korean New Year, or Seollal, is a significant holiday in South Korea, celebrated with family gatherings and traditional rituals. Markets are closed, leading to reduced trading activity.
Learn More: []</t>
  </si>
  <si>
    <t>USD - Durable Goods Orders (MoM) (Dec) P</t>
  </si>
  <si>
    <t>Durable Goods Orders reports the change in the total value of new orders for long lasting manufactured goods, including transportation items.
A reading that is stronger than forecast is generally supportive (bullish) for the USD, while a weaker than forecast reading is generally negative (bearish) for the USD.
Learn More: USDJPY | EUR</t>
  </si>
  <si>
    <t>USD - CB Consumer Confidence (Jan)</t>
  </si>
  <si>
    <t>Conference Board (CB) Consumer Confidence measures the level of confidence consumers have in the economy. When consumers are optimistic, they tend to spend more which increases consumption and overall economic growth.
A reading that is stronger than forecast is generally supportive (bullish) for the USD, while a weaker than forecast reading is generally negative (bearish) for the USD.
Learn More: USDJPY | EUR</t>
  </si>
  <si>
    <t>SGD</t>
  </si>
  <si>
    <t>SGD - Singapore - Chinese New Year</t>
  </si>
  <si>
    <t>Singapore observes Chinese New Year as a public holiday, with businesses and financial markets closed. Trading activity is typically subdued during this period.
Learn More: []</t>
  </si>
  <si>
    <t>HKD</t>
  </si>
  <si>
    <t>HKD - Hong Kong - Chinese New Year</t>
  </si>
  <si>
    <t>Hong Kong celebrates Chinese New Year with public holidays, resulting in closures of financial markets and businesses. Trading volumes are generally lower during this time.
Learn More: []</t>
  </si>
  <si>
    <t>USD - Microsoft earnings report</t>
  </si>
  <si>
    <t>Typically reports after U.S. markets close
Learn More: UT100</t>
  </si>
  <si>
    <t>USD - Tesla earnings report</t>
  </si>
  <si>
    <t>CAD - BoC Interest Rate Decision</t>
  </si>
  <si>
    <t>The Bank of Canada (BOC) publishes its decision on where to set the benchmark interest rate. As short term interest rates are an important determinant of currency valuation, traders watch interest rate changes closely.
A reading that is stronger than forecast is generally supportive (bullish) for the CAD, while a weaker than forecast reading is generally negative (bearish) for the CAD.
Learn More: USDCAD | CADJPY</t>
  </si>
  <si>
    <t>USD - Crude Oil Inventories</t>
  </si>
  <si>
    <t>-1.017M</t>
  </si>
  <si>
    <t>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Learn More: USOILRoll</t>
  </si>
  <si>
    <t>USD - FOMC Statement</t>
  </si>
  <si>
    <t>The Federal Reserve Open Market Committee is convening to vote on US interest rates. According to Bloomberg, members are expected to maintain the current rate, supported by last month's economic data. The US jobs report for December revealed a rise in employment, with jobs added to the economy increasing from 212,000 in November to 256,000 in December, while unemployment dropped from 4.2% to 4.1%. Meanwhile, the US Consumer Price Index for December indicated a slight decline in the year-over-year (YoY) core inflation, from 3.2% to 3.1%
Investors are also anticipating Powell's press conference for insights into US monetary policy, particularly the potential impact of President Trump's policies, the Federal Reserve's tolerance for rising inflation, and the likelihood of interest rate hikes rather than cuts in 2025.
Learn More: USDJPY | EURUSD | XAGUSD</t>
  </si>
  <si>
    <t>USD - Fed Interest Rate Decision</t>
  </si>
  <si>
    <t>USD - FOMC Press Conference</t>
  </si>
  <si>
    <t>USD - Meta earnings report</t>
  </si>
  <si>
    <t>EUR - German GDP (QoQ) (Q4) P</t>
  </si>
  <si>
    <t>Gross Domestic Product (GDP) is the broadest measure of economic activity and is a key indicator of economic health. The quarterly percent changes in GDP show the growth rate of the economy as a whole.
A reading that is stronger than forecast is generally supportive (bullish) for the EUR, while a weaker than forecast reading is generally negative (bearish) for the EUR.
Learn More: EURUSD | EURJPY</t>
  </si>
  <si>
    <t>EUR - Deposit Facility Rate (Jan)</t>
  </si>
  <si>
    <t>Bloomberg Suggests the ECB may reduce interest rates by 25 basis points at this meeting. Markets have already priced in a potential reduction of up to 100 basis points this year, in light of some ECB Board members' hints about the possibility of reaching neutral rates as long as inflation levels stabilize close to the ECB's 2% target._x000B__x000B_Traders will pay close attention to ECB President Christine Lagarde's press conference for clues on how European monetary policy might be impacted by the looming threat of a trade war between the European Union and the United States. Proposed tariffs on European goods by President Trump - and potentially retaliatory measures on American products - could drive European inflation levels higher. _x000B_
_x000B_
Learn More: EURUSD | EURJPY | CAC40</t>
  </si>
  <si>
    <t>EUR - ECB Interest Rate Decision (Jan)</t>
  </si>
  <si>
    <t>USD - GDP (QoQ) (Q4) P</t>
  </si>
  <si>
    <t xml:space="preserve">
Gross Domestic Product (GDP) measures the annualised change in the inflation-adjusted value of all goods and services produced by the economy. It is the broadest measure of economic activity and the primary indicator of the economy's health.
A reading that is stronger than forecast is generally supportive (bullish) for the USD, while a weaker than forecast reading is generally negative (bearish) for the USD.
Learn More: EURUSD | USDJPY</t>
  </si>
  <si>
    <t xml:space="preserve">
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Learn More: EURUSD | USDJPY</t>
  </si>
  <si>
    <t>EUR - ECB Press Conference</t>
  </si>
  <si>
    <t>[]
Learn More: []</t>
  </si>
  <si>
    <t>USD - Apple  earnings report</t>
  </si>
  <si>
    <t>Bloombeg forecasts suggest Apple may post YoY growth of 3.9%, with earnings per share (EPS) expected to rise from 2.18 in Q1 of last year to 2.35 in the same period this year. 
However, Apple faces challenges, particularly a decline in sales growth for products like the iPhone, especially in China, where sales are estimated to have dropped by 18% in Q4 of last year. This decline is partially offset by growth in the European and Asian markets.
A key focus for investors is Apple's initiative to integrate artificial intelligence into its devices, enhancing user experience. This strategy could drive increased demand for Apple's products. 
Any unexpected positive news, such as stronger-than-anticipated economic outlook, could boost Apple's stock and have a positive impact on the US500 index, where Apple's stock is a major component.
Learn More: US500 | UT100</t>
  </si>
  <si>
    <t>EUR - German CPI (MoM) (Jan) P</t>
  </si>
  <si>
    <t xml:space="preserve">
The Consumer Price Index (CPI) measures the change in the prices of goods and services from the perspective of the consumer. As Germany has the largest output of any country in the euro-zone, the European Central bank pays very close attention to this figure in its role of maintaining price stability.
A reading that is stronger than forecast is generally supportive (bullish) for the EUR, while a weaker than forecast reading is generally negative (bearish) for the EUR.
Learn More: EURUSD |  EURJPY</t>
  </si>
  <si>
    <t>USD - Core PCE Price Index (MoM) (Dec)</t>
  </si>
  <si>
    <t xml:space="preserve">
The Core Personal Consumption Expenditure (PCE) Price Index measures the changes in the price of goods and services purchased by consumers for the purpose of consumption, excluding food and energy. Unlike the fixed-weight CPI, PCE is chain-weighted and thus adjusts to changing consumer behaviour. Core PCE is the Fed's preferred inflation measure and thus receives greater attention.
A reading that is stronger than forecast is generally supportive (bullish) for the USD, while a weaker than forecast reading is generally negative (bearish) for the USD.
Learn More: EURUSD |  USDJPY</t>
  </si>
  <si>
    <t>USD - Core PCE Price Index (YoY) (Dec)</t>
  </si>
  <si>
    <t xml:space="preserve">
The Core PCE price Index is the less volatile measure of the PCE price index which excludes the more volatile and seasonal food and energy prices. The impact on the currency may go both ways, a rise in inflation may lead to a rise in interest rates and a rise in local currency, on the other hand, during recession, a rise in inflation may lead to a deepened recession and therefore a fall in local currency.
Learn More: EURUSD |  USDJPY</t>
  </si>
  <si>
    <t>USD - Chicago PMI (Jan)</t>
  </si>
  <si>
    <t xml:space="preserve">
The Chicago Purchasing Managers' Index (PMI) is a diffusion index incorporating survey results provided by manufacturing firms around the Chicago area. A reading above fifty suggests the manufacturing sector is expanding, while a reading below fifty suggests the manufacturing sector is in contraction. The Chicago PMI can be of some assistance in forecasting the ISM manufacturing PMI.
A reading that is stronger than forecast is generally supportive (bullish) for the USD, while a weaker than forecast reading is generally negative (bearish) for the USD.
Learn More: EURUSD |  USDJPY</t>
  </si>
  <si>
    <t>Source: Bloomberg, ADSS, News Articles, Company Research. Notes as of 27th January 2025, 7 AM.</t>
  </si>
  <si>
    <t>664</t>
  </si>
  <si>
    <t>666</t>
  </si>
  <si>
    <t>627</t>
  </si>
  <si>
    <t>0.7% </t>
  </si>
  <si>
    <t>1.0% </t>
  </si>
  <si>
    <t>112.9 </t>
  </si>
  <si>
    <t>48.3 </t>
  </si>
  <si>
    <t>58.5 </t>
  </si>
  <si>
    <t>4.15</t>
  </si>
  <si>
    <t>4.09</t>
  </si>
  <si>
    <t>3.25% </t>
  </si>
  <si>
    <t>3.75% </t>
  </si>
  <si>
    <t>-1.017</t>
  </si>
  <si>
    <t>-2.100</t>
  </si>
  <si>
    <t>-1.962</t>
  </si>
  <si>
    <t>-3.500</t>
  </si>
  <si>
    <t>3.00% </t>
  </si>
  <si>
    <t>3.50% </t>
  </si>
  <si>
    <t>4.00% </t>
  </si>
  <si>
    <t>3.15% </t>
  </si>
  <si>
    <t>3.40% </t>
  </si>
  <si>
    <t>3.65% </t>
  </si>
  <si>
    <t>210</t>
  </si>
  <si>
    <t>203</t>
  </si>
  <si>
    <t>42.7 </t>
  </si>
  <si>
    <t>C:GBPCAD</t>
  </si>
  <si>
    <t>GBPCAD.sd</t>
  </si>
  <si>
    <t>xx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</si>
</sst>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2">
    <numFmt numFmtId="43" formatCode="_(* #,##0.00_);_(* \(#,##0.00\);_(* &quot;-&quot;??_);_(@_)"/>
    <numFmt numFmtId="164" formatCode="_(* #,##0_);_(* \(#,##0\);_(* &quot;-&quot;??_);_(@_)"/>
    <numFmt numFmtId="165" formatCode="0.000%"/>
    <numFmt numFmtId="166" formatCode="hh:mm\ AM/PM"/>
    <numFmt numFmtId="167" formatCode="_(* #,##0.0_);_(* \(#,##0.0\);_(* &quot;-&quot;??_);_(@_)"/>
    <numFmt numFmtId="168" formatCode="0.0%"/>
    <numFmt numFmtId="169" formatCode="0.0000%"/>
    <numFmt numFmtId="170" formatCode="0.00000000"/>
    <numFmt numFmtId="171" formatCode="0.00000"/>
    <numFmt numFmtId="172" formatCode="0.0000"/>
    <numFmt numFmtId="173" formatCode="0.0"/>
    <numFmt numFmtId="174" formatCode="0.000"/>
  </numFmts>
  <fonts count="60" x14ac:knownFonts="1">
    <font>
      <sz val="12"/>
      <color theme="1"/>
      <name val="Aptos Narrow"/>
      <family val="2"/>
      <scheme val="minor"/>
    </font>
    <font>
      <sz val="12"/>
      <color theme="1"/>
      <name val="Aptos Narrow"/>
      <family val="2"/>
      <scheme val="minor"/>
    </font>
    <font>
      <b/>
      <sz val="12"/>
      <color theme="0"/>
      <name val="Aptos Narrow"/>
      <family val="2"/>
      <scheme val="minor"/>
    </font>
    <font>
      <b/>
      <sz val="12"/>
      <color theme="1"/>
      <name val="Aptos Narrow"/>
      <family val="2"/>
      <scheme val="minor"/>
    </font>
    <font>
      <sz val="10"/>
      <color theme="1"/>
      <name val="Verdana"/>
      <family val="2"/>
    </font>
    <font>
      <sz val="9"/>
      <color theme="1"/>
      <name val="Verdana"/>
      <family val="2"/>
    </font>
    <font>
      <sz val="9"/>
      <color rgb="FF333333"/>
      <name val="Verdana"/>
      <family val="2"/>
    </font>
    <font>
      <sz val="8"/>
      <color theme="1"/>
      <name val="Verdana"/>
      <family val="2"/>
    </font>
    <font>
      <sz val="8"/>
      <color theme="1"/>
      <name val="Aptos Narrow"/>
      <family val="2"/>
      <scheme val="minor"/>
    </font>
    <font>
      <sz val="10"/>
      <color rgb="FF000000"/>
      <name val="Verdana"/>
      <family val="2"/>
    </font>
    <font>
      <sz val="9"/>
      <color rgb="FF000000"/>
      <name val="Verdana"/>
      <family val="2"/>
    </font>
    <font>
      <b/>
      <sz val="12"/>
      <color theme="0"/>
      <name val="Verdana"/>
      <family val="2"/>
    </font>
    <font>
      <i/>
      <sz val="9"/>
      <color theme="1"/>
      <name val="Verdana"/>
      <family val="2"/>
    </font>
    <font>
      <b/>
      <sz val="12"/>
      <color theme="1"/>
      <name val="Century Gothic"/>
      <family val="1"/>
    </font>
    <font>
      <b/>
      <sz val="18"/>
      <color rgb="FF000000"/>
      <name val="Century Gothic"/>
      <family val="1"/>
    </font>
    <font>
      <sz val="9"/>
      <color rgb="FF000000"/>
      <name val="Century Gothic"/>
      <family val="1"/>
    </font>
    <font>
      <sz val="12"/>
      <color theme="1"/>
      <name val="Century Gothic"/>
      <family val="1"/>
    </font>
    <font>
      <sz val="18"/>
      <color rgb="FF000000"/>
      <name val="Century Gothic"/>
      <family val="1"/>
    </font>
    <font>
      <b/>
      <sz val="12"/>
      <color theme="1"/>
      <name val="Aptos Narrow"/>
      <family val="2"/>
      <scheme val="minor"/>
    </font>
    <font>
      <b/>
      <sz val="10"/>
      <color rgb="FF000000"/>
      <name val="Century Gothic"/>
      <family val="1"/>
    </font>
    <font>
      <b/>
      <sz val="12"/>
      <color theme="0"/>
      <name val="Century Gothic"/>
      <family val="1"/>
    </font>
    <font>
      <sz val="10"/>
      <color theme="1"/>
      <name val="Century Gothic"/>
      <family val="1"/>
    </font>
    <font>
      <sz val="10"/>
      <color rgb="FF00B0F0"/>
      <name val="Century Gothic"/>
      <family val="1"/>
    </font>
    <font>
      <sz val="12"/>
      <color rgb="FF00B0F0"/>
      <name val="Century Gothic"/>
      <family val="1"/>
    </font>
    <font>
      <sz val="10"/>
      <color rgb="FF000000"/>
      <name val="Century Gothic"/>
      <family val="1"/>
    </font>
    <font>
      <sz val="18"/>
      <color theme="1"/>
      <name val="Century Gothic"/>
      <family val="1"/>
    </font>
    <font>
      <sz val="10"/>
      <color rgb="FF0070C0"/>
      <name val="Century Gothic"/>
      <family val="1"/>
    </font>
    <font>
      <b/>
      <sz val="18"/>
      <color theme="1"/>
      <name val="Century Gothic"/>
      <family val="1"/>
    </font>
    <font>
      <sz val="18"/>
      <color rgb="FF00B0F0"/>
      <name val="Century Gothic"/>
      <family val="1"/>
    </font>
    <font>
      <sz val="14"/>
      <color theme="1"/>
      <name val="Aptos Narrow"/>
      <family val="2"/>
      <scheme val="minor"/>
    </font>
    <font>
      <b/>
      <sz val="14"/>
      <color rgb="FF000000"/>
      <name val="Century Gothic"/>
      <family val="1"/>
    </font>
    <font>
      <sz val="14"/>
      <color theme="1"/>
      <name val="Century Gothic"/>
      <family val="1"/>
    </font>
    <font>
      <b/>
      <sz val="14"/>
      <color theme="0"/>
      <name val="Century Gothic"/>
      <family val="1"/>
    </font>
    <font>
      <sz val="14"/>
      <color rgb="FF000000"/>
      <name val="Century Gothic"/>
      <family val="1"/>
    </font>
    <font>
      <b/>
      <sz val="14"/>
      <color theme="1"/>
      <name val="Century Gothic"/>
      <family val="1"/>
    </font>
    <font>
      <sz val="14"/>
      <color rgb="FF0070C0"/>
      <name val="Century Gothic"/>
      <family val="1"/>
    </font>
    <font>
      <sz val="14"/>
      <color rgb="FF00B0F0"/>
      <name val="Century Gothic"/>
      <family val="1"/>
    </font>
    <font>
      <b/>
      <sz val="14"/>
      <color rgb="FF00B0F0"/>
      <name val="Century Gothic"/>
      <family val="1"/>
    </font>
    <font>
      <sz val="14"/>
      <color rgb="FF00B0F0"/>
      <name val="Aptos Narrow"/>
      <family val="2"/>
      <scheme val="minor"/>
    </font>
    <font>
      <b/>
      <sz val="14"/>
      <color rgb="FF0070C0"/>
      <name val="Century Gothic"/>
      <family val="1"/>
    </font>
    <font>
      <sz val="16"/>
      <color theme="1"/>
      <name val="Century Gothic"/>
      <family val="1"/>
    </font>
    <font>
      <b/>
      <sz val="16"/>
      <color rgb="FF000000"/>
      <name val="Century Gothic"/>
      <family val="1"/>
    </font>
    <font>
      <sz val="16"/>
      <color rgb="FF000000"/>
      <name val="Century Gothic"/>
      <family val="1"/>
    </font>
    <font>
      <b/>
      <sz val="16"/>
      <color theme="1"/>
      <name val="Century Gothic"/>
      <family val="1"/>
    </font>
    <font>
      <sz val="16"/>
      <color rgb="FF00B0F0"/>
      <name val="Century Gothic"/>
      <family val="1"/>
    </font>
    <font>
      <b/>
      <sz val="9"/>
      <color rgb="FF000000"/>
      <name val="Century Gothic"/>
      <family val="1"/>
    </font>
    <font>
      <sz val="9"/>
      <color theme="1"/>
      <name val="Aptos Narrow"/>
      <family val="2"/>
      <scheme val="minor"/>
    </font>
    <font>
      <sz val="8"/>
      <color rgb="FF000000"/>
      <name val="Century Gothic"/>
      <family val="1"/>
    </font>
    <font>
      <b/>
      <sz val="12"/>
      <color rgb="FF000000"/>
      <name val="Century Gothic"/>
      <family val="1"/>
    </font>
    <font>
      <sz val="12"/>
      <color rgb="FF000000"/>
      <name val="Century Gothic"/>
      <family val="1"/>
    </font>
    <font>
      <sz val="12"/>
      <color rgb="FF0070C0"/>
      <name val="Century Gothic"/>
      <family val="1"/>
    </font>
    <font>
      <b/>
      <sz val="12"/>
      <color rgb="FF00B0F0"/>
      <name val="Aptos Narrow"/>
      <family val="2"/>
      <scheme val="minor"/>
    </font>
    <font>
      <b/>
      <sz val="12"/>
      <color rgb="FF00B0F0"/>
      <name val="Century Gothic"/>
      <family val="1"/>
    </font>
    <font>
      <b/>
      <sz val="12"/>
      <color rgb="FF0070C0"/>
      <name val="Century Gothic"/>
      <family val="1"/>
    </font>
    <font>
      <b/>
      <sz val="12"/>
      <color rgb="FF0070C0"/>
      <name val="Aptos Narrow"/>
      <family val="2"/>
      <scheme val="minor"/>
    </font>
    <font>
      <b/>
      <sz val="18"/>
      <color theme="0" tint="-0.499984740745262"/>
      <name val="Century Gothic"/>
      <family val="1"/>
    </font>
    <font>
      <b/>
      <sz val="18"/>
      <color rgb="FF00B0F0"/>
      <name val="Century Gothic"/>
      <family val="1"/>
    </font>
    <font>
      <b/>
      <sz val="18"/>
      <color rgb="FF0070C0"/>
      <name val="Century Gothic"/>
      <family val="1"/>
    </font>
    <font>
      <sz val="12"/>
      <color theme="0" tint="-0.499984740745262"/>
      <name val="Century Gothic"/>
      <family val="1"/>
    </font>
    <font>
      <b/>
      <sz val="12"/>
      <color theme="0" tint="-0.499984740745262"/>
      <name val="Century Gothic"/>
      <family val="1"/>
    </font>
  </fonts>
  <fills count="7">
    <fill>
      <patternFill patternType="none"/>
    </fill>
    <fill>
      <patternFill patternType="gray125"/>
    </fill>
    <fill>
      <patternFill patternType="solid">
        <fgColor rgb="FF002060"/>
        <bgColor indexed="64"/>
      </patternFill>
    </fill>
    <fill>
      <patternFill patternType="solid">
        <fgColor rgb="FFFFFF0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rgb="FFF9F9F9"/>
        <bgColor indexed="64"/>
      </patternFill>
    </fill>
  </fills>
  <borders count="97">
    <border>
      <left/>
      <right/>
      <top/>
      <bottom/>
      <diagonal/>
    </border>
    <border>
      <left/>
      <right/>
      <top style="thin">
        <color indexed="64"/>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top style="medium">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medium">
        <color indexed="64"/>
      </right>
      <top style="thin">
        <color indexed="64"/>
      </top>
      <bottom style="thin">
        <color indexed="64"/>
      </bottom>
      <diagonal/>
    </border>
    <border>
      <left style="medium">
        <color indexed="64"/>
      </left>
      <right/>
      <top/>
      <bottom/>
      <diagonal/>
    </border>
    <border>
      <left/>
      <right style="medium">
        <color indexed="64"/>
      </right>
      <top/>
      <bottom/>
      <diagonal/>
    </border>
    <border>
      <left style="medium">
        <color indexed="64"/>
      </left>
      <right style="thin">
        <color indexed="64"/>
      </right>
      <top style="thin">
        <color indexed="64"/>
      </top>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thin">
        <color indexed="64"/>
      </left>
      <right/>
      <top style="thin">
        <color indexed="64"/>
      </top>
      <bottom style="medium">
        <color indexed="64"/>
      </bottom>
      <diagonal/>
    </border>
    <border>
      <left/>
      <right/>
      <top style="thin">
        <color indexed="64"/>
      </top>
      <bottom style="medium">
        <color indexed="64"/>
      </bottom>
      <diagonal/>
    </border>
    <border>
      <left/>
      <right style="medium">
        <color indexed="64"/>
      </right>
      <top style="thin">
        <color indexed="64"/>
      </top>
      <bottom style="medium">
        <color indexed="64"/>
      </bottom>
      <diagonal/>
    </border>
    <border>
      <left style="medium">
        <color indexed="64"/>
      </left>
      <right style="medium">
        <color indexed="64"/>
      </right>
      <top style="medium">
        <color indexed="64"/>
      </top>
      <bottom style="medium">
        <color indexed="64"/>
      </bottom>
      <diagonal/>
    </border>
    <border>
      <left style="thin">
        <color indexed="64"/>
      </left>
      <right/>
      <top/>
      <bottom style="thin">
        <color indexed="64"/>
      </bottom>
      <diagonal/>
    </border>
    <border>
      <left/>
      <right/>
      <top/>
      <bottom style="thin">
        <color indexed="64"/>
      </bottom>
      <diagonal/>
    </border>
    <border>
      <left/>
      <right style="medium">
        <color indexed="64"/>
      </right>
      <top/>
      <bottom style="thin">
        <color indexed="64"/>
      </bottom>
      <diagonal/>
    </border>
    <border>
      <left style="thin">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style="medium">
        <color indexed="64"/>
      </left>
      <right style="thin">
        <color indexed="64"/>
      </right>
      <top/>
      <bottom style="medium">
        <color indexed="64"/>
      </bottom>
      <diagonal/>
    </border>
    <border>
      <left style="thin">
        <color indexed="64"/>
      </left>
      <right style="thin">
        <color indexed="64"/>
      </right>
      <top/>
      <bottom style="medium">
        <color indexed="64"/>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right style="thin">
        <color indexed="64"/>
      </right>
      <top/>
      <bottom style="medium">
        <color indexed="64"/>
      </bottom>
      <diagonal/>
    </border>
    <border>
      <left/>
      <right style="thin">
        <color indexed="64"/>
      </right>
      <top style="medium">
        <color indexed="64"/>
      </top>
      <bottom style="thin">
        <color indexed="64"/>
      </bottom>
      <diagonal/>
    </border>
    <border>
      <left style="thin">
        <color indexed="64"/>
      </left>
      <right/>
      <top/>
      <bottom style="medium">
        <color indexed="64"/>
      </bottom>
      <diagonal/>
    </border>
    <border>
      <left style="thin">
        <color indexed="64"/>
      </left>
      <right style="medium">
        <color indexed="64"/>
      </right>
      <top/>
      <bottom style="medium">
        <color indexed="64"/>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style="medium">
        <color indexed="64"/>
      </right>
      <top/>
      <bottom style="thin">
        <color indexed="64"/>
      </bottom>
      <diagonal/>
    </border>
    <border>
      <left/>
      <right style="medium">
        <color indexed="64"/>
      </right>
      <top style="thin">
        <color indexed="64"/>
      </top>
      <bottom/>
      <diagonal/>
    </border>
    <border>
      <left style="medium">
        <color theme="1"/>
      </left>
      <right style="thin">
        <color indexed="64"/>
      </right>
      <top style="medium">
        <color theme="1"/>
      </top>
      <bottom style="medium">
        <color indexed="64"/>
      </bottom>
      <diagonal/>
    </border>
    <border>
      <left style="thin">
        <color indexed="64"/>
      </left>
      <right/>
      <top style="medium">
        <color theme="1"/>
      </top>
      <bottom style="medium">
        <color indexed="64"/>
      </bottom>
      <diagonal/>
    </border>
    <border>
      <left/>
      <right/>
      <top style="medium">
        <color theme="1"/>
      </top>
      <bottom style="medium">
        <color indexed="64"/>
      </bottom>
      <diagonal/>
    </border>
    <border>
      <left/>
      <right style="medium">
        <color indexed="64"/>
      </right>
      <top style="medium">
        <color theme="1"/>
      </top>
      <bottom style="medium">
        <color indexed="64"/>
      </bottom>
      <diagonal/>
    </border>
    <border>
      <left style="thin">
        <color indexed="64"/>
      </left>
      <right style="medium">
        <color theme="1"/>
      </right>
      <top style="medium">
        <color theme="1"/>
      </top>
      <bottom style="medium">
        <color indexed="64"/>
      </bottom>
      <diagonal/>
    </border>
    <border>
      <left style="medium">
        <color theme="1"/>
      </left>
      <right style="thin">
        <color indexed="64"/>
      </right>
      <top/>
      <bottom style="thin">
        <color indexed="64"/>
      </bottom>
      <diagonal/>
    </border>
    <border>
      <left style="medium">
        <color indexed="64"/>
      </left>
      <right style="medium">
        <color theme="1"/>
      </right>
      <top/>
      <bottom/>
      <diagonal/>
    </border>
    <border>
      <left style="medium">
        <color theme="1"/>
      </left>
      <right style="thin">
        <color indexed="64"/>
      </right>
      <top style="thin">
        <color indexed="64"/>
      </top>
      <bottom style="thin">
        <color indexed="64"/>
      </bottom>
      <diagonal/>
    </border>
    <border>
      <left style="medium">
        <color theme="1"/>
      </left>
      <right style="thin">
        <color indexed="64"/>
      </right>
      <top style="thin">
        <color indexed="64"/>
      </top>
      <bottom/>
      <diagonal/>
    </border>
    <border>
      <left style="medium">
        <color indexed="64"/>
      </left>
      <right style="medium">
        <color theme="1"/>
      </right>
      <top style="medium">
        <color indexed="64"/>
      </top>
      <bottom style="medium">
        <color indexed="64"/>
      </bottom>
      <diagonal/>
    </border>
    <border>
      <left style="medium">
        <color theme="1"/>
      </left>
      <right style="thin">
        <color indexed="64"/>
      </right>
      <top style="medium">
        <color indexed="64"/>
      </top>
      <bottom style="medium">
        <color indexed="64"/>
      </bottom>
      <diagonal/>
    </border>
    <border>
      <left style="thin">
        <color indexed="64"/>
      </left>
      <right style="medium">
        <color theme="1"/>
      </right>
      <top style="medium">
        <color indexed="64"/>
      </top>
      <bottom style="medium">
        <color indexed="64"/>
      </bottom>
      <diagonal/>
    </border>
    <border>
      <left style="medium">
        <color indexed="64"/>
      </left>
      <right style="medium">
        <color theme="1"/>
      </right>
      <top/>
      <bottom style="medium">
        <color indexed="64"/>
      </bottom>
      <diagonal/>
    </border>
    <border>
      <left style="medium">
        <color theme="1"/>
      </left>
      <right style="thin">
        <color indexed="64"/>
      </right>
      <top/>
      <bottom style="medium">
        <color indexed="64"/>
      </bottom>
      <diagonal/>
    </border>
    <border>
      <left style="thin">
        <color indexed="64"/>
      </left>
      <right style="medium">
        <color theme="1"/>
      </right>
      <top style="thin">
        <color indexed="64"/>
      </top>
      <bottom style="thin">
        <color indexed="64"/>
      </bottom>
      <diagonal/>
    </border>
    <border>
      <left style="medium">
        <color theme="1"/>
      </left>
      <right/>
      <top/>
      <bottom/>
      <diagonal/>
    </border>
    <border>
      <left/>
      <right style="medium">
        <color theme="1"/>
      </right>
      <top/>
      <bottom/>
      <diagonal/>
    </border>
    <border>
      <left/>
      <right style="medium">
        <color theme="1"/>
      </right>
      <top style="thin">
        <color indexed="64"/>
      </top>
      <bottom style="thin">
        <color indexed="64"/>
      </bottom>
      <diagonal/>
    </border>
    <border>
      <left style="thin">
        <color indexed="64"/>
      </left>
      <right style="medium">
        <color theme="1"/>
      </right>
      <top style="medium">
        <color indexed="64"/>
      </top>
      <bottom style="thin">
        <color indexed="64"/>
      </bottom>
      <diagonal/>
    </border>
    <border>
      <left style="thin">
        <color indexed="64"/>
      </left>
      <right style="medium">
        <color theme="1"/>
      </right>
      <top style="thin">
        <color indexed="64"/>
      </top>
      <bottom style="medium">
        <color indexed="64"/>
      </bottom>
      <diagonal/>
    </border>
    <border>
      <left style="thin">
        <color indexed="64"/>
      </left>
      <right style="medium">
        <color theme="1"/>
      </right>
      <top/>
      <bottom style="thin">
        <color indexed="64"/>
      </bottom>
      <diagonal/>
    </border>
    <border>
      <left style="medium">
        <color indexed="64"/>
      </left>
      <right style="medium">
        <color theme="1"/>
      </right>
      <top style="thin">
        <color indexed="64"/>
      </top>
      <bottom style="thin">
        <color indexed="64"/>
      </bottom>
      <diagonal/>
    </border>
    <border>
      <left style="medium">
        <color indexed="64"/>
      </left>
      <right style="medium">
        <color theme="1"/>
      </right>
      <top style="thin">
        <color indexed="64"/>
      </top>
      <bottom style="medium">
        <color indexed="64"/>
      </bottom>
      <diagonal/>
    </border>
    <border>
      <left/>
      <right style="medium">
        <color theme="1"/>
      </right>
      <top style="medium">
        <color indexed="64"/>
      </top>
      <bottom style="thin">
        <color indexed="64"/>
      </bottom>
      <diagonal/>
    </border>
    <border>
      <left/>
      <right style="medium">
        <color theme="1"/>
      </right>
      <top style="medium">
        <color indexed="64"/>
      </top>
      <bottom style="medium">
        <color indexed="64"/>
      </bottom>
      <diagonal/>
    </border>
    <border>
      <left/>
      <right style="medium">
        <color theme="1"/>
      </right>
      <top style="thin">
        <color indexed="64"/>
      </top>
      <bottom style="medium">
        <color indexed="64"/>
      </bottom>
      <diagonal/>
    </border>
    <border>
      <left style="medium">
        <color theme="1"/>
      </left>
      <right style="thin">
        <color indexed="64"/>
      </right>
      <top/>
      <bottom style="medium">
        <color theme="1"/>
      </bottom>
      <diagonal/>
    </border>
    <border>
      <left style="thin">
        <color indexed="64"/>
      </left>
      <right style="thin">
        <color indexed="64"/>
      </right>
      <top/>
      <bottom style="medium">
        <color theme="1"/>
      </bottom>
      <diagonal/>
    </border>
    <border>
      <left style="medium">
        <color indexed="64"/>
      </left>
      <right style="medium">
        <color indexed="64"/>
      </right>
      <top style="thin">
        <color indexed="64"/>
      </top>
      <bottom style="medium">
        <color theme="1"/>
      </bottom>
      <diagonal/>
    </border>
    <border>
      <left/>
      <right/>
      <top/>
      <bottom style="medium">
        <color theme="1"/>
      </bottom>
      <diagonal/>
    </border>
    <border>
      <left/>
      <right style="medium">
        <color indexed="64"/>
      </right>
      <top/>
      <bottom style="medium">
        <color theme="1"/>
      </bottom>
      <diagonal/>
    </border>
    <border>
      <left/>
      <right style="medium">
        <color theme="1"/>
      </right>
      <top style="thin">
        <color indexed="64"/>
      </top>
      <bottom style="medium">
        <color theme="1"/>
      </bottom>
      <diagonal/>
    </border>
    <border>
      <left style="medium">
        <color indexed="64"/>
      </left>
      <right style="thin">
        <color indexed="64"/>
      </right>
      <top/>
      <bottom/>
      <diagonal/>
    </border>
    <border>
      <left style="thin">
        <color indexed="64"/>
      </left>
      <right style="thin">
        <color indexed="64"/>
      </right>
      <top/>
      <bottom/>
      <diagonal/>
    </border>
    <border>
      <left style="medium">
        <color indexed="64"/>
      </left>
      <right/>
      <top style="medium">
        <color theme="1"/>
      </top>
      <bottom style="medium">
        <color indexed="64"/>
      </bottom>
      <diagonal/>
    </border>
    <border>
      <left/>
      <right style="medium">
        <color theme="1"/>
      </right>
      <top style="medium">
        <color theme="1"/>
      </top>
      <bottom style="medium">
        <color indexed="64"/>
      </bottom>
      <diagonal/>
    </border>
    <border>
      <left style="medium">
        <color indexed="64"/>
      </left>
      <right/>
      <top/>
      <bottom style="medium">
        <color theme="1"/>
      </bottom>
      <diagonal/>
    </border>
    <border>
      <left/>
      <right style="medium">
        <color theme="1"/>
      </right>
      <top/>
      <bottom style="medium">
        <color theme="1"/>
      </bottom>
      <diagonal/>
    </border>
    <border>
      <left style="medium">
        <color indexed="64"/>
      </left>
      <right/>
      <top style="medium">
        <color indexed="64"/>
      </top>
      <bottom style="thin">
        <color indexed="64"/>
      </bottom>
      <diagonal/>
    </border>
    <border>
      <left style="medium">
        <color indexed="64"/>
      </left>
      <right/>
      <top style="thin">
        <color indexed="64"/>
      </top>
      <bottom/>
      <diagonal/>
    </border>
  </borders>
  <cellStyleXfs count="3">
    <xf numFmtId="0" fontId="0" fillId="0" borderId="0"/>
    <xf numFmtId="43" fontId="1" fillId="0" borderId="0" applyFont="0" applyFill="0" applyBorder="0" applyAlignment="0" applyProtection="0"/>
    <xf numFmtId="9" fontId="1" fillId="0" borderId="0" applyFont="0" applyFill="0" applyBorder="0" applyAlignment="0" applyProtection="0"/>
  </cellStyleXfs>
  <cellXfs count="1153">
    <xf numFmtId="0" fontId="0" fillId="0" borderId="0" xfId="0"/>
    <xf numFmtId="0" fontId="0" fillId="0" borderId="0" xfId="0" applyAlignment="1">
      <alignment horizontal="right"/>
    </xf>
    <xf numFmtId="0" fontId="3" fillId="0" borderId="0" xfId="0" applyFont="1"/>
    <xf numFmtId="0" fontId="0" fillId="0" borderId="0" xfId="0" applyAlignment="1">
      <alignment horizontal="center"/>
    </xf>
    <xf numFmtId="0" fontId="2" fillId="2" borderId="0" xfId="0" applyFont="1" applyFill="1" applyAlignment="1">
      <alignment horizontal="right"/>
    </xf>
    <xf numFmtId="15" fontId="4" fillId="0" borderId="2" xfId="0" applyNumberFormat="1" applyFont="1" applyBorder="1" applyAlignment="1">
      <alignment horizontal="center" vertical="center"/>
    </xf>
    <xf numFmtId="164" fontId="4" fillId="0" borderId="2" xfId="1" applyNumberFormat="1" applyFont="1" applyBorder="1" applyAlignment="1">
      <alignment horizontal="center" vertical="center"/>
    </xf>
    <xf numFmtId="20" fontId="4" fillId="0" borderId="2" xfId="0" applyNumberFormat="1" applyFont="1" applyBorder="1" applyAlignment="1">
      <alignment horizontal="center" vertical="center"/>
    </xf>
    <xf numFmtId="0" fontId="4" fillId="0" borderId="2" xfId="0" applyFont="1" applyBorder="1" applyAlignment="1">
      <alignment horizontal="center" vertical="center"/>
    </xf>
    <xf numFmtId="10" fontId="4" fillId="0" borderId="2" xfId="0" applyNumberFormat="1" applyFont="1" applyBorder="1" applyAlignment="1">
      <alignment horizontal="center" vertical="center"/>
    </xf>
    <xf numFmtId="0" fontId="5" fillId="0" borderId="2" xfId="0" quotePrefix="1" applyFont="1" applyBorder="1" applyAlignment="1">
      <alignment horizontal="left" vertical="center" wrapText="1"/>
    </xf>
    <xf numFmtId="0" fontId="6" fillId="0" borderId="2" xfId="0" quotePrefix="1" applyFont="1" applyBorder="1" applyAlignment="1">
      <alignment wrapText="1"/>
    </xf>
    <xf numFmtId="0" fontId="4" fillId="0" borderId="2" xfId="1" applyNumberFormat="1" applyFont="1" applyBorder="1" applyAlignment="1">
      <alignment horizontal="center" vertical="center"/>
    </xf>
    <xf numFmtId="0" fontId="4" fillId="0" borderId="2" xfId="2" applyNumberFormat="1" applyFont="1" applyBorder="1" applyAlignment="1">
      <alignment horizontal="center" vertical="center"/>
    </xf>
    <xf numFmtId="0" fontId="5" fillId="0" borderId="2" xfId="0" quotePrefix="1" applyFont="1" applyBorder="1" applyAlignment="1">
      <alignment wrapText="1"/>
    </xf>
    <xf numFmtId="0" fontId="4" fillId="0" borderId="2" xfId="2" quotePrefix="1" applyNumberFormat="1" applyFont="1" applyBorder="1" applyAlignment="1">
      <alignment horizontal="center" vertical="center"/>
    </xf>
    <xf numFmtId="10" fontId="4" fillId="0" borderId="2" xfId="2" applyNumberFormat="1" applyFont="1" applyBorder="1" applyAlignment="1">
      <alignment horizontal="center" vertical="center"/>
    </xf>
    <xf numFmtId="0" fontId="7" fillId="0" borderId="2" xfId="0" quotePrefix="1" applyFont="1" applyBorder="1" applyAlignment="1">
      <alignment wrapText="1"/>
    </xf>
    <xf numFmtId="0" fontId="4" fillId="0" borderId="2" xfId="1" applyNumberFormat="1" applyFont="1" applyFill="1" applyBorder="1" applyAlignment="1">
      <alignment horizontal="center" vertical="center"/>
    </xf>
    <xf numFmtId="43" fontId="4" fillId="0" borderId="2" xfId="1" applyFont="1" applyBorder="1" applyAlignment="1">
      <alignment horizontal="right" vertical="center"/>
    </xf>
    <xf numFmtId="10" fontId="4" fillId="0" borderId="2" xfId="0" applyNumberFormat="1" applyFont="1" applyBorder="1" applyAlignment="1">
      <alignment horizontal="right" vertical="center"/>
    </xf>
    <xf numFmtId="10" fontId="4" fillId="0" borderId="2" xfId="2" quotePrefix="1" applyNumberFormat="1" applyFont="1" applyBorder="1" applyAlignment="1">
      <alignment horizontal="right" vertical="center"/>
    </xf>
    <xf numFmtId="10" fontId="4" fillId="0" borderId="2" xfId="2" applyNumberFormat="1" applyFont="1" applyBorder="1" applyAlignment="1">
      <alignment horizontal="right" vertical="center"/>
    </xf>
    <xf numFmtId="165" fontId="4" fillId="0" borderId="2" xfId="2" applyNumberFormat="1" applyFont="1" applyBorder="1" applyAlignment="1">
      <alignment horizontal="right" vertical="center"/>
    </xf>
    <xf numFmtId="0" fontId="4" fillId="0" borderId="2" xfId="0" applyFont="1" applyBorder="1" applyAlignment="1">
      <alignment horizontal="right" vertical="center"/>
    </xf>
    <xf numFmtId="0" fontId="8" fillId="0" borderId="0" xfId="0" applyFont="1"/>
    <xf numFmtId="0" fontId="2" fillId="2" borderId="1" xfId="0" applyFont="1" applyFill="1" applyBorder="1" applyAlignment="1">
      <alignment horizontal="center"/>
    </xf>
    <xf numFmtId="0" fontId="2" fillId="2" borderId="1" xfId="0" applyFont="1" applyFill="1" applyBorder="1"/>
    <xf numFmtId="0" fontId="2" fillId="2" borderId="1" xfId="0" applyFont="1" applyFill="1" applyBorder="1" applyAlignment="1">
      <alignment horizontal="right"/>
    </xf>
    <xf numFmtId="15" fontId="0" fillId="0" borderId="2" xfId="0" applyNumberFormat="1" applyBorder="1" applyAlignment="1">
      <alignment horizontal="center" vertical="center"/>
    </xf>
    <xf numFmtId="164" fontId="1" fillId="0" borderId="2" xfId="1" applyNumberFormat="1" applyFont="1" applyBorder="1" applyAlignment="1">
      <alignment horizontal="center" vertical="center"/>
    </xf>
    <xf numFmtId="20" fontId="0" fillId="0" borderId="2" xfId="0" applyNumberFormat="1" applyBorder="1" applyAlignment="1">
      <alignment horizontal="center" vertical="center"/>
    </xf>
    <xf numFmtId="0" fontId="0" fillId="0" borderId="2" xfId="0" applyBorder="1" applyAlignment="1">
      <alignment horizontal="center" vertical="center"/>
    </xf>
    <xf numFmtId="0" fontId="0" fillId="0" borderId="2" xfId="0" applyBorder="1"/>
    <xf numFmtId="0" fontId="0" fillId="0" borderId="2" xfId="0" applyBorder="1" applyAlignment="1">
      <alignment horizontal="right"/>
    </xf>
    <xf numFmtId="10" fontId="0" fillId="0" borderId="2" xfId="0" applyNumberFormat="1" applyBorder="1" applyAlignment="1">
      <alignment horizontal="right"/>
    </xf>
    <xf numFmtId="15" fontId="0" fillId="0" borderId="2" xfId="0" applyNumberFormat="1" applyBorder="1" applyAlignment="1">
      <alignment horizontal="center"/>
    </xf>
    <xf numFmtId="0" fontId="0" fillId="0" borderId="2" xfId="0" quotePrefix="1" applyBorder="1" applyAlignment="1">
      <alignment horizontal="right"/>
    </xf>
    <xf numFmtId="165" fontId="0" fillId="0" borderId="2" xfId="0" applyNumberFormat="1" applyBorder="1" applyAlignment="1">
      <alignment horizontal="right"/>
    </xf>
    <xf numFmtId="166" fontId="0" fillId="0" borderId="2" xfId="0" applyNumberFormat="1" applyBorder="1" applyAlignment="1">
      <alignment horizontal="center" vertical="center"/>
    </xf>
    <xf numFmtId="43" fontId="1" fillId="0" borderId="2" xfId="1" quotePrefix="1" applyFont="1" applyBorder="1" applyAlignment="1">
      <alignment horizontal="right"/>
    </xf>
    <xf numFmtId="20" fontId="0" fillId="3" borderId="2" xfId="0" applyNumberFormat="1" applyFill="1" applyBorder="1" applyAlignment="1">
      <alignment horizontal="center" vertical="center"/>
    </xf>
    <xf numFmtId="167" fontId="1" fillId="0" borderId="2" xfId="1" applyNumberFormat="1" applyFont="1" applyBorder="1" applyAlignment="1">
      <alignment horizontal="right"/>
    </xf>
    <xf numFmtId="10" fontId="0" fillId="3" borderId="2" xfId="0" applyNumberFormat="1" applyFill="1" applyBorder="1" applyAlignment="1">
      <alignment horizontal="right"/>
    </xf>
    <xf numFmtId="0" fontId="0" fillId="0" borderId="2" xfId="0" quotePrefix="1" applyBorder="1" applyAlignment="1">
      <alignment horizontal="center" vertical="center"/>
    </xf>
    <xf numFmtId="15" fontId="9" fillId="0" borderId="2" xfId="0" applyNumberFormat="1" applyFont="1" applyBorder="1" applyAlignment="1">
      <alignment horizontal="center" vertical="center"/>
    </xf>
    <xf numFmtId="164" fontId="9" fillId="0" borderId="3" xfId="0" applyNumberFormat="1" applyFont="1" applyBorder="1" applyAlignment="1">
      <alignment horizontal="center" vertical="center"/>
    </xf>
    <xf numFmtId="20" fontId="9" fillId="0" borderId="3" xfId="0" applyNumberFormat="1" applyFont="1" applyBorder="1" applyAlignment="1">
      <alignment horizontal="center" vertical="center"/>
    </xf>
    <xf numFmtId="0" fontId="9" fillId="0" borderId="3" xfId="0" applyFont="1" applyBorder="1" applyAlignment="1">
      <alignment horizontal="center" vertical="center"/>
    </xf>
    <xf numFmtId="10" fontId="9" fillId="0" borderId="3" xfId="0" applyNumberFormat="1" applyFont="1" applyBorder="1" applyAlignment="1">
      <alignment horizontal="right" vertical="center"/>
    </xf>
    <xf numFmtId="0" fontId="6" fillId="0" borderId="3" xfId="0" applyFont="1" applyBorder="1" applyAlignment="1">
      <alignment wrapText="1"/>
    </xf>
    <xf numFmtId="15" fontId="9" fillId="0" borderId="4" xfId="0" applyNumberFormat="1" applyFont="1" applyBorder="1" applyAlignment="1">
      <alignment horizontal="center" vertical="center"/>
    </xf>
    <xf numFmtId="164" fontId="9" fillId="0" borderId="5" xfId="0" applyNumberFormat="1" applyFont="1" applyBorder="1" applyAlignment="1">
      <alignment horizontal="center" vertical="center"/>
    </xf>
    <xf numFmtId="20" fontId="9" fillId="0" borderId="5" xfId="0" applyNumberFormat="1" applyFont="1" applyBorder="1" applyAlignment="1">
      <alignment horizontal="center" vertical="center"/>
    </xf>
    <xf numFmtId="0" fontId="9" fillId="0" borderId="5" xfId="0" applyFont="1" applyBorder="1" applyAlignment="1">
      <alignment horizontal="center" vertical="center"/>
    </xf>
    <xf numFmtId="10" fontId="9" fillId="0" borderId="5" xfId="0" applyNumberFormat="1" applyFont="1" applyBorder="1" applyAlignment="1">
      <alignment horizontal="right" vertical="center"/>
    </xf>
    <xf numFmtId="0" fontId="6" fillId="0" borderId="5" xfId="0" applyFont="1" applyBorder="1" applyAlignment="1">
      <alignment vertical="center" wrapText="1"/>
    </xf>
    <xf numFmtId="0" fontId="6" fillId="0" borderId="5" xfId="0" applyFont="1" applyBorder="1" applyAlignment="1">
      <alignment wrapText="1"/>
    </xf>
    <xf numFmtId="165" fontId="9" fillId="0" borderId="5" xfId="0" applyNumberFormat="1" applyFont="1" applyBorder="1" applyAlignment="1">
      <alignment horizontal="right" vertical="center"/>
    </xf>
    <xf numFmtId="167" fontId="9" fillId="0" borderId="5" xfId="0" applyNumberFormat="1" applyFont="1" applyBorder="1" applyAlignment="1">
      <alignment horizontal="right" vertical="center"/>
    </xf>
    <xf numFmtId="168" fontId="9" fillId="0" borderId="5" xfId="0" applyNumberFormat="1" applyFont="1" applyBorder="1" applyAlignment="1">
      <alignment horizontal="right" vertical="center"/>
    </xf>
    <xf numFmtId="10" fontId="9" fillId="0" borderId="5" xfId="0" quotePrefix="1" applyNumberFormat="1" applyFont="1" applyBorder="1" applyAlignment="1">
      <alignment horizontal="right" vertical="center"/>
    </xf>
    <xf numFmtId="165" fontId="4" fillId="0" borderId="2" xfId="0" applyNumberFormat="1" applyFont="1" applyBorder="1" applyAlignment="1">
      <alignment horizontal="right" vertical="center"/>
    </xf>
    <xf numFmtId="0" fontId="0" fillId="3" borderId="2" xfId="0" applyFill="1" applyBorder="1" applyAlignment="1">
      <alignment horizontal="right"/>
    </xf>
    <xf numFmtId="0" fontId="4" fillId="0" borderId="2" xfId="1" applyNumberFormat="1" applyFont="1" applyBorder="1" applyAlignment="1">
      <alignment horizontal="right" vertical="center"/>
    </xf>
    <xf numFmtId="0" fontId="4" fillId="0" borderId="2" xfId="2" applyNumberFormat="1" applyFont="1" applyBorder="1" applyAlignment="1">
      <alignment horizontal="right" vertical="center"/>
    </xf>
    <xf numFmtId="0" fontId="4" fillId="0" borderId="2" xfId="1" applyNumberFormat="1" applyFont="1" applyFill="1" applyBorder="1" applyAlignment="1">
      <alignment horizontal="right" vertical="center"/>
    </xf>
    <xf numFmtId="0" fontId="10" fillId="0" borderId="3" xfId="0" applyFont="1" applyBorder="1" applyAlignment="1">
      <alignment wrapText="1"/>
    </xf>
    <xf numFmtId="0" fontId="10" fillId="0" borderId="5" xfId="0" applyFont="1" applyBorder="1" applyAlignment="1">
      <alignment wrapText="1"/>
    </xf>
    <xf numFmtId="0" fontId="10" fillId="0" borderId="5" xfId="0" applyFont="1" applyBorder="1" applyAlignment="1">
      <alignment vertical="center" wrapText="1"/>
    </xf>
    <xf numFmtId="10" fontId="9" fillId="0" borderId="5" xfId="0" applyNumberFormat="1" applyFont="1" applyBorder="1" applyAlignment="1">
      <alignment horizontal="center" vertical="center"/>
    </xf>
    <xf numFmtId="0" fontId="11" fillId="2" borderId="2" xfId="0" applyFont="1" applyFill="1" applyBorder="1" applyAlignment="1">
      <alignment horizontal="center" vertical="center"/>
    </xf>
    <xf numFmtId="0" fontId="11" fillId="2" borderId="2" xfId="0" applyFont="1" applyFill="1" applyBorder="1" applyAlignment="1">
      <alignment horizontal="right" vertical="center"/>
    </xf>
    <xf numFmtId="10" fontId="4" fillId="0" borderId="2" xfId="1" applyNumberFormat="1" applyFont="1" applyBorder="1" applyAlignment="1">
      <alignment horizontal="right" vertical="center"/>
    </xf>
    <xf numFmtId="167" fontId="4" fillId="0" borderId="2" xfId="1" applyNumberFormat="1" applyFont="1" applyBorder="1" applyAlignment="1">
      <alignment horizontal="right" vertical="center"/>
    </xf>
    <xf numFmtId="0" fontId="12" fillId="0" borderId="2" xfId="0" quotePrefix="1" applyFont="1" applyBorder="1" applyAlignment="1">
      <alignment wrapText="1"/>
    </xf>
    <xf numFmtId="43" fontId="4" fillId="0" borderId="2" xfId="1" quotePrefix="1" applyFont="1" applyBorder="1" applyAlignment="1">
      <alignment horizontal="right" vertical="center"/>
    </xf>
    <xf numFmtId="0" fontId="4" fillId="0" borderId="2" xfId="0" applyFont="1" applyBorder="1" applyAlignment="1">
      <alignment horizontal="center" vertical="center" wrapText="1"/>
    </xf>
    <xf numFmtId="10" fontId="4" fillId="0" borderId="2" xfId="1" quotePrefix="1" applyNumberFormat="1" applyFont="1" applyBorder="1" applyAlignment="1">
      <alignment horizontal="right" vertical="center"/>
    </xf>
    <xf numFmtId="169" fontId="4" fillId="0" borderId="2" xfId="1" applyNumberFormat="1" applyFont="1" applyBorder="1" applyAlignment="1">
      <alignment horizontal="right" vertical="center"/>
    </xf>
    <xf numFmtId="165" fontId="4" fillId="0" borderId="2" xfId="1" applyNumberFormat="1" applyFont="1" applyBorder="1" applyAlignment="1">
      <alignment horizontal="right" vertical="center"/>
    </xf>
    <xf numFmtId="15" fontId="4" fillId="0" borderId="2" xfId="0" applyNumberFormat="1" applyFont="1" applyBorder="1" applyAlignment="1">
      <alignment horizontal="center" vertical="center" wrapText="1"/>
    </xf>
    <xf numFmtId="164" fontId="4" fillId="0" borderId="2" xfId="1" applyNumberFormat="1" applyFont="1" applyBorder="1" applyAlignment="1">
      <alignment horizontal="center" vertical="center" wrapText="1"/>
    </xf>
    <xf numFmtId="20" fontId="4" fillId="0" borderId="2" xfId="0" applyNumberFormat="1" applyFont="1" applyBorder="1" applyAlignment="1">
      <alignment horizontal="center" vertical="center" wrapText="1"/>
    </xf>
    <xf numFmtId="10" fontId="4" fillId="0" borderId="2" xfId="1" applyNumberFormat="1" applyFont="1" applyBorder="1" applyAlignment="1">
      <alignment horizontal="right" vertical="center" wrapText="1"/>
    </xf>
    <xf numFmtId="10" fontId="4" fillId="0" borderId="2" xfId="1" quotePrefix="1" applyNumberFormat="1" applyFont="1" applyBorder="1" applyAlignment="1">
      <alignment horizontal="right" vertical="center" wrapText="1"/>
    </xf>
    <xf numFmtId="43" fontId="4" fillId="0" borderId="2" xfId="1" applyFont="1" applyBorder="1" applyAlignment="1">
      <alignment horizontal="right" vertical="center" wrapText="1"/>
    </xf>
    <xf numFmtId="0" fontId="4" fillId="0" borderId="2" xfId="0" quotePrefix="1" applyFont="1" applyBorder="1" applyAlignment="1">
      <alignment horizontal="center" vertical="center"/>
    </xf>
    <xf numFmtId="0" fontId="13" fillId="0" borderId="0" xfId="0" applyFont="1" applyAlignment="1">
      <alignment horizontal="center" vertical="center"/>
    </xf>
    <xf numFmtId="0" fontId="16" fillId="0" borderId="0" xfId="0" applyFont="1"/>
    <xf numFmtId="0" fontId="14" fillId="0" borderId="13" xfId="0" applyFont="1" applyBorder="1" applyAlignment="1">
      <alignment horizontal="left" vertical="center" wrapText="1" readingOrder="1"/>
    </xf>
    <xf numFmtId="0" fontId="0" fillId="0" borderId="0" xfId="0" applyAlignment="1">
      <alignment horizontal="center" vertical="center"/>
    </xf>
    <xf numFmtId="20" fontId="0" fillId="0" borderId="0" xfId="0" applyNumberFormat="1" applyAlignment="1">
      <alignment horizontal="center" vertical="center"/>
    </xf>
    <xf numFmtId="0" fontId="14" fillId="0" borderId="21" xfId="0" applyFont="1" applyBorder="1" applyAlignment="1">
      <alignment horizontal="right" vertical="center" wrapText="1" readingOrder="1"/>
    </xf>
    <xf numFmtId="0" fontId="14" fillId="0" borderId="22" xfId="0" applyFont="1" applyBorder="1" applyAlignment="1">
      <alignment horizontal="right" vertical="center" wrapText="1" readingOrder="1"/>
    </xf>
    <xf numFmtId="43" fontId="17" fillId="0" borderId="4" xfId="1" quotePrefix="1" applyFont="1" applyBorder="1" applyAlignment="1">
      <alignment horizontal="right" vertical="center" wrapText="1" readingOrder="1"/>
    </xf>
    <xf numFmtId="168" fontId="17" fillId="0" borderId="4" xfId="2" quotePrefix="1" applyNumberFormat="1" applyFont="1" applyBorder="1" applyAlignment="1">
      <alignment horizontal="right" vertical="center" wrapText="1" readingOrder="1"/>
    </xf>
    <xf numFmtId="167" fontId="17" fillId="0" borderId="4" xfId="1" quotePrefix="1" applyNumberFormat="1" applyFont="1" applyBorder="1" applyAlignment="1">
      <alignment horizontal="right" vertical="center" wrapText="1" readingOrder="1"/>
    </xf>
    <xf numFmtId="167" fontId="17" fillId="0" borderId="24" xfId="1" quotePrefix="1" applyNumberFormat="1" applyFont="1" applyBorder="1" applyAlignment="1">
      <alignment horizontal="right" vertical="center" wrapText="1" readingOrder="1"/>
    </xf>
    <xf numFmtId="10" fontId="17" fillId="0" borderId="4" xfId="2" quotePrefix="1" applyNumberFormat="1" applyFont="1" applyBorder="1" applyAlignment="1">
      <alignment horizontal="right" vertical="center" wrapText="1" readingOrder="1"/>
    </xf>
    <xf numFmtId="0" fontId="0" fillId="0" borderId="17" xfId="0" applyBorder="1" applyAlignment="1">
      <alignment horizontal="center" vertical="center"/>
    </xf>
    <xf numFmtId="0" fontId="0" fillId="0" borderId="18" xfId="0" applyBorder="1" applyAlignment="1">
      <alignment horizontal="center" vertical="center"/>
    </xf>
    <xf numFmtId="0" fontId="3" fillId="0" borderId="17" xfId="0" applyFont="1" applyBorder="1" applyAlignment="1">
      <alignment horizontal="center" vertical="center"/>
    </xf>
    <xf numFmtId="0" fontId="0" fillId="0" borderId="28" xfId="0" applyBorder="1" applyAlignment="1">
      <alignment horizontal="center" vertical="center"/>
    </xf>
    <xf numFmtId="0" fontId="0" fillId="0" borderId="30" xfId="0" applyBorder="1" applyAlignment="1">
      <alignment horizontal="center" vertical="center"/>
    </xf>
    <xf numFmtId="0" fontId="14" fillId="4" borderId="38" xfId="0" applyFont="1" applyFill="1" applyBorder="1" applyAlignment="1">
      <alignment vertical="center" wrapText="1" readingOrder="1"/>
    </xf>
    <xf numFmtId="0" fontId="14" fillId="4" borderId="40" xfId="0" applyFont="1" applyFill="1" applyBorder="1" applyAlignment="1">
      <alignment vertical="center" wrapText="1" readingOrder="1"/>
    </xf>
    <xf numFmtId="20" fontId="3" fillId="0" borderId="34" xfId="0" applyNumberFormat="1" applyFont="1" applyBorder="1" applyAlignment="1">
      <alignment horizontal="center" vertical="center"/>
    </xf>
    <xf numFmtId="20" fontId="3" fillId="0" borderId="40" xfId="0" applyNumberFormat="1" applyFont="1" applyBorder="1" applyAlignment="1">
      <alignment horizontal="center" vertical="center"/>
    </xf>
    <xf numFmtId="165" fontId="17" fillId="0" borderId="4" xfId="2" quotePrefix="1" applyNumberFormat="1" applyFont="1" applyBorder="1" applyAlignment="1">
      <alignment horizontal="right" vertical="center" wrapText="1" readingOrder="1"/>
    </xf>
    <xf numFmtId="20" fontId="4" fillId="3" borderId="2" xfId="0" applyNumberFormat="1" applyFont="1" applyFill="1" applyBorder="1" applyAlignment="1">
      <alignment horizontal="center" vertical="center"/>
    </xf>
    <xf numFmtId="168" fontId="4" fillId="0" borderId="2" xfId="1" applyNumberFormat="1" applyFont="1" applyBorder="1" applyAlignment="1">
      <alignment horizontal="right" vertical="center"/>
    </xf>
    <xf numFmtId="168" fontId="17" fillId="0" borderId="43" xfId="2" quotePrefix="1" applyNumberFormat="1" applyFont="1" applyBorder="1" applyAlignment="1">
      <alignment horizontal="right" vertical="center" wrapText="1" readingOrder="1"/>
    </xf>
    <xf numFmtId="0" fontId="19" fillId="0" borderId="13" xfId="0" applyFont="1" applyBorder="1" applyAlignment="1">
      <alignment horizontal="left" vertical="center" wrapText="1" readingOrder="1"/>
    </xf>
    <xf numFmtId="0" fontId="16" fillId="0" borderId="18" xfId="0" applyFont="1" applyBorder="1" applyAlignment="1">
      <alignment horizontal="center" vertical="center"/>
    </xf>
    <xf numFmtId="20" fontId="17" fillId="0" borderId="13" xfId="0" applyNumberFormat="1" applyFont="1" applyBorder="1" applyAlignment="1">
      <alignment horizontal="right" vertical="center" wrapText="1" readingOrder="1"/>
    </xf>
    <xf numFmtId="0" fontId="16" fillId="0" borderId="30" xfId="0" applyFont="1" applyBorder="1" applyAlignment="1">
      <alignment horizontal="center" vertical="center"/>
    </xf>
    <xf numFmtId="20" fontId="17" fillId="0" borderId="25" xfId="0" applyNumberFormat="1" applyFont="1" applyBorder="1" applyAlignment="1">
      <alignment horizontal="right" vertical="center" wrapText="1" readingOrder="1"/>
    </xf>
    <xf numFmtId="0" fontId="20" fillId="2" borderId="36" xfId="0" applyFont="1" applyFill="1" applyBorder="1" applyAlignment="1">
      <alignment horizontal="center" vertical="center"/>
    </xf>
    <xf numFmtId="0" fontId="21" fillId="0" borderId="15" xfId="0" applyFont="1" applyBorder="1" applyAlignment="1">
      <alignment horizontal="center" vertical="center"/>
    </xf>
    <xf numFmtId="0" fontId="22" fillId="0" borderId="15" xfId="0" applyFont="1" applyBorder="1" applyAlignment="1">
      <alignment horizontal="center" vertical="center"/>
    </xf>
    <xf numFmtId="0" fontId="22" fillId="0" borderId="15" xfId="0" applyFont="1" applyBorder="1" applyAlignment="1">
      <alignment horizontal="center" vertical="center" wrapText="1" readingOrder="1"/>
    </xf>
    <xf numFmtId="170" fontId="22" fillId="0" borderId="15" xfId="0" applyNumberFormat="1" applyFont="1" applyBorder="1" applyAlignment="1">
      <alignment horizontal="center" vertical="center"/>
    </xf>
    <xf numFmtId="0" fontId="21" fillId="0" borderId="15" xfId="0" applyFont="1" applyBorder="1" applyAlignment="1">
      <alignment vertical="center"/>
    </xf>
    <xf numFmtId="0" fontId="16" fillId="0" borderId="15" xfId="0" applyFont="1" applyBorder="1" applyAlignment="1">
      <alignment vertical="center"/>
    </xf>
    <xf numFmtId="0" fontId="21" fillId="0" borderId="0" xfId="0" applyFont="1" applyAlignment="1">
      <alignment horizontal="center" vertical="center"/>
    </xf>
    <xf numFmtId="170" fontId="21" fillId="0" borderId="0" xfId="0" applyNumberFormat="1" applyFont="1" applyAlignment="1">
      <alignment horizontal="center" vertical="center"/>
    </xf>
    <xf numFmtId="0" fontId="21" fillId="0" borderId="0" xfId="0" applyFont="1" applyAlignment="1">
      <alignment vertical="center"/>
    </xf>
    <xf numFmtId="0" fontId="23" fillId="0" borderId="0" xfId="0" applyFont="1" applyAlignment="1">
      <alignment vertical="center"/>
    </xf>
    <xf numFmtId="0" fontId="21" fillId="0" borderId="1" xfId="0" applyFont="1" applyBorder="1" applyAlignment="1">
      <alignment horizontal="center" vertical="center"/>
    </xf>
    <xf numFmtId="0" fontId="22" fillId="0" borderId="1" xfId="0" applyFont="1" applyBorder="1" applyAlignment="1">
      <alignment horizontal="center" vertical="center"/>
    </xf>
    <xf numFmtId="171" fontId="22" fillId="0" borderId="1" xfId="0" applyNumberFormat="1" applyFont="1" applyBorder="1" applyAlignment="1">
      <alignment horizontal="center" vertical="center" wrapText="1" readingOrder="1"/>
    </xf>
    <xf numFmtId="170" fontId="22" fillId="0" borderId="1" xfId="0" applyNumberFormat="1" applyFont="1" applyBorder="1" applyAlignment="1">
      <alignment horizontal="center" vertical="center"/>
    </xf>
    <xf numFmtId="0" fontId="21" fillId="0" borderId="1" xfId="0" applyFont="1" applyBorder="1" applyAlignment="1">
      <alignment vertical="center"/>
    </xf>
    <xf numFmtId="164" fontId="21" fillId="0" borderId="1" xfId="1" applyNumberFormat="1" applyFont="1" applyBorder="1" applyAlignment="1">
      <alignment horizontal="center" vertical="center"/>
    </xf>
    <xf numFmtId="1" fontId="21" fillId="0" borderId="1" xfId="0" applyNumberFormat="1" applyFont="1" applyBorder="1" applyAlignment="1">
      <alignment horizontal="center" vertical="center"/>
    </xf>
    <xf numFmtId="0" fontId="22" fillId="0" borderId="1" xfId="0" applyFont="1" applyBorder="1" applyAlignment="1">
      <alignment vertical="center"/>
    </xf>
    <xf numFmtId="164" fontId="21" fillId="0" borderId="1" xfId="0" applyNumberFormat="1" applyFont="1" applyBorder="1" applyAlignment="1">
      <alignment vertical="center"/>
    </xf>
    <xf numFmtId="0" fontId="23" fillId="0" borderId="1" xfId="0" applyFont="1" applyBorder="1" applyAlignment="1">
      <alignment vertical="center"/>
    </xf>
    <xf numFmtId="0" fontId="21" fillId="0" borderId="36" xfId="0" applyFont="1" applyBorder="1" applyAlignment="1">
      <alignment horizontal="center" vertical="center"/>
    </xf>
    <xf numFmtId="0" fontId="22" fillId="0" borderId="36" xfId="0" applyFont="1" applyBorder="1" applyAlignment="1">
      <alignment horizontal="center" vertical="center"/>
    </xf>
    <xf numFmtId="171" fontId="22" fillId="0" borderId="36" xfId="0" applyNumberFormat="1" applyFont="1" applyBorder="1" applyAlignment="1">
      <alignment horizontal="center" vertical="center" wrapText="1" readingOrder="1"/>
    </xf>
    <xf numFmtId="170" fontId="22" fillId="0" borderId="36" xfId="0" applyNumberFormat="1" applyFont="1" applyBorder="1" applyAlignment="1">
      <alignment horizontal="center" vertical="center"/>
    </xf>
    <xf numFmtId="0" fontId="21" fillId="0" borderId="36" xfId="0" applyFont="1" applyBorder="1" applyAlignment="1">
      <alignment vertical="center"/>
    </xf>
    <xf numFmtId="164" fontId="21" fillId="0" borderId="36" xfId="1" applyNumberFormat="1" applyFont="1" applyBorder="1" applyAlignment="1">
      <alignment horizontal="center" vertical="center"/>
    </xf>
    <xf numFmtId="1" fontId="21" fillId="0" borderId="36" xfId="0" applyNumberFormat="1" applyFont="1" applyBorder="1" applyAlignment="1">
      <alignment horizontal="center" vertical="center"/>
    </xf>
    <xf numFmtId="0" fontId="22" fillId="0" borderId="36" xfId="0" applyFont="1" applyBorder="1" applyAlignment="1">
      <alignment vertical="center"/>
    </xf>
    <xf numFmtId="164" fontId="21" fillId="0" borderId="36" xfId="0" applyNumberFormat="1" applyFont="1" applyBorder="1" applyAlignment="1">
      <alignment vertical="center"/>
    </xf>
    <xf numFmtId="0" fontId="23" fillId="0" borderId="36" xfId="0" applyFont="1" applyBorder="1" applyAlignment="1">
      <alignment vertical="center"/>
    </xf>
    <xf numFmtId="0" fontId="22" fillId="0" borderId="0" xfId="0" applyFont="1" applyAlignment="1">
      <alignment vertical="center"/>
    </xf>
    <xf numFmtId="164" fontId="21" fillId="0" borderId="0" xfId="0" applyNumberFormat="1" applyFont="1" applyAlignment="1">
      <alignment vertical="center"/>
    </xf>
    <xf numFmtId="1" fontId="21" fillId="0" borderId="0" xfId="0" applyNumberFormat="1" applyFont="1" applyAlignment="1">
      <alignment horizontal="center" vertical="center"/>
    </xf>
    <xf numFmtId="0" fontId="16" fillId="0" borderId="0" xfId="0" applyFont="1" applyAlignment="1">
      <alignment vertical="center"/>
    </xf>
    <xf numFmtId="172" fontId="24" fillId="0" borderId="15" xfId="0" applyNumberFormat="1" applyFont="1" applyBorder="1" applyAlignment="1">
      <alignment horizontal="center" vertical="center" wrapText="1" readingOrder="1"/>
    </xf>
    <xf numFmtId="170" fontId="21" fillId="0" borderId="15" xfId="0" applyNumberFormat="1" applyFont="1" applyBorder="1" applyAlignment="1">
      <alignment horizontal="center" vertical="center"/>
    </xf>
    <xf numFmtId="164" fontId="21" fillId="0" borderId="15" xfId="1" applyNumberFormat="1" applyFont="1" applyBorder="1" applyAlignment="1">
      <alignment horizontal="center" vertical="center"/>
    </xf>
    <xf numFmtId="1" fontId="21" fillId="0" borderId="15" xfId="0" applyNumberFormat="1" applyFont="1" applyBorder="1" applyAlignment="1">
      <alignment horizontal="center" vertical="center"/>
    </xf>
    <xf numFmtId="164" fontId="21" fillId="0" borderId="15" xfId="0" applyNumberFormat="1" applyFont="1" applyBorder="1" applyAlignment="1">
      <alignment vertical="center"/>
    </xf>
    <xf numFmtId="0" fontId="23" fillId="0" borderId="15" xfId="0" applyFont="1" applyBorder="1" applyAlignment="1">
      <alignment vertical="center"/>
    </xf>
    <xf numFmtId="164" fontId="16" fillId="0" borderId="0" xfId="0" applyNumberFormat="1" applyFont="1"/>
    <xf numFmtId="171" fontId="21" fillId="0" borderId="36" xfId="0" applyNumberFormat="1" applyFont="1" applyBorder="1" applyAlignment="1">
      <alignment horizontal="center" vertical="center" wrapText="1" readingOrder="1"/>
    </xf>
    <xf numFmtId="0" fontId="18" fillId="0" borderId="0" xfId="0" applyFont="1" applyAlignment="1">
      <alignment horizontal="center" vertical="center"/>
    </xf>
    <xf numFmtId="0" fontId="14" fillId="4" borderId="41" xfId="0" applyFont="1" applyFill="1" applyBorder="1" applyAlignment="1">
      <alignment vertical="center" wrapText="1" readingOrder="1"/>
    </xf>
    <xf numFmtId="168" fontId="17" fillId="0" borderId="4" xfId="2" quotePrefix="1" applyNumberFormat="1" applyFont="1" applyFill="1" applyBorder="1" applyAlignment="1">
      <alignment horizontal="right" vertical="center" wrapText="1" readingOrder="1"/>
    </xf>
    <xf numFmtId="167" fontId="17" fillId="0" borderId="43" xfId="1" quotePrefix="1" applyNumberFormat="1" applyFont="1" applyBorder="1" applyAlignment="1">
      <alignment horizontal="right" vertical="center" wrapText="1" readingOrder="1"/>
    </xf>
    <xf numFmtId="43" fontId="17" fillId="0" borderId="43" xfId="1" quotePrefix="1" applyFont="1" applyBorder="1" applyAlignment="1">
      <alignment horizontal="right" vertical="center" wrapText="1" readingOrder="1"/>
    </xf>
    <xf numFmtId="0" fontId="14" fillId="4" borderId="2" xfId="0" applyFont="1" applyFill="1" applyBorder="1" applyAlignment="1">
      <alignment horizontal="left" vertical="center" wrapText="1" readingOrder="1"/>
    </xf>
    <xf numFmtId="0" fontId="14" fillId="4" borderId="2" xfId="0" applyFont="1" applyFill="1" applyBorder="1" applyAlignment="1">
      <alignment horizontal="center" vertical="center" wrapText="1" readingOrder="1"/>
    </xf>
    <xf numFmtId="0" fontId="16" fillId="0" borderId="0" xfId="0" applyFont="1" applyAlignment="1">
      <alignment horizontal="center" vertical="center"/>
    </xf>
    <xf numFmtId="0" fontId="14" fillId="0" borderId="2" xfId="0" applyFont="1" applyBorder="1" applyAlignment="1">
      <alignment horizontal="left" vertical="center" wrapText="1" readingOrder="1"/>
    </xf>
    <xf numFmtId="0" fontId="19" fillId="0" borderId="2" xfId="0" applyFont="1" applyBorder="1" applyAlignment="1">
      <alignment horizontal="center" vertical="center" wrapText="1" readingOrder="1"/>
    </xf>
    <xf numFmtId="0" fontId="26" fillId="0" borderId="15" xfId="0" applyFont="1" applyBorder="1" applyAlignment="1">
      <alignment horizontal="center" vertical="center"/>
    </xf>
    <xf numFmtId="0" fontId="26" fillId="0" borderId="15" xfId="0" applyFont="1" applyBorder="1" applyAlignment="1">
      <alignment horizontal="center" vertical="center" wrapText="1" readingOrder="1"/>
    </xf>
    <xf numFmtId="170" fontId="26" fillId="0" borderId="15" xfId="0" applyNumberFormat="1" applyFont="1" applyBorder="1" applyAlignment="1">
      <alignment horizontal="center" vertical="center"/>
    </xf>
    <xf numFmtId="0" fontId="26" fillId="0" borderId="15" xfId="0" applyFont="1" applyBorder="1" applyAlignment="1">
      <alignment vertical="center"/>
    </xf>
    <xf numFmtId="0" fontId="14" fillId="0" borderId="2" xfId="0" applyFont="1" applyBorder="1" applyAlignment="1">
      <alignment horizontal="center" vertical="center" wrapText="1" readingOrder="1"/>
    </xf>
    <xf numFmtId="0" fontId="26" fillId="0" borderId="1" xfId="0" applyFont="1" applyBorder="1" applyAlignment="1">
      <alignment horizontal="center" vertical="center"/>
    </xf>
    <xf numFmtId="171" fontId="26" fillId="0" borderId="1" xfId="0" applyNumberFormat="1" applyFont="1" applyBorder="1" applyAlignment="1">
      <alignment horizontal="center" vertical="center" wrapText="1" readingOrder="1"/>
    </xf>
    <xf numFmtId="170" fontId="26" fillId="0" borderId="1" xfId="0" applyNumberFormat="1" applyFont="1" applyBorder="1" applyAlignment="1">
      <alignment horizontal="center" vertical="center"/>
    </xf>
    <xf numFmtId="0" fontId="26" fillId="0" borderId="1" xfId="0" applyFont="1" applyBorder="1" applyAlignment="1">
      <alignment vertical="center"/>
    </xf>
    <xf numFmtId="0" fontId="26" fillId="0" borderId="36" xfId="0" applyFont="1" applyBorder="1" applyAlignment="1">
      <alignment horizontal="center" vertical="center"/>
    </xf>
    <xf numFmtId="170" fontId="26" fillId="0" borderId="36" xfId="0" applyNumberFormat="1" applyFont="1" applyBorder="1" applyAlignment="1">
      <alignment horizontal="center" vertical="center"/>
    </xf>
    <xf numFmtId="172" fontId="26" fillId="0" borderId="36" xfId="0" applyNumberFormat="1" applyFont="1" applyBorder="1" applyAlignment="1">
      <alignment horizontal="center" vertical="center"/>
    </xf>
    <xf numFmtId="0" fontId="26" fillId="0" borderId="36" xfId="0" applyFont="1" applyBorder="1" applyAlignment="1">
      <alignment vertical="center"/>
    </xf>
    <xf numFmtId="0" fontId="14" fillId="0" borderId="2" xfId="0" applyFont="1" applyBorder="1" applyAlignment="1">
      <alignment horizontal="right" vertical="center" wrapText="1" readingOrder="1"/>
    </xf>
    <xf numFmtId="15" fontId="14" fillId="0" borderId="2" xfId="0" applyNumberFormat="1" applyFont="1" applyBorder="1" applyAlignment="1">
      <alignment horizontal="left" vertical="center" wrapText="1" readingOrder="1"/>
    </xf>
    <xf numFmtId="43" fontId="17" fillId="0" borderId="2" xfId="1" quotePrefix="1" applyFont="1" applyBorder="1" applyAlignment="1">
      <alignment horizontal="right" vertical="center" wrapText="1" readingOrder="1"/>
    </xf>
    <xf numFmtId="20" fontId="17" fillId="0" borderId="2" xfId="0" applyNumberFormat="1" applyFont="1" applyBorder="1" applyAlignment="1">
      <alignment horizontal="center" vertical="center" wrapText="1" readingOrder="1"/>
    </xf>
    <xf numFmtId="0" fontId="26" fillId="3" borderId="15" xfId="0" applyFont="1" applyFill="1" applyBorder="1" applyAlignment="1">
      <alignment horizontal="center" vertical="center"/>
    </xf>
    <xf numFmtId="168" fontId="17" fillId="0" borderId="2" xfId="2" quotePrefix="1" applyNumberFormat="1" applyFont="1" applyBorder="1" applyAlignment="1">
      <alignment horizontal="right" vertical="center" wrapText="1" readingOrder="1"/>
    </xf>
    <xf numFmtId="173" fontId="26" fillId="0" borderId="1" xfId="0" applyNumberFormat="1" applyFont="1" applyBorder="1" applyAlignment="1">
      <alignment horizontal="center" vertical="center"/>
    </xf>
    <xf numFmtId="0" fontId="26" fillId="0" borderId="1" xfId="0" applyFont="1" applyBorder="1" applyAlignment="1">
      <alignment horizontal="right" vertical="center"/>
    </xf>
    <xf numFmtId="173" fontId="26" fillId="0" borderId="36" xfId="0" applyNumberFormat="1" applyFont="1" applyBorder="1" applyAlignment="1">
      <alignment horizontal="center" vertical="center"/>
    </xf>
    <xf numFmtId="167" fontId="26" fillId="0" borderId="36" xfId="1" applyNumberFormat="1" applyFont="1" applyBorder="1" applyAlignment="1">
      <alignment horizontal="right" vertical="center"/>
    </xf>
    <xf numFmtId="173" fontId="22" fillId="0" borderId="0" xfId="0" applyNumberFormat="1" applyFont="1" applyAlignment="1">
      <alignment horizontal="center" vertical="center"/>
    </xf>
    <xf numFmtId="0" fontId="21" fillId="0" borderId="0" xfId="0" applyFont="1" applyAlignment="1">
      <alignment horizontal="right" vertical="center"/>
    </xf>
    <xf numFmtId="168" fontId="17" fillId="0" borderId="2" xfId="2" quotePrefix="1" applyNumberFormat="1" applyFont="1" applyFill="1" applyBorder="1" applyAlignment="1">
      <alignment horizontal="right" vertical="center" wrapText="1" readingOrder="1"/>
    </xf>
    <xf numFmtId="0" fontId="16" fillId="0" borderId="0" xfId="0" applyFont="1" applyAlignment="1">
      <alignment horizontal="right" vertical="center"/>
    </xf>
    <xf numFmtId="173" fontId="26" fillId="0" borderId="15" xfId="0" applyNumberFormat="1" applyFont="1" applyBorder="1" applyAlignment="1">
      <alignment horizontal="center" vertical="center"/>
    </xf>
    <xf numFmtId="172" fontId="26" fillId="0" borderId="15" xfId="0" applyNumberFormat="1" applyFont="1" applyBorder="1" applyAlignment="1">
      <alignment horizontal="center" vertical="center"/>
    </xf>
    <xf numFmtId="173" fontId="26" fillId="0" borderId="15" xfId="0" applyNumberFormat="1" applyFont="1" applyBorder="1" applyAlignment="1">
      <alignment horizontal="right" vertical="center"/>
    </xf>
    <xf numFmtId="167" fontId="17" fillId="0" borderId="2" xfId="1" quotePrefix="1" applyNumberFormat="1" applyFont="1" applyBorder="1" applyAlignment="1">
      <alignment horizontal="right" vertical="center" wrapText="1" readingOrder="1"/>
    </xf>
    <xf numFmtId="2" fontId="26" fillId="0" borderId="15" xfId="0" applyNumberFormat="1" applyFont="1" applyBorder="1" applyAlignment="1">
      <alignment horizontal="center" vertical="center"/>
    </xf>
    <xf numFmtId="20" fontId="21" fillId="0" borderId="0" xfId="0" applyNumberFormat="1" applyFont="1" applyAlignment="1">
      <alignment vertical="center"/>
    </xf>
    <xf numFmtId="10" fontId="17" fillId="0" borderId="2" xfId="2" quotePrefix="1" applyNumberFormat="1" applyFont="1" applyBorder="1" applyAlignment="1">
      <alignment horizontal="right" vertical="center" wrapText="1" readingOrder="1"/>
    </xf>
    <xf numFmtId="165" fontId="17" fillId="0" borderId="2" xfId="2" quotePrefix="1" applyNumberFormat="1" applyFont="1" applyBorder="1" applyAlignment="1">
      <alignment horizontal="right" vertical="center" wrapText="1" readingOrder="1"/>
    </xf>
    <xf numFmtId="0" fontId="25" fillId="0" borderId="0" xfId="0" applyFont="1" applyAlignment="1">
      <alignment horizontal="center" vertical="center"/>
    </xf>
    <xf numFmtId="20" fontId="16" fillId="0" borderId="0" xfId="0" applyNumberFormat="1" applyFont="1" applyAlignment="1">
      <alignment vertical="center"/>
    </xf>
    <xf numFmtId="43" fontId="21" fillId="0" borderId="0" xfId="0" applyNumberFormat="1" applyFont="1" applyAlignment="1">
      <alignment vertical="center"/>
    </xf>
    <xf numFmtId="165" fontId="4" fillId="0" borderId="2" xfId="1" applyNumberFormat="1" applyFont="1" applyBorder="1" applyAlignment="1">
      <alignment horizontal="right" vertical="center" wrapText="1"/>
    </xf>
    <xf numFmtId="167" fontId="4" fillId="0" borderId="2" xfId="1" quotePrefix="1" applyNumberFormat="1" applyFont="1" applyBorder="1" applyAlignment="1">
      <alignment horizontal="right" vertical="center"/>
    </xf>
    <xf numFmtId="10" fontId="4" fillId="0" borderId="2" xfId="1" applyNumberFormat="1" applyFont="1" applyFill="1" applyBorder="1" applyAlignment="1">
      <alignment horizontal="right" vertical="center" wrapText="1"/>
    </xf>
    <xf numFmtId="0" fontId="14" fillId="0" borderId="21" xfId="0" applyFont="1" applyBorder="1" applyAlignment="1">
      <alignment horizontal="right" vertical="center" wrapText="1" indent="2" readingOrder="1"/>
    </xf>
    <xf numFmtId="0" fontId="14" fillId="0" borderId="22" xfId="0" applyFont="1" applyBorder="1" applyAlignment="1">
      <alignment horizontal="right" vertical="center" wrapText="1" indent="2" readingOrder="1"/>
    </xf>
    <xf numFmtId="168" fontId="17" fillId="0" borderId="4" xfId="2" quotePrefix="1" applyNumberFormat="1" applyFont="1" applyBorder="1" applyAlignment="1">
      <alignment horizontal="right" vertical="center" wrapText="1" indent="2" readingOrder="1"/>
    </xf>
    <xf numFmtId="20" fontId="0" fillId="0" borderId="18" xfId="0" applyNumberFormat="1" applyBorder="1" applyAlignment="1">
      <alignment horizontal="center" vertical="center"/>
    </xf>
    <xf numFmtId="167" fontId="17" fillId="0" borderId="4" xfId="1" quotePrefix="1" applyNumberFormat="1" applyFont="1" applyBorder="1" applyAlignment="1">
      <alignment horizontal="right" vertical="center" wrapText="1" indent="2" readingOrder="1"/>
    </xf>
    <xf numFmtId="0" fontId="14" fillId="4" borderId="6" xfId="0" applyFont="1" applyFill="1" applyBorder="1" applyAlignment="1">
      <alignment horizontal="center" vertical="center" wrapText="1" readingOrder="1"/>
    </xf>
    <xf numFmtId="0" fontId="19" fillId="0" borderId="13" xfId="0" applyFont="1" applyBorder="1" applyAlignment="1">
      <alignment horizontal="center" vertical="center" wrapText="1" readingOrder="1"/>
    </xf>
    <xf numFmtId="0" fontId="14" fillId="0" borderId="13" xfId="0" applyFont="1" applyBorder="1" applyAlignment="1">
      <alignment horizontal="center" vertical="center" wrapText="1" readingOrder="1"/>
    </xf>
    <xf numFmtId="20" fontId="28" fillId="0" borderId="13" xfId="0" applyNumberFormat="1" applyFont="1" applyBorder="1" applyAlignment="1">
      <alignment horizontal="center" vertical="center" wrapText="1" readingOrder="1"/>
    </xf>
    <xf numFmtId="0" fontId="14" fillId="4" borderId="13" xfId="0" applyFont="1" applyFill="1" applyBorder="1" applyAlignment="1">
      <alignment horizontal="center" vertical="center" wrapText="1" readingOrder="1"/>
    </xf>
    <xf numFmtId="20" fontId="22" fillId="0" borderId="13" xfId="0" applyNumberFormat="1" applyFont="1" applyBorder="1" applyAlignment="1">
      <alignment horizontal="center" vertical="center" wrapText="1" readingOrder="1"/>
    </xf>
    <xf numFmtId="43" fontId="17" fillId="0" borderId="4" xfId="1" quotePrefix="1" applyFont="1" applyFill="1" applyBorder="1" applyAlignment="1">
      <alignment horizontal="right" vertical="center" wrapText="1" readingOrder="1"/>
    </xf>
    <xf numFmtId="20" fontId="25" fillId="0" borderId="13" xfId="0" applyNumberFormat="1" applyFont="1" applyBorder="1" applyAlignment="1">
      <alignment horizontal="center" vertical="center" wrapText="1" readingOrder="1"/>
    </xf>
    <xf numFmtId="20" fontId="17" fillId="0" borderId="13" xfId="0" applyNumberFormat="1" applyFont="1" applyBorder="1" applyAlignment="1">
      <alignment horizontal="center" vertical="center" wrapText="1" readingOrder="1"/>
    </xf>
    <xf numFmtId="0" fontId="14" fillId="4" borderId="5" xfId="0" applyFont="1" applyFill="1" applyBorder="1" applyAlignment="1">
      <alignment horizontal="center" vertical="center" wrapText="1" readingOrder="1"/>
    </xf>
    <xf numFmtId="0" fontId="14" fillId="0" borderId="3" xfId="0" applyFont="1" applyBorder="1" applyAlignment="1">
      <alignment horizontal="center" vertical="center" wrapText="1" readingOrder="1"/>
    </xf>
    <xf numFmtId="167" fontId="17" fillId="0" borderId="51" xfId="1" quotePrefix="1" applyNumberFormat="1" applyFont="1" applyBorder="1" applyAlignment="1">
      <alignment horizontal="right" vertical="center" wrapText="1" readingOrder="1"/>
    </xf>
    <xf numFmtId="0" fontId="3" fillId="0" borderId="0" xfId="0" applyFont="1" applyAlignment="1">
      <alignment horizontal="center" vertical="center"/>
    </xf>
    <xf numFmtId="0" fontId="14" fillId="0" borderId="20" xfId="0" applyFont="1" applyBorder="1" applyAlignment="1">
      <alignment horizontal="center" vertical="center" wrapText="1" readingOrder="1"/>
    </xf>
    <xf numFmtId="20" fontId="25" fillId="0" borderId="25" xfId="0" applyNumberFormat="1" applyFont="1" applyBorder="1" applyAlignment="1">
      <alignment horizontal="center" vertical="center" wrapText="1" readingOrder="1"/>
    </xf>
    <xf numFmtId="167" fontId="26" fillId="0" borderId="36" xfId="1" applyNumberFormat="1" applyFont="1" applyBorder="1" applyAlignment="1">
      <alignment vertical="center"/>
    </xf>
    <xf numFmtId="20" fontId="14" fillId="0" borderId="13" xfId="0" applyNumberFormat="1" applyFont="1" applyBorder="1" applyAlignment="1">
      <alignment horizontal="center" vertical="center" wrapText="1" readingOrder="1"/>
    </xf>
    <xf numFmtId="168" fontId="21" fillId="0" borderId="15" xfId="2" applyNumberFormat="1" applyFont="1" applyBorder="1" applyAlignment="1">
      <alignment horizontal="center" vertical="center"/>
    </xf>
    <xf numFmtId="173" fontId="26" fillId="0" borderId="15" xfId="0" applyNumberFormat="1" applyFont="1" applyBorder="1" applyAlignment="1">
      <alignment horizontal="left" vertical="center"/>
    </xf>
    <xf numFmtId="10" fontId="17" fillId="0" borderId="43" xfId="2" quotePrefix="1" applyNumberFormat="1" applyFont="1" applyBorder="1" applyAlignment="1">
      <alignment horizontal="right" vertical="center" wrapText="1" readingOrder="1"/>
    </xf>
    <xf numFmtId="20" fontId="16" fillId="0" borderId="0" xfId="0" applyNumberFormat="1" applyFont="1"/>
    <xf numFmtId="167" fontId="26" fillId="0" borderId="1" xfId="1" applyNumberFormat="1" applyFont="1" applyBorder="1" applyAlignment="1">
      <alignment vertical="center"/>
    </xf>
    <xf numFmtId="167" fontId="21" fillId="0" borderId="15" xfId="0" applyNumberFormat="1" applyFont="1" applyBorder="1" applyAlignment="1">
      <alignment vertical="center"/>
    </xf>
    <xf numFmtId="43" fontId="17" fillId="0" borderId="4" xfId="1" quotePrefix="1" applyFont="1" applyBorder="1" applyAlignment="1">
      <alignment horizontal="right" vertical="center" wrapText="1" indent="2" readingOrder="1"/>
    </xf>
    <xf numFmtId="0" fontId="29" fillId="0" borderId="0" xfId="0" applyFont="1" applyAlignment="1">
      <alignment horizontal="center" vertical="center"/>
    </xf>
    <xf numFmtId="0" fontId="30" fillId="4" borderId="52" xfId="0" applyFont="1" applyFill="1" applyBorder="1" applyAlignment="1">
      <alignment horizontal="center" vertical="center" wrapText="1" readingOrder="1"/>
    </xf>
    <xf numFmtId="0" fontId="31" fillId="0" borderId="0" xfId="0" applyFont="1" applyAlignment="1">
      <alignment horizontal="center" vertical="center"/>
    </xf>
    <xf numFmtId="0" fontId="32" fillId="2" borderId="36" xfId="0" applyFont="1" applyFill="1" applyBorder="1" applyAlignment="1">
      <alignment horizontal="center" vertical="center"/>
    </xf>
    <xf numFmtId="0" fontId="30" fillId="0" borderId="53" xfId="0" applyFont="1" applyBorder="1" applyAlignment="1">
      <alignment horizontal="center" vertical="center" wrapText="1" readingOrder="1"/>
    </xf>
    <xf numFmtId="0" fontId="31" fillId="0" borderId="15" xfId="0" applyFont="1" applyBorder="1" applyAlignment="1">
      <alignment horizontal="center" vertical="center"/>
    </xf>
    <xf numFmtId="0" fontId="35" fillId="0" borderId="15" xfId="0" applyFont="1" applyBorder="1" applyAlignment="1">
      <alignment horizontal="center" vertical="center"/>
    </xf>
    <xf numFmtId="0" fontId="35" fillId="0" borderId="15" xfId="0" applyFont="1" applyBorder="1" applyAlignment="1">
      <alignment horizontal="center" vertical="center" wrapText="1" readingOrder="1"/>
    </xf>
    <xf numFmtId="170" fontId="35" fillId="0" borderId="15" xfId="0" applyNumberFormat="1" applyFont="1" applyBorder="1" applyAlignment="1">
      <alignment horizontal="center" vertical="center"/>
    </xf>
    <xf numFmtId="0" fontId="31" fillId="0" borderId="15" xfId="0" applyFont="1" applyBorder="1" applyAlignment="1">
      <alignment vertical="center"/>
    </xf>
    <xf numFmtId="0" fontId="35" fillId="0" borderId="15" xfId="0" applyFont="1" applyBorder="1" applyAlignment="1">
      <alignment vertical="center"/>
    </xf>
    <xf numFmtId="164" fontId="31" fillId="0" borderId="15" xfId="0" applyNumberFormat="1" applyFont="1" applyBorder="1" applyAlignment="1">
      <alignment vertical="center"/>
    </xf>
    <xf numFmtId="170" fontId="31" fillId="0" borderId="0" xfId="0" applyNumberFormat="1" applyFont="1" applyAlignment="1">
      <alignment horizontal="center" vertical="center"/>
    </xf>
    <xf numFmtId="0" fontId="31" fillId="0" borderId="0" xfId="0" applyFont="1" applyAlignment="1">
      <alignment vertical="center"/>
    </xf>
    <xf numFmtId="0" fontId="36" fillId="0" borderId="0" xfId="0" applyFont="1" applyAlignment="1">
      <alignment vertical="center"/>
    </xf>
    <xf numFmtId="0" fontId="31" fillId="0" borderId="1" xfId="0" applyFont="1" applyBorder="1" applyAlignment="1">
      <alignment horizontal="center" vertical="center"/>
    </xf>
    <xf numFmtId="0" fontId="35" fillId="0" borderId="1" xfId="0" applyFont="1" applyBorder="1" applyAlignment="1">
      <alignment horizontal="center" vertical="center"/>
    </xf>
    <xf numFmtId="171" fontId="35" fillId="0" borderId="1" xfId="0" applyNumberFormat="1" applyFont="1" applyBorder="1" applyAlignment="1">
      <alignment horizontal="center" vertical="center" wrapText="1" readingOrder="1"/>
    </xf>
    <xf numFmtId="170" fontId="35" fillId="0" borderId="1" xfId="0" applyNumberFormat="1" applyFont="1" applyBorder="1" applyAlignment="1">
      <alignment horizontal="center" vertical="center"/>
    </xf>
    <xf numFmtId="0" fontId="31" fillId="0" borderId="1" xfId="0" applyFont="1" applyBorder="1" applyAlignment="1">
      <alignment vertical="center"/>
    </xf>
    <xf numFmtId="164" fontId="31" fillId="0" borderId="1" xfId="1" applyNumberFormat="1" applyFont="1" applyBorder="1" applyAlignment="1">
      <alignment horizontal="center" vertical="center"/>
    </xf>
    <xf numFmtId="1" fontId="31" fillId="0" borderId="1" xfId="0" applyNumberFormat="1" applyFont="1" applyBorder="1" applyAlignment="1">
      <alignment horizontal="center" vertical="center"/>
    </xf>
    <xf numFmtId="0" fontId="35" fillId="0" borderId="1" xfId="0" applyFont="1" applyBorder="1" applyAlignment="1">
      <alignment vertical="center"/>
    </xf>
    <xf numFmtId="164" fontId="31" fillId="0" borderId="1" xfId="0" applyNumberFormat="1" applyFont="1" applyBorder="1" applyAlignment="1">
      <alignment vertical="center"/>
    </xf>
    <xf numFmtId="0" fontId="36" fillId="0" borderId="1" xfId="0" applyFont="1" applyBorder="1" applyAlignment="1">
      <alignment vertical="center"/>
    </xf>
    <xf numFmtId="20" fontId="30" fillId="0" borderId="53" xfId="0" applyNumberFormat="1" applyFont="1" applyBorder="1" applyAlignment="1">
      <alignment horizontal="center" vertical="center" wrapText="1" readingOrder="1"/>
    </xf>
    <xf numFmtId="0" fontId="31" fillId="0" borderId="36" xfId="0" applyFont="1" applyBorder="1" applyAlignment="1">
      <alignment horizontal="center" vertical="center"/>
    </xf>
    <xf numFmtId="0" fontId="35" fillId="0" borderId="36" xfId="0" applyFont="1" applyBorder="1" applyAlignment="1">
      <alignment horizontal="center" vertical="center"/>
    </xf>
    <xf numFmtId="171" fontId="31" fillId="0" borderId="36" xfId="0" applyNumberFormat="1" applyFont="1" applyBorder="1" applyAlignment="1">
      <alignment horizontal="center" vertical="center" wrapText="1" readingOrder="1"/>
    </xf>
    <xf numFmtId="170" fontId="35" fillId="0" borderId="36" xfId="0" applyNumberFormat="1" applyFont="1" applyBorder="1" applyAlignment="1">
      <alignment horizontal="center" vertical="center"/>
    </xf>
    <xf numFmtId="0" fontId="31" fillId="0" borderId="36" xfId="0" applyFont="1" applyBorder="1" applyAlignment="1">
      <alignment vertical="center"/>
    </xf>
    <xf numFmtId="172" fontId="35" fillId="0" borderId="36" xfId="0" applyNumberFormat="1" applyFont="1" applyBorder="1" applyAlignment="1">
      <alignment horizontal="center" vertical="center"/>
    </xf>
    <xf numFmtId="164" fontId="31" fillId="0" borderId="36" xfId="1" applyNumberFormat="1" applyFont="1" applyBorder="1" applyAlignment="1">
      <alignment horizontal="center" vertical="center"/>
    </xf>
    <xf numFmtId="1" fontId="31" fillId="0" borderId="36" xfId="0" applyNumberFormat="1" applyFont="1" applyBorder="1" applyAlignment="1">
      <alignment horizontal="center" vertical="center"/>
    </xf>
    <xf numFmtId="0" fontId="35" fillId="0" borderId="36" xfId="0" applyFont="1" applyBorder="1" applyAlignment="1">
      <alignment vertical="center"/>
    </xf>
    <xf numFmtId="164" fontId="31" fillId="0" borderId="36" xfId="0" applyNumberFormat="1" applyFont="1" applyBorder="1" applyAlignment="1">
      <alignment vertical="center"/>
    </xf>
    <xf numFmtId="0" fontId="36" fillId="0" borderId="36" xfId="0" applyFont="1" applyBorder="1" applyAlignment="1">
      <alignment vertical="center"/>
    </xf>
    <xf numFmtId="0" fontId="30" fillId="0" borderId="21" xfId="0" applyFont="1" applyBorder="1" applyAlignment="1">
      <alignment horizontal="right" vertical="center" wrapText="1" indent="2" readingOrder="1"/>
    </xf>
    <xf numFmtId="0" fontId="30" fillId="0" borderId="22" xfId="0" applyFont="1" applyBorder="1" applyAlignment="1">
      <alignment horizontal="right" vertical="center" wrapText="1" indent="2" readingOrder="1"/>
    </xf>
    <xf numFmtId="0" fontId="30" fillId="0" borderId="34" xfId="0" applyFont="1" applyBorder="1" applyAlignment="1">
      <alignment horizontal="center" vertical="center" wrapText="1" readingOrder="1"/>
    </xf>
    <xf numFmtId="164" fontId="31" fillId="0" borderId="0" xfId="0" applyNumberFormat="1" applyFont="1" applyAlignment="1">
      <alignment vertical="center"/>
    </xf>
    <xf numFmtId="1" fontId="31" fillId="0" borderId="0" xfId="0" applyNumberFormat="1" applyFont="1" applyAlignment="1">
      <alignment horizontal="center" vertical="center"/>
    </xf>
    <xf numFmtId="167" fontId="33" fillId="0" borderId="4" xfId="1" quotePrefix="1" applyNumberFormat="1" applyFont="1" applyBorder="1" applyAlignment="1">
      <alignment horizontal="right" vertical="center" wrapText="1" indent="2" readingOrder="1"/>
    </xf>
    <xf numFmtId="20" fontId="31" fillId="0" borderId="53" xfId="0" applyNumberFormat="1" applyFont="1" applyBorder="1" applyAlignment="1">
      <alignment horizontal="center" vertical="center" wrapText="1" readingOrder="1"/>
    </xf>
    <xf numFmtId="172" fontId="33" fillId="0" borderId="15" xfId="0" applyNumberFormat="1" applyFont="1" applyBorder="1" applyAlignment="1">
      <alignment horizontal="center" vertical="center" wrapText="1" readingOrder="1"/>
    </xf>
    <xf numFmtId="170" fontId="31" fillId="0" borderId="15" xfId="0" applyNumberFormat="1" applyFont="1" applyBorder="1" applyAlignment="1">
      <alignment horizontal="center" vertical="center"/>
    </xf>
    <xf numFmtId="164" fontId="31" fillId="0" borderId="15" xfId="1" applyNumberFormat="1" applyFont="1" applyBorder="1" applyAlignment="1">
      <alignment horizontal="center" vertical="center"/>
    </xf>
    <xf numFmtId="1" fontId="31" fillId="0" borderId="15" xfId="0" applyNumberFormat="1" applyFont="1" applyBorder="1" applyAlignment="1">
      <alignment horizontal="center" vertical="center"/>
    </xf>
    <xf numFmtId="0" fontId="36" fillId="0" borderId="15" xfId="0" applyFont="1" applyBorder="1" applyAlignment="1">
      <alignment vertical="center"/>
    </xf>
    <xf numFmtId="0" fontId="36" fillId="0" borderId="15" xfId="0" applyFont="1" applyBorder="1" applyAlignment="1">
      <alignment horizontal="center" vertical="center"/>
    </xf>
    <xf numFmtId="0" fontId="31" fillId="0" borderId="0" xfId="0" applyFont="1"/>
    <xf numFmtId="20" fontId="31" fillId="0" borderId="54" xfId="0" applyNumberFormat="1" applyFont="1" applyBorder="1" applyAlignment="1">
      <alignment horizontal="center" vertical="center" wrapText="1" readingOrder="1"/>
    </xf>
    <xf numFmtId="0" fontId="30" fillId="0" borderId="21" xfId="0" applyFont="1" applyBorder="1" applyAlignment="1">
      <alignment horizontal="right" vertical="center" wrapText="1" readingOrder="1"/>
    </xf>
    <xf numFmtId="0" fontId="30" fillId="0" borderId="22" xfId="0" applyFont="1" applyBorder="1" applyAlignment="1">
      <alignment horizontal="right" vertical="center" wrapText="1" readingOrder="1"/>
    </xf>
    <xf numFmtId="10" fontId="33" fillId="0" borderId="4" xfId="2" quotePrefix="1" applyNumberFormat="1" applyFont="1" applyBorder="1" applyAlignment="1">
      <alignment horizontal="right" vertical="center" wrapText="1" readingOrder="1"/>
    </xf>
    <xf numFmtId="0" fontId="33" fillId="0" borderId="0" xfId="0" applyFont="1"/>
    <xf numFmtId="0" fontId="34" fillId="4" borderId="52" xfId="0" applyFont="1" applyFill="1" applyBorder="1" applyAlignment="1">
      <alignment horizontal="center" vertical="center" wrapText="1" readingOrder="1"/>
    </xf>
    <xf numFmtId="0" fontId="30" fillId="0" borderId="55" xfId="0" applyFont="1" applyBorder="1" applyAlignment="1">
      <alignment horizontal="center" vertical="center" wrapText="1" readingOrder="1"/>
    </xf>
    <xf numFmtId="173" fontId="35" fillId="0" borderId="1" xfId="0" applyNumberFormat="1" applyFont="1" applyBorder="1" applyAlignment="1">
      <alignment horizontal="center" vertical="center"/>
    </xf>
    <xf numFmtId="0" fontId="35" fillId="0" borderId="1" xfId="0" applyFont="1" applyBorder="1" applyAlignment="1">
      <alignment horizontal="right" vertical="center"/>
    </xf>
    <xf numFmtId="173" fontId="35" fillId="0" borderId="36" xfId="0" applyNumberFormat="1" applyFont="1" applyBorder="1" applyAlignment="1">
      <alignment horizontal="center" vertical="center"/>
    </xf>
    <xf numFmtId="167" fontId="35" fillId="0" borderId="36" xfId="1" applyNumberFormat="1" applyFont="1" applyBorder="1" applyAlignment="1">
      <alignment horizontal="right" vertical="center"/>
    </xf>
    <xf numFmtId="173" fontId="36" fillId="0" borderId="0" xfId="0" applyNumberFormat="1" applyFont="1" applyAlignment="1">
      <alignment horizontal="center" vertical="center"/>
    </xf>
    <xf numFmtId="0" fontId="31" fillId="0" borderId="0" xfId="0" applyFont="1" applyAlignment="1">
      <alignment horizontal="right" vertical="center"/>
    </xf>
    <xf numFmtId="173" fontId="35" fillId="0" borderId="15" xfId="0" applyNumberFormat="1" applyFont="1" applyBorder="1" applyAlignment="1">
      <alignment horizontal="center" vertical="center"/>
    </xf>
    <xf numFmtId="172" fontId="35" fillId="0" borderId="15" xfId="0" applyNumberFormat="1" applyFont="1" applyBorder="1" applyAlignment="1">
      <alignment horizontal="center" vertical="center"/>
    </xf>
    <xf numFmtId="173" fontId="35" fillId="0" borderId="15" xfId="0" applyNumberFormat="1" applyFont="1" applyBorder="1" applyAlignment="1">
      <alignment horizontal="right" vertical="center"/>
    </xf>
    <xf numFmtId="20" fontId="31" fillId="0" borderId="24" xfId="0" applyNumberFormat="1" applyFont="1" applyBorder="1" applyAlignment="1">
      <alignment horizontal="center" vertical="center"/>
    </xf>
    <xf numFmtId="167" fontId="35" fillId="0" borderId="36" xfId="1" applyNumberFormat="1" applyFont="1" applyBorder="1" applyAlignment="1">
      <alignment vertical="center"/>
    </xf>
    <xf numFmtId="0" fontId="38" fillId="0" borderId="0" xfId="0" applyFont="1" applyAlignment="1">
      <alignment horizontal="center" vertical="center"/>
    </xf>
    <xf numFmtId="0" fontId="37" fillId="4" borderId="52" xfId="0" applyFont="1" applyFill="1" applyBorder="1" applyAlignment="1">
      <alignment horizontal="center" vertical="center" wrapText="1" readingOrder="1"/>
    </xf>
    <xf numFmtId="0" fontId="36" fillId="0" borderId="0" xfId="0" applyFont="1" applyAlignment="1">
      <alignment horizontal="center" vertical="center"/>
    </xf>
    <xf numFmtId="0" fontId="37" fillId="2" borderId="36" xfId="0" applyFont="1" applyFill="1" applyBorder="1" applyAlignment="1">
      <alignment horizontal="center" vertical="center"/>
    </xf>
    <xf numFmtId="0" fontId="37" fillId="0" borderId="53" xfId="0" applyFont="1" applyBorder="1" applyAlignment="1">
      <alignment horizontal="center" vertical="center" wrapText="1" readingOrder="1"/>
    </xf>
    <xf numFmtId="0" fontId="36" fillId="0" borderId="15" xfId="0" applyFont="1" applyBorder="1" applyAlignment="1">
      <alignment horizontal="center" vertical="center" wrapText="1" readingOrder="1"/>
    </xf>
    <xf numFmtId="170" fontId="36" fillId="0" borderId="15" xfId="0" applyNumberFormat="1" applyFont="1" applyBorder="1" applyAlignment="1">
      <alignment horizontal="center" vertical="center"/>
    </xf>
    <xf numFmtId="164" fontId="36" fillId="0" borderId="15" xfId="0" applyNumberFormat="1" applyFont="1" applyBorder="1" applyAlignment="1">
      <alignment vertical="center"/>
    </xf>
    <xf numFmtId="170" fontId="36" fillId="0" borderId="0" xfId="0" applyNumberFormat="1" applyFont="1" applyAlignment="1">
      <alignment horizontal="center" vertical="center"/>
    </xf>
    <xf numFmtId="0" fontId="36" fillId="0" borderId="1" xfId="0" applyFont="1" applyBorder="1" applyAlignment="1">
      <alignment horizontal="center" vertical="center"/>
    </xf>
    <xf numFmtId="171" fontId="36" fillId="0" borderId="1" xfId="0" applyNumberFormat="1" applyFont="1" applyBorder="1" applyAlignment="1">
      <alignment horizontal="center" vertical="center" wrapText="1" readingOrder="1"/>
    </xf>
    <xf numFmtId="170" fontId="36" fillId="0" borderId="1" xfId="0" applyNumberFormat="1" applyFont="1" applyBorder="1" applyAlignment="1">
      <alignment horizontal="center" vertical="center"/>
    </xf>
    <xf numFmtId="173" fontId="36" fillId="0" borderId="1" xfId="0" applyNumberFormat="1" applyFont="1" applyBorder="1" applyAlignment="1">
      <alignment horizontal="center" vertical="center"/>
    </xf>
    <xf numFmtId="164" fontId="36" fillId="0" borderId="1" xfId="1" applyNumberFormat="1" applyFont="1" applyBorder="1" applyAlignment="1">
      <alignment horizontal="center" vertical="center"/>
    </xf>
    <xf numFmtId="1" fontId="36" fillId="0" borderId="1" xfId="0" applyNumberFormat="1" applyFont="1" applyBorder="1" applyAlignment="1">
      <alignment horizontal="center" vertical="center"/>
    </xf>
    <xf numFmtId="0" fontId="36" fillId="0" borderId="1" xfId="0" applyFont="1" applyBorder="1" applyAlignment="1">
      <alignment horizontal="right" vertical="center"/>
    </xf>
    <xf numFmtId="164" fontId="36" fillId="0" borderId="1" xfId="0" applyNumberFormat="1" applyFont="1" applyBorder="1" applyAlignment="1">
      <alignment vertical="center"/>
    </xf>
    <xf numFmtId="20" fontId="37" fillId="0" borderId="53" xfId="0" applyNumberFormat="1" applyFont="1" applyBorder="1" applyAlignment="1">
      <alignment horizontal="center" vertical="center" wrapText="1" readingOrder="1"/>
    </xf>
    <xf numFmtId="0" fontId="36" fillId="0" borderId="36" xfId="0" applyFont="1" applyBorder="1" applyAlignment="1">
      <alignment horizontal="center" vertical="center"/>
    </xf>
    <xf numFmtId="171" fontId="36" fillId="0" borderId="36" xfId="0" applyNumberFormat="1" applyFont="1" applyBorder="1" applyAlignment="1">
      <alignment horizontal="center" vertical="center" wrapText="1" readingOrder="1"/>
    </xf>
    <xf numFmtId="170" fontId="36" fillId="0" borderId="36" xfId="0" applyNumberFormat="1" applyFont="1" applyBorder="1" applyAlignment="1">
      <alignment horizontal="center" vertical="center"/>
    </xf>
    <xf numFmtId="173" fontId="36" fillId="0" borderId="36" xfId="0" applyNumberFormat="1" applyFont="1" applyBorder="1" applyAlignment="1">
      <alignment horizontal="center" vertical="center"/>
    </xf>
    <xf numFmtId="172" fontId="36" fillId="0" borderId="36" xfId="0" applyNumberFormat="1" applyFont="1" applyBorder="1" applyAlignment="1">
      <alignment horizontal="center" vertical="center"/>
    </xf>
    <xf numFmtId="164" fontId="36" fillId="0" borderId="36" xfId="1" applyNumberFormat="1" applyFont="1" applyBorder="1" applyAlignment="1">
      <alignment horizontal="center" vertical="center"/>
    </xf>
    <xf numFmtId="1" fontId="36" fillId="0" borderId="36" xfId="0" applyNumberFormat="1" applyFont="1" applyBorder="1" applyAlignment="1">
      <alignment horizontal="center" vertical="center"/>
    </xf>
    <xf numFmtId="167" fontId="36" fillId="0" borderId="36" xfId="1" applyNumberFormat="1" applyFont="1" applyBorder="1" applyAlignment="1">
      <alignment horizontal="right" vertical="center"/>
    </xf>
    <xf numFmtId="164" fontId="36" fillId="0" borderId="36" xfId="0" applyNumberFormat="1" applyFont="1" applyBorder="1" applyAlignment="1">
      <alignment vertical="center"/>
    </xf>
    <xf numFmtId="0" fontId="37" fillId="0" borderId="21" xfId="0" applyFont="1" applyBorder="1" applyAlignment="1">
      <alignment horizontal="right" vertical="center" wrapText="1" readingOrder="1"/>
    </xf>
    <xf numFmtId="0" fontId="37" fillId="0" borderId="22" xfId="0" applyFont="1" applyBorder="1" applyAlignment="1">
      <alignment horizontal="right" vertical="center" wrapText="1" readingOrder="1"/>
    </xf>
    <xf numFmtId="0" fontId="37" fillId="0" borderId="34" xfId="0" applyFont="1" applyBorder="1" applyAlignment="1">
      <alignment horizontal="center" vertical="center" wrapText="1" readingOrder="1"/>
    </xf>
    <xf numFmtId="164" fontId="36" fillId="0" borderId="0" xfId="0" applyNumberFormat="1" applyFont="1" applyAlignment="1">
      <alignment vertical="center"/>
    </xf>
    <xf numFmtId="1" fontId="36" fillId="0" borderId="0" xfId="0" applyNumberFormat="1" applyFont="1" applyAlignment="1">
      <alignment horizontal="center" vertical="center"/>
    </xf>
    <xf numFmtId="0" fontId="36" fillId="0" borderId="0" xfId="0" applyFont="1" applyAlignment="1">
      <alignment horizontal="right" vertical="center"/>
    </xf>
    <xf numFmtId="43" fontId="36" fillId="0" borderId="4" xfId="1" quotePrefix="1" applyFont="1" applyBorder="1" applyAlignment="1">
      <alignment horizontal="right" vertical="center" wrapText="1" readingOrder="1"/>
    </xf>
    <xf numFmtId="20" fontId="36" fillId="0" borderId="53" xfId="0" applyNumberFormat="1" applyFont="1" applyBorder="1" applyAlignment="1">
      <alignment horizontal="center" vertical="center" wrapText="1" readingOrder="1"/>
    </xf>
    <xf numFmtId="2" fontId="36" fillId="0" borderId="15" xfId="0" applyNumberFormat="1" applyFont="1" applyBorder="1" applyAlignment="1">
      <alignment horizontal="center" vertical="center"/>
    </xf>
    <xf numFmtId="172" fontId="36" fillId="0" borderId="15" xfId="0" applyNumberFormat="1" applyFont="1" applyBorder="1" applyAlignment="1">
      <alignment horizontal="center" vertical="center" wrapText="1" readingOrder="1"/>
    </xf>
    <xf numFmtId="173" fontId="36" fillId="0" borderId="15" xfId="0" applyNumberFormat="1" applyFont="1" applyBorder="1" applyAlignment="1">
      <alignment horizontal="center" vertical="center"/>
    </xf>
    <xf numFmtId="164" fontId="36" fillId="0" borderId="15" xfId="1" applyNumberFormat="1" applyFont="1" applyBorder="1" applyAlignment="1">
      <alignment horizontal="center" vertical="center"/>
    </xf>
    <xf numFmtId="1" fontId="36" fillId="0" borderId="15" xfId="0" applyNumberFormat="1" applyFont="1" applyBorder="1" applyAlignment="1">
      <alignment horizontal="center" vertical="center"/>
    </xf>
    <xf numFmtId="173" fontId="36" fillId="0" borderId="15" xfId="0" applyNumberFormat="1" applyFont="1" applyBorder="1" applyAlignment="1">
      <alignment horizontal="right" vertical="center"/>
    </xf>
    <xf numFmtId="0" fontId="36" fillId="0" borderId="0" xfId="0" applyFont="1"/>
    <xf numFmtId="43" fontId="36" fillId="0" borderId="43" xfId="1" quotePrefix="1" applyFont="1" applyBorder="1" applyAlignment="1">
      <alignment horizontal="right" vertical="center" wrapText="1" readingOrder="1"/>
    </xf>
    <xf numFmtId="168" fontId="33" fillId="0" borderId="4" xfId="2" quotePrefix="1" applyNumberFormat="1" applyFont="1" applyBorder="1" applyAlignment="1">
      <alignment horizontal="right" vertical="center" wrapText="1" readingOrder="1"/>
    </xf>
    <xf numFmtId="2" fontId="35" fillId="0" borderId="15" xfId="0" applyNumberFormat="1" applyFont="1" applyBorder="1" applyAlignment="1">
      <alignment horizontal="center" vertical="center"/>
    </xf>
    <xf numFmtId="168" fontId="33" fillId="0" borderId="43" xfId="2" quotePrefix="1" applyNumberFormat="1" applyFont="1" applyBorder="1" applyAlignment="1">
      <alignment horizontal="right" vertical="center" wrapText="1" readingOrder="1"/>
    </xf>
    <xf numFmtId="10" fontId="33" fillId="0" borderId="43" xfId="2" quotePrefix="1" applyNumberFormat="1" applyFont="1" applyBorder="1" applyAlignment="1">
      <alignment horizontal="right" vertical="center" wrapText="1" readingOrder="1"/>
    </xf>
    <xf numFmtId="0" fontId="34" fillId="0" borderId="53" xfId="0" applyFont="1" applyBorder="1" applyAlignment="1">
      <alignment horizontal="center" vertical="center" wrapText="1" readingOrder="1"/>
    </xf>
    <xf numFmtId="0" fontId="34" fillId="0" borderId="21" xfId="0" applyFont="1" applyBorder="1" applyAlignment="1">
      <alignment horizontal="right" vertical="center" wrapText="1" readingOrder="1"/>
    </xf>
    <xf numFmtId="0" fontId="34" fillId="0" borderId="22" xfId="0" applyFont="1" applyBorder="1" applyAlignment="1">
      <alignment horizontal="right" vertical="center" wrapText="1" readingOrder="1"/>
    </xf>
    <xf numFmtId="0" fontId="34" fillId="0" borderId="34" xfId="0" applyFont="1" applyBorder="1" applyAlignment="1">
      <alignment horizontal="center" vertical="center" wrapText="1" readingOrder="1"/>
    </xf>
    <xf numFmtId="167" fontId="35" fillId="0" borderId="1" xfId="1" applyNumberFormat="1" applyFont="1" applyBorder="1" applyAlignment="1">
      <alignment vertical="center"/>
    </xf>
    <xf numFmtId="167" fontId="33" fillId="0" borderId="4" xfId="1" quotePrefix="1" applyNumberFormat="1" applyFont="1" applyBorder="1" applyAlignment="1">
      <alignment horizontal="right" vertical="center" wrapText="1" readingOrder="1"/>
    </xf>
    <xf numFmtId="167" fontId="31" fillId="0" borderId="15" xfId="0" applyNumberFormat="1" applyFont="1" applyBorder="1" applyAlignment="1">
      <alignment vertical="center"/>
    </xf>
    <xf numFmtId="167" fontId="33" fillId="0" borderId="43" xfId="1" quotePrefix="1" applyNumberFormat="1" applyFont="1" applyBorder="1" applyAlignment="1">
      <alignment horizontal="right" vertical="center" wrapText="1" readingOrder="1"/>
    </xf>
    <xf numFmtId="15" fontId="9" fillId="6" borderId="2" xfId="0" applyNumberFormat="1" applyFont="1" applyFill="1" applyBorder="1" applyAlignment="1">
      <alignment horizontal="center" vertical="center" wrapText="1" readingOrder="1"/>
    </xf>
    <xf numFmtId="0" fontId="9" fillId="6" borderId="2" xfId="0" applyFont="1" applyFill="1" applyBorder="1" applyAlignment="1">
      <alignment horizontal="center" vertical="center" wrapText="1" readingOrder="1"/>
    </xf>
    <xf numFmtId="20" fontId="9" fillId="6" borderId="2" xfId="0" applyNumberFormat="1" applyFont="1" applyFill="1" applyBorder="1" applyAlignment="1">
      <alignment horizontal="center" vertical="center" wrapText="1" readingOrder="1"/>
    </xf>
    <xf numFmtId="43" fontId="4" fillId="0" borderId="2" xfId="1" quotePrefix="1" applyFont="1" applyBorder="1" applyAlignment="1">
      <alignment horizontal="right" vertical="center" wrapText="1"/>
    </xf>
    <xf numFmtId="20" fontId="0" fillId="0" borderId="17" xfId="0" applyNumberFormat="1" applyBorder="1" applyAlignment="1">
      <alignment horizontal="center" vertical="center"/>
    </xf>
    <xf numFmtId="20" fontId="3" fillId="0" borderId="18" xfId="0" applyNumberFormat="1" applyFont="1" applyBorder="1" applyAlignment="1">
      <alignment horizontal="center" vertical="center"/>
    </xf>
    <xf numFmtId="0" fontId="30" fillId="4" borderId="9" xfId="0" applyFont="1" applyFill="1" applyBorder="1" applyAlignment="1">
      <alignment horizontal="center" vertical="center" wrapText="1" readingOrder="1"/>
    </xf>
    <xf numFmtId="0" fontId="30" fillId="4" borderId="9" xfId="0" applyFont="1" applyFill="1" applyBorder="1" applyAlignment="1">
      <alignment horizontal="left" vertical="center" wrapText="1" readingOrder="1"/>
    </xf>
    <xf numFmtId="0" fontId="31" fillId="0" borderId="16" xfId="0" applyFont="1" applyBorder="1" applyAlignment="1">
      <alignment horizontal="center" vertical="center"/>
    </xf>
    <xf numFmtId="0" fontId="34" fillId="0" borderId="16" xfId="0" applyFont="1" applyBorder="1" applyAlignment="1">
      <alignment horizontal="left" vertical="center"/>
    </xf>
    <xf numFmtId="0" fontId="31" fillId="0" borderId="16" xfId="0" applyFont="1" applyBorder="1" applyAlignment="1">
      <alignment horizontal="left" vertical="center"/>
    </xf>
    <xf numFmtId="20" fontId="34" fillId="0" borderId="16" xfId="0" applyNumberFormat="1" applyFont="1" applyBorder="1" applyAlignment="1">
      <alignment horizontal="center" vertical="center"/>
    </xf>
    <xf numFmtId="20" fontId="34" fillId="0" borderId="16" xfId="0" applyNumberFormat="1" applyFont="1" applyBorder="1" applyAlignment="1">
      <alignment horizontal="left" vertical="center"/>
    </xf>
    <xf numFmtId="0" fontId="30" fillId="0" borderId="40" xfId="0" applyFont="1" applyBorder="1" applyAlignment="1">
      <alignment horizontal="center" vertical="center" wrapText="1" readingOrder="1"/>
    </xf>
    <xf numFmtId="0" fontId="30" fillId="0" borderId="40" xfId="0" applyFont="1" applyBorder="1" applyAlignment="1">
      <alignment horizontal="left" vertical="center" wrapText="1" readingOrder="1"/>
    </xf>
    <xf numFmtId="168" fontId="33" fillId="0" borderId="4" xfId="2" quotePrefix="1" applyNumberFormat="1" applyFont="1" applyBorder="1" applyAlignment="1">
      <alignment horizontal="right" vertical="center" wrapText="1" indent="2" readingOrder="1"/>
    </xf>
    <xf numFmtId="20" fontId="31" fillId="3" borderId="53" xfId="0" applyNumberFormat="1" applyFont="1" applyFill="1" applyBorder="1" applyAlignment="1">
      <alignment horizontal="center" vertical="center" wrapText="1" readingOrder="1"/>
    </xf>
    <xf numFmtId="0" fontId="31" fillId="0" borderId="37" xfId="0" applyFont="1" applyBorder="1" applyAlignment="1">
      <alignment horizontal="left" vertical="center"/>
    </xf>
    <xf numFmtId="20" fontId="31" fillId="0" borderId="16" xfId="0" applyNumberFormat="1" applyFont="1" applyBorder="1" applyAlignment="1">
      <alignment horizontal="left" vertical="center"/>
    </xf>
    <xf numFmtId="0" fontId="31" fillId="0" borderId="33" xfId="0" applyFont="1" applyBorder="1" applyAlignment="1">
      <alignment horizontal="left" vertical="center"/>
    </xf>
    <xf numFmtId="10" fontId="33" fillId="0" borderId="4" xfId="2" quotePrefix="1" applyNumberFormat="1" applyFont="1" applyBorder="1" applyAlignment="1">
      <alignment horizontal="right" vertical="center" wrapText="1" indent="2" readingOrder="1"/>
    </xf>
    <xf numFmtId="43" fontId="33" fillId="0" borderId="4" xfId="2" quotePrefix="1" applyNumberFormat="1" applyFont="1" applyBorder="1" applyAlignment="1">
      <alignment horizontal="right" vertical="center" wrapText="1" readingOrder="1"/>
    </xf>
    <xf numFmtId="0" fontId="34" fillId="4" borderId="9" xfId="0" applyFont="1" applyFill="1" applyBorder="1" applyAlignment="1">
      <alignment horizontal="left" vertical="center" wrapText="1" readingOrder="1"/>
    </xf>
    <xf numFmtId="43" fontId="33" fillId="0" borderId="43" xfId="2" quotePrefix="1" applyNumberFormat="1" applyFont="1" applyBorder="1" applyAlignment="1">
      <alignment horizontal="right" vertical="center" wrapText="1" readingOrder="1"/>
    </xf>
    <xf numFmtId="43" fontId="33" fillId="0" borderId="4" xfId="1" quotePrefix="1" applyFont="1" applyBorder="1" applyAlignment="1">
      <alignment horizontal="right" vertical="center" wrapText="1" indent="2" readingOrder="1"/>
    </xf>
    <xf numFmtId="20" fontId="35" fillId="0" borderId="53" xfId="0" applyNumberFormat="1" applyFont="1" applyBorder="1" applyAlignment="1">
      <alignment horizontal="center" vertical="center" wrapText="1" readingOrder="1"/>
    </xf>
    <xf numFmtId="43" fontId="33" fillId="0" borderId="43" xfId="1" quotePrefix="1" applyFont="1" applyBorder="1" applyAlignment="1">
      <alignment horizontal="right" vertical="center" wrapText="1" indent="2" readingOrder="1"/>
    </xf>
    <xf numFmtId="20" fontId="31" fillId="0" borderId="37" xfId="0" applyNumberFormat="1" applyFont="1" applyBorder="1" applyAlignment="1">
      <alignment horizontal="left" vertical="center"/>
    </xf>
    <xf numFmtId="0" fontId="34" fillId="0" borderId="40" xfId="0" applyFont="1" applyBorder="1" applyAlignment="1">
      <alignment horizontal="left" vertical="center" wrapText="1" readingOrder="1"/>
    </xf>
    <xf numFmtId="43" fontId="31" fillId="0" borderId="4" xfId="2" quotePrefix="1" applyNumberFormat="1" applyFont="1" applyBorder="1" applyAlignment="1">
      <alignment horizontal="right" vertical="center" wrapText="1" readingOrder="1"/>
    </xf>
    <xf numFmtId="2" fontId="31" fillId="0" borderId="15" xfId="0" applyNumberFormat="1" applyFont="1" applyBorder="1" applyAlignment="1">
      <alignment horizontal="center" vertical="center"/>
    </xf>
    <xf numFmtId="172" fontId="31" fillId="0" borderId="15" xfId="0" applyNumberFormat="1" applyFont="1" applyBorder="1" applyAlignment="1">
      <alignment horizontal="center" vertical="center" wrapText="1" readingOrder="1"/>
    </xf>
    <xf numFmtId="173" fontId="31" fillId="0" borderId="15" xfId="0" applyNumberFormat="1" applyFont="1" applyBorder="1" applyAlignment="1">
      <alignment horizontal="center" vertical="center"/>
    </xf>
    <xf numFmtId="173" fontId="31" fillId="0" borderId="15" xfId="0" applyNumberFormat="1" applyFont="1" applyBorder="1" applyAlignment="1">
      <alignment horizontal="right" vertical="center"/>
    </xf>
    <xf numFmtId="43" fontId="31" fillId="0" borderId="43" xfId="2" quotePrefix="1" applyNumberFormat="1" applyFont="1" applyBorder="1" applyAlignment="1">
      <alignment horizontal="right" vertical="center" wrapText="1" readingOrder="1"/>
    </xf>
    <xf numFmtId="168" fontId="31" fillId="0" borderId="4" xfId="2" quotePrefix="1" applyNumberFormat="1" applyFont="1" applyBorder="1" applyAlignment="1">
      <alignment horizontal="right" vertical="center" wrapText="1" readingOrder="1"/>
    </xf>
    <xf numFmtId="168" fontId="31" fillId="0" borderId="43" xfId="2" quotePrefix="1" applyNumberFormat="1" applyFont="1" applyBorder="1" applyAlignment="1">
      <alignment horizontal="right" vertical="center" wrapText="1" readingOrder="1"/>
    </xf>
    <xf numFmtId="167" fontId="31" fillId="0" borderId="15" xfId="1" applyNumberFormat="1" applyFont="1" applyBorder="1" applyAlignment="1">
      <alignment vertical="center"/>
    </xf>
    <xf numFmtId="20" fontId="34" fillId="0" borderId="16" xfId="0" applyNumberFormat="1" applyFont="1" applyBorder="1" applyAlignment="1">
      <alignment horizontal="right" vertical="center"/>
    </xf>
    <xf numFmtId="0" fontId="41" fillId="4" borderId="52" xfId="0" applyFont="1" applyFill="1" applyBorder="1" applyAlignment="1">
      <alignment horizontal="center" vertical="center" wrapText="1" readingOrder="1"/>
    </xf>
    <xf numFmtId="0" fontId="41" fillId="0" borderId="53" xfId="0" applyFont="1" applyBorder="1" applyAlignment="1">
      <alignment horizontal="center" vertical="center" wrapText="1" readingOrder="1"/>
    </xf>
    <xf numFmtId="20" fontId="41" fillId="0" borderId="53" xfId="0" applyNumberFormat="1" applyFont="1" applyBorder="1" applyAlignment="1">
      <alignment horizontal="center" vertical="center" wrapText="1" readingOrder="1"/>
    </xf>
    <xf numFmtId="0" fontId="41" fillId="0" borderId="21" xfId="0" applyFont="1" applyBorder="1" applyAlignment="1">
      <alignment horizontal="right" vertical="center" wrapText="1" indent="2" readingOrder="1"/>
    </xf>
    <xf numFmtId="0" fontId="41" fillId="0" borderId="22" xfId="0" applyFont="1" applyBorder="1" applyAlignment="1">
      <alignment horizontal="right" vertical="center" wrapText="1" indent="2" readingOrder="1"/>
    </xf>
    <xf numFmtId="0" fontId="41" fillId="0" borderId="34" xfId="0" applyFont="1" applyBorder="1" applyAlignment="1">
      <alignment horizontal="center" vertical="center" wrapText="1" readingOrder="1"/>
    </xf>
    <xf numFmtId="168" fontId="42" fillId="0" borderId="4" xfId="2" quotePrefix="1" applyNumberFormat="1" applyFont="1" applyBorder="1" applyAlignment="1">
      <alignment horizontal="right" vertical="center" wrapText="1" indent="2" readingOrder="1"/>
    </xf>
    <xf numFmtId="20" fontId="40" fillId="0" borderId="53" xfId="0" applyNumberFormat="1" applyFont="1" applyBorder="1" applyAlignment="1">
      <alignment horizontal="center" vertical="center" wrapText="1" readingOrder="1"/>
    </xf>
    <xf numFmtId="167" fontId="42" fillId="0" borderId="4" xfId="1" quotePrefix="1" applyNumberFormat="1" applyFont="1" applyBorder="1" applyAlignment="1">
      <alignment horizontal="right" vertical="center" wrapText="1" indent="2" readingOrder="1"/>
    </xf>
    <xf numFmtId="0" fontId="41" fillId="0" borderId="21" xfId="0" applyFont="1" applyBorder="1" applyAlignment="1">
      <alignment horizontal="right" vertical="center" wrapText="1" readingOrder="1"/>
    </xf>
    <xf numFmtId="0" fontId="41" fillId="0" borderId="22" xfId="0" applyFont="1" applyBorder="1" applyAlignment="1">
      <alignment horizontal="right" vertical="center" wrapText="1" readingOrder="1"/>
    </xf>
    <xf numFmtId="168" fontId="42" fillId="0" borderId="4" xfId="2" quotePrefix="1" applyNumberFormat="1" applyFont="1" applyBorder="1" applyAlignment="1">
      <alignment horizontal="right" vertical="center" wrapText="1" readingOrder="1"/>
    </xf>
    <xf numFmtId="168" fontId="42" fillId="0" borderId="43" xfId="2" quotePrefix="1" applyNumberFormat="1" applyFont="1" applyBorder="1" applyAlignment="1">
      <alignment horizontal="right" vertical="center" wrapText="1" readingOrder="1"/>
    </xf>
    <xf numFmtId="10" fontId="42" fillId="0" borderId="4" xfId="2" quotePrefix="1" applyNumberFormat="1" applyFont="1" applyBorder="1" applyAlignment="1">
      <alignment horizontal="right" vertical="center" wrapText="1" readingOrder="1"/>
    </xf>
    <xf numFmtId="10" fontId="42" fillId="0" borderId="43" xfId="2" quotePrefix="1" applyNumberFormat="1" applyFont="1" applyBorder="1" applyAlignment="1">
      <alignment horizontal="right" vertical="center" wrapText="1" readingOrder="1"/>
    </xf>
    <xf numFmtId="20" fontId="44" fillId="0" borderId="53" xfId="0" applyNumberFormat="1" applyFont="1" applyBorder="1" applyAlignment="1">
      <alignment horizontal="center" vertical="center" wrapText="1" readingOrder="1"/>
    </xf>
    <xf numFmtId="0" fontId="14" fillId="4" borderId="3" xfId="0" applyFont="1" applyFill="1" applyBorder="1" applyAlignment="1">
      <alignment horizontal="center" vertical="center" wrapText="1" readingOrder="1"/>
    </xf>
    <xf numFmtId="0" fontId="46" fillId="0" borderId="0" xfId="0" applyFont="1"/>
    <xf numFmtId="0" fontId="48" fillId="4" borderId="52" xfId="0" applyFont="1" applyFill="1" applyBorder="1" applyAlignment="1">
      <alignment horizontal="center" vertical="center" wrapText="1" readingOrder="1"/>
    </xf>
    <xf numFmtId="0" fontId="48" fillId="4" borderId="9" xfId="0" applyFont="1" applyFill="1" applyBorder="1" applyAlignment="1">
      <alignment horizontal="left" vertical="center" wrapText="1" readingOrder="1"/>
    </xf>
    <xf numFmtId="0" fontId="48" fillId="0" borderId="53" xfId="0" applyFont="1" applyBorder="1" applyAlignment="1">
      <alignment horizontal="center" vertical="center" wrapText="1" readingOrder="1"/>
    </xf>
    <xf numFmtId="0" fontId="13" fillId="0" borderId="16" xfId="0" applyFont="1" applyBorder="1" applyAlignment="1">
      <alignment horizontal="left" vertical="center"/>
    </xf>
    <xf numFmtId="0" fontId="16" fillId="0" borderId="16" xfId="0" applyFont="1" applyBorder="1" applyAlignment="1">
      <alignment horizontal="left" vertical="center"/>
    </xf>
    <xf numFmtId="20" fontId="48" fillId="0" borderId="53" xfId="0" applyNumberFormat="1" applyFont="1" applyBorder="1" applyAlignment="1">
      <alignment horizontal="center" vertical="center" wrapText="1" readingOrder="1"/>
    </xf>
    <xf numFmtId="20" fontId="13" fillId="0" borderId="16" xfId="0" applyNumberFormat="1" applyFont="1" applyBorder="1" applyAlignment="1">
      <alignment horizontal="center" vertical="center"/>
    </xf>
    <xf numFmtId="20" fontId="13" fillId="0" borderId="16" xfId="0" applyNumberFormat="1" applyFont="1" applyBorder="1" applyAlignment="1">
      <alignment horizontal="left" vertical="center"/>
    </xf>
    <xf numFmtId="0" fontId="48" fillId="0" borderId="21" xfId="0" applyFont="1" applyBorder="1" applyAlignment="1">
      <alignment horizontal="right" vertical="center" wrapText="1" indent="2" readingOrder="1"/>
    </xf>
    <xf numFmtId="0" fontId="48" fillId="0" borderId="22" xfId="0" applyFont="1" applyBorder="1" applyAlignment="1">
      <alignment horizontal="right" vertical="center" wrapText="1" indent="2" readingOrder="1"/>
    </xf>
    <xf numFmtId="0" fontId="48" fillId="0" borderId="34" xfId="0" applyFont="1" applyBorder="1" applyAlignment="1">
      <alignment horizontal="center" vertical="center" wrapText="1" readingOrder="1"/>
    </xf>
    <xf numFmtId="0" fontId="48" fillId="0" borderId="40" xfId="0" applyFont="1" applyBorder="1" applyAlignment="1">
      <alignment horizontal="left" vertical="center" wrapText="1" readingOrder="1"/>
    </xf>
    <xf numFmtId="167" fontId="49" fillId="0" borderId="4" xfId="1" quotePrefix="1" applyNumberFormat="1" applyFont="1" applyFill="1" applyBorder="1" applyAlignment="1">
      <alignment horizontal="right" vertical="center" wrapText="1" indent="2" readingOrder="1"/>
    </xf>
    <xf numFmtId="20" fontId="16" fillId="0" borderId="53" xfId="0" applyNumberFormat="1" applyFont="1" applyBorder="1" applyAlignment="1">
      <alignment horizontal="center" vertical="center" wrapText="1" readingOrder="1"/>
    </xf>
    <xf numFmtId="0" fontId="16" fillId="0" borderId="37" xfId="0" applyFont="1" applyBorder="1" applyAlignment="1">
      <alignment horizontal="left" vertical="center"/>
    </xf>
    <xf numFmtId="20" fontId="16" fillId="0" borderId="16" xfId="0" applyNumberFormat="1" applyFont="1" applyBorder="1" applyAlignment="1">
      <alignment horizontal="left" vertical="center"/>
    </xf>
    <xf numFmtId="0" fontId="16" fillId="0" borderId="33" xfId="0" applyFont="1" applyBorder="1" applyAlignment="1">
      <alignment horizontal="left" vertical="center"/>
    </xf>
    <xf numFmtId="167" fontId="49" fillId="0" borderId="4" xfId="1" quotePrefix="1" applyNumberFormat="1" applyFont="1" applyBorder="1" applyAlignment="1">
      <alignment horizontal="right" vertical="center" wrapText="1" indent="2" readingOrder="1"/>
    </xf>
    <xf numFmtId="0" fontId="13" fillId="4" borderId="9" xfId="0" applyFont="1" applyFill="1" applyBorder="1" applyAlignment="1">
      <alignment horizontal="left" vertical="center" wrapText="1" readingOrder="1"/>
    </xf>
    <xf numFmtId="10" fontId="49" fillId="0" borderId="4" xfId="2" quotePrefix="1" applyNumberFormat="1" applyFont="1" applyBorder="1" applyAlignment="1">
      <alignment horizontal="right" vertical="center" wrapText="1" indent="2" readingOrder="1"/>
    </xf>
    <xf numFmtId="20" fontId="16" fillId="0" borderId="37" xfId="0" applyNumberFormat="1" applyFont="1" applyBorder="1" applyAlignment="1">
      <alignment horizontal="left" vertical="center"/>
    </xf>
    <xf numFmtId="0" fontId="13" fillId="0" borderId="40" xfId="0" applyFont="1" applyBorder="1" applyAlignment="1">
      <alignment horizontal="left" vertical="center" wrapText="1" readingOrder="1"/>
    </xf>
    <xf numFmtId="10" fontId="49" fillId="0" borderId="4" xfId="1" quotePrefix="1" applyNumberFormat="1" applyFont="1" applyBorder="1" applyAlignment="1">
      <alignment horizontal="right" vertical="center" wrapText="1" indent="2" readingOrder="1"/>
    </xf>
    <xf numFmtId="10" fontId="49" fillId="0" borderId="43" xfId="1" quotePrefix="1" applyNumberFormat="1" applyFont="1" applyBorder="1" applyAlignment="1">
      <alignment horizontal="right" vertical="center" wrapText="1" indent="2" readingOrder="1"/>
    </xf>
    <xf numFmtId="20" fontId="16" fillId="0" borderId="54" xfId="0" applyNumberFormat="1" applyFont="1" applyBorder="1" applyAlignment="1">
      <alignment horizontal="center" vertical="center" wrapText="1" readingOrder="1"/>
    </xf>
    <xf numFmtId="167" fontId="49" fillId="0" borderId="43" xfId="1" quotePrefix="1" applyNumberFormat="1" applyFont="1" applyBorder="1" applyAlignment="1">
      <alignment horizontal="right" vertical="center" wrapText="1" indent="2" readingOrder="1"/>
    </xf>
    <xf numFmtId="0" fontId="16" fillId="0" borderId="15" xfId="0" applyFont="1" applyBorder="1" applyAlignment="1">
      <alignment horizontal="center" vertical="center"/>
    </xf>
    <xf numFmtId="0" fontId="50" fillId="0" borderId="15" xfId="0" applyFont="1" applyBorder="1" applyAlignment="1">
      <alignment horizontal="center" vertical="center"/>
    </xf>
    <xf numFmtId="0" fontId="50" fillId="0" borderId="15" xfId="0" applyFont="1" applyBorder="1" applyAlignment="1">
      <alignment horizontal="center" vertical="center" wrapText="1" readingOrder="1"/>
    </xf>
    <xf numFmtId="170" fontId="50" fillId="0" borderId="15" xfId="0" applyNumberFormat="1" applyFont="1" applyBorder="1" applyAlignment="1">
      <alignment horizontal="center" vertical="center"/>
    </xf>
    <xf numFmtId="0" fontId="50" fillId="0" borderId="15" xfId="0" applyFont="1" applyBorder="1" applyAlignment="1">
      <alignment vertical="center"/>
    </xf>
    <xf numFmtId="164" fontId="16" fillId="0" borderId="15" xfId="0" applyNumberFormat="1" applyFont="1" applyBorder="1" applyAlignment="1">
      <alignment vertical="center"/>
    </xf>
    <xf numFmtId="170" fontId="16" fillId="0" borderId="0" xfId="0" applyNumberFormat="1" applyFont="1" applyAlignment="1">
      <alignment horizontal="center" vertical="center"/>
    </xf>
    <xf numFmtId="0" fontId="16" fillId="0" borderId="1" xfId="0" applyFont="1" applyBorder="1" applyAlignment="1">
      <alignment horizontal="center" vertical="center"/>
    </xf>
    <xf numFmtId="0" fontId="50" fillId="0" borderId="1" xfId="0" applyFont="1" applyBorder="1" applyAlignment="1">
      <alignment horizontal="center" vertical="center"/>
    </xf>
    <xf numFmtId="171" fontId="50" fillId="0" borderId="1" xfId="0" applyNumberFormat="1" applyFont="1" applyBorder="1" applyAlignment="1">
      <alignment horizontal="center" vertical="center" wrapText="1" readingOrder="1"/>
    </xf>
    <xf numFmtId="170" fontId="50" fillId="0" borderId="1" xfId="0" applyNumberFormat="1" applyFont="1" applyBorder="1" applyAlignment="1">
      <alignment horizontal="center" vertical="center"/>
    </xf>
    <xf numFmtId="0" fontId="16" fillId="0" borderId="1" xfId="0" applyFont="1" applyBorder="1" applyAlignment="1">
      <alignment vertical="center"/>
    </xf>
    <xf numFmtId="164" fontId="16" fillId="0" borderId="1" xfId="1" applyNumberFormat="1" applyFont="1" applyBorder="1" applyAlignment="1">
      <alignment horizontal="center" vertical="center"/>
    </xf>
    <xf numFmtId="1" fontId="16" fillId="0" borderId="1" xfId="0" applyNumberFormat="1" applyFont="1" applyBorder="1" applyAlignment="1">
      <alignment horizontal="center" vertical="center"/>
    </xf>
    <xf numFmtId="0" fontId="50" fillId="0" borderId="1" xfId="0" applyFont="1" applyBorder="1" applyAlignment="1">
      <alignment vertical="center"/>
    </xf>
    <xf numFmtId="164" fontId="16" fillId="0" borderId="1" xfId="0" applyNumberFormat="1" applyFont="1" applyBorder="1" applyAlignment="1">
      <alignment vertical="center"/>
    </xf>
    <xf numFmtId="0" fontId="16" fillId="0" borderId="36" xfId="0" applyFont="1" applyBorder="1" applyAlignment="1">
      <alignment horizontal="center" vertical="center"/>
    </xf>
    <xf numFmtId="0" fontId="50" fillId="0" borderId="36" xfId="0" applyFont="1" applyBorder="1" applyAlignment="1">
      <alignment horizontal="center" vertical="center"/>
    </xf>
    <xf numFmtId="171" fontId="16" fillId="0" borderId="36" xfId="0" applyNumberFormat="1" applyFont="1" applyBorder="1" applyAlignment="1">
      <alignment horizontal="center" vertical="center" wrapText="1" readingOrder="1"/>
    </xf>
    <xf numFmtId="170" fontId="50" fillId="0" borderId="36" xfId="0" applyNumberFormat="1" applyFont="1" applyBorder="1" applyAlignment="1">
      <alignment horizontal="center" vertical="center"/>
    </xf>
    <xf numFmtId="0" fontId="16" fillId="0" borderId="36" xfId="0" applyFont="1" applyBorder="1" applyAlignment="1">
      <alignment vertical="center"/>
    </xf>
    <xf numFmtId="172" fontId="50" fillId="0" borderId="36" xfId="0" applyNumberFormat="1" applyFont="1" applyBorder="1" applyAlignment="1">
      <alignment horizontal="center" vertical="center"/>
    </xf>
    <xf numFmtId="164" fontId="16" fillId="0" borderId="36" xfId="1" applyNumberFormat="1" applyFont="1" applyBorder="1" applyAlignment="1">
      <alignment horizontal="center" vertical="center"/>
    </xf>
    <xf numFmtId="1" fontId="16" fillId="0" borderId="36" xfId="0" applyNumberFormat="1" applyFont="1" applyBorder="1" applyAlignment="1">
      <alignment horizontal="center" vertical="center"/>
    </xf>
    <xf numFmtId="0" fontId="50" fillId="0" borderId="36" xfId="0" applyFont="1" applyBorder="1" applyAlignment="1">
      <alignment vertical="center"/>
    </xf>
    <xf numFmtId="164" fontId="16" fillId="0" borderId="36" xfId="0" applyNumberFormat="1" applyFont="1" applyBorder="1" applyAlignment="1">
      <alignment vertical="center"/>
    </xf>
    <xf numFmtId="164" fontId="16" fillId="0" borderId="0" xfId="0" applyNumberFormat="1" applyFont="1" applyAlignment="1">
      <alignment vertical="center"/>
    </xf>
    <xf numFmtId="1" fontId="16" fillId="0" borderId="0" xfId="0" applyNumberFormat="1" applyFont="1" applyAlignment="1">
      <alignment horizontal="center" vertical="center"/>
    </xf>
    <xf numFmtId="172" fontId="49" fillId="0" borderId="15" xfId="0" applyNumberFormat="1" applyFont="1" applyBorder="1" applyAlignment="1">
      <alignment horizontal="center" vertical="center" wrapText="1" readingOrder="1"/>
    </xf>
    <xf numFmtId="170" fontId="16" fillId="0" borderId="15" xfId="0" applyNumberFormat="1" applyFont="1" applyBorder="1" applyAlignment="1">
      <alignment horizontal="center" vertical="center"/>
    </xf>
    <xf numFmtId="164" fontId="16" fillId="0" borderId="15" xfId="1" applyNumberFormat="1" applyFont="1" applyBorder="1" applyAlignment="1">
      <alignment horizontal="center" vertical="center"/>
    </xf>
    <xf numFmtId="1" fontId="16" fillId="0" borderId="15" xfId="0" applyNumberFormat="1" applyFont="1" applyBorder="1" applyAlignment="1">
      <alignment horizontal="center" vertical="center"/>
    </xf>
    <xf numFmtId="0" fontId="23" fillId="0" borderId="15" xfId="0" applyFont="1" applyBorder="1" applyAlignment="1">
      <alignment horizontal="center" vertical="center"/>
    </xf>
    <xf numFmtId="0" fontId="49" fillId="0" borderId="0" xfId="0" applyFont="1"/>
    <xf numFmtId="43" fontId="49" fillId="0" borderId="4" xfId="1" quotePrefix="1" applyFont="1" applyFill="1" applyBorder="1" applyAlignment="1">
      <alignment horizontal="right" vertical="center" wrapText="1" indent="2" readingOrder="1"/>
    </xf>
    <xf numFmtId="43" fontId="49" fillId="0" borderId="4" xfId="1" quotePrefix="1" applyFont="1" applyBorder="1" applyAlignment="1">
      <alignment horizontal="right" vertical="center" wrapText="1" indent="2" readingOrder="1"/>
    </xf>
    <xf numFmtId="173" fontId="50" fillId="0" borderId="1" xfId="0" applyNumberFormat="1" applyFont="1" applyBorder="1" applyAlignment="1">
      <alignment horizontal="center" vertical="center"/>
    </xf>
    <xf numFmtId="0" fontId="50" fillId="0" borderId="1" xfId="0" applyFont="1" applyBorder="1" applyAlignment="1">
      <alignment horizontal="right" vertical="center"/>
    </xf>
    <xf numFmtId="173" fontId="50" fillId="0" borderId="36" xfId="0" applyNumberFormat="1" applyFont="1" applyBorder="1" applyAlignment="1">
      <alignment horizontal="center" vertical="center"/>
    </xf>
    <xf numFmtId="167" fontId="50" fillId="0" borderId="36" xfId="1" applyNumberFormat="1" applyFont="1" applyBorder="1" applyAlignment="1">
      <alignment horizontal="right" vertical="center"/>
    </xf>
    <xf numFmtId="173" fontId="23" fillId="0" borderId="0" xfId="0" applyNumberFormat="1" applyFont="1" applyAlignment="1">
      <alignment horizontal="center" vertical="center"/>
    </xf>
    <xf numFmtId="174" fontId="50" fillId="0" borderId="15" xfId="0" applyNumberFormat="1" applyFont="1" applyBorder="1" applyAlignment="1">
      <alignment horizontal="center" vertical="center"/>
    </xf>
    <xf numFmtId="173" fontId="50" fillId="0" borderId="15" xfId="0" applyNumberFormat="1" applyFont="1" applyBorder="1" applyAlignment="1">
      <alignment horizontal="center" vertical="center"/>
    </xf>
    <xf numFmtId="172" fontId="50" fillId="0" borderId="15" xfId="0" applyNumberFormat="1" applyFont="1" applyBorder="1" applyAlignment="1">
      <alignment horizontal="center" vertical="center"/>
    </xf>
    <xf numFmtId="173" fontId="50" fillId="0" borderId="15" xfId="0" applyNumberFormat="1" applyFont="1" applyBorder="1" applyAlignment="1">
      <alignment horizontal="right" vertical="center"/>
    </xf>
    <xf numFmtId="10" fontId="49" fillId="0" borderId="4" xfId="2" quotePrefix="1" applyNumberFormat="1" applyFont="1" applyFill="1" applyBorder="1" applyAlignment="1">
      <alignment horizontal="right" vertical="center" wrapText="1" indent="2" readingOrder="1"/>
    </xf>
    <xf numFmtId="172" fontId="16" fillId="0" borderId="0" xfId="0" applyNumberFormat="1" applyFont="1" applyAlignment="1">
      <alignment vertical="center"/>
    </xf>
    <xf numFmtId="2" fontId="50" fillId="0" borderId="15" xfId="0" applyNumberFormat="1" applyFont="1" applyBorder="1" applyAlignment="1">
      <alignment horizontal="center" vertical="center"/>
    </xf>
    <xf numFmtId="167" fontId="50" fillId="0" borderId="36" xfId="1" applyNumberFormat="1" applyFont="1" applyBorder="1" applyAlignment="1">
      <alignment vertical="center"/>
    </xf>
    <xf numFmtId="0" fontId="13" fillId="2" borderId="36" xfId="0" applyFont="1" applyFill="1" applyBorder="1" applyAlignment="1">
      <alignment horizontal="center" vertical="center"/>
    </xf>
    <xf numFmtId="0" fontId="16" fillId="0" borderId="15" xfId="0" applyFont="1" applyBorder="1" applyAlignment="1">
      <alignment horizontal="center" vertical="center" wrapText="1" readingOrder="1"/>
    </xf>
    <xf numFmtId="171" fontId="16" fillId="0" borderId="1" xfId="0" applyNumberFormat="1" applyFont="1" applyBorder="1" applyAlignment="1">
      <alignment horizontal="center" vertical="center" wrapText="1" readingOrder="1"/>
    </xf>
    <xf numFmtId="170" fontId="16" fillId="0" borderId="1" xfId="0" applyNumberFormat="1" applyFont="1" applyBorder="1" applyAlignment="1">
      <alignment horizontal="center" vertical="center"/>
    </xf>
    <xf numFmtId="173" fontId="16" fillId="0" borderId="1" xfId="0" applyNumberFormat="1" applyFont="1" applyBorder="1" applyAlignment="1">
      <alignment horizontal="center" vertical="center"/>
    </xf>
    <xf numFmtId="0" fontId="16" fillId="0" borderId="1" xfId="0" applyFont="1" applyBorder="1" applyAlignment="1">
      <alignment horizontal="right" vertical="center"/>
    </xf>
    <xf numFmtId="170" fontId="16" fillId="0" borderId="36" xfId="0" applyNumberFormat="1" applyFont="1" applyBorder="1" applyAlignment="1">
      <alignment horizontal="center" vertical="center"/>
    </xf>
    <xf numFmtId="173" fontId="16" fillId="0" borderId="36" xfId="0" applyNumberFormat="1" applyFont="1" applyBorder="1" applyAlignment="1">
      <alignment horizontal="center" vertical="center"/>
    </xf>
    <xf numFmtId="172" fontId="16" fillId="0" borderId="36" xfId="0" applyNumberFormat="1" applyFont="1" applyBorder="1" applyAlignment="1">
      <alignment horizontal="center" vertical="center"/>
    </xf>
    <xf numFmtId="167" fontId="16" fillId="0" borderId="36" xfId="1" applyNumberFormat="1" applyFont="1" applyBorder="1" applyAlignment="1">
      <alignment horizontal="right" vertical="center"/>
    </xf>
    <xf numFmtId="173" fontId="16" fillId="0" borderId="0" xfId="0" applyNumberFormat="1" applyFont="1" applyAlignment="1">
      <alignment horizontal="center" vertical="center"/>
    </xf>
    <xf numFmtId="2" fontId="16" fillId="0" borderId="15" xfId="0" applyNumberFormat="1" applyFont="1" applyBorder="1" applyAlignment="1">
      <alignment horizontal="center" vertical="center"/>
    </xf>
    <xf numFmtId="172" fontId="16" fillId="0" borderId="15" xfId="0" applyNumberFormat="1" applyFont="1" applyBorder="1" applyAlignment="1">
      <alignment horizontal="center" vertical="center" wrapText="1" readingOrder="1"/>
    </xf>
    <xf numFmtId="173" fontId="16" fillId="0" borderId="15" xfId="0" applyNumberFormat="1" applyFont="1" applyBorder="1" applyAlignment="1">
      <alignment horizontal="center" vertical="center"/>
    </xf>
    <xf numFmtId="173" fontId="16" fillId="0" borderId="15" xfId="0" applyNumberFormat="1" applyFont="1" applyBorder="1" applyAlignment="1">
      <alignment horizontal="right" vertical="center"/>
    </xf>
    <xf numFmtId="20" fontId="13" fillId="0" borderId="40" xfId="0" applyNumberFormat="1" applyFont="1" applyBorder="1" applyAlignment="1">
      <alignment horizontal="center" vertical="center"/>
    </xf>
    <xf numFmtId="0" fontId="25" fillId="0" borderId="3" xfId="0" applyFont="1" applyBorder="1" applyAlignment="1">
      <alignment horizontal="center" vertical="center"/>
    </xf>
    <xf numFmtId="20" fontId="27" fillId="0" borderId="3" xfId="0" applyNumberFormat="1" applyFont="1" applyBorder="1" applyAlignment="1">
      <alignment horizontal="center" vertical="center"/>
    </xf>
    <xf numFmtId="20" fontId="25" fillId="0" borderId="3" xfId="0" applyNumberFormat="1" applyFont="1" applyBorder="1" applyAlignment="1">
      <alignment horizontal="center" vertical="center"/>
    </xf>
    <xf numFmtId="20" fontId="14" fillId="0" borderId="3" xfId="0" applyNumberFormat="1" applyFont="1" applyBorder="1" applyAlignment="1">
      <alignment horizontal="center" vertical="center" wrapText="1" readingOrder="1"/>
    </xf>
    <xf numFmtId="20" fontId="17" fillId="0" borderId="3" xfId="0" applyNumberFormat="1" applyFont="1" applyBorder="1" applyAlignment="1">
      <alignment horizontal="center" vertical="center" wrapText="1" readingOrder="1"/>
    </xf>
    <xf numFmtId="0" fontId="14" fillId="4" borderId="9" xfId="0" applyFont="1" applyFill="1" applyBorder="1" applyAlignment="1">
      <alignment horizontal="center" vertical="center" wrapText="1" readingOrder="1"/>
    </xf>
    <xf numFmtId="0" fontId="25" fillId="0" borderId="16" xfId="0" applyFont="1" applyBorder="1" applyAlignment="1">
      <alignment horizontal="center" vertical="center"/>
    </xf>
    <xf numFmtId="20" fontId="27" fillId="0" borderId="16" xfId="0" applyNumberFormat="1" applyFont="1" applyBorder="1" applyAlignment="1">
      <alignment horizontal="center" vertical="center"/>
    </xf>
    <xf numFmtId="0" fontId="14" fillId="4" borderId="16" xfId="0" applyFont="1" applyFill="1" applyBorder="1" applyAlignment="1">
      <alignment horizontal="center" vertical="center" wrapText="1" readingOrder="1"/>
    </xf>
    <xf numFmtId="0" fontId="25" fillId="0" borderId="33" xfId="0" applyFont="1" applyBorder="1" applyAlignment="1">
      <alignment horizontal="center" vertical="center"/>
    </xf>
    <xf numFmtId="0" fontId="14" fillId="0" borderId="40" xfId="0" applyFont="1" applyBorder="1" applyAlignment="1">
      <alignment horizontal="center" vertical="center" wrapText="1" readingOrder="1"/>
    </xf>
    <xf numFmtId="0" fontId="25" fillId="0" borderId="37" xfId="0" applyFont="1" applyBorder="1" applyAlignment="1">
      <alignment horizontal="center" vertical="center"/>
    </xf>
    <xf numFmtId="20" fontId="25" fillId="0" borderId="16" xfId="0" applyNumberFormat="1" applyFont="1" applyBorder="1" applyAlignment="1">
      <alignment horizontal="center" vertical="center"/>
    </xf>
    <xf numFmtId="20" fontId="25" fillId="0" borderId="37" xfId="0" applyNumberFormat="1" applyFont="1" applyBorder="1" applyAlignment="1">
      <alignment horizontal="center" vertical="center"/>
    </xf>
    <xf numFmtId="0" fontId="34" fillId="0" borderId="16" xfId="0" applyFont="1" applyBorder="1" applyAlignment="1">
      <alignment horizontal="center" vertical="center"/>
    </xf>
    <xf numFmtId="0" fontId="31" fillId="0" borderId="37" xfId="0" applyFont="1" applyBorder="1" applyAlignment="1">
      <alignment horizontal="center" vertical="center"/>
    </xf>
    <xf numFmtId="20" fontId="31" fillId="0" borderId="16" xfId="0" applyNumberFormat="1" applyFont="1" applyBorder="1" applyAlignment="1">
      <alignment horizontal="center" vertical="center"/>
    </xf>
    <xf numFmtId="0" fontId="31" fillId="0" borderId="33" xfId="0" applyFont="1" applyBorder="1" applyAlignment="1">
      <alignment horizontal="center" vertical="center"/>
    </xf>
    <xf numFmtId="0" fontId="34" fillId="4" borderId="9" xfId="0" applyFont="1" applyFill="1" applyBorder="1" applyAlignment="1">
      <alignment horizontal="center" vertical="center" wrapText="1" readingOrder="1"/>
    </xf>
    <xf numFmtId="20" fontId="31" fillId="0" borderId="37" xfId="0" applyNumberFormat="1" applyFont="1" applyBorder="1" applyAlignment="1">
      <alignment horizontal="center" vertical="center"/>
    </xf>
    <xf numFmtId="0" fontId="37" fillId="4" borderId="9" xfId="0" applyFont="1" applyFill="1" applyBorder="1" applyAlignment="1">
      <alignment horizontal="center" vertical="center" wrapText="1" readingOrder="1"/>
    </xf>
    <xf numFmtId="0" fontId="36" fillId="0" borderId="16" xfId="0" applyFont="1" applyBorder="1" applyAlignment="1">
      <alignment horizontal="center" vertical="center"/>
    </xf>
    <xf numFmtId="20" fontId="37" fillId="0" borderId="16" xfId="0" applyNumberFormat="1" applyFont="1" applyBorder="1" applyAlignment="1">
      <alignment horizontal="center" vertical="center"/>
    </xf>
    <xf numFmtId="0" fontId="37" fillId="0" borderId="40" xfId="0" applyFont="1" applyBorder="1" applyAlignment="1">
      <alignment horizontal="center" vertical="center" wrapText="1" readingOrder="1"/>
    </xf>
    <xf numFmtId="0" fontId="36" fillId="0" borderId="37" xfId="0" applyFont="1" applyBorder="1" applyAlignment="1">
      <alignment horizontal="center" vertical="center"/>
    </xf>
    <xf numFmtId="20" fontId="36" fillId="0" borderId="16" xfId="0" applyNumberFormat="1" applyFont="1" applyBorder="1" applyAlignment="1">
      <alignment horizontal="center" vertical="center"/>
    </xf>
    <xf numFmtId="0" fontId="36" fillId="0" borderId="33" xfId="0" applyFont="1" applyBorder="1" applyAlignment="1">
      <alignment horizontal="center" vertical="center"/>
    </xf>
    <xf numFmtId="0" fontId="34" fillId="0" borderId="40" xfId="0" applyFont="1" applyBorder="1" applyAlignment="1">
      <alignment horizontal="center" vertical="center" wrapText="1" readingOrder="1"/>
    </xf>
    <xf numFmtId="0" fontId="14" fillId="4" borderId="57" xfId="0" applyFont="1" applyFill="1" applyBorder="1" applyAlignment="1">
      <alignment horizontal="left" vertical="center" wrapText="1" readingOrder="1"/>
    </xf>
    <xf numFmtId="0" fontId="14" fillId="4" borderId="58" xfId="0" applyFont="1" applyFill="1" applyBorder="1" applyAlignment="1">
      <alignment vertical="center" wrapText="1" readingOrder="1"/>
    </xf>
    <xf numFmtId="0" fontId="14" fillId="4" borderId="61" xfId="0" applyFont="1" applyFill="1" applyBorder="1" applyAlignment="1">
      <alignment vertical="center" wrapText="1" readingOrder="1"/>
    </xf>
    <xf numFmtId="0" fontId="14" fillId="0" borderId="62" xfId="0" applyFont="1" applyBorder="1" applyAlignment="1">
      <alignment horizontal="left" vertical="center" wrapText="1" readingOrder="1"/>
    </xf>
    <xf numFmtId="0" fontId="16" fillId="0" borderId="63" xfId="0" applyFont="1" applyBorder="1" applyAlignment="1">
      <alignment horizontal="center" vertical="center"/>
    </xf>
    <xf numFmtId="0" fontId="14" fillId="0" borderId="64" xfId="0" applyFont="1" applyBorder="1" applyAlignment="1">
      <alignment horizontal="left" vertical="center" wrapText="1" readingOrder="1"/>
    </xf>
    <xf numFmtId="0" fontId="14" fillId="0" borderId="65" xfId="0" applyFont="1" applyBorder="1" applyAlignment="1">
      <alignment horizontal="left" vertical="center" wrapText="1" readingOrder="1"/>
    </xf>
    <xf numFmtId="20" fontId="13" fillId="0" borderId="66" xfId="0" applyNumberFormat="1" applyFont="1" applyBorder="1" applyAlignment="1">
      <alignment horizontal="center" vertical="center"/>
    </xf>
    <xf numFmtId="0" fontId="14" fillId="0" borderId="67" xfId="0" applyFont="1" applyBorder="1" applyAlignment="1">
      <alignment horizontal="left" vertical="center" wrapText="1" readingOrder="1"/>
    </xf>
    <xf numFmtId="15" fontId="14" fillId="0" borderId="62" xfId="0" applyNumberFormat="1" applyFont="1" applyBorder="1" applyAlignment="1">
      <alignment horizontal="left" vertical="center" wrapText="1" readingOrder="1"/>
    </xf>
    <xf numFmtId="20" fontId="16" fillId="0" borderId="63" xfId="0" applyNumberFormat="1" applyFont="1" applyBorder="1" applyAlignment="1">
      <alignment horizontal="center" vertical="center"/>
    </xf>
    <xf numFmtId="0" fontId="14" fillId="4" borderId="67" xfId="0" applyFont="1" applyFill="1" applyBorder="1" applyAlignment="1">
      <alignment horizontal="left" vertical="center" wrapText="1" readingOrder="1"/>
    </xf>
    <xf numFmtId="0" fontId="14" fillId="4" borderId="68" xfId="0" applyFont="1" applyFill="1" applyBorder="1" applyAlignment="1">
      <alignment vertical="center" wrapText="1" readingOrder="1"/>
    </xf>
    <xf numFmtId="0" fontId="13" fillId="0" borderId="63" xfId="0" applyFont="1" applyBorder="1" applyAlignment="1">
      <alignment horizontal="center" vertical="center"/>
    </xf>
    <xf numFmtId="0" fontId="16" fillId="0" borderId="69" xfId="0" applyFont="1" applyBorder="1" applyAlignment="1">
      <alignment horizontal="center" vertical="center"/>
    </xf>
    <xf numFmtId="15" fontId="14" fillId="0" borderId="70" xfId="0" applyNumberFormat="1" applyFont="1" applyBorder="1" applyAlignment="1">
      <alignment horizontal="left" vertical="center" wrapText="1" readingOrder="1"/>
    </xf>
    <xf numFmtId="0" fontId="14" fillId="4" borderId="64" xfId="0" applyFont="1" applyFill="1" applyBorder="1" applyAlignment="1">
      <alignment horizontal="left" vertical="center" wrapText="1" readingOrder="1"/>
    </xf>
    <xf numFmtId="0" fontId="14" fillId="4" borderId="71" xfId="0" applyFont="1" applyFill="1" applyBorder="1" applyAlignment="1">
      <alignment horizontal="center" vertical="center" wrapText="1" readingOrder="1"/>
    </xf>
    <xf numFmtId="0" fontId="25" fillId="0" borderId="71" xfId="0" applyFont="1" applyBorder="1" applyAlignment="1">
      <alignment horizontal="center" vertical="center"/>
    </xf>
    <xf numFmtId="20" fontId="27" fillId="0" borderId="71" xfId="0" applyNumberFormat="1" applyFont="1" applyBorder="1" applyAlignment="1">
      <alignment horizontal="center" vertical="center"/>
    </xf>
    <xf numFmtId="15" fontId="14" fillId="0" borderId="64" xfId="0" applyNumberFormat="1" applyFont="1" applyBorder="1" applyAlignment="1">
      <alignment horizontal="left" vertical="center" wrapText="1" readingOrder="1"/>
    </xf>
    <xf numFmtId="0" fontId="27" fillId="0" borderId="71" xfId="0" applyFont="1" applyBorder="1" applyAlignment="1">
      <alignment horizontal="center" vertical="center"/>
    </xf>
    <xf numFmtId="20" fontId="25" fillId="0" borderId="71" xfId="0" applyNumberFormat="1" applyFont="1" applyBorder="1" applyAlignment="1">
      <alignment horizontal="center" vertical="center"/>
    </xf>
    <xf numFmtId="0" fontId="0" fillId="0" borderId="72" xfId="0" applyBorder="1" applyAlignment="1">
      <alignment horizontal="left" indent="1"/>
    </xf>
    <xf numFmtId="0" fontId="14" fillId="0" borderId="0" xfId="0" applyFont="1" applyAlignment="1">
      <alignment horizontal="center" vertical="center" wrapText="1" readingOrder="1"/>
    </xf>
    <xf numFmtId="0" fontId="25" fillId="0" borderId="0" xfId="0" applyFont="1" applyAlignment="1">
      <alignment horizontal="left" indent="5"/>
    </xf>
    <xf numFmtId="0" fontId="25" fillId="0" borderId="73" xfId="0" applyFont="1" applyBorder="1" applyAlignment="1">
      <alignment horizontal="center" vertical="center"/>
    </xf>
    <xf numFmtId="0" fontId="14" fillId="0" borderId="71" xfId="0" applyFont="1" applyBorder="1" applyAlignment="1">
      <alignment horizontal="center" vertical="center" wrapText="1" readingOrder="1"/>
    </xf>
    <xf numFmtId="167" fontId="17" fillId="0" borderId="71" xfId="1" quotePrefix="1" applyNumberFormat="1" applyFont="1" applyBorder="1" applyAlignment="1">
      <alignment horizontal="center" vertical="center" wrapText="1" readingOrder="1"/>
    </xf>
    <xf numFmtId="0" fontId="14" fillId="4" borderId="75" xfId="0" applyFont="1" applyFill="1" applyBorder="1" applyAlignment="1">
      <alignment horizontal="center" vertical="center" wrapText="1" readingOrder="1"/>
    </xf>
    <xf numFmtId="0" fontId="25" fillId="0" borderId="76" xfId="0" applyFont="1" applyBorder="1" applyAlignment="1">
      <alignment horizontal="center" vertical="center"/>
    </xf>
    <xf numFmtId="0" fontId="14" fillId="4" borderId="77" xfId="0" applyFont="1" applyFill="1" applyBorder="1" applyAlignment="1">
      <alignment horizontal="center" vertical="center" wrapText="1" readingOrder="1"/>
    </xf>
    <xf numFmtId="0" fontId="14" fillId="0" borderId="66" xfId="0" applyFont="1" applyBorder="1" applyAlignment="1">
      <alignment horizontal="center" vertical="center" wrapText="1" readingOrder="1"/>
    </xf>
    <xf numFmtId="20" fontId="28" fillId="0" borderId="78" xfId="0" applyNumberFormat="1" applyFont="1" applyBorder="1" applyAlignment="1">
      <alignment horizontal="center" vertical="center" wrapText="1" readingOrder="1"/>
    </xf>
    <xf numFmtId="20" fontId="28" fillId="0" borderId="79" xfId="0" applyNumberFormat="1" applyFont="1" applyBorder="1" applyAlignment="1">
      <alignment horizontal="center" vertical="center" wrapText="1" readingOrder="1"/>
    </xf>
    <xf numFmtId="0" fontId="30" fillId="4" borderId="67" xfId="0" applyFont="1" applyFill="1" applyBorder="1" applyAlignment="1">
      <alignment horizontal="left" vertical="center" wrapText="1" readingOrder="1"/>
    </xf>
    <xf numFmtId="0" fontId="30" fillId="4" borderId="75" xfId="0" applyFont="1" applyFill="1" applyBorder="1" applyAlignment="1">
      <alignment horizontal="center" vertical="center" wrapText="1" readingOrder="1"/>
    </xf>
    <xf numFmtId="0" fontId="30" fillId="0" borderId="62" xfId="0" applyFont="1" applyBorder="1" applyAlignment="1">
      <alignment horizontal="left" vertical="center" wrapText="1" indent="1" readingOrder="1"/>
    </xf>
    <xf numFmtId="0" fontId="31" fillId="0" borderId="71" xfId="0" applyFont="1" applyBorder="1" applyAlignment="1">
      <alignment horizontal="center" vertical="center"/>
    </xf>
    <xf numFmtId="0" fontId="30" fillId="0" borderId="64" xfId="0" applyFont="1" applyBorder="1" applyAlignment="1">
      <alignment horizontal="left" vertical="center" wrapText="1" indent="1" readingOrder="1"/>
    </xf>
    <xf numFmtId="0" fontId="30" fillId="0" borderId="65" xfId="0" applyFont="1" applyBorder="1" applyAlignment="1">
      <alignment horizontal="left" vertical="center" wrapText="1" indent="1" readingOrder="1"/>
    </xf>
    <xf numFmtId="20" fontId="34" fillId="0" borderId="71" xfId="0" applyNumberFormat="1" applyFont="1" applyBorder="1" applyAlignment="1">
      <alignment horizontal="center" vertical="center"/>
    </xf>
    <xf numFmtId="0" fontId="30" fillId="0" borderId="67" xfId="0" applyFont="1" applyBorder="1" applyAlignment="1">
      <alignment horizontal="left" vertical="center" wrapText="1" indent="1" readingOrder="1"/>
    </xf>
    <xf numFmtId="0" fontId="30" fillId="0" borderId="66" xfId="0" applyFont="1" applyBorder="1" applyAlignment="1">
      <alignment horizontal="center" vertical="center" wrapText="1" readingOrder="1"/>
    </xf>
    <xf numFmtId="15" fontId="30" fillId="0" borderId="62" xfId="0" applyNumberFormat="1" applyFont="1" applyBorder="1" applyAlignment="1">
      <alignment horizontal="left" vertical="center" wrapText="1" indent="1" readingOrder="1"/>
    </xf>
    <xf numFmtId="20" fontId="31" fillId="0" borderId="78" xfId="0" applyNumberFormat="1" applyFont="1" applyBorder="1" applyAlignment="1">
      <alignment horizontal="center" vertical="center" wrapText="1" readingOrder="1"/>
    </xf>
    <xf numFmtId="20" fontId="31" fillId="0" borderId="79" xfId="0" applyNumberFormat="1" applyFont="1" applyBorder="1" applyAlignment="1">
      <alignment horizontal="center" vertical="center" wrapText="1" readingOrder="1"/>
    </xf>
    <xf numFmtId="0" fontId="30" fillId="0" borderId="62" xfId="0" applyFont="1" applyBorder="1" applyAlignment="1">
      <alignment horizontal="left" vertical="center" wrapText="1" readingOrder="1"/>
    </xf>
    <xf numFmtId="0" fontId="30" fillId="0" borderId="64" xfId="0" applyFont="1" applyBorder="1" applyAlignment="1">
      <alignment horizontal="left" vertical="center" wrapText="1" readingOrder="1"/>
    </xf>
    <xf numFmtId="0" fontId="30" fillId="0" borderId="65" xfId="0" applyFont="1" applyBorder="1" applyAlignment="1">
      <alignment horizontal="left" vertical="center" wrapText="1" readingOrder="1"/>
    </xf>
    <xf numFmtId="0" fontId="30" fillId="0" borderId="67" xfId="0" applyFont="1" applyBorder="1" applyAlignment="1">
      <alignment horizontal="left" vertical="center" wrapText="1" readingOrder="1"/>
    </xf>
    <xf numFmtId="15" fontId="30" fillId="0" borderId="62" xfId="0" applyNumberFormat="1" applyFont="1" applyBorder="1" applyAlignment="1">
      <alignment horizontal="left" vertical="center" wrapText="1" readingOrder="1"/>
    </xf>
    <xf numFmtId="0" fontId="34" fillId="4" borderId="67" xfId="0" applyFont="1" applyFill="1" applyBorder="1" applyAlignment="1">
      <alignment horizontal="left" vertical="center" wrapText="1" readingOrder="1"/>
    </xf>
    <xf numFmtId="0" fontId="34" fillId="4" borderId="75" xfId="0" applyFont="1" applyFill="1" applyBorder="1" applyAlignment="1">
      <alignment horizontal="center" vertical="center" wrapText="1" readingOrder="1"/>
    </xf>
    <xf numFmtId="15" fontId="37" fillId="0" borderId="62" xfId="0" applyNumberFormat="1" applyFont="1" applyBorder="1" applyAlignment="1">
      <alignment horizontal="left" vertical="center" wrapText="1" readingOrder="1"/>
    </xf>
    <xf numFmtId="0" fontId="37" fillId="4" borderId="67" xfId="0" applyFont="1" applyFill="1" applyBorder="1" applyAlignment="1">
      <alignment horizontal="left" vertical="center" wrapText="1" readingOrder="1"/>
    </xf>
    <xf numFmtId="0" fontId="37" fillId="4" borderId="75" xfId="0" applyFont="1" applyFill="1" applyBorder="1" applyAlignment="1">
      <alignment horizontal="center" vertical="center" wrapText="1" readingOrder="1"/>
    </xf>
    <xf numFmtId="0" fontId="37" fillId="0" borderId="62" xfId="0" applyFont="1" applyBorder="1" applyAlignment="1">
      <alignment horizontal="left" vertical="center" wrapText="1" readingOrder="1"/>
    </xf>
    <xf numFmtId="0" fontId="36" fillId="0" borderId="71" xfId="0" applyFont="1" applyBorder="1" applyAlignment="1">
      <alignment horizontal="center" vertical="center"/>
    </xf>
    <xf numFmtId="0" fontId="37" fillId="0" borderId="64" xfId="0" applyFont="1" applyBorder="1" applyAlignment="1">
      <alignment horizontal="left" vertical="center" wrapText="1" readingOrder="1"/>
    </xf>
    <xf numFmtId="0" fontId="37" fillId="0" borderId="65" xfId="0" applyFont="1" applyBorder="1" applyAlignment="1">
      <alignment horizontal="left" vertical="center" wrapText="1" readingOrder="1"/>
    </xf>
    <xf numFmtId="20" fontId="37" fillId="0" borderId="71" xfId="0" applyNumberFormat="1" applyFont="1" applyBorder="1" applyAlignment="1">
      <alignment horizontal="center" vertical="center"/>
    </xf>
    <xf numFmtId="0" fontId="37" fillId="0" borderId="67" xfId="0" applyFont="1" applyBorder="1" applyAlignment="1">
      <alignment horizontal="left" vertical="center" wrapText="1" readingOrder="1"/>
    </xf>
    <xf numFmtId="0" fontId="37" fillId="0" borderId="66" xfId="0" applyFont="1" applyBorder="1" applyAlignment="1">
      <alignment horizontal="center" vertical="center" wrapText="1" readingOrder="1"/>
    </xf>
    <xf numFmtId="20" fontId="36" fillId="0" borderId="78" xfId="0" applyNumberFormat="1" applyFont="1" applyBorder="1" applyAlignment="1">
      <alignment horizontal="center" vertical="center" wrapText="1" readingOrder="1"/>
    </xf>
    <xf numFmtId="15" fontId="37" fillId="0" borderId="70" xfId="0" applyNumberFormat="1" applyFont="1" applyBorder="1" applyAlignment="1">
      <alignment horizontal="left" vertical="center" wrapText="1" readingOrder="1"/>
    </xf>
    <xf numFmtId="20" fontId="36" fillId="0" borderId="79" xfId="0" applyNumberFormat="1" applyFont="1" applyBorder="1" applyAlignment="1">
      <alignment horizontal="center" vertical="center" wrapText="1" readingOrder="1"/>
    </xf>
    <xf numFmtId="15" fontId="30" fillId="0" borderId="70" xfId="0" applyNumberFormat="1" applyFont="1" applyBorder="1" applyAlignment="1">
      <alignment horizontal="left" vertical="center" wrapText="1" readingOrder="1"/>
    </xf>
    <xf numFmtId="0" fontId="34" fillId="0" borderId="62" xfId="0" applyFont="1" applyBorder="1" applyAlignment="1">
      <alignment horizontal="left" vertical="center" wrapText="1" readingOrder="1"/>
    </xf>
    <xf numFmtId="0" fontId="34" fillId="0" borderId="64" xfId="0" applyFont="1" applyBorder="1" applyAlignment="1">
      <alignment horizontal="left" vertical="center" wrapText="1" readingOrder="1"/>
    </xf>
    <xf numFmtId="0" fontId="34" fillId="0" borderId="65" xfId="0" applyFont="1" applyBorder="1" applyAlignment="1">
      <alignment horizontal="left" vertical="center" wrapText="1" readingOrder="1"/>
    </xf>
    <xf numFmtId="0" fontId="34" fillId="0" borderId="67" xfId="0" applyFont="1" applyBorder="1" applyAlignment="1">
      <alignment horizontal="left" vertical="center" wrapText="1" readingOrder="1"/>
    </xf>
    <xf numFmtId="0" fontId="34" fillId="0" borderId="66" xfId="0" applyFont="1" applyBorder="1" applyAlignment="1">
      <alignment horizontal="center" vertical="center" wrapText="1" readingOrder="1"/>
    </xf>
    <xf numFmtId="15" fontId="34" fillId="0" borderId="62" xfId="0" applyNumberFormat="1" applyFont="1" applyBorder="1" applyAlignment="1">
      <alignment horizontal="left" vertical="center" wrapText="1" readingOrder="1"/>
    </xf>
    <xf numFmtId="15" fontId="34" fillId="0" borderId="70" xfId="0" applyNumberFormat="1" applyFont="1" applyBorder="1" applyAlignment="1">
      <alignment horizontal="left" vertical="center" wrapText="1" readingOrder="1"/>
    </xf>
    <xf numFmtId="0" fontId="30" fillId="4" borderId="80" xfId="0" applyFont="1" applyFill="1" applyBorder="1" applyAlignment="1">
      <alignment horizontal="center" vertical="center" wrapText="1" readingOrder="1"/>
    </xf>
    <xf numFmtId="0" fontId="31" fillId="0" borderId="74" xfId="0" applyFont="1" applyBorder="1" applyAlignment="1">
      <alignment horizontal="center" vertical="center"/>
    </xf>
    <xf numFmtId="20" fontId="34" fillId="0" borderId="74" xfId="0" applyNumberFormat="1" applyFont="1" applyBorder="1" applyAlignment="1">
      <alignment horizontal="center" vertical="center"/>
    </xf>
    <xf numFmtId="0" fontId="30" fillId="0" borderId="81" xfId="0" applyFont="1" applyBorder="1" applyAlignment="1">
      <alignment horizontal="center" vertical="center" wrapText="1" readingOrder="1"/>
    </xf>
    <xf numFmtId="15" fontId="30" fillId="3" borderId="62" xfId="0" applyNumberFormat="1" applyFont="1" applyFill="1" applyBorder="1" applyAlignment="1">
      <alignment horizontal="left" vertical="center" wrapText="1" indent="1" readingOrder="1"/>
    </xf>
    <xf numFmtId="20" fontId="31" fillId="0" borderId="74" xfId="0" applyNumberFormat="1" applyFont="1" applyBorder="1" applyAlignment="1">
      <alignment horizontal="center" vertical="center" wrapText="1" readingOrder="1"/>
    </xf>
    <xf numFmtId="20" fontId="31" fillId="0" borderId="82" xfId="0" applyNumberFormat="1" applyFont="1" applyBorder="1" applyAlignment="1">
      <alignment horizontal="center" vertical="center" wrapText="1" readingOrder="1"/>
    </xf>
    <xf numFmtId="0" fontId="41" fillId="4" borderId="67" xfId="0" applyFont="1" applyFill="1" applyBorder="1" applyAlignment="1">
      <alignment horizontal="left" vertical="center" wrapText="1" readingOrder="1"/>
    </xf>
    <xf numFmtId="0" fontId="41" fillId="0" borderId="62" xfId="0" applyFont="1" applyBorder="1" applyAlignment="1">
      <alignment horizontal="left" vertical="center" wrapText="1" indent="1" readingOrder="1"/>
    </xf>
    <xf numFmtId="0" fontId="41" fillId="0" borderId="64" xfId="0" applyFont="1" applyBorder="1" applyAlignment="1">
      <alignment horizontal="left" vertical="center" wrapText="1" indent="1" readingOrder="1"/>
    </xf>
    <xf numFmtId="0" fontId="41" fillId="0" borderId="65" xfId="0" applyFont="1" applyBorder="1" applyAlignment="1">
      <alignment horizontal="left" vertical="center" wrapText="1" indent="1" readingOrder="1"/>
    </xf>
    <xf numFmtId="0" fontId="41" fillId="0" borderId="67" xfId="0" applyFont="1" applyBorder="1" applyAlignment="1">
      <alignment horizontal="left" vertical="center" wrapText="1" indent="1" readingOrder="1"/>
    </xf>
    <xf numFmtId="15" fontId="41" fillId="0" borderId="62" xfId="0" applyNumberFormat="1" applyFont="1" applyBorder="1" applyAlignment="1">
      <alignment horizontal="left" vertical="center" wrapText="1" indent="1" readingOrder="1"/>
    </xf>
    <xf numFmtId="0" fontId="41" fillId="4" borderId="67" xfId="0" applyFont="1" applyFill="1" applyBorder="1" applyAlignment="1">
      <alignment horizontal="left" vertical="center" wrapText="1" indent="1" readingOrder="1"/>
    </xf>
    <xf numFmtId="0" fontId="41" fillId="0" borderId="62" xfId="0" applyFont="1" applyBorder="1" applyAlignment="1">
      <alignment horizontal="left" vertical="center" wrapText="1" readingOrder="1"/>
    </xf>
    <xf numFmtId="0" fontId="41" fillId="0" borderId="64" xfId="0" applyFont="1" applyBorder="1" applyAlignment="1">
      <alignment horizontal="left" vertical="center" wrapText="1" readingOrder="1"/>
    </xf>
    <xf numFmtId="0" fontId="41" fillId="0" borderId="65" xfId="0" applyFont="1" applyBorder="1" applyAlignment="1">
      <alignment horizontal="left" vertical="center" wrapText="1" readingOrder="1"/>
    </xf>
    <xf numFmtId="0" fontId="41" fillId="0" borderId="67" xfId="0" applyFont="1" applyBorder="1" applyAlignment="1">
      <alignment horizontal="left" vertical="center" wrapText="1" readingOrder="1"/>
    </xf>
    <xf numFmtId="15" fontId="41" fillId="0" borderId="62" xfId="0" applyNumberFormat="1" applyFont="1" applyBorder="1" applyAlignment="1">
      <alignment horizontal="left" vertical="center" wrapText="1" readingOrder="1"/>
    </xf>
    <xf numFmtId="0" fontId="43" fillId="4" borderId="67" xfId="0" applyFont="1" applyFill="1" applyBorder="1" applyAlignment="1">
      <alignment horizontal="left" vertical="center" wrapText="1" readingOrder="1"/>
    </xf>
    <xf numFmtId="15" fontId="41" fillId="0" borderId="70" xfId="0" applyNumberFormat="1" applyFont="1" applyBorder="1" applyAlignment="1">
      <alignment horizontal="left" vertical="center" wrapText="1" readingOrder="1"/>
    </xf>
    <xf numFmtId="15" fontId="43" fillId="0" borderId="62" xfId="0" applyNumberFormat="1" applyFont="1" applyBorder="1" applyAlignment="1">
      <alignment horizontal="left" vertical="center" wrapText="1" readingOrder="1"/>
    </xf>
    <xf numFmtId="15" fontId="43" fillId="0" borderId="70" xfId="0" applyNumberFormat="1" applyFont="1" applyBorder="1" applyAlignment="1">
      <alignment horizontal="left" vertical="center" wrapText="1" readingOrder="1"/>
    </xf>
    <xf numFmtId="0" fontId="48" fillId="4" borderId="67" xfId="0" applyFont="1" applyFill="1" applyBorder="1" applyAlignment="1">
      <alignment horizontal="left" vertical="center" wrapText="1" indent="1" readingOrder="1"/>
    </xf>
    <xf numFmtId="0" fontId="48" fillId="4" borderId="80" xfId="0" applyFont="1" applyFill="1" applyBorder="1" applyAlignment="1">
      <alignment horizontal="center" vertical="center" wrapText="1" readingOrder="1"/>
    </xf>
    <xf numFmtId="0" fontId="48" fillId="0" borderId="62" xfId="0" applyFont="1" applyBorder="1" applyAlignment="1">
      <alignment horizontal="left" vertical="center" wrapText="1" indent="1" readingOrder="1"/>
    </xf>
    <xf numFmtId="0" fontId="16" fillId="0" borderId="74" xfId="0" applyFont="1" applyBorder="1" applyAlignment="1">
      <alignment horizontal="center" vertical="center"/>
    </xf>
    <xf numFmtId="0" fontId="48" fillId="0" borderId="64" xfId="0" applyFont="1" applyBorder="1" applyAlignment="1">
      <alignment horizontal="left" vertical="center" wrapText="1" indent="1" readingOrder="1"/>
    </xf>
    <xf numFmtId="0" fontId="48" fillId="0" borderId="65" xfId="0" applyFont="1" applyBorder="1" applyAlignment="1">
      <alignment horizontal="left" vertical="center" wrapText="1" indent="1" readingOrder="1"/>
    </xf>
    <xf numFmtId="20" fontId="13" fillId="0" borderId="74" xfId="0" applyNumberFormat="1" applyFont="1" applyBorder="1" applyAlignment="1">
      <alignment horizontal="center" vertical="center"/>
    </xf>
    <xf numFmtId="0" fontId="48" fillId="0" borderId="67" xfId="0" applyFont="1" applyBorder="1" applyAlignment="1">
      <alignment horizontal="left" vertical="center" wrapText="1" indent="1" readingOrder="1"/>
    </xf>
    <xf numFmtId="0" fontId="48" fillId="0" borderId="81" xfId="0" applyFont="1" applyBorder="1" applyAlignment="1">
      <alignment horizontal="center" vertical="center" wrapText="1" readingOrder="1"/>
    </xf>
    <xf numFmtId="15" fontId="48" fillId="0" borderId="62" xfId="0" applyNumberFormat="1" applyFont="1" applyBorder="1" applyAlignment="1">
      <alignment horizontal="left" vertical="center" wrapText="1" indent="1" readingOrder="1"/>
    </xf>
    <xf numFmtId="20" fontId="16" fillId="0" borderId="74" xfId="0" applyNumberFormat="1" applyFont="1" applyBorder="1" applyAlignment="1">
      <alignment horizontal="center" vertical="center" wrapText="1" readingOrder="1"/>
    </xf>
    <xf numFmtId="20" fontId="16" fillId="0" borderId="82" xfId="0" applyNumberFormat="1" applyFont="1" applyBorder="1" applyAlignment="1">
      <alignment horizontal="center" vertical="center" wrapText="1" readingOrder="1"/>
    </xf>
    <xf numFmtId="15" fontId="48" fillId="0" borderId="70" xfId="0" applyNumberFormat="1" applyFont="1" applyBorder="1" applyAlignment="1">
      <alignment horizontal="left" vertical="center" wrapText="1" indent="1" readingOrder="1"/>
    </xf>
    <xf numFmtId="15" fontId="48" fillId="0" borderId="83" xfId="0" applyNumberFormat="1" applyFont="1" applyBorder="1" applyAlignment="1">
      <alignment horizontal="left" vertical="center" wrapText="1" indent="1" readingOrder="1"/>
    </xf>
    <xf numFmtId="10" fontId="49" fillId="0" borderId="84" xfId="1" quotePrefix="1" applyNumberFormat="1" applyFont="1" applyBorder="1" applyAlignment="1">
      <alignment horizontal="right" vertical="center" wrapText="1" indent="2" readingOrder="1"/>
    </xf>
    <xf numFmtId="20" fontId="16" fillId="0" borderId="85" xfId="0" applyNumberFormat="1" applyFont="1" applyBorder="1" applyAlignment="1">
      <alignment horizontal="center" vertical="center" wrapText="1" readingOrder="1"/>
    </xf>
    <xf numFmtId="20" fontId="16" fillId="0" borderId="88" xfId="0" applyNumberFormat="1" applyFont="1" applyBorder="1" applyAlignment="1">
      <alignment horizontal="center" vertical="center" wrapText="1" readingOrder="1"/>
    </xf>
    <xf numFmtId="0" fontId="14" fillId="4" borderId="91" xfId="0" applyFont="1" applyFill="1" applyBorder="1" applyAlignment="1">
      <alignment vertical="center" wrapText="1" readingOrder="1"/>
    </xf>
    <xf numFmtId="0" fontId="14" fillId="4" borderId="92" xfId="0" applyFont="1" applyFill="1" applyBorder="1" applyAlignment="1">
      <alignment vertical="center" wrapText="1" readingOrder="1"/>
    </xf>
    <xf numFmtId="0" fontId="0" fillId="0" borderId="73" xfId="0" applyBorder="1" applyAlignment="1">
      <alignment horizontal="center" vertical="center"/>
    </xf>
    <xf numFmtId="20" fontId="3" fillId="0" borderId="81" xfId="0" applyNumberFormat="1" applyFont="1" applyBorder="1" applyAlignment="1">
      <alignment horizontal="center" vertical="center"/>
    </xf>
    <xf numFmtId="0" fontId="0" fillId="0" borderId="93" xfId="0" applyBorder="1" applyAlignment="1">
      <alignment horizontal="center" vertical="center"/>
    </xf>
    <xf numFmtId="0" fontId="0" fillId="0" borderId="94" xfId="0" applyBorder="1" applyAlignment="1">
      <alignment horizontal="center" vertical="center"/>
    </xf>
    <xf numFmtId="20" fontId="51" fillId="0" borderId="40" xfId="0" applyNumberFormat="1" applyFont="1" applyBorder="1" applyAlignment="1">
      <alignment horizontal="center" vertical="center"/>
    </xf>
    <xf numFmtId="0" fontId="48" fillId="4" borderId="20" xfId="0" applyFont="1" applyFill="1" applyBorder="1" applyAlignment="1">
      <alignment horizontal="left" vertical="center" wrapText="1" indent="1" readingOrder="1"/>
    </xf>
    <xf numFmtId="0" fontId="48" fillId="4" borderId="34" xfId="0" applyFont="1" applyFill="1" applyBorder="1" applyAlignment="1">
      <alignment horizontal="center" vertical="center" wrapText="1" readingOrder="1"/>
    </xf>
    <xf numFmtId="0" fontId="48" fillId="0" borderId="23" xfId="0" applyFont="1" applyBorder="1" applyAlignment="1">
      <alignment horizontal="left" vertical="center" wrapText="1" indent="1" readingOrder="1"/>
    </xf>
    <xf numFmtId="0" fontId="48" fillId="0" borderId="55" xfId="0" applyFont="1" applyBorder="1" applyAlignment="1">
      <alignment horizontal="center" vertical="center" wrapText="1" readingOrder="1"/>
    </xf>
    <xf numFmtId="0" fontId="16" fillId="0" borderId="16" xfId="0" applyFont="1" applyBorder="1" applyAlignment="1">
      <alignment horizontal="center" vertical="center"/>
    </xf>
    <xf numFmtId="0" fontId="48" fillId="0" borderId="13" xfId="0" applyFont="1" applyBorder="1" applyAlignment="1">
      <alignment horizontal="left" vertical="center" wrapText="1" indent="1" readingOrder="1"/>
    </xf>
    <xf numFmtId="0" fontId="48" fillId="0" borderId="19" xfId="0" applyFont="1" applyBorder="1" applyAlignment="1">
      <alignment horizontal="left" vertical="center" wrapText="1" indent="1" readingOrder="1"/>
    </xf>
    <xf numFmtId="0" fontId="48" fillId="0" borderId="20" xfId="0" applyFont="1" applyBorder="1" applyAlignment="1">
      <alignment horizontal="left" vertical="center" wrapText="1" indent="1" readingOrder="1"/>
    </xf>
    <xf numFmtId="0" fontId="48" fillId="0" borderId="40" xfId="0" applyFont="1" applyBorder="1" applyAlignment="1">
      <alignment horizontal="center" vertical="center" wrapText="1" readingOrder="1"/>
    </xf>
    <xf numFmtId="15" fontId="48" fillId="0" borderId="23" xfId="0" applyNumberFormat="1" applyFont="1" applyBorder="1" applyAlignment="1">
      <alignment horizontal="left" vertical="center" wrapText="1" indent="1" readingOrder="1"/>
    </xf>
    <xf numFmtId="168" fontId="49" fillId="0" borderId="4" xfId="2" quotePrefix="1" applyNumberFormat="1" applyFont="1" applyBorder="1" applyAlignment="1">
      <alignment horizontal="right" vertical="center" wrapText="1" indent="2" readingOrder="1"/>
    </xf>
    <xf numFmtId="20" fontId="23" fillId="0" borderId="53" xfId="0" applyNumberFormat="1" applyFont="1" applyBorder="1" applyAlignment="1">
      <alignment horizontal="center" vertical="center" wrapText="1" readingOrder="1"/>
    </xf>
    <xf numFmtId="20" fontId="16" fillId="0" borderId="16" xfId="0" applyNumberFormat="1" applyFont="1" applyBorder="1" applyAlignment="1">
      <alignment horizontal="center" vertical="center" wrapText="1" readingOrder="1"/>
    </xf>
    <xf numFmtId="168" fontId="49" fillId="0" borderId="4" xfId="2" quotePrefix="1" applyNumberFormat="1" applyFont="1" applyFill="1" applyBorder="1" applyAlignment="1">
      <alignment horizontal="right" vertical="center" wrapText="1" indent="2" readingOrder="1"/>
    </xf>
    <xf numFmtId="20" fontId="16" fillId="0" borderId="33" xfId="0" applyNumberFormat="1" applyFont="1" applyBorder="1" applyAlignment="1">
      <alignment horizontal="center" vertical="center" wrapText="1" readingOrder="1"/>
    </xf>
    <xf numFmtId="20" fontId="50" fillId="0" borderId="53" xfId="0" applyNumberFormat="1" applyFont="1" applyBorder="1" applyAlignment="1">
      <alignment horizontal="center" vertical="center" wrapText="1" readingOrder="1"/>
    </xf>
    <xf numFmtId="0" fontId="16" fillId="0" borderId="37" xfId="0" applyFont="1" applyBorder="1" applyAlignment="1">
      <alignment horizontal="center" vertical="center"/>
    </xf>
    <xf numFmtId="15" fontId="52" fillId="0" borderId="23" xfId="0" applyNumberFormat="1" applyFont="1" applyBorder="1" applyAlignment="1">
      <alignment horizontal="left" vertical="center" wrapText="1" indent="1" readingOrder="1"/>
    </xf>
    <xf numFmtId="15" fontId="48" fillId="0" borderId="42" xfId="0" applyNumberFormat="1" applyFont="1" applyBorder="1" applyAlignment="1">
      <alignment horizontal="left" vertical="center" wrapText="1" indent="1" readingOrder="1"/>
    </xf>
    <xf numFmtId="20" fontId="50" fillId="0" borderId="54" xfId="0" applyNumberFormat="1" applyFont="1" applyBorder="1" applyAlignment="1">
      <alignment horizontal="center" vertical="center" wrapText="1" readingOrder="1"/>
    </xf>
    <xf numFmtId="0" fontId="0" fillId="0" borderId="1" xfId="0" applyBorder="1" applyAlignment="1">
      <alignment vertical="center"/>
    </xf>
    <xf numFmtId="0" fontId="0" fillId="0" borderId="0" xfId="0" applyAlignment="1">
      <alignment vertical="center"/>
    </xf>
    <xf numFmtId="10" fontId="4" fillId="0" borderId="14" xfId="1" applyNumberFormat="1" applyFont="1" applyBorder="1" applyAlignment="1">
      <alignment horizontal="right" vertical="center" wrapText="1"/>
    </xf>
    <xf numFmtId="0" fontId="30" fillId="4" borderId="20" xfId="0" applyFont="1" applyFill="1" applyBorder="1" applyAlignment="1">
      <alignment horizontal="left" vertical="center" wrapText="1" readingOrder="1"/>
    </xf>
    <xf numFmtId="0" fontId="30" fillId="0" borderId="23" xfId="0" applyFont="1" applyBorder="1" applyAlignment="1">
      <alignment horizontal="left" vertical="center" wrapText="1" readingOrder="1"/>
    </xf>
    <xf numFmtId="0" fontId="30" fillId="0" borderId="13" xfId="0" applyFont="1" applyBorder="1" applyAlignment="1">
      <alignment horizontal="left" vertical="center" wrapText="1" readingOrder="1"/>
    </xf>
    <xf numFmtId="0" fontId="30" fillId="0" borderId="19" xfId="0" applyFont="1" applyBorder="1" applyAlignment="1">
      <alignment horizontal="left" vertical="center" wrapText="1" readingOrder="1"/>
    </xf>
    <xf numFmtId="0" fontId="30" fillId="0" borderId="20" xfId="0" applyFont="1" applyBorder="1" applyAlignment="1">
      <alignment horizontal="left" vertical="center" wrapText="1" readingOrder="1"/>
    </xf>
    <xf numFmtId="15" fontId="30" fillId="0" borderId="23" xfId="0" applyNumberFormat="1" applyFont="1" applyBorder="1" applyAlignment="1">
      <alignment horizontal="left" vertical="center" wrapText="1" readingOrder="1"/>
    </xf>
    <xf numFmtId="43" fontId="33" fillId="0" borderId="4" xfId="1" quotePrefix="1" applyFont="1" applyBorder="1" applyAlignment="1">
      <alignment horizontal="right" vertical="center" wrapText="1" readingOrder="1"/>
    </xf>
    <xf numFmtId="43" fontId="33" fillId="0" borderId="24" xfId="1" quotePrefix="1" applyFont="1" applyBorder="1" applyAlignment="1">
      <alignment horizontal="right" vertical="center" wrapText="1" readingOrder="1"/>
    </xf>
    <xf numFmtId="15" fontId="30" fillId="0" borderId="25" xfId="0" applyNumberFormat="1" applyFont="1" applyBorder="1" applyAlignment="1">
      <alignment horizontal="left" vertical="center" wrapText="1" readingOrder="1"/>
    </xf>
    <xf numFmtId="43" fontId="33" fillId="0" borderId="26" xfId="1" applyFont="1" applyBorder="1" applyAlignment="1">
      <alignment horizontal="right" vertical="center" wrapText="1" readingOrder="1"/>
    </xf>
    <xf numFmtId="43" fontId="33" fillId="0" borderId="27" xfId="1" applyFont="1" applyBorder="1" applyAlignment="1">
      <alignment horizontal="right" vertical="center" wrapText="1" readingOrder="1"/>
    </xf>
    <xf numFmtId="0" fontId="30" fillId="4" borderId="6" xfId="0" applyFont="1" applyFill="1" applyBorder="1" applyAlignment="1">
      <alignment horizontal="left" vertical="center" wrapText="1" readingOrder="1"/>
    </xf>
    <xf numFmtId="168" fontId="33" fillId="0" borderId="24" xfId="2" quotePrefix="1" applyNumberFormat="1" applyFont="1" applyBorder="1" applyAlignment="1">
      <alignment horizontal="right" vertical="center" wrapText="1" readingOrder="1"/>
    </xf>
    <xf numFmtId="168" fontId="33" fillId="0" borderId="26" xfId="2" applyNumberFormat="1" applyFont="1" applyBorder="1" applyAlignment="1">
      <alignment horizontal="right" vertical="center" wrapText="1" readingOrder="1"/>
    </xf>
    <xf numFmtId="168" fontId="33" fillId="0" borderId="27" xfId="2" applyNumberFormat="1" applyFont="1" applyBorder="1" applyAlignment="1">
      <alignment horizontal="right" vertical="center" wrapText="1" readingOrder="1"/>
    </xf>
    <xf numFmtId="167" fontId="33" fillId="0" borderId="24" xfId="1" quotePrefix="1" applyNumberFormat="1" applyFont="1" applyBorder="1" applyAlignment="1">
      <alignment horizontal="right" vertical="center" wrapText="1" readingOrder="1"/>
    </xf>
    <xf numFmtId="167" fontId="33" fillId="0" borderId="26" xfId="1" applyNumberFormat="1" applyFont="1" applyBorder="1" applyAlignment="1">
      <alignment horizontal="right" vertical="center" wrapText="1" readingOrder="1"/>
    </xf>
    <xf numFmtId="167" fontId="33" fillId="0" borderId="27" xfId="1" applyNumberFormat="1" applyFont="1" applyBorder="1" applyAlignment="1">
      <alignment horizontal="right" vertical="center" wrapText="1" readingOrder="1"/>
    </xf>
    <xf numFmtId="10" fontId="33" fillId="0" borderId="24" xfId="2" quotePrefix="1" applyNumberFormat="1" applyFont="1" applyBorder="1" applyAlignment="1">
      <alignment horizontal="right" vertical="center" wrapText="1" readingOrder="1"/>
    </xf>
    <xf numFmtId="10" fontId="33" fillId="0" borderId="26" xfId="2" applyNumberFormat="1" applyFont="1" applyBorder="1" applyAlignment="1">
      <alignment horizontal="right" vertical="center" wrapText="1" readingOrder="1"/>
    </xf>
    <xf numFmtId="10" fontId="33" fillId="0" borderId="27" xfId="2" applyNumberFormat="1" applyFont="1" applyBorder="1" applyAlignment="1">
      <alignment horizontal="right" vertical="center" wrapText="1" readingOrder="1"/>
    </xf>
    <xf numFmtId="165" fontId="33" fillId="0" borderId="4" xfId="2" quotePrefix="1" applyNumberFormat="1" applyFont="1" applyBorder="1" applyAlignment="1">
      <alignment horizontal="right" vertical="center" wrapText="1" readingOrder="1"/>
    </xf>
    <xf numFmtId="15" fontId="30" fillId="3" borderId="23" xfId="0" applyNumberFormat="1" applyFont="1" applyFill="1" applyBorder="1" applyAlignment="1">
      <alignment horizontal="left" vertical="center" wrapText="1" readingOrder="1"/>
    </xf>
    <xf numFmtId="15" fontId="30" fillId="3" borderId="42" xfId="0" applyNumberFormat="1" applyFont="1" applyFill="1" applyBorder="1" applyAlignment="1">
      <alignment horizontal="left" vertical="center" wrapText="1" readingOrder="1"/>
    </xf>
    <xf numFmtId="168" fontId="33" fillId="0" borderId="4" xfId="2" quotePrefix="1" applyNumberFormat="1" applyFont="1" applyFill="1" applyBorder="1" applyAlignment="1">
      <alignment horizontal="right" vertical="center" wrapText="1" readingOrder="1"/>
    </xf>
    <xf numFmtId="15" fontId="30" fillId="0" borderId="42" xfId="0" applyNumberFormat="1" applyFont="1" applyBorder="1" applyAlignment="1">
      <alignment horizontal="left" vertical="center" wrapText="1" readingOrder="1"/>
    </xf>
    <xf numFmtId="43" fontId="33" fillId="0" borderId="43" xfId="1" quotePrefix="1" applyFont="1" applyBorder="1" applyAlignment="1">
      <alignment horizontal="right" vertical="center" wrapText="1" readingOrder="1"/>
    </xf>
    <xf numFmtId="0" fontId="30" fillId="4" borderId="20" xfId="0" applyFont="1" applyFill="1" applyBorder="1" applyAlignment="1">
      <alignment horizontal="left" vertical="center" wrapText="1" indent="1" readingOrder="1"/>
    </xf>
    <xf numFmtId="0" fontId="30" fillId="0" borderId="23" xfId="0" applyFont="1" applyBorder="1" applyAlignment="1">
      <alignment horizontal="left" vertical="center" wrapText="1" indent="1" readingOrder="1"/>
    </xf>
    <xf numFmtId="0" fontId="30" fillId="0" borderId="13" xfId="0" applyFont="1" applyBorder="1" applyAlignment="1">
      <alignment horizontal="left" vertical="center" wrapText="1" indent="1" readingOrder="1"/>
    </xf>
    <xf numFmtId="0" fontId="30" fillId="0" borderId="19" xfId="0" applyFont="1" applyBorder="1" applyAlignment="1">
      <alignment horizontal="left" vertical="center" wrapText="1" indent="1" readingOrder="1"/>
    </xf>
    <xf numFmtId="0" fontId="30" fillId="0" borderId="20" xfId="0" applyFont="1" applyBorder="1" applyAlignment="1">
      <alignment horizontal="left" vertical="center" wrapText="1" indent="1" readingOrder="1"/>
    </xf>
    <xf numFmtId="15" fontId="30" fillId="0" borderId="23" xfId="0" applyNumberFormat="1" applyFont="1" applyBorder="1" applyAlignment="1">
      <alignment horizontal="left" vertical="center" wrapText="1" indent="1" readingOrder="1"/>
    </xf>
    <xf numFmtId="43" fontId="33" fillId="0" borderId="4" xfId="1" quotePrefix="1" applyFont="1" applyFill="1" applyBorder="1" applyAlignment="1">
      <alignment horizontal="right" vertical="center" wrapText="1" indent="2" readingOrder="1"/>
    </xf>
    <xf numFmtId="165" fontId="33" fillId="0" borderId="4" xfId="2" quotePrefix="1" applyNumberFormat="1" applyFont="1" applyBorder="1" applyAlignment="1">
      <alignment horizontal="right" vertical="center" wrapText="1" indent="2" readingOrder="1"/>
    </xf>
    <xf numFmtId="168" fontId="33" fillId="0" borderId="4" xfId="2" quotePrefix="1" applyNumberFormat="1" applyFont="1" applyFill="1" applyBorder="1" applyAlignment="1">
      <alignment horizontal="right" vertical="center" wrapText="1" indent="2" readingOrder="1"/>
    </xf>
    <xf numFmtId="15" fontId="30" fillId="0" borderId="42" xfId="0" applyNumberFormat="1" applyFont="1" applyBorder="1" applyAlignment="1">
      <alignment horizontal="left" vertical="center" wrapText="1" indent="1" readingOrder="1"/>
    </xf>
    <xf numFmtId="167" fontId="33" fillId="0" borderId="43" xfId="1" quotePrefix="1" applyNumberFormat="1" applyFont="1" applyBorder="1" applyAlignment="1">
      <alignment horizontal="right" vertical="center" wrapText="1" indent="2" readingOrder="1"/>
    </xf>
    <xf numFmtId="168" fontId="33" fillId="0" borderId="43" xfId="2" quotePrefix="1" applyNumberFormat="1" applyFont="1" applyBorder="1" applyAlignment="1">
      <alignment horizontal="right" vertical="center" wrapText="1" indent="2" readingOrder="1"/>
    </xf>
    <xf numFmtId="10" fontId="33" fillId="0" borderId="4" xfId="1" quotePrefix="1" applyNumberFormat="1" applyFont="1" applyFill="1" applyBorder="1" applyAlignment="1">
      <alignment horizontal="right" vertical="center" wrapText="1" indent="2" readingOrder="1"/>
    </xf>
    <xf numFmtId="10" fontId="33" fillId="0" borderId="4" xfId="1" quotePrefix="1" applyNumberFormat="1" applyFont="1" applyBorder="1" applyAlignment="1">
      <alignment horizontal="right" vertical="center" wrapText="1" indent="2" readingOrder="1"/>
    </xf>
    <xf numFmtId="10" fontId="33" fillId="0" borderId="4" xfId="2" quotePrefix="1" applyNumberFormat="1" applyFont="1" applyFill="1" applyBorder="1" applyAlignment="1">
      <alignment horizontal="right" vertical="center" wrapText="1" indent="2" readingOrder="1"/>
    </xf>
    <xf numFmtId="15" fontId="30" fillId="0" borderId="89" xfId="0" applyNumberFormat="1" applyFont="1" applyBorder="1" applyAlignment="1">
      <alignment horizontal="left" vertical="center" wrapText="1" indent="1" readingOrder="1"/>
    </xf>
    <xf numFmtId="167" fontId="33" fillId="0" borderId="90" xfId="1" quotePrefix="1" applyNumberFormat="1" applyFont="1" applyBorder="1" applyAlignment="1">
      <alignment horizontal="right" vertical="center" wrapText="1" indent="2" readingOrder="1"/>
    </xf>
    <xf numFmtId="0" fontId="30" fillId="4" borderId="57" xfId="0" applyFont="1" applyFill="1" applyBorder="1" applyAlignment="1">
      <alignment horizontal="left" vertical="center" wrapText="1" indent="1" readingOrder="1"/>
    </xf>
    <xf numFmtId="15" fontId="30" fillId="0" borderId="83" xfId="0" applyNumberFormat="1" applyFont="1" applyBorder="1" applyAlignment="1">
      <alignment horizontal="left" vertical="center" wrapText="1" indent="1" readingOrder="1"/>
    </xf>
    <xf numFmtId="167" fontId="33" fillId="0" borderId="84" xfId="1" quotePrefix="1" applyNumberFormat="1" applyFont="1" applyBorder="1" applyAlignment="1">
      <alignment horizontal="right" vertical="center" wrapText="1" indent="2" readingOrder="1"/>
    </xf>
    <xf numFmtId="165" fontId="33" fillId="0" borderId="4" xfId="2" quotePrefix="1" applyNumberFormat="1" applyFont="1" applyFill="1" applyBorder="1" applyAlignment="1">
      <alignment horizontal="right" vertical="center" wrapText="1" indent="2" readingOrder="1"/>
    </xf>
    <xf numFmtId="15" fontId="37" fillId="0" borderId="23" xfId="0" applyNumberFormat="1" applyFont="1" applyBorder="1" applyAlignment="1">
      <alignment horizontal="left" vertical="center" wrapText="1" indent="1" readingOrder="1"/>
    </xf>
    <xf numFmtId="10" fontId="33" fillId="0" borderId="43" xfId="1" quotePrefix="1" applyNumberFormat="1" applyFont="1" applyBorder="1" applyAlignment="1">
      <alignment horizontal="right" vertical="center" wrapText="1" indent="2" readingOrder="1"/>
    </xf>
    <xf numFmtId="167" fontId="33" fillId="0" borderId="4" xfId="1" quotePrefix="1" applyNumberFormat="1" applyFont="1" applyFill="1" applyBorder="1" applyAlignment="1">
      <alignment horizontal="right" vertical="center" wrapText="1" indent="2" readingOrder="1"/>
    </xf>
    <xf numFmtId="0" fontId="29" fillId="0" borderId="0" xfId="0" applyFont="1"/>
    <xf numFmtId="0" fontId="52" fillId="0" borderId="34" xfId="0" applyFont="1" applyBorder="1" applyAlignment="1">
      <alignment horizontal="center" vertical="center" wrapText="1" readingOrder="1"/>
    </xf>
    <xf numFmtId="0" fontId="48" fillId="4" borderId="9" xfId="0" applyFont="1" applyFill="1" applyBorder="1" applyAlignment="1">
      <alignment horizontal="center" vertical="center" wrapText="1" readingOrder="1"/>
    </xf>
    <xf numFmtId="0" fontId="5" fillId="0" borderId="2" xfId="0" quotePrefix="1" applyFont="1" applyBorder="1" applyAlignment="1">
      <alignment vertical="center" wrapText="1"/>
    </xf>
    <xf numFmtId="0" fontId="14" fillId="4" borderId="20" xfId="0" applyFont="1" applyFill="1" applyBorder="1" applyAlignment="1">
      <alignment horizontal="left" vertical="center" wrapText="1" indent="1" readingOrder="1"/>
    </xf>
    <xf numFmtId="0" fontId="14" fillId="0" borderId="23" xfId="0" applyFont="1" applyBorder="1" applyAlignment="1">
      <alignment horizontal="left" vertical="center" wrapText="1" indent="1" readingOrder="1"/>
    </xf>
    <xf numFmtId="0" fontId="14" fillId="0" borderId="13" xfId="0" applyFont="1" applyBorder="1" applyAlignment="1">
      <alignment horizontal="left" vertical="center" wrapText="1" indent="1" readingOrder="1"/>
    </xf>
    <xf numFmtId="0" fontId="14" fillId="0" borderId="19" xfId="0" applyFont="1" applyBorder="1" applyAlignment="1">
      <alignment horizontal="left" vertical="center" wrapText="1" indent="1" readingOrder="1"/>
    </xf>
    <xf numFmtId="0" fontId="14" fillId="0" borderId="20" xfId="0" applyFont="1" applyBorder="1" applyAlignment="1">
      <alignment horizontal="left" vertical="center" wrapText="1" indent="1" readingOrder="1"/>
    </xf>
    <xf numFmtId="15" fontId="14" fillId="0" borderId="23" xfId="0" applyNumberFormat="1" applyFont="1" applyBorder="1" applyAlignment="1">
      <alignment horizontal="left" vertical="center" wrapText="1" indent="1" readingOrder="1"/>
    </xf>
    <xf numFmtId="20" fontId="54" fillId="0" borderId="40" xfId="0" applyNumberFormat="1" applyFont="1" applyBorder="1" applyAlignment="1">
      <alignment horizontal="center" vertical="center"/>
    </xf>
    <xf numFmtId="15" fontId="55" fillId="0" borderId="23" xfId="0" applyNumberFormat="1" applyFont="1" applyBorder="1" applyAlignment="1">
      <alignment horizontal="left" vertical="center" wrapText="1" indent="1" readingOrder="1"/>
    </xf>
    <xf numFmtId="10" fontId="17" fillId="0" borderId="4" xfId="2" quotePrefix="1" applyNumberFormat="1" applyFont="1" applyFill="1" applyBorder="1" applyAlignment="1">
      <alignment horizontal="right" vertical="center" wrapText="1" indent="2" readingOrder="1"/>
    </xf>
    <xf numFmtId="167" fontId="17" fillId="0" borderId="4" xfId="1" quotePrefix="1" applyNumberFormat="1" applyFont="1" applyFill="1" applyBorder="1" applyAlignment="1">
      <alignment horizontal="right" vertical="center" wrapText="1" indent="2" readingOrder="1"/>
    </xf>
    <xf numFmtId="10" fontId="17" fillId="0" borderId="4" xfId="2" quotePrefix="1" applyNumberFormat="1" applyFont="1" applyBorder="1" applyAlignment="1">
      <alignment horizontal="right" vertical="center" wrapText="1" indent="2" readingOrder="1"/>
    </xf>
    <xf numFmtId="168" fontId="17" fillId="0" borderId="4" xfId="2" quotePrefix="1" applyNumberFormat="1" applyFont="1" applyFill="1" applyBorder="1" applyAlignment="1">
      <alignment horizontal="right" vertical="center" wrapText="1" indent="2" readingOrder="1"/>
    </xf>
    <xf numFmtId="43" fontId="17" fillId="0" borderId="4" xfId="1" quotePrefix="1" applyFont="1" applyFill="1" applyBorder="1" applyAlignment="1">
      <alignment horizontal="right" vertical="center" wrapText="1" indent="2" readingOrder="1"/>
    </xf>
    <xf numFmtId="10" fontId="17" fillId="0" borderId="4" xfId="1" quotePrefix="1" applyNumberFormat="1" applyFont="1" applyBorder="1" applyAlignment="1">
      <alignment horizontal="right" vertical="center" wrapText="1" indent="2" readingOrder="1"/>
    </xf>
    <xf numFmtId="15" fontId="14" fillId="0" borderId="42" xfId="0" applyNumberFormat="1" applyFont="1" applyBorder="1" applyAlignment="1">
      <alignment horizontal="left" vertical="center" wrapText="1" indent="1" readingOrder="1"/>
    </xf>
    <xf numFmtId="10" fontId="17" fillId="0" borderId="43" xfId="1" quotePrefix="1" applyNumberFormat="1" applyFont="1" applyBorder="1" applyAlignment="1">
      <alignment horizontal="right" vertical="center" wrapText="1" indent="2" readingOrder="1"/>
    </xf>
    <xf numFmtId="167" fontId="17" fillId="0" borderId="43" xfId="1" quotePrefix="1" applyNumberFormat="1" applyFont="1" applyBorder="1" applyAlignment="1">
      <alignment horizontal="right" vertical="center" wrapText="1" indent="2" readingOrder="1"/>
    </xf>
    <xf numFmtId="20" fontId="58" fillId="0" borderId="53" xfId="0" applyNumberFormat="1" applyFont="1" applyBorder="1" applyAlignment="1">
      <alignment horizontal="center" vertical="center" wrapText="1" readingOrder="1"/>
    </xf>
    <xf numFmtId="15" fontId="59" fillId="0" borderId="23" xfId="0" applyNumberFormat="1" applyFont="1" applyBorder="1" applyAlignment="1">
      <alignment horizontal="left" vertical="center" wrapText="1" indent="1" readingOrder="1"/>
    </xf>
    <xf numFmtId="0" fontId="14" fillId="4" borderId="38" xfId="0" applyFont="1" applyFill="1" applyBorder="1" applyAlignment="1">
      <alignment horizontal="right" vertical="center" wrapText="1" indent="2" readingOrder="1"/>
    </xf>
    <xf numFmtId="0" fontId="14" fillId="4" borderId="39" xfId="0" applyFont="1" applyFill="1" applyBorder="1" applyAlignment="1">
      <alignment horizontal="right" vertical="center" wrapText="1" indent="2" readingOrder="1"/>
    </xf>
    <xf numFmtId="0" fontId="14" fillId="4" borderId="40" xfId="0" applyFont="1" applyFill="1" applyBorder="1" applyAlignment="1">
      <alignment horizontal="right" vertical="center" wrapText="1" indent="2" readingOrder="1"/>
    </xf>
    <xf numFmtId="0" fontId="14" fillId="4" borderId="41" xfId="0" applyFont="1" applyFill="1" applyBorder="1" applyAlignment="1">
      <alignment horizontal="center" vertical="center" wrapText="1" readingOrder="1"/>
    </xf>
    <xf numFmtId="0" fontId="14" fillId="4" borderId="39" xfId="0" applyFont="1" applyFill="1" applyBorder="1" applyAlignment="1">
      <alignment horizontal="center" vertical="center" wrapText="1" readingOrder="1"/>
    </xf>
    <xf numFmtId="0" fontId="14" fillId="4" borderId="40" xfId="0" applyFont="1" applyFill="1" applyBorder="1" applyAlignment="1">
      <alignment horizontal="center" vertical="center" wrapText="1" readingOrder="1"/>
    </xf>
    <xf numFmtId="10" fontId="14" fillId="0" borderId="7" xfId="0" applyNumberFormat="1" applyFont="1" applyBorder="1" applyAlignment="1">
      <alignment horizontal="right" vertical="center" wrapText="1" indent="2" readingOrder="1"/>
    </xf>
    <xf numFmtId="10" fontId="14" fillId="0" borderId="8" xfId="0" applyNumberFormat="1" applyFont="1" applyBorder="1" applyAlignment="1">
      <alignment horizontal="right" vertical="center" wrapText="1" indent="2" readingOrder="1"/>
    </xf>
    <xf numFmtId="10" fontId="14" fillId="0" borderId="9" xfId="0" applyNumberFormat="1" applyFont="1" applyBorder="1" applyAlignment="1">
      <alignment horizontal="right" vertical="center" wrapText="1" indent="2" readingOrder="1"/>
    </xf>
    <xf numFmtId="0" fontId="15" fillId="0" borderId="17" xfId="0" quotePrefix="1" applyFont="1" applyBorder="1" applyAlignment="1">
      <alignment horizontal="center" vertical="center" wrapText="1" readingOrder="1"/>
    </xf>
    <xf numFmtId="0" fontId="15" fillId="0" borderId="0" xfId="0" quotePrefix="1" applyFont="1" applyAlignment="1">
      <alignment horizontal="center" vertical="center" wrapText="1" readingOrder="1"/>
    </xf>
    <xf numFmtId="0" fontId="15" fillId="0" borderId="18" xfId="0" quotePrefix="1" applyFont="1" applyBorder="1" applyAlignment="1">
      <alignment horizontal="center" vertical="center" wrapText="1" readingOrder="1"/>
    </xf>
    <xf numFmtId="0" fontId="15" fillId="0" borderId="28" xfId="0" quotePrefix="1" applyFont="1" applyBorder="1" applyAlignment="1">
      <alignment horizontal="center" vertical="center" wrapText="1" readingOrder="1"/>
    </xf>
    <xf numFmtId="0" fontId="15" fillId="0" borderId="29" xfId="0" quotePrefix="1" applyFont="1" applyBorder="1" applyAlignment="1">
      <alignment horizontal="center" vertical="center" wrapText="1" readingOrder="1"/>
    </xf>
    <xf numFmtId="0" fontId="15" fillId="0" borderId="30" xfId="0" quotePrefix="1" applyFont="1" applyBorder="1" applyAlignment="1">
      <alignment horizontal="center" vertical="center" wrapText="1" readingOrder="1"/>
    </xf>
    <xf numFmtId="10" fontId="14" fillId="0" borderId="14" xfId="2" applyNumberFormat="1" applyFont="1" applyBorder="1" applyAlignment="1">
      <alignment horizontal="right" vertical="center" wrapText="1" indent="2" readingOrder="1"/>
    </xf>
    <xf numFmtId="10" fontId="14" fillId="0" borderId="15" xfId="2" applyNumberFormat="1" applyFont="1" applyBorder="1" applyAlignment="1">
      <alignment horizontal="right" vertical="center" wrapText="1" indent="2" readingOrder="1"/>
    </xf>
    <xf numFmtId="10" fontId="14" fillId="0" borderId="16" xfId="2" applyNumberFormat="1" applyFont="1" applyBorder="1" applyAlignment="1">
      <alignment horizontal="right" vertical="center" wrapText="1" indent="2" readingOrder="1"/>
    </xf>
    <xf numFmtId="20" fontId="14" fillId="0" borderId="31" xfId="0" applyNumberFormat="1" applyFont="1" applyBorder="1" applyAlignment="1">
      <alignment horizontal="right" vertical="center" wrapText="1" indent="2" readingOrder="1"/>
    </xf>
    <xf numFmtId="20" fontId="14" fillId="0" borderId="32" xfId="0" applyNumberFormat="1" applyFont="1" applyBorder="1" applyAlignment="1">
      <alignment horizontal="right" vertical="center" wrapText="1" indent="2" readingOrder="1"/>
    </xf>
    <xf numFmtId="20" fontId="14" fillId="0" borderId="33" xfId="0" applyNumberFormat="1" applyFont="1" applyBorder="1" applyAlignment="1">
      <alignment horizontal="right" vertical="center" wrapText="1" indent="2" readingOrder="1"/>
    </xf>
    <xf numFmtId="0" fontId="14" fillId="4" borderId="38" xfId="0" applyFont="1" applyFill="1" applyBorder="1" applyAlignment="1">
      <alignment horizontal="center" vertical="center" wrapText="1" readingOrder="1"/>
    </xf>
    <xf numFmtId="10" fontId="14" fillId="0" borderId="35" xfId="0" applyNumberFormat="1" applyFont="1" applyBorder="1" applyAlignment="1">
      <alignment horizontal="right" vertical="center" wrapText="1" indent="2" readingOrder="1"/>
    </xf>
    <xf numFmtId="10" fontId="14" fillId="0" borderId="36" xfId="0" applyNumberFormat="1" applyFont="1" applyBorder="1" applyAlignment="1">
      <alignment horizontal="right" vertical="center" wrapText="1" indent="2" readingOrder="1"/>
    </xf>
    <xf numFmtId="10" fontId="14" fillId="0" borderId="37" xfId="0" applyNumberFormat="1" applyFont="1" applyBorder="1" applyAlignment="1">
      <alignment horizontal="right" vertical="center" wrapText="1" indent="2" readingOrder="1"/>
    </xf>
    <xf numFmtId="43" fontId="14" fillId="0" borderId="14" xfId="1" applyFont="1" applyBorder="1" applyAlignment="1">
      <alignment horizontal="right" vertical="center" wrapText="1" indent="2" readingOrder="1"/>
    </xf>
    <xf numFmtId="43" fontId="14" fillId="0" borderId="15" xfId="1" applyFont="1" applyBorder="1" applyAlignment="1">
      <alignment horizontal="right" vertical="center" wrapText="1" indent="2" readingOrder="1"/>
    </xf>
    <xf numFmtId="43" fontId="14" fillId="0" borderId="16" xfId="1" applyFont="1" applyBorder="1" applyAlignment="1">
      <alignment horizontal="right" vertical="center" wrapText="1" indent="2" readingOrder="1"/>
    </xf>
    <xf numFmtId="20" fontId="56" fillId="0" borderId="31" xfId="0" applyNumberFormat="1" applyFont="1" applyBorder="1" applyAlignment="1">
      <alignment horizontal="right" vertical="center" wrapText="1" indent="2" readingOrder="1"/>
    </xf>
    <xf numFmtId="20" fontId="56" fillId="0" borderId="32" xfId="0" applyNumberFormat="1" applyFont="1" applyBorder="1" applyAlignment="1">
      <alignment horizontal="right" vertical="center" wrapText="1" indent="2" readingOrder="1"/>
    </xf>
    <xf numFmtId="20" fontId="56" fillId="0" borderId="33" xfId="0" applyNumberFormat="1" applyFont="1" applyBorder="1" applyAlignment="1">
      <alignment horizontal="right" vertical="center" wrapText="1" indent="2" readingOrder="1"/>
    </xf>
    <xf numFmtId="165" fontId="14" fillId="0" borderId="14" xfId="2" applyNumberFormat="1" applyFont="1" applyBorder="1" applyAlignment="1">
      <alignment horizontal="right" vertical="center" wrapText="1" indent="2" readingOrder="1"/>
    </xf>
    <xf numFmtId="165" fontId="14" fillId="0" borderId="15" xfId="2" applyNumberFormat="1" applyFont="1" applyBorder="1" applyAlignment="1">
      <alignment horizontal="right" vertical="center" wrapText="1" indent="2" readingOrder="1"/>
    </xf>
    <xf numFmtId="165" fontId="14" fillId="0" borderId="16" xfId="2" applyNumberFormat="1" applyFont="1" applyBorder="1" applyAlignment="1">
      <alignment horizontal="right" vertical="center" wrapText="1" indent="2" readingOrder="1"/>
    </xf>
    <xf numFmtId="20" fontId="57" fillId="0" borderId="31" xfId="0" applyNumberFormat="1" applyFont="1" applyBorder="1" applyAlignment="1">
      <alignment horizontal="right" vertical="center" wrapText="1" indent="2" readingOrder="1"/>
    </xf>
    <xf numFmtId="20" fontId="57" fillId="0" borderId="32" xfId="0" applyNumberFormat="1" applyFont="1" applyBorder="1" applyAlignment="1">
      <alignment horizontal="right" vertical="center" wrapText="1" indent="2" readingOrder="1"/>
    </xf>
    <xf numFmtId="20" fontId="57" fillId="0" borderId="33" xfId="0" applyNumberFormat="1" applyFont="1" applyBorder="1" applyAlignment="1">
      <alignment horizontal="right" vertical="center" wrapText="1" indent="2" readingOrder="1"/>
    </xf>
    <xf numFmtId="43" fontId="14" fillId="0" borderId="14" xfId="2" applyNumberFormat="1" applyFont="1" applyBorder="1" applyAlignment="1">
      <alignment horizontal="right" vertical="center" wrapText="1" indent="2" readingOrder="1"/>
    </xf>
    <xf numFmtId="168" fontId="14" fillId="0" borderId="14" xfId="2" applyNumberFormat="1" applyFont="1" applyBorder="1" applyAlignment="1">
      <alignment horizontal="right" vertical="center" wrapText="1" indent="2" readingOrder="1"/>
    </xf>
    <xf numFmtId="168" fontId="14" fillId="0" borderId="15" xfId="2" applyNumberFormat="1" applyFont="1" applyBorder="1" applyAlignment="1">
      <alignment horizontal="right" vertical="center" wrapText="1" indent="2" readingOrder="1"/>
    </xf>
    <xf numFmtId="168" fontId="14" fillId="0" borderId="16" xfId="2" applyNumberFormat="1" applyFont="1" applyBorder="1" applyAlignment="1">
      <alignment horizontal="right" vertical="center" wrapText="1" indent="2" readingOrder="1"/>
    </xf>
    <xf numFmtId="10" fontId="14" fillId="0" borderId="14" xfId="1" applyNumberFormat="1" applyFont="1" applyBorder="1" applyAlignment="1">
      <alignment horizontal="right" vertical="center" wrapText="1" indent="2" readingOrder="1"/>
    </xf>
    <xf numFmtId="20" fontId="53" fillId="0" borderId="31" xfId="0" applyNumberFormat="1" applyFont="1" applyBorder="1" applyAlignment="1">
      <alignment horizontal="right" vertical="center" wrapText="1" indent="2" readingOrder="1"/>
    </xf>
    <xf numFmtId="20" fontId="53" fillId="0" borderId="32" xfId="0" applyNumberFormat="1" applyFont="1" applyBorder="1" applyAlignment="1">
      <alignment horizontal="right" vertical="center" wrapText="1" indent="2" readingOrder="1"/>
    </xf>
    <xf numFmtId="20" fontId="53" fillId="0" borderId="33" xfId="0" applyNumberFormat="1" applyFont="1" applyBorder="1" applyAlignment="1">
      <alignment horizontal="right" vertical="center" wrapText="1" indent="2" readingOrder="1"/>
    </xf>
    <xf numFmtId="10" fontId="30" fillId="0" borderId="35" xfId="0" applyNumberFormat="1" applyFont="1" applyBorder="1" applyAlignment="1">
      <alignment horizontal="right" vertical="center" wrapText="1" indent="2" readingOrder="1"/>
    </xf>
    <xf numFmtId="10" fontId="30" fillId="0" borderId="36" xfId="0" applyNumberFormat="1" applyFont="1" applyBorder="1" applyAlignment="1">
      <alignment horizontal="right" vertical="center" wrapText="1" indent="2" readingOrder="1"/>
    </xf>
    <xf numFmtId="10" fontId="30" fillId="0" borderId="37" xfId="0" applyNumberFormat="1" applyFont="1" applyBorder="1" applyAlignment="1">
      <alignment horizontal="right" vertical="center" wrapText="1" indent="2" readingOrder="1"/>
    </xf>
    <xf numFmtId="168" fontId="30" fillId="0" borderId="14" xfId="2" applyNumberFormat="1" applyFont="1" applyBorder="1" applyAlignment="1">
      <alignment horizontal="right" vertical="center" wrapText="1" indent="2" readingOrder="1"/>
    </xf>
    <xf numFmtId="168" fontId="30" fillId="0" borderId="15" xfId="2" applyNumberFormat="1" applyFont="1" applyBorder="1" applyAlignment="1">
      <alignment horizontal="right" vertical="center" wrapText="1" indent="2" readingOrder="1"/>
    </xf>
    <xf numFmtId="168" fontId="30" fillId="0" borderId="16" xfId="2" applyNumberFormat="1" applyFont="1" applyBorder="1" applyAlignment="1">
      <alignment horizontal="right" vertical="center" wrapText="1" indent="2" readingOrder="1"/>
    </xf>
    <xf numFmtId="20" fontId="30" fillId="0" borderId="31" xfId="0" applyNumberFormat="1" applyFont="1" applyBorder="1" applyAlignment="1">
      <alignment horizontal="right" vertical="center" wrapText="1" indent="2" readingOrder="1"/>
    </xf>
    <xf numFmtId="20" fontId="30" fillId="0" borderId="32" xfId="0" applyNumberFormat="1" applyFont="1" applyBorder="1" applyAlignment="1">
      <alignment horizontal="right" vertical="center" wrapText="1" indent="2" readingOrder="1"/>
    </xf>
    <xf numFmtId="20" fontId="30" fillId="0" borderId="33" xfId="0" applyNumberFormat="1" applyFont="1" applyBorder="1" applyAlignment="1">
      <alignment horizontal="right" vertical="center" wrapText="1" indent="2" readingOrder="1"/>
    </xf>
    <xf numFmtId="0" fontId="30" fillId="4" borderId="38" xfId="0" applyFont="1" applyFill="1" applyBorder="1" applyAlignment="1">
      <alignment horizontal="right" vertical="center" wrapText="1" indent="2" readingOrder="1"/>
    </xf>
    <xf numFmtId="0" fontId="30" fillId="4" borderId="39" xfId="0" applyFont="1" applyFill="1" applyBorder="1" applyAlignment="1">
      <alignment horizontal="right" vertical="center" wrapText="1" indent="2" readingOrder="1"/>
    </xf>
    <xf numFmtId="0" fontId="30" fillId="4" borderId="40" xfId="0" applyFont="1" applyFill="1" applyBorder="1" applyAlignment="1">
      <alignment horizontal="right" vertical="center" wrapText="1" indent="2" readingOrder="1"/>
    </xf>
    <xf numFmtId="43" fontId="30" fillId="0" borderId="14" xfId="1" applyFont="1" applyBorder="1" applyAlignment="1">
      <alignment horizontal="right" vertical="center" wrapText="1" indent="2" readingOrder="1"/>
    </xf>
    <xf numFmtId="43" fontId="30" fillId="0" borderId="15" xfId="1" applyFont="1" applyBorder="1" applyAlignment="1">
      <alignment horizontal="right" vertical="center" wrapText="1" indent="2" readingOrder="1"/>
    </xf>
    <xf numFmtId="43" fontId="30" fillId="0" borderId="16" xfId="1" applyFont="1" applyBorder="1" applyAlignment="1">
      <alignment horizontal="right" vertical="center" wrapText="1" indent="2" readingOrder="1"/>
    </xf>
    <xf numFmtId="165" fontId="30" fillId="0" borderId="14" xfId="2" applyNumberFormat="1" applyFont="1" applyBorder="1" applyAlignment="1">
      <alignment horizontal="right" vertical="center" wrapText="1" indent="2" readingOrder="1"/>
    </xf>
    <xf numFmtId="165" fontId="30" fillId="0" borderId="15" xfId="2" applyNumberFormat="1" applyFont="1" applyBorder="1" applyAlignment="1">
      <alignment horizontal="right" vertical="center" wrapText="1" indent="2" readingOrder="1"/>
    </xf>
    <xf numFmtId="165" fontId="30" fillId="0" borderId="16" xfId="2" applyNumberFormat="1" applyFont="1" applyBorder="1" applyAlignment="1">
      <alignment horizontal="right" vertical="center" wrapText="1" indent="2" readingOrder="1"/>
    </xf>
    <xf numFmtId="10" fontId="30" fillId="0" borderId="14" xfId="1" applyNumberFormat="1" applyFont="1" applyBorder="1" applyAlignment="1">
      <alignment horizontal="right" vertical="center" wrapText="1" indent="2" readingOrder="1"/>
    </xf>
    <xf numFmtId="10" fontId="30" fillId="0" borderId="14" xfId="2" applyNumberFormat="1" applyFont="1" applyBorder="1" applyAlignment="1">
      <alignment horizontal="right" vertical="center" wrapText="1" indent="2" readingOrder="1"/>
    </xf>
    <xf numFmtId="10" fontId="30" fillId="0" borderId="15" xfId="2" applyNumberFormat="1" applyFont="1" applyBorder="1" applyAlignment="1">
      <alignment horizontal="right" vertical="center" wrapText="1" indent="2" readingOrder="1"/>
    </xf>
    <xf numFmtId="10" fontId="30" fillId="0" borderId="16" xfId="2" applyNumberFormat="1" applyFont="1" applyBorder="1" applyAlignment="1">
      <alignment horizontal="right" vertical="center" wrapText="1" indent="2" readingOrder="1"/>
    </xf>
    <xf numFmtId="43" fontId="30" fillId="0" borderId="14" xfId="2" applyNumberFormat="1" applyFont="1" applyBorder="1" applyAlignment="1">
      <alignment horizontal="right" vertical="center" wrapText="1" indent="2" readingOrder="1"/>
    </xf>
    <xf numFmtId="20" fontId="37" fillId="0" borderId="31" xfId="0" applyNumberFormat="1" applyFont="1" applyBorder="1" applyAlignment="1">
      <alignment horizontal="right" vertical="center" wrapText="1" indent="2" readingOrder="1"/>
    </xf>
    <xf numFmtId="20" fontId="37" fillId="0" borderId="32" xfId="0" applyNumberFormat="1" applyFont="1" applyBorder="1" applyAlignment="1">
      <alignment horizontal="right" vertical="center" wrapText="1" indent="2" readingOrder="1"/>
    </xf>
    <xf numFmtId="20" fontId="37" fillId="0" borderId="33" xfId="0" applyNumberFormat="1" applyFont="1" applyBorder="1" applyAlignment="1">
      <alignment horizontal="right" vertical="center" wrapText="1" indent="2" readingOrder="1"/>
    </xf>
    <xf numFmtId="167" fontId="30" fillId="0" borderId="14" xfId="1" applyNumberFormat="1" applyFont="1" applyBorder="1" applyAlignment="1">
      <alignment horizontal="right" vertical="center" wrapText="1" indent="2" readingOrder="1"/>
    </xf>
    <xf numFmtId="167" fontId="30" fillId="0" borderId="15" xfId="1" applyNumberFormat="1" applyFont="1" applyBorder="1" applyAlignment="1">
      <alignment horizontal="right" vertical="center" wrapText="1" indent="2" readingOrder="1"/>
    </xf>
    <xf numFmtId="167" fontId="30" fillId="0" borderId="16" xfId="1" applyNumberFormat="1" applyFont="1" applyBorder="1" applyAlignment="1">
      <alignment horizontal="right" vertical="center" wrapText="1" indent="2" readingOrder="1"/>
    </xf>
    <xf numFmtId="0" fontId="30" fillId="4" borderId="58" xfId="0" applyFont="1" applyFill="1" applyBorder="1" applyAlignment="1">
      <alignment horizontal="right" vertical="center" wrapText="1" indent="2" readingOrder="1"/>
    </xf>
    <xf numFmtId="0" fontId="30" fillId="4" borderId="59" xfId="0" applyFont="1" applyFill="1" applyBorder="1" applyAlignment="1">
      <alignment horizontal="right" vertical="center" wrapText="1" indent="2" readingOrder="1"/>
    </xf>
    <xf numFmtId="0" fontId="30" fillId="4" borderId="60" xfId="0" applyFont="1" applyFill="1" applyBorder="1" applyAlignment="1">
      <alignment horizontal="right" vertical="center" wrapText="1" indent="2" readingOrder="1"/>
    </xf>
    <xf numFmtId="0" fontId="14" fillId="4" borderId="91" xfId="0" applyFont="1" applyFill="1" applyBorder="1" applyAlignment="1">
      <alignment horizontal="center" vertical="center" wrapText="1" readingOrder="1"/>
    </xf>
    <xf numFmtId="0" fontId="14" fillId="4" borderId="59" xfId="0" applyFont="1" applyFill="1" applyBorder="1" applyAlignment="1">
      <alignment horizontal="center" vertical="center" wrapText="1" readingOrder="1"/>
    </xf>
    <xf numFmtId="0" fontId="14" fillId="4" borderId="60" xfId="0" applyFont="1" applyFill="1" applyBorder="1" applyAlignment="1">
      <alignment horizontal="center" vertical="center" wrapText="1" readingOrder="1"/>
    </xf>
    <xf numFmtId="10" fontId="30" fillId="0" borderId="7" xfId="0" applyNumberFormat="1" applyFont="1" applyBorder="1" applyAlignment="1">
      <alignment horizontal="right" vertical="center" wrapText="1" indent="2" readingOrder="1"/>
    </xf>
    <xf numFmtId="10" fontId="30" fillId="0" borderId="8" xfId="0" applyNumberFormat="1" applyFont="1" applyBorder="1" applyAlignment="1">
      <alignment horizontal="right" vertical="center" wrapText="1" indent="2" readingOrder="1"/>
    </xf>
    <xf numFmtId="10" fontId="30" fillId="0" borderId="9" xfId="0" applyNumberFormat="1" applyFont="1" applyBorder="1" applyAlignment="1">
      <alignment horizontal="right" vertical="center" wrapText="1" indent="2" readingOrder="1"/>
    </xf>
    <xf numFmtId="0" fontId="15" fillId="0" borderId="93" xfId="0" quotePrefix="1" applyFont="1" applyBorder="1" applyAlignment="1">
      <alignment horizontal="center" vertical="center" wrapText="1" readingOrder="1"/>
    </xf>
    <xf numFmtId="0" fontId="15" fillId="0" borderId="86" xfId="0" quotePrefix="1" applyFont="1" applyBorder="1" applyAlignment="1">
      <alignment horizontal="center" vertical="center" wrapText="1" readingOrder="1"/>
    </xf>
    <xf numFmtId="0" fontId="15" fillId="0" borderId="87" xfId="0" quotePrefix="1" applyFont="1" applyBorder="1" applyAlignment="1">
      <alignment horizontal="center" vertical="center" wrapText="1" readingOrder="1"/>
    </xf>
    <xf numFmtId="0" fontId="45" fillId="4" borderId="38" xfId="0" applyFont="1" applyFill="1" applyBorder="1" applyAlignment="1">
      <alignment horizontal="center" vertical="center" wrapText="1" readingOrder="1"/>
    </xf>
    <xf numFmtId="0" fontId="45" fillId="4" borderId="39" xfId="0" applyFont="1" applyFill="1" applyBorder="1" applyAlignment="1">
      <alignment horizontal="center" vertical="center" wrapText="1" readingOrder="1"/>
    </xf>
    <xf numFmtId="0" fontId="45" fillId="4" borderId="40" xfId="0" applyFont="1" applyFill="1" applyBorder="1" applyAlignment="1">
      <alignment horizontal="center" vertical="center" wrapText="1" readingOrder="1"/>
    </xf>
    <xf numFmtId="0" fontId="45" fillId="4" borderId="41" xfId="0" applyFont="1" applyFill="1" applyBorder="1" applyAlignment="1">
      <alignment horizontal="center" vertical="center" wrapText="1" readingOrder="1"/>
    </xf>
    <xf numFmtId="20" fontId="39" fillId="0" borderId="31" xfId="0" applyNumberFormat="1" applyFont="1" applyBorder="1" applyAlignment="1">
      <alignment horizontal="right" vertical="center" wrapText="1" indent="2" readingOrder="1"/>
    </xf>
    <xf numFmtId="20" fontId="39" fillId="0" borderId="32" xfId="0" applyNumberFormat="1" applyFont="1" applyBorder="1" applyAlignment="1">
      <alignment horizontal="right" vertical="center" wrapText="1" indent="2" readingOrder="1"/>
    </xf>
    <xf numFmtId="20" fontId="39" fillId="0" borderId="33" xfId="0" applyNumberFormat="1" applyFont="1" applyBorder="1" applyAlignment="1">
      <alignment horizontal="right" vertical="center" wrapText="1" indent="2" readingOrder="1"/>
    </xf>
    <xf numFmtId="10" fontId="30" fillId="0" borderId="35" xfId="0" applyNumberFormat="1" applyFont="1" applyBorder="1" applyAlignment="1">
      <alignment horizontal="right" vertical="center" wrapText="1" readingOrder="1"/>
    </xf>
    <xf numFmtId="10" fontId="30" fillId="0" borderId="36" xfId="0" applyNumberFormat="1" applyFont="1" applyBorder="1" applyAlignment="1">
      <alignment horizontal="right" vertical="center" wrapText="1" readingOrder="1"/>
    </xf>
    <xf numFmtId="10" fontId="30" fillId="0" borderId="37" xfId="0" applyNumberFormat="1" applyFont="1" applyBorder="1" applyAlignment="1">
      <alignment horizontal="right" vertical="center" wrapText="1" readingOrder="1"/>
    </xf>
    <xf numFmtId="168" fontId="30" fillId="0" borderId="14" xfId="2" applyNumberFormat="1" applyFont="1" applyBorder="1" applyAlignment="1">
      <alignment horizontal="right" vertical="center" wrapText="1" readingOrder="1"/>
    </xf>
    <xf numFmtId="168" fontId="30" fillId="0" borderId="15" xfId="2" applyNumberFormat="1" applyFont="1" applyBorder="1" applyAlignment="1">
      <alignment horizontal="right" vertical="center" wrapText="1" readingOrder="1"/>
    </xf>
    <xf numFmtId="168" fontId="30" fillId="0" borderId="16" xfId="2" applyNumberFormat="1" applyFont="1" applyBorder="1" applyAlignment="1">
      <alignment horizontal="right" vertical="center" wrapText="1" readingOrder="1"/>
    </xf>
    <xf numFmtId="20" fontId="30" fillId="3" borderId="31" xfId="0" applyNumberFormat="1" applyFont="1" applyFill="1" applyBorder="1" applyAlignment="1">
      <alignment horizontal="right" vertical="center" wrapText="1" readingOrder="1"/>
    </xf>
    <xf numFmtId="20" fontId="30" fillId="3" borderId="32" xfId="0" applyNumberFormat="1" applyFont="1" applyFill="1" applyBorder="1" applyAlignment="1">
      <alignment horizontal="right" vertical="center" wrapText="1" readingOrder="1"/>
    </xf>
    <xf numFmtId="20" fontId="30" fillId="3" borderId="33" xfId="0" applyNumberFormat="1" applyFont="1" applyFill="1" applyBorder="1" applyAlignment="1">
      <alignment horizontal="right" vertical="center" wrapText="1" readingOrder="1"/>
    </xf>
    <xf numFmtId="0" fontId="15" fillId="3" borderId="17" xfId="0" quotePrefix="1" applyFont="1" applyFill="1" applyBorder="1" applyAlignment="1">
      <alignment horizontal="center" vertical="center" wrapText="1" readingOrder="1"/>
    </xf>
    <xf numFmtId="0" fontId="15" fillId="3" borderId="0" xfId="0" quotePrefix="1" applyFont="1" applyFill="1" applyAlignment="1">
      <alignment horizontal="center" vertical="center" wrapText="1" readingOrder="1"/>
    </xf>
    <xf numFmtId="0" fontId="15" fillId="3" borderId="18" xfId="0" quotePrefix="1" applyFont="1" applyFill="1" applyBorder="1" applyAlignment="1">
      <alignment horizontal="center" vertical="center" wrapText="1" readingOrder="1"/>
    </xf>
    <xf numFmtId="0" fontId="15" fillId="3" borderId="28" xfId="0" quotePrefix="1" applyFont="1" applyFill="1" applyBorder="1" applyAlignment="1">
      <alignment horizontal="center" vertical="center" wrapText="1" readingOrder="1"/>
    </xf>
    <xf numFmtId="0" fontId="15" fillId="3" borderId="29" xfId="0" quotePrefix="1" applyFont="1" applyFill="1" applyBorder="1" applyAlignment="1">
      <alignment horizontal="center" vertical="center" wrapText="1" readingOrder="1"/>
    </xf>
    <xf numFmtId="0" fontId="15" fillId="3" borderId="30" xfId="0" quotePrefix="1" applyFont="1" applyFill="1" applyBorder="1" applyAlignment="1">
      <alignment horizontal="center" vertical="center" wrapText="1" readingOrder="1"/>
    </xf>
    <xf numFmtId="10" fontId="30" fillId="0" borderId="14" xfId="2" applyNumberFormat="1" applyFont="1" applyBorder="1" applyAlignment="1">
      <alignment horizontal="right" vertical="center" wrapText="1" readingOrder="1"/>
    </xf>
    <xf numFmtId="10" fontId="30" fillId="0" borderId="15" xfId="2" applyNumberFormat="1" applyFont="1" applyBorder="1" applyAlignment="1">
      <alignment horizontal="right" vertical="center" wrapText="1" readingOrder="1"/>
    </xf>
    <xf numFmtId="10" fontId="30" fillId="0" borderId="16" xfId="2" applyNumberFormat="1" applyFont="1" applyBorder="1" applyAlignment="1">
      <alignment horizontal="right" vertical="center" wrapText="1" readingOrder="1"/>
    </xf>
    <xf numFmtId="20" fontId="30" fillId="0" borderId="31" xfId="0" applyNumberFormat="1" applyFont="1" applyBorder="1" applyAlignment="1">
      <alignment horizontal="right" vertical="center" wrapText="1" readingOrder="1"/>
    </xf>
    <xf numFmtId="20" fontId="30" fillId="0" borderId="32" xfId="0" applyNumberFormat="1" applyFont="1" applyBorder="1" applyAlignment="1">
      <alignment horizontal="right" vertical="center" wrapText="1" readingOrder="1"/>
    </xf>
    <xf numFmtId="20" fontId="30" fillId="0" borderId="33" xfId="0" applyNumberFormat="1" applyFont="1" applyBorder="1" applyAlignment="1">
      <alignment horizontal="right" vertical="center" wrapText="1" readingOrder="1"/>
    </xf>
    <xf numFmtId="0" fontId="30" fillId="4" borderId="38" xfId="0" applyFont="1" applyFill="1" applyBorder="1" applyAlignment="1">
      <alignment horizontal="right" vertical="center" wrapText="1" readingOrder="1"/>
    </xf>
    <xf numFmtId="0" fontId="30" fillId="4" borderId="39" xfId="0" applyFont="1" applyFill="1" applyBorder="1" applyAlignment="1">
      <alignment horizontal="right" vertical="center" wrapText="1" readingOrder="1"/>
    </xf>
    <xf numFmtId="0" fontId="30" fillId="4" borderId="40" xfId="0" applyFont="1" applyFill="1" applyBorder="1" applyAlignment="1">
      <alignment horizontal="right" vertical="center" wrapText="1" readingOrder="1"/>
    </xf>
    <xf numFmtId="167" fontId="30" fillId="0" borderId="14" xfId="1" applyNumberFormat="1" applyFont="1" applyBorder="1" applyAlignment="1">
      <alignment horizontal="right" vertical="center" wrapText="1" readingOrder="1"/>
    </xf>
    <xf numFmtId="167" fontId="30" fillId="0" borderId="15" xfId="1" applyNumberFormat="1" applyFont="1" applyBorder="1" applyAlignment="1">
      <alignment horizontal="right" vertical="center" wrapText="1" readingOrder="1"/>
    </xf>
    <xf numFmtId="167" fontId="30" fillId="0" borderId="16" xfId="1" applyNumberFormat="1" applyFont="1" applyBorder="1" applyAlignment="1">
      <alignment horizontal="right" vertical="center" wrapText="1" readingOrder="1"/>
    </xf>
    <xf numFmtId="10" fontId="30" fillId="0" borderId="7" xfId="0" applyNumberFormat="1" applyFont="1" applyBorder="1" applyAlignment="1">
      <alignment horizontal="right" vertical="center" wrapText="1" readingOrder="1"/>
    </xf>
    <xf numFmtId="10" fontId="30" fillId="0" borderId="8" xfId="0" applyNumberFormat="1" applyFont="1" applyBorder="1" applyAlignment="1">
      <alignment horizontal="right" vertical="center" wrapText="1" readingOrder="1"/>
    </xf>
    <xf numFmtId="10" fontId="30" fillId="0" borderId="9" xfId="0" applyNumberFormat="1" applyFont="1" applyBorder="1" applyAlignment="1">
      <alignment horizontal="right" vertical="center" wrapText="1" readingOrder="1"/>
    </xf>
    <xf numFmtId="43" fontId="30" fillId="0" borderId="14" xfId="1" applyFont="1" applyBorder="1" applyAlignment="1">
      <alignment horizontal="right" vertical="center" wrapText="1" readingOrder="1"/>
    </xf>
    <xf numFmtId="43" fontId="30" fillId="0" borderId="15" xfId="1" applyFont="1" applyBorder="1" applyAlignment="1">
      <alignment horizontal="right" vertical="center" wrapText="1" readingOrder="1"/>
    </xf>
    <xf numFmtId="43" fontId="30" fillId="0" borderId="16" xfId="1" applyFont="1" applyBorder="1" applyAlignment="1">
      <alignment horizontal="right" vertical="center" wrapText="1" readingOrder="1"/>
    </xf>
    <xf numFmtId="165" fontId="30" fillId="0" borderId="14" xfId="2" applyNumberFormat="1" applyFont="1" applyBorder="1" applyAlignment="1">
      <alignment horizontal="right" vertical="center" wrapText="1" readingOrder="1"/>
    </xf>
    <xf numFmtId="165" fontId="30" fillId="0" borderId="15" xfId="2" applyNumberFormat="1" applyFont="1" applyBorder="1" applyAlignment="1">
      <alignment horizontal="right" vertical="center" wrapText="1" readingOrder="1"/>
    </xf>
    <xf numFmtId="165" fontId="30" fillId="0" borderId="16" xfId="2" applyNumberFormat="1" applyFont="1" applyBorder="1" applyAlignment="1">
      <alignment horizontal="right" vertical="center" wrapText="1" readingOrder="1"/>
    </xf>
    <xf numFmtId="0" fontId="30" fillId="4" borderId="7" xfId="0" applyFont="1" applyFill="1" applyBorder="1" applyAlignment="1">
      <alignment horizontal="right" vertical="center" wrapText="1" readingOrder="1"/>
    </xf>
    <xf numFmtId="0" fontId="30" fillId="4" borderId="8" xfId="0" applyFont="1" applyFill="1" applyBorder="1" applyAlignment="1">
      <alignment horizontal="right" vertical="center" wrapText="1" readingOrder="1"/>
    </xf>
    <xf numFmtId="0" fontId="30" fillId="4" borderId="9" xfId="0" applyFont="1" applyFill="1" applyBorder="1" applyAlignment="1">
      <alignment horizontal="right" vertical="center" wrapText="1" readingOrder="1"/>
    </xf>
    <xf numFmtId="0" fontId="15" fillId="0" borderId="10" xfId="0" quotePrefix="1" applyFont="1" applyBorder="1" applyAlignment="1">
      <alignment horizontal="center" vertical="center" wrapText="1" readingOrder="1"/>
    </xf>
    <xf numFmtId="0" fontId="15" fillId="0" borderId="11" xfId="0" quotePrefix="1" applyFont="1" applyBorder="1" applyAlignment="1">
      <alignment horizontal="center" vertical="center" wrapText="1" readingOrder="1"/>
    </xf>
    <xf numFmtId="0" fontId="15" fillId="0" borderId="12" xfId="0" quotePrefix="1" applyFont="1" applyBorder="1" applyAlignment="1">
      <alignment horizontal="center" vertical="center" wrapText="1" readingOrder="1"/>
    </xf>
    <xf numFmtId="10" fontId="30" fillId="0" borderId="14" xfId="0" applyNumberFormat="1" applyFont="1" applyBorder="1" applyAlignment="1">
      <alignment horizontal="right" vertical="center" wrapText="1" readingOrder="1"/>
    </xf>
    <xf numFmtId="10" fontId="30" fillId="0" borderId="15" xfId="0" applyNumberFormat="1" applyFont="1" applyBorder="1" applyAlignment="1">
      <alignment horizontal="right" vertical="center" wrapText="1" readingOrder="1"/>
    </xf>
    <xf numFmtId="10" fontId="30" fillId="0" borderId="16" xfId="0" applyNumberFormat="1" applyFont="1" applyBorder="1" applyAlignment="1">
      <alignment horizontal="right" vertical="center" wrapText="1" readingOrder="1"/>
    </xf>
    <xf numFmtId="168" fontId="30" fillId="0" borderId="14" xfId="1" applyNumberFormat="1" applyFont="1" applyBorder="1" applyAlignment="1">
      <alignment horizontal="right" vertical="center" wrapText="1" readingOrder="1"/>
    </xf>
    <xf numFmtId="168" fontId="30" fillId="0" borderId="15" xfId="1" applyNumberFormat="1" applyFont="1" applyBorder="1" applyAlignment="1">
      <alignment horizontal="right" vertical="center" wrapText="1" readingOrder="1"/>
    </xf>
    <xf numFmtId="168" fontId="30" fillId="0" borderId="16" xfId="1" applyNumberFormat="1" applyFont="1" applyBorder="1" applyAlignment="1">
      <alignment horizontal="right" vertical="center" wrapText="1" readingOrder="1"/>
    </xf>
    <xf numFmtId="0" fontId="30" fillId="0" borderId="38" xfId="0" applyFont="1" applyBorder="1" applyAlignment="1">
      <alignment horizontal="right" vertical="center" wrapText="1" readingOrder="1"/>
    </xf>
    <xf numFmtId="0" fontId="30" fillId="0" borderId="39" xfId="0" applyFont="1" applyBorder="1" applyAlignment="1">
      <alignment horizontal="right" vertical="center" wrapText="1" readingOrder="1"/>
    </xf>
    <xf numFmtId="0" fontId="30" fillId="0" borderId="40" xfId="0" applyFont="1" applyBorder="1" applyAlignment="1">
      <alignment horizontal="right" vertical="center" wrapText="1" readingOrder="1"/>
    </xf>
    <xf numFmtId="168" fontId="30" fillId="0" borderId="14" xfId="2" applyNumberFormat="1" applyFont="1" applyFill="1" applyBorder="1" applyAlignment="1">
      <alignment horizontal="right" vertical="center" wrapText="1" readingOrder="1"/>
    </xf>
    <xf numFmtId="168" fontId="30" fillId="0" borderId="15" xfId="2" applyNumberFormat="1" applyFont="1" applyFill="1" applyBorder="1" applyAlignment="1">
      <alignment horizontal="right" vertical="center" wrapText="1" readingOrder="1"/>
    </xf>
    <xf numFmtId="168" fontId="30" fillId="0" borderId="16" xfId="2" applyNumberFormat="1" applyFont="1" applyFill="1" applyBorder="1" applyAlignment="1">
      <alignment horizontal="right" vertical="center" wrapText="1" readingOrder="1"/>
    </xf>
    <xf numFmtId="10" fontId="30" fillId="0" borderId="14" xfId="1" applyNumberFormat="1" applyFont="1" applyBorder="1" applyAlignment="1">
      <alignment horizontal="right" vertical="center" wrapText="1" readingOrder="1"/>
    </xf>
    <xf numFmtId="0" fontId="47" fillId="0" borderId="17" xfId="0" quotePrefix="1" applyFont="1" applyBorder="1" applyAlignment="1">
      <alignment horizontal="center" vertical="center" wrapText="1" readingOrder="1"/>
    </xf>
    <xf numFmtId="0" fontId="47" fillId="0" borderId="0" xfId="0" quotePrefix="1" applyFont="1" applyAlignment="1">
      <alignment horizontal="center" vertical="center" wrapText="1" readingOrder="1"/>
    </xf>
    <xf numFmtId="0" fontId="47" fillId="0" borderId="18" xfId="0" quotePrefix="1" applyFont="1" applyBorder="1" applyAlignment="1">
      <alignment horizontal="center" vertical="center" wrapText="1" readingOrder="1"/>
    </xf>
    <xf numFmtId="0" fontId="47" fillId="0" borderId="28" xfId="0" quotePrefix="1" applyFont="1" applyBorder="1" applyAlignment="1">
      <alignment horizontal="center" vertical="center" wrapText="1" readingOrder="1"/>
    </xf>
    <xf numFmtId="0" fontId="47" fillId="0" borderId="29" xfId="0" quotePrefix="1" applyFont="1" applyBorder="1" applyAlignment="1">
      <alignment horizontal="center" vertical="center" wrapText="1" readingOrder="1"/>
    </xf>
    <xf numFmtId="0" fontId="47" fillId="0" borderId="30" xfId="0" quotePrefix="1" applyFont="1" applyBorder="1" applyAlignment="1">
      <alignment horizontal="center" vertical="center" wrapText="1" readingOrder="1"/>
    </xf>
    <xf numFmtId="0" fontId="30" fillId="4" borderId="38" xfId="0" applyFont="1" applyFill="1" applyBorder="1" applyAlignment="1">
      <alignment horizontal="center" vertical="center" wrapText="1" readingOrder="1"/>
    </xf>
    <xf numFmtId="0" fontId="30" fillId="4" borderId="39" xfId="0" applyFont="1" applyFill="1" applyBorder="1" applyAlignment="1">
      <alignment horizontal="center" vertical="center" wrapText="1" readingOrder="1"/>
    </xf>
    <xf numFmtId="0" fontId="30" fillId="4" borderId="40" xfId="0" applyFont="1" applyFill="1" applyBorder="1" applyAlignment="1">
      <alignment horizontal="center" vertical="center" wrapText="1" readingOrder="1"/>
    </xf>
    <xf numFmtId="0" fontId="48" fillId="4" borderId="38" xfId="0" applyFont="1" applyFill="1" applyBorder="1" applyAlignment="1">
      <alignment horizontal="right" vertical="center" wrapText="1" indent="2" readingOrder="1"/>
    </xf>
    <xf numFmtId="0" fontId="48" fillId="4" borderId="39" xfId="0" applyFont="1" applyFill="1" applyBorder="1" applyAlignment="1">
      <alignment horizontal="right" vertical="center" wrapText="1" indent="2" readingOrder="1"/>
    </xf>
    <xf numFmtId="0" fontId="48" fillId="4" borderId="40" xfId="0" applyFont="1" applyFill="1" applyBorder="1" applyAlignment="1">
      <alignment horizontal="right" vertical="center" wrapText="1" indent="2" readingOrder="1"/>
    </xf>
    <xf numFmtId="0" fontId="48" fillId="4" borderId="95" xfId="0" applyFont="1" applyFill="1" applyBorder="1" applyAlignment="1">
      <alignment horizontal="center" vertical="center" wrapText="1" readingOrder="1"/>
    </xf>
    <xf numFmtId="0" fontId="48" fillId="4" borderId="8" xfId="0" applyFont="1" applyFill="1" applyBorder="1" applyAlignment="1">
      <alignment horizontal="center" vertical="center" wrapText="1" readingOrder="1"/>
    </xf>
    <xf numFmtId="0" fontId="48" fillId="4" borderId="9" xfId="0" applyFont="1" applyFill="1" applyBorder="1" applyAlignment="1">
      <alignment horizontal="center" vertical="center" wrapText="1" readingOrder="1"/>
    </xf>
    <xf numFmtId="10" fontId="48" fillId="0" borderId="7" xfId="0" applyNumberFormat="1" applyFont="1" applyBorder="1" applyAlignment="1">
      <alignment horizontal="right" vertical="center" wrapText="1" indent="2" readingOrder="1"/>
    </xf>
    <xf numFmtId="10" fontId="48" fillId="0" borderId="8" xfId="0" applyNumberFormat="1" applyFont="1" applyBorder="1" applyAlignment="1">
      <alignment horizontal="right" vertical="center" wrapText="1" indent="2" readingOrder="1"/>
    </xf>
    <xf numFmtId="10" fontId="48" fillId="0" borderId="9" xfId="0" applyNumberFormat="1" applyFont="1" applyBorder="1" applyAlignment="1">
      <alignment horizontal="right" vertical="center" wrapText="1" indent="2" readingOrder="1"/>
    </xf>
    <xf numFmtId="0" fontId="49" fillId="0" borderId="96" xfId="0" quotePrefix="1" applyFont="1" applyBorder="1" applyAlignment="1">
      <alignment horizontal="left" vertical="center" wrapText="1" indent="5" readingOrder="1"/>
    </xf>
    <xf numFmtId="0" fontId="49" fillId="0" borderId="1" xfId="0" quotePrefix="1" applyFont="1" applyBorder="1" applyAlignment="1">
      <alignment horizontal="left" vertical="center" wrapText="1" indent="5" readingOrder="1"/>
    </xf>
    <xf numFmtId="0" fontId="49" fillId="0" borderId="56" xfId="0" quotePrefix="1" applyFont="1" applyBorder="1" applyAlignment="1">
      <alignment horizontal="left" vertical="center" wrapText="1" indent="5" readingOrder="1"/>
    </xf>
    <xf numFmtId="0" fontId="49" fillId="0" borderId="17" xfId="0" quotePrefix="1" applyFont="1" applyBorder="1" applyAlignment="1">
      <alignment horizontal="left" vertical="center" wrapText="1" indent="5" readingOrder="1"/>
    </xf>
    <xf numFmtId="0" fontId="49" fillId="0" borderId="0" xfId="0" quotePrefix="1" applyFont="1" applyAlignment="1">
      <alignment horizontal="left" vertical="center" wrapText="1" indent="5" readingOrder="1"/>
    </xf>
    <xf numFmtId="0" fontId="49" fillId="0" borderId="18" xfId="0" quotePrefix="1" applyFont="1" applyBorder="1" applyAlignment="1">
      <alignment horizontal="left" vertical="center" wrapText="1" indent="5" readingOrder="1"/>
    </xf>
    <xf numFmtId="0" fontId="49" fillId="0" borderId="28" xfId="0" quotePrefix="1" applyFont="1" applyBorder="1" applyAlignment="1">
      <alignment horizontal="left" vertical="center" wrapText="1" indent="5" readingOrder="1"/>
    </xf>
    <xf numFmtId="0" fontId="49" fillId="0" borderId="29" xfId="0" quotePrefix="1" applyFont="1" applyBorder="1" applyAlignment="1">
      <alignment horizontal="left" vertical="center" wrapText="1" indent="5" readingOrder="1"/>
    </xf>
    <xf numFmtId="0" fontId="49" fillId="0" borderId="30" xfId="0" quotePrefix="1" applyFont="1" applyBorder="1" applyAlignment="1">
      <alignment horizontal="left" vertical="center" wrapText="1" indent="5" readingOrder="1"/>
    </xf>
    <xf numFmtId="43" fontId="48" fillId="0" borderId="14" xfId="1" applyFont="1" applyBorder="1" applyAlignment="1">
      <alignment horizontal="right" vertical="center" wrapText="1" indent="2" readingOrder="1"/>
    </xf>
    <xf numFmtId="43" fontId="48" fillId="0" borderId="15" xfId="1" applyFont="1" applyBorder="1" applyAlignment="1">
      <alignment horizontal="right" vertical="center" wrapText="1" indent="2" readingOrder="1"/>
    </xf>
    <xf numFmtId="43" fontId="48" fillId="0" borderId="16" xfId="1" applyFont="1" applyBorder="1" applyAlignment="1">
      <alignment horizontal="right" vertical="center" wrapText="1" indent="2" readingOrder="1"/>
    </xf>
    <xf numFmtId="20" fontId="48" fillId="0" borderId="31" xfId="0" applyNumberFormat="1" applyFont="1" applyBorder="1" applyAlignment="1">
      <alignment horizontal="right" vertical="center" wrapText="1" indent="2" readingOrder="1"/>
    </xf>
    <xf numFmtId="20" fontId="48" fillId="0" borderId="32" xfId="0" applyNumberFormat="1" applyFont="1" applyBorder="1" applyAlignment="1">
      <alignment horizontal="right" vertical="center" wrapText="1" indent="2" readingOrder="1"/>
    </xf>
    <xf numFmtId="20" fontId="48" fillId="0" borderId="33" xfId="0" applyNumberFormat="1" applyFont="1" applyBorder="1" applyAlignment="1">
      <alignment horizontal="right" vertical="center" wrapText="1" indent="2" readingOrder="1"/>
    </xf>
    <xf numFmtId="10" fontId="48" fillId="0" borderId="14" xfId="2" applyNumberFormat="1" applyFont="1" applyBorder="1" applyAlignment="1">
      <alignment horizontal="right" vertical="center" wrapText="1" indent="2" readingOrder="1"/>
    </xf>
    <xf numFmtId="10" fontId="48" fillId="0" borderId="15" xfId="2" applyNumberFormat="1" applyFont="1" applyBorder="1" applyAlignment="1">
      <alignment horizontal="right" vertical="center" wrapText="1" indent="2" readingOrder="1"/>
    </xf>
    <xf numFmtId="10" fontId="48" fillId="0" borderId="16" xfId="2" applyNumberFormat="1" applyFont="1" applyBorder="1" applyAlignment="1">
      <alignment horizontal="right" vertical="center" wrapText="1" indent="2" readingOrder="1"/>
    </xf>
    <xf numFmtId="168" fontId="48" fillId="0" borderId="14" xfId="2" applyNumberFormat="1" applyFont="1" applyBorder="1" applyAlignment="1">
      <alignment horizontal="right" vertical="center" wrapText="1" indent="2" readingOrder="1"/>
    </xf>
    <xf numFmtId="168" fontId="48" fillId="0" borderId="15" xfId="2" applyNumberFormat="1" applyFont="1" applyBorder="1" applyAlignment="1">
      <alignment horizontal="right" vertical="center" wrapText="1" indent="2" readingOrder="1"/>
    </xf>
    <xf numFmtId="168" fontId="48" fillId="0" borderId="16" xfId="2" applyNumberFormat="1" applyFont="1" applyBorder="1" applyAlignment="1">
      <alignment horizontal="right" vertical="center" wrapText="1" indent="2" readingOrder="1"/>
    </xf>
    <xf numFmtId="43" fontId="48" fillId="0" borderId="14" xfId="2" applyNumberFormat="1" applyFont="1" applyBorder="1" applyAlignment="1">
      <alignment horizontal="right" vertical="center" wrapText="1" indent="2" readingOrder="1"/>
    </xf>
    <xf numFmtId="43" fontId="48" fillId="0" borderId="15" xfId="2" applyNumberFormat="1" applyFont="1" applyBorder="1" applyAlignment="1">
      <alignment horizontal="right" vertical="center" wrapText="1" indent="2" readingOrder="1"/>
    </xf>
    <xf numFmtId="43" fontId="48" fillId="0" borderId="16" xfId="2" applyNumberFormat="1" applyFont="1" applyBorder="1" applyAlignment="1">
      <alignment horizontal="right" vertical="center" wrapText="1" indent="2" readingOrder="1"/>
    </xf>
    <xf numFmtId="10" fontId="48" fillId="0" borderId="35" xfId="0" applyNumberFormat="1" applyFont="1" applyBorder="1" applyAlignment="1">
      <alignment horizontal="right" vertical="center" wrapText="1" indent="2" readingOrder="1"/>
    </xf>
    <xf numFmtId="10" fontId="48" fillId="0" borderId="36" xfId="0" applyNumberFormat="1" applyFont="1" applyBorder="1" applyAlignment="1">
      <alignment horizontal="right" vertical="center" wrapText="1" indent="2" readingOrder="1"/>
    </xf>
    <xf numFmtId="10" fontId="48" fillId="0" borderId="37" xfId="0" applyNumberFormat="1" applyFont="1" applyBorder="1" applyAlignment="1">
      <alignment horizontal="right" vertical="center" wrapText="1" indent="2" readingOrder="1"/>
    </xf>
    <xf numFmtId="165" fontId="48" fillId="0" borderId="14" xfId="2" applyNumberFormat="1" applyFont="1" applyBorder="1" applyAlignment="1">
      <alignment horizontal="right" vertical="center" wrapText="1" indent="2" readingOrder="1"/>
    </xf>
    <xf numFmtId="165" fontId="48" fillId="0" borderId="15" xfId="2" applyNumberFormat="1" applyFont="1" applyBorder="1" applyAlignment="1">
      <alignment horizontal="right" vertical="center" wrapText="1" indent="2" readingOrder="1"/>
    </xf>
    <xf numFmtId="165" fontId="48" fillId="0" borderId="16" xfId="2" applyNumberFormat="1" applyFont="1" applyBorder="1" applyAlignment="1">
      <alignment horizontal="right" vertical="center" wrapText="1" indent="2" readingOrder="1"/>
    </xf>
    <xf numFmtId="10" fontId="48" fillId="0" borderId="14" xfId="1" applyNumberFormat="1" applyFont="1" applyBorder="1" applyAlignment="1">
      <alignment horizontal="right" vertical="center" wrapText="1" indent="2" readingOrder="1"/>
    </xf>
    <xf numFmtId="0" fontId="49" fillId="0" borderId="86" xfId="0" quotePrefix="1" applyFont="1" applyBorder="1" applyAlignment="1">
      <alignment horizontal="left" vertical="center" wrapText="1" indent="5" readingOrder="1"/>
    </xf>
    <xf numFmtId="0" fontId="49" fillId="0" borderId="87" xfId="0" quotePrefix="1" applyFont="1" applyBorder="1" applyAlignment="1">
      <alignment horizontal="left" vertical="center" wrapText="1" indent="5" readingOrder="1"/>
    </xf>
    <xf numFmtId="10" fontId="41" fillId="0" borderId="7" xfId="0" applyNumberFormat="1" applyFont="1" applyBorder="1" applyAlignment="1">
      <alignment horizontal="right" vertical="center" wrapText="1" readingOrder="1"/>
    </xf>
    <xf numFmtId="10" fontId="41" fillId="0" borderId="8" xfId="0" applyNumberFormat="1" applyFont="1" applyBorder="1" applyAlignment="1">
      <alignment horizontal="right" vertical="center" wrapText="1" readingOrder="1"/>
    </xf>
    <xf numFmtId="10" fontId="41" fillId="0" borderId="9" xfId="0" applyNumberFormat="1" applyFont="1" applyBorder="1" applyAlignment="1">
      <alignment horizontal="right" vertical="center" wrapText="1" readingOrder="1"/>
    </xf>
    <xf numFmtId="0" fontId="24" fillId="0" borderId="1" xfId="0" quotePrefix="1" applyFont="1" applyBorder="1" applyAlignment="1">
      <alignment horizontal="left" vertical="center" wrapText="1" indent="5" readingOrder="1"/>
    </xf>
    <xf numFmtId="0" fontId="24" fillId="0" borderId="56" xfId="0" quotePrefix="1" applyFont="1" applyBorder="1" applyAlignment="1">
      <alignment horizontal="left" vertical="center" wrapText="1" indent="5" readingOrder="1"/>
    </xf>
    <xf numFmtId="0" fontId="24" fillId="0" borderId="0" xfId="0" quotePrefix="1" applyFont="1" applyAlignment="1">
      <alignment horizontal="left" vertical="center" wrapText="1" indent="5" readingOrder="1"/>
    </xf>
    <xf numFmtId="0" fontId="24" fillId="0" borderId="18" xfId="0" quotePrefix="1" applyFont="1" applyBorder="1" applyAlignment="1">
      <alignment horizontal="left" vertical="center" wrapText="1" indent="5" readingOrder="1"/>
    </xf>
    <xf numFmtId="0" fontId="24" fillId="0" borderId="29" xfId="0" quotePrefix="1" applyFont="1" applyBorder="1" applyAlignment="1">
      <alignment horizontal="left" vertical="center" wrapText="1" indent="5" readingOrder="1"/>
    </xf>
    <xf numFmtId="0" fontId="24" fillId="0" borderId="30" xfId="0" quotePrefix="1" applyFont="1" applyBorder="1" applyAlignment="1">
      <alignment horizontal="left" vertical="center" wrapText="1" indent="5" readingOrder="1"/>
    </xf>
    <xf numFmtId="168" fontId="41" fillId="0" borderId="14" xfId="2" applyNumberFormat="1" applyFont="1" applyBorder="1" applyAlignment="1">
      <alignment horizontal="right" vertical="center" wrapText="1" readingOrder="1"/>
    </xf>
    <xf numFmtId="168" fontId="41" fillId="0" borderId="15" xfId="2" applyNumberFormat="1" applyFont="1" applyBorder="1" applyAlignment="1">
      <alignment horizontal="right" vertical="center" wrapText="1" readingOrder="1"/>
    </xf>
    <xf numFmtId="168" fontId="41" fillId="0" borderId="16" xfId="2" applyNumberFormat="1" applyFont="1" applyBorder="1" applyAlignment="1">
      <alignment horizontal="right" vertical="center" wrapText="1" readingOrder="1"/>
    </xf>
    <xf numFmtId="20" fontId="41" fillId="0" borderId="31" xfId="0" applyNumberFormat="1" applyFont="1" applyBorder="1" applyAlignment="1">
      <alignment horizontal="right" vertical="center" wrapText="1" readingOrder="1"/>
    </xf>
    <xf numFmtId="20" fontId="41" fillId="0" borderId="32" xfId="0" applyNumberFormat="1" applyFont="1" applyBorder="1" applyAlignment="1">
      <alignment horizontal="right" vertical="center" wrapText="1" readingOrder="1"/>
    </xf>
    <xf numFmtId="20" fontId="41" fillId="0" borderId="33" xfId="0" applyNumberFormat="1" applyFont="1" applyBorder="1" applyAlignment="1">
      <alignment horizontal="right" vertical="center" wrapText="1" readingOrder="1"/>
    </xf>
    <xf numFmtId="0" fontId="41" fillId="4" borderId="38" xfId="0" applyFont="1" applyFill="1" applyBorder="1" applyAlignment="1">
      <alignment horizontal="right" vertical="center" wrapText="1" readingOrder="1"/>
    </xf>
    <xf numFmtId="0" fontId="41" fillId="4" borderId="39" xfId="0" applyFont="1" applyFill="1" applyBorder="1" applyAlignment="1">
      <alignment horizontal="right" vertical="center" wrapText="1" readingOrder="1"/>
    </xf>
    <xf numFmtId="0" fontId="41" fillId="4" borderId="40" xfId="0" applyFont="1" applyFill="1" applyBorder="1" applyAlignment="1">
      <alignment horizontal="right" vertical="center" wrapText="1" readingOrder="1"/>
    </xf>
    <xf numFmtId="0" fontId="19" fillId="4" borderId="8" xfId="0" applyFont="1" applyFill="1" applyBorder="1" applyAlignment="1">
      <alignment horizontal="center" vertical="center" wrapText="1" readingOrder="1"/>
    </xf>
    <xf numFmtId="0" fontId="19" fillId="4" borderId="9" xfId="0" applyFont="1" applyFill="1" applyBorder="1" applyAlignment="1">
      <alignment horizontal="center" vertical="center" wrapText="1" readingOrder="1"/>
    </xf>
    <xf numFmtId="10" fontId="41" fillId="0" borderId="14" xfId="2" applyNumberFormat="1" applyFont="1" applyBorder="1" applyAlignment="1">
      <alignment horizontal="right" vertical="center" wrapText="1" readingOrder="1"/>
    </xf>
    <xf numFmtId="10" fontId="41" fillId="0" borderId="15" xfId="2" applyNumberFormat="1" applyFont="1" applyBorder="1" applyAlignment="1">
      <alignment horizontal="right" vertical="center" wrapText="1" readingOrder="1"/>
    </xf>
    <xf numFmtId="10" fontId="41" fillId="0" borderId="16" xfId="2" applyNumberFormat="1" applyFont="1" applyBorder="1" applyAlignment="1">
      <alignment horizontal="right" vertical="center" wrapText="1" readingOrder="1"/>
    </xf>
    <xf numFmtId="10" fontId="41" fillId="0" borderId="35" xfId="0" applyNumberFormat="1" applyFont="1" applyBorder="1" applyAlignment="1">
      <alignment horizontal="right" vertical="center" wrapText="1" readingOrder="1"/>
    </xf>
    <xf numFmtId="10" fontId="41" fillId="0" borderId="36" xfId="0" applyNumberFormat="1" applyFont="1" applyBorder="1" applyAlignment="1">
      <alignment horizontal="right" vertical="center" wrapText="1" readingOrder="1"/>
    </xf>
    <xf numFmtId="10" fontId="41" fillId="0" borderId="37" xfId="0" applyNumberFormat="1" applyFont="1" applyBorder="1" applyAlignment="1">
      <alignment horizontal="right" vertical="center" wrapText="1" readingOrder="1"/>
    </xf>
    <xf numFmtId="168" fontId="41" fillId="0" borderId="14" xfId="2" applyNumberFormat="1" applyFont="1" applyBorder="1" applyAlignment="1">
      <alignment horizontal="right" vertical="center" wrapText="1" indent="2" readingOrder="1"/>
    </xf>
    <xf numFmtId="168" fontId="41" fillId="0" borderId="15" xfId="2" applyNumberFormat="1" applyFont="1" applyBorder="1" applyAlignment="1">
      <alignment horizontal="right" vertical="center" wrapText="1" indent="2" readingOrder="1"/>
    </xf>
    <xf numFmtId="168" fontId="41" fillId="0" borderId="16" xfId="2" applyNumberFormat="1" applyFont="1" applyBorder="1" applyAlignment="1">
      <alignment horizontal="right" vertical="center" wrapText="1" indent="2" readingOrder="1"/>
    </xf>
    <xf numFmtId="0" fontId="43" fillId="4" borderId="38" xfId="0" applyFont="1" applyFill="1" applyBorder="1" applyAlignment="1">
      <alignment horizontal="right" vertical="center" wrapText="1" readingOrder="1"/>
    </xf>
    <xf numFmtId="0" fontId="43" fillId="4" borderId="39" xfId="0" applyFont="1" applyFill="1" applyBorder="1" applyAlignment="1">
      <alignment horizontal="right" vertical="center" wrapText="1" readingOrder="1"/>
    </xf>
    <xf numFmtId="0" fontId="43" fillId="4" borderId="40" xfId="0" applyFont="1" applyFill="1" applyBorder="1" applyAlignment="1">
      <alignment horizontal="right" vertical="center" wrapText="1" readingOrder="1"/>
    </xf>
    <xf numFmtId="10" fontId="41" fillId="0" borderId="7" xfId="0" applyNumberFormat="1" applyFont="1" applyBorder="1" applyAlignment="1">
      <alignment horizontal="right" vertical="center" wrapText="1" indent="2" readingOrder="1"/>
    </xf>
    <xf numFmtId="10" fontId="41" fillId="0" borderId="8" xfId="0" applyNumberFormat="1" applyFont="1" applyBorder="1" applyAlignment="1">
      <alignment horizontal="right" vertical="center" wrapText="1" indent="2" readingOrder="1"/>
    </xf>
    <xf numFmtId="10" fontId="41" fillId="0" borderId="9" xfId="0" applyNumberFormat="1" applyFont="1" applyBorder="1" applyAlignment="1">
      <alignment horizontal="right" vertical="center" wrapText="1" indent="2" readingOrder="1"/>
    </xf>
    <xf numFmtId="10" fontId="41" fillId="0" borderId="14" xfId="2" applyNumberFormat="1" applyFont="1" applyBorder="1" applyAlignment="1">
      <alignment horizontal="right" vertical="center" wrapText="1" indent="2" readingOrder="1"/>
    </xf>
    <xf numFmtId="10" fontId="41" fillId="0" borderId="15" xfId="2" applyNumberFormat="1" applyFont="1" applyBorder="1" applyAlignment="1">
      <alignment horizontal="right" vertical="center" wrapText="1" indent="2" readingOrder="1"/>
    </xf>
    <xf numFmtId="10" fontId="41" fillId="0" borderId="16" xfId="2" applyNumberFormat="1" applyFont="1" applyBorder="1" applyAlignment="1">
      <alignment horizontal="right" vertical="center" wrapText="1" indent="2" readingOrder="1"/>
    </xf>
    <xf numFmtId="20" fontId="41" fillId="0" borderId="31" xfId="0" applyNumberFormat="1" applyFont="1" applyBorder="1" applyAlignment="1">
      <alignment horizontal="right" vertical="center" wrapText="1" indent="2" readingOrder="1"/>
    </xf>
    <xf numFmtId="20" fontId="41" fillId="0" borderId="32" xfId="0" applyNumberFormat="1" applyFont="1" applyBorder="1" applyAlignment="1">
      <alignment horizontal="right" vertical="center" wrapText="1" indent="2" readingOrder="1"/>
    </xf>
    <xf numFmtId="20" fontId="41" fillId="0" borderId="33" xfId="0" applyNumberFormat="1" applyFont="1" applyBorder="1" applyAlignment="1">
      <alignment horizontal="right" vertical="center" wrapText="1" indent="2" readingOrder="1"/>
    </xf>
    <xf numFmtId="10" fontId="41" fillId="0" borderId="35" xfId="0" applyNumberFormat="1" applyFont="1" applyBorder="1" applyAlignment="1">
      <alignment horizontal="right" vertical="center" wrapText="1" indent="2" readingOrder="1"/>
    </xf>
    <xf numFmtId="10" fontId="41" fillId="0" borderId="36" xfId="0" applyNumberFormat="1" applyFont="1" applyBorder="1" applyAlignment="1">
      <alignment horizontal="right" vertical="center" wrapText="1" indent="2" readingOrder="1"/>
    </xf>
    <xf numFmtId="10" fontId="41" fillId="0" borderId="37" xfId="0" applyNumberFormat="1" applyFont="1" applyBorder="1" applyAlignment="1">
      <alignment horizontal="right" vertical="center" wrapText="1" indent="2" readingOrder="1"/>
    </xf>
    <xf numFmtId="0" fontId="41" fillId="4" borderId="38" xfId="0" applyFont="1" applyFill="1" applyBorder="1" applyAlignment="1">
      <alignment horizontal="right" vertical="center" wrapText="1" indent="2" readingOrder="1"/>
    </xf>
    <xf numFmtId="0" fontId="41" fillId="4" borderId="39" xfId="0" applyFont="1" applyFill="1" applyBorder="1" applyAlignment="1">
      <alignment horizontal="right" vertical="center" wrapText="1" indent="2" readingOrder="1"/>
    </xf>
    <xf numFmtId="0" fontId="41" fillId="4" borderId="40" xfId="0" applyFont="1" applyFill="1" applyBorder="1" applyAlignment="1">
      <alignment horizontal="right" vertical="center" wrapText="1" indent="2" readingOrder="1"/>
    </xf>
    <xf numFmtId="167" fontId="41" fillId="0" borderId="14" xfId="1" applyNumberFormat="1" applyFont="1" applyBorder="1" applyAlignment="1">
      <alignment horizontal="right" vertical="center" wrapText="1" indent="2" readingOrder="1"/>
    </xf>
    <xf numFmtId="167" fontId="41" fillId="0" borderId="15" xfId="1" applyNumberFormat="1" applyFont="1" applyBorder="1" applyAlignment="1">
      <alignment horizontal="right" vertical="center" wrapText="1" indent="2" readingOrder="1"/>
    </xf>
    <xf numFmtId="167" fontId="41" fillId="0" borderId="16" xfId="1" applyNumberFormat="1" applyFont="1" applyBorder="1" applyAlignment="1">
      <alignment horizontal="right" vertical="center" wrapText="1" indent="2" readingOrder="1"/>
    </xf>
    <xf numFmtId="10" fontId="34" fillId="0" borderId="35" xfId="0" applyNumberFormat="1" applyFont="1" applyBorder="1" applyAlignment="1">
      <alignment horizontal="right" vertical="center" wrapText="1" readingOrder="1"/>
    </xf>
    <xf numFmtId="10" fontId="34" fillId="0" borderId="36" xfId="0" applyNumberFormat="1" applyFont="1" applyBorder="1" applyAlignment="1">
      <alignment horizontal="right" vertical="center" wrapText="1" readingOrder="1"/>
    </xf>
    <xf numFmtId="10" fontId="34" fillId="0" borderId="37" xfId="0" applyNumberFormat="1" applyFont="1" applyBorder="1" applyAlignment="1">
      <alignment horizontal="right" vertical="center" wrapText="1" readingOrder="1"/>
    </xf>
    <xf numFmtId="10" fontId="34" fillId="0" borderId="14" xfId="2" applyNumberFormat="1" applyFont="1" applyBorder="1" applyAlignment="1">
      <alignment horizontal="right" vertical="center" wrapText="1" readingOrder="1"/>
    </xf>
    <xf numFmtId="10" fontId="34" fillId="0" borderId="15" xfId="2" applyNumberFormat="1" applyFont="1" applyBorder="1" applyAlignment="1">
      <alignment horizontal="right" vertical="center" wrapText="1" readingOrder="1"/>
    </xf>
    <xf numFmtId="10" fontId="34" fillId="0" borderId="16" xfId="2" applyNumberFormat="1" applyFont="1" applyBorder="1" applyAlignment="1">
      <alignment horizontal="right" vertical="center" wrapText="1" readingOrder="1"/>
    </xf>
    <xf numFmtId="20" fontId="34" fillId="0" borderId="31" xfId="0" applyNumberFormat="1" applyFont="1" applyBorder="1" applyAlignment="1">
      <alignment horizontal="right" vertical="center" wrapText="1" readingOrder="1"/>
    </xf>
    <xf numFmtId="20" fontId="34" fillId="0" borderId="32" xfId="0" applyNumberFormat="1" applyFont="1" applyBorder="1" applyAlignment="1">
      <alignment horizontal="right" vertical="center" wrapText="1" readingOrder="1"/>
    </xf>
    <xf numFmtId="20" fontId="34" fillId="0" borderId="33" xfId="0" applyNumberFormat="1" applyFont="1" applyBorder="1" applyAlignment="1">
      <alignment horizontal="right" vertical="center" wrapText="1" readingOrder="1"/>
    </xf>
    <xf numFmtId="0" fontId="34" fillId="4" borderId="38" xfId="0" applyFont="1" applyFill="1" applyBorder="1" applyAlignment="1">
      <alignment horizontal="right" vertical="center" wrapText="1" readingOrder="1"/>
    </xf>
    <xf numFmtId="0" fontId="34" fillId="4" borderId="39" xfId="0" applyFont="1" applyFill="1" applyBorder="1" applyAlignment="1">
      <alignment horizontal="right" vertical="center" wrapText="1" readingOrder="1"/>
    </xf>
    <xf numFmtId="0" fontId="34" fillId="4" borderId="40" xfId="0" applyFont="1" applyFill="1" applyBorder="1" applyAlignment="1">
      <alignment horizontal="right" vertical="center" wrapText="1" readingOrder="1"/>
    </xf>
    <xf numFmtId="10" fontId="34" fillId="0" borderId="14" xfId="1" applyNumberFormat="1" applyFont="1" applyBorder="1" applyAlignment="1">
      <alignment horizontal="right" vertical="center" wrapText="1" readingOrder="1"/>
    </xf>
    <xf numFmtId="43" fontId="34" fillId="0" borderId="15" xfId="1" applyFont="1" applyBorder="1" applyAlignment="1">
      <alignment horizontal="right" vertical="center" wrapText="1" readingOrder="1"/>
    </xf>
    <xf numFmtId="43" fontId="34" fillId="0" borderId="16" xfId="1" applyFont="1" applyBorder="1" applyAlignment="1">
      <alignment horizontal="right" vertical="center" wrapText="1" readingOrder="1"/>
    </xf>
    <xf numFmtId="10" fontId="14" fillId="0" borderId="35" xfId="0" applyNumberFormat="1" applyFont="1" applyBorder="1" applyAlignment="1">
      <alignment horizontal="right" vertical="center" wrapText="1" readingOrder="1"/>
    </xf>
    <xf numFmtId="10" fontId="14" fillId="0" borderId="36" xfId="0" applyNumberFormat="1" applyFont="1" applyBorder="1" applyAlignment="1">
      <alignment horizontal="right" vertical="center" wrapText="1" readingOrder="1"/>
    </xf>
    <xf numFmtId="10" fontId="14" fillId="0" borderId="37" xfId="0" applyNumberFormat="1" applyFont="1" applyBorder="1" applyAlignment="1">
      <alignment horizontal="right" vertical="center" wrapText="1" readingOrder="1"/>
    </xf>
    <xf numFmtId="0" fontId="24" fillId="0" borderId="44" xfId="0" quotePrefix="1" applyFont="1" applyBorder="1" applyAlignment="1">
      <alignment horizontal="left" vertical="center" wrapText="1" indent="5" readingOrder="1"/>
    </xf>
    <xf numFmtId="0" fontId="24" fillId="0" borderId="45" xfId="0" quotePrefix="1" applyFont="1" applyBorder="1" applyAlignment="1">
      <alignment horizontal="left" vertical="center" wrapText="1" indent="5" readingOrder="1"/>
    </xf>
    <xf numFmtId="0" fontId="24" fillId="0" borderId="46" xfId="0" quotePrefix="1" applyFont="1" applyBorder="1" applyAlignment="1">
      <alignment horizontal="left" vertical="center" wrapText="1" indent="5" readingOrder="1"/>
    </xf>
    <xf numFmtId="0" fontId="24" fillId="0" borderId="47" xfId="0" quotePrefix="1" applyFont="1" applyBorder="1" applyAlignment="1">
      <alignment horizontal="left" vertical="center" wrapText="1" indent="5" readingOrder="1"/>
    </xf>
    <xf numFmtId="0" fontId="24" fillId="0" borderId="50" xfId="0" quotePrefix="1" applyFont="1" applyBorder="1" applyAlignment="1">
      <alignment horizontal="left" vertical="center" wrapText="1" indent="5" readingOrder="1"/>
    </xf>
    <xf numFmtId="0" fontId="24" fillId="0" borderId="48" xfId="0" quotePrefix="1" applyFont="1" applyBorder="1" applyAlignment="1">
      <alignment horizontal="left" vertical="center" wrapText="1" indent="5" readingOrder="1"/>
    </xf>
    <xf numFmtId="10" fontId="14" fillId="0" borderId="14" xfId="2" applyNumberFormat="1" applyFont="1" applyBorder="1" applyAlignment="1">
      <alignment horizontal="right" vertical="center" wrapText="1" readingOrder="1"/>
    </xf>
    <xf numFmtId="10" fontId="14" fillId="0" borderId="15" xfId="2" applyNumberFormat="1" applyFont="1" applyBorder="1" applyAlignment="1">
      <alignment horizontal="right" vertical="center" wrapText="1" readingOrder="1"/>
    </xf>
    <xf numFmtId="10" fontId="14" fillId="0" borderId="16" xfId="2" applyNumberFormat="1" applyFont="1" applyBorder="1" applyAlignment="1">
      <alignment horizontal="right" vertical="center" wrapText="1" readingOrder="1"/>
    </xf>
    <xf numFmtId="43" fontId="14" fillId="0" borderId="14" xfId="1" applyFont="1" applyBorder="1" applyAlignment="1">
      <alignment horizontal="right" vertical="center" wrapText="1" readingOrder="1"/>
    </xf>
    <xf numFmtId="43" fontId="14" fillId="0" borderId="15" xfId="1" applyFont="1" applyBorder="1" applyAlignment="1">
      <alignment horizontal="right" vertical="center" wrapText="1" readingOrder="1"/>
    </xf>
    <xf numFmtId="43" fontId="14" fillId="0" borderId="16" xfId="1" applyFont="1" applyBorder="1" applyAlignment="1">
      <alignment horizontal="right" vertical="center" wrapText="1" readingOrder="1"/>
    </xf>
    <xf numFmtId="20" fontId="14" fillId="0" borderId="31" xfId="0" applyNumberFormat="1" applyFont="1" applyBorder="1" applyAlignment="1">
      <alignment horizontal="right" vertical="center" wrapText="1" readingOrder="1"/>
    </xf>
    <xf numFmtId="20" fontId="14" fillId="0" borderId="32" xfId="0" applyNumberFormat="1" applyFont="1" applyBorder="1" applyAlignment="1">
      <alignment horizontal="right" vertical="center" wrapText="1" readingOrder="1"/>
    </xf>
    <xf numFmtId="20" fontId="14" fillId="0" borderId="33" xfId="0" applyNumberFormat="1" applyFont="1" applyBorder="1" applyAlignment="1">
      <alignment horizontal="right" vertical="center" wrapText="1" readingOrder="1"/>
    </xf>
    <xf numFmtId="0" fontId="30" fillId="4" borderId="8" xfId="0" applyFont="1" applyFill="1" applyBorder="1" applyAlignment="1">
      <alignment horizontal="center" vertical="center" wrapText="1" readingOrder="1"/>
    </xf>
    <xf numFmtId="0" fontId="30" fillId="4" borderId="49" xfId="0" applyFont="1" applyFill="1" applyBorder="1" applyAlignment="1">
      <alignment horizontal="center" vertical="center" wrapText="1" readingOrder="1"/>
    </xf>
    <xf numFmtId="0" fontId="33" fillId="0" borderId="1" xfId="0" quotePrefix="1" applyFont="1" applyBorder="1" applyAlignment="1">
      <alignment horizontal="left" vertical="center" wrapText="1" indent="5" readingOrder="1"/>
    </xf>
    <xf numFmtId="0" fontId="33" fillId="0" borderId="45" xfId="0" quotePrefix="1" applyFont="1" applyBorder="1" applyAlignment="1">
      <alignment horizontal="left" vertical="center" wrapText="1" indent="5" readingOrder="1"/>
    </xf>
    <xf numFmtId="0" fontId="33" fillId="0" borderId="0" xfId="0" quotePrefix="1" applyFont="1" applyAlignment="1">
      <alignment horizontal="left" vertical="center" wrapText="1" indent="5" readingOrder="1"/>
    </xf>
    <xf numFmtId="0" fontId="33" fillId="0" borderId="47" xfId="0" quotePrefix="1" applyFont="1" applyBorder="1" applyAlignment="1">
      <alignment horizontal="left" vertical="center" wrapText="1" indent="5" readingOrder="1"/>
    </xf>
    <xf numFmtId="0" fontId="33" fillId="0" borderId="29" xfId="0" quotePrefix="1" applyFont="1" applyBorder="1" applyAlignment="1">
      <alignment horizontal="left" vertical="center" wrapText="1" indent="5" readingOrder="1"/>
    </xf>
    <xf numFmtId="0" fontId="33" fillId="0" borderId="48" xfId="0" quotePrefix="1" applyFont="1" applyBorder="1" applyAlignment="1">
      <alignment horizontal="left" vertical="center" wrapText="1" indent="5" readingOrder="1"/>
    </xf>
    <xf numFmtId="0" fontId="34" fillId="4" borderId="8" xfId="0" applyFont="1" applyFill="1" applyBorder="1" applyAlignment="1">
      <alignment horizontal="center" vertical="center" wrapText="1" readingOrder="1"/>
    </xf>
    <xf numFmtId="0" fontId="34" fillId="4" borderId="49" xfId="0" applyFont="1" applyFill="1" applyBorder="1" applyAlignment="1">
      <alignment horizontal="center" vertical="center" wrapText="1" readingOrder="1"/>
    </xf>
    <xf numFmtId="0" fontId="14" fillId="4" borderId="38" xfId="0" applyFont="1" applyFill="1" applyBorder="1" applyAlignment="1">
      <alignment horizontal="right" vertical="center" wrapText="1" readingOrder="1"/>
    </xf>
    <xf numFmtId="0" fontId="14" fillId="4" borderId="39" xfId="0" applyFont="1" applyFill="1" applyBorder="1" applyAlignment="1">
      <alignment horizontal="right" vertical="center" wrapText="1" readingOrder="1"/>
    </xf>
    <xf numFmtId="0" fontId="14" fillId="4" borderId="40" xfId="0" applyFont="1" applyFill="1" applyBorder="1" applyAlignment="1">
      <alignment horizontal="right" vertical="center" wrapText="1" readingOrder="1"/>
    </xf>
    <xf numFmtId="0" fontId="14" fillId="4" borderId="7" xfId="0" applyFont="1" applyFill="1" applyBorder="1" applyAlignment="1">
      <alignment horizontal="center" vertical="center" wrapText="1" readingOrder="1"/>
    </xf>
    <xf numFmtId="0" fontId="14" fillId="4" borderId="8" xfId="0" applyFont="1" applyFill="1" applyBorder="1" applyAlignment="1">
      <alignment horizontal="center" vertical="center" wrapText="1" readingOrder="1"/>
    </xf>
    <xf numFmtId="0" fontId="14" fillId="4" borderId="49" xfId="0" applyFont="1" applyFill="1" applyBorder="1" applyAlignment="1">
      <alignment horizontal="center" vertical="center" wrapText="1" readingOrder="1"/>
    </xf>
    <xf numFmtId="10" fontId="14" fillId="0" borderId="7" xfId="0" applyNumberFormat="1" applyFont="1" applyBorder="1" applyAlignment="1">
      <alignment horizontal="right" vertical="center" wrapText="1" readingOrder="1"/>
    </xf>
    <xf numFmtId="10" fontId="14" fillId="0" borderId="8" xfId="0" applyNumberFormat="1" applyFont="1" applyBorder="1" applyAlignment="1">
      <alignment horizontal="right" vertical="center" wrapText="1" readingOrder="1"/>
    </xf>
    <xf numFmtId="10" fontId="14" fillId="0" borderId="9" xfId="0" applyNumberFormat="1" applyFont="1" applyBorder="1" applyAlignment="1">
      <alignment horizontal="right" vertical="center" wrapText="1" readingOrder="1"/>
    </xf>
    <xf numFmtId="167" fontId="14" fillId="0" borderId="14" xfId="1" applyNumberFormat="1" applyFont="1" applyBorder="1" applyAlignment="1">
      <alignment horizontal="right" vertical="center" wrapText="1" readingOrder="1"/>
    </xf>
    <xf numFmtId="167" fontId="14" fillId="0" borderId="15" xfId="1" applyNumberFormat="1" applyFont="1" applyBorder="1" applyAlignment="1">
      <alignment horizontal="right" vertical="center" wrapText="1" readingOrder="1"/>
    </xf>
    <xf numFmtId="167" fontId="14" fillId="0" borderId="16" xfId="1" applyNumberFormat="1" applyFont="1" applyBorder="1" applyAlignment="1">
      <alignment horizontal="right" vertical="center" wrapText="1" readingOrder="1"/>
    </xf>
    <xf numFmtId="0" fontId="14" fillId="4" borderId="35" xfId="0" applyFont="1" applyFill="1" applyBorder="1" applyAlignment="1">
      <alignment horizontal="left" vertical="center" wrapText="1" indent="5" readingOrder="1"/>
    </xf>
    <xf numFmtId="0" fontId="14" fillId="4" borderId="36" xfId="0" applyFont="1" applyFill="1" applyBorder="1" applyAlignment="1">
      <alignment horizontal="left" vertical="center" wrapText="1" indent="5" readingOrder="1"/>
    </xf>
    <xf numFmtId="0" fontId="14" fillId="4" borderId="5" xfId="0" applyFont="1" applyFill="1" applyBorder="1" applyAlignment="1">
      <alignment horizontal="left" vertical="center" wrapText="1" indent="5" readingOrder="1"/>
    </xf>
    <xf numFmtId="0" fontId="17" fillId="0" borderId="44" xfId="0" quotePrefix="1" applyFont="1" applyBorder="1" applyAlignment="1">
      <alignment horizontal="left" vertical="center" wrapText="1" indent="5" readingOrder="1"/>
    </xf>
    <xf numFmtId="0" fontId="17" fillId="0" borderId="1" xfId="0" quotePrefix="1" applyFont="1" applyBorder="1" applyAlignment="1">
      <alignment horizontal="left" vertical="center" wrapText="1" indent="5" readingOrder="1"/>
    </xf>
    <xf numFmtId="0" fontId="17" fillId="0" borderId="45" xfId="0" quotePrefix="1" applyFont="1" applyBorder="1" applyAlignment="1">
      <alignment horizontal="left" vertical="center" wrapText="1" indent="5" readingOrder="1"/>
    </xf>
    <xf numFmtId="0" fontId="17" fillId="0" borderId="46" xfId="0" quotePrefix="1" applyFont="1" applyBorder="1" applyAlignment="1">
      <alignment horizontal="left" vertical="center" wrapText="1" indent="5" readingOrder="1"/>
    </xf>
    <xf numFmtId="0" fontId="17" fillId="0" borderId="0" xfId="0" quotePrefix="1" applyFont="1" applyAlignment="1">
      <alignment horizontal="left" vertical="center" wrapText="1" indent="5" readingOrder="1"/>
    </xf>
    <xf numFmtId="0" fontId="17" fillId="0" borderId="47" xfId="0" quotePrefix="1" applyFont="1" applyBorder="1" applyAlignment="1">
      <alignment horizontal="left" vertical="center" wrapText="1" indent="5" readingOrder="1"/>
    </xf>
    <xf numFmtId="0" fontId="17" fillId="0" borderId="35" xfId="0" quotePrefix="1" applyFont="1" applyBorder="1" applyAlignment="1">
      <alignment horizontal="left" vertical="center" wrapText="1" indent="5" readingOrder="1"/>
    </xf>
    <xf numFmtId="0" fontId="17" fillId="0" borderId="36" xfId="0" quotePrefix="1" applyFont="1" applyBorder="1" applyAlignment="1">
      <alignment horizontal="left" vertical="center" wrapText="1" indent="5" readingOrder="1"/>
    </xf>
    <xf numFmtId="0" fontId="17" fillId="0" borderId="5" xfId="0" quotePrefix="1" applyFont="1" applyBorder="1" applyAlignment="1">
      <alignment horizontal="left" vertical="center" wrapText="1" indent="5" readingOrder="1"/>
    </xf>
    <xf numFmtId="0" fontId="14" fillId="4" borderId="14" xfId="0" applyFont="1" applyFill="1" applyBorder="1" applyAlignment="1">
      <alignment horizontal="center" vertical="center" wrapText="1" readingOrder="1"/>
    </xf>
    <xf numFmtId="0" fontId="14" fillId="4" borderId="15" xfId="0" applyFont="1" applyFill="1" applyBorder="1" applyAlignment="1">
      <alignment horizontal="center" vertical="center" wrapText="1" readingOrder="1"/>
    </xf>
    <xf numFmtId="0" fontId="14" fillId="4" borderId="3" xfId="0" applyFont="1" applyFill="1" applyBorder="1" applyAlignment="1">
      <alignment horizontal="center" vertical="center" wrapText="1" readingOrder="1"/>
    </xf>
    <xf numFmtId="0" fontId="24" fillId="0" borderId="35" xfId="0" quotePrefix="1" applyFont="1" applyBorder="1" applyAlignment="1">
      <alignment horizontal="left" vertical="center" wrapText="1" indent="5" readingOrder="1"/>
    </xf>
    <xf numFmtId="0" fontId="24" fillId="0" borderId="36" xfId="0" quotePrefix="1" applyFont="1" applyBorder="1" applyAlignment="1">
      <alignment horizontal="left" vertical="center" wrapText="1" indent="5" readingOrder="1"/>
    </xf>
    <xf numFmtId="0" fontId="24" fillId="0" borderId="5" xfId="0" quotePrefix="1" applyFont="1" applyBorder="1" applyAlignment="1">
      <alignment horizontal="left" vertical="center" wrapText="1" indent="5" readingOrder="1"/>
    </xf>
    <xf numFmtId="165" fontId="14" fillId="0" borderId="14" xfId="2" applyNumberFormat="1" applyFont="1" applyBorder="1" applyAlignment="1">
      <alignment horizontal="right" vertical="center" wrapText="1" readingOrder="1"/>
    </xf>
    <xf numFmtId="165" fontId="14" fillId="0" borderId="15" xfId="2" applyNumberFormat="1" applyFont="1" applyBorder="1" applyAlignment="1">
      <alignment horizontal="right" vertical="center" wrapText="1" readingOrder="1"/>
    </xf>
    <xf numFmtId="165" fontId="14" fillId="0" borderId="16" xfId="2" applyNumberFormat="1" applyFont="1" applyBorder="1" applyAlignment="1">
      <alignment horizontal="right" vertical="center" wrapText="1" readingOrder="1"/>
    </xf>
    <xf numFmtId="20" fontId="14" fillId="5" borderId="31" xfId="0" applyNumberFormat="1" applyFont="1" applyFill="1" applyBorder="1" applyAlignment="1">
      <alignment horizontal="right" vertical="center" wrapText="1" readingOrder="1"/>
    </xf>
    <xf numFmtId="20" fontId="14" fillId="5" borderId="32" xfId="0" applyNumberFormat="1" applyFont="1" applyFill="1" applyBorder="1" applyAlignment="1">
      <alignment horizontal="right" vertical="center" wrapText="1" readingOrder="1"/>
    </xf>
    <xf numFmtId="20" fontId="14" fillId="5" borderId="33" xfId="0" applyNumberFormat="1" applyFont="1" applyFill="1" applyBorder="1" applyAlignment="1">
      <alignment horizontal="right" vertical="center" wrapText="1" readingOrder="1"/>
    </xf>
    <xf numFmtId="0" fontId="14" fillId="4" borderId="2" xfId="0" applyFont="1" applyFill="1" applyBorder="1" applyAlignment="1">
      <alignment horizontal="right" vertical="center" wrapText="1" readingOrder="1"/>
    </xf>
    <xf numFmtId="0" fontId="14" fillId="4" borderId="14" xfId="0" applyFont="1" applyFill="1" applyBorder="1" applyAlignment="1">
      <alignment horizontal="left" vertical="center" wrapText="1" readingOrder="1"/>
    </xf>
    <xf numFmtId="0" fontId="14" fillId="4" borderId="15" xfId="0" applyFont="1" applyFill="1" applyBorder="1" applyAlignment="1">
      <alignment horizontal="left" vertical="center" wrapText="1" readingOrder="1"/>
    </xf>
    <xf numFmtId="0" fontId="14" fillId="4" borderId="3" xfId="0" applyFont="1" applyFill="1" applyBorder="1" applyAlignment="1">
      <alignment horizontal="left" vertical="center" wrapText="1" readingOrder="1"/>
    </xf>
    <xf numFmtId="10" fontId="14" fillId="0" borderId="2" xfId="0" applyNumberFormat="1" applyFont="1" applyBorder="1" applyAlignment="1">
      <alignment horizontal="right" vertical="center" wrapText="1" readingOrder="1"/>
    </xf>
    <xf numFmtId="0" fontId="14" fillId="4" borderId="14" xfId="0" applyFont="1" applyFill="1" applyBorder="1" applyAlignment="1">
      <alignment horizontal="left" vertical="center" wrapText="1" indent="5" readingOrder="1"/>
    </xf>
    <xf numFmtId="0" fontId="14" fillId="4" borderId="15" xfId="0" applyFont="1" applyFill="1" applyBorder="1" applyAlignment="1">
      <alignment horizontal="left" vertical="center" wrapText="1" indent="5" readingOrder="1"/>
    </xf>
    <xf numFmtId="0" fontId="14" fillId="4" borderId="3" xfId="0" applyFont="1" applyFill="1" applyBorder="1" applyAlignment="1">
      <alignment horizontal="left" vertical="center" wrapText="1" indent="5" readingOrder="1"/>
    </xf>
    <xf numFmtId="43" fontId="14" fillId="0" borderId="2" xfId="1" applyFont="1" applyBorder="1" applyAlignment="1">
      <alignment horizontal="right" vertical="center" wrapText="1" readingOrder="1"/>
    </xf>
    <xf numFmtId="20" fontId="14" fillId="3" borderId="2" xfId="0" applyNumberFormat="1" applyFont="1" applyFill="1" applyBorder="1" applyAlignment="1">
      <alignment horizontal="right" vertical="center" wrapText="1" readingOrder="1"/>
    </xf>
    <xf numFmtId="10" fontId="14" fillId="0" borderId="2" xfId="2" applyNumberFormat="1" applyFont="1" applyBorder="1" applyAlignment="1">
      <alignment horizontal="right" vertical="center" wrapText="1" readingOrder="1"/>
    </xf>
    <xf numFmtId="20" fontId="14" fillId="0" borderId="2" xfId="0" applyNumberFormat="1" applyFont="1" applyBorder="1" applyAlignment="1">
      <alignment horizontal="right" vertical="center" wrapText="1" readingOrder="1"/>
    </xf>
    <xf numFmtId="168" fontId="14" fillId="0" borderId="14" xfId="2" applyNumberFormat="1" applyFont="1" applyBorder="1" applyAlignment="1">
      <alignment horizontal="right" vertical="center" wrapText="1" readingOrder="1"/>
    </xf>
    <xf numFmtId="168" fontId="14" fillId="0" borderId="15" xfId="2" applyNumberFormat="1" applyFont="1" applyBorder="1" applyAlignment="1">
      <alignment horizontal="right" vertical="center" wrapText="1" readingOrder="1"/>
    </xf>
    <xf numFmtId="168" fontId="14" fillId="0" borderId="16" xfId="2" applyNumberFormat="1" applyFont="1" applyBorder="1" applyAlignment="1">
      <alignment horizontal="right" vertical="center" wrapText="1" readingOrder="1"/>
    </xf>
    <xf numFmtId="0" fontId="14" fillId="4" borderId="58" xfId="0" applyFont="1" applyFill="1" applyBorder="1" applyAlignment="1">
      <alignment horizontal="right" vertical="center" wrapText="1" readingOrder="1"/>
    </xf>
    <xf numFmtId="0" fontId="14" fillId="4" borderId="59" xfId="0" applyFont="1" applyFill="1" applyBorder="1" applyAlignment="1">
      <alignment horizontal="right" vertical="center" wrapText="1" readingOrder="1"/>
    </xf>
    <xf numFmtId="0" fontId="14" fillId="4" borderId="60" xfId="0" applyFont="1" applyFill="1" applyBorder="1" applyAlignment="1">
      <alignment horizontal="right" vertical="center" wrapText="1" readingOrder="1"/>
    </xf>
    <xf numFmtId="0" fontId="14" fillId="4" borderId="58" xfId="0" applyFont="1" applyFill="1" applyBorder="1" applyAlignment="1">
      <alignment horizontal="center" vertical="center" wrapText="1" readingOrder="1"/>
    </xf>
    <xf numFmtId="167" fontId="14" fillId="0" borderId="2" xfId="1" applyNumberFormat="1" applyFont="1" applyBorder="1" applyAlignment="1">
      <alignment horizontal="right" vertical="center" wrapText="1" readingOrder="1"/>
    </xf>
    <xf numFmtId="168" fontId="14" fillId="0" borderId="2" xfId="2" applyNumberFormat="1" applyFont="1" applyBorder="1" applyAlignment="1">
      <alignment horizontal="right" vertical="center" wrapText="1" readingOrder="1"/>
    </xf>
    <xf numFmtId="168" fontId="14" fillId="0" borderId="2" xfId="2" applyNumberFormat="1" applyFont="1" applyFill="1" applyBorder="1" applyAlignment="1">
      <alignment horizontal="right" vertical="center" wrapText="1" readingOrder="1"/>
    </xf>
    <xf numFmtId="165" fontId="14" fillId="0" borderId="2" xfId="2" applyNumberFormat="1" applyFont="1" applyBorder="1" applyAlignment="1">
      <alignment horizontal="right" vertical="center" wrapText="1" readingOrder="1"/>
    </xf>
    <xf numFmtId="10" fontId="14" fillId="0" borderId="2" xfId="1" applyNumberFormat="1" applyFont="1" applyBorder="1" applyAlignment="1">
      <alignment horizontal="right" vertical="center" wrapText="1" readingOrder="1"/>
    </xf>
    <xf numFmtId="43" fontId="14" fillId="0" borderId="74" xfId="1" applyFont="1" applyBorder="1" applyAlignment="1">
      <alignment horizontal="right" vertical="center" wrapText="1" readingOrder="1"/>
    </xf>
    <xf numFmtId="20" fontId="14" fillId="0" borderId="71" xfId="0" applyNumberFormat="1" applyFont="1" applyBorder="1" applyAlignment="1">
      <alignment horizontal="right" vertical="center" wrapText="1" readingOrder="1"/>
    </xf>
    <xf numFmtId="0" fontId="14" fillId="4" borderId="14" xfId="0" applyFont="1" applyFill="1" applyBorder="1" applyAlignment="1">
      <alignment horizontal="right" vertical="center" wrapText="1" readingOrder="1"/>
    </xf>
    <xf numFmtId="0" fontId="14" fillId="4" borderId="15" xfId="0" applyFont="1" applyFill="1" applyBorder="1" applyAlignment="1">
      <alignment horizontal="right" vertical="center" wrapText="1" readingOrder="1"/>
    </xf>
    <xf numFmtId="0" fontId="14" fillId="4" borderId="74" xfId="0" applyFont="1" applyFill="1" applyBorder="1" applyAlignment="1">
      <alignment horizontal="right" vertical="center" wrapText="1" readingOrder="1"/>
    </xf>
    <xf numFmtId="10" fontId="14" fillId="0" borderId="14" xfId="0" applyNumberFormat="1" applyFont="1" applyBorder="1" applyAlignment="1">
      <alignment horizontal="right" vertical="center" wrapText="1" readingOrder="1"/>
    </xf>
    <xf numFmtId="10" fontId="14" fillId="0" borderId="15" xfId="0" applyNumberFormat="1" applyFont="1" applyBorder="1" applyAlignment="1">
      <alignment horizontal="right" vertical="center" wrapText="1" readingOrder="1"/>
    </xf>
    <xf numFmtId="10" fontId="14" fillId="0" borderId="74" xfId="0" applyNumberFormat="1" applyFont="1" applyBorder="1" applyAlignment="1">
      <alignment horizontal="right" vertical="center" wrapText="1" readingOrder="1"/>
    </xf>
    <xf numFmtId="0" fontId="37" fillId="4" borderId="38" xfId="0" applyFont="1" applyFill="1" applyBorder="1" applyAlignment="1">
      <alignment horizontal="right" vertical="center" wrapText="1" readingOrder="1"/>
    </xf>
    <xf numFmtId="0" fontId="37" fillId="4" borderId="39" xfId="0" applyFont="1" applyFill="1" applyBorder="1" applyAlignment="1">
      <alignment horizontal="right" vertical="center" wrapText="1" readingOrder="1"/>
    </xf>
    <xf numFmtId="0" fontId="37" fillId="4" borderId="40" xfId="0" applyFont="1" applyFill="1" applyBorder="1" applyAlignment="1">
      <alignment horizontal="right" vertical="center" wrapText="1" readingOrder="1"/>
    </xf>
    <xf numFmtId="0" fontId="37" fillId="4" borderId="8" xfId="0" applyFont="1" applyFill="1" applyBorder="1" applyAlignment="1">
      <alignment horizontal="center" vertical="center" wrapText="1" readingOrder="1"/>
    </xf>
    <xf numFmtId="0" fontId="37" fillId="4" borderId="49" xfId="0" applyFont="1" applyFill="1" applyBorder="1" applyAlignment="1">
      <alignment horizontal="center" vertical="center" wrapText="1" readingOrder="1"/>
    </xf>
    <xf numFmtId="10" fontId="37" fillId="0" borderId="35" xfId="0" applyNumberFormat="1" applyFont="1" applyBorder="1" applyAlignment="1">
      <alignment horizontal="right" vertical="center" wrapText="1" readingOrder="1"/>
    </xf>
    <xf numFmtId="10" fontId="37" fillId="0" borderId="36" xfId="0" applyNumberFormat="1" applyFont="1" applyBorder="1" applyAlignment="1">
      <alignment horizontal="right" vertical="center" wrapText="1" readingOrder="1"/>
    </xf>
    <xf numFmtId="10" fontId="37" fillId="0" borderId="37" xfId="0" applyNumberFormat="1" applyFont="1" applyBorder="1" applyAlignment="1">
      <alignment horizontal="right" vertical="center" wrapText="1" readingOrder="1"/>
    </xf>
    <xf numFmtId="0" fontId="36" fillId="0" borderId="1" xfId="0" quotePrefix="1" applyFont="1" applyBorder="1" applyAlignment="1">
      <alignment horizontal="left" vertical="center" wrapText="1" indent="5" readingOrder="1"/>
    </xf>
    <xf numFmtId="0" fontId="36" fillId="0" borderId="45" xfId="0" quotePrefix="1" applyFont="1" applyBorder="1" applyAlignment="1">
      <alignment horizontal="left" vertical="center" wrapText="1" indent="5" readingOrder="1"/>
    </xf>
    <xf numFmtId="0" fontId="36" fillId="0" borderId="0" xfId="0" quotePrefix="1" applyFont="1" applyAlignment="1">
      <alignment horizontal="left" vertical="center" wrapText="1" indent="5" readingOrder="1"/>
    </xf>
    <xf numFmtId="0" fontId="36" fillId="0" borderId="47" xfId="0" quotePrefix="1" applyFont="1" applyBorder="1" applyAlignment="1">
      <alignment horizontal="left" vertical="center" wrapText="1" indent="5" readingOrder="1"/>
    </xf>
    <xf numFmtId="0" fontId="36" fillId="0" borderId="29" xfId="0" quotePrefix="1" applyFont="1" applyBorder="1" applyAlignment="1">
      <alignment horizontal="left" vertical="center" wrapText="1" indent="5" readingOrder="1"/>
    </xf>
    <xf numFmtId="0" fontId="36" fillId="0" borderId="48" xfId="0" quotePrefix="1" applyFont="1" applyBorder="1" applyAlignment="1">
      <alignment horizontal="left" vertical="center" wrapText="1" indent="5" readingOrder="1"/>
    </xf>
    <xf numFmtId="10" fontId="37" fillId="0" borderId="14" xfId="2" applyNumberFormat="1" applyFont="1" applyBorder="1" applyAlignment="1">
      <alignment horizontal="right" vertical="center" wrapText="1" readingOrder="1"/>
    </xf>
    <xf numFmtId="10" fontId="37" fillId="0" borderId="15" xfId="2" applyNumberFormat="1" applyFont="1" applyBorder="1" applyAlignment="1">
      <alignment horizontal="right" vertical="center" wrapText="1" readingOrder="1"/>
    </xf>
    <xf numFmtId="10" fontId="37" fillId="0" borderId="16" xfId="2" applyNumberFormat="1" applyFont="1" applyBorder="1" applyAlignment="1">
      <alignment horizontal="right" vertical="center" wrapText="1" readingOrder="1"/>
    </xf>
    <xf numFmtId="43" fontId="37" fillId="0" borderId="14" xfId="1" applyFont="1" applyBorder="1" applyAlignment="1">
      <alignment horizontal="right" vertical="center" wrapText="1" readingOrder="1"/>
    </xf>
    <xf numFmtId="43" fontId="37" fillId="0" borderId="15" xfId="1" applyFont="1" applyBorder="1" applyAlignment="1">
      <alignment horizontal="right" vertical="center" wrapText="1" readingOrder="1"/>
    </xf>
    <xf numFmtId="43" fontId="37" fillId="0" borderId="16" xfId="1" applyFont="1" applyBorder="1" applyAlignment="1">
      <alignment horizontal="right" vertical="center" wrapText="1" readingOrder="1"/>
    </xf>
    <xf numFmtId="20" fontId="37" fillId="0" borderId="31" xfId="0" applyNumberFormat="1" applyFont="1" applyBorder="1" applyAlignment="1">
      <alignment horizontal="right" vertical="center" wrapText="1" readingOrder="1"/>
    </xf>
    <xf numFmtId="20" fontId="37" fillId="0" borderId="32" xfId="0" applyNumberFormat="1" applyFont="1" applyBorder="1" applyAlignment="1">
      <alignment horizontal="right" vertical="center" wrapText="1" readingOrder="1"/>
    </xf>
    <xf numFmtId="20" fontId="37" fillId="0" borderId="33" xfId="0" applyNumberFormat="1" applyFont="1" applyBorder="1" applyAlignment="1">
      <alignment horizontal="right" vertical="center" wrapText="1" readingOrder="1"/>
    </xf>
    <xf numFmtId="0" fontId="31" fillId="0" borderId="1" xfId="0" quotePrefix="1" applyFont="1" applyBorder="1" applyAlignment="1">
      <alignment horizontal="left" vertical="center" wrapText="1" indent="5" readingOrder="1"/>
    </xf>
    <xf numFmtId="0" fontId="31" fillId="0" borderId="45" xfId="0" quotePrefix="1" applyFont="1" applyBorder="1" applyAlignment="1">
      <alignment horizontal="left" vertical="center" wrapText="1" indent="5" readingOrder="1"/>
    </xf>
    <xf numFmtId="0" fontId="31" fillId="0" borderId="0" xfId="0" quotePrefix="1" applyFont="1" applyAlignment="1">
      <alignment horizontal="left" vertical="center" wrapText="1" indent="5" readingOrder="1"/>
    </xf>
    <xf numFmtId="0" fontId="31" fillId="0" borderId="47" xfId="0" quotePrefix="1" applyFont="1" applyBorder="1" applyAlignment="1">
      <alignment horizontal="left" vertical="center" wrapText="1" indent="5" readingOrder="1"/>
    </xf>
    <xf numFmtId="0" fontId="31" fillId="0" borderId="29" xfId="0" quotePrefix="1" applyFont="1" applyBorder="1" applyAlignment="1">
      <alignment horizontal="left" vertical="center" wrapText="1" indent="5" readingOrder="1"/>
    </xf>
    <xf numFmtId="0" fontId="31" fillId="0" borderId="48" xfId="0" quotePrefix="1" applyFont="1" applyBorder="1" applyAlignment="1">
      <alignment horizontal="left" vertical="center" wrapText="1" indent="5" readingOrder="1"/>
    </xf>
    <xf numFmtId="43" fontId="34" fillId="0" borderId="14" xfId="1" applyFont="1" applyBorder="1" applyAlignment="1">
      <alignment horizontal="right" vertical="center" wrapText="1" readingOrder="1"/>
    </xf>
    <xf numFmtId="0" fontId="52" fillId="4" borderId="38" xfId="0" applyFont="1" applyFill="1" applyBorder="1" applyAlignment="1">
      <alignment horizontal="right" vertical="center" wrapText="1" indent="2" readingOrder="1"/>
    </xf>
    <xf numFmtId="0" fontId="52" fillId="4" borderId="39" xfId="0" applyFont="1" applyFill="1" applyBorder="1" applyAlignment="1">
      <alignment horizontal="right" vertical="center" wrapText="1" indent="2" readingOrder="1"/>
    </xf>
    <xf numFmtId="0" fontId="52" fillId="4" borderId="40" xfId="0" applyFont="1" applyFill="1" applyBorder="1" applyAlignment="1">
      <alignment horizontal="right" vertical="center" wrapText="1" indent="2" readingOrder="1"/>
    </xf>
  </cellXfs>
  <cellStyles count="3">
    <cellStyle name="Comma" xfId="1" builtinId="3"/>
    <cellStyle name="Normal" xfId="0" builtinId="0"/>
    <cellStyle name="Percent" xfId="2" builtinId="5"/>
  </cellStyles>
  <dxfs count="13">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hyperlink" Target="mailto:22@K"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43DCB9-5E74-874B-8432-3513A5C20642}">
  <dimension ref="A1:L552"/>
  <sheetViews>
    <sheetView showGridLines="0" tabSelected="1" zoomScale="80" zoomScaleNormal="80" workbookViewId="0">
      <pane ySplit="2" topLeftCell="A546" activePane="bottomLeft" state="frozen"/>
      <selection pane="bottomLeft" activeCell="A552" sqref="A552"/>
    </sheetView>
  </sheetViews>
  <sheetFormatPr baseColWidth="10" defaultRowHeight="16" x14ac:dyDescent="0.2"/>
  <cols>
    <col min="1" max="1" width="2" style="684" customWidth="1"/>
    <col min="7" max="7" width="38.83203125" bestFit="1" customWidth="1"/>
    <col min="8" max="8" width="10.5" style="1" bestFit="1" customWidth="1"/>
    <col min="9" max="9" width="28" style="1" bestFit="1" customWidth="1"/>
    <col min="11" max="11" width="92.1640625" customWidth="1"/>
  </cols>
  <sheetData>
    <row r="1" spans="1:11" x14ac:dyDescent="0.2">
      <c r="A1" s="683" t="s">
        <v>105</v>
      </c>
      <c r="B1" s="2" t="s">
        <v>36</v>
      </c>
      <c r="J1" s="1"/>
    </row>
    <row r="2" spans="1:11" x14ac:dyDescent="0.2">
      <c r="B2" s="26" t="s">
        <v>35</v>
      </c>
      <c r="C2" s="26" t="s">
        <v>34</v>
      </c>
      <c r="D2" s="26" t="s">
        <v>33</v>
      </c>
      <c r="E2" s="26" t="s">
        <v>32</v>
      </c>
      <c r="F2" s="26" t="s">
        <v>31</v>
      </c>
      <c r="G2" s="27" t="s">
        <v>30</v>
      </c>
      <c r="H2" s="28" t="s">
        <v>29</v>
      </c>
      <c r="I2" s="28" t="s">
        <v>28</v>
      </c>
      <c r="J2" s="28" t="s">
        <v>27</v>
      </c>
      <c r="K2" s="4" t="s">
        <v>75</v>
      </c>
    </row>
    <row r="3" spans="1:11" x14ac:dyDescent="0.2">
      <c r="A3" s="683" t="s">
        <v>105</v>
      </c>
      <c r="B3" s="29">
        <v>45474</v>
      </c>
      <c r="C3" s="30" t="str">
        <f>VLOOKUP(WEEKDAY(B3,2),'EC-Commands'!$D$13:$E$19,2,FALSE)</f>
        <v>Mon</v>
      </c>
      <c r="D3" s="31">
        <v>0.72916666666666663</v>
      </c>
      <c r="E3" s="32" t="s">
        <v>22</v>
      </c>
      <c r="F3" s="32">
        <v>3</v>
      </c>
      <c r="G3" s="32" t="s">
        <v>26</v>
      </c>
      <c r="H3" s="34"/>
      <c r="I3" s="35">
        <v>2E-3</v>
      </c>
      <c r="J3" s="35">
        <v>1E-3</v>
      </c>
      <c r="K3" s="33"/>
    </row>
    <row r="4" spans="1:11" x14ac:dyDescent="0.2">
      <c r="B4" s="29">
        <v>45474</v>
      </c>
      <c r="C4" s="30" t="str">
        <f>VLOOKUP(WEEKDAY(B4,2),'EC-Commands'!$D$13:$E$19,2,FALSE)</f>
        <v>Mon</v>
      </c>
      <c r="D4" s="31">
        <v>0.80208333333333337</v>
      </c>
      <c r="E4" s="32" t="s">
        <v>1</v>
      </c>
      <c r="F4" s="32">
        <v>3</v>
      </c>
      <c r="G4" s="32" t="s">
        <v>25</v>
      </c>
      <c r="H4" s="34"/>
      <c r="I4" s="34">
        <v>51.7</v>
      </c>
      <c r="J4" s="34">
        <v>51.3</v>
      </c>
      <c r="K4" s="33"/>
    </row>
    <row r="5" spans="1:11" x14ac:dyDescent="0.2">
      <c r="B5" s="29">
        <v>45474</v>
      </c>
      <c r="C5" s="30" t="str">
        <f>VLOOKUP(WEEKDAY(B5,2),'EC-Commands'!$D$13:$E$19,2,FALSE)</f>
        <v>Mon</v>
      </c>
      <c r="D5" s="31">
        <v>0.8125</v>
      </c>
      <c r="E5" s="32" t="s">
        <v>1</v>
      </c>
      <c r="F5" s="32">
        <v>3</v>
      </c>
      <c r="G5" s="32" t="s">
        <v>24</v>
      </c>
      <c r="H5" s="34"/>
      <c r="I5" s="34">
        <v>49.2</v>
      </c>
      <c r="J5" s="34">
        <v>48.7</v>
      </c>
      <c r="K5" s="33"/>
    </row>
    <row r="6" spans="1:11" x14ac:dyDescent="0.2">
      <c r="B6" s="29">
        <v>45474</v>
      </c>
      <c r="C6" s="30" t="str">
        <f>VLOOKUP(WEEKDAY(B6,2),'EC-Commands'!$D$13:$E$19,2,FALSE)</f>
        <v>Mon</v>
      </c>
      <c r="D6" s="31">
        <v>0.8125</v>
      </c>
      <c r="E6" s="32" t="s">
        <v>1</v>
      </c>
      <c r="F6" s="32">
        <v>3</v>
      </c>
      <c r="G6" s="32" t="s">
        <v>23</v>
      </c>
      <c r="H6" s="34"/>
      <c r="I6" s="34">
        <v>55.8</v>
      </c>
      <c r="J6" s="34">
        <v>57</v>
      </c>
      <c r="K6" s="33"/>
    </row>
    <row r="7" spans="1:11" x14ac:dyDescent="0.2">
      <c r="B7" s="36">
        <f>B6+1</f>
        <v>45475</v>
      </c>
      <c r="C7" s="30" t="str">
        <f>VLOOKUP(WEEKDAY(B7,2),'EC-Commands'!$D$13:$E$19,2,FALSE)</f>
        <v>Tue</v>
      </c>
      <c r="D7" s="31">
        <v>0.60416666666666663</v>
      </c>
      <c r="E7" s="32" t="s">
        <v>22</v>
      </c>
      <c r="F7" s="32">
        <v>3</v>
      </c>
      <c r="G7" s="32" t="s">
        <v>21</v>
      </c>
      <c r="H7" s="34"/>
      <c r="I7" s="35">
        <v>2.5000000000000001E-2</v>
      </c>
      <c r="J7" s="35">
        <v>2.5999999999999999E-2</v>
      </c>
      <c r="K7" s="33"/>
    </row>
    <row r="8" spans="1:11" x14ac:dyDescent="0.2">
      <c r="B8" s="36">
        <f>B7</f>
        <v>45475</v>
      </c>
      <c r="C8" s="30" t="str">
        <f>VLOOKUP(WEEKDAY(B8,2),'EC-Commands'!$D$13:$E$19,2,FALSE)</f>
        <v>Tue</v>
      </c>
      <c r="D8" s="31">
        <v>0.79166666666666663</v>
      </c>
      <c r="E8" s="32" t="s">
        <v>1</v>
      </c>
      <c r="F8" s="32">
        <v>3</v>
      </c>
      <c r="G8" s="32" t="s">
        <v>20</v>
      </c>
      <c r="H8" s="34"/>
      <c r="I8" s="34"/>
      <c r="J8" s="34"/>
      <c r="K8" s="33"/>
    </row>
    <row r="9" spans="1:11" x14ac:dyDescent="0.2">
      <c r="B9" s="36">
        <f>B8</f>
        <v>45475</v>
      </c>
      <c r="C9" s="30" t="str">
        <f>VLOOKUP(WEEKDAY(B9,2),'EC-Commands'!$D$13:$E$19,2,FALSE)</f>
        <v>Tue</v>
      </c>
      <c r="D9" s="31">
        <v>0.8125</v>
      </c>
      <c r="E9" s="32" t="s">
        <v>1</v>
      </c>
      <c r="F9" s="32">
        <v>3</v>
      </c>
      <c r="G9" s="32" t="s">
        <v>19</v>
      </c>
      <c r="H9" s="34"/>
      <c r="I9" s="34"/>
      <c r="J9" s="34" t="s">
        <v>18</v>
      </c>
      <c r="K9" s="33"/>
    </row>
    <row r="10" spans="1:11" x14ac:dyDescent="0.2">
      <c r="B10" s="36">
        <f>B9+1</f>
        <v>45476</v>
      </c>
      <c r="C10" s="30" t="str">
        <f>VLOOKUP(WEEKDAY(B10,2),'EC-Commands'!$D$13:$E$19,2,FALSE)</f>
        <v>Wed</v>
      </c>
      <c r="D10" s="31">
        <v>0.73958333333333337</v>
      </c>
      <c r="E10" s="32" t="s">
        <v>1</v>
      </c>
      <c r="F10" s="32">
        <v>3</v>
      </c>
      <c r="G10" s="32" t="s">
        <v>17</v>
      </c>
      <c r="H10" s="34"/>
      <c r="I10" s="34" t="s">
        <v>16</v>
      </c>
      <c r="J10" s="34" t="s">
        <v>15</v>
      </c>
      <c r="K10" s="33"/>
    </row>
    <row r="11" spans="1:11" x14ac:dyDescent="0.2">
      <c r="B11" s="36">
        <f t="shared" ref="B11:B16" si="0">B10</f>
        <v>45476</v>
      </c>
      <c r="C11" s="30" t="str">
        <f>VLOOKUP(WEEKDAY(B11,2),'EC-Commands'!$D$13:$E$19,2,FALSE)</f>
        <v>Wed</v>
      </c>
      <c r="D11" s="31">
        <v>0.75</v>
      </c>
      <c r="E11" s="32" t="s">
        <v>1</v>
      </c>
      <c r="F11" s="32">
        <v>3</v>
      </c>
      <c r="G11" s="32" t="s">
        <v>14</v>
      </c>
      <c r="H11" s="34"/>
      <c r="I11" s="34"/>
      <c r="J11" s="34" t="s">
        <v>13</v>
      </c>
      <c r="K11" s="33"/>
    </row>
    <row r="12" spans="1:11" x14ac:dyDescent="0.2">
      <c r="B12" s="36">
        <f t="shared" si="0"/>
        <v>45476</v>
      </c>
      <c r="C12" s="30" t="str">
        <f>VLOOKUP(WEEKDAY(B12,2),'EC-Commands'!$D$13:$E$19,2,FALSE)</f>
        <v>Wed</v>
      </c>
      <c r="D12" s="31">
        <v>0.80208333333333337</v>
      </c>
      <c r="E12" s="32" t="s">
        <v>1</v>
      </c>
      <c r="F12" s="32">
        <v>3</v>
      </c>
      <c r="G12" s="32" t="s">
        <v>12</v>
      </c>
      <c r="H12" s="34"/>
      <c r="I12" s="34">
        <v>55.1</v>
      </c>
      <c r="J12" s="34">
        <v>54.8</v>
      </c>
      <c r="K12" s="33"/>
    </row>
    <row r="13" spans="1:11" x14ac:dyDescent="0.2">
      <c r="B13" s="36">
        <f t="shared" si="0"/>
        <v>45476</v>
      </c>
      <c r="C13" s="30" t="str">
        <f>VLOOKUP(WEEKDAY(B13,2),'EC-Commands'!$D$13:$E$19,2,FALSE)</f>
        <v>Wed</v>
      </c>
      <c r="D13" s="31">
        <v>0.8125</v>
      </c>
      <c r="E13" s="32" t="s">
        <v>1</v>
      </c>
      <c r="F13" s="32">
        <v>3</v>
      </c>
      <c r="G13" s="32" t="s">
        <v>11</v>
      </c>
      <c r="H13" s="34"/>
      <c r="I13" s="34">
        <v>52.5</v>
      </c>
      <c r="J13" s="34">
        <v>53.8</v>
      </c>
      <c r="K13" s="33"/>
    </row>
    <row r="14" spans="1:11" x14ac:dyDescent="0.2">
      <c r="B14" s="36">
        <f t="shared" si="0"/>
        <v>45476</v>
      </c>
      <c r="C14" s="30" t="str">
        <f>VLOOKUP(WEEKDAY(B14,2),'EC-Commands'!$D$13:$E$19,2,FALSE)</f>
        <v>Wed</v>
      </c>
      <c r="D14" s="31">
        <v>0.8125</v>
      </c>
      <c r="E14" s="32" t="s">
        <v>1</v>
      </c>
      <c r="F14" s="32">
        <v>3</v>
      </c>
      <c r="G14" s="32" t="s">
        <v>10</v>
      </c>
      <c r="H14" s="34"/>
      <c r="I14" s="34"/>
      <c r="J14" s="34">
        <v>58.1</v>
      </c>
      <c r="K14" s="33"/>
    </row>
    <row r="15" spans="1:11" x14ac:dyDescent="0.2">
      <c r="B15" s="36">
        <f t="shared" si="0"/>
        <v>45476</v>
      </c>
      <c r="C15" s="30" t="str">
        <f>VLOOKUP(WEEKDAY(B15,2),'EC-Commands'!$D$13:$E$19,2,FALSE)</f>
        <v>Wed</v>
      </c>
      <c r="D15" s="31">
        <v>0.83333333333333337</v>
      </c>
      <c r="E15" s="32" t="s">
        <v>1</v>
      </c>
      <c r="F15" s="32">
        <v>3</v>
      </c>
      <c r="G15" s="32" t="s">
        <v>9</v>
      </c>
      <c r="H15" s="34"/>
      <c r="I15" s="34"/>
      <c r="J15" s="34" t="s">
        <v>8</v>
      </c>
      <c r="K15" s="33"/>
    </row>
    <row r="16" spans="1:11" x14ac:dyDescent="0.2">
      <c r="B16" s="36">
        <f t="shared" si="0"/>
        <v>45476</v>
      </c>
      <c r="C16" s="30" t="str">
        <f>VLOOKUP(WEEKDAY(B16,2),'EC-Commands'!$D$13:$E$19,2,FALSE)</f>
        <v>Wed</v>
      </c>
      <c r="D16" s="31">
        <v>0.97916666666666663</v>
      </c>
      <c r="E16" s="32" t="s">
        <v>1</v>
      </c>
      <c r="F16" s="32">
        <v>3</v>
      </c>
      <c r="G16" s="32" t="s">
        <v>7</v>
      </c>
      <c r="H16" s="34"/>
      <c r="I16" s="34"/>
      <c r="J16" s="34"/>
      <c r="K16" s="33"/>
    </row>
    <row r="17" spans="1:11" x14ac:dyDescent="0.2">
      <c r="B17" s="36">
        <f>B16+2</f>
        <v>45478</v>
      </c>
      <c r="C17" s="30" t="str">
        <f>VLOOKUP(WEEKDAY(B17,2),'EC-Commands'!$D$13:$E$19,2,FALSE)</f>
        <v>Fri</v>
      </c>
      <c r="D17" s="31">
        <v>0.75</v>
      </c>
      <c r="E17" s="32" t="s">
        <v>1</v>
      </c>
      <c r="F17" s="32">
        <v>3</v>
      </c>
      <c r="G17" s="32" t="s">
        <v>6</v>
      </c>
      <c r="H17" s="34"/>
      <c r="I17" s="35">
        <v>3.0000000000000001E-3</v>
      </c>
      <c r="J17" s="35">
        <v>4.0000000000000001E-3</v>
      </c>
      <c r="K17" s="33"/>
    </row>
    <row r="18" spans="1:11" x14ac:dyDescent="0.2">
      <c r="B18" s="36">
        <f>B17</f>
        <v>45478</v>
      </c>
      <c r="C18" s="30" t="str">
        <f>VLOOKUP(WEEKDAY(B18,2),'EC-Commands'!$D$13:$E$19,2,FALSE)</f>
        <v>Fri</v>
      </c>
      <c r="D18" s="31">
        <v>0.75</v>
      </c>
      <c r="E18" s="32" t="s">
        <v>1</v>
      </c>
      <c r="F18" s="32">
        <v>3</v>
      </c>
      <c r="G18" s="32" t="s">
        <v>5</v>
      </c>
      <c r="H18" s="34"/>
      <c r="I18" s="35" t="s">
        <v>4</v>
      </c>
      <c r="J18" s="35" t="s">
        <v>3</v>
      </c>
      <c r="K18" s="33"/>
    </row>
    <row r="19" spans="1:11" x14ac:dyDescent="0.2">
      <c r="B19" s="36">
        <f>B18</f>
        <v>45478</v>
      </c>
      <c r="C19" s="30" t="str">
        <f>VLOOKUP(WEEKDAY(B19,2),'EC-Commands'!$D$13:$E$19,2,FALSE)</f>
        <v>Fri</v>
      </c>
      <c r="D19" s="31">
        <v>0.75</v>
      </c>
      <c r="E19" s="32" t="s">
        <v>1</v>
      </c>
      <c r="F19" s="32">
        <v>3</v>
      </c>
      <c r="G19" s="32" t="s">
        <v>2</v>
      </c>
      <c r="H19" s="34"/>
      <c r="I19" s="35">
        <v>0.04</v>
      </c>
      <c r="J19" s="35">
        <v>0.04</v>
      </c>
      <c r="K19" s="33"/>
    </row>
    <row r="20" spans="1:11" x14ac:dyDescent="0.2">
      <c r="B20" s="36">
        <f>B19</f>
        <v>45478</v>
      </c>
      <c r="C20" s="30" t="str">
        <f>VLOOKUP(WEEKDAY(B20,2),'EC-Commands'!$D$13:$E$19,2,FALSE)</f>
        <v>Fri</v>
      </c>
      <c r="D20" s="31">
        <v>0.85416666666666663</v>
      </c>
      <c r="E20" s="32" t="s">
        <v>1</v>
      </c>
      <c r="F20" s="32">
        <v>3</v>
      </c>
      <c r="G20" s="32" t="s">
        <v>0</v>
      </c>
      <c r="H20" s="34"/>
      <c r="I20" s="35"/>
      <c r="J20" s="35"/>
      <c r="K20" s="33"/>
    </row>
    <row r="21" spans="1:11" x14ac:dyDescent="0.2">
      <c r="A21" s="683" t="s">
        <v>105</v>
      </c>
      <c r="B21" s="29">
        <v>45482</v>
      </c>
      <c r="C21" s="30" t="str">
        <f>VLOOKUP(WEEKDAY(B21,2),'EC-Commands'!$D$13:$E$19,2,FALSE)</f>
        <v>Tue</v>
      </c>
      <c r="D21" s="31">
        <v>0.8125</v>
      </c>
      <c r="E21" s="32" t="s">
        <v>1</v>
      </c>
      <c r="F21" s="32">
        <v>3</v>
      </c>
      <c r="G21" s="44" t="s">
        <v>48</v>
      </c>
      <c r="H21" s="34"/>
      <c r="I21" s="35"/>
      <c r="J21" s="35"/>
      <c r="K21" s="35"/>
    </row>
    <row r="22" spans="1:11" x14ac:dyDescent="0.2">
      <c r="B22" s="29">
        <f>B21+1</f>
        <v>45483</v>
      </c>
      <c r="C22" s="30" t="str">
        <f>VLOOKUP(WEEKDAY(B22,2),'EC-Commands'!$D$13:$E$19,2,FALSE)</f>
        <v>Wed</v>
      </c>
      <c r="D22" s="31">
        <v>0.3125</v>
      </c>
      <c r="E22" s="32" t="s">
        <v>49</v>
      </c>
      <c r="F22" s="32">
        <v>3</v>
      </c>
      <c r="G22" s="32" t="s">
        <v>50</v>
      </c>
      <c r="H22" s="34"/>
      <c r="I22" s="34"/>
      <c r="J22" s="35">
        <v>5.5E-2</v>
      </c>
      <c r="K22" s="33"/>
    </row>
    <row r="23" spans="1:11" x14ac:dyDescent="0.2">
      <c r="B23" s="29">
        <f>B22</f>
        <v>45483</v>
      </c>
      <c r="C23" s="30" t="str">
        <f>VLOOKUP(WEEKDAY(B23,2),'EC-Commands'!$D$13:$E$19,2,FALSE)</f>
        <v>Wed</v>
      </c>
      <c r="D23" s="31">
        <v>0.8125</v>
      </c>
      <c r="E23" s="32" t="s">
        <v>1</v>
      </c>
      <c r="F23" s="32">
        <v>3</v>
      </c>
      <c r="G23" s="32" t="s">
        <v>48</v>
      </c>
      <c r="H23" s="34"/>
      <c r="I23" s="34"/>
      <c r="J23" s="34"/>
      <c r="K23" s="33"/>
    </row>
    <row r="24" spans="1:11" x14ac:dyDescent="0.2">
      <c r="B24" s="29">
        <f>B23</f>
        <v>45483</v>
      </c>
      <c r="C24" s="30" t="str">
        <f>VLOOKUP(WEEKDAY(B24,2),'EC-Commands'!$D$13:$E$19,2,FALSE)</f>
        <v>Wed</v>
      </c>
      <c r="D24" s="31">
        <v>0.83333333333333337</v>
      </c>
      <c r="E24" s="32" t="s">
        <v>1</v>
      </c>
      <c r="F24" s="32">
        <v>3</v>
      </c>
      <c r="G24" s="32" t="s">
        <v>9</v>
      </c>
      <c r="H24" s="34"/>
      <c r="I24" s="34"/>
      <c r="J24" s="37" t="s">
        <v>51</v>
      </c>
      <c r="K24" s="33"/>
    </row>
    <row r="25" spans="1:11" x14ac:dyDescent="0.2">
      <c r="B25" s="29">
        <f>B24</f>
        <v>45483</v>
      </c>
      <c r="C25" s="30" t="str">
        <f>VLOOKUP(WEEKDAY(B25,2),'EC-Commands'!$D$13:$E$19,2,FALSE)</f>
        <v>Wed</v>
      </c>
      <c r="D25" s="31">
        <v>0.9375</v>
      </c>
      <c r="E25" s="32" t="s">
        <v>1</v>
      </c>
      <c r="F25" s="32">
        <v>3</v>
      </c>
      <c r="G25" s="32" t="s">
        <v>52</v>
      </c>
      <c r="H25" s="34"/>
      <c r="I25" s="35"/>
      <c r="J25" s="38">
        <v>4.4380000000000003E-2</v>
      </c>
      <c r="K25" s="33"/>
    </row>
    <row r="26" spans="1:11" x14ac:dyDescent="0.2">
      <c r="B26" s="29">
        <f>B25+1</f>
        <v>45484</v>
      </c>
      <c r="C26" s="30" t="str">
        <f>VLOOKUP(WEEKDAY(B26,2),'EC-Commands'!$D$13:$E$19,2,FALSE)</f>
        <v>Thu</v>
      </c>
      <c r="D26" s="31">
        <v>0.47916666666666669</v>
      </c>
      <c r="E26" s="32" t="s">
        <v>53</v>
      </c>
      <c r="F26" s="32">
        <v>3</v>
      </c>
      <c r="G26" s="32" t="s">
        <v>54</v>
      </c>
      <c r="H26" s="34"/>
      <c r="I26" s="34"/>
      <c r="J26" s="35">
        <v>0</v>
      </c>
      <c r="K26" s="33"/>
    </row>
    <row r="27" spans="1:11" x14ac:dyDescent="0.2">
      <c r="B27" s="29">
        <f t="shared" ref="B27:B32" si="1">B26</f>
        <v>45484</v>
      </c>
      <c r="C27" s="30" t="str">
        <f>VLOOKUP(WEEKDAY(B27,2),'EC-Commands'!$D$13:$E$19,2,FALSE)</f>
        <v>Thu</v>
      </c>
      <c r="D27" s="31">
        <v>0.47916666666666669</v>
      </c>
      <c r="E27" s="32" t="s">
        <v>22</v>
      </c>
      <c r="F27" s="32">
        <v>3</v>
      </c>
      <c r="G27" s="32" t="s">
        <v>55</v>
      </c>
      <c r="H27" s="34"/>
      <c r="I27" s="35">
        <v>1E-3</v>
      </c>
      <c r="J27" s="35">
        <v>1E-3</v>
      </c>
      <c r="K27" s="33"/>
    </row>
    <row r="28" spans="1:11" x14ac:dyDescent="0.2">
      <c r="B28" s="29">
        <f t="shared" si="1"/>
        <v>45484</v>
      </c>
      <c r="C28" s="30" t="str">
        <f>VLOOKUP(WEEKDAY(B28,2),'EC-Commands'!$D$13:$E$19,2,FALSE)</f>
        <v>Thu</v>
      </c>
      <c r="D28" s="31">
        <v>0.75</v>
      </c>
      <c r="E28" s="32" t="s">
        <v>1</v>
      </c>
      <c r="F28" s="32">
        <v>3</v>
      </c>
      <c r="G28" s="32" t="s">
        <v>56</v>
      </c>
      <c r="H28" s="34"/>
      <c r="I28" s="35">
        <v>2E-3</v>
      </c>
      <c r="J28" s="35">
        <v>2E-3</v>
      </c>
      <c r="K28" s="33"/>
    </row>
    <row r="29" spans="1:11" x14ac:dyDescent="0.2">
      <c r="B29" s="29">
        <f t="shared" si="1"/>
        <v>45484</v>
      </c>
      <c r="C29" s="30" t="str">
        <f>VLOOKUP(WEEKDAY(B29,2),'EC-Commands'!$D$13:$E$19,2,FALSE)</f>
        <v>Thu</v>
      </c>
      <c r="D29" s="31">
        <v>0.75</v>
      </c>
      <c r="E29" s="32" t="s">
        <v>1</v>
      </c>
      <c r="F29" s="32">
        <v>3</v>
      </c>
      <c r="G29" s="32" t="s">
        <v>57</v>
      </c>
      <c r="H29" s="34"/>
      <c r="I29" s="34"/>
      <c r="J29" s="35">
        <v>3.3000000000000002E-2</v>
      </c>
      <c r="K29" s="33"/>
    </row>
    <row r="30" spans="1:11" x14ac:dyDescent="0.2">
      <c r="B30" s="29">
        <f t="shared" si="1"/>
        <v>45484</v>
      </c>
      <c r="C30" s="30" t="str">
        <f>VLOOKUP(WEEKDAY(B30,2),'EC-Commands'!$D$13:$E$19,2,FALSE)</f>
        <v>Thu</v>
      </c>
      <c r="D30" s="31">
        <v>0.75</v>
      </c>
      <c r="E30" s="32" t="s">
        <v>1</v>
      </c>
      <c r="F30" s="32">
        <v>3</v>
      </c>
      <c r="G30" s="32" t="s">
        <v>58</v>
      </c>
      <c r="H30" s="34"/>
      <c r="I30" s="35">
        <v>1E-3</v>
      </c>
      <c r="J30" s="35">
        <v>0</v>
      </c>
      <c r="K30" s="33"/>
    </row>
    <row r="31" spans="1:11" x14ac:dyDescent="0.2">
      <c r="B31" s="29">
        <f t="shared" si="1"/>
        <v>45484</v>
      </c>
      <c r="C31" s="30" t="str">
        <f>VLOOKUP(WEEKDAY(B31,2),'EC-Commands'!$D$13:$E$19,2,FALSE)</f>
        <v>Thu</v>
      </c>
      <c r="D31" s="31">
        <v>0.75</v>
      </c>
      <c r="E31" s="32" t="s">
        <v>1</v>
      </c>
      <c r="F31" s="32">
        <v>3</v>
      </c>
      <c r="G31" s="32" t="s">
        <v>14</v>
      </c>
      <c r="H31" s="34"/>
      <c r="I31" s="34"/>
      <c r="J31" s="34" t="s">
        <v>59</v>
      </c>
      <c r="K31" s="33"/>
    </row>
    <row r="32" spans="1:11" x14ac:dyDescent="0.2">
      <c r="B32" s="29">
        <f t="shared" si="1"/>
        <v>45484</v>
      </c>
      <c r="C32" s="30" t="str">
        <f>VLOOKUP(WEEKDAY(B32,2),'EC-Commands'!$D$13:$E$19,2,FALSE)</f>
        <v>Thu</v>
      </c>
      <c r="D32" s="31">
        <v>0.9375</v>
      </c>
      <c r="E32" s="32" t="s">
        <v>1</v>
      </c>
      <c r="F32" s="32">
        <v>3</v>
      </c>
      <c r="G32" s="32" t="s">
        <v>60</v>
      </c>
      <c r="H32" s="34"/>
      <c r="I32" s="34"/>
      <c r="J32" s="38">
        <v>4.403E-2</v>
      </c>
      <c r="K32" s="33"/>
    </row>
    <row r="33" spans="1:11" x14ac:dyDescent="0.2">
      <c r="B33" s="29">
        <f>B32+1</f>
        <v>45485</v>
      </c>
      <c r="C33" s="30" t="str">
        <f>VLOOKUP(WEEKDAY(B33,2),'EC-Commands'!$D$13:$E$19,2,FALSE)</f>
        <v>Fri</v>
      </c>
      <c r="D33" s="31">
        <v>0.83333333333333337</v>
      </c>
      <c r="E33" s="32" t="s">
        <v>1</v>
      </c>
      <c r="F33" s="32">
        <v>3</v>
      </c>
      <c r="G33" s="32" t="s">
        <v>9</v>
      </c>
      <c r="H33" s="34"/>
      <c r="I33" s="34"/>
      <c r="J33" s="34" t="s">
        <v>8</v>
      </c>
      <c r="K33" s="33"/>
    </row>
    <row r="34" spans="1:11" x14ac:dyDescent="0.2">
      <c r="B34" s="29">
        <f>B33</f>
        <v>45485</v>
      </c>
      <c r="C34" s="30" t="str">
        <f>VLOOKUP(WEEKDAY(B34,2),'EC-Commands'!$D$13:$E$19,2,FALSE)</f>
        <v>Fri</v>
      </c>
      <c r="D34" s="31">
        <v>0.75</v>
      </c>
      <c r="E34" s="32" t="s">
        <v>1</v>
      </c>
      <c r="F34" s="32">
        <v>3</v>
      </c>
      <c r="G34" s="32" t="s">
        <v>61</v>
      </c>
      <c r="H34" s="34"/>
      <c r="I34" s="35">
        <v>1E-3</v>
      </c>
      <c r="J34" s="35">
        <v>-2E-3</v>
      </c>
      <c r="K34" s="33"/>
    </row>
    <row r="35" spans="1:11" x14ac:dyDescent="0.2">
      <c r="A35" s="683" t="s">
        <v>105</v>
      </c>
      <c r="B35" s="29">
        <v>45488</v>
      </c>
      <c r="C35" s="30" t="str">
        <f>VLOOKUP(WEEKDAY(B35,2),'EC-Commands'!$D$12:$E$18,2,FALSE)</f>
        <v>Mon</v>
      </c>
      <c r="D35" s="39">
        <v>0.3125</v>
      </c>
      <c r="E35" s="32" t="s">
        <v>65</v>
      </c>
      <c r="F35" s="32">
        <v>3</v>
      </c>
      <c r="G35" s="44" t="s">
        <v>66</v>
      </c>
      <c r="H35" s="34"/>
      <c r="I35" s="35">
        <v>5.0999999999999997E-2</v>
      </c>
      <c r="J35" s="35">
        <v>5.2999999999999999E-2</v>
      </c>
      <c r="K35" s="35"/>
    </row>
    <row r="36" spans="1:11" x14ac:dyDescent="0.2">
      <c r="B36" s="29">
        <v>45488</v>
      </c>
      <c r="C36" s="30" t="str">
        <f>VLOOKUP(WEEKDAY(B36,2),'EC-Commands'!$D$12:$E$18,2,FALSE)</f>
        <v>Mon</v>
      </c>
      <c r="D36" s="39">
        <v>0.89583333333333337</v>
      </c>
      <c r="E36" s="32" t="s">
        <v>1</v>
      </c>
      <c r="F36" s="32">
        <v>3</v>
      </c>
      <c r="G36" s="32" t="s">
        <v>20</v>
      </c>
      <c r="H36" s="34"/>
      <c r="I36" s="34"/>
      <c r="J36" s="35"/>
      <c r="K36" s="33"/>
    </row>
    <row r="37" spans="1:11" x14ac:dyDescent="0.2">
      <c r="B37" s="29">
        <f>B36+1</f>
        <v>45489</v>
      </c>
      <c r="C37" s="30" t="str">
        <f>VLOOKUP(WEEKDAY(B37,2),'EC-Commands'!$D$12:$E$18,2,FALSE)</f>
        <v>Tue</v>
      </c>
      <c r="D37" s="39">
        <v>0.75</v>
      </c>
      <c r="E37" s="32" t="s">
        <v>1</v>
      </c>
      <c r="F37" s="32">
        <v>3</v>
      </c>
      <c r="G37" s="32" t="s">
        <v>67</v>
      </c>
      <c r="H37" s="34"/>
      <c r="I37" s="35">
        <v>1E-3</v>
      </c>
      <c r="J37" s="35">
        <v>-1E-3</v>
      </c>
      <c r="K37" s="33"/>
    </row>
    <row r="38" spans="1:11" x14ac:dyDescent="0.2">
      <c r="B38" s="29">
        <f>B37</f>
        <v>45489</v>
      </c>
      <c r="C38" s="30" t="str">
        <f>VLOOKUP(WEEKDAY(B38,2),'EC-Commands'!$D$12:$E$18,2,FALSE)</f>
        <v>Tue</v>
      </c>
      <c r="D38" s="39">
        <v>0.75</v>
      </c>
      <c r="E38" s="32" t="s">
        <v>1</v>
      </c>
      <c r="F38" s="32">
        <v>3</v>
      </c>
      <c r="G38" s="32" t="s">
        <v>68</v>
      </c>
      <c r="H38" s="34"/>
      <c r="I38" s="35">
        <v>0</v>
      </c>
      <c r="J38" s="35">
        <v>1E-3</v>
      </c>
      <c r="K38" s="33"/>
    </row>
    <row r="39" spans="1:11" x14ac:dyDescent="0.2">
      <c r="B39" s="29">
        <f>B38+1</f>
        <v>45490</v>
      </c>
      <c r="C39" s="30" t="str">
        <f>VLOOKUP(WEEKDAY(B39,2),'EC-Commands'!$D$12:$E$18,2,FALSE)</f>
        <v>Wed</v>
      </c>
      <c r="D39" s="39">
        <v>0.47916666666666669</v>
      </c>
      <c r="E39" s="32" t="s">
        <v>53</v>
      </c>
      <c r="F39" s="32">
        <v>3</v>
      </c>
      <c r="G39" s="32" t="s">
        <v>57</v>
      </c>
      <c r="H39" s="34"/>
      <c r="I39" s="35"/>
      <c r="J39" s="35">
        <v>0.02</v>
      </c>
      <c r="K39" s="33"/>
    </row>
    <row r="40" spans="1:11" x14ac:dyDescent="0.2">
      <c r="B40" s="29">
        <f>B39</f>
        <v>45490</v>
      </c>
      <c r="C40" s="30" t="str">
        <f>VLOOKUP(WEEKDAY(B40,2),'EC-Commands'!$D$12:$E$18,2,FALSE)</f>
        <v>Wed</v>
      </c>
      <c r="D40" s="39">
        <v>0.60416666666666663</v>
      </c>
      <c r="E40" s="32" t="s">
        <v>22</v>
      </c>
      <c r="F40" s="32">
        <v>3</v>
      </c>
      <c r="G40" s="32" t="s">
        <v>57</v>
      </c>
      <c r="H40" s="34"/>
      <c r="I40" s="35">
        <v>2.5000000000000001E-2</v>
      </c>
      <c r="J40" s="35">
        <v>2.5000000000000001E-2</v>
      </c>
      <c r="K40" s="33"/>
    </row>
    <row r="41" spans="1:11" x14ac:dyDescent="0.2">
      <c r="B41" s="29">
        <f>B40</f>
        <v>45490</v>
      </c>
      <c r="C41" s="30" t="str">
        <f>VLOOKUP(WEEKDAY(B41,2),'EC-Commands'!$D$12:$E$18,2,FALSE)</f>
        <v>Wed</v>
      </c>
      <c r="D41" s="39">
        <v>0.83333333333333337</v>
      </c>
      <c r="E41" s="32" t="s">
        <v>1</v>
      </c>
      <c r="F41" s="32">
        <v>3</v>
      </c>
      <c r="G41" s="32" t="s">
        <v>9</v>
      </c>
      <c r="H41" s="34"/>
      <c r="I41" s="35"/>
      <c r="J41" s="40" t="s">
        <v>69</v>
      </c>
      <c r="K41" s="33"/>
    </row>
    <row r="42" spans="1:11" x14ac:dyDescent="0.2">
      <c r="B42" s="29">
        <f>B41+1</f>
        <v>45491</v>
      </c>
      <c r="C42" s="30" t="str">
        <f>VLOOKUP(WEEKDAY(B42,2),'EC-Commands'!$D$12:$E$18,2,FALSE)</f>
        <v>Thu</v>
      </c>
      <c r="D42" s="39">
        <v>0.73958333333333337</v>
      </c>
      <c r="E42" s="32" t="s">
        <v>22</v>
      </c>
      <c r="F42" s="32">
        <v>3</v>
      </c>
      <c r="G42" s="32" t="s">
        <v>70</v>
      </c>
      <c r="H42" s="34"/>
      <c r="I42" s="35"/>
      <c r="J42" s="35">
        <v>3.7499999999999999E-2</v>
      </c>
      <c r="K42" s="33"/>
    </row>
    <row r="43" spans="1:11" x14ac:dyDescent="0.2">
      <c r="B43" s="29">
        <f>B42</f>
        <v>45491</v>
      </c>
      <c r="C43" s="30" t="str">
        <f>VLOOKUP(WEEKDAY(B43,2),'EC-Commands'!$D$12:$E$18,2,FALSE)</f>
        <v>Thu</v>
      </c>
      <c r="D43" s="39">
        <f>D42</f>
        <v>0.73958333333333337</v>
      </c>
      <c r="E43" s="32" t="s">
        <v>22</v>
      </c>
      <c r="F43" s="32">
        <v>3</v>
      </c>
      <c r="G43" s="32" t="s">
        <v>71</v>
      </c>
      <c r="H43" s="34"/>
      <c r="I43" s="34"/>
      <c r="J43" s="35">
        <v>4.2500000000000003E-2</v>
      </c>
      <c r="K43" s="33"/>
    </row>
    <row r="44" spans="1:11" x14ac:dyDescent="0.2">
      <c r="B44" s="29">
        <f>B43</f>
        <v>45491</v>
      </c>
      <c r="C44" s="30" t="str">
        <f>C43</f>
        <v>Thu</v>
      </c>
      <c r="D44" s="39">
        <v>0.75</v>
      </c>
      <c r="E44" s="32" t="s">
        <v>1</v>
      </c>
      <c r="F44" s="32">
        <v>3</v>
      </c>
      <c r="G44" s="32" t="s">
        <v>14</v>
      </c>
      <c r="H44" s="34"/>
      <c r="I44" s="35"/>
      <c r="J44" s="35" t="s">
        <v>72</v>
      </c>
      <c r="K44" s="33"/>
    </row>
    <row r="45" spans="1:11" x14ac:dyDescent="0.2">
      <c r="B45" s="29">
        <f>B44</f>
        <v>45491</v>
      </c>
      <c r="C45" s="30" t="str">
        <f>C44</f>
        <v>Thu</v>
      </c>
      <c r="D45" s="39">
        <f>D44</f>
        <v>0.75</v>
      </c>
      <c r="E45" s="32" t="str">
        <f>E44</f>
        <v>USD</v>
      </c>
      <c r="F45" s="32">
        <f>F44</f>
        <v>3</v>
      </c>
      <c r="G45" s="32" t="s">
        <v>73</v>
      </c>
      <c r="H45" s="34"/>
      <c r="I45" s="34">
        <v>2.9</v>
      </c>
      <c r="J45" s="34">
        <v>1.3</v>
      </c>
      <c r="K45" s="33"/>
    </row>
    <row r="46" spans="1:11" x14ac:dyDescent="0.2">
      <c r="B46" s="29">
        <f>B45</f>
        <v>45491</v>
      </c>
      <c r="C46" s="30" t="str">
        <f>C45</f>
        <v>Thu</v>
      </c>
      <c r="D46" s="39">
        <v>0.76041666666666663</v>
      </c>
      <c r="E46" s="32" t="s">
        <v>1</v>
      </c>
      <c r="F46" s="32">
        <v>3</v>
      </c>
      <c r="G46" s="32" t="s">
        <v>74</v>
      </c>
      <c r="H46" s="34"/>
      <c r="I46" s="34"/>
      <c r="J46" s="38"/>
      <c r="K46" s="33"/>
    </row>
    <row r="47" spans="1:11" x14ac:dyDescent="0.2">
      <c r="A47" s="683" t="s">
        <v>105</v>
      </c>
      <c r="B47" s="29">
        <v>45496</v>
      </c>
      <c r="C47" s="30" t="str">
        <f>VLOOKUP(WEEKDAY(B47,2),'EC-Commands'!$D$12:$E$18,2,FALSE)</f>
        <v>Tue</v>
      </c>
      <c r="D47" s="31">
        <v>0.8125</v>
      </c>
      <c r="E47" s="32" t="s">
        <v>1</v>
      </c>
      <c r="F47" s="32">
        <v>3</v>
      </c>
      <c r="G47" s="32" t="s">
        <v>76</v>
      </c>
      <c r="H47" s="34"/>
      <c r="I47" s="34" t="s">
        <v>77</v>
      </c>
      <c r="J47" s="35" t="s">
        <v>78</v>
      </c>
      <c r="K47" s="33"/>
    </row>
    <row r="48" spans="1:11" x14ac:dyDescent="0.2">
      <c r="B48" s="29">
        <f>B50</f>
        <v>45497</v>
      </c>
      <c r="C48" s="30" t="str">
        <f>VLOOKUP(WEEKDAY(B48,2),'EC-Commands'!$D$12:$E$18,2,FALSE)</f>
        <v>Wed</v>
      </c>
      <c r="D48" s="41">
        <v>6.25E-2</v>
      </c>
      <c r="E48" s="32" t="s">
        <v>1</v>
      </c>
      <c r="F48" s="32">
        <v>3</v>
      </c>
      <c r="G48" s="32" t="s">
        <v>79</v>
      </c>
      <c r="H48" s="34"/>
      <c r="I48" s="63" t="s">
        <v>80</v>
      </c>
      <c r="J48" s="35"/>
      <c r="K48" s="33" t="s">
        <v>81</v>
      </c>
    </row>
    <row r="49" spans="1:11" x14ac:dyDescent="0.2">
      <c r="B49" s="29">
        <f>B48</f>
        <v>45497</v>
      </c>
      <c r="C49" s="30" t="str">
        <f>VLOOKUP(WEEKDAY(B49,2),'EC-Commands'!$D$12:$E$18,2,FALSE)</f>
        <v>Wed</v>
      </c>
      <c r="D49" s="41">
        <v>6.25E-2</v>
      </c>
      <c r="E49" s="32" t="s">
        <v>1</v>
      </c>
      <c r="F49" s="32">
        <v>3</v>
      </c>
      <c r="G49" s="32" t="s">
        <v>82</v>
      </c>
      <c r="H49" s="34"/>
      <c r="I49" s="34" t="s">
        <v>83</v>
      </c>
      <c r="J49" s="35"/>
      <c r="K49" s="33" t="s">
        <v>81</v>
      </c>
    </row>
    <row r="50" spans="1:11" x14ac:dyDescent="0.2">
      <c r="B50" s="29">
        <f>B47+1</f>
        <v>45497</v>
      </c>
      <c r="C50" s="30" t="str">
        <f>VLOOKUP(WEEKDAY(B50,2),'EC-Commands'!$D$12:$E$18,2,FALSE)</f>
        <v>Wed</v>
      </c>
      <c r="D50" s="31">
        <v>0.54166666666666663</v>
      </c>
      <c r="E50" s="32" t="s">
        <v>22</v>
      </c>
      <c r="F50" s="32">
        <v>3</v>
      </c>
      <c r="G50" s="32" t="s">
        <v>84</v>
      </c>
      <c r="H50" s="34"/>
      <c r="I50" s="42">
        <v>53.3</v>
      </c>
      <c r="J50" s="42">
        <v>53.1</v>
      </c>
      <c r="K50" s="33" t="s">
        <v>85</v>
      </c>
    </row>
    <row r="51" spans="1:11" x14ac:dyDescent="0.2">
      <c r="B51" s="29">
        <f>B50</f>
        <v>45497</v>
      </c>
      <c r="C51" s="30" t="str">
        <f>VLOOKUP(WEEKDAY(B51,2),'EC-Commands'!$D$12:$E$18,2,FALSE)</f>
        <v>Wed</v>
      </c>
      <c r="D51" s="31">
        <v>0.5625</v>
      </c>
      <c r="E51" s="32" t="s">
        <v>22</v>
      </c>
      <c r="F51" s="32">
        <v>3</v>
      </c>
      <c r="G51" s="32" t="s">
        <v>86</v>
      </c>
      <c r="H51" s="34"/>
      <c r="I51" s="42">
        <v>52.9</v>
      </c>
      <c r="J51" s="42">
        <v>52.8</v>
      </c>
      <c r="K51" s="33" t="s">
        <v>85</v>
      </c>
    </row>
    <row r="52" spans="1:11" x14ac:dyDescent="0.2">
      <c r="B52" s="29">
        <f>B50</f>
        <v>45497</v>
      </c>
      <c r="C52" s="30" t="str">
        <f>VLOOKUP(WEEKDAY(B52,2),'EC-Commands'!$D$12:$E$18,2,FALSE)</f>
        <v>Wed</v>
      </c>
      <c r="D52" s="31">
        <v>0.80208333333333337</v>
      </c>
      <c r="E52" s="32" t="s">
        <v>1</v>
      </c>
      <c r="F52" s="32">
        <v>3</v>
      </c>
      <c r="G52" s="32" t="s">
        <v>87</v>
      </c>
      <c r="H52" s="34"/>
      <c r="I52" s="42">
        <v>53.3</v>
      </c>
      <c r="J52" s="42">
        <v>53.1</v>
      </c>
      <c r="K52" s="33"/>
    </row>
    <row r="53" spans="1:11" x14ac:dyDescent="0.2">
      <c r="B53" s="29">
        <f>B50</f>
        <v>45497</v>
      </c>
      <c r="C53" s="30" t="str">
        <f>VLOOKUP(WEEKDAY(B53,2),'EC-Commands'!$D$12:$E$18,2,FALSE)</f>
        <v>Wed</v>
      </c>
      <c r="D53" s="31">
        <f>D50</f>
        <v>0.54166666666666663</v>
      </c>
      <c r="E53" s="32" t="s">
        <v>1</v>
      </c>
      <c r="F53" s="32">
        <v>3</v>
      </c>
      <c r="G53" s="32" t="s">
        <v>88</v>
      </c>
      <c r="H53" s="34"/>
      <c r="I53" s="35"/>
      <c r="J53" s="42">
        <v>55.3</v>
      </c>
      <c r="K53" s="33"/>
    </row>
    <row r="54" spans="1:11" x14ac:dyDescent="0.2">
      <c r="B54" s="29">
        <f>B53</f>
        <v>45497</v>
      </c>
      <c r="C54" s="30" t="str">
        <f>VLOOKUP(WEEKDAY(B54,2),'EC-Commands'!$D$12:$E$18,2,FALSE)</f>
        <v>Wed</v>
      </c>
      <c r="D54" s="31">
        <f>D53</f>
        <v>0.54166666666666663</v>
      </c>
      <c r="E54" s="32" t="s">
        <v>89</v>
      </c>
      <c r="F54" s="32">
        <v>3</v>
      </c>
      <c r="G54" s="32" t="s">
        <v>90</v>
      </c>
      <c r="H54" s="34"/>
      <c r="I54" s="35">
        <v>4.7500000000000001E-2</v>
      </c>
      <c r="J54" s="35">
        <v>4.7500000000000001E-2</v>
      </c>
      <c r="K54" s="33" t="s">
        <v>91</v>
      </c>
    </row>
    <row r="55" spans="1:11" x14ac:dyDescent="0.2">
      <c r="B55" s="29">
        <f>B54</f>
        <v>45497</v>
      </c>
      <c r="C55" s="30" t="str">
        <f>VLOOKUP(WEEKDAY(B55,2),'EC-Commands'!$D$12:$E$18,2,FALSE)</f>
        <v>Wed</v>
      </c>
      <c r="D55" s="31">
        <v>0.8125</v>
      </c>
      <c r="E55" s="32" t="s">
        <v>1</v>
      </c>
      <c r="F55" s="32">
        <v>3</v>
      </c>
      <c r="G55" s="32" t="s">
        <v>92</v>
      </c>
      <c r="H55" s="34"/>
      <c r="I55" s="35" t="s">
        <v>93</v>
      </c>
      <c r="J55" s="35" t="s">
        <v>94</v>
      </c>
      <c r="K55" s="33"/>
    </row>
    <row r="56" spans="1:11" x14ac:dyDescent="0.2">
      <c r="B56" s="29">
        <f>B55</f>
        <v>45497</v>
      </c>
      <c r="C56" s="30" t="str">
        <f>VLOOKUP(WEEKDAY(B56,2),'EC-Commands'!$D$12:$E$18,2,FALSE)</f>
        <v>Wed</v>
      </c>
      <c r="D56" s="31">
        <v>0.83333333333333337</v>
      </c>
      <c r="E56" s="32" t="s">
        <v>1</v>
      </c>
      <c r="F56" s="32">
        <v>3</v>
      </c>
      <c r="G56" s="32" t="s">
        <v>9</v>
      </c>
      <c r="H56" s="34"/>
      <c r="I56" s="35" t="s">
        <v>95</v>
      </c>
      <c r="J56" s="40" t="s">
        <v>96</v>
      </c>
      <c r="K56" s="33"/>
    </row>
    <row r="57" spans="1:11" x14ac:dyDescent="0.2">
      <c r="B57" s="29">
        <f>B56+1</f>
        <v>45498</v>
      </c>
      <c r="C57" s="30" t="str">
        <f>VLOOKUP(WEEKDAY(B57,2),'EC-Commands'!$D$12:$E$18,2,FALSE)</f>
        <v>Thu</v>
      </c>
      <c r="D57" s="31">
        <v>0.75</v>
      </c>
      <c r="E57" s="32" t="s">
        <v>1</v>
      </c>
      <c r="F57" s="32">
        <v>3</v>
      </c>
      <c r="G57" s="32" t="s">
        <v>97</v>
      </c>
      <c r="H57" s="34"/>
      <c r="I57" s="35">
        <v>3.0000000000000001E-3</v>
      </c>
      <c r="J57" s="35">
        <v>1E-3</v>
      </c>
      <c r="K57" s="33"/>
    </row>
    <row r="58" spans="1:11" x14ac:dyDescent="0.2">
      <c r="B58" s="29">
        <f>B57</f>
        <v>45498</v>
      </c>
      <c r="C58" s="30" t="str">
        <f>VLOOKUP(WEEKDAY(B58,2),'EC-Commands'!$D$12:$E$18,2,FALSE)</f>
        <v>Thu</v>
      </c>
      <c r="D58" s="31">
        <f t="shared" ref="D58:D63" si="2">D57</f>
        <v>0.75</v>
      </c>
      <c r="E58" s="32" t="s">
        <v>1</v>
      </c>
      <c r="F58" s="32">
        <v>3</v>
      </c>
      <c r="G58" s="32" t="s">
        <v>98</v>
      </c>
      <c r="H58" s="34"/>
      <c r="I58" s="35">
        <v>0.02</v>
      </c>
      <c r="J58" s="35">
        <v>1.4E-2</v>
      </c>
      <c r="K58" s="33"/>
    </row>
    <row r="59" spans="1:11" x14ac:dyDescent="0.2">
      <c r="B59" s="29">
        <f>B58</f>
        <v>45498</v>
      </c>
      <c r="C59" s="30" t="str">
        <f>VLOOKUP(WEEKDAY(B59,2),'EC-Commands'!$D$12:$E$18,2,FALSE)</f>
        <v>Thu</v>
      </c>
      <c r="D59" s="31">
        <f t="shared" si="2"/>
        <v>0.75</v>
      </c>
      <c r="E59" s="32" t="s">
        <v>1</v>
      </c>
      <c r="F59" s="32">
        <v>3</v>
      </c>
      <c r="G59" s="32" t="s">
        <v>14</v>
      </c>
      <c r="H59" s="34"/>
      <c r="I59" s="35"/>
      <c r="J59" s="35" t="s">
        <v>99</v>
      </c>
      <c r="K59" s="33"/>
    </row>
    <row r="60" spans="1:11" x14ac:dyDescent="0.2">
      <c r="B60" s="29">
        <f>B59+1</f>
        <v>45499</v>
      </c>
      <c r="C60" s="30" t="str">
        <f>VLOOKUP(WEEKDAY(B60,2),'EC-Commands'!$D$12:$E$18,2,FALSE)</f>
        <v>Fri</v>
      </c>
      <c r="D60" s="31">
        <f t="shared" si="2"/>
        <v>0.75</v>
      </c>
      <c r="E60" s="32" t="s">
        <v>1</v>
      </c>
      <c r="F60" s="32">
        <v>3</v>
      </c>
      <c r="G60" s="32" t="s">
        <v>100</v>
      </c>
      <c r="H60" s="34"/>
      <c r="I60" s="35">
        <v>2E-3</v>
      </c>
      <c r="J60" s="35">
        <v>1E-3</v>
      </c>
      <c r="K60" s="33" t="s">
        <v>101</v>
      </c>
    </row>
    <row r="61" spans="1:11" x14ac:dyDescent="0.2">
      <c r="B61" s="29">
        <f>B60</f>
        <v>45499</v>
      </c>
      <c r="C61" s="30" t="str">
        <f>VLOOKUP(WEEKDAY(B61,2),'EC-Commands'!$D$12:$E$18,2,FALSE)</f>
        <v>Fri</v>
      </c>
      <c r="D61" s="31">
        <f t="shared" si="2"/>
        <v>0.75</v>
      </c>
      <c r="E61" s="32" t="s">
        <v>1</v>
      </c>
      <c r="F61" s="32">
        <v>3</v>
      </c>
      <c r="G61" s="32" t="s">
        <v>102</v>
      </c>
      <c r="H61" s="34"/>
      <c r="I61" s="43">
        <v>2.5999999999999999E-2</v>
      </c>
      <c r="J61" s="35">
        <v>2.5999999999999999E-2</v>
      </c>
      <c r="K61" s="33" t="s">
        <v>101</v>
      </c>
    </row>
    <row r="62" spans="1:11" x14ac:dyDescent="0.2">
      <c r="B62" s="29">
        <f>B61</f>
        <v>45499</v>
      </c>
      <c r="C62" s="30" t="str">
        <f>VLOOKUP(WEEKDAY(B62,2),'EC-Commands'!$D$12:$E$18,2,FALSE)</f>
        <v>Fri</v>
      </c>
      <c r="D62" s="31">
        <f t="shared" si="2"/>
        <v>0.75</v>
      </c>
      <c r="E62" s="32" t="s">
        <v>1</v>
      </c>
      <c r="F62" s="32">
        <v>3</v>
      </c>
      <c r="G62" s="32" t="s">
        <v>103</v>
      </c>
      <c r="H62" s="34"/>
      <c r="I62" s="35">
        <v>1E-3</v>
      </c>
      <c r="J62" s="35">
        <v>0</v>
      </c>
      <c r="K62" s="33" t="s">
        <v>101</v>
      </c>
    </row>
    <row r="63" spans="1:11" x14ac:dyDescent="0.2">
      <c r="B63" s="29">
        <f>B62</f>
        <v>45499</v>
      </c>
      <c r="C63" s="30" t="str">
        <f>VLOOKUP(WEEKDAY(B63,2),'EC-Commands'!$D$12:$E$18,2,FALSE)</f>
        <v>Fri</v>
      </c>
      <c r="D63" s="31">
        <f t="shared" si="2"/>
        <v>0.75</v>
      </c>
      <c r="E63" s="32" t="s">
        <v>1</v>
      </c>
      <c r="F63" s="32">
        <v>3</v>
      </c>
      <c r="G63" s="32" t="s">
        <v>104</v>
      </c>
      <c r="H63" s="34"/>
      <c r="I63" s="43">
        <v>2.5000000000000001E-2</v>
      </c>
      <c r="J63" s="35">
        <v>2.5999999999999999E-2</v>
      </c>
      <c r="K63" s="33" t="s">
        <v>101</v>
      </c>
    </row>
    <row r="64" spans="1:11" x14ac:dyDescent="0.2">
      <c r="A64" s="683" t="s">
        <v>105</v>
      </c>
      <c r="B64" s="5">
        <v>45503</v>
      </c>
      <c r="C64" s="6" t="str">
        <f>VLOOKUP(WEEKDAY(B64,2),'EC-Commands'!$D$12:$E$18,2,FALSE)</f>
        <v>Tue</v>
      </c>
      <c r="D64" s="7">
        <v>0.5625</v>
      </c>
      <c r="E64" s="8" t="s">
        <v>22</v>
      </c>
      <c r="F64" s="8">
        <v>3</v>
      </c>
      <c r="G64" s="8" t="s">
        <v>106</v>
      </c>
      <c r="H64" s="24"/>
      <c r="I64" s="20">
        <v>2E-3</v>
      </c>
      <c r="J64" s="9">
        <v>2E-3</v>
      </c>
      <c r="K64" s="10" t="s">
        <v>107</v>
      </c>
    </row>
    <row r="65" spans="2:11" x14ac:dyDescent="0.2">
      <c r="B65" s="5">
        <v>45503</v>
      </c>
      <c r="C65" s="6" t="str">
        <f>VLOOKUP(WEEKDAY(B65,2),'EC-Commands'!$D$12:$E$18,2,FALSE)</f>
        <v>Tue</v>
      </c>
      <c r="D65" s="7">
        <v>0.72916666666666663</v>
      </c>
      <c r="E65" s="8" t="s">
        <v>22</v>
      </c>
      <c r="F65" s="8">
        <v>3</v>
      </c>
      <c r="G65" s="8" t="s">
        <v>108</v>
      </c>
      <c r="H65" s="24"/>
      <c r="I65" s="20"/>
      <c r="J65" s="9">
        <v>1E-3</v>
      </c>
      <c r="K65" s="11"/>
    </row>
    <row r="66" spans="2:11" x14ac:dyDescent="0.2">
      <c r="B66" s="5">
        <f>B65</f>
        <v>45503</v>
      </c>
      <c r="C66" s="6" t="str">
        <f>VLOOKUP(WEEKDAY(B66,2),'EC-Commands'!$D$12:$E$18,2,FALSE)</f>
        <v>Tue</v>
      </c>
      <c r="D66" s="7">
        <v>0.8125</v>
      </c>
      <c r="E66" s="8" t="s">
        <v>1</v>
      </c>
      <c r="F66" s="8">
        <v>3</v>
      </c>
      <c r="G66" s="8" t="s">
        <v>109</v>
      </c>
      <c r="H66" s="24"/>
      <c r="I66" s="64">
        <v>99.9</v>
      </c>
      <c r="J66" s="12">
        <v>100.4</v>
      </c>
      <c r="K66" s="11"/>
    </row>
    <row r="67" spans="2:11" x14ac:dyDescent="0.2">
      <c r="B67" s="5">
        <f>B66</f>
        <v>45503</v>
      </c>
      <c r="C67" s="6" t="str">
        <f>VLOOKUP(WEEKDAY(B67,2),'EC-Commands'!$D$12:$E$18,2,FALSE)</f>
        <v>Tue</v>
      </c>
      <c r="D67" s="7">
        <v>0.8125</v>
      </c>
      <c r="E67" s="8" t="s">
        <v>1</v>
      </c>
      <c r="F67" s="8">
        <v>3</v>
      </c>
      <c r="G67" s="8" t="s">
        <v>110</v>
      </c>
      <c r="H67" s="24"/>
      <c r="I67" s="64"/>
      <c r="J67" s="12" t="s">
        <v>111</v>
      </c>
      <c r="K67" s="11"/>
    </row>
    <row r="68" spans="2:11" ht="27" x14ac:dyDescent="0.2">
      <c r="B68" s="5">
        <f>B65+1</f>
        <v>45504</v>
      </c>
      <c r="C68" s="6" t="str">
        <f>VLOOKUP(WEEKDAY(B68,2),'EC-Commands'!$D$12:$E$18,2,FALSE)</f>
        <v>Wed</v>
      </c>
      <c r="D68" s="7">
        <v>6.25E-2</v>
      </c>
      <c r="E68" s="8" t="s">
        <v>1</v>
      </c>
      <c r="F68" s="8">
        <v>3</v>
      </c>
      <c r="G68" s="8" t="s">
        <v>112</v>
      </c>
      <c r="H68" s="24"/>
      <c r="I68" s="24"/>
      <c r="J68" s="12"/>
      <c r="K68" s="11" t="s">
        <v>113</v>
      </c>
    </row>
    <row r="69" spans="2:11" ht="27" x14ac:dyDescent="0.2">
      <c r="B69" s="5">
        <f>B66+1</f>
        <v>45504</v>
      </c>
      <c r="C69" s="6" t="str">
        <f>VLOOKUP(WEEKDAY(B69,2),'EC-Commands'!$D$12:$E$18,2,FALSE)</f>
        <v>Wed</v>
      </c>
      <c r="D69" s="7">
        <v>6.25E-2</v>
      </c>
      <c r="E69" s="8" t="s">
        <v>1</v>
      </c>
      <c r="F69" s="8">
        <v>3</v>
      </c>
      <c r="G69" s="8" t="s">
        <v>114</v>
      </c>
      <c r="H69" s="24"/>
      <c r="I69" s="24"/>
      <c r="J69" s="12"/>
      <c r="K69" s="11" t="s">
        <v>115</v>
      </c>
    </row>
    <row r="70" spans="2:11" x14ac:dyDescent="0.2">
      <c r="B70" s="5">
        <f>B67+1</f>
        <v>45504</v>
      </c>
      <c r="C70" s="6" t="str">
        <f>VLOOKUP(WEEKDAY(B70,2),'EC-Commands'!$D$12:$E$18,2,FALSE)</f>
        <v>Wed</v>
      </c>
      <c r="D70" s="7">
        <v>0.29166666666666669</v>
      </c>
      <c r="E70" s="8" t="s">
        <v>65</v>
      </c>
      <c r="F70" s="8">
        <v>3</v>
      </c>
      <c r="G70" s="8" t="s">
        <v>116</v>
      </c>
      <c r="H70" s="24"/>
      <c r="I70" s="24"/>
      <c r="J70" s="12">
        <v>49.5</v>
      </c>
      <c r="K70" s="11"/>
    </row>
    <row r="71" spans="2:11" ht="26" x14ac:dyDescent="0.2">
      <c r="B71" s="5">
        <f t="shared" ref="B71:B78" si="3">B70</f>
        <v>45504</v>
      </c>
      <c r="C71" s="6" t="str">
        <f>VLOOKUP(WEEKDAY(B71,2),'EC-Commands'!$D$12:$E$18,2,FALSE)</f>
        <v>Wed</v>
      </c>
      <c r="D71" s="7">
        <v>0.35416666666666669</v>
      </c>
      <c r="E71" s="8" t="s">
        <v>117</v>
      </c>
      <c r="F71" s="8">
        <v>3</v>
      </c>
      <c r="G71" s="8" t="s">
        <v>118</v>
      </c>
      <c r="H71" s="24"/>
      <c r="I71" s="20">
        <v>1E-3</v>
      </c>
      <c r="J71" s="9">
        <v>1E-3</v>
      </c>
      <c r="K71" s="10" t="s">
        <v>119</v>
      </c>
    </row>
    <row r="72" spans="2:11" x14ac:dyDescent="0.2">
      <c r="B72" s="5">
        <f t="shared" si="3"/>
        <v>45504</v>
      </c>
      <c r="C72" s="6" t="str">
        <f>VLOOKUP(WEEKDAY(B72,2),'EC-Commands'!$D$12:$E$18,2,FALSE)</f>
        <v>Wed</v>
      </c>
      <c r="D72" s="7">
        <v>0.60416666666666663</v>
      </c>
      <c r="E72" s="8" t="s">
        <v>22</v>
      </c>
      <c r="F72" s="8">
        <v>3</v>
      </c>
      <c r="G72" s="8" t="s">
        <v>120</v>
      </c>
      <c r="H72" s="24"/>
      <c r="I72" s="65"/>
      <c r="J72" s="13">
        <v>2.5000000000000001E-2</v>
      </c>
      <c r="K72" s="14"/>
    </row>
    <row r="73" spans="2:11" x14ac:dyDescent="0.2">
      <c r="B73" s="5">
        <f t="shared" si="3"/>
        <v>45504</v>
      </c>
      <c r="C73" s="6" t="str">
        <f>VLOOKUP(WEEKDAY(B73,2),'EC-Commands'!$D$12:$E$18,2,FALSE)</f>
        <v>Wed</v>
      </c>
      <c r="D73" s="7">
        <v>0.73958333333333337</v>
      </c>
      <c r="E73" s="8" t="s">
        <v>1</v>
      </c>
      <c r="F73" s="8">
        <v>3</v>
      </c>
      <c r="G73" s="8" t="s">
        <v>121</v>
      </c>
      <c r="H73" s="24"/>
      <c r="I73" s="24"/>
      <c r="J73" s="13" t="s">
        <v>122</v>
      </c>
      <c r="K73" s="14"/>
    </row>
    <row r="74" spans="2:11" x14ac:dyDescent="0.2">
      <c r="B74" s="5">
        <f t="shared" si="3"/>
        <v>45504</v>
      </c>
      <c r="C74" s="6" t="str">
        <f>VLOOKUP(WEEKDAY(B74,2),'EC-Commands'!$D$12:$E$18,2,FALSE)</f>
        <v>Wed</v>
      </c>
      <c r="D74" s="7">
        <v>0.80208333333333337</v>
      </c>
      <c r="E74" s="8" t="s">
        <v>1</v>
      </c>
      <c r="F74" s="8">
        <v>3</v>
      </c>
      <c r="G74" s="8" t="s">
        <v>123</v>
      </c>
      <c r="H74" s="24"/>
      <c r="I74" s="24"/>
      <c r="J74" s="12">
        <v>47.4</v>
      </c>
      <c r="K74" s="14"/>
    </row>
    <row r="75" spans="2:11" x14ac:dyDescent="0.2">
      <c r="B75" s="5">
        <f t="shared" si="3"/>
        <v>45504</v>
      </c>
      <c r="C75" s="6" t="str">
        <f>VLOOKUP(WEEKDAY(B75,2),'EC-Commands'!$D$12:$E$18,2,FALSE)</f>
        <v>Wed</v>
      </c>
      <c r="D75" s="7">
        <v>0.83333333333333337</v>
      </c>
      <c r="E75" s="8" t="s">
        <v>1</v>
      </c>
      <c r="F75" s="8">
        <v>3</v>
      </c>
      <c r="G75" s="8" t="s">
        <v>9</v>
      </c>
      <c r="H75" s="24"/>
      <c r="I75" s="24"/>
      <c r="J75" s="15" t="s">
        <v>124</v>
      </c>
      <c r="K75" s="14"/>
    </row>
    <row r="76" spans="2:11" ht="26" x14ac:dyDescent="0.2">
      <c r="B76" s="5">
        <f t="shared" si="3"/>
        <v>45504</v>
      </c>
      <c r="C76" s="6" t="str">
        <f>VLOOKUP(WEEKDAY(B76,2),'EC-Commands'!$D$12:$E$18,2,FALSE)</f>
        <v>Wed</v>
      </c>
      <c r="D76" s="7">
        <v>0.97916666666666663</v>
      </c>
      <c r="E76" s="8" t="s">
        <v>1</v>
      </c>
      <c r="F76" s="8">
        <v>3</v>
      </c>
      <c r="G76" s="8" t="s">
        <v>125</v>
      </c>
      <c r="H76" s="24"/>
      <c r="I76" s="24"/>
      <c r="J76" s="8"/>
      <c r="K76" s="10" t="s">
        <v>126</v>
      </c>
    </row>
    <row r="77" spans="2:11" x14ac:dyDescent="0.2">
      <c r="B77" s="5">
        <f t="shared" si="3"/>
        <v>45504</v>
      </c>
      <c r="C77" s="6" t="str">
        <f>VLOOKUP(WEEKDAY(B77,2),'EC-Commands'!$D$12:$E$18,2,FALSE)</f>
        <v>Wed</v>
      </c>
      <c r="D77" s="7">
        <v>0.97916666666666663</v>
      </c>
      <c r="E77" s="8" t="s">
        <v>1</v>
      </c>
      <c r="F77" s="8">
        <v>3</v>
      </c>
      <c r="G77" s="8" t="s">
        <v>127</v>
      </c>
      <c r="H77" s="24"/>
      <c r="I77" s="22">
        <v>5.5E-2</v>
      </c>
      <c r="J77" s="16">
        <v>5.5E-2</v>
      </c>
      <c r="K77" s="10" t="s">
        <v>128</v>
      </c>
    </row>
    <row r="78" spans="2:11" ht="26" x14ac:dyDescent="0.2">
      <c r="B78" s="5">
        <f t="shared" si="3"/>
        <v>45504</v>
      </c>
      <c r="C78" s="6" t="str">
        <f>VLOOKUP(WEEKDAY(B78,2),'EC-Commands'!$D$12:$E$18,2,FALSE)</f>
        <v>Wed</v>
      </c>
      <c r="D78" s="7">
        <v>0.97916666666666663</v>
      </c>
      <c r="E78" s="8" t="s">
        <v>1</v>
      </c>
      <c r="F78" s="8">
        <v>3</v>
      </c>
      <c r="G78" s="8" t="s">
        <v>129</v>
      </c>
      <c r="H78" s="24"/>
      <c r="I78" s="24"/>
      <c r="J78" s="8"/>
      <c r="K78" s="10" t="s">
        <v>126</v>
      </c>
    </row>
    <row r="79" spans="2:11" ht="27" x14ac:dyDescent="0.2">
      <c r="B79" s="5">
        <f>B76+1</f>
        <v>45505</v>
      </c>
      <c r="C79" s="6" t="str">
        <f>VLOOKUP(WEEKDAY(B79,2),'EC-Commands'!$D$12:$E$18,2,FALSE)</f>
        <v>Thu</v>
      </c>
      <c r="D79" s="7">
        <v>6.25E-2</v>
      </c>
      <c r="E79" s="8" t="s">
        <v>1</v>
      </c>
      <c r="F79" s="8">
        <v>3</v>
      </c>
      <c r="G79" s="8" t="s">
        <v>130</v>
      </c>
      <c r="H79" s="24"/>
      <c r="I79" s="24"/>
      <c r="J79" s="12"/>
      <c r="K79" s="11" t="s">
        <v>131</v>
      </c>
    </row>
    <row r="80" spans="2:11" ht="27" x14ac:dyDescent="0.2">
      <c r="B80" s="5">
        <f>B77+1</f>
        <v>45505</v>
      </c>
      <c r="C80" s="6" t="str">
        <f>VLOOKUP(WEEKDAY(B80,2),'EC-Commands'!$D$12:$E$18,2,FALSE)</f>
        <v>Thu</v>
      </c>
      <c r="D80" s="7">
        <v>6.25E-2</v>
      </c>
      <c r="E80" s="8" t="s">
        <v>1</v>
      </c>
      <c r="F80" s="8">
        <v>3</v>
      </c>
      <c r="G80" s="8" t="s">
        <v>132</v>
      </c>
      <c r="H80" s="24"/>
      <c r="I80" s="24"/>
      <c r="J80" s="12"/>
      <c r="K80" s="11" t="s">
        <v>133</v>
      </c>
    </row>
    <row r="81" spans="1:11" ht="26" x14ac:dyDescent="0.2">
      <c r="B81" s="5">
        <f>B78+1</f>
        <v>45505</v>
      </c>
      <c r="C81" s="6" t="str">
        <f>VLOOKUP(WEEKDAY(B81,2),'EC-Commands'!$D$12:$E$18,2,FALSE)</f>
        <v>Thu</v>
      </c>
      <c r="D81" s="7">
        <v>0.6875</v>
      </c>
      <c r="E81" s="8" t="s">
        <v>53</v>
      </c>
      <c r="F81" s="8">
        <v>3</v>
      </c>
      <c r="G81" s="8" t="s">
        <v>134</v>
      </c>
      <c r="H81" s="24"/>
      <c r="I81" s="22">
        <v>0.05</v>
      </c>
      <c r="J81" s="16">
        <v>5.2499999999999998E-2</v>
      </c>
      <c r="K81" s="10" t="s">
        <v>135</v>
      </c>
    </row>
    <row r="82" spans="1:11" x14ac:dyDescent="0.2">
      <c r="B82" s="5">
        <f>B81</f>
        <v>45505</v>
      </c>
      <c r="C82" s="6" t="str">
        <f>VLOOKUP(WEEKDAY(B82,2),'EC-Commands'!$D$12:$E$18,2,FALSE)</f>
        <v>Thu</v>
      </c>
      <c r="D82" s="7">
        <v>0.75</v>
      </c>
      <c r="E82" s="8" t="s">
        <v>1</v>
      </c>
      <c r="F82" s="8">
        <v>3</v>
      </c>
      <c r="G82" s="8" t="s">
        <v>14</v>
      </c>
      <c r="H82" s="24"/>
      <c r="I82" s="24"/>
      <c r="J82" s="8" t="s">
        <v>136</v>
      </c>
      <c r="K82" s="17"/>
    </row>
    <row r="83" spans="1:11" x14ac:dyDescent="0.2">
      <c r="B83" s="5">
        <f>B82</f>
        <v>45505</v>
      </c>
      <c r="C83" s="6" t="str">
        <f>VLOOKUP(WEEKDAY(B83,2),'EC-Commands'!$D$12:$E$18,2,FALSE)</f>
        <v>Thu</v>
      </c>
      <c r="D83" s="7">
        <v>0.80208333333333337</v>
      </c>
      <c r="E83" s="8" t="s">
        <v>1</v>
      </c>
      <c r="F83" s="8">
        <v>3</v>
      </c>
      <c r="G83" s="8" t="s">
        <v>137</v>
      </c>
      <c r="H83" s="24"/>
      <c r="I83" s="66">
        <v>49.5</v>
      </c>
      <c r="J83" s="18">
        <v>51.6</v>
      </c>
      <c r="K83" s="17"/>
    </row>
    <row r="84" spans="1:11" x14ac:dyDescent="0.2">
      <c r="B84" s="5">
        <f>B83</f>
        <v>45505</v>
      </c>
      <c r="C84" s="6" t="str">
        <f>VLOOKUP(WEEKDAY(B84,2),'EC-Commands'!$D$12:$E$18,2,FALSE)</f>
        <v>Thu</v>
      </c>
      <c r="D84" s="7">
        <v>0.8125</v>
      </c>
      <c r="E84" s="8" t="s">
        <v>1</v>
      </c>
      <c r="F84" s="8">
        <v>3</v>
      </c>
      <c r="G84" s="8" t="s">
        <v>138</v>
      </c>
      <c r="H84" s="24"/>
      <c r="I84" s="66">
        <v>48.8</v>
      </c>
      <c r="J84" s="18">
        <v>48.5</v>
      </c>
      <c r="K84" s="17"/>
    </row>
    <row r="85" spans="1:11" x14ac:dyDescent="0.2">
      <c r="B85" s="5">
        <f>B84</f>
        <v>45505</v>
      </c>
      <c r="C85" s="6" t="str">
        <f>VLOOKUP(WEEKDAY(B85,2),'EC-Commands'!$D$12:$E$18,2,FALSE)</f>
        <v>Thu</v>
      </c>
      <c r="D85" s="7">
        <v>0.8125</v>
      </c>
      <c r="E85" s="8" t="s">
        <v>1</v>
      </c>
      <c r="F85" s="8">
        <v>3</v>
      </c>
      <c r="G85" s="8" t="s">
        <v>139</v>
      </c>
      <c r="H85" s="24"/>
      <c r="I85" s="66"/>
      <c r="J85" s="18">
        <v>52.1</v>
      </c>
      <c r="K85" s="17"/>
    </row>
    <row r="86" spans="1:11" ht="27" x14ac:dyDescent="0.2">
      <c r="B86" s="5">
        <f>B83+1</f>
        <v>45506</v>
      </c>
      <c r="C86" s="6" t="str">
        <f>VLOOKUP(WEEKDAY(B86,2),'EC-Commands'!$D$12:$E$18,2,FALSE)</f>
        <v>Fri</v>
      </c>
      <c r="D86" s="7">
        <v>6.25E-2</v>
      </c>
      <c r="E86" s="8" t="s">
        <v>1</v>
      </c>
      <c r="F86" s="8">
        <v>3</v>
      </c>
      <c r="G86" s="8" t="s">
        <v>140</v>
      </c>
      <c r="H86" s="24"/>
      <c r="I86" s="24"/>
      <c r="J86" s="12"/>
      <c r="K86" s="11" t="s">
        <v>141</v>
      </c>
    </row>
    <row r="87" spans="1:11" ht="27" x14ac:dyDescent="0.2">
      <c r="B87" s="5">
        <f>B84+1</f>
        <v>45506</v>
      </c>
      <c r="C87" s="6" t="str">
        <f>VLOOKUP(WEEKDAY(B87,2),'EC-Commands'!$D$12:$E$18,2,FALSE)</f>
        <v>Fri</v>
      </c>
      <c r="D87" s="7">
        <v>6.25E-2</v>
      </c>
      <c r="E87" s="8" t="s">
        <v>1</v>
      </c>
      <c r="F87" s="8">
        <v>3</v>
      </c>
      <c r="G87" s="8" t="s">
        <v>142</v>
      </c>
      <c r="H87" s="24"/>
      <c r="I87" s="24"/>
      <c r="J87" s="12"/>
      <c r="K87" s="11" t="s">
        <v>143</v>
      </c>
    </row>
    <row r="88" spans="1:11" ht="27" x14ac:dyDescent="0.2">
      <c r="B88" s="5">
        <f>B85+1</f>
        <v>45506</v>
      </c>
      <c r="C88" s="6" t="str">
        <f>VLOOKUP(WEEKDAY(B88,2),'EC-Commands'!$D$12:$E$18,2,FALSE)</f>
        <v>Fri</v>
      </c>
      <c r="D88" s="7">
        <v>6.25E-2</v>
      </c>
      <c r="E88" s="8" t="s">
        <v>1</v>
      </c>
      <c r="F88" s="8">
        <v>3</v>
      </c>
      <c r="G88" s="8" t="s">
        <v>144</v>
      </c>
      <c r="H88" s="24"/>
      <c r="I88" s="24"/>
      <c r="J88" s="12"/>
      <c r="K88" s="11" t="s">
        <v>145</v>
      </c>
    </row>
    <row r="89" spans="1:11" x14ac:dyDescent="0.2">
      <c r="B89" s="5">
        <f>B85+1</f>
        <v>45506</v>
      </c>
      <c r="C89" s="6" t="str">
        <f>VLOOKUP(WEEKDAY(B89,2),'EC-Commands'!$D$12:$E$18,2,FALSE)</f>
        <v>Fri</v>
      </c>
      <c r="D89" s="7">
        <v>0.75</v>
      </c>
      <c r="E89" s="8" t="s">
        <v>1</v>
      </c>
      <c r="F89" s="8">
        <v>3</v>
      </c>
      <c r="G89" s="8" t="s">
        <v>146</v>
      </c>
      <c r="H89" s="24"/>
      <c r="I89" s="22">
        <v>3.0000000000000001E-3</v>
      </c>
      <c r="J89" s="16">
        <v>3.0000000000000001E-3</v>
      </c>
      <c r="K89" s="17"/>
    </row>
    <row r="90" spans="1:11" x14ac:dyDescent="0.2">
      <c r="B90" s="5">
        <f>B89</f>
        <v>45506</v>
      </c>
      <c r="C90" s="6" t="str">
        <f>VLOOKUP(WEEKDAY(B90,2),'EC-Commands'!$D$12:$E$18,2,FALSE)</f>
        <v>Fri</v>
      </c>
      <c r="D90" s="7">
        <v>0.75</v>
      </c>
      <c r="E90" s="8" t="s">
        <v>1</v>
      </c>
      <c r="F90" s="8">
        <v>3</v>
      </c>
      <c r="G90" s="8" t="s">
        <v>147</v>
      </c>
      <c r="H90" s="24"/>
      <c r="I90" s="24" t="s">
        <v>148</v>
      </c>
      <c r="J90" s="8" t="s">
        <v>149</v>
      </c>
      <c r="K90" s="17"/>
    </row>
    <row r="91" spans="1:11" x14ac:dyDescent="0.2">
      <c r="B91" s="5">
        <f>B90</f>
        <v>45506</v>
      </c>
      <c r="C91" s="6" t="str">
        <f>VLOOKUP(WEEKDAY(B91,2),'EC-Commands'!$D$12:$E$18,2,FALSE)</f>
        <v>Fri</v>
      </c>
      <c r="D91" s="7">
        <v>0.75</v>
      </c>
      <c r="E91" s="8" t="s">
        <v>1</v>
      </c>
      <c r="F91" s="8">
        <v>3</v>
      </c>
      <c r="G91" s="8" t="s">
        <v>150</v>
      </c>
      <c r="H91" s="24"/>
      <c r="I91" s="22">
        <v>4.1000000000000002E-2</v>
      </c>
      <c r="J91" s="16">
        <v>4.1000000000000002E-2</v>
      </c>
      <c r="K91" s="17"/>
    </row>
    <row r="92" spans="1:11" ht="27" x14ac:dyDescent="0.2">
      <c r="A92" s="683" t="s">
        <v>105</v>
      </c>
      <c r="B92" s="5">
        <v>45509</v>
      </c>
      <c r="C92" s="6" t="str">
        <f>VLOOKUP(WEEKDAY(B92,2),'EC-Commands'!$D$12:$E$18,2,FALSE)</f>
        <v>Mon</v>
      </c>
      <c r="D92" s="7">
        <v>0.80208333333333337</v>
      </c>
      <c r="E92" s="8" t="s">
        <v>1</v>
      </c>
      <c r="F92" s="8">
        <v>3</v>
      </c>
      <c r="G92" s="8" t="s">
        <v>12</v>
      </c>
      <c r="H92" s="19">
        <v>55</v>
      </c>
      <c r="I92" s="19">
        <v>56</v>
      </c>
      <c r="J92" s="19">
        <v>56</v>
      </c>
      <c r="K92" s="11" t="s">
        <v>151</v>
      </c>
    </row>
    <row r="93" spans="1:11" ht="27" x14ac:dyDescent="0.2">
      <c r="B93" s="5">
        <f>B92</f>
        <v>45509</v>
      </c>
      <c r="C93" s="6" t="str">
        <f>VLOOKUP(WEEKDAY(B93,2),'EC-Commands'!$D$12:$E$18,2,FALSE)</f>
        <v>Mon</v>
      </c>
      <c r="D93" s="7">
        <v>0.8125</v>
      </c>
      <c r="E93" s="8" t="s">
        <v>1</v>
      </c>
      <c r="F93" s="8">
        <v>3</v>
      </c>
      <c r="G93" s="8" t="s">
        <v>152</v>
      </c>
      <c r="H93" s="24">
        <v>51.4</v>
      </c>
      <c r="I93" s="19">
        <v>51</v>
      </c>
      <c r="J93" s="19">
        <v>48.8</v>
      </c>
      <c r="K93" s="11" t="s">
        <v>153</v>
      </c>
    </row>
    <row r="94" spans="1:11" ht="27" x14ac:dyDescent="0.2">
      <c r="B94" s="5">
        <f>B93</f>
        <v>45509</v>
      </c>
      <c r="C94" s="6" t="str">
        <f>VLOOKUP(WEEKDAY(B94,2),'EC-Commands'!$D$12:$E$18,2,FALSE)</f>
        <v>Mon</v>
      </c>
      <c r="D94" s="7">
        <v>0.8125</v>
      </c>
      <c r="E94" s="8" t="s">
        <v>1</v>
      </c>
      <c r="F94" s="8">
        <v>3</v>
      </c>
      <c r="G94" s="8" t="s">
        <v>154</v>
      </c>
      <c r="H94" s="24">
        <v>57</v>
      </c>
      <c r="I94" s="19">
        <v>56</v>
      </c>
      <c r="J94" s="19">
        <v>56.3</v>
      </c>
      <c r="K94" s="11" t="s">
        <v>155</v>
      </c>
    </row>
    <row r="95" spans="1:11" ht="27" x14ac:dyDescent="0.2">
      <c r="B95" s="5">
        <f>B98</f>
        <v>45510</v>
      </c>
      <c r="C95" s="6" t="str">
        <f>VLOOKUP(WEEKDAY(B95,2),'EC-Commands'!$D$12:$E$18,2,FALSE)</f>
        <v>Tue</v>
      </c>
      <c r="D95" s="7">
        <v>6.25E-2</v>
      </c>
      <c r="E95" s="8" t="s">
        <v>1</v>
      </c>
      <c r="F95" s="8">
        <v>3</v>
      </c>
      <c r="G95" s="8" t="s">
        <v>156</v>
      </c>
      <c r="H95" s="24"/>
      <c r="I95" s="19"/>
      <c r="J95" s="19"/>
      <c r="K95" s="11" t="s">
        <v>157</v>
      </c>
    </row>
    <row r="96" spans="1:11" ht="27" x14ac:dyDescent="0.2">
      <c r="B96" s="5">
        <f>B95</f>
        <v>45510</v>
      </c>
      <c r="C96" s="6" t="str">
        <f>VLOOKUP(WEEKDAY(B96,2),'EC-Commands'!$D$12:$E$18,2,FALSE)</f>
        <v>Tue</v>
      </c>
      <c r="D96" s="7">
        <v>6.25E-2</v>
      </c>
      <c r="E96" s="8" t="s">
        <v>1</v>
      </c>
      <c r="F96" s="8">
        <v>3</v>
      </c>
      <c r="G96" s="8" t="s">
        <v>158</v>
      </c>
      <c r="H96" s="24"/>
      <c r="I96" s="19"/>
      <c r="J96" s="19"/>
      <c r="K96" s="11" t="s">
        <v>159</v>
      </c>
    </row>
    <row r="97" spans="1:11" ht="53" x14ac:dyDescent="0.2">
      <c r="B97" s="5">
        <f>B96</f>
        <v>45510</v>
      </c>
      <c r="C97" s="6" t="str">
        <f>VLOOKUP(WEEKDAY(B97,2),'EC-Commands'!$D$12:$E$18,2,FALSE)</f>
        <v>Tue</v>
      </c>
      <c r="D97" s="7">
        <v>6.25E-2</v>
      </c>
      <c r="E97" s="8" t="s">
        <v>1</v>
      </c>
      <c r="F97" s="8">
        <v>3</v>
      </c>
      <c r="G97" s="8" t="s">
        <v>160</v>
      </c>
      <c r="H97" s="24"/>
      <c r="I97" s="19"/>
      <c r="J97" s="19"/>
      <c r="K97" s="11" t="s">
        <v>161</v>
      </c>
    </row>
    <row r="98" spans="1:11" ht="27" x14ac:dyDescent="0.2">
      <c r="B98" s="5">
        <f>B94+1</f>
        <v>45510</v>
      </c>
      <c r="C98" s="6" t="str">
        <f>VLOOKUP(WEEKDAY(B98,2),'EC-Commands'!$D$12:$E$18,2,FALSE)</f>
        <v>Tue</v>
      </c>
      <c r="D98" s="7">
        <v>0.41666666666666669</v>
      </c>
      <c r="E98" s="8" t="s">
        <v>1</v>
      </c>
      <c r="F98" s="8">
        <v>3</v>
      </c>
      <c r="G98" s="8" t="s">
        <v>162</v>
      </c>
      <c r="H98" s="20">
        <v>4.3499999999999997E-2</v>
      </c>
      <c r="I98" s="20">
        <v>4.3499999999999997E-2</v>
      </c>
      <c r="J98" s="20">
        <v>4.3499999999999997E-2</v>
      </c>
      <c r="K98" s="11" t="s">
        <v>163</v>
      </c>
    </row>
    <row r="99" spans="1:11" x14ac:dyDescent="0.2">
      <c r="B99" s="5">
        <f>B98+1</f>
        <v>45511</v>
      </c>
      <c r="C99" s="6" t="str">
        <f>VLOOKUP(WEEKDAY(B99,2),'EC-Commands'!$D$12:$E$18,2,FALSE)</f>
        <v>Wed</v>
      </c>
      <c r="D99" s="7">
        <v>0.83333333333333337</v>
      </c>
      <c r="E99" s="8" t="s">
        <v>1</v>
      </c>
      <c r="F99" s="8">
        <v>3</v>
      </c>
      <c r="G99" s="8" t="s">
        <v>9</v>
      </c>
      <c r="H99" s="21" t="s">
        <v>164</v>
      </c>
      <c r="I99" s="21" t="s">
        <v>165</v>
      </c>
      <c r="J99" s="21" t="s">
        <v>166</v>
      </c>
      <c r="K99" s="10" t="s">
        <v>167</v>
      </c>
    </row>
    <row r="100" spans="1:11" ht="27" x14ac:dyDescent="0.2">
      <c r="B100" s="5">
        <f>B99</f>
        <v>45511</v>
      </c>
      <c r="C100" s="6" t="str">
        <f>VLOOKUP(WEEKDAY(B100,2),'EC-Commands'!$D$12:$E$18,2,FALSE)</f>
        <v>Wed</v>
      </c>
      <c r="D100" s="7">
        <v>0.9375</v>
      </c>
      <c r="E100" s="8" t="s">
        <v>1</v>
      </c>
      <c r="F100" s="8">
        <v>3</v>
      </c>
      <c r="G100" s="8" t="s">
        <v>52</v>
      </c>
      <c r="H100" s="20">
        <v>3.9600000000000003E-2</v>
      </c>
      <c r="I100" s="22"/>
      <c r="J100" s="23">
        <v>4.2759999999999999E-2</v>
      </c>
      <c r="K100" s="14" t="s">
        <v>168</v>
      </c>
    </row>
    <row r="101" spans="1:11" ht="27" x14ac:dyDescent="0.2">
      <c r="B101" s="5">
        <f>B99+1</f>
        <v>45512</v>
      </c>
      <c r="C101" s="6" t="str">
        <f>VLOOKUP(WEEKDAY(B101,2),'EC-Commands'!$D$12:$E$18,2,FALSE)</f>
        <v>Thu</v>
      </c>
      <c r="D101" s="7">
        <f>D97</f>
        <v>6.25E-2</v>
      </c>
      <c r="E101" s="8" t="s">
        <v>1</v>
      </c>
      <c r="F101" s="8">
        <v>3</v>
      </c>
      <c r="G101" s="8" t="s">
        <v>169</v>
      </c>
      <c r="H101" s="24"/>
      <c r="I101" s="24"/>
      <c r="J101" s="22"/>
      <c r="K101" s="11" t="s">
        <v>170</v>
      </c>
    </row>
    <row r="102" spans="1:11" ht="27" x14ac:dyDescent="0.2">
      <c r="B102" s="5">
        <f>B100+1</f>
        <v>45512</v>
      </c>
      <c r="C102" s="6" t="str">
        <f>VLOOKUP(WEEKDAY(B102,2),'EC-Commands'!$D$12:$E$18,2,FALSE)</f>
        <v>Thu</v>
      </c>
      <c r="D102" s="7">
        <v>0.75</v>
      </c>
      <c r="E102" s="8" t="s">
        <v>1</v>
      </c>
      <c r="F102" s="8">
        <v>3</v>
      </c>
      <c r="G102" s="8" t="s">
        <v>14</v>
      </c>
      <c r="H102" s="24" t="s">
        <v>13</v>
      </c>
      <c r="I102" s="24" t="s">
        <v>171</v>
      </c>
      <c r="J102" s="22" t="s">
        <v>172</v>
      </c>
      <c r="K102" s="14" t="s">
        <v>173</v>
      </c>
    </row>
    <row r="103" spans="1:11" x14ac:dyDescent="0.2">
      <c r="B103" s="5">
        <f>B102</f>
        <v>45512</v>
      </c>
      <c r="C103" s="6" t="str">
        <f>VLOOKUP(WEEKDAY(B103,2),'EC-Commands'!$D$12:$E$18,2,FALSE)</f>
        <v>Thu</v>
      </c>
      <c r="D103" s="7">
        <v>0.93819444444444444</v>
      </c>
      <c r="E103" s="8" t="s">
        <v>1</v>
      </c>
      <c r="F103" s="8">
        <v>3</v>
      </c>
      <c r="G103" s="8" t="s">
        <v>174</v>
      </c>
      <c r="H103" s="62">
        <v>4.3139999999999998E-2</v>
      </c>
      <c r="I103" s="24"/>
      <c r="J103" s="23">
        <v>4.4049999999999999E-2</v>
      </c>
      <c r="K103" s="14" t="s">
        <v>175</v>
      </c>
    </row>
    <row r="104" spans="1:11" ht="27" x14ac:dyDescent="0.2">
      <c r="B104" s="5">
        <f>B103+1</f>
        <v>45513</v>
      </c>
      <c r="C104" s="6" t="str">
        <f>VLOOKUP(WEEKDAY(B104,2),'EC-Commands'!$D$12:$E$18,2,FALSE)</f>
        <v>Fri</v>
      </c>
      <c r="D104" s="7">
        <f>D101</f>
        <v>6.25E-2</v>
      </c>
      <c r="E104" s="8" t="s">
        <v>1</v>
      </c>
      <c r="F104" s="8">
        <v>3</v>
      </c>
      <c r="G104" s="8" t="s">
        <v>176</v>
      </c>
      <c r="H104" s="24"/>
      <c r="I104" s="20"/>
      <c r="J104" s="20"/>
      <c r="K104" s="11" t="s">
        <v>177</v>
      </c>
    </row>
    <row r="105" spans="1:11" ht="27" x14ac:dyDescent="0.2">
      <c r="B105" s="5">
        <f>B104</f>
        <v>45513</v>
      </c>
      <c r="C105" s="6" t="str">
        <f>VLOOKUP(WEEKDAY(B105,2),'EC-Commands'!$D$12:$E$18,2,FALSE)</f>
        <v>Fri</v>
      </c>
      <c r="D105" s="7">
        <v>0.47916666666666669</v>
      </c>
      <c r="E105" s="8" t="s">
        <v>1</v>
      </c>
      <c r="F105" s="8">
        <v>3</v>
      </c>
      <c r="G105" s="8" t="s">
        <v>178</v>
      </c>
      <c r="H105" s="24"/>
      <c r="I105" s="20">
        <v>3.0000000000000001E-3</v>
      </c>
      <c r="J105" s="20">
        <v>3.0000000000000001E-3</v>
      </c>
      <c r="K105" s="14" t="s">
        <v>179</v>
      </c>
    </row>
    <row r="106" spans="1:11" x14ac:dyDescent="0.2">
      <c r="B106" s="5">
        <v>45553</v>
      </c>
      <c r="C106" s="6" t="str">
        <f>VLOOKUP(WEEKDAY(B106,2),'EC-Commands'!$D$12:$E$18,2,FALSE)</f>
        <v>Wed</v>
      </c>
      <c r="D106" s="7">
        <v>0.91666666666666663</v>
      </c>
      <c r="E106" s="8" t="s">
        <v>1</v>
      </c>
      <c r="F106" s="8">
        <v>3</v>
      </c>
      <c r="G106" s="8" t="s">
        <v>180</v>
      </c>
      <c r="H106" s="24"/>
      <c r="I106" s="24"/>
      <c r="J106" s="20"/>
      <c r="K106" s="10"/>
    </row>
    <row r="107" spans="1:11" x14ac:dyDescent="0.2">
      <c r="C107" t="s">
        <v>181</v>
      </c>
      <c r="J107" s="1"/>
      <c r="K107" s="25"/>
    </row>
    <row r="108" spans="1:11" ht="27" x14ac:dyDescent="0.2">
      <c r="A108" s="684" t="s">
        <v>105</v>
      </c>
      <c r="B108" s="45">
        <v>45517</v>
      </c>
      <c r="C108" s="46" t="s">
        <v>182</v>
      </c>
      <c r="D108" s="47">
        <v>0.75</v>
      </c>
      <c r="E108" s="48" t="s">
        <v>1</v>
      </c>
      <c r="F108" s="48">
        <v>3</v>
      </c>
      <c r="G108" s="48" t="s">
        <v>183</v>
      </c>
      <c r="H108" s="49">
        <v>1E-3</v>
      </c>
      <c r="I108" s="49">
        <v>2E-3</v>
      </c>
      <c r="J108" s="49">
        <v>2E-3</v>
      </c>
      <c r="K108" s="50" t="s">
        <v>184</v>
      </c>
    </row>
    <row r="109" spans="1:11" ht="39" x14ac:dyDescent="0.2">
      <c r="B109" s="51">
        <v>45518</v>
      </c>
      <c r="C109" s="52" t="s">
        <v>185</v>
      </c>
      <c r="D109" s="53">
        <v>0.3125</v>
      </c>
      <c r="E109" s="54" t="s">
        <v>49</v>
      </c>
      <c r="F109" s="54">
        <v>3</v>
      </c>
      <c r="G109" s="54" t="s">
        <v>50</v>
      </c>
      <c r="H109" s="55">
        <v>5.2499999999999998E-2</v>
      </c>
      <c r="I109" s="55">
        <v>5.5E-2</v>
      </c>
      <c r="J109" s="55">
        <v>5.5E-2</v>
      </c>
      <c r="K109" s="56" t="s">
        <v>186</v>
      </c>
    </row>
    <row r="110" spans="1:11" ht="26" x14ac:dyDescent="0.2">
      <c r="B110" s="51">
        <v>45518</v>
      </c>
      <c r="C110" s="52" t="s">
        <v>185</v>
      </c>
      <c r="D110" s="53">
        <v>0.47916666666666669</v>
      </c>
      <c r="E110" s="54" t="s">
        <v>53</v>
      </c>
      <c r="F110" s="54">
        <v>3</v>
      </c>
      <c r="G110" s="54" t="s">
        <v>187</v>
      </c>
      <c r="H110" s="55">
        <v>2.1999999999999999E-2</v>
      </c>
      <c r="I110" s="55">
        <v>2.3E-2</v>
      </c>
      <c r="J110" s="55">
        <v>0.02</v>
      </c>
      <c r="K110" s="56" t="s">
        <v>188</v>
      </c>
    </row>
    <row r="111" spans="1:11" ht="26" x14ac:dyDescent="0.2">
      <c r="B111" s="51">
        <v>45518</v>
      </c>
      <c r="C111" s="52" t="s">
        <v>185</v>
      </c>
      <c r="D111" s="53">
        <v>0.75</v>
      </c>
      <c r="E111" s="54" t="s">
        <v>1</v>
      </c>
      <c r="F111" s="54">
        <v>3</v>
      </c>
      <c r="G111" s="54" t="s">
        <v>189</v>
      </c>
      <c r="H111" s="55">
        <v>2E-3</v>
      </c>
      <c r="I111" s="55">
        <v>2E-3</v>
      </c>
      <c r="J111" s="55">
        <v>1E-3</v>
      </c>
      <c r="K111" s="56" t="s">
        <v>190</v>
      </c>
    </row>
    <row r="112" spans="1:11" x14ac:dyDescent="0.2">
      <c r="B112" s="51">
        <v>45518</v>
      </c>
      <c r="C112" s="52" t="s">
        <v>185</v>
      </c>
      <c r="D112" s="53">
        <v>0.75</v>
      </c>
      <c r="E112" s="54" t="s">
        <v>1</v>
      </c>
      <c r="F112" s="54">
        <v>3</v>
      </c>
      <c r="G112" s="54" t="s">
        <v>187</v>
      </c>
      <c r="H112" s="55">
        <v>2.9000000000000001E-2</v>
      </c>
      <c r="I112" s="55">
        <v>0.03</v>
      </c>
      <c r="J112" s="55">
        <v>0.03</v>
      </c>
      <c r="K112" s="56" t="s">
        <v>191</v>
      </c>
    </row>
    <row r="113" spans="1:11" x14ac:dyDescent="0.2">
      <c r="B113" s="51">
        <v>45518</v>
      </c>
      <c r="C113" s="52" t="s">
        <v>185</v>
      </c>
      <c r="D113" s="53">
        <v>0.75</v>
      </c>
      <c r="E113" s="54" t="s">
        <v>1</v>
      </c>
      <c r="F113" s="54">
        <v>3</v>
      </c>
      <c r="G113" s="54" t="s">
        <v>192</v>
      </c>
      <c r="H113" s="55">
        <v>2E-3</v>
      </c>
      <c r="I113" s="55">
        <v>2E-3</v>
      </c>
      <c r="J113" s="55">
        <v>-1E-3</v>
      </c>
      <c r="K113" s="56"/>
    </row>
    <row r="114" spans="1:11" ht="26" x14ac:dyDescent="0.2">
      <c r="B114" s="51">
        <v>45518</v>
      </c>
      <c r="C114" s="52" t="s">
        <v>185</v>
      </c>
      <c r="D114" s="53">
        <v>0.83333333333333337</v>
      </c>
      <c r="E114" s="54" t="s">
        <v>1</v>
      </c>
      <c r="F114" s="54">
        <v>3</v>
      </c>
      <c r="G114" s="54" t="s">
        <v>9</v>
      </c>
      <c r="H114" s="61" t="s">
        <v>208</v>
      </c>
      <c r="I114" s="61" t="s">
        <v>207</v>
      </c>
      <c r="J114" s="55" t="s">
        <v>164</v>
      </c>
      <c r="K114" s="56" t="s">
        <v>193</v>
      </c>
    </row>
    <row r="115" spans="1:11" x14ac:dyDescent="0.2">
      <c r="B115" s="51">
        <v>45519</v>
      </c>
      <c r="C115" s="52" t="s">
        <v>194</v>
      </c>
      <c r="D115" s="53">
        <v>0.22222222222222221</v>
      </c>
      <c r="E115" s="54" t="s">
        <v>117</v>
      </c>
      <c r="F115" s="54">
        <v>3</v>
      </c>
      <c r="G115" s="54" t="s">
        <v>98</v>
      </c>
      <c r="H115" s="55">
        <v>8.0000000000000002E-3</v>
      </c>
      <c r="I115" s="55">
        <v>6.0000000000000001E-3</v>
      </c>
      <c r="J115" s="55">
        <v>-6.0000000000000001E-3</v>
      </c>
      <c r="K115" s="57"/>
    </row>
    <row r="116" spans="1:11" ht="27" x14ac:dyDescent="0.2">
      <c r="B116" s="51">
        <v>45519</v>
      </c>
      <c r="C116" s="52" t="s">
        <v>194</v>
      </c>
      <c r="D116" s="53">
        <v>0.47916666666666669</v>
      </c>
      <c r="E116" s="54" t="s">
        <v>53</v>
      </c>
      <c r="F116" s="54">
        <v>3</v>
      </c>
      <c r="G116" s="54" t="s">
        <v>195</v>
      </c>
      <c r="H116" s="55">
        <v>8.9999999999999993E-3</v>
      </c>
      <c r="I116" s="55">
        <v>8.9999999999999993E-3</v>
      </c>
      <c r="J116" s="58">
        <v>3.0000000000000001E-3</v>
      </c>
      <c r="K116" s="57" t="s">
        <v>196</v>
      </c>
    </row>
    <row r="117" spans="1:11" x14ac:dyDescent="0.2">
      <c r="B117" s="51">
        <v>45519</v>
      </c>
      <c r="C117" s="52" t="s">
        <v>194</v>
      </c>
      <c r="D117" s="53">
        <v>0.47916666666666669</v>
      </c>
      <c r="E117" s="54" t="s">
        <v>53</v>
      </c>
      <c r="F117" s="54">
        <v>3</v>
      </c>
      <c r="G117" s="54" t="s">
        <v>197</v>
      </c>
      <c r="H117" s="55">
        <v>0</v>
      </c>
      <c r="I117" s="55">
        <v>0</v>
      </c>
      <c r="J117" s="55">
        <v>4.0000000000000001E-3</v>
      </c>
      <c r="K117" s="57" t="s">
        <v>198</v>
      </c>
    </row>
    <row r="118" spans="1:11" x14ac:dyDescent="0.2">
      <c r="B118" s="51">
        <v>45519</v>
      </c>
      <c r="C118" s="52" t="s">
        <v>194</v>
      </c>
      <c r="D118" s="53">
        <v>0.47916666666666669</v>
      </c>
      <c r="E118" s="54" t="s">
        <v>53</v>
      </c>
      <c r="F118" s="54">
        <v>3</v>
      </c>
      <c r="G118" s="54" t="s">
        <v>98</v>
      </c>
      <c r="H118" s="55">
        <v>6.0000000000000001E-3</v>
      </c>
      <c r="I118" s="55">
        <v>6.0000000000000001E-3</v>
      </c>
      <c r="J118" s="55">
        <v>7.0000000000000001E-3</v>
      </c>
      <c r="K118" s="57" t="s">
        <v>199</v>
      </c>
    </row>
    <row r="119" spans="1:11" ht="27" x14ac:dyDescent="0.2">
      <c r="B119" s="51">
        <v>45519</v>
      </c>
      <c r="C119" s="52" t="s">
        <v>194</v>
      </c>
      <c r="D119" s="53">
        <v>0.75</v>
      </c>
      <c r="E119" s="54" t="s">
        <v>1</v>
      </c>
      <c r="F119" s="54">
        <v>3</v>
      </c>
      <c r="G119" s="54" t="s">
        <v>200</v>
      </c>
      <c r="H119" s="58">
        <v>4.0000000000000001E-3</v>
      </c>
      <c r="I119" s="55">
        <v>1E-3</v>
      </c>
      <c r="J119" s="55">
        <v>4.0000000000000001E-3</v>
      </c>
      <c r="K119" s="57" t="s">
        <v>201</v>
      </c>
    </row>
    <row r="120" spans="1:11" ht="27" x14ac:dyDescent="0.2">
      <c r="B120" s="51">
        <v>45519</v>
      </c>
      <c r="C120" s="52" t="s">
        <v>194</v>
      </c>
      <c r="D120" s="53">
        <v>0.75</v>
      </c>
      <c r="E120" s="54" t="s">
        <v>1</v>
      </c>
      <c r="F120" s="54">
        <v>3</v>
      </c>
      <c r="G120" s="54" t="s">
        <v>14</v>
      </c>
      <c r="H120" s="58" t="s">
        <v>209</v>
      </c>
      <c r="I120" s="55" t="s">
        <v>210</v>
      </c>
      <c r="J120" s="55" t="s">
        <v>211</v>
      </c>
      <c r="K120" s="57" t="s">
        <v>202</v>
      </c>
    </row>
    <row r="121" spans="1:11" ht="27" x14ac:dyDescent="0.2">
      <c r="B121" s="51">
        <v>45519</v>
      </c>
      <c r="C121" s="52" t="s">
        <v>194</v>
      </c>
      <c r="D121" s="53">
        <v>0.75</v>
      </c>
      <c r="E121" s="54" t="s">
        <v>1</v>
      </c>
      <c r="F121" s="54">
        <v>3</v>
      </c>
      <c r="G121" s="54" t="s">
        <v>203</v>
      </c>
      <c r="H121" s="59">
        <v>-7</v>
      </c>
      <c r="I121" s="59">
        <v>5.4</v>
      </c>
      <c r="J121" s="59">
        <v>13.9</v>
      </c>
      <c r="K121" s="57" t="s">
        <v>204</v>
      </c>
    </row>
    <row r="122" spans="1:11" ht="27" x14ac:dyDescent="0.2">
      <c r="B122" s="51">
        <v>45519</v>
      </c>
      <c r="C122" s="52" t="s">
        <v>194</v>
      </c>
      <c r="D122" s="53">
        <v>0.75</v>
      </c>
      <c r="E122" s="54" t="s">
        <v>1</v>
      </c>
      <c r="F122" s="54">
        <v>3</v>
      </c>
      <c r="G122" s="54" t="s">
        <v>205</v>
      </c>
      <c r="H122" s="55">
        <v>0.01</v>
      </c>
      <c r="I122" s="60">
        <v>4.0000000000000001E-3</v>
      </c>
      <c r="J122" s="60">
        <f>-0.2%</f>
        <v>-2E-3</v>
      </c>
      <c r="K122" s="57" t="s">
        <v>206</v>
      </c>
    </row>
    <row r="123" spans="1:11" ht="27" x14ac:dyDescent="0.2">
      <c r="A123" s="684" t="s">
        <v>105</v>
      </c>
      <c r="B123" s="45">
        <v>45524</v>
      </c>
      <c r="C123" s="46" t="s">
        <v>182</v>
      </c>
      <c r="D123" s="47">
        <v>0.54166666666666663</v>
      </c>
      <c r="E123" s="48" t="s">
        <v>214</v>
      </c>
      <c r="F123" s="48">
        <v>3</v>
      </c>
      <c r="G123" s="48" t="s">
        <v>215</v>
      </c>
      <c r="H123" s="49">
        <v>3.5000000000000003E-2</v>
      </c>
      <c r="I123" s="49"/>
      <c r="J123" s="49">
        <v>3.7499999999999999E-2</v>
      </c>
      <c r="K123" s="67" t="s">
        <v>216</v>
      </c>
    </row>
    <row r="124" spans="1:11" ht="27" x14ac:dyDescent="0.2">
      <c r="B124" s="51">
        <v>45524</v>
      </c>
      <c r="C124" s="52" t="s">
        <v>182</v>
      </c>
      <c r="D124" s="53">
        <v>0.60416666666666663</v>
      </c>
      <c r="E124" s="54" t="s">
        <v>22</v>
      </c>
      <c r="F124" s="54">
        <v>3</v>
      </c>
      <c r="G124" s="54" t="s">
        <v>187</v>
      </c>
      <c r="H124" s="55">
        <v>2.5999999999999999E-2</v>
      </c>
      <c r="I124" s="55">
        <v>2.5999999999999999E-2</v>
      </c>
      <c r="J124" s="55">
        <v>2.5000000000000001E-2</v>
      </c>
      <c r="K124" s="68" t="s">
        <v>217</v>
      </c>
    </row>
    <row r="125" spans="1:11" ht="39" x14ac:dyDescent="0.2">
      <c r="B125" s="51">
        <v>45525</v>
      </c>
      <c r="C125" s="52" t="s">
        <v>185</v>
      </c>
      <c r="D125" s="53">
        <v>0.83333333333333337</v>
      </c>
      <c r="E125" s="54" t="s">
        <v>1</v>
      </c>
      <c r="F125" s="54">
        <v>3</v>
      </c>
      <c r="G125" s="54" t="s">
        <v>9</v>
      </c>
      <c r="H125" s="55" t="s">
        <v>218</v>
      </c>
      <c r="I125" s="55" t="s">
        <v>219</v>
      </c>
      <c r="J125" s="55" t="s">
        <v>220</v>
      </c>
      <c r="K125" s="69" t="s">
        <v>221</v>
      </c>
    </row>
    <row r="126" spans="1:11" ht="52" x14ac:dyDescent="0.2">
      <c r="B126" s="51">
        <v>45525</v>
      </c>
      <c r="C126" s="52" t="s">
        <v>185</v>
      </c>
      <c r="D126" s="53">
        <v>0.97916666666666663</v>
      </c>
      <c r="E126" s="54" t="s">
        <v>1</v>
      </c>
      <c r="F126" s="54">
        <v>3</v>
      </c>
      <c r="G126" s="54" t="s">
        <v>7</v>
      </c>
      <c r="H126" s="54"/>
      <c r="I126" s="55"/>
      <c r="J126" s="55"/>
      <c r="K126" s="69" t="s">
        <v>222</v>
      </c>
    </row>
    <row r="127" spans="1:11" ht="39" x14ac:dyDescent="0.2">
      <c r="B127" s="51">
        <v>45526</v>
      </c>
      <c r="C127" s="52" t="s">
        <v>194</v>
      </c>
      <c r="D127" s="53">
        <v>0.75</v>
      </c>
      <c r="E127" s="54" t="s">
        <v>1</v>
      </c>
      <c r="F127" s="54">
        <v>3</v>
      </c>
      <c r="G127" s="54" t="s">
        <v>14</v>
      </c>
      <c r="H127" s="54" t="s">
        <v>223</v>
      </c>
      <c r="I127" s="55" t="s">
        <v>223</v>
      </c>
      <c r="J127" s="55" t="s">
        <v>209</v>
      </c>
      <c r="K127" s="69" t="s">
        <v>224</v>
      </c>
    </row>
    <row r="128" spans="1:11" ht="39" x14ac:dyDescent="0.2">
      <c r="B128" s="51">
        <v>45526</v>
      </c>
      <c r="C128" s="52" t="s">
        <v>194</v>
      </c>
      <c r="D128" s="53">
        <v>0.80208333333333337</v>
      </c>
      <c r="E128" s="54" t="s">
        <v>1</v>
      </c>
      <c r="F128" s="54">
        <v>3</v>
      </c>
      <c r="G128" s="54" t="s">
        <v>225</v>
      </c>
      <c r="H128" s="54">
        <v>48</v>
      </c>
      <c r="I128" s="59">
        <v>49.8</v>
      </c>
      <c r="J128" s="59">
        <v>49.6</v>
      </c>
      <c r="K128" s="69" t="s">
        <v>226</v>
      </c>
    </row>
    <row r="129" spans="1:11" x14ac:dyDescent="0.2">
      <c r="B129" s="51">
        <v>45526</v>
      </c>
      <c r="C129" s="52" t="s">
        <v>194</v>
      </c>
      <c r="D129" s="53">
        <v>0.80208333333333337</v>
      </c>
      <c r="E129" s="54" t="s">
        <v>1</v>
      </c>
      <c r="F129" s="54">
        <v>3</v>
      </c>
      <c r="G129" s="54" t="s">
        <v>227</v>
      </c>
      <c r="H129" s="54">
        <v>55.2</v>
      </c>
      <c r="I129" s="59">
        <v>54</v>
      </c>
      <c r="J129" s="59">
        <v>55</v>
      </c>
      <c r="K129" s="69"/>
    </row>
    <row r="130" spans="1:11" ht="39" x14ac:dyDescent="0.2">
      <c r="B130" s="51">
        <v>45526</v>
      </c>
      <c r="C130" s="52" t="s">
        <v>194</v>
      </c>
      <c r="D130" s="53">
        <v>0.8125</v>
      </c>
      <c r="E130" s="54" t="s">
        <v>1</v>
      </c>
      <c r="F130" s="54">
        <v>3</v>
      </c>
      <c r="G130" s="54" t="s">
        <v>228</v>
      </c>
      <c r="H130" s="59" t="s">
        <v>229</v>
      </c>
      <c r="I130" s="59" t="s">
        <v>230</v>
      </c>
      <c r="J130" s="59" t="s">
        <v>231</v>
      </c>
      <c r="K130" s="69" t="s">
        <v>232</v>
      </c>
    </row>
    <row r="131" spans="1:11" ht="39" x14ac:dyDescent="0.2">
      <c r="B131" s="51">
        <v>45527</v>
      </c>
      <c r="C131" s="52" t="s">
        <v>233</v>
      </c>
      <c r="D131" s="53">
        <v>0.25</v>
      </c>
      <c r="E131" s="54" t="s">
        <v>117</v>
      </c>
      <c r="F131" s="54">
        <v>3</v>
      </c>
      <c r="G131" s="54" t="s">
        <v>234</v>
      </c>
      <c r="H131" s="55"/>
      <c r="I131" s="55"/>
      <c r="J131" s="55"/>
      <c r="K131" s="69" t="s">
        <v>235</v>
      </c>
    </row>
    <row r="132" spans="1:11" ht="53" x14ac:dyDescent="0.2">
      <c r="B132" s="51">
        <v>45527</v>
      </c>
      <c r="C132" s="52" t="s">
        <v>233</v>
      </c>
      <c r="D132" s="53">
        <v>0.8125</v>
      </c>
      <c r="E132" s="54" t="s">
        <v>1</v>
      </c>
      <c r="F132" s="54">
        <v>3</v>
      </c>
      <c r="G132" s="54" t="s">
        <v>236</v>
      </c>
      <c r="H132" s="55"/>
      <c r="I132" s="55"/>
      <c r="J132" s="55"/>
      <c r="K132" s="68" t="s">
        <v>237</v>
      </c>
    </row>
    <row r="133" spans="1:11" x14ac:dyDescent="0.2">
      <c r="B133" s="51">
        <v>45527</v>
      </c>
      <c r="C133" s="52" t="s">
        <v>233</v>
      </c>
      <c r="D133" s="53">
        <v>0.8125</v>
      </c>
      <c r="E133" s="54" t="s">
        <v>1</v>
      </c>
      <c r="F133" s="54">
        <v>3</v>
      </c>
      <c r="G133" s="54" t="s">
        <v>238</v>
      </c>
      <c r="H133" s="70" t="s">
        <v>239</v>
      </c>
      <c r="I133" s="55" t="s">
        <v>240</v>
      </c>
      <c r="J133" s="55" t="s">
        <v>241</v>
      </c>
      <c r="K133" s="68"/>
    </row>
    <row r="134" spans="1:11" x14ac:dyDescent="0.2">
      <c r="C134" t="s">
        <v>212</v>
      </c>
    </row>
    <row r="135" spans="1:11" x14ac:dyDescent="0.2">
      <c r="A135" s="684" t="s">
        <v>105</v>
      </c>
      <c r="B135" s="71" t="s">
        <v>35</v>
      </c>
      <c r="C135" s="71" t="s">
        <v>34</v>
      </c>
      <c r="D135" s="71" t="s">
        <v>33</v>
      </c>
      <c r="E135" s="71" t="s">
        <v>32</v>
      </c>
      <c r="F135" s="71" t="s">
        <v>31</v>
      </c>
      <c r="G135" s="71" t="s">
        <v>30</v>
      </c>
      <c r="H135" s="71" t="s">
        <v>29</v>
      </c>
      <c r="I135" s="72" t="s">
        <v>28</v>
      </c>
      <c r="J135" s="72" t="s">
        <v>27</v>
      </c>
      <c r="K135" s="71" t="s">
        <v>75</v>
      </c>
    </row>
    <row r="136" spans="1:11" ht="66" x14ac:dyDescent="0.2">
      <c r="B136" s="5">
        <v>45530</v>
      </c>
      <c r="C136" s="6" t="str">
        <f>VLOOKUP(WEEKDAY(B136,2),'EC-Commands'!$D$11:$E$17,2,FALSE)</f>
        <v>Mon</v>
      </c>
      <c r="D136" s="7">
        <v>0.75</v>
      </c>
      <c r="E136" s="8" t="s">
        <v>1</v>
      </c>
      <c r="F136" s="8">
        <v>3</v>
      </c>
      <c r="G136" s="8" t="s">
        <v>242</v>
      </c>
      <c r="H136" s="73">
        <v>9.9000000000000005E-2</v>
      </c>
      <c r="I136" s="73">
        <v>0.04</v>
      </c>
      <c r="J136" s="73">
        <v>-6.6000000000000003E-2</v>
      </c>
      <c r="K136" s="14" t="s">
        <v>243</v>
      </c>
    </row>
    <row r="137" spans="1:11" ht="53" x14ac:dyDescent="0.2">
      <c r="B137" s="5">
        <f>B136+1</f>
        <v>45531</v>
      </c>
      <c r="C137" s="6" t="str">
        <f>VLOOKUP(WEEKDAY(B137,2),'EC-Commands'!$D$11:$E$17,2,FALSE)</f>
        <v>Tue</v>
      </c>
      <c r="D137" s="7">
        <v>0.47916666666666669</v>
      </c>
      <c r="E137" s="8" t="s">
        <v>22</v>
      </c>
      <c r="F137" s="8">
        <v>3</v>
      </c>
      <c r="G137" s="8" t="s">
        <v>244</v>
      </c>
      <c r="H137" s="22">
        <f>-0.1%</f>
        <v>-1E-3</v>
      </c>
      <c r="I137" s="22">
        <f>-0.1%</f>
        <v>-1E-3</v>
      </c>
      <c r="J137" s="22">
        <f>0.2%</f>
        <v>2E-3</v>
      </c>
      <c r="K137" s="14" t="s">
        <v>245</v>
      </c>
    </row>
    <row r="138" spans="1:11" ht="40" x14ac:dyDescent="0.2">
      <c r="B138" s="5">
        <f>B137</f>
        <v>45531</v>
      </c>
      <c r="C138" s="6" t="str">
        <f>VLOOKUP(WEEKDAY(B138,2),'EC-Commands'!$D$11:$E$17,2,FALSE)</f>
        <v>Tue</v>
      </c>
      <c r="D138" s="7">
        <v>0.8125</v>
      </c>
      <c r="E138" s="8" t="s">
        <v>1</v>
      </c>
      <c r="F138" s="8">
        <v>3</v>
      </c>
      <c r="G138" s="8" t="s">
        <v>246</v>
      </c>
      <c r="H138" s="74">
        <v>103.3</v>
      </c>
      <c r="I138" s="74">
        <v>100.1</v>
      </c>
      <c r="J138" s="74">
        <v>100.3</v>
      </c>
      <c r="K138" s="14" t="s">
        <v>247</v>
      </c>
    </row>
    <row r="139" spans="1:11" ht="53" x14ac:dyDescent="0.2">
      <c r="B139" s="5">
        <f>B138+1</f>
        <v>45532</v>
      </c>
      <c r="C139" s="6" t="str">
        <f>VLOOKUP(WEEKDAY(B139,2),'EC-Commands'!$D$11:$E$17,2,FALSE)</f>
        <v>Wed</v>
      </c>
      <c r="D139" s="7">
        <v>0.83333333333333337</v>
      </c>
      <c r="E139" s="8" t="s">
        <v>1</v>
      </c>
      <c r="F139" s="8">
        <v>3</v>
      </c>
      <c r="G139" s="8" t="s">
        <v>9</v>
      </c>
      <c r="H139" s="21" t="s">
        <v>267</v>
      </c>
      <c r="I139" s="21" t="s">
        <v>266</v>
      </c>
      <c r="J139" s="21" t="s">
        <v>218</v>
      </c>
      <c r="K139" s="14" t="s">
        <v>248</v>
      </c>
    </row>
    <row r="140" spans="1:11" ht="53" x14ac:dyDescent="0.2">
      <c r="B140" s="5">
        <f>B139+1</f>
        <v>45533</v>
      </c>
      <c r="C140" s="6" t="str">
        <f>VLOOKUP(WEEKDAY(B140,2),'EC-Commands'!$D$11:$E$17,2,FALSE)</f>
        <v>Thu</v>
      </c>
      <c r="D140" s="7">
        <v>6.25E-2</v>
      </c>
      <c r="E140" s="8" t="s">
        <v>1</v>
      </c>
      <c r="F140" s="8">
        <v>3</v>
      </c>
      <c r="G140" s="8" t="s">
        <v>249</v>
      </c>
      <c r="H140" s="9"/>
      <c r="I140" s="22"/>
      <c r="J140" s="22"/>
      <c r="K140" s="14" t="s">
        <v>250</v>
      </c>
    </row>
    <row r="141" spans="1:11" ht="53" x14ac:dyDescent="0.2">
      <c r="B141" s="5">
        <f>B140</f>
        <v>45533</v>
      </c>
      <c r="C141" s="6" t="str">
        <f>VLOOKUP(WEEKDAY(B141,2),'EC-Commands'!$D$11:$E$17,2,FALSE)</f>
        <v>Thu</v>
      </c>
      <c r="D141" s="7">
        <v>0.72916666666666663</v>
      </c>
      <c r="E141" s="8" t="s">
        <v>22</v>
      </c>
      <c r="F141" s="8">
        <v>3</v>
      </c>
      <c r="G141" s="8" t="s">
        <v>251</v>
      </c>
      <c r="H141" s="22">
        <v>-1E-3</v>
      </c>
      <c r="I141" s="22">
        <v>0</v>
      </c>
      <c r="J141" s="22">
        <v>3.0000000000000001E-3</v>
      </c>
      <c r="K141" s="14" t="s">
        <v>252</v>
      </c>
    </row>
    <row r="142" spans="1:11" ht="53" x14ac:dyDescent="0.2">
      <c r="B142" s="5">
        <f>B141</f>
        <v>45533</v>
      </c>
      <c r="C142" s="6" t="str">
        <f>VLOOKUP(WEEKDAY(B142,2),'EC-Commands'!$D$11:$E$17,2,FALSE)</f>
        <v>Thu</v>
      </c>
      <c r="D142" s="7">
        <v>0.75</v>
      </c>
      <c r="E142" s="8" t="s">
        <v>1</v>
      </c>
      <c r="F142" s="8">
        <v>3</v>
      </c>
      <c r="G142" s="8" t="s">
        <v>253</v>
      </c>
      <c r="H142" s="22">
        <v>0.03</v>
      </c>
      <c r="I142" s="22">
        <v>2.8000000000000001E-2</v>
      </c>
      <c r="J142" s="22">
        <v>1.4E-2</v>
      </c>
      <c r="K142" s="14" t="s">
        <v>254</v>
      </c>
    </row>
    <row r="143" spans="1:11" ht="27" x14ac:dyDescent="0.2">
      <c r="B143" s="5">
        <f>B142</f>
        <v>45533</v>
      </c>
      <c r="C143" s="6" t="str">
        <f>VLOOKUP(WEEKDAY(B143,2),'EC-Commands'!$D$11:$E$17,2,FALSE)</f>
        <v>Thu</v>
      </c>
      <c r="D143" s="7">
        <v>0.75</v>
      </c>
      <c r="E143" s="8" t="s">
        <v>1</v>
      </c>
      <c r="F143" s="8">
        <v>3</v>
      </c>
      <c r="G143" s="8" t="s">
        <v>14</v>
      </c>
      <c r="H143" s="22" t="s">
        <v>268</v>
      </c>
      <c r="I143" s="22" t="s">
        <v>223</v>
      </c>
      <c r="J143" s="22" t="s">
        <v>13</v>
      </c>
      <c r="K143" s="75" t="s">
        <v>255</v>
      </c>
    </row>
    <row r="144" spans="1:11" ht="53" x14ac:dyDescent="0.2">
      <c r="B144" s="5">
        <f>B143+1</f>
        <v>45534</v>
      </c>
      <c r="C144" s="6" t="str">
        <f>VLOOKUP(WEEKDAY(B144,2),'EC-Commands'!$D$11:$E$17,2,FALSE)</f>
        <v>Fri</v>
      </c>
      <c r="D144" s="7">
        <v>0.75</v>
      </c>
      <c r="E144" s="8" t="s">
        <v>22</v>
      </c>
      <c r="F144" s="8">
        <v>3</v>
      </c>
      <c r="G144" s="8" t="s">
        <v>256</v>
      </c>
      <c r="H144" s="22">
        <v>2.1999999999999999E-2</v>
      </c>
      <c r="I144" s="22">
        <v>2.1999999999999999E-2</v>
      </c>
      <c r="J144" s="22">
        <v>2.5999999999999999E-2</v>
      </c>
      <c r="K144" s="14" t="s">
        <v>257</v>
      </c>
    </row>
    <row r="145" spans="1:11" x14ac:dyDescent="0.2">
      <c r="B145" s="5">
        <f>B144</f>
        <v>45534</v>
      </c>
      <c r="C145" s="6" t="str">
        <f>VLOOKUP(WEEKDAY(B145,2),'EC-Commands'!$D$11:$E$17,2,FALSE)</f>
        <v>Fri</v>
      </c>
      <c r="D145" s="7">
        <v>0.75</v>
      </c>
      <c r="E145" s="8" t="s">
        <v>1</v>
      </c>
      <c r="F145" s="8">
        <v>3</v>
      </c>
      <c r="G145" s="8" t="s">
        <v>258</v>
      </c>
      <c r="H145" s="22">
        <v>2.1999999999999999E-2</v>
      </c>
      <c r="I145" s="22">
        <v>2.1999999999999999E-2</v>
      </c>
      <c r="J145" s="22">
        <v>2.5999999999999999E-2</v>
      </c>
      <c r="K145" s="14"/>
    </row>
    <row r="146" spans="1:11" ht="40" x14ac:dyDescent="0.2">
      <c r="B146" s="5">
        <f>B145</f>
        <v>45534</v>
      </c>
      <c r="C146" s="6" t="str">
        <f>VLOOKUP(WEEKDAY(B146,2),'EC-Commands'!$D$11:$E$17,2,FALSE)</f>
        <v>Fri</v>
      </c>
      <c r="D146" s="7">
        <v>0.75</v>
      </c>
      <c r="E146" s="8" t="s">
        <v>1</v>
      </c>
      <c r="F146" s="8">
        <v>3</v>
      </c>
      <c r="G146" s="8" t="s">
        <v>259</v>
      </c>
      <c r="H146" s="22">
        <v>2E-3</v>
      </c>
      <c r="I146" s="22">
        <v>2E-3</v>
      </c>
      <c r="J146" s="22">
        <v>2E-3</v>
      </c>
      <c r="K146" s="14" t="s">
        <v>260</v>
      </c>
    </row>
    <row r="147" spans="1:11" ht="53" x14ac:dyDescent="0.2">
      <c r="B147" s="5">
        <f>B146</f>
        <v>45534</v>
      </c>
      <c r="C147" s="6" t="str">
        <f>VLOOKUP(WEEKDAY(B147,2),'EC-Commands'!$D$11:$E$17,2,FALSE)</f>
        <v>Fri</v>
      </c>
      <c r="D147" s="7">
        <v>0.80208333333333337</v>
      </c>
      <c r="E147" s="8" t="s">
        <v>1</v>
      </c>
      <c r="F147" s="8">
        <v>3</v>
      </c>
      <c r="G147" s="8" t="s">
        <v>261</v>
      </c>
      <c r="H147" s="19">
        <v>46.1</v>
      </c>
      <c r="I147" s="19">
        <v>45</v>
      </c>
      <c r="J147" s="19">
        <v>45.3</v>
      </c>
      <c r="K147" s="14" t="s">
        <v>262</v>
      </c>
    </row>
    <row r="148" spans="1:11" ht="40" x14ac:dyDescent="0.2">
      <c r="B148" s="5">
        <f>B147+1</f>
        <v>45535</v>
      </c>
      <c r="C148" s="6" t="str">
        <f>VLOOKUP(WEEKDAY(B148,2),'EC-Commands'!$D$11:$E$19,2,FALSE)</f>
        <v>Sat</v>
      </c>
      <c r="D148" s="7">
        <v>0.29166666666666669</v>
      </c>
      <c r="E148" s="8" t="s">
        <v>65</v>
      </c>
      <c r="F148" s="8">
        <v>3</v>
      </c>
      <c r="G148" s="8" t="s">
        <v>263</v>
      </c>
      <c r="H148" s="19">
        <v>49.1</v>
      </c>
      <c r="I148" s="19">
        <v>49.5</v>
      </c>
      <c r="J148" s="19">
        <v>49.4</v>
      </c>
      <c r="K148" s="14" t="s">
        <v>264</v>
      </c>
    </row>
    <row r="149" spans="1:11" x14ac:dyDescent="0.2">
      <c r="C149" t="s">
        <v>265</v>
      </c>
      <c r="H149"/>
      <c r="J149" s="1"/>
      <c r="K149" s="25"/>
    </row>
    <row r="150" spans="1:11" ht="105" x14ac:dyDescent="0.2">
      <c r="A150" s="684" t="s">
        <v>105</v>
      </c>
      <c r="B150" s="5">
        <v>45538</v>
      </c>
      <c r="C150" s="6" t="str">
        <f>VLOOKUP(WEEKDAY(B150,2),'EC-Commands'!$D$11:$E$19,2,FALSE)</f>
        <v>Tue</v>
      </c>
      <c r="D150" s="7">
        <v>0.5</v>
      </c>
      <c r="E150" s="8" t="s">
        <v>270</v>
      </c>
      <c r="F150" s="8">
        <v>2</v>
      </c>
      <c r="G150" s="8" t="s">
        <v>271</v>
      </c>
      <c r="H150" s="73"/>
      <c r="I150" s="73">
        <v>1E-3</v>
      </c>
      <c r="J150" s="73">
        <f>-0.2%</f>
        <v>-2E-3</v>
      </c>
      <c r="K150" s="14" t="s">
        <v>272</v>
      </c>
    </row>
    <row r="151" spans="1:11" ht="66" x14ac:dyDescent="0.2">
      <c r="B151" s="5">
        <v>45538</v>
      </c>
      <c r="C151" s="6" t="str">
        <f>VLOOKUP(WEEKDAY(B151,2),'EC-Commands'!$D$11:$E$19,2,FALSE)</f>
        <v>Tue</v>
      </c>
      <c r="D151" s="7">
        <v>0.80208333333333337</v>
      </c>
      <c r="E151" s="8" t="s">
        <v>1</v>
      </c>
      <c r="F151" s="8">
        <v>3</v>
      </c>
      <c r="G151" s="8" t="s">
        <v>263</v>
      </c>
      <c r="H151" s="73"/>
      <c r="I151" s="19">
        <v>48.1</v>
      </c>
      <c r="J151" s="19">
        <v>48</v>
      </c>
      <c r="K151" s="14" t="s">
        <v>273</v>
      </c>
    </row>
    <row r="152" spans="1:11" ht="66" x14ac:dyDescent="0.2">
      <c r="B152" s="5">
        <v>45538</v>
      </c>
      <c r="C152" s="6" t="str">
        <f>VLOOKUP(WEEKDAY(B152,2),'EC-Commands'!$D$11:$E$19,2,FALSE)</f>
        <v>Tue</v>
      </c>
      <c r="D152" s="7">
        <v>0.8125</v>
      </c>
      <c r="E152" s="8" t="s">
        <v>1</v>
      </c>
      <c r="F152" s="8">
        <v>3</v>
      </c>
      <c r="G152" s="8" t="s">
        <v>274</v>
      </c>
      <c r="H152" s="73"/>
      <c r="I152" s="19">
        <v>47.5</v>
      </c>
      <c r="J152" s="19">
        <v>46.8</v>
      </c>
      <c r="K152" s="14" t="s">
        <v>273</v>
      </c>
    </row>
    <row r="153" spans="1:11" ht="66" x14ac:dyDescent="0.2">
      <c r="B153" s="5">
        <v>45538</v>
      </c>
      <c r="C153" s="6" t="str">
        <f>VLOOKUP(WEEKDAY(B153,2),'EC-Commands'!$D$11:$E$19,2,FALSE)</f>
        <v>Tue</v>
      </c>
      <c r="D153" s="7">
        <f>D152</f>
        <v>0.8125</v>
      </c>
      <c r="E153" s="8" t="s">
        <v>1</v>
      </c>
      <c r="F153" s="8">
        <v>3</v>
      </c>
      <c r="G153" s="8" t="s">
        <v>275</v>
      </c>
      <c r="H153" s="73"/>
      <c r="I153" s="19">
        <v>52.5</v>
      </c>
      <c r="J153" s="19">
        <v>52.9</v>
      </c>
      <c r="K153" s="14" t="s">
        <v>273</v>
      </c>
    </row>
    <row r="154" spans="1:11" ht="144" x14ac:dyDescent="0.2">
      <c r="B154" s="5">
        <f>B153+1</f>
        <v>45539</v>
      </c>
      <c r="C154" s="6" t="str">
        <f>VLOOKUP(WEEKDAY(B154,2),'EC-Commands'!$D$11:$E$19,2,FALSE)</f>
        <v>Wed</v>
      </c>
      <c r="D154" s="7">
        <v>0.80208333333333337</v>
      </c>
      <c r="E154" s="8" t="s">
        <v>89</v>
      </c>
      <c r="F154" s="8">
        <v>3</v>
      </c>
      <c r="G154" s="8" t="s">
        <v>90</v>
      </c>
      <c r="H154" s="73"/>
      <c r="I154" s="73">
        <v>4.2500000000000003E-2</v>
      </c>
      <c r="J154" s="73">
        <v>4.4999999999999998E-2</v>
      </c>
      <c r="K154" s="14" t="s">
        <v>276</v>
      </c>
    </row>
    <row r="155" spans="1:11" ht="66" x14ac:dyDescent="0.2">
      <c r="B155" s="5">
        <f>B154</f>
        <v>45539</v>
      </c>
      <c r="C155" s="6" t="str">
        <f>VLOOKUP(WEEKDAY(B155,2),'EC-Commands'!$D$11:$E$19,2,FALSE)</f>
        <v>Wed</v>
      </c>
      <c r="D155" s="7">
        <v>0.83333333333333337</v>
      </c>
      <c r="E155" s="8" t="s">
        <v>1</v>
      </c>
      <c r="F155" s="8">
        <v>3</v>
      </c>
      <c r="G155" s="8" t="s">
        <v>277</v>
      </c>
      <c r="H155" s="73"/>
      <c r="I155" s="76" t="s">
        <v>278</v>
      </c>
      <c r="J155" s="76" t="s">
        <v>279</v>
      </c>
      <c r="K155" s="14" t="s">
        <v>273</v>
      </c>
    </row>
    <row r="156" spans="1:11" ht="66" x14ac:dyDescent="0.2">
      <c r="B156" s="5">
        <f>B155+1</f>
        <v>45540</v>
      </c>
      <c r="C156" s="6" t="str">
        <f>VLOOKUP(WEEKDAY(B156,2),'EC-Commands'!$D$11:$E$19,2,FALSE)</f>
        <v>Thu</v>
      </c>
      <c r="D156" s="7">
        <v>0.73958333333333337</v>
      </c>
      <c r="E156" s="8" t="s">
        <v>1</v>
      </c>
      <c r="F156" s="8">
        <v>3</v>
      </c>
      <c r="G156" s="8" t="s">
        <v>280</v>
      </c>
      <c r="H156" s="73"/>
      <c r="I156" s="19" t="s">
        <v>281</v>
      </c>
      <c r="J156" s="19" t="s">
        <v>282</v>
      </c>
      <c r="K156" s="14" t="s">
        <v>273</v>
      </c>
    </row>
    <row r="157" spans="1:11" ht="66" x14ac:dyDescent="0.2">
      <c r="B157" s="5">
        <f>B156</f>
        <v>45540</v>
      </c>
      <c r="C157" s="6" t="str">
        <f>VLOOKUP(WEEKDAY(B157,2),'EC-Commands'!$D$11:$E$19,2,FALSE)</f>
        <v>Thu</v>
      </c>
      <c r="D157" s="7">
        <v>0.75</v>
      </c>
      <c r="E157" s="8" t="s">
        <v>1</v>
      </c>
      <c r="F157" s="8">
        <v>3</v>
      </c>
      <c r="G157" s="8" t="s">
        <v>14</v>
      </c>
      <c r="H157" s="73"/>
      <c r="I157" s="19"/>
      <c r="J157" s="19" t="s">
        <v>268</v>
      </c>
      <c r="K157" s="14" t="s">
        <v>283</v>
      </c>
    </row>
    <row r="158" spans="1:11" ht="66" x14ac:dyDescent="0.2">
      <c r="B158" s="5">
        <f>B157</f>
        <v>45540</v>
      </c>
      <c r="C158" s="6" t="str">
        <f>VLOOKUP(WEEKDAY(B158,2),'EC-Commands'!$D$11:$E$19,2,FALSE)</f>
        <v>Thu</v>
      </c>
      <c r="D158" s="7">
        <v>0.80208333333333337</v>
      </c>
      <c r="E158" s="8" t="s">
        <v>1</v>
      </c>
      <c r="F158" s="8">
        <v>3</v>
      </c>
      <c r="G158" s="8" t="s">
        <v>284</v>
      </c>
      <c r="H158" s="73"/>
      <c r="I158" s="19">
        <v>55.2</v>
      </c>
      <c r="J158" s="19">
        <v>55.2</v>
      </c>
      <c r="K158" s="14" t="s">
        <v>273</v>
      </c>
    </row>
    <row r="159" spans="1:11" ht="66" x14ac:dyDescent="0.2">
      <c r="B159" s="5">
        <f>B158</f>
        <v>45540</v>
      </c>
      <c r="C159" s="6" t="str">
        <f>VLOOKUP(WEEKDAY(B159,2),'EC-Commands'!$D$11:$E$19,2,FALSE)</f>
        <v>Thu</v>
      </c>
      <c r="D159" s="7">
        <v>0.8125</v>
      </c>
      <c r="E159" s="8" t="s">
        <v>1</v>
      </c>
      <c r="F159" s="8">
        <v>3</v>
      </c>
      <c r="G159" s="8" t="s">
        <v>285</v>
      </c>
      <c r="H159" s="9"/>
      <c r="I159" s="19">
        <v>50.9</v>
      </c>
      <c r="J159" s="19">
        <v>51.4</v>
      </c>
      <c r="K159" s="14" t="s">
        <v>273</v>
      </c>
    </row>
    <row r="160" spans="1:11" ht="66" x14ac:dyDescent="0.2">
      <c r="B160" s="5">
        <f>B159</f>
        <v>45540</v>
      </c>
      <c r="C160" s="6" t="str">
        <f>VLOOKUP(WEEKDAY(B160,2),'EC-Commands'!$D$11:$E$19,2,FALSE)</f>
        <v>Thu</v>
      </c>
      <c r="D160" s="7">
        <v>0.8125</v>
      </c>
      <c r="E160" s="8" t="s">
        <v>1</v>
      </c>
      <c r="F160" s="8">
        <v>3</v>
      </c>
      <c r="G160" s="8" t="s">
        <v>286</v>
      </c>
      <c r="H160" s="9"/>
      <c r="I160" s="19"/>
      <c r="J160" s="19">
        <v>57</v>
      </c>
      <c r="K160" s="14" t="s">
        <v>273</v>
      </c>
    </row>
    <row r="161" spans="1:11" ht="79" x14ac:dyDescent="0.2">
      <c r="B161" s="5">
        <f>B160</f>
        <v>45540</v>
      </c>
      <c r="C161" s="6" t="str">
        <f>VLOOKUP(WEEKDAY(B161,2),'EC-Commands'!$D$11:$E$19,2,FALSE)</f>
        <v>Thu</v>
      </c>
      <c r="D161" s="7">
        <v>0.85416666666666663</v>
      </c>
      <c r="E161" s="8" t="s">
        <v>1</v>
      </c>
      <c r="F161" s="8">
        <v>3</v>
      </c>
      <c r="G161" s="8" t="s">
        <v>287</v>
      </c>
      <c r="H161" s="9"/>
      <c r="I161" s="19"/>
      <c r="J161" s="76" t="s">
        <v>267</v>
      </c>
      <c r="K161" s="14" t="s">
        <v>288</v>
      </c>
    </row>
    <row r="162" spans="1:11" ht="66" x14ac:dyDescent="0.2">
      <c r="B162" s="5">
        <f>B161+1</f>
        <v>45541</v>
      </c>
      <c r="C162" s="6" t="str">
        <f>VLOOKUP(WEEKDAY(B162,2),'EC-Commands'!$D$11:$E$19,2,FALSE)</f>
        <v>Fri</v>
      </c>
      <c r="D162" s="7">
        <v>0.75</v>
      </c>
      <c r="E162" s="8" t="s">
        <v>1</v>
      </c>
      <c r="F162" s="8">
        <v>3</v>
      </c>
      <c r="G162" s="8" t="s">
        <v>289</v>
      </c>
      <c r="H162" s="9"/>
      <c r="I162" s="22"/>
      <c r="J162" s="73">
        <v>2E-3</v>
      </c>
      <c r="K162" s="14" t="s">
        <v>290</v>
      </c>
    </row>
    <row r="163" spans="1:11" ht="144" x14ac:dyDescent="0.2">
      <c r="B163" s="5">
        <v>45541</v>
      </c>
      <c r="C163" s="6" t="str">
        <f>VLOOKUP(WEEKDAY(B163,2),'EC-Commands'!$D$11:$E$19,2,FALSE)</f>
        <v>Fri</v>
      </c>
      <c r="D163" s="7">
        <v>0.75</v>
      </c>
      <c r="E163" s="8" t="s">
        <v>1</v>
      </c>
      <c r="F163" s="8">
        <v>3</v>
      </c>
      <c r="G163" s="8" t="s">
        <v>291</v>
      </c>
      <c r="H163" s="9"/>
      <c r="I163" s="22" t="s">
        <v>292</v>
      </c>
      <c r="J163" s="19" t="s">
        <v>293</v>
      </c>
      <c r="K163" s="14" t="s">
        <v>294</v>
      </c>
    </row>
    <row r="164" spans="1:11" ht="27" x14ac:dyDescent="0.2">
      <c r="B164" s="5">
        <f>B163</f>
        <v>45541</v>
      </c>
      <c r="C164" s="6" t="str">
        <f>VLOOKUP(WEEKDAY(B164,2),'EC-Commands'!$D$11:$E$19,2,FALSE)</f>
        <v>Fri</v>
      </c>
      <c r="D164" s="7">
        <v>0.75</v>
      </c>
      <c r="E164" s="8" t="s">
        <v>1</v>
      </c>
      <c r="F164" s="8">
        <v>3</v>
      </c>
      <c r="G164" s="8" t="s">
        <v>2</v>
      </c>
      <c r="H164" s="9"/>
      <c r="I164" s="22">
        <v>4.2000000000000003E-2</v>
      </c>
      <c r="J164" s="73">
        <v>4.2999999999999997E-2</v>
      </c>
      <c r="K164" s="14" t="s">
        <v>295</v>
      </c>
    </row>
    <row r="165" spans="1:11" ht="27" x14ac:dyDescent="0.2">
      <c r="B165" s="5">
        <f>B164+5</f>
        <v>45546</v>
      </c>
      <c r="C165" s="6" t="str">
        <f>VLOOKUP(WEEKDAY(B165,2),'EC-Commands'!$D$11:$E$19,2,FALSE)</f>
        <v>Wed</v>
      </c>
      <c r="D165" s="7">
        <v>0.75</v>
      </c>
      <c r="E165" s="8" t="s">
        <v>1</v>
      </c>
      <c r="F165" s="8">
        <v>3</v>
      </c>
      <c r="G165" s="8" t="s">
        <v>296</v>
      </c>
      <c r="H165" s="9"/>
      <c r="I165" s="22"/>
      <c r="J165" s="19">
        <v>49.4</v>
      </c>
      <c r="K165" s="14" t="s">
        <v>297</v>
      </c>
    </row>
    <row r="166" spans="1:11" ht="27" x14ac:dyDescent="0.2">
      <c r="B166" s="5">
        <v>45553</v>
      </c>
      <c r="C166" s="6" t="str">
        <f>VLOOKUP(WEEKDAY(B166,2),'EC-Commands'!$D$11:$E$17,2,FALSE)</f>
        <v>Wed</v>
      </c>
      <c r="D166" s="7">
        <v>0.97916666666666663</v>
      </c>
      <c r="E166" s="8" t="s">
        <v>298</v>
      </c>
      <c r="F166" s="8">
        <v>3</v>
      </c>
      <c r="G166" s="8" t="s">
        <v>127</v>
      </c>
      <c r="H166" s="9"/>
      <c r="I166" s="22"/>
      <c r="J166" s="22">
        <v>5.5E-2</v>
      </c>
      <c r="K166" s="14" t="s">
        <v>299</v>
      </c>
    </row>
    <row r="167" spans="1:11" x14ac:dyDescent="0.2">
      <c r="C167" t="s">
        <v>300</v>
      </c>
      <c r="H167"/>
      <c r="J167" s="1"/>
      <c r="K167" s="25"/>
    </row>
    <row r="168" spans="1:11" ht="53" x14ac:dyDescent="0.2">
      <c r="A168" s="684" t="s">
        <v>105</v>
      </c>
      <c r="B168" s="5">
        <v>45545</v>
      </c>
      <c r="C168" s="6" t="str">
        <f>VLOOKUP(WEEKDAY(B168,2),'EC-Commands'!$D$11:$E$19,2,FALSE)</f>
        <v>Tue</v>
      </c>
      <c r="D168" s="7">
        <v>0.47916666666666669</v>
      </c>
      <c r="E168" s="8" t="s">
        <v>22</v>
      </c>
      <c r="F168" s="8">
        <v>3</v>
      </c>
      <c r="G168" s="8" t="s">
        <v>301</v>
      </c>
      <c r="H168" s="73">
        <f>-0.1%</f>
        <v>-1E-3</v>
      </c>
      <c r="I168" s="73">
        <f>-0.1%</f>
        <v>-1E-3</v>
      </c>
      <c r="J168" s="73">
        <v>3.0000000000000001E-3</v>
      </c>
      <c r="K168" s="14" t="s">
        <v>302</v>
      </c>
    </row>
    <row r="169" spans="1:11" ht="144" x14ac:dyDescent="0.2">
      <c r="B169" s="5">
        <v>45545</v>
      </c>
      <c r="C169" s="6" t="str">
        <f>VLOOKUP(WEEKDAY(B169,2),'EC-Commands'!$D$11:$E$19,2,FALSE)</f>
        <v>Tue</v>
      </c>
      <c r="D169" s="7">
        <v>0.6875</v>
      </c>
      <c r="E169" s="8" t="s">
        <v>1</v>
      </c>
      <c r="F169" s="8">
        <v>2</v>
      </c>
      <c r="G169" s="8" t="s">
        <v>303</v>
      </c>
      <c r="H169" s="73"/>
      <c r="I169" s="73"/>
      <c r="J169" s="73"/>
      <c r="K169" s="14" t="s">
        <v>304</v>
      </c>
    </row>
    <row r="170" spans="1:11" ht="40" x14ac:dyDescent="0.2">
      <c r="B170" s="5">
        <f>B171</f>
        <v>45546</v>
      </c>
      <c r="C170" s="6" t="str">
        <f>VLOOKUP(WEEKDAY(B170,2),'EC-Commands'!$D$11:$E$19,2,FALSE)</f>
        <v>Wed</v>
      </c>
      <c r="D170" s="7">
        <v>0.27083333333333331</v>
      </c>
      <c r="E170" s="8" t="s">
        <v>1</v>
      </c>
      <c r="F170" s="8">
        <v>3</v>
      </c>
      <c r="G170" s="77" t="s">
        <v>305</v>
      </c>
      <c r="H170" s="73"/>
      <c r="I170" s="73"/>
      <c r="J170" s="73"/>
      <c r="K170" s="14" t="s">
        <v>306</v>
      </c>
    </row>
    <row r="171" spans="1:11" ht="53" x14ac:dyDescent="0.2">
      <c r="B171" s="5">
        <f>B168+1</f>
        <v>45546</v>
      </c>
      <c r="C171" s="6" t="str">
        <f>VLOOKUP(WEEKDAY(B171,2),'EC-Commands'!$D$11:$E$19,2,FALSE)</f>
        <v>Wed</v>
      </c>
      <c r="D171" s="7">
        <v>0.47916666666666669</v>
      </c>
      <c r="E171" s="8" t="s">
        <v>53</v>
      </c>
      <c r="F171" s="8">
        <v>3</v>
      </c>
      <c r="G171" s="8" t="s">
        <v>307</v>
      </c>
      <c r="H171" s="73">
        <v>0</v>
      </c>
      <c r="I171" s="73">
        <v>2E-3</v>
      </c>
      <c r="J171" s="73">
        <v>0</v>
      </c>
      <c r="K171" s="14" t="s">
        <v>308</v>
      </c>
    </row>
    <row r="172" spans="1:11" ht="118" x14ac:dyDescent="0.2">
      <c r="B172" s="5">
        <f>B171</f>
        <v>45546</v>
      </c>
      <c r="C172" s="6" t="str">
        <f>VLOOKUP(WEEKDAY(B172,2),'EC-Commands'!$D$11:$E$19,2,FALSE)</f>
        <v>Wed</v>
      </c>
      <c r="D172" s="7">
        <v>0.75</v>
      </c>
      <c r="E172" s="8" t="s">
        <v>1</v>
      </c>
      <c r="F172" s="8">
        <v>3</v>
      </c>
      <c r="G172" s="8" t="s">
        <v>309</v>
      </c>
      <c r="H172" s="73">
        <v>3.0000000000000001E-3</v>
      </c>
      <c r="I172" s="73">
        <v>2E-3</v>
      </c>
      <c r="J172" s="73">
        <v>2E-3</v>
      </c>
      <c r="K172" s="14" t="s">
        <v>310</v>
      </c>
    </row>
    <row r="173" spans="1:11" ht="118" x14ac:dyDescent="0.2">
      <c r="B173" s="5">
        <f>B172</f>
        <v>45546</v>
      </c>
      <c r="C173" s="6" t="str">
        <f>VLOOKUP(WEEKDAY(B173,2),'EC-Commands'!$D$11:$E$19,2,FALSE)</f>
        <v>Wed</v>
      </c>
      <c r="D173" s="7">
        <v>0.75</v>
      </c>
      <c r="E173" s="8" t="s">
        <v>1</v>
      </c>
      <c r="F173" s="8">
        <v>3</v>
      </c>
      <c r="G173" s="8" t="s">
        <v>311</v>
      </c>
      <c r="H173" s="73">
        <v>2.5000000000000001E-2</v>
      </c>
      <c r="I173" s="73">
        <v>2.5999999999999999E-2</v>
      </c>
      <c r="J173" s="73">
        <v>2.9000000000000001E-2</v>
      </c>
      <c r="K173" s="14" t="s">
        <v>310</v>
      </c>
    </row>
    <row r="174" spans="1:11" ht="118" x14ac:dyDescent="0.2">
      <c r="B174" s="5">
        <f>B173</f>
        <v>45546</v>
      </c>
      <c r="C174" s="6" t="str">
        <f>VLOOKUP(WEEKDAY(B174,2),'EC-Commands'!$D$11:$E$19,2,FALSE)</f>
        <v>Wed</v>
      </c>
      <c r="D174" s="7">
        <v>0.75</v>
      </c>
      <c r="E174" s="8" t="s">
        <v>1</v>
      </c>
      <c r="F174" s="8">
        <v>3</v>
      </c>
      <c r="G174" s="8" t="s">
        <v>271</v>
      </c>
      <c r="H174" s="73">
        <v>2E-3</v>
      </c>
      <c r="I174" s="73">
        <v>2E-3</v>
      </c>
      <c r="J174" s="73">
        <v>2E-3</v>
      </c>
      <c r="K174" s="14" t="s">
        <v>310</v>
      </c>
    </row>
    <row r="175" spans="1:11" ht="79" x14ac:dyDescent="0.2">
      <c r="B175" s="5">
        <f>B174</f>
        <v>45546</v>
      </c>
      <c r="C175" s="6" t="str">
        <f>VLOOKUP(WEEKDAY(B175,2),'EC-Commands'!$D$11:$E$19,2,FALSE)</f>
        <v>Wed</v>
      </c>
      <c r="D175" s="7">
        <v>0.83333333333333337</v>
      </c>
      <c r="E175" s="8" t="s">
        <v>1</v>
      </c>
      <c r="F175" s="8">
        <v>3</v>
      </c>
      <c r="G175" s="8" t="s">
        <v>9</v>
      </c>
      <c r="H175" s="78" t="s">
        <v>328</v>
      </c>
      <c r="I175" s="78" t="s">
        <v>329</v>
      </c>
      <c r="J175" s="78" t="s">
        <v>312</v>
      </c>
      <c r="K175" s="14" t="s">
        <v>313</v>
      </c>
    </row>
    <row r="176" spans="1:11" ht="118" x14ac:dyDescent="0.2">
      <c r="B176" s="5">
        <f>B175</f>
        <v>45546</v>
      </c>
      <c r="C176" s="6" t="str">
        <f>VLOOKUP(WEEKDAY(B176,2),'EC-Commands'!$D$11:$E$19,2,FALSE)</f>
        <v>Wed</v>
      </c>
      <c r="D176" s="7">
        <v>0.9375</v>
      </c>
      <c r="E176" s="8" t="s">
        <v>1</v>
      </c>
      <c r="F176" s="8">
        <v>3</v>
      </c>
      <c r="G176" s="8" t="s">
        <v>52</v>
      </c>
      <c r="H176" s="73">
        <v>3.6479999999999999E-2</v>
      </c>
      <c r="I176" s="73"/>
      <c r="J176" s="78">
        <v>3.9600000000000003E-2</v>
      </c>
      <c r="K176" s="14" t="s">
        <v>314</v>
      </c>
    </row>
    <row r="177" spans="2:11" ht="53" x14ac:dyDescent="0.2">
      <c r="B177" s="5">
        <f>B171+1</f>
        <v>45547</v>
      </c>
      <c r="C177" s="6" t="str">
        <f>VLOOKUP(WEEKDAY(B177,2),'EC-Commands'!$D$11:$E$19,2,FALSE)</f>
        <v>Thu</v>
      </c>
      <c r="D177" s="7">
        <v>0.22222222222222221</v>
      </c>
      <c r="E177" s="8" t="s">
        <v>117</v>
      </c>
      <c r="F177" s="8">
        <v>1</v>
      </c>
      <c r="G177" s="8" t="s">
        <v>315</v>
      </c>
      <c r="H177" s="73">
        <v>-2E-3</v>
      </c>
      <c r="I177" s="73">
        <v>0</v>
      </c>
      <c r="J177" s="73">
        <v>3.0000000000000001E-3</v>
      </c>
      <c r="K177" s="14" t="s">
        <v>316</v>
      </c>
    </row>
    <row r="178" spans="2:11" ht="53" x14ac:dyDescent="0.2">
      <c r="B178" s="5">
        <f>B177</f>
        <v>45547</v>
      </c>
      <c r="C178" s="6" t="str">
        <f>VLOOKUP(WEEKDAY(B178,2),'EC-Commands'!$D$11:$E$19,2,FALSE)</f>
        <v>Thu</v>
      </c>
      <c r="D178" s="7">
        <v>0.22222222222222221</v>
      </c>
      <c r="E178" s="8" t="s">
        <v>117</v>
      </c>
      <c r="F178" s="8">
        <v>1</v>
      </c>
      <c r="G178" s="8" t="s">
        <v>317</v>
      </c>
      <c r="H178" s="73">
        <v>2.5000000000000001E-2</v>
      </c>
      <c r="I178" s="73">
        <v>2.8000000000000001E-2</v>
      </c>
      <c r="J178" s="73">
        <v>0.03</v>
      </c>
      <c r="K178" s="14" t="s">
        <v>316</v>
      </c>
    </row>
    <row r="179" spans="2:11" ht="105" x14ac:dyDescent="0.2">
      <c r="B179" s="5">
        <f>B176+1</f>
        <v>45547</v>
      </c>
      <c r="C179" s="6" t="str">
        <f>VLOOKUP(WEEKDAY(B179,2),'EC-Commands'!$D$11:$E$19,2,FALSE)</f>
        <v>Thu</v>
      </c>
      <c r="D179" s="7">
        <v>0.73958333333333337</v>
      </c>
      <c r="E179" s="8" t="s">
        <v>22</v>
      </c>
      <c r="F179" s="8">
        <v>3</v>
      </c>
      <c r="G179" s="8" t="s">
        <v>318</v>
      </c>
      <c r="H179" s="73">
        <v>3.5000000000000003E-2</v>
      </c>
      <c r="I179" s="73">
        <v>3.5000000000000003E-2</v>
      </c>
      <c r="J179" s="78">
        <v>3.7499999999999999E-2</v>
      </c>
      <c r="K179" s="14" t="s">
        <v>319</v>
      </c>
    </row>
    <row r="180" spans="2:11" ht="105" x14ac:dyDescent="0.2">
      <c r="B180" s="5">
        <f>B179</f>
        <v>45547</v>
      </c>
      <c r="C180" s="6" t="str">
        <f>VLOOKUP(WEEKDAY(B180,2),'EC-Commands'!$D$11:$E$19,2,FALSE)</f>
        <v>Thu</v>
      </c>
      <c r="D180" s="7">
        <v>0.73958333333333337</v>
      </c>
      <c r="E180" s="8" t="s">
        <v>22</v>
      </c>
      <c r="F180" s="8">
        <v>3</v>
      </c>
      <c r="G180" s="8" t="s">
        <v>320</v>
      </c>
      <c r="H180" s="73">
        <v>3.6499999999999998E-2</v>
      </c>
      <c r="I180" s="73">
        <v>3.6499999999999998E-2</v>
      </c>
      <c r="J180" s="78">
        <v>4.2500000000000003E-2</v>
      </c>
      <c r="K180" s="14" t="s">
        <v>319</v>
      </c>
    </row>
    <row r="181" spans="2:11" ht="53" x14ac:dyDescent="0.2">
      <c r="B181" s="5">
        <f>B180</f>
        <v>45547</v>
      </c>
      <c r="C181" s="6" t="str">
        <f>VLOOKUP(WEEKDAY(B181,2),'EC-Commands'!$D$11:$E$19,2,FALSE)</f>
        <v>Thu</v>
      </c>
      <c r="D181" s="7">
        <v>0.75</v>
      </c>
      <c r="E181" s="8" t="s">
        <v>1</v>
      </c>
      <c r="F181" s="8">
        <v>3</v>
      </c>
      <c r="G181" s="8" t="s">
        <v>14</v>
      </c>
      <c r="H181" s="78" t="s">
        <v>330</v>
      </c>
      <c r="I181" s="73" t="s">
        <v>321</v>
      </c>
      <c r="J181" s="78" t="s">
        <v>209</v>
      </c>
      <c r="K181" s="14" t="s">
        <v>322</v>
      </c>
    </row>
    <row r="182" spans="2:11" ht="53" x14ac:dyDescent="0.2">
      <c r="B182" s="5">
        <f>B181</f>
        <v>45547</v>
      </c>
      <c r="C182" s="6" t="str">
        <f>VLOOKUP(WEEKDAY(B182,2),'EC-Commands'!$D$11:$E$19,2,FALSE)</f>
        <v>Thu</v>
      </c>
      <c r="D182" s="7">
        <v>0.75</v>
      </c>
      <c r="E182" s="8" t="s">
        <v>1</v>
      </c>
      <c r="F182" s="8">
        <v>3</v>
      </c>
      <c r="G182" s="8" t="s">
        <v>315</v>
      </c>
      <c r="H182" s="73">
        <v>2E-3</v>
      </c>
      <c r="I182" s="73">
        <v>1E-3</v>
      </c>
      <c r="J182" s="73">
        <v>1E-3</v>
      </c>
      <c r="K182" s="14" t="s">
        <v>323</v>
      </c>
    </row>
    <row r="183" spans="2:11" ht="105" x14ac:dyDescent="0.2">
      <c r="B183" s="5">
        <f>B182</f>
        <v>45547</v>
      </c>
      <c r="C183" s="6" t="str">
        <f>VLOOKUP(WEEKDAY(B183,2),'EC-Commands'!$D$11:$E$19,2,FALSE)</f>
        <v>Thu</v>
      </c>
      <c r="D183" s="7">
        <v>0.76041666666666663</v>
      </c>
      <c r="E183" s="8" t="s">
        <v>22</v>
      </c>
      <c r="F183" s="8">
        <v>3</v>
      </c>
      <c r="G183" s="8" t="s">
        <v>74</v>
      </c>
      <c r="H183" s="73"/>
      <c r="I183" s="73"/>
      <c r="J183" s="73"/>
      <c r="K183" s="14" t="s">
        <v>319</v>
      </c>
    </row>
    <row r="184" spans="2:11" ht="118" x14ac:dyDescent="0.2">
      <c r="B184" s="5">
        <f>B179</f>
        <v>45547</v>
      </c>
      <c r="C184" s="6" t="str">
        <f>VLOOKUP(WEEKDAY(B184,2),'EC-Commands'!$D$11:$E$19,2,FALSE)</f>
        <v>Thu</v>
      </c>
      <c r="D184" s="7">
        <v>0.9375</v>
      </c>
      <c r="E184" s="8" t="s">
        <v>1</v>
      </c>
      <c r="F184" s="8">
        <v>3</v>
      </c>
      <c r="G184" s="8" t="s">
        <v>174</v>
      </c>
      <c r="H184" s="79">
        <v>4.0149999999999998E-2</v>
      </c>
      <c r="I184" s="73"/>
      <c r="J184" s="80">
        <v>4.3139999999999998E-2</v>
      </c>
      <c r="K184" s="14" t="s">
        <v>324</v>
      </c>
    </row>
    <row r="185" spans="2:11" ht="53" x14ac:dyDescent="0.2">
      <c r="B185" s="5">
        <f>B184+1</f>
        <v>45548</v>
      </c>
      <c r="C185" s="6" t="str">
        <f>VLOOKUP(WEEKDAY(B185,2),'EC-Commands'!$D$11:$E$19,2,FALSE)</f>
        <v>Fri</v>
      </c>
      <c r="D185" s="7">
        <v>0.41666666666666669</v>
      </c>
      <c r="E185" s="8" t="s">
        <v>117</v>
      </c>
      <c r="F185" s="8">
        <v>2</v>
      </c>
      <c r="G185" s="8" t="s">
        <v>325</v>
      </c>
      <c r="H185" s="73">
        <v>3.1E-2</v>
      </c>
      <c r="I185" s="73">
        <v>2.8000000000000001E-2</v>
      </c>
      <c r="J185" s="80">
        <v>-4.2000000000000003E-2</v>
      </c>
      <c r="K185" s="14" t="s">
        <v>316</v>
      </c>
    </row>
    <row r="186" spans="2:11" ht="53" x14ac:dyDescent="0.2">
      <c r="B186" s="5">
        <f>B185</f>
        <v>45548</v>
      </c>
      <c r="C186" s="6" t="str">
        <f>VLOOKUP(WEEKDAY(B186,2),'EC-Commands'!$D$11:$E$19,2,FALSE)</f>
        <v>Fri</v>
      </c>
      <c r="D186" s="7">
        <v>0.60416666666666663</v>
      </c>
      <c r="E186" s="8" t="s">
        <v>22</v>
      </c>
      <c r="F186" s="8">
        <v>2</v>
      </c>
      <c r="G186" s="8" t="s">
        <v>325</v>
      </c>
      <c r="H186" s="73">
        <v>-3.0000000000000001E-3</v>
      </c>
      <c r="I186" s="73">
        <v>-3.0000000000000001E-3</v>
      </c>
      <c r="J186" s="80">
        <v>-1E-3</v>
      </c>
      <c r="K186" s="14" t="s">
        <v>302</v>
      </c>
    </row>
    <row r="187" spans="2:11" ht="53" x14ac:dyDescent="0.2">
      <c r="B187" s="5">
        <f>B186</f>
        <v>45548</v>
      </c>
      <c r="C187" s="6" t="str">
        <f>VLOOKUP(WEEKDAY(B187,2),'EC-Commands'!$D$11:$E$19,2,FALSE)</f>
        <v>Fri</v>
      </c>
      <c r="D187" s="7">
        <v>0.8125</v>
      </c>
      <c r="E187" s="8" t="s">
        <v>1</v>
      </c>
      <c r="F187" s="8">
        <v>2</v>
      </c>
      <c r="G187" s="8" t="s">
        <v>326</v>
      </c>
      <c r="H187" s="73">
        <v>0.69</v>
      </c>
      <c r="I187" s="74">
        <v>68.400000000000006</v>
      </c>
      <c r="J187" s="74">
        <v>67.900000000000006</v>
      </c>
      <c r="K187" s="14" t="s">
        <v>327</v>
      </c>
    </row>
    <row r="188" spans="2:11" ht="27" x14ac:dyDescent="0.2">
      <c r="B188" s="5">
        <v>45553</v>
      </c>
      <c r="C188" s="6" t="str">
        <f>VLOOKUP(WEEKDAY(B188,2),'EC-Commands'!$D$11:$E$17,2,FALSE)</f>
        <v>Wed</v>
      </c>
      <c r="D188" s="7">
        <v>0.97916666666666663</v>
      </c>
      <c r="E188" s="8" t="s">
        <v>298</v>
      </c>
      <c r="F188" s="8">
        <v>3</v>
      </c>
      <c r="G188" s="8" t="s">
        <v>127</v>
      </c>
      <c r="H188" s="9"/>
      <c r="I188" s="22"/>
      <c r="J188" s="22">
        <v>5.5E-2</v>
      </c>
      <c r="K188" s="14" t="s">
        <v>299</v>
      </c>
    </row>
    <row r="189" spans="2:11" ht="92" x14ac:dyDescent="0.2">
      <c r="B189" s="81">
        <v>45552</v>
      </c>
      <c r="C189" s="82" t="s">
        <v>42</v>
      </c>
      <c r="D189" s="83">
        <v>0.75</v>
      </c>
      <c r="E189" s="77" t="s">
        <v>1</v>
      </c>
      <c r="F189" s="77">
        <v>3</v>
      </c>
      <c r="G189" s="77" t="s">
        <v>331</v>
      </c>
      <c r="H189" s="84">
        <v>1E-3</v>
      </c>
      <c r="I189" s="84">
        <v>2E-3</v>
      </c>
      <c r="J189" s="84">
        <v>4.0000000000000001E-3</v>
      </c>
      <c r="K189" s="14" t="s">
        <v>332</v>
      </c>
    </row>
    <row r="190" spans="2:11" ht="92" x14ac:dyDescent="0.2">
      <c r="B190" s="81">
        <v>45552</v>
      </c>
      <c r="C190" s="82" t="s">
        <v>42</v>
      </c>
      <c r="D190" s="83">
        <v>0.75</v>
      </c>
      <c r="E190" s="77" t="s">
        <v>1</v>
      </c>
      <c r="F190" s="77">
        <v>3</v>
      </c>
      <c r="G190" s="77" t="s">
        <v>333</v>
      </c>
      <c r="H190" s="84">
        <v>1E-3</v>
      </c>
      <c r="I190" s="84">
        <v>-2E-3</v>
      </c>
      <c r="J190" s="84">
        <v>1.0999999999999999E-2</v>
      </c>
      <c r="K190" s="14" t="s">
        <v>332</v>
      </c>
    </row>
    <row r="191" spans="2:11" ht="92" x14ac:dyDescent="0.2">
      <c r="B191" s="81">
        <v>45552</v>
      </c>
      <c r="C191" s="82" t="s">
        <v>42</v>
      </c>
      <c r="D191" s="83">
        <v>0.75</v>
      </c>
      <c r="E191" s="77" t="s">
        <v>89</v>
      </c>
      <c r="F191" s="77">
        <v>2</v>
      </c>
      <c r="G191" s="77" t="s">
        <v>334</v>
      </c>
      <c r="H191" s="84">
        <v>1.4999999999999999E-2</v>
      </c>
      <c r="I191" s="84"/>
      <c r="J191" s="84">
        <v>1.7000000000000001E-2</v>
      </c>
      <c r="K191" s="14" t="s">
        <v>332</v>
      </c>
    </row>
    <row r="192" spans="2:11" ht="92" x14ac:dyDescent="0.2">
      <c r="B192" s="81">
        <v>45552</v>
      </c>
      <c r="C192" s="82" t="s">
        <v>42</v>
      </c>
      <c r="D192" s="83">
        <v>0.75</v>
      </c>
      <c r="E192" s="77" t="s">
        <v>89</v>
      </c>
      <c r="F192" s="77">
        <v>2</v>
      </c>
      <c r="G192" s="77" t="s">
        <v>309</v>
      </c>
      <c r="H192" s="84">
        <v>-1E-3</v>
      </c>
      <c r="I192" s="84"/>
      <c r="J192" s="84">
        <v>3.0000000000000001E-3</v>
      </c>
      <c r="K192" s="14" t="s">
        <v>332</v>
      </c>
    </row>
    <row r="193" spans="1:11" ht="92" x14ac:dyDescent="0.2">
      <c r="B193" s="81">
        <v>45552</v>
      </c>
      <c r="C193" s="82" t="s">
        <v>42</v>
      </c>
      <c r="D193" s="83">
        <v>0.75</v>
      </c>
      <c r="E193" s="77" t="s">
        <v>89</v>
      </c>
      <c r="F193" s="77">
        <v>2</v>
      </c>
      <c r="G193" s="77" t="s">
        <v>271</v>
      </c>
      <c r="H193" s="84">
        <v>-2E-3</v>
      </c>
      <c r="I193" s="84">
        <v>0</v>
      </c>
      <c r="J193" s="84">
        <v>4.0000000000000001E-3</v>
      </c>
      <c r="K193" s="14" t="s">
        <v>332</v>
      </c>
    </row>
    <row r="194" spans="1:11" ht="27" x14ac:dyDescent="0.2">
      <c r="B194" s="81">
        <v>45553</v>
      </c>
      <c r="C194" s="82" t="s">
        <v>41</v>
      </c>
      <c r="D194" s="83">
        <v>0.47916666666666669</v>
      </c>
      <c r="E194" s="77" t="s">
        <v>53</v>
      </c>
      <c r="F194" s="77">
        <v>3</v>
      </c>
      <c r="G194" s="77" t="s">
        <v>311</v>
      </c>
      <c r="H194" s="84">
        <v>2.1999999999999999E-2</v>
      </c>
      <c r="I194" s="84">
        <v>2.1999999999999999E-2</v>
      </c>
      <c r="J194" s="84">
        <v>2.1999999999999999E-2</v>
      </c>
      <c r="K194" s="14" t="s">
        <v>335</v>
      </c>
    </row>
    <row r="195" spans="1:11" ht="27" x14ac:dyDescent="0.2">
      <c r="B195" s="81">
        <v>45553</v>
      </c>
      <c r="C195" s="82" t="s">
        <v>41</v>
      </c>
      <c r="D195" s="83">
        <v>0.60416666666666663</v>
      </c>
      <c r="E195" s="77" t="s">
        <v>22</v>
      </c>
      <c r="F195" s="77">
        <v>3</v>
      </c>
      <c r="G195" s="77" t="s">
        <v>311</v>
      </c>
      <c r="H195" s="84">
        <v>2.1999999999999999E-2</v>
      </c>
      <c r="I195" s="84">
        <v>2.1999999999999999E-2</v>
      </c>
      <c r="J195" s="84">
        <v>2.5999999999999999E-2</v>
      </c>
      <c r="K195" s="14" t="s">
        <v>336</v>
      </c>
    </row>
    <row r="196" spans="1:11" ht="53" x14ac:dyDescent="0.2">
      <c r="B196" s="81">
        <v>45553</v>
      </c>
      <c r="C196" s="82" t="s">
        <v>41</v>
      </c>
      <c r="D196" s="83">
        <v>0.60416666666666663</v>
      </c>
      <c r="E196" s="77" t="s">
        <v>1</v>
      </c>
      <c r="F196" s="77">
        <v>3</v>
      </c>
      <c r="G196" s="77" t="s">
        <v>9</v>
      </c>
      <c r="H196" s="85" t="s">
        <v>337</v>
      </c>
      <c r="I196" s="85" t="s">
        <v>338</v>
      </c>
      <c r="J196" s="84" t="s">
        <v>339</v>
      </c>
      <c r="K196" s="14" t="s">
        <v>340</v>
      </c>
    </row>
    <row r="197" spans="1:11" ht="131" x14ac:dyDescent="0.2">
      <c r="B197" s="81">
        <v>45553</v>
      </c>
      <c r="C197" s="82" t="s">
        <v>41</v>
      </c>
      <c r="D197" s="83">
        <v>0.97916666666666663</v>
      </c>
      <c r="E197" s="77" t="s">
        <v>1</v>
      </c>
      <c r="F197" s="77">
        <v>3</v>
      </c>
      <c r="G197" s="77" t="s">
        <v>341</v>
      </c>
      <c r="H197" s="84"/>
      <c r="I197" s="84"/>
      <c r="J197" s="84"/>
      <c r="K197" s="14" t="s">
        <v>342</v>
      </c>
    </row>
    <row r="198" spans="1:11" ht="131" x14ac:dyDescent="0.2">
      <c r="B198" s="81">
        <v>45553</v>
      </c>
      <c r="C198" s="82" t="s">
        <v>41</v>
      </c>
      <c r="D198" s="83">
        <v>0.97916666666666663</v>
      </c>
      <c r="E198" s="77" t="s">
        <v>1</v>
      </c>
      <c r="F198" s="77">
        <v>3</v>
      </c>
      <c r="G198" s="77" t="s">
        <v>125</v>
      </c>
      <c r="H198" s="84"/>
      <c r="I198" s="84"/>
      <c r="J198" s="84"/>
      <c r="K198" s="14" t="s">
        <v>342</v>
      </c>
    </row>
    <row r="199" spans="1:11" ht="131" x14ac:dyDescent="0.2">
      <c r="B199" s="81">
        <v>45553</v>
      </c>
      <c r="C199" s="82" t="s">
        <v>41</v>
      </c>
      <c r="D199" s="83">
        <v>0.97916666666666663</v>
      </c>
      <c r="E199" s="77" t="s">
        <v>1</v>
      </c>
      <c r="F199" s="77">
        <v>3</v>
      </c>
      <c r="G199" s="77" t="s">
        <v>127</v>
      </c>
      <c r="H199" s="84">
        <v>0.05</v>
      </c>
      <c r="I199" s="84">
        <v>5.2499999999999998E-2</v>
      </c>
      <c r="J199" s="84">
        <v>5.5E-2</v>
      </c>
      <c r="K199" s="14" t="s">
        <v>342</v>
      </c>
    </row>
    <row r="200" spans="1:11" ht="131" x14ac:dyDescent="0.2">
      <c r="B200" s="81">
        <v>45554</v>
      </c>
      <c r="C200" s="82" t="s">
        <v>40</v>
      </c>
      <c r="D200" s="83">
        <v>0</v>
      </c>
      <c r="E200" s="77" t="s">
        <v>1</v>
      </c>
      <c r="F200" s="77">
        <v>3</v>
      </c>
      <c r="G200" s="77" t="s">
        <v>129</v>
      </c>
      <c r="H200" s="84"/>
      <c r="I200" s="84"/>
      <c r="J200" s="84"/>
      <c r="K200" s="14" t="s">
        <v>342</v>
      </c>
    </row>
    <row r="201" spans="1:11" ht="79" x14ac:dyDescent="0.2">
      <c r="B201" s="81">
        <v>45554</v>
      </c>
      <c r="C201" s="82" t="s">
        <v>40</v>
      </c>
      <c r="D201" s="83">
        <v>0.6875</v>
      </c>
      <c r="E201" s="77" t="s">
        <v>53</v>
      </c>
      <c r="F201" s="77">
        <v>3</v>
      </c>
      <c r="G201" s="77" t="s">
        <v>343</v>
      </c>
      <c r="H201" s="84">
        <v>0.05</v>
      </c>
      <c r="I201" s="84">
        <v>0.05</v>
      </c>
      <c r="J201" s="84">
        <v>0.05</v>
      </c>
      <c r="K201" s="14" t="s">
        <v>344</v>
      </c>
    </row>
    <row r="202" spans="1:11" ht="27" x14ac:dyDescent="0.2">
      <c r="B202" s="81">
        <v>45554</v>
      </c>
      <c r="C202" s="82" t="s">
        <v>40</v>
      </c>
      <c r="D202" s="83">
        <v>0.75</v>
      </c>
      <c r="E202" s="77" t="s">
        <v>1</v>
      </c>
      <c r="F202" s="77">
        <v>3</v>
      </c>
      <c r="G202" s="77" t="s">
        <v>14</v>
      </c>
      <c r="H202" s="84" t="s">
        <v>345</v>
      </c>
      <c r="I202" s="84" t="s">
        <v>223</v>
      </c>
      <c r="J202" s="84" t="s">
        <v>330</v>
      </c>
      <c r="K202" s="14" t="s">
        <v>346</v>
      </c>
    </row>
    <row r="203" spans="1:11" ht="28" x14ac:dyDescent="0.2">
      <c r="B203" s="81">
        <v>45554</v>
      </c>
      <c r="C203" s="82" t="s">
        <v>40</v>
      </c>
      <c r="D203" s="83">
        <v>0.75</v>
      </c>
      <c r="E203" s="77" t="s">
        <v>1</v>
      </c>
      <c r="F203" s="77">
        <v>3</v>
      </c>
      <c r="G203" s="77" t="s">
        <v>347</v>
      </c>
      <c r="H203" s="86">
        <v>1.7</v>
      </c>
      <c r="I203" s="86">
        <v>-0.8</v>
      </c>
      <c r="J203" s="86">
        <v>-7</v>
      </c>
      <c r="K203" s="14" t="s">
        <v>204</v>
      </c>
    </row>
    <row r="204" spans="1:11" ht="40" x14ac:dyDescent="0.2">
      <c r="B204" s="81">
        <v>45554</v>
      </c>
      <c r="C204" s="82" t="s">
        <v>40</v>
      </c>
      <c r="D204" s="83">
        <v>0.8125</v>
      </c>
      <c r="E204" s="77" t="s">
        <v>1</v>
      </c>
      <c r="F204" s="77">
        <v>3</v>
      </c>
      <c r="G204" s="77" t="s">
        <v>348</v>
      </c>
      <c r="H204" s="84" t="s">
        <v>349</v>
      </c>
      <c r="I204" s="84" t="s">
        <v>350</v>
      </c>
      <c r="J204" s="84" t="s">
        <v>351</v>
      </c>
      <c r="K204" s="14" t="s">
        <v>232</v>
      </c>
    </row>
    <row r="205" spans="1:11" ht="53" x14ac:dyDescent="0.2">
      <c r="B205" s="81">
        <v>45555</v>
      </c>
      <c r="C205" s="82" t="s">
        <v>39</v>
      </c>
      <c r="D205" s="83">
        <v>0.35416666666666669</v>
      </c>
      <c r="E205" s="77" t="s">
        <v>117</v>
      </c>
      <c r="F205" s="77">
        <v>3</v>
      </c>
      <c r="G205" s="77" t="s">
        <v>118</v>
      </c>
      <c r="H205" s="84">
        <v>2.5000000000000001E-3</v>
      </c>
      <c r="I205" s="84">
        <v>2.5000000000000001E-3</v>
      </c>
      <c r="J205" s="84">
        <v>2.5000000000000001E-3</v>
      </c>
      <c r="K205" s="14" t="s">
        <v>352</v>
      </c>
    </row>
    <row r="206" spans="1:11" ht="53" x14ac:dyDescent="0.2">
      <c r="A206" s="684" t="s">
        <v>105</v>
      </c>
      <c r="B206" s="5">
        <v>45558</v>
      </c>
      <c r="C206" s="6" t="str">
        <f>VLOOKUP(WEEKDAY(B206,2),'EC-Commands'!$D$11:$E$19,2,FALSE)</f>
        <v>Mon</v>
      </c>
      <c r="D206" s="7">
        <v>0.80208333333333337</v>
      </c>
      <c r="E206" s="8" t="s">
        <v>1</v>
      </c>
      <c r="F206" s="8">
        <v>3</v>
      </c>
      <c r="G206" s="8" t="s">
        <v>353</v>
      </c>
      <c r="H206" s="19">
        <v>47</v>
      </c>
      <c r="I206" s="19">
        <v>48.6</v>
      </c>
      <c r="J206" s="19">
        <v>47.9</v>
      </c>
      <c r="K206" s="14" t="s">
        <v>354</v>
      </c>
    </row>
    <row r="207" spans="1:11" ht="53" x14ac:dyDescent="0.2">
      <c r="B207" s="5">
        <v>45558</v>
      </c>
      <c r="C207" s="6" t="str">
        <f>VLOOKUP(WEEKDAY(B207,2),'EC-Commands'!$D$11:$E$19,2,FALSE)</f>
        <v>Mon</v>
      </c>
      <c r="D207" s="7">
        <v>0</v>
      </c>
      <c r="E207" s="8" t="s">
        <v>1</v>
      </c>
      <c r="F207" s="8">
        <v>3</v>
      </c>
      <c r="G207" s="87" t="s">
        <v>355</v>
      </c>
      <c r="H207" s="19">
        <v>55.4</v>
      </c>
      <c r="I207" s="19">
        <v>55.3</v>
      </c>
      <c r="J207" s="19">
        <v>55.7</v>
      </c>
      <c r="K207" s="14" t="s">
        <v>356</v>
      </c>
    </row>
    <row r="208" spans="1:11" ht="222" x14ac:dyDescent="0.2">
      <c r="B208" s="5">
        <f>B207+1</f>
        <v>45559</v>
      </c>
      <c r="C208" s="6" t="str">
        <f>VLOOKUP(WEEKDAY(B208,2),'EC-Commands'!$D$11:$E$19,2,FALSE)</f>
        <v>Tue</v>
      </c>
      <c r="D208" s="7">
        <v>0.22916666666666666</v>
      </c>
      <c r="E208" s="8" t="s">
        <v>357</v>
      </c>
      <c r="F208" s="8">
        <v>3</v>
      </c>
      <c r="G208" s="77" t="s">
        <v>370</v>
      </c>
      <c r="H208" s="73">
        <v>4.3499999999999997E-2</v>
      </c>
      <c r="I208" s="73">
        <v>4.3499999999999997E-2</v>
      </c>
      <c r="J208" s="73">
        <v>4.3499999999999997E-2</v>
      </c>
      <c r="K208" s="14" t="s">
        <v>358</v>
      </c>
    </row>
    <row r="209" spans="1:11" ht="209" x14ac:dyDescent="0.2">
      <c r="B209" s="5">
        <f>B208</f>
        <v>45559</v>
      </c>
      <c r="C209" s="6" t="str">
        <f>VLOOKUP(WEEKDAY(B209,2),'EC-Commands'!$D$11:$E$19,2,FALSE)</f>
        <v>Tue</v>
      </c>
      <c r="D209" s="7">
        <v>0.45833333333333331</v>
      </c>
      <c r="E209" s="8" t="s">
        <v>357</v>
      </c>
      <c r="F209" s="8">
        <v>2</v>
      </c>
      <c r="G209" s="77" t="s">
        <v>359</v>
      </c>
      <c r="H209" s="73"/>
      <c r="I209" s="73"/>
      <c r="J209" s="73"/>
      <c r="K209" s="14" t="s">
        <v>360</v>
      </c>
    </row>
    <row r="210" spans="1:11" ht="66" x14ac:dyDescent="0.2">
      <c r="B210" s="5">
        <f>B208</f>
        <v>45559</v>
      </c>
      <c r="C210" s="6" t="str">
        <f>VLOOKUP(WEEKDAY(B210,2),'EC-Commands'!$D$11:$E$19,2,FALSE)</f>
        <v>Tue</v>
      </c>
      <c r="D210" s="7">
        <v>0.22916666666666666</v>
      </c>
      <c r="E210" s="8" t="s">
        <v>1</v>
      </c>
      <c r="F210" s="8">
        <v>3</v>
      </c>
      <c r="G210" s="8" t="s">
        <v>371</v>
      </c>
      <c r="H210" s="19">
        <v>98.7</v>
      </c>
      <c r="I210" s="19">
        <v>103.5</v>
      </c>
      <c r="J210" s="19">
        <v>103.3</v>
      </c>
      <c r="K210" s="14" t="s">
        <v>361</v>
      </c>
    </row>
    <row r="211" spans="1:11" ht="66" x14ac:dyDescent="0.2">
      <c r="B211" s="5">
        <f>B210+1</f>
        <v>45560</v>
      </c>
      <c r="C211" s="6" t="str">
        <f>VLOOKUP(WEEKDAY(B211,2),'EC-Commands'!$D$11:$E$19,2,FALSE)</f>
        <v>Wed</v>
      </c>
      <c r="D211" s="7">
        <v>0</v>
      </c>
      <c r="E211" s="8" t="s">
        <v>1</v>
      </c>
      <c r="F211" s="8">
        <v>3</v>
      </c>
      <c r="G211" s="8" t="s">
        <v>372</v>
      </c>
      <c r="H211" s="19" t="s">
        <v>378</v>
      </c>
      <c r="I211" s="19" t="s">
        <v>377</v>
      </c>
      <c r="J211" s="19" t="s">
        <v>239</v>
      </c>
      <c r="K211" s="14" t="s">
        <v>361</v>
      </c>
    </row>
    <row r="212" spans="1:11" ht="53" x14ac:dyDescent="0.2">
      <c r="B212" s="5">
        <f>B211</f>
        <v>45560</v>
      </c>
      <c r="C212" s="6" t="str">
        <f>VLOOKUP(WEEKDAY(B212,2),'EC-Commands'!$D$11:$E$19,2,FALSE)</f>
        <v>Wed</v>
      </c>
      <c r="D212" s="7">
        <v>0</v>
      </c>
      <c r="E212" s="8" t="s">
        <v>1</v>
      </c>
      <c r="F212" s="8">
        <v>3</v>
      </c>
      <c r="G212" s="8" t="s">
        <v>9</v>
      </c>
      <c r="H212" s="76" t="s">
        <v>380</v>
      </c>
      <c r="I212" s="76" t="s">
        <v>379</v>
      </c>
      <c r="J212" s="19" t="s">
        <v>337</v>
      </c>
      <c r="K212" s="14" t="s">
        <v>362</v>
      </c>
    </row>
    <row r="213" spans="1:11" ht="209" x14ac:dyDescent="0.2">
      <c r="B213" s="5">
        <f>B212+1</f>
        <v>45561</v>
      </c>
      <c r="C213" s="6" t="str">
        <f>VLOOKUP(WEEKDAY(B213,2),'EC-Commands'!$D$11:$E$19,2,FALSE)</f>
        <v>Thu</v>
      </c>
      <c r="D213" s="7">
        <v>0</v>
      </c>
      <c r="E213" s="8" t="s">
        <v>270</v>
      </c>
      <c r="F213" s="8">
        <v>3</v>
      </c>
      <c r="G213" s="8" t="s">
        <v>373</v>
      </c>
      <c r="H213" s="73">
        <v>0.01</v>
      </c>
      <c r="I213" s="73">
        <v>0.01</v>
      </c>
      <c r="J213" s="73">
        <v>1.2500000000000001E-2</v>
      </c>
      <c r="K213" s="14" t="s">
        <v>363</v>
      </c>
    </row>
    <row r="214" spans="1:11" ht="157" x14ac:dyDescent="0.2">
      <c r="B214" s="5">
        <f>B213+1</f>
        <v>45562</v>
      </c>
      <c r="C214" s="6" t="str">
        <f>VLOOKUP(WEEKDAY(B214,2),'EC-Commands'!$D$11:$E$19,2,FALSE)</f>
        <v>Fri</v>
      </c>
      <c r="D214" s="7">
        <v>0.5625</v>
      </c>
      <c r="E214" s="8" t="s">
        <v>270</v>
      </c>
      <c r="F214" s="8">
        <v>2</v>
      </c>
      <c r="G214" s="8" t="s">
        <v>364</v>
      </c>
      <c r="H214" s="73"/>
      <c r="I214" s="73"/>
      <c r="J214" s="73"/>
      <c r="K214" s="14" t="s">
        <v>365</v>
      </c>
    </row>
    <row r="215" spans="1:11" ht="66" x14ac:dyDescent="0.2">
      <c r="B215" s="5">
        <f>B213</f>
        <v>45561</v>
      </c>
      <c r="C215" s="6" t="str">
        <f>VLOOKUP(WEEKDAY(B215,2),'EC-Commands'!$D$11:$E$19,2,FALSE)</f>
        <v>Thu</v>
      </c>
      <c r="D215" s="7">
        <v>0</v>
      </c>
      <c r="E215" s="8" t="s">
        <v>1</v>
      </c>
      <c r="F215" s="8">
        <v>3</v>
      </c>
      <c r="G215" s="8" t="s">
        <v>374</v>
      </c>
      <c r="H215" s="73">
        <v>0</v>
      </c>
      <c r="I215" s="73">
        <v>-2.8000000000000001E-2</v>
      </c>
      <c r="J215" s="73">
        <v>9.9000000000000005E-2</v>
      </c>
      <c r="K215" s="14" t="s">
        <v>361</v>
      </c>
    </row>
    <row r="216" spans="1:11" ht="53" x14ac:dyDescent="0.2">
      <c r="B216" s="5">
        <f>B215</f>
        <v>45561</v>
      </c>
      <c r="C216" s="6" t="str">
        <f>VLOOKUP(WEEKDAY(B216,2),'EC-Commands'!$D$11:$E$19,2,FALSE)</f>
        <v>Thu</v>
      </c>
      <c r="D216" s="7">
        <v>0</v>
      </c>
      <c r="E216" s="8" t="s">
        <v>1</v>
      </c>
      <c r="F216" s="8">
        <v>3</v>
      </c>
      <c r="G216" s="8" t="s">
        <v>14</v>
      </c>
      <c r="H216" s="73" t="s">
        <v>382</v>
      </c>
      <c r="I216" s="73" t="s">
        <v>381</v>
      </c>
      <c r="J216" s="73" t="s">
        <v>72</v>
      </c>
      <c r="K216" s="14" t="s">
        <v>366</v>
      </c>
    </row>
    <row r="217" spans="1:11" ht="79" x14ac:dyDescent="0.2">
      <c r="B217" s="5">
        <f>B216</f>
        <v>45561</v>
      </c>
      <c r="C217" s="6" t="str">
        <f>VLOOKUP(WEEKDAY(B217,2),'EC-Commands'!$D$11:$E$19,2,FALSE)</f>
        <v>Thu</v>
      </c>
      <c r="D217" s="7">
        <v>0</v>
      </c>
      <c r="E217" s="8" t="s">
        <v>1</v>
      </c>
      <c r="F217" s="8">
        <v>3</v>
      </c>
      <c r="G217" s="8" t="s">
        <v>20</v>
      </c>
      <c r="H217" s="73"/>
      <c r="I217" s="73"/>
      <c r="J217" s="73"/>
      <c r="K217" s="14" t="s">
        <v>367</v>
      </c>
    </row>
    <row r="218" spans="1:11" ht="209" x14ac:dyDescent="0.2">
      <c r="B218" s="5">
        <f>B217+1</f>
        <v>45562</v>
      </c>
      <c r="C218" s="6" t="str">
        <f>VLOOKUP(WEEKDAY(B218,2),'EC-Commands'!$D$11:$E$19,2,FALSE)</f>
        <v>Fri</v>
      </c>
      <c r="D218" s="7">
        <v>0</v>
      </c>
      <c r="E218" s="8" t="s">
        <v>1</v>
      </c>
      <c r="F218" s="8">
        <v>3</v>
      </c>
      <c r="G218" s="8" t="s">
        <v>375</v>
      </c>
      <c r="H218" s="73">
        <v>1E-3</v>
      </c>
      <c r="I218" s="73">
        <v>2E-3</v>
      </c>
      <c r="J218" s="73">
        <v>2E-3</v>
      </c>
      <c r="K218" s="14" t="s">
        <v>368</v>
      </c>
    </row>
    <row r="219" spans="1:11" ht="209" x14ac:dyDescent="0.2">
      <c r="B219" s="5">
        <f>B218</f>
        <v>45562</v>
      </c>
      <c r="C219" s="6" t="str">
        <f>VLOOKUP(WEEKDAY(B219,2),'EC-Commands'!$D$11:$E$19,2,FALSE)</f>
        <v>Fri</v>
      </c>
      <c r="D219" s="7">
        <f>D218</f>
        <v>0</v>
      </c>
      <c r="E219" s="8" t="s">
        <v>1</v>
      </c>
      <c r="F219" s="8">
        <v>3</v>
      </c>
      <c r="G219" s="8" t="s">
        <v>376</v>
      </c>
      <c r="H219" s="73">
        <v>2.7E-2</v>
      </c>
      <c r="I219" s="73">
        <v>2.7E-2</v>
      </c>
      <c r="J219" s="73">
        <v>2.5999999999999999E-2</v>
      </c>
      <c r="K219" s="14" t="s">
        <v>368</v>
      </c>
    </row>
    <row r="220" spans="1:11" ht="27" x14ac:dyDescent="0.2">
      <c r="B220" s="81">
        <v>45603</v>
      </c>
      <c r="C220" s="82" t="s">
        <v>40</v>
      </c>
      <c r="D220" s="83">
        <v>0.97916666666666663</v>
      </c>
      <c r="E220" s="77" t="s">
        <v>1</v>
      </c>
      <c r="F220" s="77">
        <v>3</v>
      </c>
      <c r="G220" s="77" t="s">
        <v>127</v>
      </c>
      <c r="H220" s="84"/>
      <c r="I220" s="84">
        <v>4.5199999999999997E-2</v>
      </c>
      <c r="J220" s="84">
        <v>4.7500000000000001E-2</v>
      </c>
      <c r="K220" s="14" t="s">
        <v>369</v>
      </c>
    </row>
    <row r="221" spans="1:11" ht="144" x14ac:dyDescent="0.2">
      <c r="A221" s="684" t="s">
        <v>429</v>
      </c>
      <c r="B221" s="5">
        <v>45565</v>
      </c>
      <c r="C221" s="6" t="s">
        <v>43</v>
      </c>
      <c r="D221" s="7">
        <v>0.29166666666666669</v>
      </c>
      <c r="E221" s="8" t="s">
        <v>65</v>
      </c>
      <c r="F221" s="8">
        <v>3</v>
      </c>
      <c r="G221" s="8" t="s">
        <v>383</v>
      </c>
      <c r="H221" s="19">
        <v>49.8</v>
      </c>
      <c r="I221" s="19">
        <v>49.4</v>
      </c>
      <c r="J221" s="19">
        <v>49.1</v>
      </c>
      <c r="K221" s="14" t="s">
        <v>384</v>
      </c>
    </row>
    <row r="222" spans="1:11" ht="92" x14ac:dyDescent="0.2">
      <c r="B222" s="5">
        <f>B221</f>
        <v>45565</v>
      </c>
      <c r="C222" s="6" t="s">
        <v>43</v>
      </c>
      <c r="D222" s="7">
        <v>0.47916666666666669</v>
      </c>
      <c r="E222" s="8" t="s">
        <v>53</v>
      </c>
      <c r="F222" s="8">
        <v>3</v>
      </c>
      <c r="G222" s="87" t="s">
        <v>385</v>
      </c>
      <c r="H222" s="73">
        <v>5.0000000000000001E-3</v>
      </c>
      <c r="I222" s="73">
        <v>6.0000000000000001E-3</v>
      </c>
      <c r="J222" s="73">
        <v>6.0000000000000001E-3</v>
      </c>
      <c r="K222" s="14" t="s">
        <v>386</v>
      </c>
    </row>
    <row r="223" spans="1:11" ht="92" x14ac:dyDescent="0.2">
      <c r="B223" s="5">
        <f>B222</f>
        <v>45565</v>
      </c>
      <c r="C223" s="6" t="s">
        <v>43</v>
      </c>
      <c r="D223" s="7">
        <v>0.47916666666666669</v>
      </c>
      <c r="E223" s="8" t="s">
        <v>53</v>
      </c>
      <c r="F223" s="8">
        <v>3</v>
      </c>
      <c r="G223" s="87" t="s">
        <v>387</v>
      </c>
      <c r="H223" s="73">
        <v>7.0000000000000001E-3</v>
      </c>
      <c r="I223" s="73">
        <v>8.9999999999999993E-3</v>
      </c>
      <c r="J223" s="73">
        <v>8.9999999999999993E-3</v>
      </c>
      <c r="K223" s="14" t="s">
        <v>386</v>
      </c>
    </row>
    <row r="224" spans="1:11" ht="105" x14ac:dyDescent="0.2">
      <c r="B224" s="5">
        <f>B223</f>
        <v>45565</v>
      </c>
      <c r="C224" s="6" t="s">
        <v>43</v>
      </c>
      <c r="D224" s="7">
        <v>0.72916666666666663</v>
      </c>
      <c r="E224" s="8" t="s">
        <v>22</v>
      </c>
      <c r="F224" s="8">
        <v>3</v>
      </c>
      <c r="G224" s="87" t="s">
        <v>388</v>
      </c>
      <c r="H224" s="73">
        <v>0</v>
      </c>
      <c r="I224" s="73">
        <v>1E-3</v>
      </c>
      <c r="J224" s="73">
        <v>-1E-3</v>
      </c>
      <c r="K224" s="14" t="s">
        <v>389</v>
      </c>
    </row>
    <row r="225" spans="2:11" ht="118" x14ac:dyDescent="0.2">
      <c r="B225" s="5">
        <f>B224</f>
        <v>45565</v>
      </c>
      <c r="C225" s="6" t="s">
        <v>43</v>
      </c>
      <c r="D225" s="7">
        <v>0.80208333333333337</v>
      </c>
      <c r="E225" s="8" t="s">
        <v>1</v>
      </c>
      <c r="F225" s="8">
        <v>3</v>
      </c>
      <c r="G225" s="87" t="s">
        <v>390</v>
      </c>
      <c r="H225" s="19">
        <v>46.6</v>
      </c>
      <c r="I225" s="19">
        <v>46.1</v>
      </c>
      <c r="J225" s="19">
        <v>46.1</v>
      </c>
      <c r="K225" s="14" t="s">
        <v>391</v>
      </c>
    </row>
    <row r="226" spans="2:11" ht="66" x14ac:dyDescent="0.2">
      <c r="B226" s="5">
        <f>B225</f>
        <v>45565</v>
      </c>
      <c r="C226" s="6" t="s">
        <v>43</v>
      </c>
      <c r="D226" s="7">
        <v>0.97569444444444442</v>
      </c>
      <c r="E226" s="8" t="s">
        <v>1</v>
      </c>
      <c r="F226" s="8">
        <v>3</v>
      </c>
      <c r="G226" s="87" t="s">
        <v>20</v>
      </c>
      <c r="H226" s="73"/>
      <c r="I226" s="19"/>
      <c r="J226" s="19"/>
      <c r="K226" s="14" t="s">
        <v>392</v>
      </c>
    </row>
    <row r="227" spans="2:11" ht="196" x14ac:dyDescent="0.2">
      <c r="B227" s="5">
        <f>B226+1</f>
        <v>45566</v>
      </c>
      <c r="C227" s="6" t="s">
        <v>42</v>
      </c>
      <c r="D227" s="7">
        <v>0.60416666666666663</v>
      </c>
      <c r="E227" s="8" t="s">
        <v>22</v>
      </c>
      <c r="F227" s="8">
        <v>3</v>
      </c>
      <c r="G227" s="87" t="s">
        <v>393</v>
      </c>
      <c r="H227" s="73">
        <v>1.7999999999999999E-2</v>
      </c>
      <c r="I227" s="73">
        <v>1.7999999999999999E-2</v>
      </c>
      <c r="J227" s="73">
        <v>2.1999999999999999E-2</v>
      </c>
      <c r="K227" s="14" t="s">
        <v>394</v>
      </c>
    </row>
    <row r="228" spans="2:11" ht="131" x14ac:dyDescent="0.2">
      <c r="B228" s="5">
        <f>B227</f>
        <v>45566</v>
      </c>
      <c r="C228" s="6" t="s">
        <v>42</v>
      </c>
      <c r="D228" s="7">
        <v>0.80208333333333337</v>
      </c>
      <c r="E228" s="8" t="s">
        <v>1</v>
      </c>
      <c r="F228" s="8">
        <v>3</v>
      </c>
      <c r="G228" s="87" t="s">
        <v>395</v>
      </c>
      <c r="H228" s="19">
        <v>47.3</v>
      </c>
      <c r="I228" s="19">
        <v>47</v>
      </c>
      <c r="J228" s="19">
        <v>47</v>
      </c>
      <c r="K228" s="14" t="s">
        <v>396</v>
      </c>
    </row>
    <row r="229" spans="2:11" ht="209" x14ac:dyDescent="0.2">
      <c r="B229" s="5">
        <f>B228</f>
        <v>45566</v>
      </c>
      <c r="C229" s="6" t="s">
        <v>42</v>
      </c>
      <c r="D229" s="7">
        <v>0.8125</v>
      </c>
      <c r="E229" s="8" t="s">
        <v>1</v>
      </c>
      <c r="F229" s="8">
        <v>3</v>
      </c>
      <c r="G229" s="87" t="s">
        <v>397</v>
      </c>
      <c r="H229" s="19">
        <v>47.2</v>
      </c>
      <c r="I229" s="19">
        <v>47.6</v>
      </c>
      <c r="J229" s="19">
        <v>47.2</v>
      </c>
      <c r="K229" s="14" t="s">
        <v>398</v>
      </c>
    </row>
    <row r="230" spans="2:11" ht="381" x14ac:dyDescent="0.2">
      <c r="B230" s="5">
        <f>B229</f>
        <v>45566</v>
      </c>
      <c r="C230" s="6" t="s">
        <v>42</v>
      </c>
      <c r="D230" s="7">
        <v>0.8125</v>
      </c>
      <c r="E230" s="8" t="s">
        <v>1</v>
      </c>
      <c r="F230" s="8">
        <v>3</v>
      </c>
      <c r="G230" s="87" t="s">
        <v>399</v>
      </c>
      <c r="H230" s="19">
        <v>48.3</v>
      </c>
      <c r="I230" s="19">
        <v>53.5</v>
      </c>
      <c r="J230" s="19">
        <v>54</v>
      </c>
      <c r="K230" s="14" t="s">
        <v>400</v>
      </c>
    </row>
    <row r="231" spans="2:11" ht="144" x14ac:dyDescent="0.2">
      <c r="B231" s="5">
        <f>B230</f>
        <v>45566</v>
      </c>
      <c r="C231" s="6" t="s">
        <v>42</v>
      </c>
      <c r="D231" s="7">
        <v>0.8125</v>
      </c>
      <c r="E231" s="8" t="s">
        <v>1</v>
      </c>
      <c r="F231" s="8">
        <v>3</v>
      </c>
      <c r="G231" s="87" t="s">
        <v>401</v>
      </c>
      <c r="H231" s="19" t="s">
        <v>634</v>
      </c>
      <c r="I231" s="19" t="s">
        <v>402</v>
      </c>
      <c r="J231" s="19" t="s">
        <v>403</v>
      </c>
      <c r="K231" s="14" t="s">
        <v>404</v>
      </c>
    </row>
    <row r="232" spans="2:11" ht="105" x14ac:dyDescent="0.2">
      <c r="B232" s="5">
        <f>B231+1</f>
        <v>45567</v>
      </c>
      <c r="C232" s="6" t="s">
        <v>41</v>
      </c>
      <c r="D232" s="7">
        <v>0.73958333333333337</v>
      </c>
      <c r="E232" s="8" t="s">
        <v>1</v>
      </c>
      <c r="F232" s="8">
        <v>3</v>
      </c>
      <c r="G232" s="87" t="s">
        <v>405</v>
      </c>
      <c r="H232" s="19" t="s">
        <v>635</v>
      </c>
      <c r="I232" s="19" t="s">
        <v>406</v>
      </c>
      <c r="J232" s="19" t="s">
        <v>407</v>
      </c>
      <c r="K232" s="14" t="s">
        <v>408</v>
      </c>
    </row>
    <row r="233" spans="2:11" ht="131" x14ac:dyDescent="0.2">
      <c r="B233" s="5">
        <f>B232</f>
        <v>45567</v>
      </c>
      <c r="C233" s="6" t="s">
        <v>41</v>
      </c>
      <c r="D233" s="7">
        <v>0.83333333333333337</v>
      </c>
      <c r="E233" s="8" t="s">
        <v>1</v>
      </c>
      <c r="F233" s="8">
        <v>3</v>
      </c>
      <c r="G233" s="87" t="s">
        <v>9</v>
      </c>
      <c r="H233" s="76" t="s">
        <v>637</v>
      </c>
      <c r="I233" s="76" t="s">
        <v>636</v>
      </c>
      <c r="J233" s="76" t="s">
        <v>409</v>
      </c>
      <c r="K233" s="14" t="s">
        <v>410</v>
      </c>
    </row>
    <row r="234" spans="2:11" ht="105" x14ac:dyDescent="0.2">
      <c r="B234" s="5">
        <f>B232+1</f>
        <v>45568</v>
      </c>
      <c r="C234" s="6" t="s">
        <v>40</v>
      </c>
      <c r="D234" s="7">
        <v>0.5</v>
      </c>
      <c r="E234" s="8" t="s">
        <v>270</v>
      </c>
      <c r="F234" s="8">
        <v>2</v>
      </c>
      <c r="G234" s="87" t="s">
        <v>411</v>
      </c>
      <c r="H234" s="73">
        <v>-3.0000000000000001E-3</v>
      </c>
      <c r="I234" s="73">
        <v>-1E-3</v>
      </c>
      <c r="J234" s="73">
        <v>0</v>
      </c>
      <c r="K234" s="14" t="s">
        <v>412</v>
      </c>
    </row>
    <row r="235" spans="2:11" ht="79" x14ac:dyDescent="0.2">
      <c r="B235" s="5">
        <f>B233+1</f>
        <v>45568</v>
      </c>
      <c r="C235" s="6" t="s">
        <v>40</v>
      </c>
      <c r="D235" s="7">
        <v>0.75</v>
      </c>
      <c r="E235" s="8" t="s">
        <v>1</v>
      </c>
      <c r="F235" s="8">
        <v>3</v>
      </c>
      <c r="G235" s="87" t="s">
        <v>14</v>
      </c>
      <c r="H235" s="19" t="s">
        <v>638</v>
      </c>
      <c r="I235" s="19" t="s">
        <v>413</v>
      </c>
      <c r="J235" s="19" t="s">
        <v>382</v>
      </c>
      <c r="K235" s="14" t="s">
        <v>414</v>
      </c>
    </row>
    <row r="236" spans="2:11" ht="118" x14ac:dyDescent="0.2">
      <c r="B236" s="5">
        <f>B235</f>
        <v>45568</v>
      </c>
      <c r="C236" s="6" t="s">
        <v>40</v>
      </c>
      <c r="D236" s="7">
        <v>0.80208333333333337</v>
      </c>
      <c r="E236" s="8" t="s">
        <v>1</v>
      </c>
      <c r="F236" s="8">
        <v>3</v>
      </c>
      <c r="G236" s="87" t="s">
        <v>415</v>
      </c>
      <c r="H236" s="19">
        <v>55.2</v>
      </c>
      <c r="I236" s="19">
        <v>55.4</v>
      </c>
      <c r="J236" s="19">
        <v>55.4</v>
      </c>
      <c r="K236" s="14" t="s">
        <v>416</v>
      </c>
    </row>
    <row r="237" spans="2:11" ht="273" x14ac:dyDescent="0.2">
      <c r="B237" s="5">
        <f>B236</f>
        <v>45568</v>
      </c>
      <c r="C237" s="6" t="s">
        <v>40</v>
      </c>
      <c r="D237" s="7">
        <v>0.8125</v>
      </c>
      <c r="E237" s="8" t="s">
        <v>1</v>
      </c>
      <c r="F237" s="8">
        <v>3</v>
      </c>
      <c r="G237" s="87" t="s">
        <v>417</v>
      </c>
      <c r="H237" s="19">
        <v>54.9</v>
      </c>
      <c r="I237" s="19">
        <v>51.6</v>
      </c>
      <c r="J237" s="19">
        <v>51.5</v>
      </c>
      <c r="K237" s="14" t="s">
        <v>418</v>
      </c>
    </row>
    <row r="238" spans="2:11" ht="196" x14ac:dyDescent="0.2">
      <c r="B238" s="5">
        <f>B237</f>
        <v>45568</v>
      </c>
      <c r="C238" s="6" t="s">
        <v>40</v>
      </c>
      <c r="D238" s="7">
        <v>0.8125</v>
      </c>
      <c r="E238" s="8" t="s">
        <v>1</v>
      </c>
      <c r="F238" s="8">
        <v>3</v>
      </c>
      <c r="G238" s="87" t="s">
        <v>419</v>
      </c>
      <c r="H238" s="19">
        <v>59.4</v>
      </c>
      <c r="I238" s="19">
        <v>56.3</v>
      </c>
      <c r="J238" s="19">
        <v>57.3</v>
      </c>
      <c r="K238" s="14" t="s">
        <v>420</v>
      </c>
    </row>
    <row r="239" spans="2:11" ht="92" x14ac:dyDescent="0.2">
      <c r="B239" s="5">
        <f>B238+1</f>
        <v>45569</v>
      </c>
      <c r="C239" s="6" t="s">
        <v>39</v>
      </c>
      <c r="D239" s="7">
        <v>0.75</v>
      </c>
      <c r="E239" s="8" t="s">
        <v>1</v>
      </c>
      <c r="F239" s="8">
        <v>3</v>
      </c>
      <c r="G239" s="87" t="s">
        <v>421</v>
      </c>
      <c r="H239" s="73">
        <v>4.0000000000000001E-3</v>
      </c>
      <c r="I239" s="73">
        <v>3.0000000000000001E-3</v>
      </c>
      <c r="J239" s="73">
        <v>4.0000000000000001E-3</v>
      </c>
      <c r="K239" s="14" t="s">
        <v>422</v>
      </c>
    </row>
    <row r="240" spans="2:11" ht="297" x14ac:dyDescent="0.2">
      <c r="B240" s="5">
        <f>B239</f>
        <v>45569</v>
      </c>
      <c r="C240" s="6" t="s">
        <v>39</v>
      </c>
      <c r="D240" s="7">
        <v>0.75</v>
      </c>
      <c r="E240" s="8" t="s">
        <v>1</v>
      </c>
      <c r="F240" s="8">
        <v>3</v>
      </c>
      <c r="G240" s="87" t="s">
        <v>423</v>
      </c>
      <c r="H240" s="73" t="s">
        <v>641</v>
      </c>
      <c r="I240" s="73" t="s">
        <v>640</v>
      </c>
      <c r="J240" s="73" t="s">
        <v>639</v>
      </c>
      <c r="K240" s="14" t="s">
        <v>426</v>
      </c>
    </row>
    <row r="241" spans="1:11" ht="92" x14ac:dyDescent="0.2">
      <c r="B241" s="5">
        <f>B240</f>
        <v>45569</v>
      </c>
      <c r="C241" s="6" t="s">
        <v>39</v>
      </c>
      <c r="D241" s="7">
        <v>0.75</v>
      </c>
      <c r="E241" s="8" t="s">
        <v>1</v>
      </c>
      <c r="F241" s="8">
        <v>3</v>
      </c>
      <c r="G241" s="87" t="s">
        <v>2</v>
      </c>
      <c r="H241" s="73">
        <v>4.1000000000000002E-2</v>
      </c>
      <c r="I241" s="73">
        <v>4.2000000000000003E-2</v>
      </c>
      <c r="J241" s="73">
        <v>4.2000000000000003E-2</v>
      </c>
      <c r="K241" s="14" t="s">
        <v>427</v>
      </c>
    </row>
    <row r="242" spans="1:11" ht="27" x14ac:dyDescent="0.2">
      <c r="B242" s="81">
        <v>45603</v>
      </c>
      <c r="C242" s="82" t="s">
        <v>40</v>
      </c>
      <c r="D242" s="83">
        <v>0.97916666666666663</v>
      </c>
      <c r="E242" s="77" t="s">
        <v>1</v>
      </c>
      <c r="F242" s="77">
        <v>3</v>
      </c>
      <c r="G242" s="77" t="s">
        <v>127</v>
      </c>
      <c r="H242" s="84"/>
      <c r="I242" s="84">
        <v>4.5199999999999997E-2</v>
      </c>
      <c r="J242" s="84">
        <v>4.7500000000000001E-2</v>
      </c>
      <c r="K242" s="14" t="s">
        <v>369</v>
      </c>
    </row>
    <row r="243" spans="1:11" x14ac:dyDescent="0.2">
      <c r="C243" t="s">
        <v>428</v>
      </c>
    </row>
    <row r="244" spans="1:11" ht="105" x14ac:dyDescent="0.2">
      <c r="A244" s="684" t="s">
        <v>105</v>
      </c>
      <c r="B244" s="5">
        <v>45574</v>
      </c>
      <c r="C244" s="6" t="s">
        <v>41</v>
      </c>
      <c r="D244" s="7">
        <v>0.27083333333333331</v>
      </c>
      <c r="E244" s="8" t="s">
        <v>49</v>
      </c>
      <c r="F244" s="8">
        <v>3</v>
      </c>
      <c r="G244" s="8" t="s">
        <v>50</v>
      </c>
      <c r="H244" s="73">
        <v>4.7500000000000001E-2</v>
      </c>
      <c r="I244" s="73">
        <v>4.7500000000000001E-2</v>
      </c>
      <c r="J244" s="73">
        <v>5.2499999999999998E-2</v>
      </c>
      <c r="K244" s="14" t="s">
        <v>642</v>
      </c>
    </row>
    <row r="245" spans="1:11" ht="144" x14ac:dyDescent="0.2">
      <c r="B245" s="5">
        <f>B244</f>
        <v>45574</v>
      </c>
      <c r="C245" s="6" t="s">
        <v>41</v>
      </c>
      <c r="D245" s="7">
        <v>0.83333333333333337</v>
      </c>
      <c r="E245" s="8" t="s">
        <v>1</v>
      </c>
      <c r="F245" s="8">
        <v>3</v>
      </c>
      <c r="G245" s="8" t="s">
        <v>9</v>
      </c>
      <c r="H245" s="73" t="s">
        <v>677</v>
      </c>
      <c r="I245" s="73" t="s">
        <v>676</v>
      </c>
      <c r="J245" s="73" t="s">
        <v>637</v>
      </c>
      <c r="K245" s="14" t="s">
        <v>643</v>
      </c>
    </row>
    <row r="246" spans="1:11" ht="131" x14ac:dyDescent="0.2">
      <c r="B246" s="5">
        <f>B245</f>
        <v>45574</v>
      </c>
      <c r="C246" s="6" t="s">
        <v>41</v>
      </c>
      <c r="D246" s="7">
        <v>0.9375</v>
      </c>
      <c r="E246" s="8" t="s">
        <v>1</v>
      </c>
      <c r="F246" s="8">
        <v>3</v>
      </c>
      <c r="G246" s="8" t="s">
        <v>644</v>
      </c>
      <c r="H246" s="80">
        <v>4.0660000000000002E-2</v>
      </c>
      <c r="I246" s="73"/>
      <c r="J246" s="80">
        <v>3.6479999999999999E-2</v>
      </c>
      <c r="K246" s="14" t="s">
        <v>645</v>
      </c>
    </row>
    <row r="247" spans="1:11" ht="79" x14ac:dyDescent="0.2">
      <c r="B247" s="5">
        <f>B246</f>
        <v>45574</v>
      </c>
      <c r="C247" s="6" t="s">
        <v>41</v>
      </c>
      <c r="D247" s="7">
        <v>0.97916666666666663</v>
      </c>
      <c r="E247" s="8" t="s">
        <v>1</v>
      </c>
      <c r="F247" s="8">
        <v>3</v>
      </c>
      <c r="G247" s="8" t="s">
        <v>7</v>
      </c>
      <c r="H247" s="73"/>
      <c r="I247" s="73"/>
      <c r="J247" s="80"/>
      <c r="K247" s="14" t="s">
        <v>646</v>
      </c>
    </row>
    <row r="248" spans="1:11" ht="131" x14ac:dyDescent="0.2">
      <c r="B248" s="5">
        <f>B247+1</f>
        <v>45575</v>
      </c>
      <c r="C248" s="6" t="s">
        <v>40</v>
      </c>
      <c r="D248" s="7">
        <v>0.75</v>
      </c>
      <c r="E248" s="8" t="s">
        <v>1</v>
      </c>
      <c r="F248" s="8">
        <v>3</v>
      </c>
      <c r="G248" s="8" t="s">
        <v>647</v>
      </c>
      <c r="H248" s="73">
        <v>3.0000000000000001E-3</v>
      </c>
      <c r="I248" s="73">
        <v>2E-3</v>
      </c>
      <c r="J248" s="73">
        <v>3.0000000000000001E-3</v>
      </c>
      <c r="K248" s="14" t="s">
        <v>648</v>
      </c>
    </row>
    <row r="249" spans="1:11" ht="105" x14ac:dyDescent="0.2">
      <c r="B249" s="5">
        <f>B248</f>
        <v>45575</v>
      </c>
      <c r="C249" s="6" t="s">
        <v>40</v>
      </c>
      <c r="D249" s="7">
        <v>0.75</v>
      </c>
      <c r="E249" s="8" t="s">
        <v>1</v>
      </c>
      <c r="F249" s="8">
        <v>3</v>
      </c>
      <c r="G249" s="8" t="s">
        <v>649</v>
      </c>
      <c r="H249" s="73">
        <v>2.4E-2</v>
      </c>
      <c r="I249" s="73">
        <v>2.3E-2</v>
      </c>
      <c r="J249" s="73">
        <v>2.5000000000000001E-2</v>
      </c>
      <c r="K249" s="14" t="s">
        <v>650</v>
      </c>
    </row>
    <row r="250" spans="1:11" ht="131" x14ac:dyDescent="0.2">
      <c r="B250" s="5">
        <f>B249</f>
        <v>45575</v>
      </c>
      <c r="C250" s="6" t="s">
        <v>40</v>
      </c>
      <c r="D250" s="7">
        <v>0.75</v>
      </c>
      <c r="E250" s="8" t="s">
        <v>1</v>
      </c>
      <c r="F250" s="8">
        <v>3</v>
      </c>
      <c r="G250" s="8" t="s">
        <v>411</v>
      </c>
      <c r="H250" s="73">
        <v>2E-3</v>
      </c>
      <c r="I250" s="73">
        <v>1E-3</v>
      </c>
      <c r="J250" s="73">
        <v>2E-3</v>
      </c>
      <c r="K250" s="14" t="s">
        <v>648</v>
      </c>
    </row>
    <row r="251" spans="1:11" x14ac:dyDescent="0.2">
      <c r="B251" s="5">
        <f>B250</f>
        <v>45575</v>
      </c>
      <c r="C251" s="6" t="s">
        <v>40</v>
      </c>
      <c r="D251" s="7">
        <v>0.75</v>
      </c>
      <c r="E251" s="8" t="s">
        <v>1</v>
      </c>
      <c r="F251" s="8">
        <v>3</v>
      </c>
      <c r="G251" s="8" t="s">
        <v>14</v>
      </c>
      <c r="H251" s="73" t="s">
        <v>678</v>
      </c>
      <c r="I251" s="73" t="s">
        <v>268</v>
      </c>
      <c r="J251" s="73" t="s">
        <v>638</v>
      </c>
      <c r="K251" s="14" t="s">
        <v>651</v>
      </c>
    </row>
    <row r="252" spans="1:11" ht="131" x14ac:dyDescent="0.2">
      <c r="B252" s="5">
        <f>B251</f>
        <v>45575</v>
      </c>
      <c r="C252" s="6" t="s">
        <v>40</v>
      </c>
      <c r="D252" s="7">
        <v>0.9375</v>
      </c>
      <c r="E252" s="8" t="s">
        <v>1</v>
      </c>
      <c r="F252" s="8">
        <v>3</v>
      </c>
      <c r="G252" s="8" t="s">
        <v>174</v>
      </c>
      <c r="H252" s="80">
        <v>4.3889999999999998E-2</v>
      </c>
      <c r="I252" s="73"/>
      <c r="J252" s="80">
        <v>4.0149999999999998E-2</v>
      </c>
      <c r="K252" s="14" t="s">
        <v>652</v>
      </c>
    </row>
    <row r="253" spans="1:11" ht="79" x14ac:dyDescent="0.2">
      <c r="B253" s="5">
        <f>B252+1</f>
        <v>45576</v>
      </c>
      <c r="C253" s="6" t="s">
        <v>39</v>
      </c>
      <c r="D253" s="7">
        <v>0.47916666666666669</v>
      </c>
      <c r="E253" s="8" t="s">
        <v>53</v>
      </c>
      <c r="F253" s="8">
        <v>3</v>
      </c>
      <c r="G253" s="8" t="s">
        <v>653</v>
      </c>
      <c r="H253" s="73">
        <v>2E-3</v>
      </c>
      <c r="I253" s="73">
        <v>2E-3</v>
      </c>
      <c r="J253" s="80">
        <v>0</v>
      </c>
      <c r="K253" s="14" t="s">
        <v>654</v>
      </c>
    </row>
    <row r="254" spans="1:11" ht="105" x14ac:dyDescent="0.2">
      <c r="B254" s="5">
        <f t="shared" ref="B254:E259" si="4">B253</f>
        <v>45576</v>
      </c>
      <c r="C254" s="6" t="s">
        <v>39</v>
      </c>
      <c r="D254" s="7">
        <v>0.47916666666666669</v>
      </c>
      <c r="E254" s="8" t="s">
        <v>22</v>
      </c>
      <c r="F254" s="8">
        <v>3</v>
      </c>
      <c r="G254" s="8" t="s">
        <v>388</v>
      </c>
      <c r="H254" s="80">
        <v>0</v>
      </c>
      <c r="I254" s="80">
        <v>0</v>
      </c>
      <c r="J254" s="80">
        <v>-1E-3</v>
      </c>
      <c r="K254" s="14" t="s">
        <v>389</v>
      </c>
    </row>
    <row r="255" spans="1:11" ht="131" x14ac:dyDescent="0.2">
      <c r="B255" s="5">
        <f t="shared" si="4"/>
        <v>45576</v>
      </c>
      <c r="C255" s="6" t="s">
        <v>39</v>
      </c>
      <c r="D255" s="7">
        <v>0.75</v>
      </c>
      <c r="E255" s="8" t="s">
        <v>1</v>
      </c>
      <c r="F255" s="8">
        <v>3</v>
      </c>
      <c r="G255" s="8" t="s">
        <v>655</v>
      </c>
      <c r="H255" s="80">
        <v>0</v>
      </c>
      <c r="I255" s="80">
        <v>1E-3</v>
      </c>
      <c r="J255" s="80">
        <v>2E-3</v>
      </c>
      <c r="K255" s="14" t="s">
        <v>656</v>
      </c>
    </row>
    <row r="256" spans="1:11" ht="79" x14ac:dyDescent="0.2">
      <c r="B256" s="5">
        <f t="shared" si="4"/>
        <v>45576</v>
      </c>
      <c r="C256" s="6" t="s">
        <v>39</v>
      </c>
      <c r="D256" s="7">
        <v>0.8125</v>
      </c>
      <c r="E256" s="8" t="s">
        <v>1</v>
      </c>
      <c r="F256" s="8">
        <v>2</v>
      </c>
      <c r="G256" s="8" t="s">
        <v>657</v>
      </c>
      <c r="H256" s="80">
        <v>2.9000000000000001E-2</v>
      </c>
      <c r="I256" s="80">
        <v>2.7E-2</v>
      </c>
      <c r="J256" s="80">
        <v>2.7E-2</v>
      </c>
      <c r="K256" s="14" t="s">
        <v>658</v>
      </c>
    </row>
    <row r="257" spans="1:11" ht="66" x14ac:dyDescent="0.2">
      <c r="B257" s="5">
        <f t="shared" si="4"/>
        <v>45576</v>
      </c>
      <c r="C257" s="5" t="str">
        <f t="shared" si="4"/>
        <v>Fri</v>
      </c>
      <c r="D257" s="7">
        <f>D256</f>
        <v>0.8125</v>
      </c>
      <c r="E257" s="5" t="str">
        <f t="shared" si="4"/>
        <v>USD</v>
      </c>
      <c r="F257" s="8">
        <v>2</v>
      </c>
      <c r="G257" s="8" t="s">
        <v>659</v>
      </c>
      <c r="H257" s="80">
        <v>0.03</v>
      </c>
      <c r="I257" s="80">
        <v>0.03</v>
      </c>
      <c r="J257" s="80">
        <v>3.1E-2</v>
      </c>
      <c r="K257" s="14" t="s">
        <v>660</v>
      </c>
    </row>
    <row r="258" spans="1:11" ht="66" x14ac:dyDescent="0.2">
      <c r="B258" s="5">
        <f t="shared" si="4"/>
        <v>45576</v>
      </c>
      <c r="C258" s="5" t="str">
        <f>C257</f>
        <v>Fri</v>
      </c>
      <c r="D258" s="7">
        <f>D257</f>
        <v>0.8125</v>
      </c>
      <c r="E258" s="5" t="str">
        <f t="shared" si="4"/>
        <v>USD</v>
      </c>
      <c r="F258" s="8">
        <v>2</v>
      </c>
      <c r="G258" s="8" t="s">
        <v>661</v>
      </c>
      <c r="H258" s="74">
        <v>72.900000000000006</v>
      </c>
      <c r="I258" s="74">
        <v>75</v>
      </c>
      <c r="J258" s="74">
        <v>74.400000000000006</v>
      </c>
      <c r="K258" s="14" t="s">
        <v>662</v>
      </c>
    </row>
    <row r="259" spans="1:11" ht="92" x14ac:dyDescent="0.2">
      <c r="B259" s="5">
        <f t="shared" si="4"/>
        <v>45576</v>
      </c>
      <c r="C259" s="5" t="str">
        <f>C258</f>
        <v>Fri</v>
      </c>
      <c r="D259" s="7">
        <f>D258</f>
        <v>0.8125</v>
      </c>
      <c r="E259" s="5" t="str">
        <f>E258</f>
        <v>USD</v>
      </c>
      <c r="F259" s="8">
        <v>2</v>
      </c>
      <c r="G259" s="8" t="s">
        <v>663</v>
      </c>
      <c r="H259" s="74">
        <v>68.900000000000006</v>
      </c>
      <c r="I259" s="74">
        <v>70.900000000000006</v>
      </c>
      <c r="J259" s="74">
        <v>70.099999999999994</v>
      </c>
      <c r="K259" s="14" t="s">
        <v>664</v>
      </c>
    </row>
    <row r="260" spans="1:11" ht="27" x14ac:dyDescent="0.2">
      <c r="B260" s="81">
        <v>45603</v>
      </c>
      <c r="C260" s="82" t="s">
        <v>40</v>
      </c>
      <c r="D260" s="83">
        <v>0.97916666666666663</v>
      </c>
      <c r="E260" s="77" t="s">
        <v>1</v>
      </c>
      <c r="F260" s="77">
        <v>3</v>
      </c>
      <c r="G260" s="77" t="s">
        <v>127</v>
      </c>
      <c r="H260" s="84"/>
      <c r="I260" s="84">
        <v>4.5199999999999997E-2</v>
      </c>
      <c r="J260" s="84">
        <v>4.7500000000000001E-2</v>
      </c>
      <c r="K260" s="14" t="s">
        <v>369</v>
      </c>
    </row>
    <row r="261" spans="1:11" x14ac:dyDescent="0.2">
      <c r="C261" t="s">
        <v>679</v>
      </c>
    </row>
    <row r="262" spans="1:11" ht="183" x14ac:dyDescent="0.2">
      <c r="A262" s="684" t="s">
        <v>105</v>
      </c>
      <c r="B262" s="5">
        <f>B264-2</f>
        <v>45579</v>
      </c>
      <c r="C262" s="6" t="s">
        <v>38</v>
      </c>
      <c r="D262" s="7">
        <v>0.6875</v>
      </c>
      <c r="E262" s="8" t="s">
        <v>1</v>
      </c>
      <c r="F262" s="8">
        <v>2</v>
      </c>
      <c r="G262" s="8" t="s">
        <v>303</v>
      </c>
      <c r="H262" s="73"/>
      <c r="I262" s="73"/>
      <c r="J262" s="73"/>
      <c r="K262" s="14" t="s">
        <v>680</v>
      </c>
    </row>
    <row r="263" spans="1:11" ht="157" x14ac:dyDescent="0.2">
      <c r="B263" s="5">
        <f>B264</f>
        <v>45581</v>
      </c>
      <c r="C263" s="6" t="s">
        <v>38</v>
      </c>
      <c r="D263" s="7">
        <v>0.13541666666666666</v>
      </c>
      <c r="E263" s="8" t="s">
        <v>49</v>
      </c>
      <c r="F263" s="8">
        <v>2</v>
      </c>
      <c r="G263" s="8" t="s">
        <v>681</v>
      </c>
      <c r="H263" s="73">
        <v>2.1999999999999999E-2</v>
      </c>
      <c r="I263" s="73">
        <v>2.1999999999999999E-2</v>
      </c>
      <c r="J263" s="73">
        <v>3.3000000000000002E-2</v>
      </c>
      <c r="K263" s="14" t="s">
        <v>682</v>
      </c>
    </row>
    <row r="264" spans="1:11" ht="105" x14ac:dyDescent="0.2">
      <c r="B264" s="5">
        <v>45581</v>
      </c>
      <c r="C264" s="6" t="s">
        <v>38</v>
      </c>
      <c r="D264" s="7">
        <v>0.47916666666666669</v>
      </c>
      <c r="E264" s="8" t="s">
        <v>53</v>
      </c>
      <c r="F264" s="8">
        <v>3</v>
      </c>
      <c r="G264" s="8" t="s">
        <v>683</v>
      </c>
      <c r="H264" s="73">
        <v>1.7000000000000001E-2</v>
      </c>
      <c r="I264" s="73">
        <v>1.9E-2</v>
      </c>
      <c r="J264" s="73">
        <v>2.1999999999999999E-2</v>
      </c>
      <c r="K264" s="14" t="s">
        <v>684</v>
      </c>
    </row>
    <row r="265" spans="1:11" ht="92" x14ac:dyDescent="0.2">
      <c r="B265" s="5">
        <f>B264+1</f>
        <v>45582</v>
      </c>
      <c r="C265" s="6" t="s">
        <v>38</v>
      </c>
      <c r="D265" s="7">
        <v>0.60416666666666663</v>
      </c>
      <c r="E265" s="8" t="s">
        <v>22</v>
      </c>
      <c r="F265" s="8">
        <v>3</v>
      </c>
      <c r="G265" s="8" t="s">
        <v>685</v>
      </c>
      <c r="H265" s="73">
        <v>1.7000000000000001E-2</v>
      </c>
      <c r="I265" s="73">
        <v>1.7999999999999999E-2</v>
      </c>
      <c r="J265" s="73">
        <v>2.1999999999999999E-2</v>
      </c>
      <c r="K265" s="14" t="s">
        <v>686</v>
      </c>
    </row>
    <row r="266" spans="1:11" x14ac:dyDescent="0.2">
      <c r="B266" s="5">
        <f t="shared" ref="B266:B273" si="5">B265</f>
        <v>45582</v>
      </c>
      <c r="C266" s="6" t="s">
        <v>38</v>
      </c>
      <c r="D266" s="7">
        <v>0.73958333333333337</v>
      </c>
      <c r="E266" s="8" t="s">
        <v>22</v>
      </c>
      <c r="F266" s="8">
        <v>3</v>
      </c>
      <c r="G266" s="8" t="s">
        <v>687</v>
      </c>
      <c r="H266" s="73">
        <v>3.2500000000000001E-2</v>
      </c>
      <c r="I266" s="73">
        <v>3.2500000000000001E-2</v>
      </c>
      <c r="J266" s="73">
        <v>3.5000000000000003E-2</v>
      </c>
      <c r="K266" s="14"/>
    </row>
    <row r="267" spans="1:11" ht="131" x14ac:dyDescent="0.2">
      <c r="B267" s="5">
        <f t="shared" si="5"/>
        <v>45582</v>
      </c>
      <c r="C267" s="6" t="s">
        <v>38</v>
      </c>
      <c r="D267" s="7">
        <f>D266</f>
        <v>0.73958333333333337</v>
      </c>
      <c r="E267" s="8" t="s">
        <v>22</v>
      </c>
      <c r="F267" s="8">
        <v>3</v>
      </c>
      <c r="G267" s="8" t="s">
        <v>688</v>
      </c>
      <c r="H267" s="73">
        <v>3.4000000000000002E-2</v>
      </c>
      <c r="I267" s="73">
        <v>3.4000000000000002E-2</v>
      </c>
      <c r="J267" s="73">
        <v>3.6499999999999998E-2</v>
      </c>
      <c r="K267" s="14" t="s">
        <v>689</v>
      </c>
    </row>
    <row r="268" spans="1:11" ht="92" x14ac:dyDescent="0.2">
      <c r="B268" s="5">
        <f t="shared" si="5"/>
        <v>45582</v>
      </c>
      <c r="C268" s="6" t="s">
        <v>38</v>
      </c>
      <c r="D268" s="7">
        <v>0.75</v>
      </c>
      <c r="E268" s="8" t="s">
        <v>1</v>
      </c>
      <c r="F268" s="8">
        <v>3</v>
      </c>
      <c r="G268" s="8" t="s">
        <v>690</v>
      </c>
      <c r="H268" s="73">
        <v>5.0000000000000001E-3</v>
      </c>
      <c r="I268" s="73">
        <v>1E-3</v>
      </c>
      <c r="J268" s="73">
        <v>1E-3</v>
      </c>
      <c r="K268" s="14" t="s">
        <v>691</v>
      </c>
    </row>
    <row r="269" spans="1:11" ht="92" x14ac:dyDescent="0.2">
      <c r="B269" s="5">
        <f t="shared" si="5"/>
        <v>45582</v>
      </c>
      <c r="C269" s="6" t="s">
        <v>38</v>
      </c>
      <c r="D269" s="7">
        <v>0.75</v>
      </c>
      <c r="E269" s="8" t="s">
        <v>1</v>
      </c>
      <c r="F269" s="8">
        <v>3</v>
      </c>
      <c r="G269" s="8" t="s">
        <v>14</v>
      </c>
      <c r="H269" s="73" t="s">
        <v>171</v>
      </c>
      <c r="I269" s="73" t="s">
        <v>171</v>
      </c>
      <c r="J269" s="73" t="s">
        <v>692</v>
      </c>
      <c r="K269" s="14" t="s">
        <v>693</v>
      </c>
    </row>
    <row r="270" spans="1:11" ht="118" x14ac:dyDescent="0.2">
      <c r="B270" s="5">
        <f t="shared" si="5"/>
        <v>45582</v>
      </c>
      <c r="C270" s="6" t="s">
        <v>38</v>
      </c>
      <c r="D270" s="7">
        <v>0.75</v>
      </c>
      <c r="E270" s="8" t="s">
        <v>1</v>
      </c>
      <c r="F270" s="8">
        <v>3</v>
      </c>
      <c r="G270" s="8" t="s">
        <v>694</v>
      </c>
      <c r="H270" s="74">
        <v>10.3</v>
      </c>
      <c r="I270" s="74">
        <v>4.2</v>
      </c>
      <c r="J270" s="74">
        <v>1.7</v>
      </c>
      <c r="K270" s="14" t="s">
        <v>695</v>
      </c>
    </row>
    <row r="271" spans="1:11" ht="92" x14ac:dyDescent="0.2">
      <c r="B271" s="5">
        <f t="shared" si="5"/>
        <v>45582</v>
      </c>
      <c r="C271" s="6" t="s">
        <v>38</v>
      </c>
      <c r="D271" s="7">
        <v>0.75</v>
      </c>
      <c r="E271" s="8" t="s">
        <v>1</v>
      </c>
      <c r="F271" s="8">
        <v>3</v>
      </c>
      <c r="G271" s="8" t="s">
        <v>696</v>
      </c>
      <c r="H271" s="73">
        <v>4.0000000000000001E-3</v>
      </c>
      <c r="I271" s="73">
        <v>3.0000000000000001E-3</v>
      </c>
      <c r="J271" s="73">
        <v>1E-3</v>
      </c>
      <c r="K271" s="14" t="s">
        <v>697</v>
      </c>
    </row>
    <row r="272" spans="1:11" ht="105" x14ac:dyDescent="0.2">
      <c r="B272" s="5">
        <f t="shared" si="5"/>
        <v>45582</v>
      </c>
      <c r="C272" s="6" t="s">
        <v>38</v>
      </c>
      <c r="D272" s="7">
        <v>0.76041666666666663</v>
      </c>
      <c r="E272" s="8" t="s">
        <v>1</v>
      </c>
      <c r="F272" s="8">
        <v>3</v>
      </c>
      <c r="G272" s="8" t="s">
        <v>74</v>
      </c>
      <c r="H272" s="73"/>
      <c r="I272" s="73"/>
      <c r="J272" s="73"/>
      <c r="K272" s="14" t="s">
        <v>698</v>
      </c>
    </row>
    <row r="273" spans="1:11" ht="131" x14ac:dyDescent="0.2">
      <c r="B273" s="5">
        <f t="shared" si="5"/>
        <v>45582</v>
      </c>
      <c r="C273" s="6" t="s">
        <v>38</v>
      </c>
      <c r="D273" s="7">
        <v>0.85416666666666663</v>
      </c>
      <c r="E273" s="8" t="s">
        <v>1</v>
      </c>
      <c r="F273" s="8">
        <v>3</v>
      </c>
      <c r="G273" s="8" t="s">
        <v>9</v>
      </c>
      <c r="H273" s="78" t="s">
        <v>699</v>
      </c>
      <c r="I273" s="73" t="s">
        <v>700</v>
      </c>
      <c r="J273" s="73" t="s">
        <v>677</v>
      </c>
      <c r="K273" s="14" t="s">
        <v>701</v>
      </c>
    </row>
    <row r="274" spans="1:11" ht="92" x14ac:dyDescent="0.2">
      <c r="B274" s="5">
        <f>B273+1</f>
        <v>45583</v>
      </c>
      <c r="C274" s="6" t="s">
        <v>38</v>
      </c>
      <c r="D274" s="7">
        <v>0.3125</v>
      </c>
      <c r="E274" s="8" t="s">
        <v>65</v>
      </c>
      <c r="F274" s="8">
        <v>3</v>
      </c>
      <c r="G274" s="8" t="s">
        <v>702</v>
      </c>
      <c r="H274" s="73">
        <v>4.5999999999999999E-2</v>
      </c>
      <c r="I274" s="73">
        <v>4.5999999999999999E-2</v>
      </c>
      <c r="J274" s="73">
        <v>4.7E-2</v>
      </c>
      <c r="K274" s="14" t="s">
        <v>703</v>
      </c>
    </row>
    <row r="275" spans="1:11" ht="27" x14ac:dyDescent="0.2">
      <c r="B275" s="81">
        <v>45603</v>
      </c>
      <c r="C275" s="82" t="s">
        <v>40</v>
      </c>
      <c r="D275" s="83">
        <v>0.97916666666666663</v>
      </c>
      <c r="E275" s="77" t="s">
        <v>1</v>
      </c>
      <c r="F275" s="77">
        <v>3</v>
      </c>
      <c r="G275" s="77" t="s">
        <v>127</v>
      </c>
      <c r="H275" s="84"/>
      <c r="I275" s="84">
        <v>4.6600000000000003E-2</v>
      </c>
      <c r="J275" s="84">
        <v>4.8800000000000003E-2</v>
      </c>
      <c r="K275" s="14" t="s">
        <v>369</v>
      </c>
    </row>
    <row r="276" spans="1:11" x14ac:dyDescent="0.2">
      <c r="C276" t="s">
        <v>704</v>
      </c>
      <c r="H276"/>
      <c r="J276" s="1"/>
      <c r="K276" s="25"/>
    </row>
    <row r="277" spans="1:11" ht="157" x14ac:dyDescent="0.2">
      <c r="A277" s="684" t="s">
        <v>105</v>
      </c>
      <c r="B277" s="5">
        <v>45588</v>
      </c>
      <c r="C277" s="6" t="s">
        <v>38</v>
      </c>
      <c r="D277" s="7">
        <v>0.80208333333333337</v>
      </c>
      <c r="E277" s="8" t="s">
        <v>89</v>
      </c>
      <c r="F277" s="8">
        <v>3</v>
      </c>
      <c r="G277" s="8" t="s">
        <v>90</v>
      </c>
      <c r="H277" s="73"/>
      <c r="I277" s="73">
        <v>3.7499999999999999E-2</v>
      </c>
      <c r="J277" s="73">
        <v>4.2500000000000003E-2</v>
      </c>
      <c r="K277" s="14" t="s">
        <v>705</v>
      </c>
    </row>
    <row r="278" spans="1:11" ht="105" x14ac:dyDescent="0.2">
      <c r="B278" s="5">
        <v>45588</v>
      </c>
      <c r="C278" s="6" t="s">
        <v>38</v>
      </c>
      <c r="D278" s="7">
        <v>0.8125</v>
      </c>
      <c r="E278" s="8" t="s">
        <v>1</v>
      </c>
      <c r="F278" s="8">
        <v>3</v>
      </c>
      <c r="G278" s="8" t="s">
        <v>706</v>
      </c>
      <c r="H278" s="73"/>
      <c r="I278" s="73" t="s">
        <v>707</v>
      </c>
      <c r="J278" s="73" t="s">
        <v>349</v>
      </c>
      <c r="K278" s="14" t="s">
        <v>708</v>
      </c>
    </row>
    <row r="279" spans="1:11" ht="131" x14ac:dyDescent="0.2">
      <c r="B279" s="5">
        <f t="shared" ref="B279" si="6">B278</f>
        <v>45588</v>
      </c>
      <c r="C279" s="6" t="s">
        <v>38</v>
      </c>
      <c r="D279" s="7">
        <v>0.83333333333333337</v>
      </c>
      <c r="E279" s="8" t="s">
        <v>1</v>
      </c>
      <c r="F279" s="8">
        <v>3</v>
      </c>
      <c r="G279" s="8" t="s">
        <v>9</v>
      </c>
      <c r="H279" s="78"/>
      <c r="I279" s="73"/>
      <c r="J279" s="78" t="s">
        <v>699</v>
      </c>
      <c r="K279" s="14" t="s">
        <v>701</v>
      </c>
    </row>
    <row r="280" spans="1:11" x14ac:dyDescent="0.2">
      <c r="B280" s="5">
        <f>B281</f>
        <v>45589</v>
      </c>
      <c r="C280" s="6" t="str">
        <f>C281</f>
        <v>Sat</v>
      </c>
      <c r="D280" s="110">
        <f>M280+TIME(5,30,0)</f>
        <v>0.22916666666666666</v>
      </c>
      <c r="E280" s="8" t="s">
        <v>1</v>
      </c>
      <c r="F280" s="8">
        <v>3</v>
      </c>
      <c r="G280" s="8" t="s">
        <v>709</v>
      </c>
      <c r="H280" s="78"/>
      <c r="I280" s="19">
        <v>0.6</v>
      </c>
      <c r="J280" s="19">
        <v>0.66</v>
      </c>
      <c r="K280" s="14" t="s">
        <v>710</v>
      </c>
    </row>
    <row r="281" spans="1:11" ht="92" x14ac:dyDescent="0.2">
      <c r="B281" s="5">
        <f>B278+1</f>
        <v>45589</v>
      </c>
      <c r="C281" s="6" t="s">
        <v>38</v>
      </c>
      <c r="D281" s="7">
        <v>0.58333333333333337</v>
      </c>
      <c r="E281" s="8" t="s">
        <v>53</v>
      </c>
      <c r="F281" s="8">
        <v>2</v>
      </c>
      <c r="G281" s="8" t="s">
        <v>711</v>
      </c>
      <c r="H281" s="73"/>
      <c r="I281" s="74"/>
      <c r="J281" s="74">
        <v>52.6</v>
      </c>
      <c r="K281" s="14" t="s">
        <v>712</v>
      </c>
    </row>
    <row r="282" spans="1:11" ht="92" x14ac:dyDescent="0.2">
      <c r="B282" s="5">
        <f>B279+1</f>
        <v>45589</v>
      </c>
      <c r="C282" s="6" t="s">
        <v>38</v>
      </c>
      <c r="D282" s="7">
        <v>0.75</v>
      </c>
      <c r="E282" s="8" t="s">
        <v>1</v>
      </c>
      <c r="F282" s="8">
        <v>3</v>
      </c>
      <c r="G282" s="8" t="s">
        <v>14</v>
      </c>
      <c r="H282" s="73"/>
      <c r="I282" s="73" t="s">
        <v>99</v>
      </c>
      <c r="J282" s="73" t="s">
        <v>171</v>
      </c>
      <c r="K282" s="14" t="s">
        <v>693</v>
      </c>
    </row>
    <row r="283" spans="1:11" ht="157" x14ac:dyDescent="0.2">
      <c r="B283" s="5">
        <f t="shared" ref="B283:C285" si="7">B282</f>
        <v>45589</v>
      </c>
      <c r="C283" s="6" t="str">
        <f t="shared" si="7"/>
        <v>Sat</v>
      </c>
      <c r="D283" s="7">
        <v>0.80208333333333337</v>
      </c>
      <c r="E283" s="8" t="s">
        <v>1</v>
      </c>
      <c r="F283" s="8">
        <v>3</v>
      </c>
      <c r="G283" s="8" t="s">
        <v>713</v>
      </c>
      <c r="H283" s="73"/>
      <c r="I283" s="74">
        <v>47.5</v>
      </c>
      <c r="J283" s="74">
        <v>47.3</v>
      </c>
      <c r="K283" s="14" t="s">
        <v>714</v>
      </c>
    </row>
    <row r="284" spans="1:11" ht="131" x14ac:dyDescent="0.2">
      <c r="B284" s="5">
        <f t="shared" si="7"/>
        <v>45589</v>
      </c>
      <c r="C284" s="6" t="str">
        <f t="shared" si="7"/>
        <v>Sat</v>
      </c>
      <c r="D284" s="7">
        <v>0.80208333333333337</v>
      </c>
      <c r="E284" s="8" t="s">
        <v>1</v>
      </c>
      <c r="F284" s="8">
        <v>3</v>
      </c>
      <c r="G284" s="8" t="s">
        <v>715</v>
      </c>
      <c r="H284" s="73"/>
      <c r="I284" s="74">
        <v>55</v>
      </c>
      <c r="J284" s="74">
        <v>55.2</v>
      </c>
      <c r="K284" s="14" t="s">
        <v>716</v>
      </c>
    </row>
    <row r="285" spans="1:11" ht="105" x14ac:dyDescent="0.2">
      <c r="B285" s="5">
        <f t="shared" si="7"/>
        <v>45589</v>
      </c>
      <c r="C285" s="6" t="str">
        <f t="shared" si="7"/>
        <v>Sat</v>
      </c>
      <c r="D285" s="7">
        <v>0.8125</v>
      </c>
      <c r="E285" s="8" t="s">
        <v>1</v>
      </c>
      <c r="F285" s="8">
        <v>3</v>
      </c>
      <c r="G285" s="8" t="s">
        <v>717</v>
      </c>
      <c r="H285" s="73"/>
      <c r="I285" s="73" t="s">
        <v>718</v>
      </c>
      <c r="J285" s="73" t="s">
        <v>378</v>
      </c>
      <c r="K285" s="14" t="s">
        <v>719</v>
      </c>
    </row>
    <row r="286" spans="1:11" ht="92" x14ac:dyDescent="0.2">
      <c r="B286" s="5">
        <f>B285+1</f>
        <v>45590</v>
      </c>
      <c r="C286" s="6" t="s">
        <v>38</v>
      </c>
      <c r="D286" s="7">
        <v>0.75</v>
      </c>
      <c r="E286" s="8" t="s">
        <v>1</v>
      </c>
      <c r="F286" s="8">
        <v>3</v>
      </c>
      <c r="G286" s="8" t="s">
        <v>720</v>
      </c>
      <c r="H286" s="73"/>
      <c r="I286" s="111">
        <v>-1.0999999999999999E-2</v>
      </c>
      <c r="J286" s="111">
        <v>0</v>
      </c>
      <c r="K286" s="14" t="s">
        <v>721</v>
      </c>
    </row>
    <row r="287" spans="1:11" ht="27" x14ac:dyDescent="0.2">
      <c r="B287" s="81">
        <v>45603</v>
      </c>
      <c r="C287" s="82" t="s">
        <v>40</v>
      </c>
      <c r="D287" s="83">
        <v>0.97916666666666663</v>
      </c>
      <c r="E287" s="77" t="s">
        <v>1</v>
      </c>
      <c r="F287" s="77">
        <v>3</v>
      </c>
      <c r="G287" s="77" t="s">
        <v>127</v>
      </c>
      <c r="H287" s="84"/>
      <c r="I287" s="84">
        <v>4.6399999999999997E-2</v>
      </c>
      <c r="J287" s="84">
        <v>4.8800000000000003E-2</v>
      </c>
      <c r="K287" s="14" t="s">
        <v>369</v>
      </c>
    </row>
    <row r="288" spans="1:11" x14ac:dyDescent="0.2">
      <c r="C288" t="s">
        <v>722</v>
      </c>
      <c r="H288"/>
      <c r="J288" s="1"/>
      <c r="K288" s="25"/>
    </row>
    <row r="289" spans="1:11" ht="105" x14ac:dyDescent="0.2">
      <c r="A289" s="684" t="s">
        <v>105</v>
      </c>
      <c r="B289" s="5">
        <v>45594</v>
      </c>
      <c r="C289" s="6" t="s">
        <v>38</v>
      </c>
      <c r="D289" s="7">
        <v>0.8125</v>
      </c>
      <c r="E289" s="8" t="s">
        <v>1</v>
      </c>
      <c r="F289" s="8">
        <v>3</v>
      </c>
      <c r="G289" s="8" t="s">
        <v>817</v>
      </c>
      <c r="H289" s="73"/>
      <c r="I289" s="74">
        <v>99.2</v>
      </c>
      <c r="J289" s="74">
        <v>98.7</v>
      </c>
      <c r="K289" s="14" t="s">
        <v>818</v>
      </c>
    </row>
    <row r="290" spans="1:11" ht="144" x14ac:dyDescent="0.2">
      <c r="B290" s="5">
        <f>B289</f>
        <v>45594</v>
      </c>
      <c r="C290" s="6" t="s">
        <v>38</v>
      </c>
      <c r="D290" s="7">
        <f>D289</f>
        <v>0.8125</v>
      </c>
      <c r="E290" s="8" t="s">
        <v>1</v>
      </c>
      <c r="F290" s="8">
        <v>3</v>
      </c>
      <c r="G290" s="8" t="s">
        <v>819</v>
      </c>
      <c r="H290" s="73"/>
      <c r="I290" s="74" t="s">
        <v>820</v>
      </c>
      <c r="J290" s="74" t="s">
        <v>634</v>
      </c>
      <c r="K290" s="14" t="s">
        <v>821</v>
      </c>
    </row>
    <row r="291" spans="1:11" x14ac:dyDescent="0.2">
      <c r="B291" s="5">
        <f>B289+1</f>
        <v>45595</v>
      </c>
      <c r="C291" s="6" t="s">
        <v>38</v>
      </c>
      <c r="D291" s="7">
        <v>6.25E-2</v>
      </c>
      <c r="E291" s="8" t="s">
        <v>1</v>
      </c>
      <c r="F291" s="8">
        <v>3</v>
      </c>
      <c r="G291" s="8" t="s">
        <v>822</v>
      </c>
      <c r="H291" s="73"/>
      <c r="I291" s="19">
        <v>1.84</v>
      </c>
      <c r="J291" s="19">
        <v>1.55</v>
      </c>
      <c r="K291" s="14" t="s">
        <v>823</v>
      </c>
    </row>
    <row r="292" spans="1:11" x14ac:dyDescent="0.2">
      <c r="B292" s="5">
        <f>B290+1</f>
        <v>45595</v>
      </c>
      <c r="C292" s="6" t="s">
        <v>38</v>
      </c>
      <c r="D292" s="7">
        <v>6.25E-2</v>
      </c>
      <c r="E292" s="8" t="s">
        <v>1</v>
      </c>
      <c r="F292" s="8">
        <v>3</v>
      </c>
      <c r="G292" s="8" t="s">
        <v>112</v>
      </c>
      <c r="H292" s="73"/>
      <c r="I292" s="19">
        <v>0.92</v>
      </c>
      <c r="J292" s="19">
        <v>0.7</v>
      </c>
      <c r="K292" s="14" t="s">
        <v>823</v>
      </c>
    </row>
    <row r="293" spans="1:11" ht="144" x14ac:dyDescent="0.2">
      <c r="B293" s="5">
        <f>B290+1</f>
        <v>45595</v>
      </c>
      <c r="C293" s="6" t="s">
        <v>38</v>
      </c>
      <c r="D293" s="7">
        <v>0.25</v>
      </c>
      <c r="E293" s="8" t="s">
        <v>357</v>
      </c>
      <c r="F293" s="8">
        <v>2</v>
      </c>
      <c r="G293" s="8" t="s">
        <v>824</v>
      </c>
      <c r="H293" s="73"/>
      <c r="I293" s="84">
        <v>2.3E-2</v>
      </c>
      <c r="J293" s="84">
        <v>3.7999999999999999E-2</v>
      </c>
      <c r="K293" s="14" t="s">
        <v>825</v>
      </c>
    </row>
    <row r="294" spans="1:11" ht="92" x14ac:dyDescent="0.2">
      <c r="B294" s="5">
        <f>B290+1</f>
        <v>45595</v>
      </c>
      <c r="C294" s="6" t="s">
        <v>38</v>
      </c>
      <c r="D294" s="7">
        <v>0.60416666666666663</v>
      </c>
      <c r="E294" s="8" t="s">
        <v>22</v>
      </c>
      <c r="F294" s="8">
        <v>3</v>
      </c>
      <c r="G294" s="8" t="s">
        <v>826</v>
      </c>
      <c r="H294" s="78"/>
      <c r="I294" s="84">
        <v>-1E-3</v>
      </c>
      <c r="J294" s="84">
        <v>-1E-3</v>
      </c>
      <c r="K294" s="14" t="s">
        <v>827</v>
      </c>
    </row>
    <row r="295" spans="1:11" ht="79" x14ac:dyDescent="0.2">
      <c r="B295" s="5">
        <f>B293</f>
        <v>45595</v>
      </c>
      <c r="C295" s="6" t="str">
        <f>C293</f>
        <v>Sat</v>
      </c>
      <c r="D295" s="7">
        <v>0.64583333333333337</v>
      </c>
      <c r="E295" s="8" t="s">
        <v>22</v>
      </c>
      <c r="F295" s="8">
        <v>3</v>
      </c>
      <c r="G295" s="8" t="s">
        <v>828</v>
      </c>
      <c r="H295" s="78"/>
      <c r="I295" s="84">
        <v>8.0000000000000002E-3</v>
      </c>
      <c r="J295" s="84">
        <v>6.0000000000000001E-3</v>
      </c>
      <c r="K295" s="14" t="s">
        <v>829</v>
      </c>
    </row>
    <row r="296" spans="1:11" ht="66" x14ac:dyDescent="0.2">
      <c r="B296" s="5">
        <f>B294</f>
        <v>45595</v>
      </c>
      <c r="C296" s="6" t="str">
        <f>C294</f>
        <v>Sat</v>
      </c>
      <c r="D296" s="7">
        <v>0.64583333333333337</v>
      </c>
      <c r="E296" s="8" t="s">
        <v>53</v>
      </c>
      <c r="F296" s="8">
        <v>3</v>
      </c>
      <c r="G296" s="8" t="s">
        <v>830</v>
      </c>
      <c r="H296" s="78"/>
      <c r="I296" s="19"/>
      <c r="J296" s="19"/>
      <c r="K296" s="14" t="s">
        <v>831</v>
      </c>
    </row>
    <row r="297" spans="1:11" ht="131" x14ac:dyDescent="0.2">
      <c r="B297" s="5">
        <f t="shared" ref="B297:C300" si="8">B296</f>
        <v>45595</v>
      </c>
      <c r="C297" s="6" t="str">
        <f t="shared" si="8"/>
        <v>Sat</v>
      </c>
      <c r="D297" s="7">
        <v>0.73958333333333337</v>
      </c>
      <c r="E297" s="8" t="s">
        <v>1</v>
      </c>
      <c r="F297" s="8">
        <v>3</v>
      </c>
      <c r="G297" s="8" t="s">
        <v>832</v>
      </c>
      <c r="H297" s="73"/>
      <c r="I297" s="74" t="s">
        <v>833</v>
      </c>
      <c r="J297" s="74" t="s">
        <v>635</v>
      </c>
      <c r="K297" s="14" t="s">
        <v>834</v>
      </c>
    </row>
    <row r="298" spans="1:11" ht="105" x14ac:dyDescent="0.2">
      <c r="B298" s="5">
        <f t="shared" si="8"/>
        <v>45595</v>
      </c>
      <c r="C298" s="6" t="str">
        <f t="shared" si="8"/>
        <v>Sat</v>
      </c>
      <c r="D298" s="7">
        <v>0.75</v>
      </c>
      <c r="E298" s="8" t="s">
        <v>1</v>
      </c>
      <c r="F298" s="8">
        <v>3</v>
      </c>
      <c r="G298" s="8" t="s">
        <v>835</v>
      </c>
      <c r="H298" s="73"/>
      <c r="I298" s="84">
        <v>0.03</v>
      </c>
      <c r="J298" s="84">
        <v>0.03</v>
      </c>
      <c r="K298" s="14" t="s">
        <v>836</v>
      </c>
    </row>
    <row r="299" spans="1:11" ht="105" x14ac:dyDescent="0.2">
      <c r="B299" s="5">
        <f t="shared" si="8"/>
        <v>45595</v>
      </c>
      <c r="C299" s="6" t="str">
        <f t="shared" si="8"/>
        <v>Sat</v>
      </c>
      <c r="D299" s="7">
        <v>0.77083333333333337</v>
      </c>
      <c r="E299" s="8" t="s">
        <v>22</v>
      </c>
      <c r="F299" s="8">
        <v>3</v>
      </c>
      <c r="G299" s="8" t="s">
        <v>837</v>
      </c>
      <c r="H299" s="73"/>
      <c r="I299" s="84">
        <v>2E-3</v>
      </c>
      <c r="J299" s="84">
        <v>0</v>
      </c>
      <c r="K299" s="14" t="s">
        <v>838</v>
      </c>
    </row>
    <row r="300" spans="1:11" ht="131" x14ac:dyDescent="0.2">
      <c r="B300" s="5">
        <f t="shared" si="8"/>
        <v>45595</v>
      </c>
      <c r="C300" s="6" t="str">
        <f t="shared" si="8"/>
        <v>Sat</v>
      </c>
      <c r="D300" s="7">
        <v>0.83333333333333337</v>
      </c>
      <c r="E300" s="8" t="s">
        <v>1</v>
      </c>
      <c r="F300" s="8">
        <v>3</v>
      </c>
      <c r="G300" s="8" t="s">
        <v>9</v>
      </c>
      <c r="H300" s="73"/>
      <c r="I300" s="74"/>
      <c r="J300" s="74" t="s">
        <v>839</v>
      </c>
      <c r="K300" s="14" t="s">
        <v>840</v>
      </c>
    </row>
    <row r="301" spans="1:11" x14ac:dyDescent="0.2">
      <c r="B301" s="5">
        <f>B299+1</f>
        <v>45596</v>
      </c>
      <c r="C301" s="6" t="s">
        <v>38</v>
      </c>
      <c r="D301" s="7">
        <v>6.25E-2</v>
      </c>
      <c r="E301" s="8" t="s">
        <v>1</v>
      </c>
      <c r="F301" s="8">
        <v>3</v>
      </c>
      <c r="G301" s="8" t="s">
        <v>114</v>
      </c>
      <c r="H301" s="73"/>
      <c r="I301" s="19">
        <v>3.1</v>
      </c>
      <c r="J301" s="19">
        <v>2.99</v>
      </c>
      <c r="K301" s="14" t="s">
        <v>823</v>
      </c>
    </row>
    <row r="302" spans="1:11" x14ac:dyDescent="0.2">
      <c r="B302" s="5">
        <f>B300+1</f>
        <v>45596</v>
      </c>
      <c r="C302" s="6" t="s">
        <v>38</v>
      </c>
      <c r="D302" s="7">
        <v>6.25E-2</v>
      </c>
      <c r="E302" s="8" t="s">
        <v>1</v>
      </c>
      <c r="F302" s="8">
        <v>3</v>
      </c>
      <c r="G302" s="8" t="s">
        <v>841</v>
      </c>
      <c r="H302" s="73"/>
      <c r="I302" s="19">
        <v>5.21</v>
      </c>
      <c r="J302" s="19">
        <v>4.3899999999999997</v>
      </c>
      <c r="K302" s="14" t="s">
        <v>823</v>
      </c>
    </row>
    <row r="303" spans="1:11" ht="157" x14ac:dyDescent="0.2">
      <c r="B303" s="5">
        <f>B300+1</f>
        <v>45596</v>
      </c>
      <c r="C303" s="6" t="s">
        <v>38</v>
      </c>
      <c r="D303" s="7">
        <v>0.29166666666666669</v>
      </c>
      <c r="E303" s="8" t="s">
        <v>65</v>
      </c>
      <c r="F303" s="8">
        <v>3</v>
      </c>
      <c r="G303" s="8" t="s">
        <v>842</v>
      </c>
      <c r="H303" s="73"/>
      <c r="I303" s="74">
        <v>50</v>
      </c>
      <c r="J303" s="74">
        <v>49.8</v>
      </c>
      <c r="K303" s="14" t="s">
        <v>843</v>
      </c>
    </row>
    <row r="304" spans="1:11" ht="92" x14ac:dyDescent="0.2">
      <c r="B304" s="5">
        <f>B303</f>
        <v>45596</v>
      </c>
      <c r="C304" s="6" t="str">
        <f>C303</f>
        <v>Sat</v>
      </c>
      <c r="D304" s="7">
        <v>0.35416666666666669</v>
      </c>
      <c r="E304" s="8" t="s">
        <v>117</v>
      </c>
      <c r="F304" s="8">
        <v>3</v>
      </c>
      <c r="G304" s="8" t="s">
        <v>118</v>
      </c>
      <c r="H304" s="73"/>
      <c r="I304" s="73">
        <v>2.5000000000000001E-3</v>
      </c>
      <c r="J304" s="73">
        <v>2.5000000000000001E-3</v>
      </c>
      <c r="K304" s="14" t="s">
        <v>844</v>
      </c>
    </row>
    <row r="305" spans="1:11" ht="92" x14ac:dyDescent="0.2">
      <c r="B305" s="5">
        <f>B304</f>
        <v>45596</v>
      </c>
      <c r="C305" s="6" t="str">
        <f t="shared" ref="C305:C309" si="9">C304</f>
        <v>Sat</v>
      </c>
      <c r="D305" s="7">
        <v>0.64583333333333337</v>
      </c>
      <c r="E305" s="8" t="s">
        <v>22</v>
      </c>
      <c r="F305" s="8">
        <v>3</v>
      </c>
      <c r="G305" s="8" t="s">
        <v>845</v>
      </c>
      <c r="H305" s="73"/>
      <c r="I305" s="73">
        <v>1.9E-2</v>
      </c>
      <c r="J305" s="73">
        <v>1.7000000000000001E-2</v>
      </c>
      <c r="K305" s="14" t="s">
        <v>846</v>
      </c>
    </row>
    <row r="306" spans="1:11" ht="79" x14ac:dyDescent="0.2">
      <c r="B306" s="5">
        <f>B305</f>
        <v>45596</v>
      </c>
      <c r="C306" s="6" t="str">
        <f t="shared" si="9"/>
        <v>Sat</v>
      </c>
      <c r="D306" s="7">
        <v>0.75</v>
      </c>
      <c r="E306" s="8" t="s">
        <v>1</v>
      </c>
      <c r="F306" s="8">
        <v>3</v>
      </c>
      <c r="G306" s="8" t="s">
        <v>847</v>
      </c>
      <c r="H306" s="73"/>
      <c r="I306" s="73"/>
      <c r="J306" s="73">
        <v>2.7E-2</v>
      </c>
      <c r="K306" s="14" t="s">
        <v>848</v>
      </c>
    </row>
    <row r="307" spans="1:11" ht="118" x14ac:dyDescent="0.2">
      <c r="B307" s="5">
        <f>B306</f>
        <v>45596</v>
      </c>
      <c r="C307" s="6" t="str">
        <f t="shared" si="9"/>
        <v>Sat</v>
      </c>
      <c r="D307" s="7">
        <f>D306</f>
        <v>0.75</v>
      </c>
      <c r="E307" s="8" t="str">
        <f>E306</f>
        <v>USD</v>
      </c>
      <c r="F307" s="8">
        <v>3</v>
      </c>
      <c r="G307" s="8" t="s">
        <v>849</v>
      </c>
      <c r="H307" s="73"/>
      <c r="I307" s="73">
        <v>3.0000000000000001E-3</v>
      </c>
      <c r="J307" s="73">
        <v>1E-3</v>
      </c>
      <c r="K307" s="14" t="s">
        <v>850</v>
      </c>
    </row>
    <row r="308" spans="1:11" ht="79" x14ac:dyDescent="0.2">
      <c r="B308" s="5">
        <f>B307</f>
        <v>45596</v>
      </c>
      <c r="C308" s="6" t="str">
        <f t="shared" si="9"/>
        <v>Sat</v>
      </c>
      <c r="D308" s="7">
        <f>D307</f>
        <v>0.75</v>
      </c>
      <c r="E308" s="8" t="str">
        <f>E307</f>
        <v>USD</v>
      </c>
      <c r="F308" s="8">
        <v>3</v>
      </c>
      <c r="G308" s="8" t="s">
        <v>14</v>
      </c>
      <c r="H308" s="73"/>
      <c r="I308" s="73" t="s">
        <v>268</v>
      </c>
      <c r="J308" s="73" t="s">
        <v>209</v>
      </c>
      <c r="K308" s="14" t="s">
        <v>851</v>
      </c>
    </row>
    <row r="309" spans="1:11" ht="118" x14ac:dyDescent="0.2">
      <c r="B309" s="5">
        <f>B308</f>
        <v>45596</v>
      </c>
      <c r="C309" s="6" t="str">
        <f t="shared" si="9"/>
        <v>Sat</v>
      </c>
      <c r="D309" s="7">
        <v>0.80208333333333337</v>
      </c>
      <c r="E309" s="8" t="s">
        <v>1</v>
      </c>
      <c r="F309" s="8">
        <v>3</v>
      </c>
      <c r="G309" s="8" t="s">
        <v>852</v>
      </c>
      <c r="H309" s="73"/>
      <c r="I309" s="74">
        <v>47.1</v>
      </c>
      <c r="J309" s="74">
        <v>46.6</v>
      </c>
      <c r="K309" s="14" t="s">
        <v>853</v>
      </c>
    </row>
    <row r="310" spans="1:11" x14ac:dyDescent="0.2">
      <c r="B310" s="5">
        <f>B311</f>
        <v>45597</v>
      </c>
      <c r="C310" s="6" t="s">
        <v>38</v>
      </c>
      <c r="D310" s="7">
        <v>6.25E-2</v>
      </c>
      <c r="E310" s="8" t="s">
        <v>1</v>
      </c>
      <c r="F310" s="8">
        <v>3</v>
      </c>
      <c r="G310" s="8" t="s">
        <v>854</v>
      </c>
      <c r="H310" s="73"/>
      <c r="I310" s="19">
        <v>1.1399999999999999</v>
      </c>
      <c r="J310" s="19"/>
      <c r="K310" s="14" t="s">
        <v>855</v>
      </c>
    </row>
    <row r="311" spans="1:11" ht="157" x14ac:dyDescent="0.2">
      <c r="B311" s="5">
        <f>B312</f>
        <v>45597</v>
      </c>
      <c r="C311" s="6" t="s">
        <v>38</v>
      </c>
      <c r="D311" s="7">
        <f>D310</f>
        <v>6.25E-2</v>
      </c>
      <c r="E311" s="8" t="s">
        <v>1</v>
      </c>
      <c r="F311" s="8">
        <v>3</v>
      </c>
      <c r="G311" s="8" t="s">
        <v>856</v>
      </c>
      <c r="H311" s="73"/>
      <c r="I311" s="19">
        <v>1.59</v>
      </c>
      <c r="J311" s="19">
        <v>1.4</v>
      </c>
      <c r="K311" s="14" t="s">
        <v>857</v>
      </c>
    </row>
    <row r="312" spans="1:11" ht="131" x14ac:dyDescent="0.2">
      <c r="B312" s="5">
        <f>B309+1</f>
        <v>45597</v>
      </c>
      <c r="C312" s="6" t="s">
        <v>38</v>
      </c>
      <c r="D312" s="7">
        <v>0.75</v>
      </c>
      <c r="E312" s="8" t="s">
        <v>1</v>
      </c>
      <c r="F312" s="8">
        <v>3</v>
      </c>
      <c r="G312" s="8" t="s">
        <v>858</v>
      </c>
      <c r="H312" s="73"/>
      <c r="I312" s="73">
        <v>3.0000000000000001E-3</v>
      </c>
      <c r="J312" s="73">
        <v>4.0000000000000001E-3</v>
      </c>
      <c r="K312" s="14" t="s">
        <v>859</v>
      </c>
    </row>
    <row r="313" spans="1:11" ht="131" x14ac:dyDescent="0.2">
      <c r="B313" s="5">
        <f>B312</f>
        <v>45597</v>
      </c>
      <c r="C313" s="6" t="str">
        <f>C312</f>
        <v>Sat</v>
      </c>
      <c r="D313" s="7">
        <v>0.75</v>
      </c>
      <c r="E313" s="8" t="s">
        <v>1</v>
      </c>
      <c r="F313" s="8">
        <v>3</v>
      </c>
      <c r="G313" s="8" t="s">
        <v>860</v>
      </c>
      <c r="H313" s="73"/>
      <c r="I313" s="73" t="s">
        <v>547</v>
      </c>
      <c r="J313" s="73" t="s">
        <v>641</v>
      </c>
      <c r="K313" s="14" t="s">
        <v>859</v>
      </c>
    </row>
    <row r="314" spans="1:11" ht="131" x14ac:dyDescent="0.2">
      <c r="B314" s="5">
        <f t="shared" ref="B314:C317" si="10">B313</f>
        <v>45597</v>
      </c>
      <c r="C314" s="6" t="str">
        <f t="shared" si="10"/>
        <v>Sat</v>
      </c>
      <c r="D314" s="7">
        <v>0.75</v>
      </c>
      <c r="E314" s="8" t="s">
        <v>1</v>
      </c>
      <c r="F314" s="8">
        <f>F313</f>
        <v>3</v>
      </c>
      <c r="G314" s="8" t="s">
        <v>861</v>
      </c>
      <c r="H314" s="73"/>
      <c r="I314" s="73">
        <v>4.1000000000000002E-2</v>
      </c>
      <c r="J314" s="73">
        <v>4.1000000000000002E-2</v>
      </c>
      <c r="K314" s="14" t="s">
        <v>859</v>
      </c>
    </row>
    <row r="315" spans="1:11" ht="196" x14ac:dyDescent="0.2">
      <c r="B315" s="5">
        <f t="shared" si="10"/>
        <v>45597</v>
      </c>
      <c r="C315" s="6" t="str">
        <f t="shared" si="10"/>
        <v>Sat</v>
      </c>
      <c r="D315" s="7">
        <v>0.8125</v>
      </c>
      <c r="E315" s="8" t="s">
        <v>1</v>
      </c>
      <c r="F315" s="8">
        <f t="shared" ref="F315:F317" si="11">F314</f>
        <v>3</v>
      </c>
      <c r="G315" s="8" t="s">
        <v>862</v>
      </c>
      <c r="H315" s="73"/>
      <c r="I315" s="74">
        <v>47.5</v>
      </c>
      <c r="J315" s="74">
        <v>47.2</v>
      </c>
      <c r="K315" s="14" t="s">
        <v>863</v>
      </c>
    </row>
    <row r="316" spans="1:11" ht="381" x14ac:dyDescent="0.2">
      <c r="B316" s="5">
        <f t="shared" si="10"/>
        <v>45597</v>
      </c>
      <c r="C316" s="6" t="str">
        <f t="shared" si="10"/>
        <v>Sat</v>
      </c>
      <c r="D316" s="7">
        <f>D315</f>
        <v>0.8125</v>
      </c>
      <c r="E316" s="8" t="s">
        <v>1</v>
      </c>
      <c r="F316" s="8">
        <f t="shared" si="11"/>
        <v>3</v>
      </c>
      <c r="G316" s="8" t="s">
        <v>864</v>
      </c>
      <c r="H316" s="73"/>
      <c r="I316" s="74">
        <v>48.9</v>
      </c>
      <c r="J316" s="74">
        <v>48.3</v>
      </c>
      <c r="K316" s="14" t="s">
        <v>865</v>
      </c>
    </row>
    <row r="317" spans="1:11" ht="131" x14ac:dyDescent="0.2">
      <c r="B317" s="5">
        <f t="shared" si="10"/>
        <v>45597</v>
      </c>
      <c r="C317" s="6" t="str">
        <f t="shared" si="10"/>
        <v>Sat</v>
      </c>
      <c r="D317" s="7">
        <v>0.84375</v>
      </c>
      <c r="E317" s="8" t="s">
        <v>1</v>
      </c>
      <c r="F317" s="8">
        <f t="shared" si="11"/>
        <v>3</v>
      </c>
      <c r="G317" s="8" t="s">
        <v>866</v>
      </c>
      <c r="H317" s="73"/>
      <c r="I317" s="74">
        <v>47.9</v>
      </c>
      <c r="J317" s="74">
        <v>47.3</v>
      </c>
      <c r="K317" s="14" t="s">
        <v>867</v>
      </c>
    </row>
    <row r="318" spans="1:11" ht="27" x14ac:dyDescent="0.2">
      <c r="B318" s="81">
        <v>45603</v>
      </c>
      <c r="C318" s="82" t="s">
        <v>40</v>
      </c>
      <c r="D318" s="83">
        <v>0.97916666666666663</v>
      </c>
      <c r="E318" s="77" t="s">
        <v>1</v>
      </c>
      <c r="F318" s="77">
        <v>3</v>
      </c>
      <c r="G318" s="77" t="s">
        <v>127</v>
      </c>
      <c r="H318" s="84"/>
      <c r="I318" s="84">
        <v>4.6399999999999997E-2</v>
      </c>
      <c r="J318" s="84">
        <v>4.8800000000000003E-2</v>
      </c>
      <c r="K318" s="14" t="s">
        <v>369</v>
      </c>
    </row>
    <row r="319" spans="1:11" x14ac:dyDescent="0.2">
      <c r="A319" s="684" t="s">
        <v>105</v>
      </c>
      <c r="B319" s="71" t="s">
        <v>35</v>
      </c>
      <c r="C319" s="71" t="s">
        <v>34</v>
      </c>
      <c r="D319" s="71" t="s">
        <v>33</v>
      </c>
      <c r="E319" s="71" t="s">
        <v>32</v>
      </c>
      <c r="F319" s="71" t="s">
        <v>31</v>
      </c>
      <c r="G319" s="71" t="s">
        <v>30</v>
      </c>
      <c r="H319" s="71" t="s">
        <v>29</v>
      </c>
      <c r="I319" s="72" t="s">
        <v>28</v>
      </c>
      <c r="J319" s="72" t="s">
        <v>27</v>
      </c>
      <c r="K319" s="71" t="s">
        <v>75</v>
      </c>
    </row>
    <row r="320" spans="1:11" ht="92" x14ac:dyDescent="0.2">
      <c r="B320" s="5">
        <v>45601</v>
      </c>
      <c r="C320" s="6" t="s">
        <v>38</v>
      </c>
      <c r="D320" s="7">
        <v>0.375</v>
      </c>
      <c r="E320" s="8" t="s">
        <v>357</v>
      </c>
      <c r="F320" s="8">
        <v>3</v>
      </c>
      <c r="G320" s="8" t="s">
        <v>915</v>
      </c>
      <c r="H320" s="73"/>
      <c r="I320" s="84">
        <v>4.3499999999999997E-2</v>
      </c>
      <c r="J320" s="84">
        <v>4.3499999999999997E-2</v>
      </c>
      <c r="K320" s="14" t="s">
        <v>916</v>
      </c>
    </row>
    <row r="321" spans="2:11" ht="79" x14ac:dyDescent="0.2">
      <c r="B321" s="5">
        <v>45601</v>
      </c>
      <c r="C321" s="6" t="s">
        <v>38</v>
      </c>
      <c r="D321" s="7">
        <v>0.64583333333333337</v>
      </c>
      <c r="E321" s="8" t="s">
        <v>1</v>
      </c>
      <c r="F321" s="8">
        <v>3</v>
      </c>
      <c r="G321" s="8" t="s">
        <v>917</v>
      </c>
      <c r="H321" s="73"/>
      <c r="I321" s="84"/>
      <c r="J321" s="84"/>
      <c r="K321" s="14" t="s">
        <v>918</v>
      </c>
    </row>
    <row r="322" spans="2:11" ht="131" x14ac:dyDescent="0.2">
      <c r="B322" s="5">
        <v>45601</v>
      </c>
      <c r="C322" s="6" t="s">
        <v>38</v>
      </c>
      <c r="D322" s="7">
        <v>0.84375</v>
      </c>
      <c r="E322" s="8" t="s">
        <v>1</v>
      </c>
      <c r="F322" s="8">
        <v>3</v>
      </c>
      <c r="G322" s="8" t="s">
        <v>919</v>
      </c>
      <c r="H322" s="73"/>
      <c r="I322" s="74">
        <v>55.3</v>
      </c>
      <c r="J322" s="74">
        <v>55.2</v>
      </c>
      <c r="K322" s="14" t="s">
        <v>716</v>
      </c>
    </row>
    <row r="323" spans="2:11" ht="209" x14ac:dyDescent="0.2">
      <c r="B323" s="5">
        <v>45601</v>
      </c>
      <c r="C323" s="6" t="s">
        <v>38</v>
      </c>
      <c r="D323" s="7">
        <v>0.85416666666666663</v>
      </c>
      <c r="E323" s="8" t="s">
        <v>1</v>
      </c>
      <c r="F323" s="8">
        <v>3</v>
      </c>
      <c r="G323" s="8" t="s">
        <v>920</v>
      </c>
      <c r="H323" s="73"/>
      <c r="I323" s="74">
        <v>53.3</v>
      </c>
      <c r="J323" s="74">
        <v>54.9</v>
      </c>
      <c r="K323" s="14" t="s">
        <v>921</v>
      </c>
    </row>
    <row r="324" spans="2:11" ht="196" x14ac:dyDescent="0.2">
      <c r="B324" s="5">
        <v>45601</v>
      </c>
      <c r="C324" s="6" t="s">
        <v>38</v>
      </c>
      <c r="D324" s="7">
        <v>0.85416666666666663</v>
      </c>
      <c r="E324" s="8" t="s">
        <v>1</v>
      </c>
      <c r="F324" s="8">
        <v>3</v>
      </c>
      <c r="G324" s="8" t="s">
        <v>922</v>
      </c>
      <c r="H324" s="73"/>
      <c r="I324" s="74"/>
      <c r="J324" s="74">
        <v>59.4</v>
      </c>
      <c r="K324" s="14" t="s">
        <v>923</v>
      </c>
    </row>
    <row r="325" spans="2:11" ht="144" x14ac:dyDescent="0.2">
      <c r="B325" s="5">
        <v>45601</v>
      </c>
      <c r="C325" s="6" t="s">
        <v>38</v>
      </c>
      <c r="D325" s="7">
        <v>0.97916666666666663</v>
      </c>
      <c r="E325" s="8" t="s">
        <v>1</v>
      </c>
      <c r="F325" s="8">
        <v>3</v>
      </c>
      <c r="G325" s="8" t="s">
        <v>52</v>
      </c>
      <c r="H325" s="73"/>
      <c r="I325" s="74"/>
      <c r="J325" s="209">
        <v>4.0660000000000002E-2</v>
      </c>
      <c r="K325" s="14" t="s">
        <v>924</v>
      </c>
    </row>
    <row r="326" spans="2:11" ht="131" x14ac:dyDescent="0.2">
      <c r="B326" s="5">
        <f>B325+1</f>
        <v>45602</v>
      </c>
      <c r="C326" s="6" t="s">
        <v>38</v>
      </c>
      <c r="D326" s="7">
        <v>0.875</v>
      </c>
      <c r="E326" s="8" t="s">
        <v>1</v>
      </c>
      <c r="F326" s="8">
        <v>3</v>
      </c>
      <c r="G326" s="8" t="s">
        <v>9</v>
      </c>
      <c r="H326" s="73"/>
      <c r="I326" s="74"/>
      <c r="J326" s="210" t="s">
        <v>925</v>
      </c>
      <c r="K326" s="14" t="s">
        <v>926</v>
      </c>
    </row>
    <row r="327" spans="2:11" ht="144" x14ac:dyDescent="0.2">
      <c r="B327" s="5">
        <f>B326</f>
        <v>45602</v>
      </c>
      <c r="C327" s="6" t="s">
        <v>38</v>
      </c>
      <c r="D327" s="7">
        <v>0.97916666666666663</v>
      </c>
      <c r="E327" s="8" t="s">
        <v>1</v>
      </c>
      <c r="F327" s="8">
        <v>3</v>
      </c>
      <c r="G327" s="8" t="s">
        <v>927</v>
      </c>
      <c r="H327" s="73"/>
      <c r="I327" s="74"/>
      <c r="J327" s="209">
        <v>4.3889999999999998E-2</v>
      </c>
      <c r="K327" s="14" t="s">
        <v>928</v>
      </c>
    </row>
    <row r="328" spans="2:11" ht="92" x14ac:dyDescent="0.2">
      <c r="B328" s="5">
        <f>B327+1</f>
        <v>45603</v>
      </c>
      <c r="C328" s="6" t="s">
        <v>38</v>
      </c>
      <c r="D328" s="7">
        <v>0.72916666666666663</v>
      </c>
      <c r="E328" s="8" t="s">
        <v>53</v>
      </c>
      <c r="F328" s="8">
        <v>3</v>
      </c>
      <c r="G328" s="8" t="s">
        <v>929</v>
      </c>
      <c r="H328" s="73"/>
      <c r="I328" s="84">
        <v>4.7500000000000001E-2</v>
      </c>
      <c r="J328" s="84">
        <v>0.05</v>
      </c>
      <c r="K328" s="14" t="s">
        <v>930</v>
      </c>
    </row>
    <row r="329" spans="2:11" ht="92" x14ac:dyDescent="0.2">
      <c r="B329" s="5">
        <f>B328</f>
        <v>45603</v>
      </c>
      <c r="C329" s="6" t="s">
        <v>38</v>
      </c>
      <c r="D329" s="7">
        <v>0.79166666666666663</v>
      </c>
      <c r="E329" s="8" t="s">
        <v>1</v>
      </c>
      <c r="F329" s="8">
        <v>3</v>
      </c>
      <c r="G329" s="8" t="s">
        <v>14</v>
      </c>
      <c r="H329" s="73"/>
      <c r="I329" s="74" t="s">
        <v>931</v>
      </c>
      <c r="J329" s="74" t="s">
        <v>932</v>
      </c>
      <c r="K329" s="14" t="s">
        <v>933</v>
      </c>
    </row>
    <row r="330" spans="2:11" ht="131" x14ac:dyDescent="0.2">
      <c r="B330" s="81">
        <f>B329+1</f>
        <v>45604</v>
      </c>
      <c r="C330" s="6" t="s">
        <v>38</v>
      </c>
      <c r="D330" s="83">
        <v>2.0833333333333332E-2</v>
      </c>
      <c r="E330" s="77" t="s">
        <v>1</v>
      </c>
      <c r="F330" s="77">
        <v>3</v>
      </c>
      <c r="G330" s="77" t="s">
        <v>127</v>
      </c>
      <c r="H330" s="84"/>
      <c r="I330" s="211">
        <v>4.6199999999999998E-2</v>
      </c>
      <c r="J330" s="211">
        <v>4.8800000000000003E-2</v>
      </c>
      <c r="K330" s="14" t="s">
        <v>934</v>
      </c>
    </row>
    <row r="331" spans="2:11" ht="118" x14ac:dyDescent="0.2">
      <c r="B331" s="5">
        <f>B330</f>
        <v>45604</v>
      </c>
      <c r="C331" s="6" t="s">
        <v>38</v>
      </c>
      <c r="D331" s="7">
        <v>2.0833333333333332E-2</v>
      </c>
      <c r="E331" s="8" t="s">
        <v>1</v>
      </c>
      <c r="F331" s="8">
        <v>3</v>
      </c>
      <c r="G331" s="8" t="s">
        <v>125</v>
      </c>
      <c r="H331" s="73"/>
      <c r="I331" s="211"/>
      <c r="J331" s="211"/>
      <c r="K331" s="14" t="s">
        <v>935</v>
      </c>
    </row>
    <row r="332" spans="2:11" x14ac:dyDescent="0.2">
      <c r="B332" s="5">
        <f>B331</f>
        <v>45604</v>
      </c>
      <c r="C332" s="6" t="s">
        <v>38</v>
      </c>
      <c r="D332" s="7">
        <v>4.1666666666666664E-2</v>
      </c>
      <c r="E332" s="8" t="s">
        <v>1</v>
      </c>
      <c r="F332" s="8">
        <v>3</v>
      </c>
      <c r="G332" s="8" t="s">
        <v>129</v>
      </c>
      <c r="H332" s="73"/>
      <c r="I332" s="211"/>
      <c r="J332" s="211"/>
      <c r="K332" s="14" t="s">
        <v>936</v>
      </c>
    </row>
    <row r="333" spans="2:11" ht="27" x14ac:dyDescent="0.2">
      <c r="B333" s="81">
        <v>45644</v>
      </c>
      <c r="C333" s="82" t="s">
        <v>40</v>
      </c>
      <c r="D333" s="83">
        <v>0.97916666666666663</v>
      </c>
      <c r="E333" s="77" t="s">
        <v>1</v>
      </c>
      <c r="F333" s="77">
        <v>3</v>
      </c>
      <c r="G333" s="77" t="s">
        <v>127</v>
      </c>
      <c r="H333" s="84"/>
      <c r="I333" s="211">
        <v>4.4200000000000003E-2</v>
      </c>
      <c r="J333" s="211">
        <f>I330</f>
        <v>4.6199999999999998E-2</v>
      </c>
      <c r="K333" s="14" t="s">
        <v>369</v>
      </c>
    </row>
    <row r="334" spans="2:11" x14ac:dyDescent="0.2">
      <c r="C334" t="s">
        <v>937</v>
      </c>
      <c r="H334"/>
      <c r="J334" s="1"/>
      <c r="K334" s="25"/>
    </row>
    <row r="335" spans="2:11" ht="105" x14ac:dyDescent="0.2">
      <c r="B335" s="5">
        <v>45608</v>
      </c>
      <c r="C335" s="6" t="s">
        <v>38</v>
      </c>
      <c r="D335" s="7">
        <v>0.52083333333333337</v>
      </c>
      <c r="E335" s="8" t="s">
        <v>22</v>
      </c>
      <c r="F335" s="8">
        <v>3</v>
      </c>
      <c r="G335" s="8" t="s">
        <v>948</v>
      </c>
      <c r="H335" s="73"/>
      <c r="I335" s="84">
        <v>4.0000000000000001E-3</v>
      </c>
      <c r="J335" s="84">
        <v>0</v>
      </c>
      <c r="K335" s="14" t="s">
        <v>949</v>
      </c>
    </row>
    <row r="336" spans="2:11" ht="118" x14ac:dyDescent="0.2">
      <c r="B336" s="5">
        <f>B335+1</f>
        <v>45609</v>
      </c>
      <c r="C336" s="6" t="s">
        <v>38</v>
      </c>
      <c r="D336" s="7">
        <v>0.79166666666666663</v>
      </c>
      <c r="E336" s="8" t="s">
        <v>1</v>
      </c>
      <c r="F336" s="8">
        <v>3</v>
      </c>
      <c r="G336" s="8" t="s">
        <v>950</v>
      </c>
      <c r="H336" s="73"/>
      <c r="I336" s="84">
        <v>3.0000000000000001E-3</v>
      </c>
      <c r="J336" s="84">
        <v>3.0000000000000001E-3</v>
      </c>
      <c r="K336" s="14" t="s">
        <v>951</v>
      </c>
    </row>
    <row r="337" spans="1:11" ht="92" x14ac:dyDescent="0.2">
      <c r="B337" s="5">
        <f>B336</f>
        <v>45609</v>
      </c>
      <c r="C337" s="6" t="s">
        <v>38</v>
      </c>
      <c r="D337" s="7">
        <v>0.79166666666666663</v>
      </c>
      <c r="E337" s="8" t="s">
        <v>1</v>
      </c>
      <c r="F337" s="8">
        <v>3</v>
      </c>
      <c r="G337" s="8" t="s">
        <v>952</v>
      </c>
      <c r="H337" s="73"/>
      <c r="I337" s="84">
        <v>2.4E-2</v>
      </c>
      <c r="J337" s="84">
        <v>2.4E-2</v>
      </c>
      <c r="K337" s="14" t="s">
        <v>953</v>
      </c>
    </row>
    <row r="338" spans="1:11" ht="92" x14ac:dyDescent="0.2">
      <c r="B338" s="5">
        <f>B337</f>
        <v>45609</v>
      </c>
      <c r="C338" s="6" t="s">
        <v>38</v>
      </c>
      <c r="D338" s="7">
        <v>0.79166666666666663</v>
      </c>
      <c r="E338" s="8" t="s">
        <v>1</v>
      </c>
      <c r="F338" s="8">
        <v>3</v>
      </c>
      <c r="G338" s="8" t="s">
        <v>954</v>
      </c>
      <c r="H338" s="73"/>
      <c r="I338" s="84">
        <v>2E-3</v>
      </c>
      <c r="J338" s="84">
        <v>2E-3</v>
      </c>
      <c r="K338" s="14" t="s">
        <v>953</v>
      </c>
    </row>
    <row r="339" spans="1:11" ht="79" x14ac:dyDescent="0.2">
      <c r="B339" s="5">
        <f>B338+1</f>
        <v>45610</v>
      </c>
      <c r="C339" s="6" t="s">
        <v>38</v>
      </c>
      <c r="D339" s="7">
        <v>0.79166666666666663</v>
      </c>
      <c r="E339" s="8" t="s">
        <v>1</v>
      </c>
      <c r="F339" s="8">
        <v>3</v>
      </c>
      <c r="G339" s="8" t="s">
        <v>14</v>
      </c>
      <c r="H339" s="73"/>
      <c r="I339" s="84" t="s">
        <v>72</v>
      </c>
      <c r="J339" s="84" t="s">
        <v>413</v>
      </c>
      <c r="K339" s="14" t="s">
        <v>955</v>
      </c>
    </row>
    <row r="340" spans="1:11" ht="131" x14ac:dyDescent="0.2">
      <c r="B340" s="5">
        <f>B339</f>
        <v>45610</v>
      </c>
      <c r="C340" s="6" t="s">
        <v>38</v>
      </c>
      <c r="D340" s="7">
        <v>0.79166666666666663</v>
      </c>
      <c r="E340" s="8" t="s">
        <v>1</v>
      </c>
      <c r="F340" s="8">
        <v>3</v>
      </c>
      <c r="G340" s="8" t="s">
        <v>956</v>
      </c>
      <c r="H340" s="73"/>
      <c r="I340" s="84">
        <v>2E-3</v>
      </c>
      <c r="J340" s="84">
        <v>0</v>
      </c>
      <c r="K340" s="14" t="s">
        <v>957</v>
      </c>
    </row>
    <row r="341" spans="1:11" ht="131" x14ac:dyDescent="0.2">
      <c r="B341" s="5">
        <f>B340</f>
        <v>45610</v>
      </c>
      <c r="C341" s="6" t="s">
        <v>38</v>
      </c>
      <c r="D341" s="7">
        <v>0.89583333333333337</v>
      </c>
      <c r="E341" s="8" t="s">
        <v>1</v>
      </c>
      <c r="F341" s="8">
        <v>3</v>
      </c>
      <c r="G341" s="8" t="s">
        <v>9</v>
      </c>
      <c r="H341" s="73"/>
      <c r="I341" s="84"/>
      <c r="J341" s="84" t="s">
        <v>958</v>
      </c>
      <c r="K341" s="14" t="s">
        <v>926</v>
      </c>
    </row>
    <row r="342" spans="1:11" ht="105" x14ac:dyDescent="0.2">
      <c r="B342" s="5">
        <f>B341+1</f>
        <v>45611</v>
      </c>
      <c r="C342" s="6" t="s">
        <v>38</v>
      </c>
      <c r="D342" s="7">
        <v>0.22222222222222221</v>
      </c>
      <c r="E342" s="8" t="s">
        <v>117</v>
      </c>
      <c r="F342" s="8">
        <v>3</v>
      </c>
      <c r="G342" s="8" t="s">
        <v>959</v>
      </c>
      <c r="H342" s="73"/>
      <c r="I342" s="84">
        <v>2E-3</v>
      </c>
      <c r="J342" s="84">
        <v>7.0000000000000001E-3</v>
      </c>
      <c r="K342" s="14" t="s">
        <v>960</v>
      </c>
    </row>
    <row r="343" spans="1:11" ht="92" x14ac:dyDescent="0.2">
      <c r="B343" s="5">
        <f>B342</f>
        <v>45611</v>
      </c>
      <c r="C343" s="6" t="s">
        <v>38</v>
      </c>
      <c r="D343" s="7">
        <v>0.52083333333333337</v>
      </c>
      <c r="E343" s="8" t="s">
        <v>53</v>
      </c>
      <c r="F343" s="8">
        <v>3</v>
      </c>
      <c r="G343" s="8" t="s">
        <v>961</v>
      </c>
      <c r="H343" s="73"/>
      <c r="I343" s="84">
        <v>1E-3</v>
      </c>
      <c r="J343" s="84">
        <v>7.0000000000000001E-3</v>
      </c>
      <c r="K343" s="14" t="s">
        <v>962</v>
      </c>
    </row>
    <row r="344" spans="1:11" ht="92" x14ac:dyDescent="0.2">
      <c r="B344" s="5">
        <f>B343</f>
        <v>45611</v>
      </c>
      <c r="C344" s="6" t="s">
        <v>38</v>
      </c>
      <c r="D344" s="7">
        <v>0.52083333333333337</v>
      </c>
      <c r="E344" s="8" t="s">
        <v>53</v>
      </c>
      <c r="F344" s="8">
        <v>3</v>
      </c>
      <c r="G344" s="8" t="s">
        <v>963</v>
      </c>
      <c r="H344" s="73"/>
      <c r="I344" s="84">
        <v>2E-3</v>
      </c>
      <c r="J344" s="84">
        <v>2E-3</v>
      </c>
      <c r="K344" s="14" t="s">
        <v>964</v>
      </c>
    </row>
    <row r="345" spans="1:11" ht="105" x14ac:dyDescent="0.2">
      <c r="B345" s="5">
        <f>B344</f>
        <v>45611</v>
      </c>
      <c r="C345" s="6" t="s">
        <v>38</v>
      </c>
      <c r="D345" s="7">
        <v>0.52083333333333337</v>
      </c>
      <c r="E345" s="8" t="s">
        <v>53</v>
      </c>
      <c r="F345" s="8">
        <v>3</v>
      </c>
      <c r="G345" s="8" t="s">
        <v>965</v>
      </c>
      <c r="H345" s="73"/>
      <c r="I345" s="84">
        <v>2E-3</v>
      </c>
      <c r="J345" s="84">
        <v>5.0000000000000001E-3</v>
      </c>
      <c r="K345" s="14" t="s">
        <v>966</v>
      </c>
    </row>
    <row r="346" spans="1:11" ht="92" x14ac:dyDescent="0.2">
      <c r="B346" s="5">
        <f>B345</f>
        <v>45611</v>
      </c>
      <c r="C346" s="6" t="s">
        <v>38</v>
      </c>
      <c r="D346" s="7">
        <v>0.79166666666666663</v>
      </c>
      <c r="E346" s="8" t="s">
        <v>1</v>
      </c>
      <c r="F346" s="8">
        <v>3</v>
      </c>
      <c r="G346" s="8" t="s">
        <v>967</v>
      </c>
      <c r="H346" s="73"/>
      <c r="I346" s="84">
        <v>2E-3</v>
      </c>
      <c r="J346" s="84">
        <v>5.0000000000000001E-3</v>
      </c>
      <c r="K346" s="14" t="s">
        <v>691</v>
      </c>
    </row>
    <row r="347" spans="1:11" ht="105" x14ac:dyDescent="0.2">
      <c r="B347" s="5">
        <f>B346</f>
        <v>45611</v>
      </c>
      <c r="C347" s="6" t="s">
        <v>38</v>
      </c>
      <c r="D347" s="7">
        <v>0.79166666666666663</v>
      </c>
      <c r="E347" s="8" t="s">
        <v>1</v>
      </c>
      <c r="F347" s="8">
        <v>3</v>
      </c>
      <c r="G347" s="8" t="s">
        <v>968</v>
      </c>
      <c r="H347" s="73"/>
      <c r="I347" s="84">
        <v>3.0000000000000001E-3</v>
      </c>
      <c r="J347" s="84">
        <v>4.0000000000000001E-3</v>
      </c>
      <c r="K347" s="14" t="s">
        <v>969</v>
      </c>
    </row>
    <row r="348" spans="1:11" ht="27" x14ac:dyDescent="0.2">
      <c r="B348" s="81">
        <v>45644</v>
      </c>
      <c r="C348" s="82" t="s">
        <v>40</v>
      </c>
      <c r="D348" s="83">
        <v>0.97916666666666663</v>
      </c>
      <c r="E348" s="77" t="s">
        <v>1</v>
      </c>
      <c r="F348" s="77">
        <v>3</v>
      </c>
      <c r="G348" s="77" t="s">
        <v>127</v>
      </c>
      <c r="H348" s="84"/>
      <c r="I348" s="84">
        <v>4.4600000000000001E-2</v>
      </c>
      <c r="J348" s="84">
        <f>I348+0.16%</f>
        <v>4.6199999999999998E-2</v>
      </c>
      <c r="K348" s="14" t="s">
        <v>369</v>
      </c>
    </row>
    <row r="349" spans="1:11" x14ac:dyDescent="0.2">
      <c r="C349" t="s">
        <v>970</v>
      </c>
      <c r="H349"/>
      <c r="J349" s="1"/>
      <c r="K349" s="25"/>
    </row>
    <row r="350" spans="1:11" ht="170" x14ac:dyDescent="0.2">
      <c r="A350" s="684" t="s">
        <v>105</v>
      </c>
      <c r="B350" s="5">
        <v>45615</v>
      </c>
      <c r="C350" s="6" t="s">
        <v>38</v>
      </c>
      <c r="D350" s="7">
        <v>0.64583333333333337</v>
      </c>
      <c r="E350" s="8" t="s">
        <v>22</v>
      </c>
      <c r="F350" s="8">
        <v>3</v>
      </c>
      <c r="G350" s="8" t="s">
        <v>1005</v>
      </c>
      <c r="H350" s="73"/>
      <c r="I350" s="84">
        <v>0.02</v>
      </c>
      <c r="J350" s="84">
        <v>0.02</v>
      </c>
      <c r="K350" s="14" t="s">
        <v>1006</v>
      </c>
    </row>
    <row r="351" spans="1:11" ht="118" x14ac:dyDescent="0.2">
      <c r="B351" s="5">
        <v>45615</v>
      </c>
      <c r="C351" s="6" t="s">
        <v>38</v>
      </c>
      <c r="D351" s="7">
        <v>0.79166666666666663</v>
      </c>
      <c r="E351" s="8" t="s">
        <v>89</v>
      </c>
      <c r="F351" s="8">
        <v>3</v>
      </c>
      <c r="G351" s="8" t="s">
        <v>1007</v>
      </c>
      <c r="H351" s="73"/>
      <c r="I351" s="84"/>
      <c r="J351" s="84">
        <v>1.6E-2</v>
      </c>
      <c r="K351" s="14" t="s">
        <v>1008</v>
      </c>
    </row>
    <row r="352" spans="1:11" ht="105" x14ac:dyDescent="0.2">
      <c r="B352" s="5">
        <v>45616</v>
      </c>
      <c r="C352" s="6" t="s">
        <v>38</v>
      </c>
      <c r="D352" s="7">
        <v>0.52083333333333337</v>
      </c>
      <c r="E352" s="8" t="s">
        <v>53</v>
      </c>
      <c r="F352" s="8">
        <v>3</v>
      </c>
      <c r="G352" s="8" t="s">
        <v>1009</v>
      </c>
      <c r="H352" s="73"/>
      <c r="I352" s="84"/>
      <c r="J352" s="84">
        <v>1.7000000000000001E-2</v>
      </c>
      <c r="K352" s="14" t="s">
        <v>1010</v>
      </c>
    </row>
    <row r="353" spans="1:11" ht="131" x14ac:dyDescent="0.2">
      <c r="B353" s="5">
        <v>45616</v>
      </c>
      <c r="C353" s="6" t="s">
        <v>38</v>
      </c>
      <c r="D353" s="7">
        <v>0.875</v>
      </c>
      <c r="E353" s="8" t="s">
        <v>1</v>
      </c>
      <c r="F353" s="8">
        <v>3</v>
      </c>
      <c r="G353" s="8" t="s">
        <v>9</v>
      </c>
      <c r="H353" s="73"/>
      <c r="I353" s="84"/>
      <c r="J353" s="84" t="s">
        <v>1011</v>
      </c>
      <c r="K353" s="14" t="s">
        <v>926</v>
      </c>
    </row>
    <row r="354" spans="1:11" ht="131" x14ac:dyDescent="0.2">
      <c r="B354" s="5">
        <f>B353+1</f>
        <v>45617</v>
      </c>
      <c r="C354" s="6" t="s">
        <v>38</v>
      </c>
      <c r="D354" s="7">
        <v>0.10416666666666667</v>
      </c>
      <c r="E354" s="8" t="s">
        <v>1</v>
      </c>
      <c r="F354" s="8">
        <v>3</v>
      </c>
      <c r="G354" s="8" t="s">
        <v>1012</v>
      </c>
      <c r="H354" s="73"/>
      <c r="I354" s="86">
        <v>32.97</v>
      </c>
      <c r="J354" s="86"/>
      <c r="K354" s="14" t="s">
        <v>1013</v>
      </c>
    </row>
    <row r="355" spans="1:11" ht="79" x14ac:dyDescent="0.2">
      <c r="B355" s="5">
        <f>B353+1</f>
        <v>45617</v>
      </c>
      <c r="C355" s="6" t="s">
        <v>38</v>
      </c>
      <c r="D355" s="7">
        <v>0.79166666666666663</v>
      </c>
      <c r="E355" s="8" t="s">
        <v>1</v>
      </c>
      <c r="F355" s="8">
        <v>3</v>
      </c>
      <c r="G355" s="8" t="s">
        <v>14</v>
      </c>
      <c r="H355" s="73"/>
      <c r="I355" s="84" t="s">
        <v>1014</v>
      </c>
      <c r="J355" s="84" t="s">
        <v>1015</v>
      </c>
      <c r="K355" s="14" t="s">
        <v>955</v>
      </c>
    </row>
    <row r="356" spans="1:11" ht="105" x14ac:dyDescent="0.2">
      <c r="B356" s="5">
        <f>B355</f>
        <v>45617</v>
      </c>
      <c r="C356" s="6" t="s">
        <v>38</v>
      </c>
      <c r="D356" s="7">
        <v>0.79166666666666663</v>
      </c>
      <c r="E356" s="8" t="s">
        <v>1</v>
      </c>
      <c r="F356" s="8">
        <v>3</v>
      </c>
      <c r="G356" s="8" t="s">
        <v>1016</v>
      </c>
      <c r="H356" s="73"/>
      <c r="I356" s="84"/>
      <c r="J356" s="86">
        <v>10.3</v>
      </c>
      <c r="K356" s="14" t="s">
        <v>1017</v>
      </c>
    </row>
    <row r="357" spans="1:11" ht="105" x14ac:dyDescent="0.2">
      <c r="B357" s="5">
        <f>B356</f>
        <v>45617</v>
      </c>
      <c r="C357" s="6" t="s">
        <v>38</v>
      </c>
      <c r="D357" s="7">
        <v>0.85416666666666663</v>
      </c>
      <c r="E357" s="8" t="s">
        <v>1</v>
      </c>
      <c r="F357" s="8">
        <v>3</v>
      </c>
      <c r="G357" s="8" t="s">
        <v>1018</v>
      </c>
      <c r="H357" s="73"/>
      <c r="I357" s="84" t="s">
        <v>707</v>
      </c>
      <c r="J357" s="84" t="s">
        <v>1019</v>
      </c>
      <c r="K357" s="14" t="s">
        <v>1020</v>
      </c>
    </row>
    <row r="358" spans="1:11" ht="92" x14ac:dyDescent="0.2">
      <c r="B358" s="5">
        <v>45618</v>
      </c>
      <c r="C358" s="6" t="s">
        <v>38</v>
      </c>
      <c r="D358" s="7">
        <v>0.52083333333333337</v>
      </c>
      <c r="E358" s="8" t="s">
        <v>22</v>
      </c>
      <c r="F358" s="8">
        <v>3</v>
      </c>
      <c r="G358" s="8" t="s">
        <v>1021</v>
      </c>
      <c r="H358" s="73"/>
      <c r="I358" s="84">
        <v>2E-3</v>
      </c>
      <c r="J358" s="84">
        <v>2E-3</v>
      </c>
      <c r="K358" s="14" t="s">
        <v>1022</v>
      </c>
    </row>
    <row r="359" spans="1:11" ht="131" x14ac:dyDescent="0.2">
      <c r="B359" s="5">
        <v>45618</v>
      </c>
      <c r="C359" s="6" t="s">
        <v>38</v>
      </c>
      <c r="D359" s="7">
        <v>0.84375</v>
      </c>
      <c r="E359" s="8" t="s">
        <v>1</v>
      </c>
      <c r="F359" s="8">
        <v>3</v>
      </c>
      <c r="G359" s="8" t="s">
        <v>1023</v>
      </c>
      <c r="H359" s="73"/>
      <c r="I359" s="84"/>
      <c r="J359" s="86">
        <v>48.5</v>
      </c>
      <c r="K359" s="14" t="s">
        <v>1024</v>
      </c>
    </row>
    <row r="360" spans="1:11" ht="105" x14ac:dyDescent="0.2">
      <c r="B360" s="5">
        <v>45618</v>
      </c>
      <c r="C360" s="6" t="s">
        <v>38</v>
      </c>
      <c r="D360" s="7">
        <v>0.84375</v>
      </c>
      <c r="E360" s="8" t="s">
        <v>1</v>
      </c>
      <c r="F360" s="8">
        <v>3</v>
      </c>
      <c r="G360" s="8" t="s">
        <v>1025</v>
      </c>
      <c r="H360" s="73"/>
      <c r="I360" s="84"/>
      <c r="J360" s="86">
        <v>55</v>
      </c>
      <c r="K360" s="14" t="s">
        <v>1026</v>
      </c>
    </row>
    <row r="361" spans="1:11" ht="27" x14ac:dyDescent="0.2">
      <c r="B361" s="81">
        <v>45644</v>
      </c>
      <c r="C361" s="82" t="s">
        <v>40</v>
      </c>
      <c r="D361" s="83">
        <v>0.97916666666666663</v>
      </c>
      <c r="E361" s="77" t="s">
        <v>1</v>
      </c>
      <c r="F361" s="77">
        <v>3</v>
      </c>
      <c r="G361" s="77" t="s">
        <v>127</v>
      </c>
      <c r="H361" s="84"/>
      <c r="I361" s="84">
        <v>4.4600000000000001E-2</v>
      </c>
      <c r="J361" s="84">
        <f>I361+0.16%</f>
        <v>4.6199999999999998E-2</v>
      </c>
      <c r="K361" s="14" t="s">
        <v>369</v>
      </c>
    </row>
    <row r="362" spans="1:11" x14ac:dyDescent="0.2">
      <c r="C362" t="s">
        <v>1027</v>
      </c>
    </row>
    <row r="363" spans="1:11" ht="105" x14ac:dyDescent="0.2">
      <c r="A363" s="684" t="s">
        <v>105</v>
      </c>
      <c r="B363" s="5">
        <v>45622</v>
      </c>
      <c r="C363" s="6" t="s">
        <v>38</v>
      </c>
      <c r="D363" s="7">
        <v>0.85416666666666663</v>
      </c>
      <c r="E363" s="8" t="s">
        <v>1</v>
      </c>
      <c r="F363" s="8">
        <v>3</v>
      </c>
      <c r="G363" s="8" t="s">
        <v>1060</v>
      </c>
      <c r="H363" s="73"/>
      <c r="I363" s="84"/>
      <c r="J363" s="86">
        <v>108.7</v>
      </c>
      <c r="K363" s="14" t="s">
        <v>1061</v>
      </c>
    </row>
    <row r="364" spans="1:11" ht="105" x14ac:dyDescent="0.2">
      <c r="B364" s="5">
        <v>45622</v>
      </c>
      <c r="C364" s="6" t="s">
        <v>38</v>
      </c>
      <c r="D364" s="7">
        <v>0.85416666666666663</v>
      </c>
      <c r="E364" s="8" t="s">
        <v>1</v>
      </c>
      <c r="F364" s="8">
        <v>3</v>
      </c>
      <c r="G364" s="8" t="s">
        <v>1062</v>
      </c>
      <c r="H364" s="73"/>
      <c r="I364" s="84"/>
      <c r="J364" s="86" t="s">
        <v>1063</v>
      </c>
      <c r="K364" s="14" t="s">
        <v>1064</v>
      </c>
    </row>
    <row r="365" spans="1:11" ht="79" x14ac:dyDescent="0.2">
      <c r="B365" s="5">
        <v>45623</v>
      </c>
      <c r="C365" s="6" t="s">
        <v>38</v>
      </c>
      <c r="D365" s="7">
        <v>2.0833333333333332E-2</v>
      </c>
      <c r="E365" s="8" t="s">
        <v>1</v>
      </c>
      <c r="F365" s="8">
        <v>3</v>
      </c>
      <c r="G365" s="8" t="s">
        <v>7</v>
      </c>
      <c r="H365" s="73"/>
      <c r="I365" s="84"/>
      <c r="J365" s="86"/>
      <c r="K365" s="14" t="s">
        <v>1065</v>
      </c>
    </row>
    <row r="366" spans="1:11" ht="131" x14ac:dyDescent="0.2">
      <c r="B366" s="5">
        <v>45623</v>
      </c>
      <c r="C366" s="6" t="s">
        <v>38</v>
      </c>
      <c r="D366" s="7">
        <v>0.27083333333333331</v>
      </c>
      <c r="E366" s="8" t="s">
        <v>49</v>
      </c>
      <c r="F366" s="8">
        <v>3</v>
      </c>
      <c r="G366" s="8" t="s">
        <v>50</v>
      </c>
      <c r="H366" s="73"/>
      <c r="I366" s="84">
        <v>4.2500000000000003E-2</v>
      </c>
      <c r="J366" s="84">
        <v>4.7500000000000001E-2</v>
      </c>
      <c r="K366" s="14" t="s">
        <v>1066</v>
      </c>
    </row>
    <row r="367" spans="1:11" ht="92" x14ac:dyDescent="0.2">
      <c r="B367" s="5">
        <v>45623</v>
      </c>
      <c r="C367" s="6" t="s">
        <v>38</v>
      </c>
      <c r="D367" s="7">
        <v>0.79166666666666663</v>
      </c>
      <c r="E367" s="8" t="s">
        <v>1</v>
      </c>
      <c r="F367" s="8">
        <v>3</v>
      </c>
      <c r="G367" s="8" t="s">
        <v>1067</v>
      </c>
      <c r="H367" s="73"/>
      <c r="I367" s="84"/>
      <c r="J367" s="84">
        <f>-0.7%</f>
        <v>-6.9999999999999993E-3</v>
      </c>
      <c r="K367" s="14" t="s">
        <v>1068</v>
      </c>
    </row>
    <row r="368" spans="1:11" ht="105" x14ac:dyDescent="0.2">
      <c r="B368" s="5">
        <v>45623</v>
      </c>
      <c r="C368" s="6" t="s">
        <v>38</v>
      </c>
      <c r="D368" s="7">
        <v>0.79166666666666663</v>
      </c>
      <c r="E368" s="8" t="s">
        <v>1</v>
      </c>
      <c r="F368" s="8">
        <v>3</v>
      </c>
      <c r="G368" s="8" t="s">
        <v>1069</v>
      </c>
      <c r="H368" s="73"/>
      <c r="I368" s="84"/>
      <c r="J368" s="84">
        <v>2.8000000000000001E-2</v>
      </c>
      <c r="K368" s="14" t="s">
        <v>1070</v>
      </c>
    </row>
    <row r="369" spans="1:11" ht="92" x14ac:dyDescent="0.2">
      <c r="B369" s="5">
        <v>45623</v>
      </c>
      <c r="C369" s="6" t="s">
        <v>38</v>
      </c>
      <c r="D369" s="7">
        <v>0.79166666666666663</v>
      </c>
      <c r="E369" s="8" t="s">
        <v>1</v>
      </c>
      <c r="F369" s="8">
        <v>3</v>
      </c>
      <c r="G369" s="8" t="s">
        <v>14</v>
      </c>
      <c r="H369" s="73"/>
      <c r="I369" s="84"/>
      <c r="J369" s="86" t="s">
        <v>1071</v>
      </c>
      <c r="K369" s="14" t="s">
        <v>1072</v>
      </c>
    </row>
    <row r="370" spans="1:11" ht="118" x14ac:dyDescent="0.2">
      <c r="B370" s="5">
        <v>45623</v>
      </c>
      <c r="C370" s="6" t="s">
        <v>38</v>
      </c>
      <c r="D370" s="7">
        <v>0.84375</v>
      </c>
      <c r="E370" s="8" t="s">
        <v>1</v>
      </c>
      <c r="F370" s="8">
        <v>3</v>
      </c>
      <c r="G370" s="8" t="s">
        <v>1073</v>
      </c>
      <c r="H370" s="73"/>
      <c r="I370" s="84">
        <v>44.9</v>
      </c>
      <c r="J370" s="86">
        <v>41.6</v>
      </c>
      <c r="K370" s="14" t="s">
        <v>1074</v>
      </c>
    </row>
    <row r="371" spans="1:11" ht="183" x14ac:dyDescent="0.2">
      <c r="B371" s="5">
        <v>45623</v>
      </c>
      <c r="C371" s="6" t="s">
        <v>38</v>
      </c>
      <c r="D371" s="7">
        <v>0.85416666666666663</v>
      </c>
      <c r="E371" s="8" t="s">
        <v>1</v>
      </c>
      <c r="F371" s="8">
        <v>3</v>
      </c>
      <c r="G371" s="8" t="s">
        <v>1075</v>
      </c>
      <c r="H371" s="73"/>
      <c r="I371" s="84"/>
      <c r="J371" s="84">
        <v>2.7E-2</v>
      </c>
      <c r="K371" s="14" t="s">
        <v>1076</v>
      </c>
    </row>
    <row r="372" spans="1:11" ht="183" x14ac:dyDescent="0.2">
      <c r="B372" s="5">
        <v>45623</v>
      </c>
      <c r="C372" s="6" t="s">
        <v>38</v>
      </c>
      <c r="D372" s="7">
        <v>0.85416666666666663</v>
      </c>
      <c r="E372" s="8" t="s">
        <v>1</v>
      </c>
      <c r="F372" s="8">
        <v>3</v>
      </c>
      <c r="G372" s="8" t="s">
        <v>1077</v>
      </c>
      <c r="H372" s="73"/>
      <c r="I372" s="84"/>
      <c r="J372" s="84">
        <v>3.0000000000000001E-3</v>
      </c>
      <c r="K372" s="14" t="s">
        <v>1076</v>
      </c>
    </row>
    <row r="373" spans="1:11" ht="131" x14ac:dyDescent="0.2">
      <c r="B373" s="5">
        <v>45623</v>
      </c>
      <c r="C373" s="6" t="s">
        <v>38</v>
      </c>
      <c r="D373" s="7">
        <v>0.875</v>
      </c>
      <c r="E373" s="8" t="s">
        <v>1</v>
      </c>
      <c r="F373" s="8">
        <v>3</v>
      </c>
      <c r="G373" s="8" t="s">
        <v>9</v>
      </c>
      <c r="H373" s="73"/>
      <c r="I373" s="84"/>
      <c r="J373" s="86" t="s">
        <v>1078</v>
      </c>
      <c r="K373" s="14" t="s">
        <v>1079</v>
      </c>
    </row>
    <row r="374" spans="1:11" ht="79" x14ac:dyDescent="0.2">
      <c r="B374" s="5">
        <f>B373+1</f>
        <v>45624</v>
      </c>
      <c r="C374" s="6" t="s">
        <v>38</v>
      </c>
      <c r="D374" s="7">
        <v>2.0833333333333332E-2</v>
      </c>
      <c r="E374" s="8" t="s">
        <v>1</v>
      </c>
      <c r="F374" s="8">
        <v>3</v>
      </c>
      <c r="G374" s="8" t="s">
        <v>7</v>
      </c>
      <c r="H374" s="73"/>
      <c r="I374" s="84"/>
      <c r="J374" s="86"/>
      <c r="K374" s="14" t="s">
        <v>1065</v>
      </c>
    </row>
    <row r="375" spans="1:11" ht="105" x14ac:dyDescent="0.2">
      <c r="B375" s="5">
        <v>45624</v>
      </c>
      <c r="C375" s="6" t="s">
        <v>38</v>
      </c>
      <c r="D375" s="7">
        <v>0.77083333333333337</v>
      </c>
      <c r="E375" s="8" t="s">
        <v>22</v>
      </c>
      <c r="F375" s="8">
        <v>3</v>
      </c>
      <c r="G375" s="8" t="s">
        <v>1080</v>
      </c>
      <c r="H375" s="73"/>
      <c r="I375" s="84"/>
      <c r="J375" s="84">
        <v>4.0000000000000001E-3</v>
      </c>
      <c r="K375" s="14" t="s">
        <v>1081</v>
      </c>
    </row>
    <row r="376" spans="1:11" ht="105" x14ac:dyDescent="0.2">
      <c r="B376" s="5">
        <f>B377</f>
        <v>45625</v>
      </c>
      <c r="C376" s="6" t="s">
        <v>38</v>
      </c>
      <c r="D376" s="7">
        <v>0.5625</v>
      </c>
      <c r="E376" s="8" t="s">
        <v>270</v>
      </c>
      <c r="F376" s="8">
        <v>2</v>
      </c>
      <c r="G376" s="8" t="s">
        <v>1082</v>
      </c>
      <c r="H376" s="73"/>
      <c r="I376" s="84"/>
      <c r="J376" s="84">
        <v>7.0000000000000001E-3</v>
      </c>
      <c r="K376" s="14" t="s">
        <v>1083</v>
      </c>
    </row>
    <row r="377" spans="1:11" ht="92" x14ac:dyDescent="0.2">
      <c r="B377" s="5">
        <f>B375+1</f>
        <v>45625</v>
      </c>
      <c r="C377" s="6" t="s">
        <v>38</v>
      </c>
      <c r="D377" s="7">
        <v>0.64583333333333337</v>
      </c>
      <c r="E377" s="8" t="s">
        <v>22</v>
      </c>
      <c r="F377" s="8">
        <v>3</v>
      </c>
      <c r="G377" s="8" t="s">
        <v>1084</v>
      </c>
      <c r="H377" s="73"/>
      <c r="I377" s="84"/>
      <c r="J377" s="84">
        <v>0.02</v>
      </c>
      <c r="K377" s="14" t="s">
        <v>1085</v>
      </c>
    </row>
    <row r="378" spans="1:11" ht="144" x14ac:dyDescent="0.2">
      <c r="B378" s="5">
        <f>B376+1</f>
        <v>45626</v>
      </c>
      <c r="C378" s="6" t="s">
        <v>38</v>
      </c>
      <c r="D378" s="7">
        <v>0.29166666666666669</v>
      </c>
      <c r="E378" s="8" t="s">
        <v>65</v>
      </c>
      <c r="F378" s="8">
        <v>3</v>
      </c>
      <c r="G378" s="8" t="s">
        <v>1087</v>
      </c>
      <c r="H378" s="73"/>
      <c r="I378" s="84"/>
      <c r="J378" s="86">
        <v>50.1</v>
      </c>
      <c r="K378" s="14" t="s">
        <v>1088</v>
      </c>
    </row>
    <row r="379" spans="1:11" ht="27" x14ac:dyDescent="0.2">
      <c r="B379" s="81">
        <v>45644</v>
      </c>
      <c r="C379" s="82" t="s">
        <v>40</v>
      </c>
      <c r="D379" s="83">
        <v>0.97916666666666663</v>
      </c>
      <c r="E379" s="77" t="s">
        <v>1</v>
      </c>
      <c r="F379" s="77">
        <v>3</v>
      </c>
      <c r="G379" s="77" t="s">
        <v>127</v>
      </c>
      <c r="H379" s="84"/>
      <c r="I379" s="84">
        <v>4.4600000000000001E-2</v>
      </c>
      <c r="J379" s="84">
        <f>I379+0.16%</f>
        <v>4.6199999999999998E-2</v>
      </c>
      <c r="K379" s="14" t="s">
        <v>369</v>
      </c>
    </row>
    <row r="380" spans="1:11" x14ac:dyDescent="0.2">
      <c r="C380" t="s">
        <v>1089</v>
      </c>
      <c r="H380"/>
      <c r="J380" s="1"/>
      <c r="K380" s="25"/>
    </row>
    <row r="381" spans="1:11" ht="105" x14ac:dyDescent="0.2">
      <c r="A381" s="684" t="s">
        <v>105</v>
      </c>
      <c r="B381" s="365">
        <v>45635</v>
      </c>
      <c r="C381" s="366" t="s">
        <v>1134</v>
      </c>
      <c r="D381" s="367">
        <v>0.22222222222222221</v>
      </c>
      <c r="E381" s="366" t="s">
        <v>117</v>
      </c>
      <c r="F381" s="366">
        <v>3</v>
      </c>
      <c r="G381" s="366" t="s">
        <v>1135</v>
      </c>
      <c r="H381" s="73"/>
      <c r="I381" s="84">
        <v>2E-3</v>
      </c>
      <c r="J381" s="84">
        <v>2E-3</v>
      </c>
      <c r="K381" s="14" t="s">
        <v>1136</v>
      </c>
    </row>
    <row r="382" spans="1:11" ht="118" x14ac:dyDescent="0.2">
      <c r="B382" s="365">
        <v>45636</v>
      </c>
      <c r="C382" s="366" t="s">
        <v>182</v>
      </c>
      <c r="D382" s="367">
        <v>0.375</v>
      </c>
      <c r="E382" s="366" t="s">
        <v>357</v>
      </c>
      <c r="F382" s="366">
        <v>3</v>
      </c>
      <c r="G382" s="366" t="s">
        <v>1137</v>
      </c>
      <c r="H382" s="73"/>
      <c r="I382" s="84">
        <v>4.3499999999999997E-2</v>
      </c>
      <c r="J382" s="84">
        <v>4.3499999999999997E-2</v>
      </c>
      <c r="K382" s="14" t="s">
        <v>1138</v>
      </c>
    </row>
    <row r="383" spans="1:11" ht="92" x14ac:dyDescent="0.2">
      <c r="B383" s="365">
        <v>45636</v>
      </c>
      <c r="C383" s="366" t="s">
        <v>182</v>
      </c>
      <c r="D383" s="367">
        <v>0.52083333333333337</v>
      </c>
      <c r="E383" s="366" t="s">
        <v>22</v>
      </c>
      <c r="F383" s="366">
        <v>3</v>
      </c>
      <c r="G383" s="366" t="s">
        <v>1139</v>
      </c>
      <c r="H383" s="73"/>
      <c r="I383" s="84">
        <v>-2E-3</v>
      </c>
      <c r="J383" s="84">
        <v>4.0000000000000001E-3</v>
      </c>
      <c r="K383" s="14" t="s">
        <v>1140</v>
      </c>
    </row>
    <row r="384" spans="1:11" ht="118" x14ac:dyDescent="0.2">
      <c r="B384" s="365">
        <v>45637</v>
      </c>
      <c r="C384" s="366" t="s">
        <v>185</v>
      </c>
      <c r="D384" s="367">
        <v>0.79166666666666663</v>
      </c>
      <c r="E384" s="366" t="s">
        <v>1</v>
      </c>
      <c r="F384" s="366">
        <v>3</v>
      </c>
      <c r="G384" s="366" t="s">
        <v>1141</v>
      </c>
      <c r="H384" s="73"/>
      <c r="I384" s="84">
        <v>3.0000000000000001E-3</v>
      </c>
      <c r="J384" s="84">
        <v>3.0000000000000001E-3</v>
      </c>
      <c r="K384" s="14" t="s">
        <v>1142</v>
      </c>
    </row>
    <row r="385" spans="1:11" ht="105" x14ac:dyDescent="0.2">
      <c r="B385" s="365">
        <v>45637</v>
      </c>
      <c r="C385" s="366" t="s">
        <v>185</v>
      </c>
      <c r="D385" s="367">
        <v>0.79166666666666663</v>
      </c>
      <c r="E385" s="366" t="s">
        <v>1</v>
      </c>
      <c r="F385" s="366">
        <v>3</v>
      </c>
      <c r="G385" s="366" t="s">
        <v>1143</v>
      </c>
      <c r="H385" s="73"/>
      <c r="I385" s="84">
        <v>2E-3</v>
      </c>
      <c r="J385" s="84">
        <v>2E-3</v>
      </c>
      <c r="K385" s="14" t="s">
        <v>1144</v>
      </c>
    </row>
    <row r="386" spans="1:11" ht="105" x14ac:dyDescent="0.2">
      <c r="B386" s="365">
        <v>45637</v>
      </c>
      <c r="C386" s="366" t="s">
        <v>185</v>
      </c>
      <c r="D386" s="367">
        <v>0.79166666666666663</v>
      </c>
      <c r="E386" s="366" t="s">
        <v>1</v>
      </c>
      <c r="F386" s="366">
        <v>3</v>
      </c>
      <c r="G386" s="366" t="s">
        <v>1145</v>
      </c>
      <c r="H386" s="73"/>
      <c r="I386" s="84">
        <v>2.7E-2</v>
      </c>
      <c r="J386" s="84">
        <v>2.5999999999999999E-2</v>
      </c>
      <c r="K386" s="14" t="s">
        <v>1144</v>
      </c>
    </row>
    <row r="387" spans="1:11" ht="79" x14ac:dyDescent="0.2">
      <c r="B387" s="365">
        <v>45637</v>
      </c>
      <c r="C387" s="366" t="s">
        <v>185</v>
      </c>
      <c r="D387" s="367">
        <v>0.84375</v>
      </c>
      <c r="E387" s="366" t="s">
        <v>1</v>
      </c>
      <c r="F387" s="366">
        <v>3</v>
      </c>
      <c r="G387" s="366" t="s">
        <v>90</v>
      </c>
      <c r="H387" s="73"/>
      <c r="I387" s="84">
        <v>3.2500000000000001E-2</v>
      </c>
      <c r="J387" s="84">
        <v>3.7499999999999999E-2</v>
      </c>
      <c r="K387" s="14" t="s">
        <v>1146</v>
      </c>
    </row>
    <row r="388" spans="1:11" ht="105" x14ac:dyDescent="0.2">
      <c r="B388" s="365">
        <v>45637</v>
      </c>
      <c r="C388" s="366" t="s">
        <v>185</v>
      </c>
      <c r="D388" s="367">
        <v>0.875</v>
      </c>
      <c r="E388" s="366" t="s">
        <v>1</v>
      </c>
      <c r="F388" s="366">
        <v>3</v>
      </c>
      <c r="G388" s="366" t="s">
        <v>9</v>
      </c>
      <c r="H388" s="73"/>
      <c r="I388" s="86"/>
      <c r="J388" s="368" t="s">
        <v>1147</v>
      </c>
      <c r="K388" s="14" t="s">
        <v>1148</v>
      </c>
    </row>
    <row r="389" spans="1:11" ht="118" x14ac:dyDescent="0.2">
      <c r="B389" s="365">
        <v>45637</v>
      </c>
      <c r="C389" s="366" t="s">
        <v>185</v>
      </c>
      <c r="D389" s="367">
        <v>0.97916666666666663</v>
      </c>
      <c r="E389" s="366" t="s">
        <v>1</v>
      </c>
      <c r="F389" s="366">
        <v>3</v>
      </c>
      <c r="G389" s="366" t="s">
        <v>52</v>
      </c>
      <c r="H389" s="73"/>
      <c r="I389" s="86"/>
      <c r="J389" s="209">
        <v>4.3470000000000002E-2</v>
      </c>
      <c r="K389" s="14" t="s">
        <v>1149</v>
      </c>
    </row>
    <row r="390" spans="1:11" ht="79" x14ac:dyDescent="0.2">
      <c r="B390" s="365">
        <v>45638</v>
      </c>
      <c r="C390" s="366" t="s">
        <v>194</v>
      </c>
      <c r="D390" s="367">
        <v>0.58333333333333337</v>
      </c>
      <c r="E390" s="366" t="s">
        <v>270</v>
      </c>
      <c r="F390" s="366">
        <v>3</v>
      </c>
      <c r="G390" s="366" t="s">
        <v>1150</v>
      </c>
      <c r="H390" s="73"/>
      <c r="I390" s="84">
        <v>7.4999999999999997E-3</v>
      </c>
      <c r="J390" s="84">
        <v>0.01</v>
      </c>
      <c r="K390" s="14" t="s">
        <v>1151</v>
      </c>
    </row>
    <row r="391" spans="1:11" ht="157" x14ac:dyDescent="0.2">
      <c r="B391" s="365">
        <v>45638</v>
      </c>
      <c r="C391" s="366" t="s">
        <v>194</v>
      </c>
      <c r="D391" s="367">
        <v>0.78125</v>
      </c>
      <c r="E391" s="366" t="s">
        <v>22</v>
      </c>
      <c r="F391" s="366">
        <v>3</v>
      </c>
      <c r="G391" s="366" t="s">
        <v>1152</v>
      </c>
      <c r="H391" s="73"/>
      <c r="I391" s="86"/>
      <c r="J391" s="84">
        <v>3.2500000000000001E-2</v>
      </c>
      <c r="K391" s="14" t="s">
        <v>1153</v>
      </c>
    </row>
    <row r="392" spans="1:11" ht="157" x14ac:dyDescent="0.2">
      <c r="B392" s="365">
        <v>45638</v>
      </c>
      <c r="C392" s="366" t="s">
        <v>194</v>
      </c>
      <c r="D392" s="367">
        <v>0.78125</v>
      </c>
      <c r="E392" s="366" t="s">
        <v>22</v>
      </c>
      <c r="F392" s="366">
        <v>3</v>
      </c>
      <c r="G392" s="366" t="s">
        <v>1154</v>
      </c>
      <c r="H392" s="73"/>
      <c r="I392" s="84">
        <v>3.15E-2</v>
      </c>
      <c r="J392" s="84">
        <v>3.4000000000000002E-2</v>
      </c>
      <c r="K392" s="14" t="s">
        <v>1153</v>
      </c>
    </row>
    <row r="393" spans="1:11" ht="79" x14ac:dyDescent="0.2">
      <c r="B393" s="365">
        <v>45638</v>
      </c>
      <c r="C393" s="366" t="s">
        <v>194</v>
      </c>
      <c r="D393" s="367">
        <v>0.79166666666666663</v>
      </c>
      <c r="E393" s="366" t="s">
        <v>1</v>
      </c>
      <c r="F393" s="366">
        <v>3</v>
      </c>
      <c r="G393" s="366" t="s">
        <v>14</v>
      </c>
      <c r="H393" s="73"/>
      <c r="I393" s="84" t="s">
        <v>413</v>
      </c>
      <c r="J393" s="84" t="s">
        <v>381</v>
      </c>
      <c r="K393" s="14" t="s">
        <v>1155</v>
      </c>
    </row>
    <row r="394" spans="1:11" ht="118" x14ac:dyDescent="0.2">
      <c r="B394" s="365">
        <v>45638</v>
      </c>
      <c r="C394" s="366" t="s">
        <v>194</v>
      </c>
      <c r="D394" s="367">
        <v>0.79166666666666663</v>
      </c>
      <c r="E394" s="366" t="s">
        <v>1</v>
      </c>
      <c r="F394" s="366">
        <v>3</v>
      </c>
      <c r="G394" s="366" t="s">
        <v>1156</v>
      </c>
      <c r="H394" s="73"/>
      <c r="I394" s="84">
        <v>3.0000000000000001E-3</v>
      </c>
      <c r="J394" s="84">
        <v>2E-3</v>
      </c>
      <c r="K394" s="14" t="s">
        <v>1157</v>
      </c>
    </row>
    <row r="395" spans="1:11" ht="144" x14ac:dyDescent="0.2">
      <c r="B395" s="365">
        <v>45638</v>
      </c>
      <c r="C395" s="366" t="s">
        <v>194</v>
      </c>
      <c r="D395" s="367">
        <v>0.97916666666666663</v>
      </c>
      <c r="E395" s="366" t="s">
        <v>1</v>
      </c>
      <c r="F395" s="366">
        <v>3</v>
      </c>
      <c r="G395" s="366" t="s">
        <v>1158</v>
      </c>
      <c r="H395" s="73"/>
      <c r="I395" s="84"/>
      <c r="J395" s="209">
        <v>4.6080000000000003E-2</v>
      </c>
      <c r="K395" s="14" t="s">
        <v>1159</v>
      </c>
    </row>
    <row r="396" spans="1:11" ht="92" x14ac:dyDescent="0.2">
      <c r="B396" s="365">
        <v>45639</v>
      </c>
      <c r="C396" s="366" t="s">
        <v>233</v>
      </c>
      <c r="D396" s="367">
        <v>0.52083333333333337</v>
      </c>
      <c r="E396" s="366" t="s">
        <v>53</v>
      </c>
      <c r="F396" s="366">
        <v>3</v>
      </c>
      <c r="G396" s="366" t="s">
        <v>1160</v>
      </c>
      <c r="H396" s="73"/>
      <c r="I396" s="84">
        <v>1E-3</v>
      </c>
      <c r="J396" s="84">
        <v>-1E-3</v>
      </c>
      <c r="K396" s="14" t="s">
        <v>1161</v>
      </c>
    </row>
    <row r="397" spans="1:11" ht="27" x14ac:dyDescent="0.2">
      <c r="B397" s="365">
        <v>45645</v>
      </c>
      <c r="C397" s="366" t="s">
        <v>194</v>
      </c>
      <c r="D397" s="367">
        <v>2.0833333333333332E-2</v>
      </c>
      <c r="E397" s="77" t="s">
        <v>1</v>
      </c>
      <c r="F397" s="77">
        <v>3</v>
      </c>
      <c r="G397" s="77" t="s">
        <v>127</v>
      </c>
      <c r="H397" s="84"/>
      <c r="I397" s="84">
        <v>4.4600000000000001E-2</v>
      </c>
      <c r="J397" s="84"/>
      <c r="K397" s="14" t="s">
        <v>369</v>
      </c>
    </row>
    <row r="398" spans="1:11" ht="27" x14ac:dyDescent="0.2">
      <c r="B398" s="81">
        <v>45644</v>
      </c>
      <c r="C398" s="82" t="s">
        <v>40</v>
      </c>
      <c r="D398" s="83">
        <v>0.97916666666666663</v>
      </c>
      <c r="E398" s="77" t="s">
        <v>1</v>
      </c>
      <c r="F398" s="77">
        <v>3</v>
      </c>
      <c r="G398" s="77" t="s">
        <v>127</v>
      </c>
      <c r="H398" s="84"/>
      <c r="I398" s="84">
        <v>4.4600000000000001E-2</v>
      </c>
      <c r="J398" s="84">
        <v>4.6199999999999998E-2</v>
      </c>
      <c r="K398" s="14" t="s">
        <v>369</v>
      </c>
    </row>
    <row r="399" spans="1:11" x14ac:dyDescent="0.2">
      <c r="C399" t="s">
        <v>1162</v>
      </c>
      <c r="H399"/>
      <c r="J399" s="1"/>
      <c r="K399" s="25"/>
    </row>
    <row r="400" spans="1:11" ht="144" x14ac:dyDescent="0.2">
      <c r="A400" s="684" t="s">
        <v>105</v>
      </c>
      <c r="B400" s="5">
        <v>45642</v>
      </c>
      <c r="C400" s="6" t="s">
        <v>43</v>
      </c>
      <c r="D400" s="7">
        <v>0.84375</v>
      </c>
      <c r="E400" s="8" t="s">
        <v>1</v>
      </c>
      <c r="F400" s="8">
        <v>3</v>
      </c>
      <c r="G400" s="8" t="s">
        <v>1250</v>
      </c>
      <c r="H400" s="73"/>
      <c r="I400" s="86">
        <v>49.4</v>
      </c>
      <c r="J400" s="86">
        <v>49.7</v>
      </c>
      <c r="K400" s="14" t="s">
        <v>1251</v>
      </c>
    </row>
    <row r="401" spans="2:11" ht="105" x14ac:dyDescent="0.2">
      <c r="B401" s="5">
        <v>45642</v>
      </c>
      <c r="C401" s="6" t="s">
        <v>43</v>
      </c>
      <c r="D401" s="7">
        <v>0.84375</v>
      </c>
      <c r="E401" s="8" t="s">
        <v>1</v>
      </c>
      <c r="F401" s="8">
        <v>3</v>
      </c>
      <c r="G401" s="8" t="s">
        <v>1252</v>
      </c>
      <c r="H401" s="73"/>
      <c r="I401" s="86">
        <v>55.7</v>
      </c>
      <c r="J401" s="86">
        <v>56.1</v>
      </c>
      <c r="K401" s="14" t="s">
        <v>1253</v>
      </c>
    </row>
    <row r="402" spans="2:11" ht="131" x14ac:dyDescent="0.2">
      <c r="B402" s="5">
        <v>45643</v>
      </c>
      <c r="C402" s="6" t="s">
        <v>42</v>
      </c>
      <c r="D402" s="7">
        <v>0.79166666666666663</v>
      </c>
      <c r="E402" s="8" t="s">
        <v>89</v>
      </c>
      <c r="F402" s="8">
        <v>2</v>
      </c>
      <c r="G402" s="8" t="s">
        <v>1254</v>
      </c>
      <c r="H402" s="73"/>
      <c r="I402" s="84"/>
      <c r="J402" s="84">
        <v>1.7000000000000001E-2</v>
      </c>
      <c r="K402" s="14" t="s">
        <v>1255</v>
      </c>
    </row>
    <row r="403" spans="2:11" ht="131" x14ac:dyDescent="0.2">
      <c r="B403" s="5">
        <v>45643</v>
      </c>
      <c r="C403" s="6" t="s">
        <v>42</v>
      </c>
      <c r="D403" s="7">
        <v>0.79166666666666663</v>
      </c>
      <c r="E403" s="8" t="s">
        <v>89</v>
      </c>
      <c r="F403" s="8">
        <v>2</v>
      </c>
      <c r="G403" s="8" t="s">
        <v>1256</v>
      </c>
      <c r="H403" s="73"/>
      <c r="I403" s="84">
        <v>1E-3</v>
      </c>
      <c r="J403" s="84">
        <v>4.0000000000000001E-3</v>
      </c>
      <c r="K403" s="14" t="s">
        <v>1255</v>
      </c>
    </row>
    <row r="404" spans="2:11" ht="105" x14ac:dyDescent="0.2">
      <c r="B404" s="5">
        <v>45643</v>
      </c>
      <c r="C404" s="6" t="s">
        <v>42</v>
      </c>
      <c r="D404" s="7">
        <v>0.79166666666666663</v>
      </c>
      <c r="E404" s="8" t="s">
        <v>1</v>
      </c>
      <c r="F404" s="8">
        <v>3</v>
      </c>
      <c r="G404" s="8" t="s">
        <v>1257</v>
      </c>
      <c r="H404" s="73"/>
      <c r="I404" s="84">
        <v>4.0000000000000001E-3</v>
      </c>
      <c r="J404" s="84">
        <v>1E-3</v>
      </c>
      <c r="K404" s="14" t="s">
        <v>1258</v>
      </c>
    </row>
    <row r="405" spans="2:11" ht="92" x14ac:dyDescent="0.2">
      <c r="B405" s="5">
        <v>45643</v>
      </c>
      <c r="C405" s="6" t="s">
        <v>42</v>
      </c>
      <c r="D405" s="7">
        <v>0.79166666666666663</v>
      </c>
      <c r="E405" s="8" t="s">
        <v>1</v>
      </c>
      <c r="F405" s="8">
        <v>3</v>
      </c>
      <c r="G405" s="8" t="s">
        <v>1259</v>
      </c>
      <c r="H405" s="73"/>
      <c r="I405" s="84">
        <v>6.0000000000000001E-3</v>
      </c>
      <c r="J405" s="84">
        <v>4.0000000000000001E-3</v>
      </c>
      <c r="K405" s="14" t="s">
        <v>1260</v>
      </c>
    </row>
    <row r="406" spans="2:11" ht="92" x14ac:dyDescent="0.2">
      <c r="B406" s="5">
        <v>45644</v>
      </c>
      <c r="C406" s="6" t="s">
        <v>41</v>
      </c>
      <c r="D406" s="7">
        <v>0.52083333333333337</v>
      </c>
      <c r="E406" s="8" t="s">
        <v>53</v>
      </c>
      <c r="F406" s="8">
        <v>3</v>
      </c>
      <c r="G406" s="8" t="s">
        <v>1261</v>
      </c>
      <c r="H406" s="73"/>
      <c r="I406" s="84">
        <v>2.5999999999999999E-2</v>
      </c>
      <c r="J406" s="84">
        <v>2.3E-2</v>
      </c>
      <c r="K406" s="14" t="s">
        <v>1262</v>
      </c>
    </row>
    <row r="407" spans="2:11" ht="105" x14ac:dyDescent="0.2">
      <c r="B407" s="5">
        <v>45644</v>
      </c>
      <c r="C407" s="6" t="s">
        <v>41</v>
      </c>
      <c r="D407" s="7">
        <v>0.64583333333333337</v>
      </c>
      <c r="E407" s="8" t="s">
        <v>22</v>
      </c>
      <c r="F407" s="8">
        <v>3</v>
      </c>
      <c r="G407" s="8" t="s">
        <v>1263</v>
      </c>
      <c r="H407" s="73"/>
      <c r="I407" s="84">
        <v>2.3E-2</v>
      </c>
      <c r="J407" s="84">
        <v>2.3E-2</v>
      </c>
      <c r="K407" s="14" t="s">
        <v>1264</v>
      </c>
    </row>
    <row r="408" spans="2:11" ht="131" x14ac:dyDescent="0.2">
      <c r="B408" s="5">
        <v>45644</v>
      </c>
      <c r="C408" s="6" t="s">
        <v>41</v>
      </c>
      <c r="D408" s="7">
        <v>0.875</v>
      </c>
      <c r="E408" s="8" t="s">
        <v>1</v>
      </c>
      <c r="F408" s="8">
        <v>3</v>
      </c>
      <c r="G408" s="8" t="s">
        <v>9</v>
      </c>
      <c r="H408" s="73"/>
      <c r="I408" s="84"/>
      <c r="J408" s="85" t="s">
        <v>1265</v>
      </c>
      <c r="K408" s="14" t="s">
        <v>1266</v>
      </c>
    </row>
    <row r="409" spans="2:11" ht="131" x14ac:dyDescent="0.2">
      <c r="B409" s="5">
        <v>45645</v>
      </c>
      <c r="C409" s="6" t="s">
        <v>40</v>
      </c>
      <c r="D409" s="7">
        <v>2.0833333333333332E-2</v>
      </c>
      <c r="E409" s="8" t="s">
        <v>1</v>
      </c>
      <c r="F409" s="8">
        <v>3</v>
      </c>
      <c r="G409" s="8" t="s">
        <v>125</v>
      </c>
      <c r="H409" s="73"/>
      <c r="I409" s="84"/>
      <c r="J409" s="84"/>
      <c r="K409" s="14" t="s">
        <v>1267</v>
      </c>
    </row>
    <row r="410" spans="2:11" ht="131" x14ac:dyDescent="0.2">
      <c r="B410" s="5">
        <v>45645</v>
      </c>
      <c r="C410" s="6" t="s">
        <v>40</v>
      </c>
      <c r="D410" s="7">
        <v>2.0833333333333332E-2</v>
      </c>
      <c r="E410" s="8" t="s">
        <v>1</v>
      </c>
      <c r="F410" s="8">
        <v>3</v>
      </c>
      <c r="G410" s="8" t="s">
        <v>341</v>
      </c>
      <c r="H410" s="73"/>
      <c r="I410" s="84"/>
      <c r="J410" s="84"/>
      <c r="K410" s="14" t="s">
        <v>1267</v>
      </c>
    </row>
    <row r="411" spans="2:11" ht="131" x14ac:dyDescent="0.2">
      <c r="B411" s="5">
        <v>45645</v>
      </c>
      <c r="C411" s="6" t="s">
        <v>40</v>
      </c>
      <c r="D411" s="7">
        <v>2.0833333333333332E-2</v>
      </c>
      <c r="E411" s="8" t="s">
        <v>1</v>
      </c>
      <c r="F411" s="8">
        <v>3</v>
      </c>
      <c r="G411" s="8" t="s">
        <v>127</v>
      </c>
      <c r="H411" s="73"/>
      <c r="I411" s="84">
        <v>4.3799999999999999E-2</v>
      </c>
      <c r="J411" s="84">
        <v>4.6199999999999998E-2</v>
      </c>
      <c r="K411" s="14" t="s">
        <v>1267</v>
      </c>
    </row>
    <row r="412" spans="2:11" ht="131" x14ac:dyDescent="0.2">
      <c r="B412" s="5">
        <v>45645</v>
      </c>
      <c r="C412" s="6" t="s">
        <v>40</v>
      </c>
      <c r="D412" s="7">
        <v>4.1666666666666664E-2</v>
      </c>
      <c r="E412" s="8" t="s">
        <v>1</v>
      </c>
      <c r="F412" s="8">
        <v>3</v>
      </c>
      <c r="G412" s="8" t="s">
        <v>129</v>
      </c>
      <c r="H412" s="73"/>
      <c r="I412" s="84"/>
      <c r="J412" s="84"/>
      <c r="K412" s="14" t="s">
        <v>1267</v>
      </c>
    </row>
    <row r="413" spans="2:11" ht="79" x14ac:dyDescent="0.2">
      <c r="B413" s="5">
        <v>45645</v>
      </c>
      <c r="C413" s="6" t="s">
        <v>40</v>
      </c>
      <c r="D413" s="7">
        <v>0.35416666666666669</v>
      </c>
      <c r="E413" s="8" t="s">
        <v>117</v>
      </c>
      <c r="F413" s="8">
        <v>3</v>
      </c>
      <c r="G413" s="8" t="s">
        <v>118</v>
      </c>
      <c r="H413" s="73"/>
      <c r="I413" s="84">
        <v>2.5000000000000001E-3</v>
      </c>
      <c r="J413" s="84">
        <v>2.5000000000000001E-3</v>
      </c>
      <c r="K413" s="14" t="s">
        <v>1268</v>
      </c>
    </row>
    <row r="414" spans="2:11" ht="66" x14ac:dyDescent="0.2">
      <c r="B414" s="5">
        <v>45645</v>
      </c>
      <c r="C414" s="6" t="s">
        <v>40</v>
      </c>
      <c r="D414" s="7">
        <v>0.72916666666666663</v>
      </c>
      <c r="E414" s="8" t="s">
        <v>53</v>
      </c>
      <c r="F414" s="8">
        <v>3</v>
      </c>
      <c r="G414" s="8" t="s">
        <v>1269</v>
      </c>
      <c r="H414" s="73"/>
      <c r="I414" s="84">
        <v>4.7500000000000001E-2</v>
      </c>
      <c r="J414" s="84">
        <v>4.7500000000000001E-2</v>
      </c>
      <c r="K414" s="14" t="s">
        <v>1270</v>
      </c>
    </row>
    <row r="415" spans="2:11" ht="105" x14ac:dyDescent="0.2">
      <c r="B415" s="5">
        <v>45645</v>
      </c>
      <c r="C415" s="6" t="s">
        <v>40</v>
      </c>
      <c r="D415" s="7">
        <v>0.79166666666666663</v>
      </c>
      <c r="E415" s="8" t="s">
        <v>1</v>
      </c>
      <c r="F415" s="8">
        <v>3</v>
      </c>
      <c r="G415" s="8" t="s">
        <v>1271</v>
      </c>
      <c r="H415" s="73"/>
      <c r="I415" s="84">
        <v>2.8000000000000001E-2</v>
      </c>
      <c r="J415" s="84">
        <v>2.8000000000000001E-2</v>
      </c>
      <c r="K415" s="14" t="s">
        <v>1272</v>
      </c>
    </row>
    <row r="416" spans="2:11" ht="79" x14ac:dyDescent="0.2">
      <c r="B416" s="5">
        <v>45645</v>
      </c>
      <c r="C416" s="6" t="s">
        <v>40</v>
      </c>
      <c r="D416" s="7">
        <v>0.79166666666666663</v>
      </c>
      <c r="E416" s="8" t="s">
        <v>1</v>
      </c>
      <c r="F416" s="8">
        <v>3</v>
      </c>
      <c r="G416" s="8" t="s">
        <v>1273</v>
      </c>
      <c r="H416" s="73"/>
      <c r="I416" s="84" t="s">
        <v>1274</v>
      </c>
      <c r="J416" s="84" t="s">
        <v>897</v>
      </c>
      <c r="K416" s="14" t="s">
        <v>1275</v>
      </c>
    </row>
    <row r="417" spans="1:11" ht="131" x14ac:dyDescent="0.2">
      <c r="B417" s="5">
        <v>45645</v>
      </c>
      <c r="C417" s="6" t="s">
        <v>40</v>
      </c>
      <c r="D417" s="7">
        <v>0.79166666666666663</v>
      </c>
      <c r="E417" s="8" t="s">
        <v>1</v>
      </c>
      <c r="F417" s="8">
        <v>3</v>
      </c>
      <c r="G417" s="8" t="s">
        <v>1276</v>
      </c>
      <c r="H417" s="73"/>
      <c r="I417" s="86">
        <v>2.5</v>
      </c>
      <c r="J417" s="86">
        <v>-5.5</v>
      </c>
      <c r="K417" s="14" t="s">
        <v>1277</v>
      </c>
    </row>
    <row r="418" spans="1:11" ht="105" x14ac:dyDescent="0.2">
      <c r="B418" s="5">
        <v>45645</v>
      </c>
      <c r="C418" s="6" t="s">
        <v>40</v>
      </c>
      <c r="D418" s="7">
        <v>0.85416666666666663</v>
      </c>
      <c r="E418" s="8" t="s">
        <v>1</v>
      </c>
      <c r="F418" s="8">
        <v>3</v>
      </c>
      <c r="G418" s="8" t="s">
        <v>1278</v>
      </c>
      <c r="H418" s="73"/>
      <c r="I418" s="86" t="s">
        <v>78</v>
      </c>
      <c r="J418" s="86" t="s">
        <v>351</v>
      </c>
      <c r="K418" s="14" t="s">
        <v>1279</v>
      </c>
    </row>
    <row r="419" spans="1:11" ht="118" x14ac:dyDescent="0.2">
      <c r="B419" s="5">
        <v>45646</v>
      </c>
      <c r="C419" s="6" t="s">
        <v>39</v>
      </c>
      <c r="D419" s="7">
        <v>0.79166666666666663</v>
      </c>
      <c r="E419" s="8" t="s">
        <v>1</v>
      </c>
      <c r="F419" s="8">
        <v>3</v>
      </c>
      <c r="G419" s="8" t="s">
        <v>1280</v>
      </c>
      <c r="H419" s="73"/>
      <c r="I419" s="84">
        <v>2E-3</v>
      </c>
      <c r="J419" s="84">
        <v>3.0000000000000001E-3</v>
      </c>
      <c r="K419" s="14" t="s">
        <v>1281</v>
      </c>
    </row>
    <row r="420" spans="1:11" ht="92" x14ac:dyDescent="0.2">
      <c r="B420" s="5">
        <v>45646</v>
      </c>
      <c r="C420" s="6" t="s">
        <v>39</v>
      </c>
      <c r="D420" s="7">
        <v>0.79166666666666663</v>
      </c>
      <c r="E420" s="8" t="s">
        <v>1</v>
      </c>
      <c r="F420" s="8">
        <v>3</v>
      </c>
      <c r="G420" s="8" t="s">
        <v>1282</v>
      </c>
      <c r="H420" s="73"/>
      <c r="I420" s="84"/>
      <c r="J420" s="84">
        <v>2.8000000000000001E-2</v>
      </c>
      <c r="K420" s="14" t="s">
        <v>1283</v>
      </c>
    </row>
    <row r="421" spans="1:11" ht="53" x14ac:dyDescent="0.2">
      <c r="B421" s="5">
        <v>45687</v>
      </c>
      <c r="C421" s="6" t="s">
        <v>40</v>
      </c>
      <c r="D421" s="7">
        <v>2.0833333333333332E-2</v>
      </c>
      <c r="E421" s="8" t="s">
        <v>1</v>
      </c>
      <c r="F421" s="8">
        <v>3</v>
      </c>
      <c r="G421" s="8" t="s">
        <v>127</v>
      </c>
      <c r="H421" s="73"/>
      <c r="I421" s="84">
        <v>4.3299999999999998E-2</v>
      </c>
      <c r="J421" s="84">
        <v>4.6199999999999998E-2</v>
      </c>
      <c r="K421" s="14" t="s">
        <v>1284</v>
      </c>
    </row>
    <row r="422" spans="1:11" x14ac:dyDescent="0.2">
      <c r="C422" t="s">
        <v>1162</v>
      </c>
      <c r="H422"/>
      <c r="J422" s="1"/>
      <c r="K422" s="25"/>
    </row>
    <row r="423" spans="1:11" ht="92" x14ac:dyDescent="0.2">
      <c r="A423" s="684" t="s">
        <v>105</v>
      </c>
      <c r="B423" s="5">
        <v>45649</v>
      </c>
      <c r="C423" s="6" t="s">
        <v>38</v>
      </c>
      <c r="D423" s="7">
        <v>0.52083333333333337</v>
      </c>
      <c r="E423" s="8" t="s">
        <v>53</v>
      </c>
      <c r="F423" s="8">
        <v>3</v>
      </c>
      <c r="G423" s="8" t="s">
        <v>1295</v>
      </c>
      <c r="H423" s="73"/>
      <c r="I423" s="84">
        <v>1E-3</v>
      </c>
      <c r="J423" s="84">
        <v>5.0000000000000001E-3</v>
      </c>
      <c r="K423" s="14" t="s">
        <v>1296</v>
      </c>
    </row>
    <row r="424" spans="1:11" ht="92" x14ac:dyDescent="0.2">
      <c r="B424" s="5">
        <v>45649</v>
      </c>
      <c r="C424" s="6" t="s">
        <v>38</v>
      </c>
      <c r="D424" s="7">
        <v>0.52083333333333337</v>
      </c>
      <c r="E424" s="8" t="s">
        <v>53</v>
      </c>
      <c r="F424" s="8">
        <v>3</v>
      </c>
      <c r="G424" s="8" t="s">
        <v>1297</v>
      </c>
      <c r="H424" s="73"/>
      <c r="I424" s="84">
        <v>0.01</v>
      </c>
      <c r="J424" s="84">
        <v>7.0000000000000001E-3</v>
      </c>
      <c r="K424" s="14" t="s">
        <v>1296</v>
      </c>
    </row>
    <row r="425" spans="1:11" ht="105" x14ac:dyDescent="0.2">
      <c r="B425" s="5">
        <v>45649</v>
      </c>
      <c r="C425" s="6" t="s">
        <v>38</v>
      </c>
      <c r="D425" s="7">
        <v>0.85416666666666663</v>
      </c>
      <c r="E425" s="8" t="s">
        <v>1</v>
      </c>
      <c r="F425" s="8">
        <v>3</v>
      </c>
      <c r="G425" s="8" t="s">
        <v>1298</v>
      </c>
      <c r="H425" s="73"/>
      <c r="I425" s="86">
        <v>113</v>
      </c>
      <c r="J425" s="86">
        <v>111.7</v>
      </c>
      <c r="K425" s="14" t="s">
        <v>1299</v>
      </c>
    </row>
    <row r="426" spans="1:11" x14ac:dyDescent="0.2">
      <c r="B426" s="5">
        <v>45650</v>
      </c>
      <c r="C426" s="6" t="s">
        <v>38</v>
      </c>
      <c r="D426" s="7">
        <v>0.22916666666666666</v>
      </c>
      <c r="E426" s="8" t="s">
        <v>1300</v>
      </c>
      <c r="F426" s="8">
        <v>3</v>
      </c>
      <c r="G426" s="8" t="s">
        <v>1301</v>
      </c>
      <c r="H426" s="73"/>
      <c r="I426" s="84"/>
      <c r="J426" s="86"/>
      <c r="K426" s="14"/>
    </row>
    <row r="427" spans="1:11" ht="92" x14ac:dyDescent="0.2">
      <c r="B427" s="5">
        <f>B426</f>
        <v>45650</v>
      </c>
      <c r="C427" s="6" t="s">
        <v>38</v>
      </c>
      <c r="D427" s="7">
        <v>0.79166666666666663</v>
      </c>
      <c r="E427" s="8" t="s">
        <v>1</v>
      </c>
      <c r="F427" s="8">
        <v>3</v>
      </c>
      <c r="G427" s="8" t="s">
        <v>1302</v>
      </c>
      <c r="H427" s="73"/>
      <c r="I427" s="84">
        <v>-4.0000000000000001E-3</v>
      </c>
      <c r="J427" s="84">
        <v>2E-3</v>
      </c>
      <c r="K427" s="14" t="s">
        <v>1303</v>
      </c>
    </row>
    <row r="428" spans="1:11" ht="118" x14ac:dyDescent="0.2">
      <c r="B428" s="5">
        <f>B427</f>
        <v>45650</v>
      </c>
      <c r="C428" s="6" t="s">
        <v>38</v>
      </c>
      <c r="D428" s="7">
        <v>0.85416666666666663</v>
      </c>
      <c r="E428" s="8" t="s">
        <v>1</v>
      </c>
      <c r="F428" s="8">
        <v>3</v>
      </c>
      <c r="G428" s="8" t="s">
        <v>1304</v>
      </c>
      <c r="H428" s="73"/>
      <c r="I428" s="84" t="s">
        <v>1305</v>
      </c>
      <c r="J428" s="84" t="s">
        <v>1306</v>
      </c>
      <c r="K428" s="14" t="s">
        <v>1307</v>
      </c>
    </row>
    <row r="429" spans="1:11" x14ac:dyDescent="0.2">
      <c r="B429" s="5">
        <v>45651</v>
      </c>
      <c r="C429" s="6" t="s">
        <v>38</v>
      </c>
      <c r="D429" s="7">
        <v>0.22916666666666666</v>
      </c>
      <c r="E429" s="8" t="s">
        <v>1300</v>
      </c>
      <c r="F429" s="8">
        <v>3</v>
      </c>
      <c r="G429" s="8" t="s">
        <v>1308</v>
      </c>
      <c r="H429" s="73"/>
      <c r="I429" s="84"/>
      <c r="J429" s="86"/>
      <c r="K429" s="14"/>
    </row>
    <row r="430" spans="1:11" ht="92" x14ac:dyDescent="0.2">
      <c r="B430" s="5">
        <f>B429+1</f>
        <v>45652</v>
      </c>
      <c r="C430" s="6" t="s">
        <v>38</v>
      </c>
      <c r="D430" s="7">
        <v>0.79166666666666663</v>
      </c>
      <c r="E430" s="8" t="s">
        <v>1</v>
      </c>
      <c r="F430" s="8">
        <v>3</v>
      </c>
      <c r="G430" s="8" t="s">
        <v>1309</v>
      </c>
      <c r="H430" s="73"/>
      <c r="I430" s="84"/>
      <c r="J430" s="84" t="s">
        <v>931</v>
      </c>
      <c r="K430" s="14" t="s">
        <v>1310</v>
      </c>
    </row>
    <row r="431" spans="1:11" ht="144" x14ac:dyDescent="0.2">
      <c r="B431" s="5">
        <f>B430</f>
        <v>45652</v>
      </c>
      <c r="C431" s="6" t="s">
        <v>38</v>
      </c>
      <c r="D431" s="7">
        <v>0.89583333333333337</v>
      </c>
      <c r="E431" s="8" t="s">
        <v>1</v>
      </c>
      <c r="F431" s="8">
        <v>3</v>
      </c>
      <c r="G431" s="8" t="s">
        <v>9</v>
      </c>
      <c r="H431" s="73"/>
      <c r="I431" s="84"/>
      <c r="J431" s="85" t="s">
        <v>1311</v>
      </c>
      <c r="K431" s="14" t="s">
        <v>1312</v>
      </c>
    </row>
    <row r="432" spans="1:11" ht="53" x14ac:dyDescent="0.2">
      <c r="B432" s="5">
        <v>45687</v>
      </c>
      <c r="C432" s="6" t="s">
        <v>40</v>
      </c>
      <c r="D432" s="7">
        <v>2.0833333333333332E-2</v>
      </c>
      <c r="E432" s="8" t="s">
        <v>1</v>
      </c>
      <c r="F432" s="8">
        <v>3</v>
      </c>
      <c r="G432" s="8" t="s">
        <v>127</v>
      </c>
      <c r="H432" s="73"/>
      <c r="I432" s="84">
        <v>4.3299999999999998E-2</v>
      </c>
      <c r="J432" s="84">
        <v>4.6199999999999998E-2</v>
      </c>
      <c r="K432" s="14" t="s">
        <v>1284</v>
      </c>
    </row>
    <row r="433" spans="1:11" x14ac:dyDescent="0.2">
      <c r="C433" t="s">
        <v>1313</v>
      </c>
      <c r="H433"/>
      <c r="J433" s="1"/>
      <c r="K433" s="25"/>
    </row>
    <row r="434" spans="1:11" ht="118" x14ac:dyDescent="0.2">
      <c r="A434" s="684" t="s">
        <v>105</v>
      </c>
      <c r="B434" s="5">
        <v>45656</v>
      </c>
      <c r="C434" s="6" t="s">
        <v>43</v>
      </c>
      <c r="D434" s="7">
        <v>0.84375</v>
      </c>
      <c r="E434" s="8" t="s">
        <v>1</v>
      </c>
      <c r="F434" s="77">
        <v>3</v>
      </c>
      <c r="G434" s="8" t="s">
        <v>1319</v>
      </c>
      <c r="H434" s="73"/>
      <c r="I434" s="86">
        <v>42.7</v>
      </c>
      <c r="J434" s="86">
        <v>40.200000000000003</v>
      </c>
      <c r="K434" s="14" t="s">
        <v>1320</v>
      </c>
    </row>
    <row r="435" spans="1:11" x14ac:dyDescent="0.2">
      <c r="B435" s="5">
        <v>45657</v>
      </c>
      <c r="C435" s="6" t="s">
        <v>42</v>
      </c>
      <c r="D435" s="7">
        <v>0.22916666666666666</v>
      </c>
      <c r="E435" s="8" t="s">
        <v>1300</v>
      </c>
      <c r="F435" s="77">
        <v>3</v>
      </c>
      <c r="G435" s="8" t="s">
        <v>1321</v>
      </c>
      <c r="H435" s="73"/>
      <c r="I435" s="86"/>
      <c r="J435" s="86"/>
      <c r="K435" s="14"/>
    </row>
    <row r="436" spans="1:11" ht="144" x14ac:dyDescent="0.2">
      <c r="B436" s="5">
        <v>45657</v>
      </c>
      <c r="C436" s="6" t="s">
        <v>42</v>
      </c>
      <c r="D436" s="7">
        <v>0.29166666666666669</v>
      </c>
      <c r="E436" s="8" t="s">
        <v>65</v>
      </c>
      <c r="F436" s="77">
        <v>3</v>
      </c>
      <c r="G436" s="8" t="s">
        <v>1322</v>
      </c>
      <c r="H436" s="73"/>
      <c r="I436" s="86">
        <v>50.3</v>
      </c>
      <c r="J436" s="86">
        <v>50.3</v>
      </c>
      <c r="K436" s="14" t="s">
        <v>1323</v>
      </c>
    </row>
    <row r="437" spans="1:11" x14ac:dyDescent="0.2">
      <c r="B437" s="5">
        <v>45658</v>
      </c>
      <c r="C437" s="6" t="s">
        <v>41</v>
      </c>
      <c r="D437" s="7">
        <v>0.22916666666666666</v>
      </c>
      <c r="E437" s="8" t="s">
        <v>1300</v>
      </c>
      <c r="F437" s="77">
        <v>3</v>
      </c>
      <c r="G437" s="8" t="s">
        <v>1324</v>
      </c>
      <c r="H437" s="73"/>
      <c r="I437" s="86"/>
      <c r="J437" s="86"/>
      <c r="K437" s="14"/>
    </row>
    <row r="438" spans="1:11" x14ac:dyDescent="0.2">
      <c r="B438" s="5">
        <v>45659</v>
      </c>
      <c r="C438" s="6" t="s">
        <v>1325</v>
      </c>
      <c r="D438" s="7">
        <v>0.22916666666666666</v>
      </c>
      <c r="E438" s="8" t="s">
        <v>1300</v>
      </c>
      <c r="F438" s="77">
        <v>3</v>
      </c>
      <c r="G438" s="8" t="s">
        <v>1326</v>
      </c>
      <c r="H438" s="73"/>
      <c r="I438" s="86"/>
      <c r="J438" s="86"/>
      <c r="K438" s="14"/>
    </row>
    <row r="439" spans="1:11" ht="92" x14ac:dyDescent="0.2">
      <c r="B439" s="5">
        <v>45659</v>
      </c>
      <c r="C439" s="6" t="s">
        <v>1325</v>
      </c>
      <c r="D439" s="7">
        <v>0.79166666666666663</v>
      </c>
      <c r="E439" s="8" t="s">
        <v>1</v>
      </c>
      <c r="F439" s="77">
        <v>3</v>
      </c>
      <c r="G439" s="8" t="s">
        <v>1309</v>
      </c>
      <c r="H439" s="73"/>
      <c r="I439" s="86" t="s">
        <v>931</v>
      </c>
      <c r="J439" s="86" t="s">
        <v>345</v>
      </c>
      <c r="K439" s="14" t="s">
        <v>1327</v>
      </c>
    </row>
    <row r="440" spans="1:11" ht="144" x14ac:dyDescent="0.2">
      <c r="B440" s="5">
        <v>45659</v>
      </c>
      <c r="C440" s="6" t="s">
        <v>1325</v>
      </c>
      <c r="D440" s="7">
        <v>0.84375</v>
      </c>
      <c r="E440" s="8" t="s">
        <v>1</v>
      </c>
      <c r="F440" s="77">
        <v>3</v>
      </c>
      <c r="G440" s="8" t="s">
        <v>1328</v>
      </c>
      <c r="H440" s="73"/>
      <c r="I440" s="86">
        <v>48.3</v>
      </c>
      <c r="J440" s="86">
        <v>49.7</v>
      </c>
      <c r="K440" s="14" t="s">
        <v>1329</v>
      </c>
    </row>
    <row r="441" spans="1:11" ht="196" x14ac:dyDescent="0.2">
      <c r="B441" s="5">
        <v>45659</v>
      </c>
      <c r="C441" s="6" t="s">
        <v>1325</v>
      </c>
      <c r="D441" s="7">
        <v>0.85416666666666663</v>
      </c>
      <c r="E441" s="8" t="s">
        <v>1</v>
      </c>
      <c r="F441" s="77">
        <v>3</v>
      </c>
      <c r="G441" s="8" t="s">
        <v>1330</v>
      </c>
      <c r="H441" s="73"/>
      <c r="I441" s="86"/>
      <c r="J441" s="86">
        <v>48.4</v>
      </c>
      <c r="K441" s="14" t="s">
        <v>1331</v>
      </c>
    </row>
    <row r="442" spans="1:11" ht="381" x14ac:dyDescent="0.2">
      <c r="B442" s="5">
        <v>45659</v>
      </c>
      <c r="C442" s="6" t="s">
        <v>1325</v>
      </c>
      <c r="D442" s="7">
        <v>0.85416666666666663</v>
      </c>
      <c r="E442" s="8" t="s">
        <v>1</v>
      </c>
      <c r="F442" s="77">
        <v>3</v>
      </c>
      <c r="G442" s="8" t="s">
        <v>1332</v>
      </c>
      <c r="H442" s="73"/>
      <c r="I442" s="86"/>
      <c r="J442" s="86">
        <v>50.3</v>
      </c>
      <c r="K442" s="14" t="s">
        <v>1333</v>
      </c>
    </row>
    <row r="443" spans="1:11" ht="131" x14ac:dyDescent="0.2">
      <c r="B443" s="5">
        <v>45659</v>
      </c>
      <c r="C443" s="6" t="s">
        <v>1325</v>
      </c>
      <c r="D443" s="7">
        <v>0.89583333333333337</v>
      </c>
      <c r="E443" s="8" t="s">
        <v>1300</v>
      </c>
      <c r="F443" s="77">
        <v>3</v>
      </c>
      <c r="G443" s="8" t="s">
        <v>1334</v>
      </c>
      <c r="H443" s="73"/>
      <c r="I443" s="86"/>
      <c r="J443" s="368" t="s">
        <v>1335</v>
      </c>
      <c r="K443" s="14" t="s">
        <v>1336</v>
      </c>
    </row>
    <row r="444" spans="1:11" x14ac:dyDescent="0.2">
      <c r="B444" s="5">
        <v>45660</v>
      </c>
      <c r="C444" s="6" t="s">
        <v>1325</v>
      </c>
      <c r="D444" s="7">
        <v>0.22916666666666666</v>
      </c>
      <c r="E444" s="8" t="s">
        <v>1300</v>
      </c>
      <c r="F444" s="77">
        <v>3</v>
      </c>
      <c r="G444" s="8" t="s">
        <v>1337</v>
      </c>
      <c r="H444" s="73"/>
      <c r="I444" s="86"/>
      <c r="J444" s="86"/>
      <c r="K444" s="14"/>
    </row>
    <row r="445" spans="1:11" ht="196" x14ac:dyDescent="0.2">
      <c r="B445" s="5">
        <v>45661</v>
      </c>
      <c r="C445" s="6" t="s">
        <v>39</v>
      </c>
      <c r="D445" s="7">
        <v>0.85416666666666663</v>
      </c>
      <c r="E445" s="8" t="s">
        <v>1</v>
      </c>
      <c r="F445" s="77">
        <v>3</v>
      </c>
      <c r="G445" s="8" t="s">
        <v>1330</v>
      </c>
      <c r="H445" s="73"/>
      <c r="I445" s="86">
        <v>48.3</v>
      </c>
      <c r="J445" s="86">
        <v>48.4</v>
      </c>
      <c r="K445" s="14" t="s">
        <v>1331</v>
      </c>
    </row>
    <row r="446" spans="1:11" ht="331" customHeight="1" x14ac:dyDescent="0.2">
      <c r="B446" s="5">
        <v>45661</v>
      </c>
      <c r="C446" s="6" t="s">
        <v>39</v>
      </c>
      <c r="D446" s="7">
        <v>0.85416666666666663</v>
      </c>
      <c r="E446" s="8" t="s">
        <v>1</v>
      </c>
      <c r="F446" s="77">
        <v>3</v>
      </c>
      <c r="G446" s="8" t="s">
        <v>1332</v>
      </c>
      <c r="H446" s="73"/>
      <c r="I446" s="86">
        <v>52.2</v>
      </c>
      <c r="J446" s="86">
        <v>50.3</v>
      </c>
      <c r="K446" s="14" t="s">
        <v>1333</v>
      </c>
    </row>
    <row r="447" spans="1:11" ht="53" x14ac:dyDescent="0.2">
      <c r="B447" s="5">
        <v>45687</v>
      </c>
      <c r="C447" s="6" t="s">
        <v>40</v>
      </c>
      <c r="D447" s="7">
        <v>2.0833333333333332E-2</v>
      </c>
      <c r="E447" s="8" t="s">
        <v>1</v>
      </c>
      <c r="F447" s="8">
        <v>3</v>
      </c>
      <c r="G447" s="8" t="s">
        <v>127</v>
      </c>
      <c r="H447" s="73"/>
      <c r="I447" s="84">
        <v>4.3499999999999997E-2</v>
      </c>
      <c r="J447" s="84">
        <v>4.6199999999999998E-2</v>
      </c>
      <c r="K447" s="14" t="s">
        <v>1284</v>
      </c>
    </row>
    <row r="448" spans="1:11" x14ac:dyDescent="0.2">
      <c r="C448" t="s">
        <v>1338</v>
      </c>
      <c r="H448"/>
      <c r="J448" s="1"/>
      <c r="K448" s="25"/>
    </row>
    <row r="449" spans="1:11" ht="118" x14ac:dyDescent="0.2">
      <c r="A449" s="684" t="s">
        <v>105</v>
      </c>
      <c r="B449" s="5">
        <v>45656</v>
      </c>
      <c r="C449" s="6" t="s">
        <v>43</v>
      </c>
      <c r="D449" s="7">
        <v>0.84375</v>
      </c>
      <c r="E449" s="8" t="s">
        <v>1</v>
      </c>
      <c r="F449" s="77">
        <v>3</v>
      </c>
      <c r="G449" s="8" t="s">
        <v>1319</v>
      </c>
      <c r="H449" s="73"/>
      <c r="I449" s="86">
        <v>42.7</v>
      </c>
      <c r="J449" s="86">
        <v>40.200000000000003</v>
      </c>
      <c r="K449" s="14" t="s">
        <v>1320</v>
      </c>
    </row>
    <row r="450" spans="1:11" x14ac:dyDescent="0.2">
      <c r="B450" s="5">
        <v>45657</v>
      </c>
      <c r="C450" s="6" t="s">
        <v>42</v>
      </c>
      <c r="D450" s="7">
        <v>0.22916666666666666</v>
      </c>
      <c r="E450" s="8" t="s">
        <v>1300</v>
      </c>
      <c r="F450" s="77">
        <v>3</v>
      </c>
      <c r="G450" s="8" t="s">
        <v>1321</v>
      </c>
      <c r="H450" s="73"/>
      <c r="I450" s="86"/>
      <c r="J450" s="86"/>
      <c r="K450" s="14"/>
    </row>
    <row r="451" spans="1:11" ht="144" x14ac:dyDescent="0.2">
      <c r="B451" s="5">
        <v>45657</v>
      </c>
      <c r="C451" s="6" t="s">
        <v>42</v>
      </c>
      <c r="D451" s="7">
        <v>0.29166666666666669</v>
      </c>
      <c r="E451" s="8" t="s">
        <v>65</v>
      </c>
      <c r="F451" s="77">
        <v>3</v>
      </c>
      <c r="G451" s="8" t="s">
        <v>1322</v>
      </c>
      <c r="H451" s="73"/>
      <c r="I451" s="86">
        <v>50.3</v>
      </c>
      <c r="J451" s="86">
        <v>50.3</v>
      </c>
      <c r="K451" s="14" t="s">
        <v>1323</v>
      </c>
    </row>
    <row r="452" spans="1:11" x14ac:dyDescent="0.2">
      <c r="B452" s="5">
        <v>45658</v>
      </c>
      <c r="C452" s="6" t="s">
        <v>41</v>
      </c>
      <c r="D452" s="7">
        <v>0.22916666666666666</v>
      </c>
      <c r="E452" s="8" t="s">
        <v>1300</v>
      </c>
      <c r="F452" s="77">
        <v>3</v>
      </c>
      <c r="G452" s="8" t="s">
        <v>1324</v>
      </c>
      <c r="H452" s="73"/>
      <c r="I452" s="86"/>
      <c r="J452" s="86"/>
      <c r="K452" s="14"/>
    </row>
    <row r="453" spans="1:11" x14ac:dyDescent="0.2">
      <c r="B453" s="5">
        <v>45659</v>
      </c>
      <c r="C453" s="6" t="s">
        <v>1325</v>
      </c>
      <c r="D453" s="7">
        <v>0.22916666666666666</v>
      </c>
      <c r="E453" s="8" t="s">
        <v>1300</v>
      </c>
      <c r="F453" s="77">
        <v>3</v>
      </c>
      <c r="G453" s="8" t="s">
        <v>1326</v>
      </c>
      <c r="H453" s="73"/>
      <c r="I453" s="86"/>
      <c r="J453" s="86"/>
      <c r="K453" s="14"/>
    </row>
    <row r="454" spans="1:11" ht="92" x14ac:dyDescent="0.2">
      <c r="B454" s="5">
        <v>45659</v>
      </c>
      <c r="C454" s="6" t="s">
        <v>1325</v>
      </c>
      <c r="D454" s="7">
        <v>0.79166666666666663</v>
      </c>
      <c r="E454" s="8" t="s">
        <v>1</v>
      </c>
      <c r="F454" s="77">
        <v>3</v>
      </c>
      <c r="G454" s="8" t="s">
        <v>1309</v>
      </c>
      <c r="H454" s="73"/>
      <c r="I454" s="86" t="s">
        <v>931</v>
      </c>
      <c r="J454" s="86" t="s">
        <v>345</v>
      </c>
      <c r="K454" s="14" t="s">
        <v>1327</v>
      </c>
    </row>
    <row r="455" spans="1:11" ht="144" x14ac:dyDescent="0.2">
      <c r="B455" s="5">
        <v>45659</v>
      </c>
      <c r="C455" s="6" t="s">
        <v>1325</v>
      </c>
      <c r="D455" s="7">
        <v>0.84375</v>
      </c>
      <c r="E455" s="8" t="s">
        <v>1</v>
      </c>
      <c r="F455" s="77">
        <v>3</v>
      </c>
      <c r="G455" s="8" t="s">
        <v>1328</v>
      </c>
      <c r="H455" s="73"/>
      <c r="I455" s="86">
        <v>48.3</v>
      </c>
      <c r="J455" s="86">
        <v>49.7</v>
      </c>
      <c r="K455" s="14" t="s">
        <v>1329</v>
      </c>
    </row>
    <row r="456" spans="1:11" ht="196" x14ac:dyDescent="0.2">
      <c r="B456" s="5">
        <v>45659</v>
      </c>
      <c r="C456" s="6" t="s">
        <v>1325</v>
      </c>
      <c r="D456" s="7">
        <v>0.85416666666666663</v>
      </c>
      <c r="E456" s="8" t="s">
        <v>1</v>
      </c>
      <c r="F456" s="77">
        <v>3</v>
      </c>
      <c r="G456" s="8" t="s">
        <v>1330</v>
      </c>
      <c r="H456" s="73"/>
      <c r="I456" s="86"/>
      <c r="J456" s="86">
        <v>48.4</v>
      </c>
      <c r="K456" s="14" t="s">
        <v>1331</v>
      </c>
    </row>
    <row r="457" spans="1:11" ht="381" x14ac:dyDescent="0.2">
      <c r="B457" s="5">
        <v>45659</v>
      </c>
      <c r="C457" s="6" t="s">
        <v>1325</v>
      </c>
      <c r="D457" s="7">
        <v>0.85416666666666663</v>
      </c>
      <c r="E457" s="8" t="s">
        <v>1</v>
      </c>
      <c r="F457" s="77">
        <v>3</v>
      </c>
      <c r="G457" s="8" t="s">
        <v>1332</v>
      </c>
      <c r="H457" s="73"/>
      <c r="I457" s="86"/>
      <c r="J457" s="86">
        <v>50.3</v>
      </c>
      <c r="K457" s="14" t="s">
        <v>1333</v>
      </c>
    </row>
    <row r="458" spans="1:11" ht="131" x14ac:dyDescent="0.2">
      <c r="B458" s="5">
        <v>45659</v>
      </c>
      <c r="C458" s="6" t="s">
        <v>1325</v>
      </c>
      <c r="D458" s="7">
        <v>0.89583333333333337</v>
      </c>
      <c r="E458" s="8" t="s">
        <v>1300</v>
      </c>
      <c r="F458" s="77">
        <v>3</v>
      </c>
      <c r="G458" s="8" t="s">
        <v>1334</v>
      </c>
      <c r="H458" s="73"/>
      <c r="I458" s="86"/>
      <c r="J458" s="368" t="s">
        <v>1335</v>
      </c>
      <c r="K458" s="14" t="s">
        <v>1336</v>
      </c>
    </row>
    <row r="459" spans="1:11" x14ac:dyDescent="0.2">
      <c r="B459" s="5">
        <v>45660</v>
      </c>
      <c r="C459" s="6" t="s">
        <v>1325</v>
      </c>
      <c r="D459" s="7">
        <v>0.22916666666666666</v>
      </c>
      <c r="E459" s="8" t="s">
        <v>1300</v>
      </c>
      <c r="F459" s="77">
        <v>3</v>
      </c>
      <c r="G459" s="8" t="s">
        <v>1337</v>
      </c>
      <c r="H459" s="73"/>
      <c r="I459" s="86"/>
      <c r="J459" s="86"/>
      <c r="K459" s="14"/>
    </row>
    <row r="460" spans="1:11" ht="196" x14ac:dyDescent="0.2">
      <c r="B460" s="5">
        <v>45661</v>
      </c>
      <c r="C460" s="6" t="s">
        <v>39</v>
      </c>
      <c r="D460" s="7">
        <v>0.85416666666666663</v>
      </c>
      <c r="E460" s="8" t="s">
        <v>1</v>
      </c>
      <c r="F460" s="77">
        <v>3</v>
      </c>
      <c r="G460" s="8" t="s">
        <v>1330</v>
      </c>
      <c r="H460" s="73"/>
      <c r="I460" s="86">
        <v>48.3</v>
      </c>
      <c r="J460" s="86">
        <v>48.4</v>
      </c>
      <c r="K460" s="14" t="s">
        <v>1331</v>
      </c>
    </row>
    <row r="461" spans="1:11" ht="381" x14ac:dyDescent="0.2">
      <c r="B461" s="5">
        <v>45661</v>
      </c>
      <c r="C461" s="6" t="s">
        <v>39</v>
      </c>
      <c r="D461" s="7">
        <v>0.85416666666666663</v>
      </c>
      <c r="E461" s="8" t="s">
        <v>1</v>
      </c>
      <c r="F461" s="77">
        <v>3</v>
      </c>
      <c r="G461" s="8" t="s">
        <v>1332</v>
      </c>
      <c r="H461" s="73"/>
      <c r="I461" s="86">
        <v>52.2</v>
      </c>
      <c r="J461" s="86">
        <v>50.3</v>
      </c>
      <c r="K461" s="14" t="s">
        <v>1333</v>
      </c>
    </row>
    <row r="462" spans="1:11" ht="53" x14ac:dyDescent="0.2">
      <c r="B462" s="5">
        <v>45687</v>
      </c>
      <c r="C462" s="6" t="s">
        <v>40</v>
      </c>
      <c r="D462" s="7">
        <v>2.0833333333333332E-2</v>
      </c>
      <c r="E462" s="8" t="s">
        <v>1</v>
      </c>
      <c r="F462" s="8">
        <v>3</v>
      </c>
      <c r="G462" s="8" t="s">
        <v>127</v>
      </c>
      <c r="H462" s="73"/>
      <c r="I462" s="84">
        <v>4.3499999999999997E-2</v>
      </c>
      <c r="J462" s="84">
        <v>4.6199999999999998E-2</v>
      </c>
      <c r="K462" s="14" t="s">
        <v>1284</v>
      </c>
    </row>
    <row r="463" spans="1:11" x14ac:dyDescent="0.2">
      <c r="C463" t="s">
        <v>1338</v>
      </c>
      <c r="H463"/>
      <c r="J463" s="1"/>
      <c r="K463" s="25"/>
    </row>
    <row r="464" spans="1:11" ht="105" x14ac:dyDescent="0.2">
      <c r="A464" s="684" t="s">
        <v>105</v>
      </c>
      <c r="B464" s="5">
        <v>45663</v>
      </c>
      <c r="C464" s="6" t="s">
        <v>43</v>
      </c>
      <c r="D464" s="7">
        <v>0.77083333333333337</v>
      </c>
      <c r="E464" s="8" t="s">
        <v>22</v>
      </c>
      <c r="F464" s="77">
        <v>3</v>
      </c>
      <c r="G464" s="8" t="s">
        <v>1348</v>
      </c>
      <c r="H464" s="73"/>
      <c r="I464" s="84"/>
      <c r="J464" s="84">
        <v>-2E-3</v>
      </c>
      <c r="K464" s="14" t="s">
        <v>1349</v>
      </c>
    </row>
    <row r="465" spans="2:11" ht="105" x14ac:dyDescent="0.2">
      <c r="B465" s="5">
        <v>45663</v>
      </c>
      <c r="C465" s="6" t="s">
        <v>43</v>
      </c>
      <c r="D465" s="7">
        <v>0.84375</v>
      </c>
      <c r="E465" s="8" t="s">
        <v>1</v>
      </c>
      <c r="F465" s="77">
        <v>3</v>
      </c>
      <c r="G465" s="8" t="s">
        <v>1350</v>
      </c>
      <c r="H465" s="73"/>
      <c r="I465" s="86">
        <v>58.5</v>
      </c>
      <c r="J465" s="86">
        <v>56.1</v>
      </c>
      <c r="K465" s="14" t="s">
        <v>1351</v>
      </c>
    </row>
    <row r="466" spans="2:11" ht="170" x14ac:dyDescent="0.2">
      <c r="B466" s="5">
        <v>45664</v>
      </c>
      <c r="C466" s="6" t="s">
        <v>42</v>
      </c>
      <c r="D466" s="7">
        <v>0.54166666666666663</v>
      </c>
      <c r="E466" s="8" t="s">
        <v>270</v>
      </c>
      <c r="F466" s="77">
        <v>1</v>
      </c>
      <c r="G466" s="8" t="s">
        <v>1352</v>
      </c>
      <c r="H466" s="73"/>
      <c r="I466" s="84"/>
      <c r="J466" s="84">
        <v>7.0000000000000001E-3</v>
      </c>
      <c r="K466" s="14" t="s">
        <v>1353</v>
      </c>
    </row>
    <row r="467" spans="2:11" ht="170" x14ac:dyDescent="0.2">
      <c r="B467" s="5">
        <v>45664</v>
      </c>
      <c r="C467" s="6" t="s">
        <v>42</v>
      </c>
      <c r="D467" s="7">
        <v>0.64583333333333337</v>
      </c>
      <c r="E467" s="8" t="s">
        <v>22</v>
      </c>
      <c r="F467" s="77">
        <v>3</v>
      </c>
      <c r="G467" s="8" t="s">
        <v>1354</v>
      </c>
      <c r="H467" s="73"/>
      <c r="I467" s="84"/>
      <c r="J467" s="84">
        <v>2.1999999999999999E-2</v>
      </c>
      <c r="K467" s="14" t="s">
        <v>1353</v>
      </c>
    </row>
    <row r="468" spans="2:11" ht="209" x14ac:dyDescent="0.2">
      <c r="B468" s="5">
        <v>45664</v>
      </c>
      <c r="C468" s="6" t="s">
        <v>42</v>
      </c>
      <c r="D468" s="7">
        <v>0.85416666666666663</v>
      </c>
      <c r="E468" s="8" t="s">
        <v>1</v>
      </c>
      <c r="F468" s="77">
        <v>3</v>
      </c>
      <c r="G468" s="8" t="s">
        <v>1355</v>
      </c>
      <c r="H468" s="73"/>
      <c r="I468" s="86">
        <v>53.5</v>
      </c>
      <c r="J468" s="86">
        <v>52.1</v>
      </c>
      <c r="K468" s="14" t="s">
        <v>1356</v>
      </c>
    </row>
    <row r="469" spans="2:11" ht="196" x14ac:dyDescent="0.2">
      <c r="B469" s="5">
        <v>45664</v>
      </c>
      <c r="C469" s="6" t="s">
        <v>42</v>
      </c>
      <c r="D469" s="7">
        <v>0.85416666666666663</v>
      </c>
      <c r="E469" s="8" t="s">
        <v>1</v>
      </c>
      <c r="F469" s="77">
        <v>3</v>
      </c>
      <c r="G469" s="8" t="s">
        <v>1357</v>
      </c>
      <c r="H469" s="73"/>
      <c r="I469" s="84"/>
      <c r="J469" s="86">
        <v>58.2</v>
      </c>
      <c r="K469" s="14" t="s">
        <v>1358</v>
      </c>
    </row>
    <row r="470" spans="2:11" ht="157" x14ac:dyDescent="0.2">
      <c r="B470" s="5">
        <v>45664</v>
      </c>
      <c r="C470" s="6" t="s">
        <v>42</v>
      </c>
      <c r="D470" s="7">
        <v>0.85416666666666663</v>
      </c>
      <c r="E470" s="8" t="s">
        <v>1</v>
      </c>
      <c r="F470" s="77">
        <v>3</v>
      </c>
      <c r="G470" s="8" t="s">
        <v>1359</v>
      </c>
      <c r="H470" s="73"/>
      <c r="I470" s="86" t="s">
        <v>1360</v>
      </c>
      <c r="J470" s="86" t="s">
        <v>1361</v>
      </c>
      <c r="K470" s="14" t="s">
        <v>1362</v>
      </c>
    </row>
    <row r="471" spans="2:11" ht="157" x14ac:dyDescent="0.2">
      <c r="B471" s="5">
        <v>45664</v>
      </c>
      <c r="C471" s="5" t="s">
        <v>42</v>
      </c>
      <c r="D471" s="7">
        <v>0.97916666666666663</v>
      </c>
      <c r="E471" s="8" t="s">
        <v>1</v>
      </c>
      <c r="F471" s="77">
        <v>3</v>
      </c>
      <c r="G471" s="8" t="s">
        <v>52</v>
      </c>
      <c r="H471" s="73"/>
      <c r="I471" s="86"/>
      <c r="J471" s="209">
        <v>4.2349999999999999E-2</v>
      </c>
      <c r="K471" s="14" t="s">
        <v>1363</v>
      </c>
    </row>
    <row r="472" spans="2:11" ht="105" x14ac:dyDescent="0.2">
      <c r="B472" s="5">
        <v>45665</v>
      </c>
      <c r="C472" s="6" t="s">
        <v>41</v>
      </c>
      <c r="D472" s="7">
        <v>0.78125</v>
      </c>
      <c r="E472" s="8" t="s">
        <v>1</v>
      </c>
      <c r="F472" s="77">
        <v>3</v>
      </c>
      <c r="G472" s="8" t="s">
        <v>1364</v>
      </c>
      <c r="H472" s="73"/>
      <c r="I472" s="86" t="s">
        <v>635</v>
      </c>
      <c r="J472" s="86" t="s">
        <v>1365</v>
      </c>
      <c r="K472" s="14" t="s">
        <v>1366</v>
      </c>
    </row>
    <row r="473" spans="2:11" ht="79" x14ac:dyDescent="0.2">
      <c r="B473" s="5">
        <v>45666</v>
      </c>
      <c r="C473" s="6" t="s">
        <v>1325</v>
      </c>
      <c r="D473" s="7">
        <v>0.79166666666666663</v>
      </c>
      <c r="E473" s="8" t="s">
        <v>1</v>
      </c>
      <c r="F473" s="77">
        <v>3</v>
      </c>
      <c r="G473" s="8" t="s">
        <v>14</v>
      </c>
      <c r="H473" s="73"/>
      <c r="I473" s="86"/>
      <c r="J473" s="209" t="s">
        <v>1367</v>
      </c>
      <c r="K473" s="14" t="s">
        <v>1368</v>
      </c>
    </row>
    <row r="474" spans="2:11" ht="131" x14ac:dyDescent="0.2">
      <c r="B474" s="5">
        <v>45665</v>
      </c>
      <c r="C474" s="6" t="s">
        <v>41</v>
      </c>
      <c r="D474" s="7">
        <v>0.875</v>
      </c>
      <c r="E474" s="8" t="s">
        <v>1</v>
      </c>
      <c r="F474" s="77">
        <v>3</v>
      </c>
      <c r="G474" s="8" t="s">
        <v>9</v>
      </c>
      <c r="H474" s="73"/>
      <c r="I474" s="86"/>
      <c r="J474" s="368" t="s">
        <v>1369</v>
      </c>
      <c r="K474" s="14" t="s">
        <v>1370</v>
      </c>
    </row>
    <row r="475" spans="2:11" ht="144" x14ac:dyDescent="0.2">
      <c r="B475" s="5">
        <v>45665</v>
      </c>
      <c r="C475" s="6" t="s">
        <v>41</v>
      </c>
      <c r="D475" s="7">
        <v>0.97916666666666663</v>
      </c>
      <c r="E475" s="8" t="s">
        <v>1</v>
      </c>
      <c r="F475" s="77">
        <v>3</v>
      </c>
      <c r="G475" s="8" t="s">
        <v>927</v>
      </c>
      <c r="H475" s="73"/>
      <c r="I475" s="86"/>
      <c r="J475" s="209">
        <v>4.5350000000000001E-2</v>
      </c>
      <c r="K475" s="14" t="s">
        <v>1371</v>
      </c>
    </row>
    <row r="476" spans="2:11" ht="42" x14ac:dyDescent="0.2">
      <c r="B476" s="5">
        <v>45666</v>
      </c>
      <c r="C476" s="6" t="s">
        <v>1325</v>
      </c>
      <c r="D476" s="7">
        <v>0</v>
      </c>
      <c r="E476" s="8" t="s">
        <v>1</v>
      </c>
      <c r="F476" s="77">
        <v>3</v>
      </c>
      <c r="G476" s="77" t="s">
        <v>1373</v>
      </c>
      <c r="H476" s="73"/>
      <c r="I476" s="86"/>
      <c r="J476" s="209"/>
      <c r="K476" s="14" t="s">
        <v>1372</v>
      </c>
    </row>
    <row r="477" spans="2:11" ht="144" x14ac:dyDescent="0.2">
      <c r="B477" s="5">
        <v>45666</v>
      </c>
      <c r="C477" s="6" t="s">
        <v>1325</v>
      </c>
      <c r="D477" s="7">
        <v>2.0833333333333332E-2</v>
      </c>
      <c r="E477" s="8" t="s">
        <v>1</v>
      </c>
      <c r="F477" s="77">
        <v>3</v>
      </c>
      <c r="G477" s="8" t="s">
        <v>7</v>
      </c>
      <c r="H477" s="73"/>
      <c r="I477" s="86"/>
      <c r="J477" s="209"/>
      <c r="K477" s="14" t="s">
        <v>1374</v>
      </c>
    </row>
    <row r="478" spans="2:11" ht="157" x14ac:dyDescent="0.2">
      <c r="B478" s="5">
        <v>45667</v>
      </c>
      <c r="C478" s="6" t="s">
        <v>39</v>
      </c>
      <c r="D478" s="7">
        <v>0.79166666666666663</v>
      </c>
      <c r="E478" s="8" t="s">
        <v>1</v>
      </c>
      <c r="F478" s="77">
        <v>3</v>
      </c>
      <c r="G478" s="8" t="s">
        <v>1376</v>
      </c>
      <c r="H478" s="73"/>
      <c r="I478" s="84">
        <v>3.0000000000000001E-3</v>
      </c>
      <c r="J478" s="84">
        <v>4.0000000000000001E-3</v>
      </c>
      <c r="K478" s="14" t="s">
        <v>1375</v>
      </c>
    </row>
    <row r="479" spans="2:11" ht="157" x14ac:dyDescent="0.2">
      <c r="B479" s="5">
        <v>45667</v>
      </c>
      <c r="C479" s="6" t="s">
        <v>39</v>
      </c>
      <c r="D479" s="7">
        <v>0.79166666666666663</v>
      </c>
      <c r="E479" s="8" t="s">
        <v>1</v>
      </c>
      <c r="F479" s="77">
        <v>3</v>
      </c>
      <c r="G479" s="8" t="s">
        <v>1378</v>
      </c>
      <c r="H479" s="73"/>
      <c r="I479" s="84" t="s">
        <v>1377</v>
      </c>
      <c r="J479" s="86" t="s">
        <v>209</v>
      </c>
      <c r="K479" s="14" t="s">
        <v>1375</v>
      </c>
    </row>
    <row r="480" spans="2:11" ht="157" x14ac:dyDescent="0.2">
      <c r="B480" s="5">
        <v>45667</v>
      </c>
      <c r="C480" s="6" t="s">
        <v>39</v>
      </c>
      <c r="D480" s="7">
        <v>0.79166666666666663</v>
      </c>
      <c r="E480" s="8" t="s">
        <v>1</v>
      </c>
      <c r="F480" s="77">
        <v>3</v>
      </c>
      <c r="G480" s="8" t="s">
        <v>1379</v>
      </c>
      <c r="H480" s="73"/>
      <c r="I480" s="84">
        <v>4.2000000000000003E-2</v>
      </c>
      <c r="J480" s="84">
        <v>4.2000000000000003E-2</v>
      </c>
      <c r="K480" s="14" t="s">
        <v>1375</v>
      </c>
    </row>
    <row r="481" spans="1:12" ht="66" x14ac:dyDescent="0.2">
      <c r="B481" s="5">
        <v>45687</v>
      </c>
      <c r="C481" s="6" t="s">
        <v>40</v>
      </c>
      <c r="D481" s="7">
        <v>2.0833333333333332E-2</v>
      </c>
      <c r="E481" s="8" t="s">
        <v>1</v>
      </c>
      <c r="F481" s="8">
        <v>3</v>
      </c>
      <c r="G481" s="77" t="s">
        <v>127</v>
      </c>
      <c r="H481" s="73"/>
      <c r="I481" s="84">
        <v>4.3499999999999997E-2</v>
      </c>
      <c r="J481" s="84">
        <v>4.6199999999999998E-2</v>
      </c>
      <c r="K481" s="14" t="s">
        <v>1380</v>
      </c>
    </row>
    <row r="482" spans="1:12" x14ac:dyDescent="0.2">
      <c r="C482" t="s">
        <v>1381</v>
      </c>
      <c r="H482"/>
      <c r="J482" s="1"/>
      <c r="K482" s="1"/>
      <c r="L482" s="1"/>
    </row>
    <row r="483" spans="1:12" ht="27" x14ac:dyDescent="0.2">
      <c r="A483" s="684" t="s">
        <v>105</v>
      </c>
      <c r="B483" s="5">
        <v>45670</v>
      </c>
      <c r="C483" s="6" t="s">
        <v>43</v>
      </c>
      <c r="D483" s="7">
        <v>0</v>
      </c>
      <c r="E483" s="8" t="s">
        <v>117</v>
      </c>
      <c r="F483" s="77">
        <v>3</v>
      </c>
      <c r="G483" s="8" t="s">
        <v>1402</v>
      </c>
      <c r="H483" s="73"/>
      <c r="I483" s="84"/>
      <c r="J483" s="84"/>
      <c r="K483" s="14" t="s">
        <v>1403</v>
      </c>
    </row>
    <row r="484" spans="1:12" ht="131" x14ac:dyDescent="0.2">
      <c r="B484" s="5">
        <v>45671</v>
      </c>
      <c r="C484" s="6" t="s">
        <v>42</v>
      </c>
      <c r="D484" s="7">
        <v>0.79166666666666663</v>
      </c>
      <c r="E484" s="8" t="s">
        <v>1</v>
      </c>
      <c r="F484" s="77">
        <v>3</v>
      </c>
      <c r="G484" s="8" t="s">
        <v>1404</v>
      </c>
      <c r="H484" s="73"/>
      <c r="I484" s="84">
        <v>4.0000000000000001E-3</v>
      </c>
      <c r="J484" s="84">
        <v>4.0000000000000001E-3</v>
      </c>
      <c r="K484" s="14" t="s">
        <v>1405</v>
      </c>
    </row>
    <row r="485" spans="1:12" ht="183" x14ac:dyDescent="0.2">
      <c r="B485" s="5">
        <v>45672</v>
      </c>
      <c r="C485" s="6" t="s">
        <v>41</v>
      </c>
      <c r="D485" s="7">
        <v>0.52083333333333337</v>
      </c>
      <c r="E485" s="8" t="s">
        <v>53</v>
      </c>
      <c r="F485" s="77">
        <v>3</v>
      </c>
      <c r="G485" s="8" t="s">
        <v>1406</v>
      </c>
      <c r="H485" s="73"/>
      <c r="I485" s="685">
        <v>2.5999999999999999E-2</v>
      </c>
      <c r="J485" s="84">
        <v>2.5999999999999999E-2</v>
      </c>
      <c r="K485" s="14" t="s">
        <v>1407</v>
      </c>
    </row>
    <row r="486" spans="1:12" ht="144" x14ac:dyDescent="0.2">
      <c r="B486" s="5">
        <v>45672</v>
      </c>
      <c r="C486" s="6" t="s">
        <v>41</v>
      </c>
      <c r="D486" s="7">
        <v>0.79166666666666663</v>
      </c>
      <c r="E486" s="8" t="s">
        <v>1</v>
      </c>
      <c r="F486" s="77">
        <v>3</v>
      </c>
      <c r="G486" s="8" t="s">
        <v>1408</v>
      </c>
      <c r="H486" s="73"/>
      <c r="I486" s="84">
        <v>2E-3</v>
      </c>
      <c r="J486" s="84">
        <v>3.0000000000000001E-3</v>
      </c>
      <c r="K486" s="14" t="s">
        <v>1409</v>
      </c>
    </row>
    <row r="487" spans="1:12" ht="144" x14ac:dyDescent="0.2">
      <c r="B487" s="5">
        <v>45672</v>
      </c>
      <c r="C487" s="6" t="s">
        <v>41</v>
      </c>
      <c r="D487" s="7">
        <v>0.79166666666666663</v>
      </c>
      <c r="E487" s="8" t="s">
        <v>1</v>
      </c>
      <c r="F487" s="77">
        <v>3</v>
      </c>
      <c r="G487" s="8" t="s">
        <v>1410</v>
      </c>
      <c r="H487" s="73"/>
      <c r="I487" s="84">
        <v>2.9000000000000001E-2</v>
      </c>
      <c r="J487" s="84">
        <v>2.7E-2</v>
      </c>
      <c r="K487" s="14" t="s">
        <v>1409</v>
      </c>
    </row>
    <row r="488" spans="1:12" ht="144" x14ac:dyDescent="0.2">
      <c r="B488" s="5">
        <v>45672</v>
      </c>
      <c r="C488" s="6" t="s">
        <v>41</v>
      </c>
      <c r="D488" s="7">
        <v>0.79166666666666663</v>
      </c>
      <c r="E488" s="8" t="s">
        <v>1</v>
      </c>
      <c r="F488" s="77">
        <v>3</v>
      </c>
      <c r="G488" s="8" t="s">
        <v>1411</v>
      </c>
      <c r="H488" s="73"/>
      <c r="I488" s="84">
        <v>3.0000000000000001E-3</v>
      </c>
      <c r="J488" s="84">
        <v>3.0000000000000001E-3</v>
      </c>
      <c r="K488" s="14" t="s">
        <v>1409</v>
      </c>
    </row>
    <row r="489" spans="1:12" ht="144" x14ac:dyDescent="0.2">
      <c r="B489" s="5">
        <v>45672</v>
      </c>
      <c r="C489" s="6" t="s">
        <v>41</v>
      </c>
      <c r="D489" s="7">
        <v>0.875</v>
      </c>
      <c r="E489" s="8" t="s">
        <v>1300</v>
      </c>
      <c r="F489" s="77">
        <v>3</v>
      </c>
      <c r="G489" s="8" t="s">
        <v>1412</v>
      </c>
      <c r="H489" s="73"/>
      <c r="I489" s="84"/>
      <c r="J489" s="85" t="s">
        <v>1413</v>
      </c>
      <c r="K489" s="14" t="s">
        <v>1414</v>
      </c>
    </row>
    <row r="490" spans="1:12" ht="92" x14ac:dyDescent="0.2">
      <c r="B490" s="5">
        <v>45673</v>
      </c>
      <c r="C490" s="6" t="s">
        <v>1325</v>
      </c>
      <c r="D490" s="7">
        <v>0.52083333333333337</v>
      </c>
      <c r="E490" s="8" t="s">
        <v>53</v>
      </c>
      <c r="F490" s="77">
        <v>3</v>
      </c>
      <c r="G490" s="8" t="s">
        <v>1415</v>
      </c>
      <c r="H490" s="73"/>
      <c r="I490" s="85">
        <v>2E-3</v>
      </c>
      <c r="J490" s="85">
        <v>-1E-3</v>
      </c>
      <c r="K490" s="14" t="s">
        <v>1416</v>
      </c>
    </row>
    <row r="491" spans="1:12" ht="118" x14ac:dyDescent="0.2">
      <c r="B491" s="5">
        <v>45673</v>
      </c>
      <c r="C491" s="6" t="s">
        <v>1325</v>
      </c>
      <c r="D491" s="7">
        <v>0.52083333333333337</v>
      </c>
      <c r="E491" s="8" t="s">
        <v>53</v>
      </c>
      <c r="F491" s="77">
        <v>3</v>
      </c>
      <c r="G491" s="8" t="s">
        <v>1417</v>
      </c>
      <c r="H491" s="73"/>
      <c r="I491" s="85">
        <v>4.0000000000000001E-3</v>
      </c>
      <c r="J491" s="85">
        <v>4.0000000000000001E-3</v>
      </c>
      <c r="K491" s="14" t="s">
        <v>1418</v>
      </c>
    </row>
    <row r="492" spans="1:12" ht="105" x14ac:dyDescent="0.2">
      <c r="B492" s="5">
        <v>45673</v>
      </c>
      <c r="C492" s="6" t="s">
        <v>1325</v>
      </c>
      <c r="D492" s="7">
        <v>0.79166666666666663</v>
      </c>
      <c r="E492" s="8" t="s">
        <v>1</v>
      </c>
      <c r="F492" s="77">
        <v>3</v>
      </c>
      <c r="G492" s="8" t="s">
        <v>1419</v>
      </c>
      <c r="H492" s="73"/>
      <c r="I492" s="85">
        <v>4.0000000000000001E-3</v>
      </c>
      <c r="J492" s="85">
        <v>2E-3</v>
      </c>
      <c r="K492" s="14" t="s">
        <v>1420</v>
      </c>
    </row>
    <row r="493" spans="1:12" ht="92" x14ac:dyDescent="0.2">
      <c r="B493" s="5">
        <v>45673</v>
      </c>
      <c r="C493" s="6" t="s">
        <v>1325</v>
      </c>
      <c r="D493" s="7">
        <v>0.79166666666666663</v>
      </c>
      <c r="E493" s="8" t="s">
        <v>1</v>
      </c>
      <c r="F493" s="77">
        <v>3</v>
      </c>
      <c r="G493" s="8" t="s">
        <v>1421</v>
      </c>
      <c r="H493" s="73"/>
      <c r="I493" s="85" t="s">
        <v>1422</v>
      </c>
      <c r="J493" s="85" t="s">
        <v>1423</v>
      </c>
      <c r="K493" s="14" t="s">
        <v>1424</v>
      </c>
    </row>
    <row r="494" spans="1:12" ht="131" x14ac:dyDescent="0.2">
      <c r="B494" s="5">
        <v>45673</v>
      </c>
      <c r="C494" s="6" t="s">
        <v>1325</v>
      </c>
      <c r="D494" s="7">
        <v>0.79166666666666663</v>
      </c>
      <c r="E494" s="8" t="s">
        <v>1</v>
      </c>
      <c r="F494" s="77">
        <v>3</v>
      </c>
      <c r="G494" s="77" t="s">
        <v>1425</v>
      </c>
      <c r="H494" s="73"/>
      <c r="I494" s="368" t="s">
        <v>1426</v>
      </c>
      <c r="J494" s="368" t="s">
        <v>1427</v>
      </c>
      <c r="K494" s="14" t="s">
        <v>1428</v>
      </c>
    </row>
    <row r="495" spans="1:12" ht="105" x14ac:dyDescent="0.2">
      <c r="B495" s="5">
        <v>45673</v>
      </c>
      <c r="C495" s="6" t="s">
        <v>1325</v>
      </c>
      <c r="D495" s="7">
        <v>0.79166666666666663</v>
      </c>
      <c r="E495" s="8" t="s">
        <v>1</v>
      </c>
      <c r="F495" s="77">
        <v>3</v>
      </c>
      <c r="G495" s="8" t="s">
        <v>1429</v>
      </c>
      <c r="H495" s="73"/>
      <c r="I495" s="85">
        <v>5.0000000000000001E-3</v>
      </c>
      <c r="J495" s="85">
        <v>7.0000000000000001E-3</v>
      </c>
      <c r="K495" s="14" t="s">
        <v>1430</v>
      </c>
    </row>
    <row r="496" spans="1:12" ht="105" x14ac:dyDescent="0.2">
      <c r="B496" s="5">
        <v>45674</v>
      </c>
      <c r="C496" s="6" t="s">
        <v>1325</v>
      </c>
      <c r="D496" s="7">
        <v>0.3125</v>
      </c>
      <c r="E496" s="8" t="s">
        <v>65</v>
      </c>
      <c r="F496" s="77">
        <v>3</v>
      </c>
      <c r="G496" s="8" t="s">
        <v>1431</v>
      </c>
      <c r="H496" s="73"/>
      <c r="I496" s="85">
        <v>5.0999999999999997E-2</v>
      </c>
      <c r="J496" s="85">
        <v>4.5999999999999999E-2</v>
      </c>
      <c r="K496" s="14" t="s">
        <v>1432</v>
      </c>
    </row>
    <row r="497" spans="1:11" ht="157" x14ac:dyDescent="0.2">
      <c r="B497" s="5">
        <v>45674</v>
      </c>
      <c r="C497" s="6" t="s">
        <v>1325</v>
      </c>
      <c r="D497" s="7">
        <v>0.64583333333333337</v>
      </c>
      <c r="E497" s="8" t="s">
        <v>22</v>
      </c>
      <c r="F497" s="77">
        <v>3</v>
      </c>
      <c r="G497" s="8" t="s">
        <v>1433</v>
      </c>
      <c r="H497" s="73"/>
      <c r="I497" s="85">
        <v>2.4E-2</v>
      </c>
      <c r="J497" s="85">
        <v>2.4E-2</v>
      </c>
      <c r="K497" s="14" t="s">
        <v>1434</v>
      </c>
    </row>
    <row r="498" spans="1:11" ht="27" x14ac:dyDescent="0.2">
      <c r="B498" s="81">
        <v>45644</v>
      </c>
      <c r="C498" s="82" t="s">
        <v>40</v>
      </c>
      <c r="D498" s="83">
        <v>0.97916666666666663</v>
      </c>
      <c r="E498" s="77" t="s">
        <v>1</v>
      </c>
      <c r="F498" s="77">
        <v>3</v>
      </c>
      <c r="G498" s="77" t="s">
        <v>127</v>
      </c>
      <c r="H498" s="84"/>
      <c r="I498" s="84">
        <v>4.4600000000000001E-2</v>
      </c>
      <c r="J498" s="84">
        <v>4.6199999999999998E-2</v>
      </c>
      <c r="K498" s="14" t="s">
        <v>369</v>
      </c>
    </row>
    <row r="499" spans="1:11" ht="66" x14ac:dyDescent="0.2">
      <c r="B499" s="5">
        <v>45687</v>
      </c>
      <c r="C499" s="6" t="s">
        <v>40</v>
      </c>
      <c r="D499" s="7">
        <v>2.0833333333333332E-2</v>
      </c>
      <c r="E499" s="8" t="s">
        <v>1</v>
      </c>
      <c r="F499" s="8">
        <v>3</v>
      </c>
      <c r="G499" s="8" t="s">
        <v>127</v>
      </c>
      <c r="H499" s="73"/>
      <c r="I499" s="84">
        <v>4.3700000000000003E-2</v>
      </c>
      <c r="J499" s="84">
        <v>4.6199999999999998E-2</v>
      </c>
      <c r="K499" s="14" t="s">
        <v>1380</v>
      </c>
    </row>
    <row r="500" spans="1:11" x14ac:dyDescent="0.2">
      <c r="C500" t="s">
        <v>1435</v>
      </c>
      <c r="H500"/>
      <c r="I500"/>
    </row>
    <row r="501" spans="1:11" ht="118" x14ac:dyDescent="0.2">
      <c r="A501" s="684" t="s">
        <v>105</v>
      </c>
      <c r="B501" s="5">
        <v>45677</v>
      </c>
      <c r="C501" s="6" t="s">
        <v>43</v>
      </c>
      <c r="D501" s="7" t="s">
        <v>1449</v>
      </c>
      <c r="E501" s="8" t="s">
        <v>1</v>
      </c>
      <c r="F501" s="77">
        <v>3</v>
      </c>
      <c r="G501" s="8" t="s">
        <v>1450</v>
      </c>
      <c r="H501" s="73"/>
      <c r="I501" s="84"/>
      <c r="J501" s="84"/>
      <c r="K501" s="14" t="s">
        <v>1451</v>
      </c>
    </row>
    <row r="502" spans="1:11" ht="104" x14ac:dyDescent="0.2">
      <c r="B502" s="5">
        <f>B501+1</f>
        <v>45678</v>
      </c>
      <c r="C502" s="6" t="s">
        <v>42</v>
      </c>
      <c r="D502" s="7">
        <v>0.52083333333333337</v>
      </c>
      <c r="E502" s="8" t="s">
        <v>53</v>
      </c>
      <c r="F502" s="77">
        <v>2</v>
      </c>
      <c r="G502" s="8" t="s">
        <v>1452</v>
      </c>
      <c r="H502" s="73"/>
      <c r="I502" s="84">
        <v>4.2999999999999997E-2</v>
      </c>
      <c r="J502" s="84">
        <v>4.2999999999999997E-2</v>
      </c>
      <c r="K502" s="740" t="s">
        <v>1453</v>
      </c>
    </row>
    <row r="503" spans="1:11" ht="104" x14ac:dyDescent="0.2">
      <c r="B503" s="5">
        <f>B502</f>
        <v>45678</v>
      </c>
      <c r="C503" s="6" t="s">
        <v>42</v>
      </c>
      <c r="D503" s="7">
        <v>0.52083333333333337</v>
      </c>
      <c r="E503" s="8" t="s">
        <v>53</v>
      </c>
      <c r="F503" s="77">
        <v>2</v>
      </c>
      <c r="G503" s="8" t="s">
        <v>1454</v>
      </c>
      <c r="H503" s="73"/>
      <c r="I503" s="84"/>
      <c r="J503" s="84">
        <v>5.1999999999999998E-2</v>
      </c>
      <c r="K503" s="740" t="s">
        <v>1453</v>
      </c>
    </row>
    <row r="504" spans="1:11" ht="104" x14ac:dyDescent="0.2">
      <c r="B504" s="5">
        <f>B503</f>
        <v>45678</v>
      </c>
      <c r="C504" s="6" t="s">
        <v>42</v>
      </c>
      <c r="D504" s="7">
        <v>0.79166666666666663</v>
      </c>
      <c r="E504" s="8" t="s">
        <v>89</v>
      </c>
      <c r="F504" s="77">
        <v>1</v>
      </c>
      <c r="G504" s="8" t="s">
        <v>1455</v>
      </c>
      <c r="H504" s="73"/>
      <c r="I504" s="84">
        <v>1.9E-2</v>
      </c>
      <c r="J504" s="84">
        <v>0.02</v>
      </c>
      <c r="K504" s="740" t="s">
        <v>1456</v>
      </c>
    </row>
    <row r="505" spans="1:11" ht="104" x14ac:dyDescent="0.2">
      <c r="B505" s="5">
        <f>B503+1</f>
        <v>45679</v>
      </c>
      <c r="C505" s="6" t="s">
        <v>41</v>
      </c>
      <c r="D505" s="7">
        <v>0.13541666666666666</v>
      </c>
      <c r="E505" s="8" t="s">
        <v>49</v>
      </c>
      <c r="F505" s="77">
        <v>2</v>
      </c>
      <c r="G505" s="8" t="s">
        <v>1457</v>
      </c>
      <c r="H505" s="73"/>
      <c r="I505" s="84">
        <v>5.0000000000000001E-3</v>
      </c>
      <c r="J505" s="84">
        <v>6.0000000000000001E-3</v>
      </c>
      <c r="K505" s="740" t="s">
        <v>1458</v>
      </c>
    </row>
    <row r="506" spans="1:11" ht="91" x14ac:dyDescent="0.2">
      <c r="B506" s="5">
        <f>B501+3</f>
        <v>45680</v>
      </c>
      <c r="C506" s="6" t="s">
        <v>1325</v>
      </c>
      <c r="D506" s="7">
        <v>0.79166666666666663</v>
      </c>
      <c r="E506" s="8" t="s">
        <v>1</v>
      </c>
      <c r="F506" s="77">
        <v>3</v>
      </c>
      <c r="G506" s="8" t="s">
        <v>1459</v>
      </c>
      <c r="H506" s="73"/>
      <c r="I506" s="84"/>
      <c r="J506" s="84" t="s">
        <v>1015</v>
      </c>
      <c r="K506" s="740" t="s">
        <v>1460</v>
      </c>
    </row>
    <row r="507" spans="1:11" ht="143" x14ac:dyDescent="0.2">
      <c r="B507" s="5">
        <f>B506</f>
        <v>45680</v>
      </c>
      <c r="C507" s="6" t="s">
        <v>1325</v>
      </c>
      <c r="D507" s="7">
        <v>0.9375</v>
      </c>
      <c r="E507" s="8" t="s">
        <v>1300</v>
      </c>
      <c r="F507" s="77">
        <v>3</v>
      </c>
      <c r="G507" s="8" t="s">
        <v>1461</v>
      </c>
      <c r="H507" s="73"/>
      <c r="I507" s="84"/>
      <c r="J507" s="85" t="s">
        <v>1462</v>
      </c>
      <c r="K507" s="740" t="s">
        <v>1463</v>
      </c>
    </row>
    <row r="508" spans="1:11" ht="91" x14ac:dyDescent="0.2">
      <c r="B508" s="5">
        <f>B507+1</f>
        <v>45681</v>
      </c>
      <c r="C508" s="6" t="s">
        <v>39</v>
      </c>
      <c r="D508" s="7">
        <v>0.35416666666666669</v>
      </c>
      <c r="E508" s="8" t="s">
        <v>117</v>
      </c>
      <c r="F508" s="77">
        <v>3</v>
      </c>
      <c r="G508" s="8" t="s">
        <v>1464</v>
      </c>
      <c r="H508" s="73"/>
      <c r="I508" s="84">
        <v>5.0000000000000001E-3</v>
      </c>
      <c r="J508" s="84">
        <v>2.5000000000000001E-3</v>
      </c>
      <c r="K508" s="740" t="s">
        <v>1465</v>
      </c>
    </row>
    <row r="509" spans="1:11" ht="104" x14ac:dyDescent="0.2">
      <c r="B509" s="5">
        <f>B508</f>
        <v>45681</v>
      </c>
      <c r="C509" s="6" t="s">
        <v>39</v>
      </c>
      <c r="D509" s="7">
        <v>0.84375</v>
      </c>
      <c r="E509" s="8" t="s">
        <v>1</v>
      </c>
      <c r="F509" s="77">
        <v>3</v>
      </c>
      <c r="G509" s="8" t="s">
        <v>1466</v>
      </c>
      <c r="H509" s="73"/>
      <c r="I509" s="86">
        <v>49.6</v>
      </c>
      <c r="J509" s="86">
        <v>49.4</v>
      </c>
      <c r="K509" s="740" t="s">
        <v>1467</v>
      </c>
    </row>
    <row r="510" spans="1:11" ht="117" x14ac:dyDescent="0.2">
      <c r="B510" s="5">
        <f t="shared" ref="B510:B511" si="12">B509</f>
        <v>45681</v>
      </c>
      <c r="C510" s="6" t="s">
        <v>39</v>
      </c>
      <c r="D510" s="7">
        <v>0.84375</v>
      </c>
      <c r="E510" s="8" t="s">
        <v>1</v>
      </c>
      <c r="F510" s="77">
        <v>3</v>
      </c>
      <c r="G510" s="8" t="s">
        <v>1468</v>
      </c>
      <c r="H510" s="73"/>
      <c r="I510" s="84"/>
      <c r="J510" s="86">
        <v>56.8</v>
      </c>
      <c r="K510" s="740" t="s">
        <v>1469</v>
      </c>
    </row>
    <row r="511" spans="1:11" ht="117" x14ac:dyDescent="0.2">
      <c r="B511" s="5">
        <f t="shared" si="12"/>
        <v>45681</v>
      </c>
      <c r="C511" s="6" t="s">
        <v>39</v>
      </c>
      <c r="D511" s="7">
        <v>0.85416666666666663</v>
      </c>
      <c r="E511" s="8" t="s">
        <v>1</v>
      </c>
      <c r="F511" s="77">
        <v>3</v>
      </c>
      <c r="G511" s="8" t="s">
        <v>1470</v>
      </c>
      <c r="H511" s="73"/>
      <c r="I511" s="85" t="s">
        <v>1471</v>
      </c>
      <c r="J511" s="85" t="s">
        <v>1472</v>
      </c>
      <c r="K511" s="740" t="s">
        <v>1473</v>
      </c>
    </row>
    <row r="512" spans="1:11" ht="66" x14ac:dyDescent="0.2">
      <c r="B512" s="5">
        <v>45687</v>
      </c>
      <c r="C512" s="6" t="s">
        <v>40</v>
      </c>
      <c r="D512" s="7">
        <v>2.0833333333333332E-2</v>
      </c>
      <c r="E512" s="8" t="s">
        <v>1</v>
      </c>
      <c r="F512" s="8">
        <v>3</v>
      </c>
      <c r="G512" s="8" t="s">
        <v>127</v>
      </c>
      <c r="H512" s="73"/>
      <c r="I512" s="84">
        <v>4.3799999999999999E-2</v>
      </c>
      <c r="J512" s="84">
        <v>4.6199999999999998E-2</v>
      </c>
      <c r="K512" s="14" t="s">
        <v>1380</v>
      </c>
    </row>
    <row r="513" spans="1:11" x14ac:dyDescent="0.2">
      <c r="C513" t="s">
        <v>1474</v>
      </c>
      <c r="H513"/>
      <c r="J513" s="1"/>
      <c r="K513" s="25"/>
    </row>
    <row r="514" spans="1:11" ht="53" x14ac:dyDescent="0.2">
      <c r="A514" s="684" t="s">
        <v>105</v>
      </c>
      <c r="B514" s="5">
        <v>45684</v>
      </c>
      <c r="C514" s="6" t="s">
        <v>43</v>
      </c>
      <c r="D514" s="7" t="s">
        <v>1449</v>
      </c>
      <c r="E514" s="8" t="s">
        <v>357</v>
      </c>
      <c r="F514" s="77">
        <v>3</v>
      </c>
      <c r="G514" s="8" t="s">
        <v>1475</v>
      </c>
      <c r="H514" s="73"/>
      <c r="I514" s="84"/>
      <c r="J514" s="84"/>
      <c r="K514" s="14" t="s">
        <v>1476</v>
      </c>
    </row>
    <row r="515" spans="1:11" ht="144" x14ac:dyDescent="0.2">
      <c r="B515" s="5">
        <v>45684</v>
      </c>
      <c r="C515" s="6" t="s">
        <v>43</v>
      </c>
      <c r="D515" s="7">
        <v>0.29166666666666669</v>
      </c>
      <c r="E515" s="8" t="s">
        <v>65</v>
      </c>
      <c r="F515" s="77">
        <v>3</v>
      </c>
      <c r="G515" s="8" t="s">
        <v>1477</v>
      </c>
      <c r="H515" s="74"/>
      <c r="I515" s="74">
        <v>50.1</v>
      </c>
      <c r="J515" s="74">
        <v>50.1</v>
      </c>
      <c r="K515" s="14" t="s">
        <v>1478</v>
      </c>
    </row>
    <row r="516" spans="1:11" ht="105" x14ac:dyDescent="0.2">
      <c r="B516" s="5">
        <v>45684</v>
      </c>
      <c r="C516" s="6" t="s">
        <v>43</v>
      </c>
      <c r="D516" s="7">
        <v>0.85416666666666663</v>
      </c>
      <c r="E516" s="8" t="s">
        <v>1</v>
      </c>
      <c r="F516" s="77">
        <v>3</v>
      </c>
      <c r="G516" s="8" t="s">
        <v>1479</v>
      </c>
      <c r="H516" s="74"/>
      <c r="I516" s="74" t="s">
        <v>1480</v>
      </c>
      <c r="J516" s="74" t="s">
        <v>1481</v>
      </c>
      <c r="K516" s="14" t="s">
        <v>1482</v>
      </c>
    </row>
    <row r="517" spans="1:11" ht="53" x14ac:dyDescent="0.2">
      <c r="B517" s="5">
        <v>45685</v>
      </c>
      <c r="C517" s="6" t="s">
        <v>42</v>
      </c>
      <c r="D517" s="7" t="s">
        <v>1449</v>
      </c>
      <c r="E517" s="8" t="s">
        <v>65</v>
      </c>
      <c r="F517" s="77">
        <v>3</v>
      </c>
      <c r="G517" s="8" t="s">
        <v>1483</v>
      </c>
      <c r="H517" s="74"/>
      <c r="I517" s="74"/>
      <c r="J517" s="74"/>
      <c r="K517" s="14" t="s">
        <v>1484</v>
      </c>
    </row>
    <row r="518" spans="1:11" ht="53" x14ac:dyDescent="0.2">
      <c r="B518" s="5">
        <v>45685</v>
      </c>
      <c r="C518" s="6" t="s">
        <v>42</v>
      </c>
      <c r="D518" s="7" t="s">
        <v>1449</v>
      </c>
      <c r="E518" s="8" t="s">
        <v>1485</v>
      </c>
      <c r="F518" s="77">
        <v>3</v>
      </c>
      <c r="G518" s="8" t="s">
        <v>1486</v>
      </c>
      <c r="H518" s="74"/>
      <c r="I518" s="74"/>
      <c r="J518" s="74"/>
      <c r="K518" s="14" t="s">
        <v>1487</v>
      </c>
    </row>
    <row r="519" spans="1:11" ht="92" x14ac:dyDescent="0.2">
      <c r="B519" s="5">
        <v>45685</v>
      </c>
      <c r="C519" s="6" t="s">
        <v>42</v>
      </c>
      <c r="D519" s="7">
        <v>0.79166666666666663</v>
      </c>
      <c r="E519" s="8" t="s">
        <v>1</v>
      </c>
      <c r="F519" s="77">
        <v>3</v>
      </c>
      <c r="G519" s="8" t="s">
        <v>1488</v>
      </c>
      <c r="H519" s="74"/>
      <c r="I519" s="84">
        <v>8.0000000000000002E-3</v>
      </c>
      <c r="J519" s="84">
        <v>-1.2E-2</v>
      </c>
      <c r="K519" s="14" t="s">
        <v>1489</v>
      </c>
    </row>
    <row r="520" spans="1:11" ht="105" x14ac:dyDescent="0.2">
      <c r="B520" s="5">
        <v>45685</v>
      </c>
      <c r="C520" s="6" t="s">
        <v>42</v>
      </c>
      <c r="D520" s="7">
        <v>0.85416666666666663</v>
      </c>
      <c r="E520" s="8" t="s">
        <v>1</v>
      </c>
      <c r="F520" s="77">
        <v>3</v>
      </c>
      <c r="G520" s="8" t="s">
        <v>1490</v>
      </c>
      <c r="H520" s="74"/>
      <c r="I520" s="74">
        <v>106</v>
      </c>
      <c r="J520" s="74">
        <v>104.7</v>
      </c>
      <c r="K520" s="14" t="s">
        <v>1491</v>
      </c>
    </row>
    <row r="521" spans="1:11" ht="53" x14ac:dyDescent="0.2">
      <c r="B521" s="5">
        <f>B520+1</f>
        <v>45686</v>
      </c>
      <c r="C521" s="6" t="s">
        <v>41</v>
      </c>
      <c r="D521" s="7" t="s">
        <v>1449</v>
      </c>
      <c r="E521" s="8" t="s">
        <v>65</v>
      </c>
      <c r="F521" s="77">
        <v>3</v>
      </c>
      <c r="G521" s="8" t="s">
        <v>1483</v>
      </c>
      <c r="H521" s="74"/>
      <c r="I521" s="74"/>
      <c r="J521" s="74"/>
      <c r="K521" s="14" t="s">
        <v>1484</v>
      </c>
    </row>
    <row r="522" spans="1:11" ht="53" x14ac:dyDescent="0.2">
      <c r="B522" s="5">
        <f>B521</f>
        <v>45686</v>
      </c>
      <c r="C522" s="6" t="s">
        <v>41</v>
      </c>
      <c r="D522" s="7" t="s">
        <v>1449</v>
      </c>
      <c r="E522" s="8" t="s">
        <v>1485</v>
      </c>
      <c r="F522" s="77">
        <v>3</v>
      </c>
      <c r="G522" s="8" t="s">
        <v>1486</v>
      </c>
      <c r="H522" s="74"/>
      <c r="I522" s="74"/>
      <c r="J522" s="74"/>
      <c r="K522" s="14" t="s">
        <v>1487</v>
      </c>
    </row>
    <row r="523" spans="1:11" ht="53" x14ac:dyDescent="0.2">
      <c r="B523" s="5">
        <f t="shared" ref="B523:B524" si="13">B522</f>
        <v>45686</v>
      </c>
      <c r="C523" s="6" t="s">
        <v>41</v>
      </c>
      <c r="D523" s="7" t="s">
        <v>1449</v>
      </c>
      <c r="E523" s="8" t="s">
        <v>1492</v>
      </c>
      <c r="F523" s="77">
        <v>3</v>
      </c>
      <c r="G523" s="8" t="s">
        <v>1493</v>
      </c>
      <c r="H523" s="74"/>
      <c r="I523" s="74"/>
      <c r="J523" s="74"/>
      <c r="K523" s="14" t="s">
        <v>1494</v>
      </c>
    </row>
    <row r="524" spans="1:11" ht="53" x14ac:dyDescent="0.2">
      <c r="B524" s="5">
        <f t="shared" si="13"/>
        <v>45686</v>
      </c>
      <c r="C524" s="6" t="s">
        <v>41</v>
      </c>
      <c r="D524" s="7" t="s">
        <v>1449</v>
      </c>
      <c r="E524" s="8" t="s">
        <v>1495</v>
      </c>
      <c r="F524" s="77">
        <v>3</v>
      </c>
      <c r="G524" s="8" t="s">
        <v>1496</v>
      </c>
      <c r="H524" s="74"/>
      <c r="I524" s="74"/>
      <c r="J524" s="74"/>
      <c r="K524" s="14" t="s">
        <v>1497</v>
      </c>
    </row>
    <row r="525" spans="1:11" ht="40" x14ac:dyDescent="0.2">
      <c r="B525" s="5">
        <f>B522</f>
        <v>45686</v>
      </c>
      <c r="C525" s="6" t="s">
        <v>41</v>
      </c>
      <c r="D525" s="7">
        <v>0.10416666666666667</v>
      </c>
      <c r="E525" s="8" t="s">
        <v>1</v>
      </c>
      <c r="F525" s="77">
        <v>3</v>
      </c>
      <c r="G525" s="8" t="s">
        <v>1498</v>
      </c>
      <c r="H525" s="74"/>
      <c r="I525" s="86">
        <v>3.13</v>
      </c>
      <c r="J525" s="86">
        <v>2.93</v>
      </c>
      <c r="K525" s="14" t="s">
        <v>1499</v>
      </c>
    </row>
    <row r="526" spans="1:11" ht="40" x14ac:dyDescent="0.2">
      <c r="B526" s="5">
        <f>B523</f>
        <v>45686</v>
      </c>
      <c r="C526" s="6" t="s">
        <v>41</v>
      </c>
      <c r="D526" s="7">
        <v>0.10416666666666667</v>
      </c>
      <c r="E526" s="8" t="s">
        <v>1</v>
      </c>
      <c r="F526" s="77">
        <v>3</v>
      </c>
      <c r="G526" s="8" t="s">
        <v>1500</v>
      </c>
      <c r="H526" s="74"/>
      <c r="I526" s="86">
        <v>0.64</v>
      </c>
      <c r="J526" s="86">
        <v>0.56999999999999995</v>
      </c>
      <c r="K526" s="14" t="s">
        <v>1499</v>
      </c>
    </row>
    <row r="527" spans="1:11" ht="92" x14ac:dyDescent="0.2">
      <c r="B527" s="5">
        <f>B524</f>
        <v>45686</v>
      </c>
      <c r="C527" s="6" t="s">
        <v>41</v>
      </c>
      <c r="D527" s="7">
        <v>0.84375</v>
      </c>
      <c r="E527" s="8" t="s">
        <v>89</v>
      </c>
      <c r="F527" s="77">
        <v>3</v>
      </c>
      <c r="G527" s="8" t="s">
        <v>1501</v>
      </c>
      <c r="H527" s="74"/>
      <c r="I527" s="84">
        <v>0.03</v>
      </c>
      <c r="J527" s="84">
        <v>3.2500000000000001E-2</v>
      </c>
      <c r="K527" s="14" t="s">
        <v>1502</v>
      </c>
    </row>
    <row r="528" spans="1:11" ht="131" x14ac:dyDescent="0.2">
      <c r="B528" s="5">
        <f>B527</f>
        <v>45686</v>
      </c>
      <c r="C528" s="6" t="s">
        <v>41</v>
      </c>
      <c r="D528" s="7">
        <v>0.875</v>
      </c>
      <c r="E528" s="8" t="s">
        <v>1300</v>
      </c>
      <c r="F528" s="77">
        <v>3</v>
      </c>
      <c r="G528" s="8" t="s">
        <v>1503</v>
      </c>
      <c r="H528" s="74"/>
      <c r="I528" s="84"/>
      <c r="J528" s="85" t="s">
        <v>1504</v>
      </c>
      <c r="K528" s="14" t="s">
        <v>1505</v>
      </c>
    </row>
    <row r="529" spans="2:11" ht="53" x14ac:dyDescent="0.2">
      <c r="B529" s="5">
        <f>B528+1</f>
        <v>45687</v>
      </c>
      <c r="C529" s="6" t="s">
        <v>1325</v>
      </c>
      <c r="D529" s="7" t="s">
        <v>1449</v>
      </c>
      <c r="E529" s="8" t="s">
        <v>65</v>
      </c>
      <c r="F529" s="77">
        <v>3</v>
      </c>
      <c r="G529" s="8" t="s">
        <v>1483</v>
      </c>
      <c r="H529" s="74"/>
      <c r="I529" s="74"/>
      <c r="J529" s="74"/>
      <c r="K529" s="14" t="s">
        <v>1484</v>
      </c>
    </row>
    <row r="530" spans="2:11" ht="53" x14ac:dyDescent="0.2">
      <c r="B530" s="5">
        <f>B529</f>
        <v>45687</v>
      </c>
      <c r="C530" s="6" t="s">
        <v>1325</v>
      </c>
      <c r="D530" s="7" t="s">
        <v>1449</v>
      </c>
      <c r="E530" s="8" t="s">
        <v>1485</v>
      </c>
      <c r="F530" s="77">
        <v>3</v>
      </c>
      <c r="G530" s="8" t="s">
        <v>1486</v>
      </c>
      <c r="H530" s="74"/>
      <c r="I530" s="74"/>
      <c r="J530" s="74"/>
      <c r="K530" s="14" t="s">
        <v>1487</v>
      </c>
    </row>
    <row r="531" spans="2:11" ht="53" x14ac:dyDescent="0.2">
      <c r="B531" s="5">
        <f t="shared" ref="B531" si="14">B530</f>
        <v>45687</v>
      </c>
      <c r="C531" s="6" t="s">
        <v>1325</v>
      </c>
      <c r="D531" s="7" t="s">
        <v>1449</v>
      </c>
      <c r="E531" s="8" t="s">
        <v>1492</v>
      </c>
      <c r="F531" s="77">
        <v>3</v>
      </c>
      <c r="G531" s="8" t="s">
        <v>1493</v>
      </c>
      <c r="H531" s="74"/>
      <c r="I531" s="74"/>
      <c r="J531" s="74"/>
      <c r="K531" s="14" t="s">
        <v>1494</v>
      </c>
    </row>
    <row r="532" spans="2:11" ht="53" x14ac:dyDescent="0.2">
      <c r="B532" s="5">
        <f>B531</f>
        <v>45687</v>
      </c>
      <c r="C532" s="6" t="s">
        <v>1325</v>
      </c>
      <c r="D532" s="7" t="s">
        <v>1449</v>
      </c>
      <c r="E532" s="8" t="s">
        <v>1495</v>
      </c>
      <c r="F532" s="77">
        <v>3</v>
      </c>
      <c r="G532" s="8" t="s">
        <v>1496</v>
      </c>
      <c r="H532" s="74"/>
      <c r="I532" s="74"/>
      <c r="J532" s="74"/>
      <c r="K532" s="14" t="s">
        <v>1497</v>
      </c>
    </row>
    <row r="533" spans="2:11" ht="144" x14ac:dyDescent="0.2">
      <c r="B533" s="5">
        <f>B532</f>
        <v>45687</v>
      </c>
      <c r="C533" s="6" t="s">
        <v>1325</v>
      </c>
      <c r="D533" s="7">
        <v>2.0833333333333332E-2</v>
      </c>
      <c r="E533" s="8" t="s">
        <v>1</v>
      </c>
      <c r="F533" s="77">
        <v>3</v>
      </c>
      <c r="G533" s="8" t="s">
        <v>1506</v>
      </c>
      <c r="H533" s="74"/>
      <c r="I533" s="84"/>
      <c r="J533" s="84"/>
      <c r="K533" s="14" t="s">
        <v>1507</v>
      </c>
    </row>
    <row r="534" spans="2:11" ht="144" x14ac:dyDescent="0.2">
      <c r="B534" s="5">
        <f t="shared" ref="B534:B542" si="15">B533</f>
        <v>45687</v>
      </c>
      <c r="C534" s="6" t="s">
        <v>1325</v>
      </c>
      <c r="D534" s="7">
        <v>2.0833333333333332E-2</v>
      </c>
      <c r="E534" s="8" t="s">
        <v>1</v>
      </c>
      <c r="F534" s="77">
        <v>3</v>
      </c>
      <c r="G534" s="8" t="s">
        <v>1508</v>
      </c>
      <c r="H534" s="74"/>
      <c r="I534" s="84">
        <v>4.4999999999999998E-2</v>
      </c>
      <c r="J534" s="84">
        <v>4.4999999999999998E-2</v>
      </c>
      <c r="K534" s="14" t="s">
        <v>1507</v>
      </c>
    </row>
    <row r="535" spans="2:11" ht="144" x14ac:dyDescent="0.2">
      <c r="B535" s="5">
        <f t="shared" si="15"/>
        <v>45687</v>
      </c>
      <c r="C535" s="6" t="s">
        <v>1325</v>
      </c>
      <c r="D535" s="7">
        <v>4.1666666666666664E-2</v>
      </c>
      <c r="E535" s="8" t="s">
        <v>1</v>
      </c>
      <c r="F535" s="77">
        <v>3</v>
      </c>
      <c r="G535" s="8" t="s">
        <v>1509</v>
      </c>
      <c r="H535" s="74"/>
      <c r="I535" s="84"/>
      <c r="J535" s="84"/>
      <c r="K535" s="14" t="s">
        <v>1507</v>
      </c>
    </row>
    <row r="536" spans="2:11" ht="40" x14ac:dyDescent="0.2">
      <c r="B536" s="5">
        <f>B530</f>
        <v>45687</v>
      </c>
      <c r="C536" s="6" t="s">
        <v>1325</v>
      </c>
      <c r="D536" s="7">
        <v>0.10416666666666667</v>
      </c>
      <c r="E536" s="8" t="s">
        <v>1</v>
      </c>
      <c r="F536" s="77">
        <v>3</v>
      </c>
      <c r="G536" s="8" t="s">
        <v>1510</v>
      </c>
      <c r="H536" s="74"/>
      <c r="I536" s="86">
        <v>6.76</v>
      </c>
      <c r="J536" s="86">
        <v>5.33</v>
      </c>
      <c r="K536" s="14" t="s">
        <v>1499</v>
      </c>
    </row>
    <row r="537" spans="2:11" ht="92" x14ac:dyDescent="0.2">
      <c r="B537" s="5">
        <f>B535</f>
        <v>45687</v>
      </c>
      <c r="C537" s="6" t="s">
        <v>1325</v>
      </c>
      <c r="D537" s="7">
        <v>0.60416666666666663</v>
      </c>
      <c r="E537" s="8" t="s">
        <v>22</v>
      </c>
      <c r="F537" s="77">
        <v>3</v>
      </c>
      <c r="G537" s="8" t="s">
        <v>1511</v>
      </c>
      <c r="H537" s="74"/>
      <c r="I537" s="84"/>
      <c r="J537" s="84">
        <v>1E-3</v>
      </c>
      <c r="K537" s="14" t="s">
        <v>1512</v>
      </c>
    </row>
    <row r="538" spans="2:11" ht="118" x14ac:dyDescent="0.2">
      <c r="B538" s="5">
        <f t="shared" si="15"/>
        <v>45687</v>
      </c>
      <c r="C538" s="6" t="s">
        <v>1325</v>
      </c>
      <c r="D538" s="7">
        <v>0.78125</v>
      </c>
      <c r="E538" s="8" t="s">
        <v>22</v>
      </c>
      <c r="F538" s="77">
        <v>3</v>
      </c>
      <c r="G538" s="8" t="s">
        <v>1513</v>
      </c>
      <c r="H538" s="74"/>
      <c r="I538" s="84">
        <v>2.75E-2</v>
      </c>
      <c r="J538" s="84">
        <v>0.03</v>
      </c>
      <c r="K538" s="14" t="s">
        <v>1514</v>
      </c>
    </row>
    <row r="539" spans="2:11" ht="118" x14ac:dyDescent="0.2">
      <c r="B539" s="5">
        <f t="shared" si="15"/>
        <v>45687</v>
      </c>
      <c r="C539" s="6" t="s">
        <v>1325</v>
      </c>
      <c r="D539" s="7">
        <v>0.78125</v>
      </c>
      <c r="E539" s="8" t="s">
        <v>22</v>
      </c>
      <c r="F539" s="77">
        <v>3</v>
      </c>
      <c r="G539" s="8" t="s">
        <v>1515</v>
      </c>
      <c r="H539" s="74"/>
      <c r="I539" s="84">
        <v>2.9000000000000001E-2</v>
      </c>
      <c r="J539" s="84">
        <v>3.15E-2</v>
      </c>
      <c r="K539" s="14" t="s">
        <v>1514</v>
      </c>
    </row>
    <row r="540" spans="2:11" ht="118" x14ac:dyDescent="0.2">
      <c r="B540" s="5">
        <f t="shared" si="15"/>
        <v>45687</v>
      </c>
      <c r="C540" s="6" t="s">
        <v>1325</v>
      </c>
      <c r="D540" s="7">
        <v>0.79166666666666663</v>
      </c>
      <c r="E540" s="8" t="s">
        <v>1</v>
      </c>
      <c r="F540" s="77">
        <v>3</v>
      </c>
      <c r="G540" s="8" t="s">
        <v>1516</v>
      </c>
      <c r="H540" s="74"/>
      <c r="I540" s="84"/>
      <c r="J540" s="84">
        <v>3.1E-2</v>
      </c>
      <c r="K540" s="14" t="s">
        <v>1517</v>
      </c>
    </row>
    <row r="541" spans="2:11" ht="92" x14ac:dyDescent="0.2">
      <c r="B541" s="5">
        <f t="shared" si="15"/>
        <v>45687</v>
      </c>
      <c r="C541" s="6" t="s">
        <v>1325</v>
      </c>
      <c r="D541" s="7">
        <v>0.79166666666666663</v>
      </c>
      <c r="E541" s="8" t="s">
        <v>1</v>
      </c>
      <c r="F541" s="77">
        <v>3</v>
      </c>
      <c r="G541" s="8" t="s">
        <v>1421</v>
      </c>
      <c r="H541" s="74"/>
      <c r="I541" s="84"/>
      <c r="J541" s="84" t="s">
        <v>1347</v>
      </c>
      <c r="K541" s="14" t="s">
        <v>1518</v>
      </c>
    </row>
    <row r="542" spans="2:11" ht="118" x14ac:dyDescent="0.2">
      <c r="B542" s="5">
        <f t="shared" si="15"/>
        <v>45687</v>
      </c>
      <c r="C542" s="6" t="s">
        <v>1325</v>
      </c>
      <c r="D542" s="7">
        <v>0.80208333333333337</v>
      </c>
      <c r="E542" s="8" t="s">
        <v>22</v>
      </c>
      <c r="F542" s="77">
        <v>3</v>
      </c>
      <c r="G542" s="8" t="s">
        <v>1519</v>
      </c>
      <c r="H542" s="74"/>
      <c r="I542" s="84"/>
      <c r="J542" s="84"/>
      <c r="K542" s="14" t="s">
        <v>1514</v>
      </c>
    </row>
    <row r="543" spans="2:11" ht="40" x14ac:dyDescent="0.2">
      <c r="B543" s="5">
        <f>B542+1</f>
        <v>45688</v>
      </c>
      <c r="C543" s="6" t="s">
        <v>39</v>
      </c>
      <c r="D543" s="7" t="s">
        <v>1449</v>
      </c>
      <c r="E543" s="8" t="s">
        <v>65</v>
      </c>
      <c r="F543" s="77">
        <v>3</v>
      </c>
      <c r="G543" s="8" t="s">
        <v>1483</v>
      </c>
      <c r="H543" s="74"/>
      <c r="I543" s="74"/>
      <c r="J543" s="74"/>
      <c r="K543" s="14" t="s">
        <v>1520</v>
      </c>
    </row>
    <row r="544" spans="2:11" ht="40" x14ac:dyDescent="0.2">
      <c r="B544" s="5">
        <f>B543</f>
        <v>45688</v>
      </c>
      <c r="C544" s="6" t="s">
        <v>39</v>
      </c>
      <c r="D544" s="7" t="s">
        <v>1449</v>
      </c>
      <c r="E544" s="8" t="s">
        <v>1495</v>
      </c>
      <c r="F544" s="77">
        <v>3</v>
      </c>
      <c r="G544" s="8" t="s">
        <v>1496</v>
      </c>
      <c r="H544" s="74"/>
      <c r="I544" s="74"/>
      <c r="J544" s="74"/>
      <c r="K544" s="14" t="s">
        <v>1520</v>
      </c>
    </row>
    <row r="545" spans="1:11" ht="183" x14ac:dyDescent="0.2">
      <c r="B545" s="5">
        <f>B544</f>
        <v>45688</v>
      </c>
      <c r="C545" s="6" t="s">
        <v>39</v>
      </c>
      <c r="D545" s="7">
        <v>0.10416666666666667</v>
      </c>
      <c r="E545" s="8" t="s">
        <v>1</v>
      </c>
      <c r="F545" s="77">
        <v>3</v>
      </c>
      <c r="G545" s="8" t="s">
        <v>1521</v>
      </c>
      <c r="H545" s="74"/>
      <c r="I545" s="86">
        <v>2.36</v>
      </c>
      <c r="J545" s="86">
        <v>2.1800000000000002</v>
      </c>
      <c r="K545" s="14" t="s">
        <v>1522</v>
      </c>
    </row>
    <row r="546" spans="1:11" ht="118" x14ac:dyDescent="0.2">
      <c r="B546" s="5">
        <f>B544</f>
        <v>45688</v>
      </c>
      <c r="C546" s="6" t="s">
        <v>39</v>
      </c>
      <c r="D546" s="7">
        <v>0.77083333333333337</v>
      </c>
      <c r="E546" s="8" t="s">
        <v>22</v>
      </c>
      <c r="F546" s="8">
        <v>3</v>
      </c>
      <c r="G546" s="8" t="s">
        <v>1523</v>
      </c>
      <c r="H546" s="73"/>
      <c r="I546" s="73"/>
      <c r="J546" s="73">
        <v>5.0000000000000001E-3</v>
      </c>
      <c r="K546" s="14" t="s">
        <v>1524</v>
      </c>
    </row>
    <row r="547" spans="1:11" ht="131" x14ac:dyDescent="0.2">
      <c r="B547" s="5">
        <f>B546</f>
        <v>45688</v>
      </c>
      <c r="C547" s="6" t="s">
        <v>39</v>
      </c>
      <c r="D547" s="7">
        <v>0.79166666666666663</v>
      </c>
      <c r="E547" s="8" t="s">
        <v>1</v>
      </c>
      <c r="F547" s="8">
        <v>3</v>
      </c>
      <c r="G547" s="8" t="s">
        <v>1525</v>
      </c>
      <c r="H547" s="73"/>
      <c r="I547" s="73"/>
      <c r="J547" s="73">
        <v>1E-3</v>
      </c>
      <c r="K547" s="14" t="s">
        <v>1526</v>
      </c>
    </row>
    <row r="548" spans="1:11" ht="92" x14ac:dyDescent="0.2">
      <c r="B548" s="5">
        <f>B547</f>
        <v>45688</v>
      </c>
      <c r="C548" s="6" t="s">
        <v>39</v>
      </c>
      <c r="D548" s="7">
        <v>0.79166666666666663</v>
      </c>
      <c r="E548" s="8" t="s">
        <v>1</v>
      </c>
      <c r="F548" s="8">
        <v>3</v>
      </c>
      <c r="G548" s="8" t="s">
        <v>1527</v>
      </c>
      <c r="H548" s="73"/>
      <c r="I548" s="73"/>
      <c r="J548" s="73">
        <v>2.8000000000000001E-2</v>
      </c>
      <c r="K548" s="14" t="s">
        <v>1528</v>
      </c>
    </row>
    <row r="549" spans="1:11" ht="131" x14ac:dyDescent="0.2">
      <c r="B549" s="5">
        <f>B548</f>
        <v>45688</v>
      </c>
      <c r="C549" s="6" t="s">
        <v>39</v>
      </c>
      <c r="D549" s="7">
        <v>0.84375</v>
      </c>
      <c r="E549" s="8" t="s">
        <v>1</v>
      </c>
      <c r="F549" s="8">
        <v>3</v>
      </c>
      <c r="G549" s="8" t="s">
        <v>1529</v>
      </c>
      <c r="H549" s="73"/>
      <c r="I549" s="73"/>
      <c r="J549" s="74">
        <v>36.9</v>
      </c>
      <c r="K549" s="14" t="s">
        <v>1530</v>
      </c>
    </row>
    <row r="550" spans="1:11" ht="66" x14ac:dyDescent="0.2">
      <c r="B550" s="5">
        <v>45736</v>
      </c>
      <c r="C550" s="6"/>
      <c r="D550" s="7">
        <v>2.0833333333333332E-2</v>
      </c>
      <c r="E550" s="8" t="s">
        <v>1</v>
      </c>
      <c r="F550" s="8">
        <v>3</v>
      </c>
      <c r="G550" s="8" t="s">
        <v>127</v>
      </c>
      <c r="H550" s="73"/>
      <c r="I550" s="84">
        <v>4.3099999999999999E-2</v>
      </c>
      <c r="J550" s="84">
        <v>4.3799999999999999E-2</v>
      </c>
      <c r="K550" s="14" t="s">
        <v>1380</v>
      </c>
    </row>
    <row r="551" spans="1:11" x14ac:dyDescent="0.2">
      <c r="B551" t="s">
        <v>1531</v>
      </c>
      <c r="H551"/>
      <c r="J551" s="1"/>
      <c r="K551" s="25"/>
    </row>
    <row r="552" spans="1:11" x14ac:dyDescent="0.2">
      <c r="A552" s="684" t="s">
        <v>105</v>
      </c>
    </row>
  </sheetData>
  <hyperlinks>
    <hyperlink ref="I339" r:id="rId1" display="22@K" xr:uid="{95A1989F-BA41-F64B-97BB-A7B4057924DD}"/>
  </hyperlinks>
  <pageMargins left="0.7" right="0.7" top="0.75" bottom="0.75" header="0.3" footer="0.3"/>
  <ignoredErrors>
    <ignoredError sqref="B10:C46 B50:C63 B104 B95" formula="1"/>
  </ignoredError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F75D50-CEEB-F249-BC32-2945D20B476D}">
  <dimension ref="B1:M3170"/>
  <sheetViews>
    <sheetView showGridLines="0" topLeftCell="A3158" zoomScale="88" workbookViewId="0">
      <selection activeCell="C3170" sqref="C3170"/>
    </sheetView>
  </sheetViews>
  <sheetFormatPr baseColWidth="10" defaultRowHeight="19" x14ac:dyDescent="0.25"/>
  <cols>
    <col min="1" max="1" width="1" customWidth="1"/>
    <col min="2" max="2" width="0.83203125" customWidth="1"/>
    <col min="3" max="3" width="1.1640625" customWidth="1"/>
    <col min="4" max="4" width="1" customWidth="1"/>
    <col min="5" max="5" width="23.33203125" style="737" bestFit="1" customWidth="1"/>
    <col min="6" max="8" width="21.5" style="737" customWidth="1"/>
    <col min="9" max="9" width="28" style="421" customWidth="1"/>
    <col min="10" max="10" width="35" style="421" customWidth="1"/>
    <col min="11" max="11" width="29.33203125" style="421" customWidth="1"/>
    <col min="12" max="12" width="12.83203125" bestFit="1" customWidth="1"/>
    <col min="13" max="13" width="24.5" bestFit="1" customWidth="1"/>
  </cols>
  <sheetData>
    <row r="1" spans="3:13" ht="25" thickBot="1" x14ac:dyDescent="0.25">
      <c r="C1" s="91"/>
      <c r="D1" s="88" t="s">
        <v>105</v>
      </c>
      <c r="E1" s="686" t="s">
        <v>30</v>
      </c>
      <c r="F1" s="874" t="s">
        <v>383</v>
      </c>
      <c r="G1" s="875"/>
      <c r="H1" s="876"/>
      <c r="I1" s="846" t="s">
        <v>633</v>
      </c>
      <c r="J1" s="847"/>
      <c r="K1" s="848"/>
      <c r="L1" s="105" t="s">
        <v>430</v>
      </c>
      <c r="M1" s="106" t="s">
        <v>431</v>
      </c>
    </row>
    <row r="2" spans="3:13" x14ac:dyDescent="0.2">
      <c r="C2" s="91"/>
      <c r="D2" s="168"/>
      <c r="E2" s="687" t="s">
        <v>432</v>
      </c>
      <c r="F2" s="853"/>
      <c r="G2" s="854"/>
      <c r="H2" s="855"/>
      <c r="I2" s="769" t="s">
        <v>384</v>
      </c>
      <c r="J2" s="770"/>
      <c r="K2" s="771"/>
      <c r="L2" s="100"/>
      <c r="M2" s="101"/>
    </row>
    <row r="3" spans="3:13" x14ac:dyDescent="0.2">
      <c r="C3" s="91"/>
      <c r="D3" s="168"/>
      <c r="E3" s="688" t="s">
        <v>433</v>
      </c>
      <c r="F3" s="877">
        <v>49.5</v>
      </c>
      <c r="G3" s="878"/>
      <c r="H3" s="879"/>
      <c r="I3" s="769"/>
      <c r="J3" s="770"/>
      <c r="K3" s="771"/>
      <c r="L3" s="100"/>
      <c r="M3" s="101"/>
    </row>
    <row r="4" spans="3:13" ht="20" thickBot="1" x14ac:dyDescent="0.25">
      <c r="C4" s="91"/>
      <c r="D4" s="168"/>
      <c r="E4" s="688" t="s">
        <v>434</v>
      </c>
      <c r="F4" s="877">
        <v>49.1</v>
      </c>
      <c r="G4" s="878"/>
      <c r="H4" s="879"/>
      <c r="I4" s="769"/>
      <c r="J4" s="770"/>
      <c r="K4" s="771"/>
      <c r="L4" s="100"/>
      <c r="M4" s="101"/>
    </row>
    <row r="5" spans="3:13" ht="20" thickBot="1" x14ac:dyDescent="0.25">
      <c r="C5" s="91"/>
      <c r="D5" s="168"/>
      <c r="E5" s="689" t="s">
        <v>435</v>
      </c>
      <c r="F5" s="871">
        <v>6.25E-2</v>
      </c>
      <c r="G5" s="872"/>
      <c r="H5" s="873"/>
      <c r="I5" s="769"/>
      <c r="J5" s="770"/>
      <c r="K5" s="771"/>
      <c r="L5" s="107">
        <f>F5+TIME(5,30,0)</f>
        <v>0.29166666666666663</v>
      </c>
      <c r="M5" s="108">
        <f>L5-TIME(2,30,0)</f>
        <v>0.18749999999999994</v>
      </c>
    </row>
    <row r="6" spans="3:13" ht="20" thickBot="1" x14ac:dyDescent="0.25">
      <c r="C6" s="91"/>
      <c r="D6" s="168"/>
      <c r="E6" s="690" t="s">
        <v>436</v>
      </c>
      <c r="F6" s="293" t="s">
        <v>29</v>
      </c>
      <c r="G6" s="293" t="s">
        <v>28</v>
      </c>
      <c r="H6" s="294" t="s">
        <v>27</v>
      </c>
      <c r="I6" s="769"/>
      <c r="J6" s="770"/>
      <c r="K6" s="771"/>
      <c r="L6" s="100"/>
      <c r="M6" s="101"/>
    </row>
    <row r="7" spans="3:13" x14ac:dyDescent="0.2">
      <c r="C7" s="91"/>
      <c r="D7" s="168"/>
      <c r="E7" s="691" t="s">
        <v>437</v>
      </c>
      <c r="F7" s="692">
        <v>49.1</v>
      </c>
      <c r="G7" s="692" t="s">
        <v>438</v>
      </c>
      <c r="H7" s="693">
        <v>49.4</v>
      </c>
      <c r="I7" s="769"/>
      <c r="J7" s="770"/>
      <c r="K7" s="771"/>
      <c r="L7" s="100"/>
      <c r="M7" s="101"/>
    </row>
    <row r="8" spans="3:13" x14ac:dyDescent="0.2">
      <c r="C8" s="91"/>
      <c r="D8" s="168"/>
      <c r="E8" s="691" t="s">
        <v>439</v>
      </c>
      <c r="F8" s="692">
        <v>49.4</v>
      </c>
      <c r="G8" s="692" t="s">
        <v>440</v>
      </c>
      <c r="H8" s="693">
        <v>49.5</v>
      </c>
      <c r="I8" s="769"/>
      <c r="J8" s="770"/>
      <c r="K8" s="771"/>
      <c r="L8" s="100"/>
      <c r="M8" s="101"/>
    </row>
    <row r="9" spans="3:13" x14ac:dyDescent="0.2">
      <c r="C9" s="91"/>
      <c r="D9" s="168"/>
      <c r="E9" s="691" t="s">
        <v>441</v>
      </c>
      <c r="F9" s="692">
        <v>49.5</v>
      </c>
      <c r="G9" s="692" t="s">
        <v>438</v>
      </c>
      <c r="H9" s="693">
        <v>49.5</v>
      </c>
      <c r="I9" s="769"/>
      <c r="J9" s="770"/>
      <c r="K9" s="771"/>
      <c r="L9" s="102"/>
      <c r="M9" s="101"/>
    </row>
    <row r="10" spans="3:13" x14ac:dyDescent="0.2">
      <c r="C10" s="91"/>
      <c r="D10" s="168"/>
      <c r="E10" s="691" t="s">
        <v>442</v>
      </c>
      <c r="F10" s="692">
        <v>49.5</v>
      </c>
      <c r="G10" s="692" t="s">
        <v>443</v>
      </c>
      <c r="H10" s="693">
        <v>50.4</v>
      </c>
      <c r="I10" s="769"/>
      <c r="J10" s="770"/>
      <c r="K10" s="771"/>
      <c r="L10" s="100"/>
      <c r="M10" s="101"/>
    </row>
    <row r="11" spans="3:13" x14ac:dyDescent="0.2">
      <c r="C11" s="91"/>
      <c r="D11" s="168"/>
      <c r="E11" s="691" t="s">
        <v>444</v>
      </c>
      <c r="F11" s="692">
        <v>50.4</v>
      </c>
      <c r="G11" s="692" t="s">
        <v>445</v>
      </c>
      <c r="H11" s="693">
        <v>50.8</v>
      </c>
      <c r="I11" s="769"/>
      <c r="J11" s="770"/>
      <c r="K11" s="771"/>
      <c r="L11" s="100"/>
      <c r="M11" s="101"/>
    </row>
    <row r="12" spans="3:13" ht="20" thickBot="1" x14ac:dyDescent="0.25">
      <c r="C12" s="91"/>
      <c r="D12" s="168"/>
      <c r="E12" s="694" t="s">
        <v>446</v>
      </c>
      <c r="F12" s="695">
        <v>50.8</v>
      </c>
      <c r="G12" s="695" t="s">
        <v>447</v>
      </c>
      <c r="H12" s="696">
        <v>49.1</v>
      </c>
      <c r="I12" s="772"/>
      <c r="J12" s="773"/>
      <c r="K12" s="774"/>
      <c r="L12" s="103"/>
      <c r="M12" s="104"/>
    </row>
    <row r="13" spans="3:13" x14ac:dyDescent="0.2">
      <c r="C13" s="91"/>
      <c r="D13" s="88" t="s">
        <v>105</v>
      </c>
      <c r="E13" s="697" t="s">
        <v>30</v>
      </c>
      <c r="F13" s="889" t="s">
        <v>385</v>
      </c>
      <c r="G13" s="890"/>
      <c r="H13" s="891"/>
      <c r="I13" s="892" t="s">
        <v>386</v>
      </c>
      <c r="J13" s="893"/>
      <c r="K13" s="894"/>
      <c r="L13" s="91"/>
      <c r="M13" s="91"/>
    </row>
    <row r="14" spans="3:13" x14ac:dyDescent="0.2">
      <c r="C14" s="91"/>
      <c r="D14" s="168"/>
      <c r="E14" s="688" t="s">
        <v>432</v>
      </c>
      <c r="F14" s="895"/>
      <c r="G14" s="896"/>
      <c r="H14" s="897"/>
      <c r="I14" s="769"/>
      <c r="J14" s="770"/>
      <c r="K14" s="771"/>
      <c r="L14" s="91"/>
      <c r="M14" s="91"/>
    </row>
    <row r="15" spans="3:13" x14ac:dyDescent="0.2">
      <c r="C15" s="91"/>
      <c r="D15" s="168"/>
      <c r="E15" s="688" t="s">
        <v>433</v>
      </c>
      <c r="F15" s="898">
        <v>8.9999999999999993E-3</v>
      </c>
      <c r="G15" s="899"/>
      <c r="H15" s="900"/>
      <c r="I15" s="769"/>
      <c r="J15" s="770"/>
      <c r="K15" s="771"/>
      <c r="L15" s="91"/>
      <c r="M15" s="91"/>
    </row>
    <row r="16" spans="3:13" x14ac:dyDescent="0.2">
      <c r="C16" s="91"/>
      <c r="D16" s="168"/>
      <c r="E16" s="688" t="s">
        <v>434</v>
      </c>
      <c r="F16" s="898">
        <v>8.9999999999999993E-3</v>
      </c>
      <c r="G16" s="899"/>
      <c r="H16" s="900"/>
      <c r="I16" s="769"/>
      <c r="J16" s="770"/>
      <c r="K16" s="771"/>
      <c r="L16" s="91"/>
      <c r="M16" s="91"/>
    </row>
    <row r="17" spans="3:13" ht="20" thickBot="1" x14ac:dyDescent="0.25">
      <c r="C17" s="91"/>
      <c r="D17" s="168"/>
      <c r="E17" s="689" t="s">
        <v>435</v>
      </c>
      <c r="F17" s="871">
        <v>0.25</v>
      </c>
      <c r="G17" s="872"/>
      <c r="H17" s="873"/>
      <c r="I17" s="769"/>
      <c r="J17" s="770"/>
      <c r="K17" s="771"/>
      <c r="L17" s="92">
        <f>F17+TIME(5,30,0)</f>
        <v>0.47916666666666663</v>
      </c>
      <c r="M17" s="92">
        <f>L17-TIME(2,30,0)</f>
        <v>0.37499999999999994</v>
      </c>
    </row>
    <row r="18" spans="3:13" ht="20" thickBot="1" x14ac:dyDescent="0.25">
      <c r="C18" s="91"/>
      <c r="D18" s="168"/>
      <c r="E18" s="690" t="s">
        <v>436</v>
      </c>
      <c r="F18" s="293" t="s">
        <v>29</v>
      </c>
      <c r="G18" s="293" t="s">
        <v>28</v>
      </c>
      <c r="H18" s="294" t="s">
        <v>27</v>
      </c>
      <c r="I18" s="769"/>
      <c r="J18" s="770"/>
      <c r="K18" s="771"/>
      <c r="L18" s="91"/>
      <c r="M18" s="91"/>
    </row>
    <row r="19" spans="3:13" x14ac:dyDescent="0.2">
      <c r="C19" s="91"/>
      <c r="D19" s="168"/>
      <c r="E19" s="691" t="s">
        <v>448</v>
      </c>
      <c r="F19" s="353">
        <v>6.0000000000000001E-3</v>
      </c>
      <c r="G19" s="353" t="s">
        <v>449</v>
      </c>
      <c r="H19" s="698">
        <v>7.0000000000000001E-3</v>
      </c>
      <c r="I19" s="769"/>
      <c r="J19" s="770"/>
      <c r="K19" s="771"/>
      <c r="L19" s="91"/>
      <c r="M19" s="91"/>
    </row>
    <row r="20" spans="3:13" x14ac:dyDescent="0.2">
      <c r="C20" s="91"/>
      <c r="D20" s="168"/>
      <c r="E20" s="691" t="s">
        <v>450</v>
      </c>
      <c r="F20" s="353">
        <v>7.0000000000000001E-3</v>
      </c>
      <c r="G20" s="353" t="s">
        <v>449</v>
      </c>
      <c r="H20" s="698">
        <v>-3.0000000000000001E-3</v>
      </c>
      <c r="I20" s="769"/>
      <c r="J20" s="770"/>
      <c r="K20" s="771"/>
      <c r="L20" s="91"/>
      <c r="M20" s="91"/>
    </row>
    <row r="21" spans="3:13" x14ac:dyDescent="0.2">
      <c r="C21" s="91"/>
      <c r="D21" s="168"/>
      <c r="E21" s="691" t="s">
        <v>451</v>
      </c>
      <c r="F21" s="353">
        <v>6.0000000000000001E-3</v>
      </c>
      <c r="G21" s="353" t="s">
        <v>452</v>
      </c>
      <c r="H21" s="698">
        <v>-3.0000000000000001E-3</v>
      </c>
      <c r="I21" s="769"/>
      <c r="J21" s="770"/>
      <c r="K21" s="771"/>
      <c r="L21" s="91"/>
      <c r="M21" s="91"/>
    </row>
    <row r="22" spans="3:13" x14ac:dyDescent="0.2">
      <c r="C22" s="91"/>
      <c r="D22" s="168"/>
      <c r="E22" s="691" t="s">
        <v>453</v>
      </c>
      <c r="F22" s="353">
        <v>-3.0000000000000001E-3</v>
      </c>
      <c r="G22" s="353" t="s">
        <v>454</v>
      </c>
      <c r="H22" s="698">
        <v>-1E-3</v>
      </c>
      <c r="I22" s="769"/>
      <c r="J22" s="770"/>
      <c r="K22" s="771"/>
      <c r="L22" s="91"/>
      <c r="M22" s="91"/>
    </row>
    <row r="23" spans="3:13" x14ac:dyDescent="0.2">
      <c r="C23" s="91"/>
      <c r="D23" s="168"/>
      <c r="E23" s="691" t="s">
        <v>455</v>
      </c>
      <c r="F23" s="353">
        <v>-3.0000000000000001E-3</v>
      </c>
      <c r="G23" s="353" t="s">
        <v>456</v>
      </c>
      <c r="H23" s="698">
        <v>-1E-3</v>
      </c>
      <c r="I23" s="769"/>
      <c r="J23" s="770"/>
      <c r="K23" s="771"/>
      <c r="L23" s="91"/>
      <c r="M23" s="91"/>
    </row>
    <row r="24" spans="3:13" ht="20" thickBot="1" x14ac:dyDescent="0.25">
      <c r="C24" s="91"/>
      <c r="D24" s="168"/>
      <c r="E24" s="694" t="s">
        <v>457</v>
      </c>
      <c r="F24" s="699">
        <v>-1E-3</v>
      </c>
      <c r="G24" s="699" t="s">
        <v>458</v>
      </c>
      <c r="H24" s="700">
        <v>0</v>
      </c>
      <c r="I24" s="772"/>
      <c r="J24" s="773"/>
      <c r="K24" s="774"/>
      <c r="L24" s="91"/>
      <c r="M24" s="91"/>
    </row>
    <row r="25" spans="3:13" x14ac:dyDescent="0.2">
      <c r="C25" s="91"/>
      <c r="D25" s="88" t="s">
        <v>105</v>
      </c>
      <c r="E25" s="697" t="s">
        <v>30</v>
      </c>
      <c r="F25" s="889" t="s">
        <v>387</v>
      </c>
      <c r="G25" s="890"/>
      <c r="H25" s="891"/>
      <c r="I25" s="892" t="s">
        <v>386</v>
      </c>
      <c r="J25" s="893"/>
      <c r="K25" s="894"/>
      <c r="L25" s="91"/>
      <c r="M25" s="91"/>
    </row>
    <row r="26" spans="3:13" x14ac:dyDescent="0.2">
      <c r="C26" s="91"/>
      <c r="D26" s="168"/>
      <c r="E26" s="688" t="s">
        <v>432</v>
      </c>
      <c r="F26" s="895"/>
      <c r="G26" s="896"/>
      <c r="H26" s="897"/>
      <c r="I26" s="769"/>
      <c r="J26" s="770"/>
      <c r="K26" s="771"/>
      <c r="L26" s="91"/>
      <c r="M26" s="91"/>
    </row>
    <row r="27" spans="3:13" x14ac:dyDescent="0.2">
      <c r="C27" s="91"/>
      <c r="D27" s="168"/>
      <c r="E27" s="688" t="s">
        <v>433</v>
      </c>
      <c r="F27" s="898">
        <v>6.0000000000000001E-3</v>
      </c>
      <c r="G27" s="899"/>
      <c r="H27" s="900"/>
      <c r="I27" s="769"/>
      <c r="J27" s="770"/>
      <c r="K27" s="771"/>
      <c r="L27" s="91"/>
      <c r="M27" s="91"/>
    </row>
    <row r="28" spans="3:13" x14ac:dyDescent="0.2">
      <c r="C28" s="91"/>
      <c r="D28" s="168"/>
      <c r="E28" s="688" t="s">
        <v>434</v>
      </c>
      <c r="F28" s="898">
        <v>6.0000000000000001E-3</v>
      </c>
      <c r="G28" s="899"/>
      <c r="H28" s="900"/>
      <c r="I28" s="769"/>
      <c r="J28" s="770"/>
      <c r="K28" s="771"/>
      <c r="L28" s="92"/>
      <c r="M28" s="91"/>
    </row>
    <row r="29" spans="3:13" ht="20" thickBot="1" x14ac:dyDescent="0.25">
      <c r="C29" s="91"/>
      <c r="D29" s="168"/>
      <c r="E29" s="689" t="s">
        <v>435</v>
      </c>
      <c r="F29" s="871">
        <v>0.25</v>
      </c>
      <c r="G29" s="872"/>
      <c r="H29" s="873"/>
      <c r="I29" s="769"/>
      <c r="J29" s="770"/>
      <c r="K29" s="771"/>
      <c r="L29" s="92">
        <f>F29+TIME(5,30,0)</f>
        <v>0.47916666666666663</v>
      </c>
      <c r="M29" s="92">
        <f>L29-TIME(2,30,0)</f>
        <v>0.37499999999999994</v>
      </c>
    </row>
    <row r="30" spans="3:13" ht="20" thickBot="1" x14ac:dyDescent="0.25">
      <c r="C30" s="91"/>
      <c r="D30" s="168"/>
      <c r="E30" s="690" t="s">
        <v>436</v>
      </c>
      <c r="F30" s="293" t="s">
        <v>29</v>
      </c>
      <c r="G30" s="293" t="s">
        <v>28</v>
      </c>
      <c r="H30" s="294" t="s">
        <v>27</v>
      </c>
      <c r="I30" s="769"/>
      <c r="J30" s="770"/>
      <c r="K30" s="771"/>
      <c r="L30" s="91"/>
      <c r="M30" s="91"/>
    </row>
    <row r="31" spans="3:13" x14ac:dyDescent="0.2">
      <c r="C31" s="91"/>
      <c r="D31" s="168"/>
      <c r="E31" s="691" t="s">
        <v>448</v>
      </c>
      <c r="F31" s="353">
        <v>8.9999999999999993E-3</v>
      </c>
      <c r="G31" s="353" t="s">
        <v>459</v>
      </c>
      <c r="H31" s="698">
        <v>3.0000000000000001E-3</v>
      </c>
      <c r="I31" s="769"/>
      <c r="J31" s="770"/>
      <c r="K31" s="771"/>
      <c r="L31" s="91"/>
      <c r="M31" s="91"/>
    </row>
    <row r="32" spans="3:13" x14ac:dyDescent="0.2">
      <c r="C32" s="91"/>
      <c r="D32" s="168"/>
      <c r="E32" s="691" t="s">
        <v>450</v>
      </c>
      <c r="F32" s="353">
        <v>3.0000000000000001E-3</v>
      </c>
      <c r="G32" s="353" t="s">
        <v>460</v>
      </c>
      <c r="H32" s="698">
        <v>-2E-3</v>
      </c>
      <c r="I32" s="769"/>
      <c r="J32" s="770"/>
      <c r="K32" s="771"/>
      <c r="L32" s="91"/>
      <c r="M32" s="91"/>
    </row>
    <row r="33" spans="3:13" x14ac:dyDescent="0.2">
      <c r="C33" s="91"/>
      <c r="D33" s="168"/>
      <c r="E33" s="691" t="s">
        <v>451</v>
      </c>
      <c r="F33" s="353">
        <v>2E-3</v>
      </c>
      <c r="G33" s="353" t="s">
        <v>458</v>
      </c>
      <c r="H33" s="698">
        <v>-2E-3</v>
      </c>
      <c r="I33" s="769"/>
      <c r="J33" s="770"/>
      <c r="K33" s="771"/>
      <c r="L33" s="91"/>
      <c r="M33" s="91"/>
    </row>
    <row r="34" spans="3:13" x14ac:dyDescent="0.2">
      <c r="C34" s="91"/>
      <c r="D34" s="168"/>
      <c r="E34" s="691" t="s">
        <v>453</v>
      </c>
      <c r="F34" s="353">
        <v>-2E-3</v>
      </c>
      <c r="G34" s="353" t="s">
        <v>461</v>
      </c>
      <c r="H34" s="698">
        <v>3.0000000000000001E-3</v>
      </c>
      <c r="I34" s="769"/>
      <c r="J34" s="770"/>
      <c r="K34" s="771"/>
      <c r="L34" s="91"/>
      <c r="M34" s="91"/>
    </row>
    <row r="35" spans="3:13" x14ac:dyDescent="0.2">
      <c r="C35" s="91"/>
      <c r="D35" s="168"/>
      <c r="E35" s="691" t="s">
        <v>455</v>
      </c>
      <c r="F35" s="353">
        <v>-2E-3</v>
      </c>
      <c r="G35" s="353" t="s">
        <v>462</v>
      </c>
      <c r="H35" s="698">
        <v>2E-3</v>
      </c>
      <c r="I35" s="769"/>
      <c r="J35" s="770"/>
      <c r="K35" s="771"/>
      <c r="L35" s="91"/>
      <c r="M35" s="91"/>
    </row>
    <row r="36" spans="3:13" ht="20" thickBot="1" x14ac:dyDescent="0.25">
      <c r="C36" s="91"/>
      <c r="D36" s="168"/>
      <c r="E36" s="694" t="s">
        <v>457</v>
      </c>
      <c r="F36" s="699">
        <v>3.0000000000000001E-3</v>
      </c>
      <c r="G36" s="699" t="s">
        <v>449</v>
      </c>
      <c r="H36" s="700">
        <v>3.0000000000000001E-3</v>
      </c>
      <c r="I36" s="772"/>
      <c r="J36" s="773"/>
      <c r="K36" s="774"/>
      <c r="L36" s="91"/>
      <c r="M36" s="91"/>
    </row>
    <row r="37" spans="3:13" x14ac:dyDescent="0.2">
      <c r="C37" s="91"/>
      <c r="D37" s="88" t="s">
        <v>105</v>
      </c>
      <c r="E37" s="697" t="s">
        <v>30</v>
      </c>
      <c r="F37" s="889" t="s">
        <v>463</v>
      </c>
      <c r="G37" s="890"/>
      <c r="H37" s="891"/>
      <c r="I37" s="892" t="s">
        <v>389</v>
      </c>
      <c r="J37" s="893"/>
      <c r="K37" s="894"/>
      <c r="L37" s="91"/>
      <c r="M37" s="91"/>
    </row>
    <row r="38" spans="3:13" x14ac:dyDescent="0.2">
      <c r="C38" s="91"/>
      <c r="D38" s="168"/>
      <c r="E38" s="688" t="s">
        <v>432</v>
      </c>
      <c r="F38" s="895"/>
      <c r="G38" s="896"/>
      <c r="H38" s="897"/>
      <c r="I38" s="769"/>
      <c r="J38" s="770"/>
      <c r="K38" s="771"/>
      <c r="L38" s="91"/>
      <c r="M38" s="91"/>
    </row>
    <row r="39" spans="3:13" x14ac:dyDescent="0.2">
      <c r="C39" s="91"/>
      <c r="D39" s="168"/>
      <c r="E39" s="688" t="s">
        <v>433</v>
      </c>
      <c r="F39" s="898">
        <v>1E-3</v>
      </c>
      <c r="G39" s="899"/>
      <c r="H39" s="900"/>
      <c r="I39" s="769"/>
      <c r="J39" s="770"/>
      <c r="K39" s="771"/>
      <c r="L39" s="91"/>
      <c r="M39" s="91"/>
    </row>
    <row r="40" spans="3:13" x14ac:dyDescent="0.2">
      <c r="C40" s="91"/>
      <c r="D40" s="168"/>
      <c r="E40" s="688" t="s">
        <v>434</v>
      </c>
      <c r="F40" s="898">
        <v>-1E-3</v>
      </c>
      <c r="G40" s="899"/>
      <c r="H40" s="900"/>
      <c r="I40" s="769"/>
      <c r="J40" s="770"/>
      <c r="K40" s="771"/>
      <c r="L40" s="92"/>
      <c r="M40" s="91"/>
    </row>
    <row r="41" spans="3:13" ht="20" thickBot="1" x14ac:dyDescent="0.25">
      <c r="C41" s="91"/>
      <c r="D41" s="168"/>
      <c r="E41" s="689" t="s">
        <v>435</v>
      </c>
      <c r="F41" s="871">
        <v>0.5</v>
      </c>
      <c r="G41" s="872"/>
      <c r="H41" s="873"/>
      <c r="I41" s="769"/>
      <c r="J41" s="770"/>
      <c r="K41" s="771"/>
      <c r="L41" s="92">
        <f>F41+TIME(5,30,0)</f>
        <v>0.72916666666666663</v>
      </c>
      <c r="M41" s="92">
        <f>L41-TIME(2,30,0)</f>
        <v>0.625</v>
      </c>
    </row>
    <row r="42" spans="3:13" ht="20" thickBot="1" x14ac:dyDescent="0.25">
      <c r="C42" s="91"/>
      <c r="D42" s="168"/>
      <c r="E42" s="690" t="s">
        <v>436</v>
      </c>
      <c r="F42" s="293" t="s">
        <v>29</v>
      </c>
      <c r="G42" s="293" t="s">
        <v>28</v>
      </c>
      <c r="H42" s="294" t="s">
        <v>27</v>
      </c>
      <c r="I42" s="769"/>
      <c r="J42" s="770"/>
      <c r="K42" s="771"/>
      <c r="L42" s="91"/>
      <c r="M42" s="91"/>
    </row>
    <row r="43" spans="3:13" x14ac:dyDescent="0.2">
      <c r="C43" s="91"/>
      <c r="D43" s="168"/>
      <c r="E43" s="691" t="s">
        <v>464</v>
      </c>
      <c r="F43" s="353">
        <v>-1E-3</v>
      </c>
      <c r="G43" s="353" t="s">
        <v>456</v>
      </c>
      <c r="H43" s="698">
        <v>3.0000000000000001E-3</v>
      </c>
      <c r="I43" s="769"/>
      <c r="J43" s="770"/>
      <c r="K43" s="771"/>
      <c r="L43" s="91"/>
      <c r="M43" s="91"/>
    </row>
    <row r="44" spans="3:13" x14ac:dyDescent="0.2">
      <c r="C44" s="91"/>
      <c r="D44" s="168"/>
      <c r="E44" s="691" t="s">
        <v>465</v>
      </c>
      <c r="F44" s="353">
        <v>-1E-3</v>
      </c>
      <c r="G44" s="353" t="s">
        <v>458</v>
      </c>
      <c r="H44" s="698">
        <v>3.0000000000000001E-3</v>
      </c>
      <c r="I44" s="769"/>
      <c r="J44" s="770"/>
      <c r="K44" s="771"/>
      <c r="L44" s="91"/>
      <c r="M44" s="91"/>
    </row>
    <row r="45" spans="3:13" x14ac:dyDescent="0.2">
      <c r="C45" s="91"/>
      <c r="D45" s="168"/>
      <c r="E45" s="691" t="s">
        <v>466</v>
      </c>
      <c r="F45" s="353">
        <v>3.0000000000000001E-3</v>
      </c>
      <c r="G45" s="353" t="s">
        <v>467</v>
      </c>
      <c r="H45" s="698">
        <v>1E-3</v>
      </c>
      <c r="I45" s="769"/>
      <c r="J45" s="770"/>
      <c r="K45" s="771"/>
      <c r="L45" s="91"/>
      <c r="M45" s="91"/>
    </row>
    <row r="46" spans="3:13" x14ac:dyDescent="0.2">
      <c r="C46" s="91"/>
      <c r="D46" s="168"/>
      <c r="E46" s="691" t="s">
        <v>468</v>
      </c>
      <c r="F46" s="353">
        <v>3.0000000000000001E-3</v>
      </c>
      <c r="G46" s="353" t="s">
        <v>467</v>
      </c>
      <c r="H46" s="698">
        <v>1E-3</v>
      </c>
      <c r="I46" s="769"/>
      <c r="J46" s="770"/>
      <c r="K46" s="771"/>
      <c r="L46" s="91"/>
      <c r="M46" s="91"/>
    </row>
    <row r="47" spans="3:13" x14ac:dyDescent="0.2">
      <c r="C47" s="91"/>
      <c r="D47" s="168"/>
      <c r="E47" s="691" t="s">
        <v>469</v>
      </c>
      <c r="F47" s="353">
        <v>1E-3</v>
      </c>
      <c r="G47" s="353" t="s">
        <v>462</v>
      </c>
      <c r="H47" s="698">
        <v>1E-3</v>
      </c>
      <c r="I47" s="769"/>
      <c r="J47" s="770"/>
      <c r="K47" s="771"/>
      <c r="L47" s="91"/>
      <c r="M47" s="91"/>
    </row>
    <row r="48" spans="3:13" ht="20" thickBot="1" x14ac:dyDescent="0.25">
      <c r="C48" s="91"/>
      <c r="D48" s="168"/>
      <c r="E48" s="694" t="s">
        <v>470</v>
      </c>
      <c r="F48" s="699">
        <v>1E-3</v>
      </c>
      <c r="G48" s="699" t="s">
        <v>460</v>
      </c>
      <c r="H48" s="700">
        <v>1E-3</v>
      </c>
      <c r="I48" s="772"/>
      <c r="J48" s="773"/>
      <c r="K48" s="774"/>
      <c r="L48" s="91"/>
      <c r="M48" s="91"/>
    </row>
    <row r="49" spans="3:13" x14ac:dyDescent="0.2">
      <c r="C49" s="91"/>
      <c r="D49" s="88" t="s">
        <v>105</v>
      </c>
      <c r="E49" s="697" t="s">
        <v>30</v>
      </c>
      <c r="F49" s="889" t="s">
        <v>390</v>
      </c>
      <c r="G49" s="890"/>
      <c r="H49" s="891"/>
      <c r="I49" s="892" t="s">
        <v>471</v>
      </c>
      <c r="J49" s="893"/>
      <c r="K49" s="894"/>
      <c r="L49" s="91"/>
      <c r="M49" s="91"/>
    </row>
    <row r="50" spans="3:13" x14ac:dyDescent="0.2">
      <c r="C50" s="91"/>
      <c r="D50" s="168"/>
      <c r="E50" s="688" t="s">
        <v>432</v>
      </c>
      <c r="F50" s="895"/>
      <c r="G50" s="896"/>
      <c r="H50" s="897"/>
      <c r="I50" s="769"/>
      <c r="J50" s="770"/>
      <c r="K50" s="771"/>
      <c r="L50" s="91"/>
      <c r="M50" s="91"/>
    </row>
    <row r="51" spans="3:13" x14ac:dyDescent="0.2">
      <c r="C51" s="91"/>
      <c r="D51" s="168"/>
      <c r="E51" s="688" t="s">
        <v>433</v>
      </c>
      <c r="F51" s="898"/>
      <c r="G51" s="899"/>
      <c r="H51" s="900"/>
      <c r="I51" s="769"/>
      <c r="J51" s="770"/>
      <c r="K51" s="771"/>
      <c r="L51" s="91"/>
      <c r="M51" s="91"/>
    </row>
    <row r="52" spans="3:13" x14ac:dyDescent="0.2">
      <c r="C52" s="91"/>
      <c r="D52" s="168"/>
      <c r="E52" s="688" t="s">
        <v>434</v>
      </c>
      <c r="F52" s="877">
        <v>46.1</v>
      </c>
      <c r="G52" s="878"/>
      <c r="H52" s="879"/>
      <c r="I52" s="769"/>
      <c r="J52" s="770"/>
      <c r="K52" s="771"/>
      <c r="L52" s="92"/>
      <c r="M52" s="91"/>
    </row>
    <row r="53" spans="3:13" ht="20" thickBot="1" x14ac:dyDescent="0.25">
      <c r="C53" s="91"/>
      <c r="D53" s="168"/>
      <c r="E53" s="689" t="s">
        <v>435</v>
      </c>
      <c r="F53" s="871">
        <v>0.57291666666666663</v>
      </c>
      <c r="G53" s="872"/>
      <c r="H53" s="873"/>
      <c r="I53" s="769"/>
      <c r="J53" s="770"/>
      <c r="K53" s="771"/>
      <c r="L53" s="92">
        <f>F53+TIME(5,30,0)</f>
        <v>0.80208333333333326</v>
      </c>
      <c r="M53" s="92">
        <f>L53-TIME(2,30,0)</f>
        <v>0.69791666666666663</v>
      </c>
    </row>
    <row r="54" spans="3:13" ht="20" thickBot="1" x14ac:dyDescent="0.25">
      <c r="C54" s="91"/>
      <c r="D54" s="168"/>
      <c r="E54" s="690" t="s">
        <v>436</v>
      </c>
      <c r="F54" s="293" t="s">
        <v>29</v>
      </c>
      <c r="G54" s="293" t="s">
        <v>28</v>
      </c>
      <c r="H54" s="294" t="s">
        <v>27</v>
      </c>
      <c r="I54" s="769"/>
      <c r="J54" s="770"/>
      <c r="K54" s="771"/>
      <c r="L54" s="91"/>
      <c r="M54" s="91"/>
    </row>
    <row r="55" spans="3:13" x14ac:dyDescent="0.2">
      <c r="C55" s="91"/>
      <c r="D55" s="168"/>
      <c r="E55" s="691" t="s">
        <v>472</v>
      </c>
      <c r="F55" s="692">
        <v>46.1</v>
      </c>
      <c r="G55" s="692" t="s">
        <v>473</v>
      </c>
      <c r="H55" s="693">
        <v>45.3</v>
      </c>
      <c r="I55" s="769"/>
      <c r="J55" s="770"/>
      <c r="K55" s="771"/>
      <c r="L55" s="91"/>
      <c r="M55" s="91"/>
    </row>
    <row r="56" spans="3:13" x14ac:dyDescent="0.2">
      <c r="C56" s="91"/>
      <c r="D56" s="168"/>
      <c r="E56" s="691" t="s">
        <v>439</v>
      </c>
      <c r="F56" s="692">
        <v>45.3</v>
      </c>
      <c r="G56" s="692" t="s">
        <v>474</v>
      </c>
      <c r="H56" s="693">
        <v>47.4</v>
      </c>
      <c r="I56" s="769"/>
      <c r="J56" s="770"/>
      <c r="K56" s="771"/>
      <c r="L56" s="91"/>
      <c r="M56" s="91"/>
    </row>
    <row r="57" spans="3:13" x14ac:dyDescent="0.2">
      <c r="C57" s="91"/>
      <c r="D57" s="168"/>
      <c r="E57" s="691" t="s">
        <v>450</v>
      </c>
      <c r="F57" s="692">
        <v>47.4</v>
      </c>
      <c r="G57" s="692" t="s">
        <v>475</v>
      </c>
      <c r="H57" s="693">
        <v>35.4</v>
      </c>
      <c r="I57" s="769"/>
      <c r="J57" s="770"/>
      <c r="K57" s="771"/>
      <c r="L57" s="91"/>
      <c r="M57" s="91"/>
    </row>
    <row r="58" spans="3:13" x14ac:dyDescent="0.2">
      <c r="C58" s="91"/>
      <c r="D58" s="168"/>
      <c r="E58" s="691" t="s">
        <v>442</v>
      </c>
      <c r="F58" s="692">
        <v>35.4</v>
      </c>
      <c r="G58" s="692" t="s">
        <v>476</v>
      </c>
      <c r="H58" s="693">
        <v>37.9</v>
      </c>
      <c r="I58" s="769"/>
      <c r="J58" s="770"/>
      <c r="K58" s="771"/>
      <c r="L58" s="91"/>
      <c r="M58" s="91"/>
    </row>
    <row r="59" spans="3:13" x14ac:dyDescent="0.2">
      <c r="C59" s="91"/>
      <c r="D59" s="168"/>
      <c r="E59" s="691" t="s">
        <v>444</v>
      </c>
      <c r="F59" s="692">
        <v>37.9</v>
      </c>
      <c r="G59" s="692" t="s">
        <v>477</v>
      </c>
      <c r="H59" s="693">
        <v>41.4</v>
      </c>
      <c r="I59" s="769"/>
      <c r="J59" s="770"/>
      <c r="K59" s="771"/>
      <c r="L59" s="91"/>
      <c r="M59" s="91"/>
    </row>
    <row r="60" spans="3:13" ht="20" thickBot="1" x14ac:dyDescent="0.25">
      <c r="C60" s="91"/>
      <c r="D60" s="168"/>
      <c r="E60" s="694" t="s">
        <v>453</v>
      </c>
      <c r="F60" s="695">
        <v>41.4</v>
      </c>
      <c r="G60" s="695" t="s">
        <v>478</v>
      </c>
      <c r="H60" s="696">
        <v>44</v>
      </c>
      <c r="I60" s="772"/>
      <c r="J60" s="773"/>
      <c r="K60" s="774"/>
      <c r="L60" s="91"/>
      <c r="M60" s="91"/>
    </row>
    <row r="61" spans="3:13" x14ac:dyDescent="0.2">
      <c r="C61" s="91"/>
      <c r="D61" s="88" t="s">
        <v>105</v>
      </c>
      <c r="E61" s="697" t="s">
        <v>30</v>
      </c>
      <c r="F61" s="889" t="s">
        <v>20</v>
      </c>
      <c r="G61" s="890"/>
      <c r="H61" s="891"/>
      <c r="I61" s="892" t="s">
        <v>392</v>
      </c>
      <c r="J61" s="893"/>
      <c r="K61" s="894"/>
      <c r="L61" s="91"/>
      <c r="M61" s="91"/>
    </row>
    <row r="62" spans="3:13" x14ac:dyDescent="0.2">
      <c r="C62" s="91"/>
      <c r="D62" s="168"/>
      <c r="E62" s="688" t="s">
        <v>432</v>
      </c>
      <c r="F62" s="895"/>
      <c r="G62" s="896"/>
      <c r="H62" s="897"/>
      <c r="I62" s="769"/>
      <c r="J62" s="770"/>
      <c r="K62" s="771"/>
      <c r="L62" s="91"/>
      <c r="M62" s="91"/>
    </row>
    <row r="63" spans="3:13" x14ac:dyDescent="0.2">
      <c r="C63" s="91"/>
      <c r="D63" s="168"/>
      <c r="E63" s="688" t="s">
        <v>433</v>
      </c>
      <c r="F63" s="898"/>
      <c r="G63" s="899"/>
      <c r="H63" s="900"/>
      <c r="I63" s="769"/>
      <c r="J63" s="770"/>
      <c r="K63" s="771"/>
      <c r="L63" s="91"/>
      <c r="M63" s="91"/>
    </row>
    <row r="64" spans="3:13" x14ac:dyDescent="0.2">
      <c r="C64" s="91"/>
      <c r="D64" s="168"/>
      <c r="E64" s="688" t="s">
        <v>434</v>
      </c>
      <c r="F64" s="898"/>
      <c r="G64" s="899"/>
      <c r="H64" s="900"/>
      <c r="I64" s="769"/>
      <c r="J64" s="770"/>
      <c r="K64" s="771"/>
      <c r="L64" s="92"/>
      <c r="M64" s="91"/>
    </row>
    <row r="65" spans="3:13" ht="20" thickBot="1" x14ac:dyDescent="0.25">
      <c r="C65" s="91"/>
      <c r="D65" s="168"/>
      <c r="E65" s="689" t="s">
        <v>435</v>
      </c>
      <c r="F65" s="871">
        <v>0.70833333333333337</v>
      </c>
      <c r="G65" s="872"/>
      <c r="H65" s="873"/>
      <c r="I65" s="769"/>
      <c r="J65" s="770"/>
      <c r="K65" s="771"/>
      <c r="L65" s="92">
        <f>F65+TIME(5,30,0)</f>
        <v>0.9375</v>
      </c>
      <c r="M65" s="92">
        <f>L65-TIME(2,30,0)</f>
        <v>0.83333333333333337</v>
      </c>
    </row>
    <row r="66" spans="3:13" ht="20" thickBot="1" x14ac:dyDescent="0.25">
      <c r="C66" s="91"/>
      <c r="D66" s="168"/>
      <c r="E66" s="690" t="s">
        <v>436</v>
      </c>
      <c r="F66" s="293" t="s">
        <v>29</v>
      </c>
      <c r="G66" s="293" t="s">
        <v>28</v>
      </c>
      <c r="H66" s="294" t="s">
        <v>27</v>
      </c>
      <c r="I66" s="769"/>
      <c r="J66" s="770"/>
      <c r="K66" s="771"/>
      <c r="L66" s="91"/>
      <c r="M66" s="91"/>
    </row>
    <row r="67" spans="3:13" x14ac:dyDescent="0.2">
      <c r="C67" s="91"/>
      <c r="D67" s="168"/>
      <c r="E67" s="691" t="s">
        <v>479</v>
      </c>
      <c r="F67" s="353"/>
      <c r="G67" s="353"/>
      <c r="H67" s="698"/>
      <c r="I67" s="769"/>
      <c r="J67" s="770"/>
      <c r="K67" s="771"/>
      <c r="L67" s="91"/>
      <c r="M67" s="91"/>
    </row>
    <row r="68" spans="3:13" x14ac:dyDescent="0.2">
      <c r="C68" s="91"/>
      <c r="D68" s="168"/>
      <c r="E68" s="691" t="s">
        <v>480</v>
      </c>
      <c r="F68" s="353"/>
      <c r="G68" s="353"/>
      <c r="H68" s="698"/>
      <c r="I68" s="769"/>
      <c r="J68" s="770"/>
      <c r="K68" s="771"/>
      <c r="L68" s="91"/>
      <c r="M68" s="91"/>
    </row>
    <row r="69" spans="3:13" x14ac:dyDescent="0.2">
      <c r="C69" s="91"/>
      <c r="D69" s="168"/>
      <c r="E69" s="691" t="s">
        <v>481</v>
      </c>
      <c r="F69" s="353"/>
      <c r="G69" s="353"/>
      <c r="H69" s="698"/>
      <c r="I69" s="769"/>
      <c r="J69" s="770"/>
      <c r="K69" s="771"/>
      <c r="L69" s="91"/>
      <c r="M69" s="91"/>
    </row>
    <row r="70" spans="3:13" x14ac:dyDescent="0.2">
      <c r="C70" s="91"/>
      <c r="D70" s="168"/>
      <c r="E70" s="691" t="s">
        <v>482</v>
      </c>
      <c r="F70" s="353"/>
      <c r="G70" s="353"/>
      <c r="H70" s="698"/>
      <c r="I70" s="769"/>
      <c r="J70" s="770"/>
      <c r="K70" s="771"/>
      <c r="L70" s="91"/>
      <c r="M70" s="91"/>
    </row>
    <row r="71" spans="3:13" x14ac:dyDescent="0.2">
      <c r="C71" s="91"/>
      <c r="D71" s="168"/>
      <c r="E71" s="691" t="s">
        <v>483</v>
      </c>
      <c r="F71" s="353"/>
      <c r="G71" s="353"/>
      <c r="H71" s="698"/>
      <c r="I71" s="769"/>
      <c r="J71" s="770"/>
      <c r="K71" s="771"/>
      <c r="L71" s="91"/>
      <c r="M71" s="91"/>
    </row>
    <row r="72" spans="3:13" ht="20" thickBot="1" x14ac:dyDescent="0.25">
      <c r="C72" s="91"/>
      <c r="D72" s="168"/>
      <c r="E72" s="694" t="s">
        <v>484</v>
      </c>
      <c r="F72" s="699"/>
      <c r="G72" s="699"/>
      <c r="H72" s="700"/>
      <c r="I72" s="772"/>
      <c r="J72" s="773"/>
      <c r="K72" s="774"/>
      <c r="L72" s="91"/>
      <c r="M72" s="91"/>
    </row>
    <row r="73" spans="3:13" x14ac:dyDescent="0.2">
      <c r="C73" s="91"/>
      <c r="D73" s="88" t="s">
        <v>105</v>
      </c>
      <c r="E73" s="697" t="s">
        <v>30</v>
      </c>
      <c r="F73" s="889" t="s">
        <v>485</v>
      </c>
      <c r="G73" s="890"/>
      <c r="H73" s="891"/>
      <c r="I73" s="892" t="s">
        <v>486</v>
      </c>
      <c r="J73" s="893"/>
      <c r="K73" s="894"/>
      <c r="L73" s="91"/>
      <c r="M73" s="91"/>
    </row>
    <row r="74" spans="3:13" x14ac:dyDescent="0.2">
      <c r="C74" s="91"/>
      <c r="D74" s="168"/>
      <c r="E74" s="688" t="s">
        <v>432</v>
      </c>
      <c r="F74" s="895"/>
      <c r="G74" s="896"/>
      <c r="H74" s="897"/>
      <c r="I74" s="769"/>
      <c r="J74" s="770"/>
      <c r="K74" s="771"/>
      <c r="L74" s="91"/>
      <c r="M74" s="91"/>
    </row>
    <row r="75" spans="3:13" x14ac:dyDescent="0.2">
      <c r="C75" s="91"/>
      <c r="D75" s="168"/>
      <c r="E75" s="688" t="s">
        <v>433</v>
      </c>
      <c r="F75" s="877"/>
      <c r="G75" s="878"/>
      <c r="H75" s="879"/>
      <c r="I75" s="769"/>
      <c r="J75" s="770"/>
      <c r="K75" s="771"/>
      <c r="L75" s="91"/>
      <c r="M75" s="91"/>
    </row>
    <row r="76" spans="3:13" x14ac:dyDescent="0.2">
      <c r="C76" s="91"/>
      <c r="D76" s="168"/>
      <c r="E76" s="688" t="s">
        <v>434</v>
      </c>
      <c r="F76" s="856">
        <v>2.1999999999999999E-2</v>
      </c>
      <c r="G76" s="857"/>
      <c r="H76" s="858"/>
      <c r="I76" s="769"/>
      <c r="J76" s="770"/>
      <c r="K76" s="771"/>
      <c r="L76" s="92"/>
      <c r="M76" s="91"/>
    </row>
    <row r="77" spans="3:13" ht="20" thickBot="1" x14ac:dyDescent="0.25">
      <c r="C77" s="91"/>
      <c r="D77" s="168"/>
      <c r="E77" s="689" t="s">
        <v>487</v>
      </c>
      <c r="F77" s="871">
        <v>0.375</v>
      </c>
      <c r="G77" s="872"/>
      <c r="H77" s="873"/>
      <c r="I77" s="769"/>
      <c r="J77" s="770"/>
      <c r="K77" s="771"/>
      <c r="L77" s="92">
        <f>F77+TIME(5,30,0)</f>
        <v>0.60416666666666663</v>
      </c>
      <c r="M77" s="92">
        <f>L77-TIME(2,30,0)</f>
        <v>0.49999999999999994</v>
      </c>
    </row>
    <row r="78" spans="3:13" ht="20" thickBot="1" x14ac:dyDescent="0.25">
      <c r="C78" s="91"/>
      <c r="D78" s="168"/>
      <c r="E78" s="690" t="s">
        <v>488</v>
      </c>
      <c r="F78" s="293" t="s">
        <v>29</v>
      </c>
      <c r="G78" s="293" t="s">
        <v>28</v>
      </c>
      <c r="H78" s="294" t="s">
        <v>27</v>
      </c>
      <c r="I78" s="769"/>
      <c r="J78" s="770"/>
      <c r="K78" s="771"/>
      <c r="L78" s="91"/>
      <c r="M78" s="91"/>
    </row>
    <row r="79" spans="3:13" x14ac:dyDescent="0.2">
      <c r="C79" s="91"/>
      <c r="D79" s="168"/>
      <c r="E79" s="691" t="s">
        <v>489</v>
      </c>
      <c r="F79" s="353">
        <v>2.1999999999999999E-2</v>
      </c>
      <c r="G79" s="353" t="s">
        <v>490</v>
      </c>
      <c r="H79" s="698">
        <v>2.5999999999999999E-2</v>
      </c>
      <c r="I79" s="769"/>
      <c r="J79" s="770"/>
      <c r="K79" s="771"/>
      <c r="L79" s="91"/>
      <c r="M79" s="91"/>
    </row>
    <row r="80" spans="3:13" x14ac:dyDescent="0.2">
      <c r="C80" s="91"/>
      <c r="D80" s="168"/>
      <c r="E80" s="691" t="s">
        <v>491</v>
      </c>
      <c r="F80" s="353">
        <v>2.1999999999999999E-2</v>
      </c>
      <c r="G80" s="353" t="s">
        <v>490</v>
      </c>
      <c r="H80" s="698">
        <v>2.5999999999999999E-2</v>
      </c>
      <c r="I80" s="769"/>
      <c r="J80" s="770"/>
      <c r="K80" s="771"/>
      <c r="L80" s="91"/>
      <c r="M80" s="91"/>
    </row>
    <row r="81" spans="3:13" x14ac:dyDescent="0.2">
      <c r="C81" s="91"/>
      <c r="D81" s="168"/>
      <c r="E81" s="691" t="s">
        <v>492</v>
      </c>
      <c r="F81" s="353">
        <v>2.5999999999999999E-2</v>
      </c>
      <c r="G81" s="353" t="s">
        <v>493</v>
      </c>
      <c r="H81" s="698">
        <v>2.5000000000000001E-2</v>
      </c>
      <c r="I81" s="769"/>
      <c r="J81" s="770"/>
      <c r="K81" s="771"/>
      <c r="L81" s="91"/>
      <c r="M81" s="91"/>
    </row>
    <row r="82" spans="3:13" x14ac:dyDescent="0.2">
      <c r="C82" s="91"/>
      <c r="D82" s="168"/>
      <c r="E82" s="691" t="s">
        <v>494</v>
      </c>
      <c r="F82" s="353">
        <v>2.5999999999999999E-2</v>
      </c>
      <c r="G82" s="353" t="s">
        <v>495</v>
      </c>
      <c r="H82" s="698">
        <v>2.5000000000000001E-2</v>
      </c>
      <c r="I82" s="769"/>
      <c r="J82" s="770"/>
      <c r="K82" s="771"/>
      <c r="L82" s="91"/>
      <c r="M82" s="91"/>
    </row>
    <row r="83" spans="3:13" x14ac:dyDescent="0.2">
      <c r="C83" s="91"/>
      <c r="D83" s="168"/>
      <c r="E83" s="691" t="s">
        <v>496</v>
      </c>
      <c r="F83" s="353">
        <v>2.5000000000000001E-2</v>
      </c>
      <c r="G83" s="353" t="s">
        <v>495</v>
      </c>
      <c r="H83" s="698">
        <v>2.5999999999999999E-2</v>
      </c>
      <c r="I83" s="769"/>
      <c r="J83" s="770"/>
      <c r="K83" s="771"/>
      <c r="L83" s="91"/>
      <c r="M83" s="91"/>
    </row>
    <row r="84" spans="3:13" ht="20" thickBot="1" x14ac:dyDescent="0.25">
      <c r="C84" s="91"/>
      <c r="D84" s="168"/>
      <c r="E84" s="694" t="s">
        <v>497</v>
      </c>
      <c r="F84" s="699">
        <v>2.5000000000000001E-2</v>
      </c>
      <c r="G84" s="699" t="s">
        <v>495</v>
      </c>
      <c r="H84" s="700">
        <v>2.5999999999999999E-2</v>
      </c>
      <c r="I84" s="772"/>
      <c r="J84" s="773"/>
      <c r="K84" s="774"/>
      <c r="L84" s="91"/>
      <c r="M84" s="91"/>
    </row>
    <row r="85" spans="3:13" x14ac:dyDescent="0.2">
      <c r="C85" s="91"/>
      <c r="D85" s="88" t="s">
        <v>105</v>
      </c>
      <c r="E85" s="697" t="s">
        <v>30</v>
      </c>
      <c r="F85" s="889" t="s">
        <v>498</v>
      </c>
      <c r="G85" s="890"/>
      <c r="H85" s="891"/>
      <c r="I85" s="892" t="s">
        <v>396</v>
      </c>
      <c r="J85" s="893"/>
      <c r="K85" s="894"/>
      <c r="L85" s="91"/>
      <c r="M85" s="91"/>
    </row>
    <row r="86" spans="3:13" x14ac:dyDescent="0.2">
      <c r="C86" s="91"/>
      <c r="D86" s="168"/>
      <c r="E86" s="688" t="s">
        <v>432</v>
      </c>
      <c r="F86" s="895"/>
      <c r="G86" s="896"/>
      <c r="H86" s="897"/>
      <c r="I86" s="769"/>
      <c r="J86" s="770"/>
      <c r="K86" s="771"/>
      <c r="L86" s="91"/>
      <c r="M86" s="91"/>
    </row>
    <row r="87" spans="3:13" x14ac:dyDescent="0.2">
      <c r="C87" s="91"/>
      <c r="D87" s="168"/>
      <c r="E87" s="688" t="s">
        <v>433</v>
      </c>
      <c r="F87" s="877">
        <v>47</v>
      </c>
      <c r="G87" s="878"/>
      <c r="H87" s="879"/>
      <c r="I87" s="769"/>
      <c r="J87" s="770"/>
      <c r="K87" s="771"/>
      <c r="L87" s="91"/>
      <c r="M87" s="91"/>
    </row>
    <row r="88" spans="3:13" x14ac:dyDescent="0.2">
      <c r="C88" s="91"/>
      <c r="D88" s="168"/>
      <c r="E88" s="688" t="s">
        <v>434</v>
      </c>
      <c r="F88" s="877">
        <v>47</v>
      </c>
      <c r="G88" s="878"/>
      <c r="H88" s="879"/>
      <c r="I88" s="769"/>
      <c r="J88" s="770"/>
      <c r="K88" s="771"/>
      <c r="L88" s="92"/>
      <c r="M88" s="91"/>
    </row>
    <row r="89" spans="3:13" ht="20" thickBot="1" x14ac:dyDescent="0.25">
      <c r="C89" s="91"/>
      <c r="D89" s="168"/>
      <c r="E89" s="689" t="s">
        <v>435</v>
      </c>
      <c r="F89" s="871">
        <v>0.57291666666666663</v>
      </c>
      <c r="G89" s="872"/>
      <c r="H89" s="873"/>
      <c r="I89" s="769"/>
      <c r="J89" s="770"/>
      <c r="K89" s="771"/>
      <c r="L89" s="92">
        <f>F89+TIME(5,30,0)</f>
        <v>0.80208333333333326</v>
      </c>
      <c r="M89" s="92">
        <f>L89-TIME(2,30,0)</f>
        <v>0.69791666666666663</v>
      </c>
    </row>
    <row r="90" spans="3:13" ht="20" thickBot="1" x14ac:dyDescent="0.25">
      <c r="C90" s="91"/>
      <c r="D90" s="168"/>
      <c r="E90" s="690" t="s">
        <v>436</v>
      </c>
      <c r="F90" s="293" t="s">
        <v>29</v>
      </c>
      <c r="G90" s="293" t="s">
        <v>28</v>
      </c>
      <c r="H90" s="294" t="s">
        <v>27</v>
      </c>
      <c r="I90" s="769"/>
      <c r="J90" s="770"/>
      <c r="K90" s="771"/>
      <c r="L90" s="91"/>
      <c r="M90" s="91"/>
    </row>
    <row r="91" spans="3:13" x14ac:dyDescent="0.2">
      <c r="C91" s="91"/>
      <c r="D91" s="168"/>
      <c r="E91" s="691" t="s">
        <v>499</v>
      </c>
      <c r="F91" s="362">
        <v>47</v>
      </c>
      <c r="G91" s="362" t="s">
        <v>500</v>
      </c>
      <c r="H91" s="701">
        <v>47.9</v>
      </c>
      <c r="I91" s="769"/>
      <c r="J91" s="770"/>
      <c r="K91" s="771"/>
      <c r="L91" s="91"/>
      <c r="M91" s="91"/>
    </row>
    <row r="92" spans="3:13" x14ac:dyDescent="0.2">
      <c r="C92" s="91"/>
      <c r="D92" s="168"/>
      <c r="E92" s="691" t="s">
        <v>501</v>
      </c>
      <c r="F92" s="362">
        <v>47.9</v>
      </c>
      <c r="G92" s="362" t="s">
        <v>502</v>
      </c>
      <c r="H92" s="701">
        <v>49.6</v>
      </c>
      <c r="I92" s="769"/>
      <c r="J92" s="770"/>
      <c r="K92" s="771"/>
      <c r="L92" s="91"/>
      <c r="M92" s="91"/>
    </row>
    <row r="93" spans="3:13" x14ac:dyDescent="0.2">
      <c r="C93" s="91"/>
      <c r="D93" s="168"/>
      <c r="E93" s="691" t="s">
        <v>503</v>
      </c>
      <c r="F93" s="362">
        <v>48</v>
      </c>
      <c r="G93" s="362" t="s">
        <v>438</v>
      </c>
      <c r="H93" s="701">
        <v>49.6</v>
      </c>
      <c r="I93" s="769"/>
      <c r="J93" s="770"/>
      <c r="K93" s="771"/>
      <c r="L93" s="91"/>
      <c r="M93" s="91"/>
    </row>
    <row r="94" spans="3:13" x14ac:dyDescent="0.2">
      <c r="C94" s="91"/>
      <c r="D94" s="168"/>
      <c r="E94" s="691" t="s">
        <v>504</v>
      </c>
      <c r="F94" s="362">
        <v>49.6</v>
      </c>
      <c r="G94" s="362" t="s">
        <v>438</v>
      </c>
      <c r="H94" s="701">
        <v>51.6</v>
      </c>
      <c r="I94" s="769"/>
      <c r="J94" s="770"/>
      <c r="K94" s="771"/>
      <c r="L94" s="91"/>
      <c r="M94" s="91"/>
    </row>
    <row r="95" spans="3:13" x14ac:dyDescent="0.2">
      <c r="C95" s="91"/>
      <c r="D95" s="168"/>
      <c r="E95" s="691" t="s">
        <v>505</v>
      </c>
      <c r="F95" s="362">
        <v>49.5</v>
      </c>
      <c r="G95" s="362" t="s">
        <v>506</v>
      </c>
      <c r="H95" s="701">
        <v>51.6</v>
      </c>
      <c r="I95" s="769"/>
      <c r="J95" s="770"/>
      <c r="K95" s="771"/>
      <c r="L95" s="91"/>
      <c r="M95" s="91"/>
    </row>
    <row r="96" spans="3:13" ht="20" thickBot="1" x14ac:dyDescent="0.25">
      <c r="C96" s="91"/>
      <c r="D96" s="168"/>
      <c r="E96" s="694" t="s">
        <v>507</v>
      </c>
      <c r="F96" s="702">
        <v>51.6</v>
      </c>
      <c r="G96" s="702" t="s">
        <v>506</v>
      </c>
      <c r="H96" s="703">
        <v>51.3</v>
      </c>
      <c r="I96" s="772"/>
      <c r="J96" s="773"/>
      <c r="K96" s="774"/>
      <c r="L96" s="91"/>
      <c r="M96" s="91"/>
    </row>
    <row r="97" spans="3:13" x14ac:dyDescent="0.2">
      <c r="C97" s="91"/>
      <c r="D97" s="88" t="s">
        <v>105</v>
      </c>
      <c r="E97" s="697" t="s">
        <v>30</v>
      </c>
      <c r="F97" s="889" t="s">
        <v>508</v>
      </c>
      <c r="G97" s="890"/>
      <c r="H97" s="891"/>
      <c r="I97" s="892" t="s">
        <v>398</v>
      </c>
      <c r="J97" s="893"/>
      <c r="K97" s="894"/>
      <c r="L97" s="91"/>
      <c r="M97" s="91"/>
    </row>
    <row r="98" spans="3:13" x14ac:dyDescent="0.2">
      <c r="C98" s="91"/>
      <c r="D98" s="168"/>
      <c r="E98" s="688" t="s">
        <v>432</v>
      </c>
      <c r="F98" s="895"/>
      <c r="G98" s="896"/>
      <c r="H98" s="897"/>
      <c r="I98" s="769"/>
      <c r="J98" s="770"/>
      <c r="K98" s="771"/>
      <c r="L98" s="91"/>
      <c r="M98" s="91"/>
    </row>
    <row r="99" spans="3:13" x14ac:dyDescent="0.2">
      <c r="C99" s="91"/>
      <c r="D99" s="168"/>
      <c r="E99" s="688" t="s">
        <v>433</v>
      </c>
      <c r="F99" s="877">
        <v>47.6</v>
      </c>
      <c r="G99" s="878"/>
      <c r="H99" s="879"/>
      <c r="I99" s="769"/>
      <c r="J99" s="770"/>
      <c r="K99" s="771"/>
      <c r="L99" s="91"/>
      <c r="M99" s="91"/>
    </row>
    <row r="100" spans="3:13" x14ac:dyDescent="0.2">
      <c r="C100" s="91"/>
      <c r="D100" s="168"/>
      <c r="E100" s="688" t="s">
        <v>434</v>
      </c>
      <c r="F100" s="877">
        <v>47.2</v>
      </c>
      <c r="G100" s="878"/>
      <c r="H100" s="879"/>
      <c r="I100" s="769"/>
      <c r="J100" s="770"/>
      <c r="K100" s="771"/>
      <c r="L100" s="92"/>
      <c r="M100" s="91"/>
    </row>
    <row r="101" spans="3:13" ht="20" thickBot="1" x14ac:dyDescent="0.25">
      <c r="C101" s="91"/>
      <c r="D101" s="168"/>
      <c r="E101" s="689" t="s">
        <v>435</v>
      </c>
      <c r="F101" s="871">
        <v>0.58333333333333337</v>
      </c>
      <c r="G101" s="872"/>
      <c r="H101" s="873"/>
      <c r="I101" s="769"/>
      <c r="J101" s="770"/>
      <c r="K101" s="771"/>
      <c r="L101" s="92">
        <f>F101+TIME(5,30,0)</f>
        <v>0.8125</v>
      </c>
      <c r="M101" s="92">
        <f>L101-TIME(2,30,0)</f>
        <v>0.70833333333333337</v>
      </c>
    </row>
    <row r="102" spans="3:13" ht="20" thickBot="1" x14ac:dyDescent="0.25">
      <c r="C102" s="91"/>
      <c r="D102" s="168"/>
      <c r="E102" s="690" t="s">
        <v>436</v>
      </c>
      <c r="F102" s="293" t="s">
        <v>29</v>
      </c>
      <c r="G102" s="293" t="s">
        <v>28</v>
      </c>
      <c r="H102" s="294" t="s">
        <v>27</v>
      </c>
      <c r="I102" s="769"/>
      <c r="J102" s="770"/>
      <c r="K102" s="771"/>
      <c r="L102" s="91"/>
      <c r="M102" s="91"/>
    </row>
    <row r="103" spans="3:13" x14ac:dyDescent="0.2">
      <c r="C103" s="91"/>
      <c r="D103" s="168"/>
      <c r="E103" s="691" t="s">
        <v>501</v>
      </c>
      <c r="F103" s="692">
        <v>47.2</v>
      </c>
      <c r="G103" s="692" t="s">
        <v>509</v>
      </c>
      <c r="H103" s="693">
        <v>46.8</v>
      </c>
      <c r="I103" s="769"/>
      <c r="J103" s="770"/>
      <c r="K103" s="771"/>
      <c r="L103" s="91"/>
      <c r="M103" s="91"/>
    </row>
    <row r="104" spans="3:13" x14ac:dyDescent="0.2">
      <c r="C104" s="91"/>
      <c r="D104" s="168"/>
      <c r="E104" s="691" t="s">
        <v>504</v>
      </c>
      <c r="F104" s="692">
        <v>46.8</v>
      </c>
      <c r="G104" s="692" t="s">
        <v>510</v>
      </c>
      <c r="H104" s="693">
        <v>48.5</v>
      </c>
      <c r="I104" s="769"/>
      <c r="J104" s="770"/>
      <c r="K104" s="771"/>
      <c r="L104" s="91"/>
      <c r="M104" s="91"/>
    </row>
    <row r="105" spans="3:13" x14ac:dyDescent="0.2">
      <c r="C105" s="91"/>
      <c r="D105" s="168"/>
      <c r="E105" s="691" t="s">
        <v>507</v>
      </c>
      <c r="F105" s="692">
        <v>48.5</v>
      </c>
      <c r="G105" s="692" t="s">
        <v>511</v>
      </c>
      <c r="H105" s="693">
        <v>48.7</v>
      </c>
      <c r="I105" s="769"/>
      <c r="J105" s="770"/>
      <c r="K105" s="771"/>
      <c r="L105" s="91"/>
      <c r="M105" s="91"/>
    </row>
    <row r="106" spans="3:13" x14ac:dyDescent="0.2">
      <c r="C106" s="91"/>
      <c r="D106" s="168"/>
      <c r="E106" s="691" t="s">
        <v>512</v>
      </c>
      <c r="F106" s="692">
        <v>48.7</v>
      </c>
      <c r="G106" s="692" t="s">
        <v>513</v>
      </c>
      <c r="H106" s="693">
        <v>49.2</v>
      </c>
      <c r="I106" s="769"/>
      <c r="J106" s="770"/>
      <c r="K106" s="771"/>
      <c r="L106" s="91"/>
      <c r="M106" s="91"/>
    </row>
    <row r="107" spans="3:13" x14ac:dyDescent="0.2">
      <c r="C107" s="91"/>
      <c r="D107" s="168"/>
      <c r="E107" s="691" t="s">
        <v>514</v>
      </c>
      <c r="F107" s="692">
        <v>49.2</v>
      </c>
      <c r="G107" s="692" t="s">
        <v>515</v>
      </c>
      <c r="H107" s="693">
        <v>50.3</v>
      </c>
      <c r="I107" s="769"/>
      <c r="J107" s="770"/>
      <c r="K107" s="771"/>
      <c r="L107" s="91"/>
      <c r="M107" s="91"/>
    </row>
    <row r="108" spans="3:13" ht="20" thickBot="1" x14ac:dyDescent="0.25">
      <c r="C108" s="91"/>
      <c r="D108" s="168"/>
      <c r="E108" s="694" t="s">
        <v>516</v>
      </c>
      <c r="F108" s="695">
        <v>50.3</v>
      </c>
      <c r="G108" s="695" t="s">
        <v>517</v>
      </c>
      <c r="H108" s="696">
        <v>47.8</v>
      </c>
      <c r="I108" s="772"/>
      <c r="J108" s="773"/>
      <c r="K108" s="774"/>
      <c r="L108" s="91"/>
      <c r="M108" s="91"/>
    </row>
    <row r="109" spans="3:13" x14ac:dyDescent="0.2">
      <c r="C109" s="91"/>
      <c r="D109" s="88" t="s">
        <v>105</v>
      </c>
      <c r="E109" s="697" t="s">
        <v>30</v>
      </c>
      <c r="F109" s="889" t="s">
        <v>518</v>
      </c>
      <c r="G109" s="890"/>
      <c r="H109" s="891"/>
      <c r="I109" s="892" t="s">
        <v>400</v>
      </c>
      <c r="J109" s="893"/>
      <c r="K109" s="894"/>
      <c r="L109" s="91"/>
      <c r="M109" s="91"/>
    </row>
    <row r="110" spans="3:13" x14ac:dyDescent="0.2">
      <c r="C110" s="91"/>
      <c r="D110" s="168"/>
      <c r="E110" s="688" t="s">
        <v>432</v>
      </c>
      <c r="F110" s="895"/>
      <c r="G110" s="896"/>
      <c r="H110" s="897"/>
      <c r="I110" s="769"/>
      <c r="J110" s="770"/>
      <c r="K110" s="771"/>
      <c r="L110" s="91"/>
      <c r="M110" s="91"/>
    </row>
    <row r="111" spans="3:13" x14ac:dyDescent="0.2">
      <c r="C111" s="91"/>
      <c r="D111" s="168"/>
      <c r="E111" s="688" t="s">
        <v>433</v>
      </c>
      <c r="F111" s="877">
        <v>53.7</v>
      </c>
      <c r="G111" s="878"/>
      <c r="H111" s="879"/>
      <c r="I111" s="769"/>
      <c r="J111" s="770"/>
      <c r="K111" s="771"/>
      <c r="L111" s="91"/>
      <c r="M111" s="91"/>
    </row>
    <row r="112" spans="3:13" x14ac:dyDescent="0.2">
      <c r="C112" s="91"/>
      <c r="D112" s="168"/>
      <c r="E112" s="688" t="s">
        <v>434</v>
      </c>
      <c r="F112" s="877">
        <v>54</v>
      </c>
      <c r="G112" s="878"/>
      <c r="H112" s="879"/>
      <c r="I112" s="769"/>
      <c r="J112" s="770"/>
      <c r="K112" s="771"/>
      <c r="L112" s="92"/>
      <c r="M112" s="91"/>
    </row>
    <row r="113" spans="3:13" ht="20" thickBot="1" x14ac:dyDescent="0.25">
      <c r="C113" s="91"/>
      <c r="D113" s="168"/>
      <c r="E113" s="689" t="s">
        <v>435</v>
      </c>
      <c r="F113" s="871">
        <v>0.58333333333333337</v>
      </c>
      <c r="G113" s="872"/>
      <c r="H113" s="873"/>
      <c r="I113" s="769"/>
      <c r="J113" s="770"/>
      <c r="K113" s="771"/>
      <c r="L113" s="92">
        <f>F113+TIME(5,30,0)</f>
        <v>0.8125</v>
      </c>
      <c r="M113" s="92">
        <f>L113-TIME(2,30,0)</f>
        <v>0.70833333333333337</v>
      </c>
    </row>
    <row r="114" spans="3:13" ht="20" thickBot="1" x14ac:dyDescent="0.25">
      <c r="C114" s="91"/>
      <c r="D114" s="168"/>
      <c r="E114" s="690" t="s">
        <v>436</v>
      </c>
      <c r="F114" s="293" t="s">
        <v>29</v>
      </c>
      <c r="G114" s="293" t="s">
        <v>28</v>
      </c>
      <c r="H114" s="294" t="s">
        <v>27</v>
      </c>
      <c r="I114" s="769"/>
      <c r="J114" s="770"/>
      <c r="K114" s="771"/>
      <c r="L114" s="91"/>
      <c r="M114" s="91"/>
    </row>
    <row r="115" spans="3:13" x14ac:dyDescent="0.2">
      <c r="C115" s="91"/>
      <c r="D115" s="168"/>
      <c r="E115" s="691" t="s">
        <v>501</v>
      </c>
      <c r="F115" s="362">
        <v>54</v>
      </c>
      <c r="G115" s="362" t="s">
        <v>519</v>
      </c>
      <c r="H115" s="701">
        <v>52.9</v>
      </c>
      <c r="I115" s="769"/>
      <c r="J115" s="770"/>
      <c r="K115" s="771"/>
      <c r="L115" s="91"/>
      <c r="M115" s="91"/>
    </row>
    <row r="116" spans="3:13" x14ac:dyDescent="0.2">
      <c r="C116" s="91"/>
      <c r="D116" s="168"/>
      <c r="E116" s="691" t="s">
        <v>504</v>
      </c>
      <c r="F116" s="362">
        <v>52.9</v>
      </c>
      <c r="G116" s="362" t="s">
        <v>520</v>
      </c>
      <c r="H116" s="701">
        <v>52.1</v>
      </c>
      <c r="I116" s="769"/>
      <c r="J116" s="770"/>
      <c r="K116" s="771"/>
      <c r="L116" s="91"/>
      <c r="M116" s="91"/>
    </row>
    <row r="117" spans="3:13" x14ac:dyDescent="0.2">
      <c r="C117" s="91"/>
      <c r="D117" s="168"/>
      <c r="E117" s="691" t="s">
        <v>507</v>
      </c>
      <c r="F117" s="362">
        <v>52.1</v>
      </c>
      <c r="G117" s="362" t="s">
        <v>521</v>
      </c>
      <c r="H117" s="701">
        <v>57</v>
      </c>
      <c r="I117" s="769"/>
      <c r="J117" s="770"/>
      <c r="K117" s="771"/>
      <c r="L117" s="91"/>
      <c r="M117" s="91"/>
    </row>
    <row r="118" spans="3:13" x14ac:dyDescent="0.2">
      <c r="C118" s="91"/>
      <c r="D118" s="168"/>
      <c r="E118" s="691" t="s">
        <v>512</v>
      </c>
      <c r="F118" s="362">
        <v>57</v>
      </c>
      <c r="G118" s="362" t="s">
        <v>522</v>
      </c>
      <c r="H118" s="701">
        <v>60.9</v>
      </c>
      <c r="I118" s="769"/>
      <c r="J118" s="770"/>
      <c r="K118" s="771"/>
      <c r="L118" s="91"/>
      <c r="M118" s="91"/>
    </row>
    <row r="119" spans="3:13" x14ac:dyDescent="0.2">
      <c r="C119" s="91"/>
      <c r="D119" s="168"/>
      <c r="E119" s="691" t="s">
        <v>514</v>
      </c>
      <c r="F119" s="362">
        <v>60.9</v>
      </c>
      <c r="G119" s="362" t="s">
        <v>523</v>
      </c>
      <c r="H119" s="701">
        <v>55.8</v>
      </c>
      <c r="I119" s="769"/>
      <c r="J119" s="770"/>
      <c r="K119" s="771"/>
      <c r="L119" s="91"/>
      <c r="M119" s="91"/>
    </row>
    <row r="120" spans="3:13" ht="20" thickBot="1" x14ac:dyDescent="0.25">
      <c r="C120" s="91"/>
      <c r="D120" s="168"/>
      <c r="E120" s="694" t="s">
        <v>516</v>
      </c>
      <c r="F120" s="702">
        <v>55.8</v>
      </c>
      <c r="G120" s="702" t="s">
        <v>524</v>
      </c>
      <c r="H120" s="703">
        <v>52.5</v>
      </c>
      <c r="I120" s="772"/>
      <c r="J120" s="773"/>
      <c r="K120" s="774"/>
      <c r="L120" s="91"/>
      <c r="M120" s="91"/>
    </row>
    <row r="121" spans="3:13" x14ac:dyDescent="0.2">
      <c r="C121" s="91"/>
      <c r="D121" s="88" t="s">
        <v>105</v>
      </c>
      <c r="E121" s="697" t="s">
        <v>30</v>
      </c>
      <c r="F121" s="889" t="s">
        <v>525</v>
      </c>
      <c r="G121" s="890"/>
      <c r="H121" s="891"/>
      <c r="I121" s="892" t="s">
        <v>404</v>
      </c>
      <c r="J121" s="893"/>
      <c r="K121" s="894"/>
      <c r="L121" s="91"/>
      <c r="M121" s="91"/>
    </row>
    <row r="122" spans="3:13" x14ac:dyDescent="0.2">
      <c r="C122" s="91"/>
      <c r="D122" s="168"/>
      <c r="E122" s="688" t="s">
        <v>432</v>
      </c>
      <c r="F122" s="895"/>
      <c r="G122" s="896"/>
      <c r="H122" s="897"/>
      <c r="I122" s="769"/>
      <c r="J122" s="770"/>
      <c r="K122" s="771"/>
      <c r="L122" s="91"/>
      <c r="M122" s="91"/>
    </row>
    <row r="123" spans="3:13" x14ac:dyDescent="0.2">
      <c r="C123" s="91"/>
      <c r="D123" s="168"/>
      <c r="E123" s="688" t="s">
        <v>433</v>
      </c>
      <c r="F123" s="877" t="s">
        <v>402</v>
      </c>
      <c r="G123" s="878"/>
      <c r="H123" s="879"/>
      <c r="I123" s="769"/>
      <c r="J123" s="770"/>
      <c r="K123" s="771"/>
      <c r="L123" s="91"/>
      <c r="M123" s="91"/>
    </row>
    <row r="124" spans="3:13" x14ac:dyDescent="0.2">
      <c r="C124" s="91"/>
      <c r="D124" s="168"/>
      <c r="E124" s="688" t="s">
        <v>434</v>
      </c>
      <c r="F124" s="877" t="s">
        <v>403</v>
      </c>
      <c r="G124" s="878"/>
      <c r="H124" s="879"/>
      <c r="I124" s="769"/>
      <c r="J124" s="770"/>
      <c r="K124" s="771"/>
      <c r="L124" s="92"/>
      <c r="M124" s="91"/>
    </row>
    <row r="125" spans="3:13" ht="20" thickBot="1" x14ac:dyDescent="0.25">
      <c r="C125" s="91"/>
      <c r="D125" s="168"/>
      <c r="E125" s="689" t="s">
        <v>435</v>
      </c>
      <c r="F125" s="871">
        <v>0.58333333333333337</v>
      </c>
      <c r="G125" s="872"/>
      <c r="H125" s="873"/>
      <c r="I125" s="769"/>
      <c r="J125" s="770"/>
      <c r="K125" s="771"/>
      <c r="L125" s="92">
        <f>F125+TIME(5,30,0)</f>
        <v>0.8125</v>
      </c>
      <c r="M125" s="92">
        <f>L125-TIME(2,30,0)</f>
        <v>0.70833333333333337</v>
      </c>
    </row>
    <row r="126" spans="3:13" ht="20" thickBot="1" x14ac:dyDescent="0.25">
      <c r="C126" s="91"/>
      <c r="D126" s="168"/>
      <c r="E126" s="690" t="s">
        <v>436</v>
      </c>
      <c r="F126" s="293" t="s">
        <v>29</v>
      </c>
      <c r="G126" s="293" t="s">
        <v>28</v>
      </c>
      <c r="H126" s="294" t="s">
        <v>27</v>
      </c>
      <c r="I126" s="769"/>
      <c r="J126" s="770"/>
      <c r="K126" s="771"/>
      <c r="L126" s="91"/>
      <c r="M126" s="91"/>
    </row>
    <row r="127" spans="3:13" x14ac:dyDescent="0.2">
      <c r="C127" s="91"/>
      <c r="D127" s="168"/>
      <c r="E127" s="691" t="s">
        <v>526</v>
      </c>
      <c r="F127" s="692" t="s">
        <v>403</v>
      </c>
      <c r="G127" s="692" t="s">
        <v>527</v>
      </c>
      <c r="H127" s="693" t="s">
        <v>528</v>
      </c>
      <c r="I127" s="769"/>
      <c r="J127" s="770"/>
      <c r="K127" s="771"/>
      <c r="L127" s="91"/>
      <c r="M127" s="91"/>
    </row>
    <row r="128" spans="3:13" x14ac:dyDescent="0.2">
      <c r="C128" s="91"/>
      <c r="D128" s="168"/>
      <c r="E128" s="691" t="s">
        <v>529</v>
      </c>
      <c r="F128" s="692" t="s">
        <v>279</v>
      </c>
      <c r="G128" s="692" t="s">
        <v>530</v>
      </c>
      <c r="H128" s="693" t="s">
        <v>531</v>
      </c>
      <c r="I128" s="769"/>
      <c r="J128" s="770"/>
      <c r="K128" s="771"/>
      <c r="L128" s="91"/>
      <c r="M128" s="91"/>
    </row>
    <row r="129" spans="3:13" x14ac:dyDescent="0.2">
      <c r="C129" s="91"/>
      <c r="D129" s="168"/>
      <c r="E129" s="691" t="s">
        <v>482</v>
      </c>
      <c r="F129" s="692" t="s">
        <v>111</v>
      </c>
      <c r="G129" s="692" t="s">
        <v>532</v>
      </c>
      <c r="H129" s="693" t="s">
        <v>533</v>
      </c>
      <c r="I129" s="769"/>
      <c r="J129" s="770"/>
      <c r="K129" s="771"/>
      <c r="L129" s="91"/>
      <c r="M129" s="91"/>
    </row>
    <row r="130" spans="3:13" x14ac:dyDescent="0.2">
      <c r="C130" s="91"/>
      <c r="D130" s="168"/>
      <c r="E130" s="691" t="s">
        <v>534</v>
      </c>
      <c r="F130" s="692" t="s">
        <v>18</v>
      </c>
      <c r="G130" s="692" t="s">
        <v>535</v>
      </c>
      <c r="H130" s="693" t="s">
        <v>536</v>
      </c>
      <c r="I130" s="769"/>
      <c r="J130" s="770"/>
      <c r="K130" s="771"/>
      <c r="L130" s="91"/>
      <c r="M130" s="91"/>
    </row>
    <row r="131" spans="3:13" x14ac:dyDescent="0.2">
      <c r="C131" s="91"/>
      <c r="D131" s="168"/>
      <c r="E131" s="691" t="s">
        <v>514</v>
      </c>
      <c r="F131" s="692" t="s">
        <v>537</v>
      </c>
      <c r="G131" s="692" t="s">
        <v>538</v>
      </c>
      <c r="H131" s="693" t="s">
        <v>539</v>
      </c>
      <c r="I131" s="769"/>
      <c r="J131" s="770"/>
      <c r="K131" s="771"/>
      <c r="L131" s="91"/>
      <c r="M131" s="91"/>
    </row>
    <row r="132" spans="3:13" ht="20" thickBot="1" x14ac:dyDescent="0.25">
      <c r="C132" s="91"/>
      <c r="D132" s="168"/>
      <c r="E132" s="694" t="s">
        <v>540</v>
      </c>
      <c r="F132" s="695" t="s">
        <v>541</v>
      </c>
      <c r="G132" s="695" t="s">
        <v>542</v>
      </c>
      <c r="H132" s="696" t="s">
        <v>543</v>
      </c>
      <c r="I132" s="772"/>
      <c r="J132" s="773"/>
      <c r="K132" s="774"/>
      <c r="L132" s="91"/>
      <c r="M132" s="91"/>
    </row>
    <row r="133" spans="3:13" x14ac:dyDescent="0.2">
      <c r="C133" s="91"/>
      <c r="D133" s="88" t="s">
        <v>105</v>
      </c>
      <c r="E133" s="697" t="s">
        <v>30</v>
      </c>
      <c r="F133" s="889" t="s">
        <v>544</v>
      </c>
      <c r="G133" s="890"/>
      <c r="H133" s="891"/>
      <c r="I133" s="892" t="s">
        <v>408</v>
      </c>
      <c r="J133" s="893"/>
      <c r="K133" s="894"/>
      <c r="L133" s="91"/>
      <c r="M133" s="91"/>
    </row>
    <row r="134" spans="3:13" x14ac:dyDescent="0.2">
      <c r="C134" s="91"/>
      <c r="D134" s="168"/>
      <c r="E134" s="688" t="s">
        <v>432</v>
      </c>
      <c r="F134" s="895"/>
      <c r="G134" s="896"/>
      <c r="H134" s="897"/>
      <c r="I134" s="769"/>
      <c r="J134" s="770"/>
      <c r="K134" s="771"/>
      <c r="L134" s="91"/>
      <c r="M134" s="91"/>
    </row>
    <row r="135" spans="3:13" x14ac:dyDescent="0.2">
      <c r="C135" s="91"/>
      <c r="D135" s="168"/>
      <c r="E135" s="688" t="s">
        <v>433</v>
      </c>
      <c r="F135" s="877" t="s">
        <v>406</v>
      </c>
      <c r="G135" s="878"/>
      <c r="H135" s="879"/>
      <c r="I135" s="769"/>
      <c r="J135" s="770"/>
      <c r="K135" s="771"/>
      <c r="L135" s="91"/>
      <c r="M135" s="91"/>
    </row>
    <row r="136" spans="3:13" x14ac:dyDescent="0.2">
      <c r="C136" s="91"/>
      <c r="D136" s="168"/>
      <c r="E136" s="688" t="s">
        <v>434</v>
      </c>
      <c r="F136" s="877" t="s">
        <v>407</v>
      </c>
      <c r="G136" s="878"/>
      <c r="H136" s="879"/>
      <c r="I136" s="769"/>
      <c r="J136" s="770"/>
      <c r="K136" s="771"/>
      <c r="L136" s="92"/>
      <c r="M136" s="91"/>
    </row>
    <row r="137" spans="3:13" ht="20" thickBot="1" x14ac:dyDescent="0.25">
      <c r="C137" s="91"/>
      <c r="D137" s="168"/>
      <c r="E137" s="689" t="s">
        <v>435</v>
      </c>
      <c r="F137" s="871">
        <v>0.51041666666666663</v>
      </c>
      <c r="G137" s="872"/>
      <c r="H137" s="873"/>
      <c r="I137" s="769"/>
      <c r="J137" s="770"/>
      <c r="K137" s="771"/>
      <c r="L137" s="92">
        <f>F137+TIME(5,30,0)</f>
        <v>0.73958333333333326</v>
      </c>
      <c r="M137" s="92">
        <f>L137-TIME(2,30,0)</f>
        <v>0.63541666666666663</v>
      </c>
    </row>
    <row r="138" spans="3:13" ht="20" thickBot="1" x14ac:dyDescent="0.25">
      <c r="C138" s="91"/>
      <c r="D138" s="168"/>
      <c r="E138" s="690" t="s">
        <v>436</v>
      </c>
      <c r="F138" s="293" t="s">
        <v>29</v>
      </c>
      <c r="G138" s="293" t="s">
        <v>28</v>
      </c>
      <c r="H138" s="294" t="s">
        <v>27</v>
      </c>
      <c r="I138" s="769"/>
      <c r="J138" s="770"/>
      <c r="K138" s="771"/>
      <c r="L138" s="91"/>
      <c r="M138" s="91"/>
    </row>
    <row r="139" spans="3:13" x14ac:dyDescent="0.2">
      <c r="C139" s="91"/>
      <c r="D139" s="168"/>
      <c r="E139" s="691" t="s">
        <v>545</v>
      </c>
      <c r="F139" s="692" t="s">
        <v>407</v>
      </c>
      <c r="G139" s="692" t="s">
        <v>546</v>
      </c>
      <c r="H139" s="693" t="s">
        <v>547</v>
      </c>
      <c r="I139" s="769"/>
      <c r="J139" s="770"/>
      <c r="K139" s="771"/>
      <c r="L139" s="91"/>
      <c r="M139" s="91"/>
    </row>
    <row r="140" spans="3:13" x14ac:dyDescent="0.2">
      <c r="C140" s="91"/>
      <c r="D140" s="168"/>
      <c r="E140" s="691" t="s">
        <v>439</v>
      </c>
      <c r="F140" s="692" t="s">
        <v>282</v>
      </c>
      <c r="G140" s="692" t="s">
        <v>548</v>
      </c>
      <c r="H140" s="693" t="s">
        <v>292</v>
      </c>
      <c r="I140" s="769"/>
      <c r="J140" s="770"/>
      <c r="K140" s="771"/>
      <c r="L140" s="91"/>
      <c r="M140" s="91"/>
    </row>
    <row r="141" spans="3:13" x14ac:dyDescent="0.2">
      <c r="C141" s="91"/>
      <c r="D141" s="168"/>
      <c r="E141" s="691" t="s">
        <v>549</v>
      </c>
      <c r="F141" s="692" t="s">
        <v>122</v>
      </c>
      <c r="G141" s="692" t="s">
        <v>550</v>
      </c>
      <c r="H141" s="693" t="s">
        <v>551</v>
      </c>
      <c r="I141" s="769"/>
      <c r="J141" s="770"/>
      <c r="K141" s="771"/>
      <c r="L141" s="91"/>
      <c r="M141" s="91"/>
    </row>
    <row r="142" spans="3:13" x14ac:dyDescent="0.2">
      <c r="C142" s="91"/>
      <c r="D142" s="168"/>
      <c r="E142" s="691" t="s">
        <v>552</v>
      </c>
      <c r="F142" s="692" t="s">
        <v>15</v>
      </c>
      <c r="G142" s="692" t="s">
        <v>553</v>
      </c>
      <c r="H142" s="693" t="s">
        <v>554</v>
      </c>
      <c r="I142" s="769"/>
      <c r="J142" s="770"/>
      <c r="K142" s="771"/>
      <c r="L142" s="91"/>
      <c r="M142" s="91"/>
    </row>
    <row r="143" spans="3:13" x14ac:dyDescent="0.2">
      <c r="C143" s="91"/>
      <c r="D143" s="168"/>
      <c r="E143" s="691" t="s">
        <v>514</v>
      </c>
      <c r="F143" s="692" t="s">
        <v>555</v>
      </c>
      <c r="G143" s="692" t="s">
        <v>556</v>
      </c>
      <c r="H143" s="693" t="s">
        <v>557</v>
      </c>
      <c r="I143" s="769"/>
      <c r="J143" s="770"/>
      <c r="K143" s="771"/>
      <c r="L143" s="91"/>
      <c r="M143" s="91"/>
    </row>
    <row r="144" spans="3:13" ht="20" thickBot="1" x14ac:dyDescent="0.25">
      <c r="C144" s="91"/>
      <c r="D144" s="168"/>
      <c r="E144" s="694" t="s">
        <v>558</v>
      </c>
      <c r="F144" s="695" t="s">
        <v>559</v>
      </c>
      <c r="G144" s="695" t="s">
        <v>560</v>
      </c>
      <c r="H144" s="696" t="s">
        <v>292</v>
      </c>
      <c r="I144" s="772"/>
      <c r="J144" s="773"/>
      <c r="K144" s="774"/>
      <c r="L144" s="91"/>
      <c r="M144" s="91"/>
    </row>
    <row r="145" spans="3:13" x14ac:dyDescent="0.2">
      <c r="C145" s="91"/>
      <c r="D145" s="88" t="s">
        <v>105</v>
      </c>
      <c r="E145" s="697" t="s">
        <v>30</v>
      </c>
      <c r="F145" s="889" t="s">
        <v>561</v>
      </c>
      <c r="G145" s="890"/>
      <c r="H145" s="891"/>
      <c r="I145" s="892" t="s">
        <v>562</v>
      </c>
      <c r="J145" s="893"/>
      <c r="K145" s="894"/>
      <c r="L145" s="91"/>
      <c r="M145" s="91"/>
    </row>
    <row r="146" spans="3:13" x14ac:dyDescent="0.2">
      <c r="C146" s="91"/>
      <c r="D146" s="168"/>
      <c r="E146" s="688" t="s">
        <v>432</v>
      </c>
      <c r="F146" s="895"/>
      <c r="G146" s="896"/>
      <c r="H146" s="897"/>
      <c r="I146" s="769"/>
      <c r="J146" s="770"/>
      <c r="K146" s="771"/>
      <c r="L146" s="91"/>
      <c r="M146" s="91"/>
    </row>
    <row r="147" spans="3:13" x14ac:dyDescent="0.2">
      <c r="C147" s="91"/>
      <c r="D147" s="168"/>
      <c r="E147" s="688" t="s">
        <v>433</v>
      </c>
      <c r="F147" s="877"/>
      <c r="G147" s="878"/>
      <c r="H147" s="879"/>
      <c r="I147" s="769"/>
      <c r="J147" s="770"/>
      <c r="K147" s="771"/>
      <c r="L147" s="91"/>
      <c r="M147" s="91"/>
    </row>
    <row r="148" spans="3:13" x14ac:dyDescent="0.2">
      <c r="C148" s="91"/>
      <c r="D148" s="168"/>
      <c r="E148" s="688" t="s">
        <v>434</v>
      </c>
      <c r="F148" s="877" t="s">
        <v>380</v>
      </c>
      <c r="G148" s="878"/>
      <c r="H148" s="879"/>
      <c r="I148" s="769"/>
      <c r="J148" s="770"/>
      <c r="K148" s="771"/>
      <c r="L148" s="92"/>
      <c r="M148" s="91"/>
    </row>
    <row r="149" spans="3:13" ht="20" thickBot="1" x14ac:dyDescent="0.25">
      <c r="C149" s="91"/>
      <c r="D149" s="168"/>
      <c r="E149" s="689" t="s">
        <v>435</v>
      </c>
      <c r="F149" s="871">
        <v>0.60416666666666663</v>
      </c>
      <c r="G149" s="872"/>
      <c r="H149" s="873"/>
      <c r="I149" s="769"/>
      <c r="J149" s="770"/>
      <c r="K149" s="771"/>
      <c r="L149" s="92">
        <f>F149+TIME(5,30,0)</f>
        <v>0.83333333333333326</v>
      </c>
      <c r="M149" s="92">
        <f>L149-TIME(2,30,0)</f>
        <v>0.72916666666666663</v>
      </c>
    </row>
    <row r="150" spans="3:13" ht="20" thickBot="1" x14ac:dyDescent="0.25">
      <c r="C150" s="91"/>
      <c r="D150" s="168"/>
      <c r="E150" s="690" t="s">
        <v>436</v>
      </c>
      <c r="F150" s="293" t="s">
        <v>29</v>
      </c>
      <c r="G150" s="293" t="s">
        <v>28</v>
      </c>
      <c r="H150" s="294" t="s">
        <v>27</v>
      </c>
      <c r="I150" s="769"/>
      <c r="J150" s="770"/>
      <c r="K150" s="771"/>
      <c r="L150" s="91"/>
      <c r="M150" s="91"/>
    </row>
    <row r="151" spans="3:13" x14ac:dyDescent="0.2">
      <c r="C151" s="91"/>
      <c r="D151" s="168"/>
      <c r="E151" s="691" t="s">
        <v>563</v>
      </c>
      <c r="F151" s="692" t="s">
        <v>380</v>
      </c>
      <c r="G151" s="692" t="s">
        <v>564</v>
      </c>
      <c r="H151" s="693" t="s">
        <v>337</v>
      </c>
      <c r="I151" s="769"/>
      <c r="J151" s="770"/>
      <c r="K151" s="771"/>
      <c r="L151" s="91"/>
      <c r="M151" s="91"/>
    </row>
    <row r="152" spans="3:13" x14ac:dyDescent="0.2">
      <c r="C152" s="91"/>
      <c r="D152" s="168"/>
      <c r="E152" s="691" t="s">
        <v>489</v>
      </c>
      <c r="F152" s="692" t="s">
        <v>337</v>
      </c>
      <c r="G152" s="692" t="s">
        <v>565</v>
      </c>
      <c r="H152" s="693" t="s">
        <v>339</v>
      </c>
      <c r="I152" s="769"/>
      <c r="J152" s="770"/>
      <c r="K152" s="771"/>
      <c r="L152" s="91"/>
      <c r="M152" s="91"/>
    </row>
    <row r="153" spans="3:13" x14ac:dyDescent="0.2">
      <c r="C153" s="91"/>
      <c r="D153" s="168"/>
      <c r="E153" s="691" t="s">
        <v>566</v>
      </c>
      <c r="F153" s="692" t="s">
        <v>339</v>
      </c>
      <c r="G153" s="692" t="s">
        <v>567</v>
      </c>
      <c r="H153" s="693" t="s">
        <v>312</v>
      </c>
      <c r="I153" s="769"/>
      <c r="J153" s="770"/>
      <c r="K153" s="771"/>
      <c r="L153" s="91"/>
      <c r="M153" s="91"/>
    </row>
    <row r="154" spans="3:13" x14ac:dyDescent="0.2">
      <c r="C154" s="91"/>
      <c r="D154" s="168"/>
      <c r="E154" s="691" t="s">
        <v>545</v>
      </c>
      <c r="F154" s="692" t="s">
        <v>312</v>
      </c>
      <c r="G154" s="692" t="s">
        <v>568</v>
      </c>
      <c r="H154" s="693" t="s">
        <v>267</v>
      </c>
      <c r="I154" s="769"/>
      <c r="J154" s="770"/>
      <c r="K154" s="771"/>
      <c r="L154" s="91"/>
      <c r="M154" s="91"/>
    </row>
    <row r="155" spans="3:13" x14ac:dyDescent="0.2">
      <c r="C155" s="91"/>
      <c r="D155" s="168"/>
      <c r="E155" s="691" t="s">
        <v>569</v>
      </c>
      <c r="F155" s="692" t="s">
        <v>267</v>
      </c>
      <c r="G155" s="692" t="s">
        <v>570</v>
      </c>
      <c r="H155" s="693" t="s">
        <v>218</v>
      </c>
      <c r="I155" s="769"/>
      <c r="J155" s="770"/>
      <c r="K155" s="771"/>
      <c r="L155" s="91"/>
      <c r="M155" s="91"/>
    </row>
    <row r="156" spans="3:13" ht="20" thickBot="1" x14ac:dyDescent="0.25">
      <c r="C156" s="91"/>
      <c r="D156" s="168"/>
      <c r="E156" s="694" t="s">
        <v>571</v>
      </c>
      <c r="F156" s="695" t="s">
        <v>218</v>
      </c>
      <c r="G156" s="695" t="s">
        <v>572</v>
      </c>
      <c r="H156" s="696" t="s">
        <v>220</v>
      </c>
      <c r="I156" s="772"/>
      <c r="J156" s="773"/>
      <c r="K156" s="774"/>
      <c r="L156" s="91"/>
      <c r="M156" s="91"/>
    </row>
    <row r="157" spans="3:13" x14ac:dyDescent="0.2">
      <c r="C157" s="91"/>
      <c r="D157" s="88" t="s">
        <v>105</v>
      </c>
      <c r="E157" s="697" t="s">
        <v>30</v>
      </c>
      <c r="F157" s="889" t="s">
        <v>573</v>
      </c>
      <c r="G157" s="890"/>
      <c r="H157" s="891"/>
      <c r="I157" s="892" t="s">
        <v>414</v>
      </c>
      <c r="J157" s="893"/>
      <c r="K157" s="894"/>
      <c r="L157" s="91"/>
      <c r="M157" s="91"/>
    </row>
    <row r="158" spans="3:13" x14ac:dyDescent="0.2">
      <c r="C158" s="91"/>
      <c r="D158" s="168"/>
      <c r="E158" s="688" t="s">
        <v>432</v>
      </c>
      <c r="F158" s="895"/>
      <c r="G158" s="896"/>
      <c r="H158" s="897"/>
      <c r="I158" s="769"/>
      <c r="J158" s="770"/>
      <c r="K158" s="771"/>
      <c r="L158" s="91"/>
      <c r="M158" s="91"/>
    </row>
    <row r="159" spans="3:13" x14ac:dyDescent="0.2">
      <c r="C159" s="91"/>
      <c r="D159" s="168"/>
      <c r="E159" s="688" t="s">
        <v>433</v>
      </c>
      <c r="F159" s="877" t="s">
        <v>413</v>
      </c>
      <c r="G159" s="878"/>
      <c r="H159" s="879"/>
      <c r="I159" s="769"/>
      <c r="J159" s="770"/>
      <c r="K159" s="771"/>
      <c r="L159" s="91"/>
      <c r="M159" s="91"/>
    </row>
    <row r="160" spans="3:13" x14ac:dyDescent="0.2">
      <c r="C160" s="91"/>
      <c r="D160" s="168"/>
      <c r="E160" s="688" t="s">
        <v>434</v>
      </c>
      <c r="F160" s="877" t="s">
        <v>382</v>
      </c>
      <c r="G160" s="878"/>
      <c r="H160" s="879"/>
      <c r="I160" s="769"/>
      <c r="J160" s="770"/>
      <c r="K160" s="771"/>
      <c r="L160" s="91"/>
      <c r="M160" s="91"/>
    </row>
    <row r="161" spans="3:13" ht="20" thickBot="1" x14ac:dyDescent="0.25">
      <c r="C161" s="91"/>
      <c r="D161" s="168"/>
      <c r="E161" s="689" t="s">
        <v>435</v>
      </c>
      <c r="F161" s="871">
        <v>0.52083333333333337</v>
      </c>
      <c r="G161" s="872"/>
      <c r="H161" s="873"/>
      <c r="I161" s="769"/>
      <c r="J161" s="770"/>
      <c r="K161" s="771"/>
      <c r="L161" s="92">
        <f>F161+TIME(5,30,0)</f>
        <v>0.75</v>
      </c>
      <c r="M161" s="92">
        <f>L161-TIME(2,30,0)</f>
        <v>0.64583333333333337</v>
      </c>
    </row>
    <row r="162" spans="3:13" ht="20" thickBot="1" x14ac:dyDescent="0.25">
      <c r="C162" s="91"/>
      <c r="D162" s="168"/>
      <c r="E162" s="690" t="s">
        <v>436</v>
      </c>
      <c r="F162" s="293" t="s">
        <v>29</v>
      </c>
      <c r="G162" s="293" t="s">
        <v>28</v>
      </c>
      <c r="H162" s="294" t="s">
        <v>27</v>
      </c>
      <c r="I162" s="769"/>
      <c r="J162" s="770"/>
      <c r="K162" s="771"/>
      <c r="L162" s="91"/>
      <c r="M162" s="91"/>
    </row>
    <row r="163" spans="3:13" x14ac:dyDescent="0.2">
      <c r="C163" s="91"/>
      <c r="D163" s="168"/>
      <c r="E163" s="691" t="s">
        <v>479</v>
      </c>
      <c r="F163" s="692" t="s">
        <v>382</v>
      </c>
      <c r="G163" s="692" t="s">
        <v>574</v>
      </c>
      <c r="H163" s="693" t="s">
        <v>72</v>
      </c>
      <c r="I163" s="769"/>
      <c r="J163" s="770"/>
      <c r="K163" s="771"/>
      <c r="L163" s="91"/>
      <c r="M163" s="91"/>
    </row>
    <row r="164" spans="3:13" x14ac:dyDescent="0.2">
      <c r="C164" s="91"/>
      <c r="D164" s="168"/>
      <c r="E164" s="691" t="s">
        <v>575</v>
      </c>
      <c r="F164" s="692" t="s">
        <v>345</v>
      </c>
      <c r="G164" s="692" t="s">
        <v>576</v>
      </c>
      <c r="H164" s="693" t="s">
        <v>268</v>
      </c>
      <c r="I164" s="769"/>
      <c r="J164" s="770"/>
      <c r="K164" s="771"/>
      <c r="L164" s="91"/>
      <c r="M164" s="91"/>
    </row>
    <row r="165" spans="3:13" x14ac:dyDescent="0.2">
      <c r="C165" s="91"/>
      <c r="D165" s="168"/>
      <c r="E165" s="691" t="s">
        <v>577</v>
      </c>
      <c r="F165" s="692" t="s">
        <v>330</v>
      </c>
      <c r="G165" s="692" t="s">
        <v>578</v>
      </c>
      <c r="H165" s="693" t="s">
        <v>579</v>
      </c>
      <c r="I165" s="769"/>
      <c r="J165" s="770"/>
      <c r="K165" s="771"/>
      <c r="L165" s="91"/>
      <c r="M165" s="91"/>
    </row>
    <row r="166" spans="3:13" x14ac:dyDescent="0.2">
      <c r="C166" s="91"/>
      <c r="D166" s="168"/>
      <c r="E166" s="691" t="s">
        <v>545</v>
      </c>
      <c r="F166" s="692" t="s">
        <v>209</v>
      </c>
      <c r="G166" s="692" t="s">
        <v>580</v>
      </c>
      <c r="H166" s="693" t="s">
        <v>223</v>
      </c>
      <c r="I166" s="769"/>
      <c r="J166" s="770"/>
      <c r="K166" s="771"/>
      <c r="L166" s="91"/>
      <c r="M166" s="91"/>
    </row>
    <row r="167" spans="3:13" x14ac:dyDescent="0.2">
      <c r="C167" s="91"/>
      <c r="D167" s="168"/>
      <c r="E167" s="691" t="s">
        <v>581</v>
      </c>
      <c r="F167" s="692" t="s">
        <v>268</v>
      </c>
      <c r="G167" s="692" t="s">
        <v>582</v>
      </c>
      <c r="H167" s="693" t="s">
        <v>13</v>
      </c>
      <c r="I167" s="769"/>
      <c r="J167" s="770"/>
      <c r="K167" s="771"/>
      <c r="L167" s="91"/>
      <c r="M167" s="91"/>
    </row>
    <row r="168" spans="3:13" ht="20" thickBot="1" x14ac:dyDescent="0.25">
      <c r="C168" s="91"/>
      <c r="D168" s="168"/>
      <c r="E168" s="694" t="s">
        <v>583</v>
      </c>
      <c r="F168" s="695" t="s">
        <v>223</v>
      </c>
      <c r="G168" s="695" t="s">
        <v>582</v>
      </c>
      <c r="H168" s="696" t="s">
        <v>579</v>
      </c>
      <c r="I168" s="772"/>
      <c r="J168" s="773"/>
      <c r="K168" s="774"/>
      <c r="L168" s="91"/>
      <c r="M168" s="91"/>
    </row>
    <row r="169" spans="3:13" x14ac:dyDescent="0.2">
      <c r="C169" s="91"/>
      <c r="D169" s="88" t="s">
        <v>105</v>
      </c>
      <c r="E169" s="697" t="s">
        <v>30</v>
      </c>
      <c r="F169" s="889" t="s">
        <v>584</v>
      </c>
      <c r="G169" s="890"/>
      <c r="H169" s="891"/>
      <c r="I169" s="892" t="s">
        <v>416</v>
      </c>
      <c r="J169" s="893"/>
      <c r="K169" s="894"/>
      <c r="L169" s="91"/>
      <c r="M169" s="91"/>
    </row>
    <row r="170" spans="3:13" x14ac:dyDescent="0.2">
      <c r="C170" s="91"/>
      <c r="D170" s="168"/>
      <c r="E170" s="688" t="s">
        <v>432</v>
      </c>
      <c r="F170" s="895"/>
      <c r="G170" s="896"/>
      <c r="H170" s="897"/>
      <c r="I170" s="769"/>
      <c r="J170" s="770"/>
      <c r="K170" s="771"/>
      <c r="L170" s="91"/>
      <c r="M170" s="91"/>
    </row>
    <row r="171" spans="3:13" x14ac:dyDescent="0.2">
      <c r="C171" s="91"/>
      <c r="D171" s="168"/>
      <c r="E171" s="688" t="s">
        <v>433</v>
      </c>
      <c r="F171" s="877">
        <v>55.4</v>
      </c>
      <c r="G171" s="878"/>
      <c r="H171" s="879"/>
      <c r="I171" s="769"/>
      <c r="J171" s="770"/>
      <c r="K171" s="771"/>
      <c r="L171" s="91"/>
      <c r="M171" s="91"/>
    </row>
    <row r="172" spans="3:13" x14ac:dyDescent="0.2">
      <c r="C172" s="91"/>
      <c r="D172" s="168"/>
      <c r="E172" s="688" t="s">
        <v>434</v>
      </c>
      <c r="F172" s="877">
        <v>55.4</v>
      </c>
      <c r="G172" s="878"/>
      <c r="H172" s="879"/>
      <c r="I172" s="769"/>
      <c r="J172" s="770"/>
      <c r="K172" s="771"/>
      <c r="L172" s="91"/>
      <c r="M172" s="91"/>
    </row>
    <row r="173" spans="3:13" ht="20" thickBot="1" x14ac:dyDescent="0.25">
      <c r="C173" s="91"/>
      <c r="D173" s="168"/>
      <c r="E173" s="689" t="s">
        <v>435</v>
      </c>
      <c r="F173" s="871">
        <v>0.57291666666666663</v>
      </c>
      <c r="G173" s="872"/>
      <c r="H173" s="873"/>
      <c r="I173" s="769"/>
      <c r="J173" s="770"/>
      <c r="K173" s="771"/>
      <c r="L173" s="92">
        <f>F173+TIME(5,30,0)</f>
        <v>0.80208333333333326</v>
      </c>
      <c r="M173" s="92">
        <f>L173-TIME(2,30,0)</f>
        <v>0.69791666666666663</v>
      </c>
    </row>
    <row r="174" spans="3:13" ht="20" thickBot="1" x14ac:dyDescent="0.25">
      <c r="C174" s="91"/>
      <c r="D174" s="168"/>
      <c r="E174" s="690" t="s">
        <v>436</v>
      </c>
      <c r="F174" s="293" t="s">
        <v>29</v>
      </c>
      <c r="G174" s="293" t="s">
        <v>28</v>
      </c>
      <c r="H174" s="294" t="s">
        <v>27</v>
      </c>
      <c r="I174" s="769"/>
      <c r="J174" s="770"/>
      <c r="K174" s="771"/>
      <c r="L174" s="91"/>
      <c r="M174" s="91"/>
    </row>
    <row r="175" spans="3:13" x14ac:dyDescent="0.2">
      <c r="C175" s="91"/>
      <c r="D175" s="168"/>
      <c r="E175" s="691" t="s">
        <v>499</v>
      </c>
      <c r="F175" s="692">
        <v>55.4</v>
      </c>
      <c r="G175" s="692" t="s">
        <v>585</v>
      </c>
      <c r="H175" s="693">
        <v>55.7</v>
      </c>
      <c r="I175" s="769"/>
      <c r="J175" s="770"/>
      <c r="K175" s="771"/>
      <c r="L175" s="91"/>
      <c r="M175" s="91"/>
    </row>
    <row r="176" spans="3:13" x14ac:dyDescent="0.2">
      <c r="C176" s="91"/>
      <c r="D176" s="168"/>
      <c r="E176" s="691" t="s">
        <v>545</v>
      </c>
      <c r="F176" s="692">
        <v>55.7</v>
      </c>
      <c r="G176" s="692" t="s">
        <v>586</v>
      </c>
      <c r="H176" s="693">
        <v>55</v>
      </c>
      <c r="I176" s="769"/>
      <c r="J176" s="770"/>
      <c r="K176" s="771"/>
      <c r="L176" s="91"/>
      <c r="M176" s="91"/>
    </row>
    <row r="177" spans="3:13" x14ac:dyDescent="0.2">
      <c r="C177" s="91"/>
      <c r="D177" s="168"/>
      <c r="E177" s="691" t="s">
        <v>503</v>
      </c>
      <c r="F177" s="692">
        <v>55.2</v>
      </c>
      <c r="G177" s="692" t="s">
        <v>587</v>
      </c>
      <c r="H177" s="693">
        <v>55</v>
      </c>
      <c r="I177" s="769"/>
      <c r="J177" s="770"/>
      <c r="K177" s="771"/>
      <c r="L177" s="91"/>
      <c r="M177" s="91"/>
    </row>
    <row r="178" spans="3:13" x14ac:dyDescent="0.2">
      <c r="C178" s="91"/>
      <c r="D178" s="168"/>
      <c r="E178" s="691" t="s">
        <v>588</v>
      </c>
      <c r="F178" s="692">
        <v>55</v>
      </c>
      <c r="G178" s="692" t="s">
        <v>589</v>
      </c>
      <c r="H178" s="693">
        <v>55.3</v>
      </c>
      <c r="I178" s="769"/>
      <c r="J178" s="770"/>
      <c r="K178" s="771"/>
      <c r="L178" s="91"/>
      <c r="M178" s="91"/>
    </row>
    <row r="179" spans="3:13" x14ac:dyDescent="0.2">
      <c r="C179" s="91"/>
      <c r="D179" s="168"/>
      <c r="E179" s="691" t="s">
        <v>505</v>
      </c>
      <c r="F179" s="692">
        <v>56</v>
      </c>
      <c r="G179" s="692" t="s">
        <v>590</v>
      </c>
      <c r="H179" s="693">
        <v>55.3</v>
      </c>
      <c r="I179" s="769"/>
      <c r="J179" s="770"/>
      <c r="K179" s="771"/>
      <c r="L179" s="91"/>
      <c r="M179" s="91"/>
    </row>
    <row r="180" spans="3:13" ht="20" thickBot="1" x14ac:dyDescent="0.25">
      <c r="C180" s="91"/>
      <c r="D180" s="168"/>
      <c r="E180" s="694" t="s">
        <v>549</v>
      </c>
      <c r="F180" s="695">
        <v>55.3</v>
      </c>
      <c r="G180" s="695" t="s">
        <v>591</v>
      </c>
      <c r="H180" s="696">
        <v>54.8</v>
      </c>
      <c r="I180" s="772"/>
      <c r="J180" s="773"/>
      <c r="K180" s="774"/>
      <c r="L180" s="91"/>
      <c r="M180" s="91"/>
    </row>
    <row r="181" spans="3:13" x14ac:dyDescent="0.2">
      <c r="C181" s="91"/>
      <c r="D181" s="88" t="s">
        <v>105</v>
      </c>
      <c r="E181" s="697" t="s">
        <v>30</v>
      </c>
      <c r="F181" s="889" t="s">
        <v>592</v>
      </c>
      <c r="G181" s="890"/>
      <c r="H181" s="891"/>
      <c r="I181" s="892" t="s">
        <v>593</v>
      </c>
      <c r="J181" s="893"/>
      <c r="K181" s="894"/>
      <c r="L181" s="91"/>
      <c r="M181" s="91"/>
    </row>
    <row r="182" spans="3:13" x14ac:dyDescent="0.2">
      <c r="C182" s="91"/>
      <c r="D182" s="168"/>
      <c r="E182" s="688" t="s">
        <v>432</v>
      </c>
      <c r="F182" s="895"/>
      <c r="G182" s="896"/>
      <c r="H182" s="897"/>
      <c r="I182" s="769"/>
      <c r="J182" s="770"/>
      <c r="K182" s="771"/>
      <c r="L182" s="91"/>
      <c r="M182" s="91"/>
    </row>
    <row r="183" spans="3:13" x14ac:dyDescent="0.2">
      <c r="C183" s="91"/>
      <c r="D183" s="168"/>
      <c r="E183" s="688" t="s">
        <v>433</v>
      </c>
      <c r="F183" s="877">
        <v>51.6</v>
      </c>
      <c r="G183" s="878"/>
      <c r="H183" s="879"/>
      <c r="I183" s="769"/>
      <c r="J183" s="770"/>
      <c r="K183" s="771"/>
      <c r="L183" s="91"/>
      <c r="M183" s="91"/>
    </row>
    <row r="184" spans="3:13" x14ac:dyDescent="0.2">
      <c r="C184" s="91"/>
      <c r="D184" s="168"/>
      <c r="E184" s="688" t="s">
        <v>434</v>
      </c>
      <c r="F184" s="877">
        <v>51.5</v>
      </c>
      <c r="G184" s="878"/>
      <c r="H184" s="879"/>
      <c r="I184" s="769"/>
      <c r="J184" s="770"/>
      <c r="K184" s="771"/>
      <c r="L184" s="91"/>
      <c r="M184" s="91"/>
    </row>
    <row r="185" spans="3:13" ht="20" thickBot="1" x14ac:dyDescent="0.25">
      <c r="C185" s="91"/>
      <c r="D185" s="168"/>
      <c r="E185" s="689" t="s">
        <v>435</v>
      </c>
      <c r="F185" s="871">
        <v>0.58333333333333337</v>
      </c>
      <c r="G185" s="872"/>
      <c r="H185" s="873"/>
      <c r="I185" s="769"/>
      <c r="J185" s="770"/>
      <c r="K185" s="771"/>
      <c r="L185" s="92">
        <f>L173</f>
        <v>0.80208333333333326</v>
      </c>
      <c r="M185" s="92">
        <f>L185-TIME(2,30,0)</f>
        <v>0.69791666666666663</v>
      </c>
    </row>
    <row r="186" spans="3:13" ht="20" thickBot="1" x14ac:dyDescent="0.25">
      <c r="C186" s="91"/>
      <c r="D186" s="168"/>
      <c r="E186" s="690" t="s">
        <v>436</v>
      </c>
      <c r="F186" s="293" t="s">
        <v>29</v>
      </c>
      <c r="G186" s="293" t="s">
        <v>28</v>
      </c>
      <c r="H186" s="294" t="s">
        <v>27</v>
      </c>
      <c r="I186" s="769"/>
      <c r="J186" s="770"/>
      <c r="K186" s="771"/>
      <c r="L186" s="91"/>
      <c r="M186" s="91"/>
    </row>
    <row r="187" spans="3:13" x14ac:dyDescent="0.2">
      <c r="C187" s="91"/>
      <c r="D187" s="168"/>
      <c r="E187" s="691" t="s">
        <v>545</v>
      </c>
      <c r="F187" s="692">
        <v>51.5</v>
      </c>
      <c r="G187" s="692" t="s">
        <v>594</v>
      </c>
      <c r="H187" s="693">
        <v>51.4</v>
      </c>
      <c r="I187" s="769"/>
      <c r="J187" s="770"/>
      <c r="K187" s="771"/>
      <c r="L187" s="91"/>
      <c r="M187" s="91"/>
    </row>
    <row r="188" spans="3:13" x14ac:dyDescent="0.2">
      <c r="C188" s="91"/>
      <c r="D188" s="168"/>
      <c r="E188" s="691" t="s">
        <v>588</v>
      </c>
      <c r="F188" s="692">
        <v>51.4</v>
      </c>
      <c r="G188" s="692" t="s">
        <v>595</v>
      </c>
      <c r="H188" s="693">
        <v>48.8</v>
      </c>
      <c r="I188" s="769"/>
      <c r="J188" s="770"/>
      <c r="K188" s="771"/>
      <c r="L188" s="91"/>
      <c r="M188" s="91"/>
    </row>
    <row r="189" spans="3:13" x14ac:dyDescent="0.2">
      <c r="C189" s="91"/>
      <c r="D189" s="168"/>
      <c r="E189" s="691" t="s">
        <v>549</v>
      </c>
      <c r="F189" s="692">
        <v>48.8</v>
      </c>
      <c r="G189" s="692" t="s">
        <v>596</v>
      </c>
      <c r="H189" s="693">
        <v>53.8</v>
      </c>
      <c r="I189" s="769"/>
      <c r="J189" s="770"/>
      <c r="K189" s="771"/>
      <c r="L189" s="91"/>
      <c r="M189" s="91"/>
    </row>
    <row r="190" spans="3:13" x14ac:dyDescent="0.2">
      <c r="C190" s="91"/>
      <c r="D190" s="168"/>
      <c r="E190" s="691" t="s">
        <v>552</v>
      </c>
      <c r="F190" s="692">
        <v>53.8</v>
      </c>
      <c r="G190" s="692" t="s">
        <v>597</v>
      </c>
      <c r="H190" s="693">
        <v>49.4</v>
      </c>
      <c r="I190" s="769"/>
      <c r="J190" s="770"/>
      <c r="K190" s="771"/>
      <c r="L190" s="91"/>
      <c r="M190" s="91"/>
    </row>
    <row r="191" spans="3:13" x14ac:dyDescent="0.2">
      <c r="C191" s="91"/>
      <c r="D191" s="168"/>
      <c r="E191" s="691" t="s">
        <v>598</v>
      </c>
      <c r="F191" s="692">
        <v>49.4</v>
      </c>
      <c r="G191" s="692" t="s">
        <v>599</v>
      </c>
      <c r="H191" s="693">
        <v>51.4</v>
      </c>
      <c r="I191" s="769"/>
      <c r="J191" s="770"/>
      <c r="K191" s="771"/>
      <c r="L191" s="91"/>
      <c r="M191" s="91"/>
    </row>
    <row r="192" spans="3:13" ht="20" thickBot="1" x14ac:dyDescent="0.25">
      <c r="C192" s="91"/>
      <c r="D192" s="168"/>
      <c r="E192" s="694" t="s">
        <v>558</v>
      </c>
      <c r="F192" s="695">
        <v>51.4</v>
      </c>
      <c r="G192" s="695" t="s">
        <v>600</v>
      </c>
      <c r="H192" s="696">
        <v>52.6</v>
      </c>
      <c r="I192" s="772"/>
      <c r="J192" s="773"/>
      <c r="K192" s="774"/>
      <c r="L192" s="91"/>
      <c r="M192" s="91"/>
    </row>
    <row r="193" spans="3:13" x14ac:dyDescent="0.2">
      <c r="C193" s="91"/>
      <c r="D193" s="88" t="s">
        <v>105</v>
      </c>
      <c r="E193" s="697" t="s">
        <v>30</v>
      </c>
      <c r="F193" s="889" t="s">
        <v>601</v>
      </c>
      <c r="G193" s="890"/>
      <c r="H193" s="891"/>
      <c r="I193" s="892" t="s">
        <v>420</v>
      </c>
      <c r="J193" s="893"/>
      <c r="K193" s="894"/>
      <c r="L193" s="91"/>
      <c r="M193" s="91"/>
    </row>
    <row r="194" spans="3:13" x14ac:dyDescent="0.2">
      <c r="C194" s="91"/>
      <c r="D194" s="168"/>
      <c r="E194" s="688" t="s">
        <v>432</v>
      </c>
      <c r="F194" s="895"/>
      <c r="G194" s="896"/>
      <c r="H194" s="897"/>
      <c r="I194" s="769"/>
      <c r="J194" s="770"/>
      <c r="K194" s="771"/>
      <c r="L194" s="91"/>
      <c r="M194" s="91"/>
    </row>
    <row r="195" spans="3:13" x14ac:dyDescent="0.2">
      <c r="C195" s="91"/>
      <c r="D195" s="168"/>
      <c r="E195" s="688" t="s">
        <v>433</v>
      </c>
      <c r="F195" s="877"/>
      <c r="G195" s="878"/>
      <c r="H195" s="879"/>
      <c r="I195" s="769"/>
      <c r="J195" s="770"/>
      <c r="K195" s="771"/>
      <c r="L195" s="91"/>
      <c r="M195" s="91"/>
    </row>
    <row r="196" spans="3:13" x14ac:dyDescent="0.2">
      <c r="C196" s="91"/>
      <c r="D196" s="168"/>
      <c r="E196" s="688" t="s">
        <v>434</v>
      </c>
      <c r="F196" s="877">
        <v>57.3</v>
      </c>
      <c r="G196" s="878"/>
      <c r="H196" s="879"/>
      <c r="I196" s="769"/>
      <c r="J196" s="770"/>
      <c r="K196" s="771"/>
      <c r="L196" s="91"/>
      <c r="M196" s="91"/>
    </row>
    <row r="197" spans="3:13" ht="20" thickBot="1" x14ac:dyDescent="0.25">
      <c r="C197" s="91"/>
      <c r="D197" s="168"/>
      <c r="E197" s="689" t="s">
        <v>435</v>
      </c>
      <c r="F197" s="871">
        <v>0.58333333333333337</v>
      </c>
      <c r="G197" s="872"/>
      <c r="H197" s="873"/>
      <c r="I197" s="769"/>
      <c r="J197" s="770"/>
      <c r="K197" s="771"/>
      <c r="L197" s="92">
        <f>F197+TIME(5,30,0)</f>
        <v>0.8125</v>
      </c>
      <c r="M197" s="92">
        <f>L197-TIME(2,30,0)</f>
        <v>0.70833333333333337</v>
      </c>
    </row>
    <row r="198" spans="3:13" ht="20" thickBot="1" x14ac:dyDescent="0.25">
      <c r="C198" s="91"/>
      <c r="D198" s="168"/>
      <c r="E198" s="690" t="s">
        <v>436</v>
      </c>
      <c r="F198" s="293" t="s">
        <v>29</v>
      </c>
      <c r="G198" s="293" t="s">
        <v>28</v>
      </c>
      <c r="H198" s="294" t="s">
        <v>27</v>
      </c>
      <c r="I198" s="769"/>
      <c r="J198" s="770"/>
      <c r="K198" s="771"/>
      <c r="L198" s="91"/>
      <c r="M198" s="91"/>
    </row>
    <row r="199" spans="3:13" x14ac:dyDescent="0.2">
      <c r="C199" s="91"/>
      <c r="D199" s="168"/>
      <c r="E199" s="691" t="s">
        <v>545</v>
      </c>
      <c r="F199" s="692">
        <v>57.3</v>
      </c>
      <c r="G199" s="692" t="s">
        <v>589</v>
      </c>
      <c r="H199" s="693">
        <v>57</v>
      </c>
      <c r="I199" s="769"/>
      <c r="J199" s="770"/>
      <c r="K199" s="771"/>
      <c r="L199" s="91"/>
      <c r="M199" s="91"/>
    </row>
    <row r="200" spans="3:13" x14ac:dyDescent="0.2">
      <c r="C200" s="91"/>
      <c r="D200" s="168"/>
      <c r="E200" s="691" t="s">
        <v>588</v>
      </c>
      <c r="F200" s="692">
        <v>57</v>
      </c>
      <c r="G200" s="692" t="s">
        <v>589</v>
      </c>
      <c r="H200" s="693">
        <v>56.3</v>
      </c>
      <c r="I200" s="769"/>
      <c r="J200" s="770"/>
      <c r="K200" s="771"/>
      <c r="L200" s="91"/>
      <c r="M200" s="91"/>
    </row>
    <row r="201" spans="3:13" x14ac:dyDescent="0.2">
      <c r="C201" s="91"/>
      <c r="D201" s="168"/>
      <c r="E201" s="691" t="s">
        <v>549</v>
      </c>
      <c r="F201" s="692">
        <v>56.3</v>
      </c>
      <c r="G201" s="692" t="s">
        <v>602</v>
      </c>
      <c r="H201" s="693">
        <v>58.1</v>
      </c>
      <c r="I201" s="769"/>
      <c r="J201" s="770"/>
      <c r="K201" s="771"/>
      <c r="L201" s="91"/>
      <c r="M201" s="91"/>
    </row>
    <row r="202" spans="3:13" x14ac:dyDescent="0.2">
      <c r="C202" s="91"/>
      <c r="D202" s="168"/>
      <c r="E202" s="691" t="s">
        <v>552</v>
      </c>
      <c r="F202" s="692">
        <v>58.1</v>
      </c>
      <c r="G202" s="692" t="s">
        <v>603</v>
      </c>
      <c r="H202" s="693">
        <v>59.2</v>
      </c>
      <c r="I202" s="769"/>
      <c r="J202" s="770"/>
      <c r="K202" s="771"/>
      <c r="L202" s="91"/>
      <c r="M202" s="91"/>
    </row>
    <row r="203" spans="3:13" x14ac:dyDescent="0.2">
      <c r="C203" s="91"/>
      <c r="D203" s="168"/>
      <c r="E203" s="691" t="s">
        <v>598</v>
      </c>
      <c r="F203" s="692">
        <v>59.2</v>
      </c>
      <c r="G203" s="692" t="s">
        <v>604</v>
      </c>
      <c r="H203" s="693">
        <v>53.4</v>
      </c>
      <c r="I203" s="769"/>
      <c r="J203" s="770"/>
      <c r="K203" s="771"/>
      <c r="L203" s="91"/>
      <c r="M203" s="91"/>
    </row>
    <row r="204" spans="3:13" ht="20" thickBot="1" x14ac:dyDescent="0.25">
      <c r="C204" s="91"/>
      <c r="D204" s="168"/>
      <c r="E204" s="694" t="s">
        <v>558</v>
      </c>
      <c r="F204" s="695">
        <v>53.4</v>
      </c>
      <c r="G204" s="695" t="s">
        <v>605</v>
      </c>
      <c r="H204" s="696">
        <v>58.6</v>
      </c>
      <c r="I204" s="772"/>
      <c r="J204" s="773"/>
      <c r="K204" s="774"/>
      <c r="L204" s="91"/>
      <c r="M204" s="91"/>
    </row>
    <row r="205" spans="3:13" x14ac:dyDescent="0.2">
      <c r="C205" s="91"/>
      <c r="D205" s="88" t="s">
        <v>105</v>
      </c>
      <c r="E205" s="697" t="s">
        <v>30</v>
      </c>
      <c r="F205" s="889" t="s">
        <v>606</v>
      </c>
      <c r="G205" s="890"/>
      <c r="H205" s="891"/>
      <c r="I205" s="892" t="s">
        <v>422</v>
      </c>
      <c r="J205" s="893"/>
      <c r="K205" s="894"/>
      <c r="L205" s="91"/>
      <c r="M205" s="91"/>
    </row>
    <row r="206" spans="3:13" x14ac:dyDescent="0.2">
      <c r="C206" s="91"/>
      <c r="D206" s="168"/>
      <c r="E206" s="688" t="s">
        <v>432</v>
      </c>
      <c r="F206" s="895"/>
      <c r="G206" s="896"/>
      <c r="H206" s="897"/>
      <c r="I206" s="769"/>
      <c r="J206" s="770"/>
      <c r="K206" s="771"/>
      <c r="L206" s="91"/>
      <c r="M206" s="91"/>
    </row>
    <row r="207" spans="3:13" x14ac:dyDescent="0.2">
      <c r="C207" s="91"/>
      <c r="D207" s="168"/>
      <c r="E207" s="688" t="s">
        <v>433</v>
      </c>
      <c r="F207" s="877"/>
      <c r="G207" s="878"/>
      <c r="H207" s="879"/>
      <c r="I207" s="769"/>
      <c r="J207" s="770"/>
      <c r="K207" s="771"/>
      <c r="L207" s="91"/>
      <c r="M207" s="91"/>
    </row>
    <row r="208" spans="3:13" x14ac:dyDescent="0.2">
      <c r="C208" s="91"/>
      <c r="D208" s="168"/>
      <c r="E208" s="688" t="s">
        <v>434</v>
      </c>
      <c r="F208" s="868">
        <v>4.0000000000000001E-3</v>
      </c>
      <c r="G208" s="869"/>
      <c r="H208" s="870"/>
      <c r="I208" s="769"/>
      <c r="J208" s="770"/>
      <c r="K208" s="771"/>
      <c r="L208" s="91"/>
      <c r="M208" s="91"/>
    </row>
    <row r="209" spans="3:13" ht="20" thickBot="1" x14ac:dyDescent="0.25">
      <c r="C209" s="91"/>
      <c r="D209" s="168"/>
      <c r="E209" s="689" t="s">
        <v>435</v>
      </c>
      <c r="F209" s="871">
        <v>0.52083333333333337</v>
      </c>
      <c r="G209" s="872"/>
      <c r="H209" s="873"/>
      <c r="I209" s="769"/>
      <c r="J209" s="770"/>
      <c r="K209" s="771"/>
      <c r="L209" s="92">
        <f>F209+TIME(5,30,0)</f>
        <v>0.75</v>
      </c>
      <c r="M209" s="92">
        <f>L209-TIME(2,30,0)</f>
        <v>0.64583333333333337</v>
      </c>
    </row>
    <row r="210" spans="3:13" ht="20" thickBot="1" x14ac:dyDescent="0.25">
      <c r="C210" s="91"/>
      <c r="D210" s="168"/>
      <c r="E210" s="690" t="s">
        <v>436</v>
      </c>
      <c r="F210" s="293" t="s">
        <v>29</v>
      </c>
      <c r="G210" s="293" t="s">
        <v>28</v>
      </c>
      <c r="H210" s="294" t="s">
        <v>27</v>
      </c>
      <c r="I210" s="769"/>
      <c r="J210" s="770"/>
      <c r="K210" s="771"/>
      <c r="L210" s="91"/>
      <c r="M210" s="91"/>
    </row>
    <row r="211" spans="3:13" x14ac:dyDescent="0.2">
      <c r="C211" s="91"/>
      <c r="D211" s="168"/>
      <c r="E211" s="691" t="s">
        <v>607</v>
      </c>
      <c r="F211" s="295">
        <v>4.0000000000000001E-3</v>
      </c>
      <c r="G211" s="295" t="s">
        <v>467</v>
      </c>
      <c r="H211" s="704">
        <v>-1E-3</v>
      </c>
      <c r="I211" s="769"/>
      <c r="J211" s="770"/>
      <c r="K211" s="771"/>
      <c r="L211" s="91"/>
      <c r="M211" s="91"/>
    </row>
    <row r="212" spans="3:13" x14ac:dyDescent="0.2">
      <c r="C212" s="91"/>
      <c r="D212" s="168"/>
      <c r="E212" s="691" t="s">
        <v>608</v>
      </c>
      <c r="F212" s="295">
        <v>2E-3</v>
      </c>
      <c r="G212" s="295" t="s">
        <v>467</v>
      </c>
      <c r="H212" s="704">
        <v>3.0000000000000001E-3</v>
      </c>
      <c r="I212" s="769"/>
      <c r="J212" s="770"/>
      <c r="K212" s="771"/>
      <c r="L212" s="91"/>
      <c r="M212" s="91"/>
    </row>
    <row r="213" spans="3:13" x14ac:dyDescent="0.2">
      <c r="C213" s="91"/>
      <c r="D213" s="168"/>
      <c r="E213" s="691" t="s">
        <v>609</v>
      </c>
      <c r="F213" s="295">
        <v>3.0000000000000001E-3</v>
      </c>
      <c r="G213" s="295" t="s">
        <v>467</v>
      </c>
      <c r="H213" s="704">
        <v>4.0000000000000001E-3</v>
      </c>
      <c r="I213" s="769"/>
      <c r="J213" s="770"/>
      <c r="K213" s="771"/>
      <c r="L213" s="91"/>
      <c r="M213" s="91"/>
    </row>
    <row r="214" spans="3:13" x14ac:dyDescent="0.2">
      <c r="C214" s="91"/>
      <c r="D214" s="168"/>
      <c r="E214" s="691" t="s">
        <v>610</v>
      </c>
      <c r="F214" s="295">
        <v>4.0000000000000001E-3</v>
      </c>
      <c r="G214" s="295" t="s">
        <v>467</v>
      </c>
      <c r="H214" s="704">
        <v>2E-3</v>
      </c>
      <c r="I214" s="769"/>
      <c r="J214" s="770"/>
      <c r="K214" s="771"/>
      <c r="L214" s="91"/>
      <c r="M214" s="91"/>
    </row>
    <row r="215" spans="3:13" x14ac:dyDescent="0.2">
      <c r="C215" s="91"/>
      <c r="D215" s="168"/>
      <c r="E215" s="691" t="s">
        <v>598</v>
      </c>
      <c r="F215" s="295">
        <v>2E-3</v>
      </c>
      <c r="G215" s="295" t="s">
        <v>467</v>
      </c>
      <c r="H215" s="704">
        <v>3.0000000000000001E-3</v>
      </c>
      <c r="I215" s="769"/>
      <c r="J215" s="770"/>
      <c r="K215" s="771"/>
      <c r="L215" s="91"/>
      <c r="M215" s="91"/>
    </row>
    <row r="216" spans="3:13" ht="20" thickBot="1" x14ac:dyDescent="0.25">
      <c r="C216" s="91"/>
      <c r="D216" s="168"/>
      <c r="E216" s="694" t="s">
        <v>611</v>
      </c>
      <c r="F216" s="705">
        <v>3.0000000000000001E-3</v>
      </c>
      <c r="G216" s="705" t="s">
        <v>467</v>
      </c>
      <c r="H216" s="706">
        <v>2E-3</v>
      </c>
      <c r="I216" s="772"/>
      <c r="J216" s="773"/>
      <c r="K216" s="774"/>
      <c r="L216" s="91"/>
      <c r="M216" s="91"/>
    </row>
    <row r="217" spans="3:13" x14ac:dyDescent="0.2">
      <c r="C217" s="91"/>
      <c r="D217" s="88" t="s">
        <v>105</v>
      </c>
      <c r="E217" s="697" t="s">
        <v>30</v>
      </c>
      <c r="F217" s="889" t="s">
        <v>612</v>
      </c>
      <c r="G217" s="890"/>
      <c r="H217" s="891"/>
      <c r="I217" s="892" t="s">
        <v>613</v>
      </c>
      <c r="J217" s="893"/>
      <c r="K217" s="894"/>
      <c r="L217" s="91"/>
      <c r="M217" s="91"/>
    </row>
    <row r="218" spans="3:13" x14ac:dyDescent="0.2">
      <c r="C218" s="91"/>
      <c r="D218" s="168"/>
      <c r="E218" s="688" t="s">
        <v>432</v>
      </c>
      <c r="F218" s="895"/>
      <c r="G218" s="896"/>
      <c r="H218" s="897"/>
      <c r="I218" s="769"/>
      <c r="J218" s="770"/>
      <c r="K218" s="771"/>
      <c r="L218" s="91"/>
      <c r="M218" s="91"/>
    </row>
    <row r="219" spans="3:13" x14ac:dyDescent="0.2">
      <c r="C219" s="91"/>
      <c r="D219" s="168"/>
      <c r="E219" s="688" t="s">
        <v>433</v>
      </c>
      <c r="F219" s="877" t="s">
        <v>424</v>
      </c>
      <c r="G219" s="878"/>
      <c r="H219" s="879"/>
      <c r="I219" s="769"/>
      <c r="J219" s="770"/>
      <c r="K219" s="771"/>
      <c r="L219" s="91"/>
      <c r="M219" s="91"/>
    </row>
    <row r="220" spans="3:13" x14ac:dyDescent="0.2">
      <c r="C220" s="91"/>
      <c r="D220" s="168"/>
      <c r="E220" s="688" t="s">
        <v>434</v>
      </c>
      <c r="F220" s="877" t="s">
        <v>425</v>
      </c>
      <c r="G220" s="878"/>
      <c r="H220" s="879"/>
      <c r="I220" s="769"/>
      <c r="J220" s="770"/>
      <c r="K220" s="771"/>
      <c r="L220" s="91"/>
      <c r="M220" s="91"/>
    </row>
    <row r="221" spans="3:13" ht="20" thickBot="1" x14ac:dyDescent="0.25">
      <c r="C221" s="91"/>
      <c r="D221" s="168"/>
      <c r="E221" s="689" t="s">
        <v>435</v>
      </c>
      <c r="F221" s="871">
        <v>0.52083333333333337</v>
      </c>
      <c r="G221" s="872"/>
      <c r="H221" s="873"/>
      <c r="I221" s="769"/>
      <c r="J221" s="770"/>
      <c r="K221" s="771"/>
      <c r="L221" s="92">
        <f>F221+TIME(5,30,0)</f>
        <v>0.75</v>
      </c>
      <c r="M221" s="92">
        <f>L221-TIME(2,30,0)</f>
        <v>0.64583333333333337</v>
      </c>
    </row>
    <row r="222" spans="3:13" ht="20" thickBot="1" x14ac:dyDescent="0.25">
      <c r="C222" s="91"/>
      <c r="D222" s="168"/>
      <c r="E222" s="690" t="s">
        <v>436</v>
      </c>
      <c r="F222" s="293" t="s">
        <v>29</v>
      </c>
      <c r="G222" s="293" t="s">
        <v>28</v>
      </c>
      <c r="H222" s="294" t="s">
        <v>27</v>
      </c>
      <c r="I222" s="769"/>
      <c r="J222" s="770"/>
      <c r="K222" s="771"/>
      <c r="L222" s="91"/>
      <c r="M222" s="91"/>
    </row>
    <row r="223" spans="3:13" x14ac:dyDescent="0.2">
      <c r="C223" s="91"/>
      <c r="D223" s="168"/>
      <c r="E223" s="691" t="s">
        <v>607</v>
      </c>
      <c r="F223" s="692" t="s">
        <v>425</v>
      </c>
      <c r="G223" s="692" t="s">
        <v>614</v>
      </c>
      <c r="H223" s="693" t="s">
        <v>615</v>
      </c>
      <c r="I223" s="769"/>
      <c r="J223" s="770"/>
      <c r="K223" s="771"/>
      <c r="L223" s="91"/>
      <c r="M223" s="91"/>
    </row>
    <row r="224" spans="3:13" x14ac:dyDescent="0.2">
      <c r="C224" s="91"/>
      <c r="D224" s="168"/>
      <c r="E224" s="691" t="s">
        <v>608</v>
      </c>
      <c r="F224" s="692" t="s">
        <v>293</v>
      </c>
      <c r="G224" s="692" t="s">
        <v>616</v>
      </c>
      <c r="H224" s="693" t="s">
        <v>617</v>
      </c>
      <c r="I224" s="769"/>
      <c r="J224" s="770"/>
      <c r="K224" s="771"/>
      <c r="L224" s="91"/>
      <c r="M224" s="91"/>
    </row>
    <row r="225" spans="3:13" x14ac:dyDescent="0.2">
      <c r="C225" s="91"/>
      <c r="D225" s="168"/>
      <c r="E225" s="691" t="s">
        <v>609</v>
      </c>
      <c r="F225" s="692" t="s">
        <v>149</v>
      </c>
      <c r="G225" s="692" t="s">
        <v>618</v>
      </c>
      <c r="H225" s="693" t="s">
        <v>382</v>
      </c>
      <c r="I225" s="769"/>
      <c r="J225" s="770"/>
      <c r="K225" s="771"/>
      <c r="L225" s="91"/>
      <c r="M225" s="91"/>
    </row>
    <row r="226" spans="3:13" x14ac:dyDescent="0.2">
      <c r="C226" s="91"/>
      <c r="D226" s="168"/>
      <c r="E226" s="691" t="s">
        <v>610</v>
      </c>
      <c r="F226" s="692" t="s">
        <v>3</v>
      </c>
      <c r="G226" s="692" t="s">
        <v>619</v>
      </c>
      <c r="H226" s="693" t="s">
        <v>620</v>
      </c>
      <c r="I226" s="769"/>
      <c r="J226" s="770"/>
      <c r="K226" s="771"/>
      <c r="L226" s="91"/>
      <c r="M226" s="91"/>
    </row>
    <row r="227" spans="3:13" x14ac:dyDescent="0.2">
      <c r="C227" s="91"/>
      <c r="D227" s="168"/>
      <c r="E227" s="691" t="s">
        <v>598</v>
      </c>
      <c r="F227" s="692" t="s">
        <v>621</v>
      </c>
      <c r="G227" s="692" t="s">
        <v>622</v>
      </c>
      <c r="H227" s="693" t="s">
        <v>623</v>
      </c>
      <c r="I227" s="769"/>
      <c r="J227" s="770"/>
      <c r="K227" s="771"/>
      <c r="L227" s="91"/>
      <c r="M227" s="91"/>
    </row>
    <row r="228" spans="3:13" ht="20" thickBot="1" x14ac:dyDescent="0.25">
      <c r="C228" s="91"/>
      <c r="D228" s="168"/>
      <c r="E228" s="694" t="s">
        <v>611</v>
      </c>
      <c r="F228" s="695" t="s">
        <v>624</v>
      </c>
      <c r="G228" s="695" t="s">
        <v>625</v>
      </c>
      <c r="H228" s="696" t="s">
        <v>626</v>
      </c>
      <c r="I228" s="772"/>
      <c r="J228" s="773"/>
      <c r="K228" s="774"/>
      <c r="L228" s="91"/>
      <c r="M228" s="91"/>
    </row>
    <row r="229" spans="3:13" x14ac:dyDescent="0.2">
      <c r="C229" s="91"/>
      <c r="D229" s="88" t="s">
        <v>105</v>
      </c>
      <c r="E229" s="697" t="s">
        <v>30</v>
      </c>
      <c r="F229" s="889" t="s">
        <v>627</v>
      </c>
      <c r="G229" s="890"/>
      <c r="H229" s="891"/>
      <c r="I229" s="892" t="s">
        <v>427</v>
      </c>
      <c r="J229" s="893"/>
      <c r="K229" s="894"/>
      <c r="L229" s="91"/>
      <c r="M229" s="91"/>
    </row>
    <row r="230" spans="3:13" x14ac:dyDescent="0.2">
      <c r="C230" s="91"/>
      <c r="D230" s="91"/>
      <c r="E230" s="688" t="s">
        <v>432</v>
      </c>
      <c r="F230" s="895"/>
      <c r="G230" s="896"/>
      <c r="H230" s="897"/>
      <c r="I230" s="769"/>
      <c r="J230" s="770"/>
      <c r="K230" s="771"/>
      <c r="L230" s="91"/>
      <c r="M230" s="91"/>
    </row>
    <row r="231" spans="3:13" x14ac:dyDescent="0.2">
      <c r="C231" s="91"/>
      <c r="D231" s="91"/>
      <c r="E231" s="688" t="s">
        <v>433</v>
      </c>
      <c r="F231" s="877">
        <v>4.2000000000000003E-2</v>
      </c>
      <c r="G231" s="878"/>
      <c r="H231" s="879"/>
      <c r="I231" s="769"/>
      <c r="J231" s="770"/>
      <c r="K231" s="771"/>
      <c r="L231" s="91"/>
      <c r="M231" s="91"/>
    </row>
    <row r="232" spans="3:13" x14ac:dyDescent="0.2">
      <c r="C232" s="91"/>
      <c r="D232" s="91"/>
      <c r="E232" s="688" t="s">
        <v>434</v>
      </c>
      <c r="F232" s="868">
        <v>4.2000000000000003E-2</v>
      </c>
      <c r="G232" s="869"/>
      <c r="H232" s="870"/>
      <c r="I232" s="769"/>
      <c r="J232" s="770"/>
      <c r="K232" s="771"/>
      <c r="L232" s="91"/>
      <c r="M232" s="91"/>
    </row>
    <row r="233" spans="3:13" ht="20" thickBot="1" x14ac:dyDescent="0.25">
      <c r="C233" s="91"/>
      <c r="D233" s="91"/>
      <c r="E233" s="689" t="s">
        <v>435</v>
      </c>
      <c r="F233" s="871">
        <v>0.52083333333333337</v>
      </c>
      <c r="G233" s="872"/>
      <c r="H233" s="873"/>
      <c r="I233" s="769"/>
      <c r="J233" s="770"/>
      <c r="K233" s="771"/>
      <c r="L233" s="92">
        <f>F233+TIME(5,30,0)</f>
        <v>0.75</v>
      </c>
      <c r="M233" s="92">
        <f>L233-TIME(2,30,0)</f>
        <v>0.64583333333333337</v>
      </c>
    </row>
    <row r="234" spans="3:13" ht="20" thickBot="1" x14ac:dyDescent="0.25">
      <c r="C234" s="91"/>
      <c r="D234" s="91"/>
      <c r="E234" s="690" t="s">
        <v>436</v>
      </c>
      <c r="F234" s="293" t="s">
        <v>29</v>
      </c>
      <c r="G234" s="293" t="s">
        <v>28</v>
      </c>
      <c r="H234" s="294" t="s">
        <v>27</v>
      </c>
      <c r="I234" s="769"/>
      <c r="J234" s="770"/>
      <c r="K234" s="771"/>
      <c r="L234" s="91"/>
      <c r="M234" s="91"/>
    </row>
    <row r="235" spans="3:13" x14ac:dyDescent="0.2">
      <c r="C235" s="91"/>
      <c r="D235" s="91"/>
      <c r="E235" s="691" t="s">
        <v>607</v>
      </c>
      <c r="F235" s="295">
        <v>4.2000000000000003E-2</v>
      </c>
      <c r="G235" s="295" t="s">
        <v>628</v>
      </c>
      <c r="H235" s="704">
        <v>4.2999999999999997E-2</v>
      </c>
      <c r="I235" s="769"/>
      <c r="J235" s="770"/>
      <c r="K235" s="771"/>
      <c r="L235" s="91"/>
      <c r="M235" s="91"/>
    </row>
    <row r="236" spans="3:13" x14ac:dyDescent="0.2">
      <c r="C236" s="91"/>
      <c r="D236" s="91"/>
      <c r="E236" s="691" t="s">
        <v>608</v>
      </c>
      <c r="F236" s="295">
        <v>4.2999999999999997E-2</v>
      </c>
      <c r="G236" s="295" t="s">
        <v>629</v>
      </c>
      <c r="H236" s="704">
        <v>4.1000000000000002E-2</v>
      </c>
      <c r="I236" s="769"/>
      <c r="J236" s="770"/>
      <c r="K236" s="771"/>
      <c r="L236" s="91"/>
      <c r="M236" s="91"/>
    </row>
    <row r="237" spans="3:13" x14ac:dyDescent="0.2">
      <c r="C237" s="91"/>
      <c r="D237" s="91"/>
      <c r="E237" s="691" t="s">
        <v>609</v>
      </c>
      <c r="F237" s="295">
        <v>4.1000000000000002E-2</v>
      </c>
      <c r="G237" s="295" t="s">
        <v>630</v>
      </c>
      <c r="H237" s="704">
        <v>0.04</v>
      </c>
      <c r="I237" s="769"/>
      <c r="J237" s="770"/>
      <c r="K237" s="771"/>
      <c r="L237" s="91"/>
      <c r="M237" s="91"/>
    </row>
    <row r="238" spans="3:13" x14ac:dyDescent="0.2">
      <c r="C238" s="91"/>
      <c r="D238" s="91"/>
      <c r="E238" s="691" t="s">
        <v>610</v>
      </c>
      <c r="F238" s="295">
        <v>0.04</v>
      </c>
      <c r="G238" s="295" t="s">
        <v>631</v>
      </c>
      <c r="H238" s="704">
        <v>3.9E-2</v>
      </c>
      <c r="I238" s="769"/>
      <c r="J238" s="770"/>
      <c r="K238" s="771"/>
      <c r="L238" s="91"/>
      <c r="M238" s="91"/>
    </row>
    <row r="239" spans="3:13" x14ac:dyDescent="0.2">
      <c r="C239" s="91"/>
      <c r="D239" s="91"/>
      <c r="E239" s="691" t="s">
        <v>598</v>
      </c>
      <c r="F239" s="295">
        <v>3.9E-2</v>
      </c>
      <c r="G239" s="295" t="s">
        <v>632</v>
      </c>
      <c r="H239" s="704">
        <v>3.7999999999999999E-2</v>
      </c>
      <c r="I239" s="769"/>
      <c r="J239" s="770"/>
      <c r="K239" s="771"/>
      <c r="L239" s="91"/>
      <c r="M239" s="91"/>
    </row>
    <row r="240" spans="3:13" ht="20" thickBot="1" x14ac:dyDescent="0.25">
      <c r="C240" s="91"/>
      <c r="D240" s="91"/>
      <c r="E240" s="694" t="s">
        <v>611</v>
      </c>
      <c r="F240" s="705">
        <v>3.7999999999999999E-2</v>
      </c>
      <c r="G240" s="705" t="s">
        <v>631</v>
      </c>
      <c r="H240" s="706">
        <v>3.9E-2</v>
      </c>
      <c r="I240" s="772"/>
      <c r="J240" s="773"/>
      <c r="K240" s="774"/>
      <c r="L240" s="91"/>
      <c r="M240" s="91"/>
    </row>
    <row r="241" spans="3:13" ht="25" thickBot="1" x14ac:dyDescent="0.25">
      <c r="C241" s="91"/>
      <c r="D241" s="88" t="s">
        <v>105</v>
      </c>
      <c r="E241" s="686" t="s">
        <v>30</v>
      </c>
      <c r="F241" s="874" t="s">
        <v>50</v>
      </c>
      <c r="G241" s="875"/>
      <c r="H241" s="876"/>
      <c r="I241" s="846" t="s">
        <v>633</v>
      </c>
      <c r="J241" s="847"/>
      <c r="K241" s="848"/>
      <c r="L241" s="105" t="s">
        <v>430</v>
      </c>
      <c r="M241" s="106" t="s">
        <v>431</v>
      </c>
    </row>
    <row r="242" spans="3:13" x14ac:dyDescent="0.2">
      <c r="C242" s="91"/>
      <c r="D242" s="168"/>
      <c r="E242" s="687" t="s">
        <v>432</v>
      </c>
      <c r="F242" s="853"/>
      <c r="G242" s="854"/>
      <c r="H242" s="855"/>
      <c r="I242" s="769" t="s">
        <v>642</v>
      </c>
      <c r="J242" s="770"/>
      <c r="K242" s="771"/>
      <c r="L242" s="100"/>
      <c r="M242" s="101"/>
    </row>
    <row r="243" spans="3:13" x14ac:dyDescent="0.2">
      <c r="C243" s="91"/>
      <c r="D243" s="168"/>
      <c r="E243" s="688" t="s">
        <v>433</v>
      </c>
      <c r="F243" s="868">
        <v>4.7500000000000001E-2</v>
      </c>
      <c r="G243" s="869"/>
      <c r="H243" s="870"/>
      <c r="I243" s="769"/>
      <c r="J243" s="770"/>
      <c r="K243" s="771"/>
      <c r="L243" s="100"/>
      <c r="M243" s="101"/>
    </row>
    <row r="244" spans="3:13" ht="20" thickBot="1" x14ac:dyDescent="0.25">
      <c r="C244" s="91"/>
      <c r="D244" s="168"/>
      <c r="E244" s="688" t="s">
        <v>434</v>
      </c>
      <c r="F244" s="868">
        <v>5.2499999999999998E-2</v>
      </c>
      <c r="G244" s="869"/>
      <c r="H244" s="870"/>
      <c r="I244" s="769"/>
      <c r="J244" s="770"/>
      <c r="K244" s="771"/>
      <c r="L244" s="100"/>
      <c r="M244" s="101"/>
    </row>
    <row r="245" spans="3:13" ht="20" thickBot="1" x14ac:dyDescent="0.25">
      <c r="C245" s="91"/>
      <c r="D245" s="168"/>
      <c r="E245" s="689" t="s">
        <v>435</v>
      </c>
      <c r="F245" s="871">
        <v>4.1666666666666657E-2</v>
      </c>
      <c r="G245" s="872"/>
      <c r="H245" s="873"/>
      <c r="I245" s="769"/>
      <c r="J245" s="770"/>
      <c r="K245" s="771"/>
      <c r="L245" s="107">
        <v>0.27083333333333331</v>
      </c>
      <c r="M245" s="108">
        <v>0.16666666666666663</v>
      </c>
    </row>
    <row r="246" spans="3:13" ht="20" thickBot="1" x14ac:dyDescent="0.25">
      <c r="C246" s="91"/>
      <c r="D246" s="168"/>
      <c r="E246" s="690" t="s">
        <v>436</v>
      </c>
      <c r="F246" s="293" t="s">
        <v>29</v>
      </c>
      <c r="G246" s="293" t="s">
        <v>28</v>
      </c>
      <c r="H246" s="294" t="s">
        <v>27</v>
      </c>
      <c r="I246" s="769"/>
      <c r="J246" s="770"/>
      <c r="K246" s="771"/>
      <c r="L246" s="100"/>
      <c r="M246" s="101"/>
    </row>
    <row r="247" spans="3:13" ht="18" x14ac:dyDescent="0.2">
      <c r="C247" s="91"/>
      <c r="D247" s="168"/>
      <c r="E247" s="691">
        <v>45518</v>
      </c>
      <c r="F247" s="295">
        <v>5.2499999999999998E-2</v>
      </c>
      <c r="G247" s="295">
        <v>5.5E-2</v>
      </c>
      <c r="H247" s="295">
        <v>5.5E-2</v>
      </c>
      <c r="I247" s="769"/>
      <c r="J247" s="770"/>
      <c r="K247" s="771"/>
      <c r="L247" s="100"/>
      <c r="M247" s="101"/>
    </row>
    <row r="248" spans="3:13" ht="18" x14ac:dyDescent="0.2">
      <c r="C248" s="91"/>
      <c r="D248" s="168"/>
      <c r="E248" s="691">
        <v>45483</v>
      </c>
      <c r="F248" s="295">
        <v>5.5E-2</v>
      </c>
      <c r="G248" s="295">
        <v>5.5E-2</v>
      </c>
      <c r="H248" s="295">
        <v>5.5E-2</v>
      </c>
      <c r="I248" s="769"/>
      <c r="J248" s="770"/>
      <c r="K248" s="771"/>
      <c r="L248" s="100"/>
      <c r="M248" s="101"/>
    </row>
    <row r="249" spans="3:13" ht="18" x14ac:dyDescent="0.2">
      <c r="C249" s="91"/>
      <c r="D249" s="168"/>
      <c r="E249" s="691">
        <v>45434</v>
      </c>
      <c r="F249" s="295">
        <v>5.5E-2</v>
      </c>
      <c r="G249" s="295">
        <v>5.5E-2</v>
      </c>
      <c r="H249" s="295">
        <v>5.5E-2</v>
      </c>
      <c r="I249" s="769"/>
      <c r="J249" s="770"/>
      <c r="K249" s="771"/>
      <c r="L249" s="102"/>
      <c r="M249" s="101"/>
    </row>
    <row r="250" spans="3:13" ht="18" x14ac:dyDescent="0.2">
      <c r="C250" s="91"/>
      <c r="D250" s="168"/>
      <c r="E250" s="691">
        <v>45392</v>
      </c>
      <c r="F250" s="295">
        <v>5.5E-2</v>
      </c>
      <c r="G250" s="295">
        <v>5.5E-2</v>
      </c>
      <c r="H250" s="295">
        <v>5.5E-2</v>
      </c>
      <c r="I250" s="769"/>
      <c r="J250" s="770"/>
      <c r="K250" s="771"/>
      <c r="L250" s="100"/>
      <c r="M250" s="101"/>
    </row>
    <row r="251" spans="3:13" ht="18" x14ac:dyDescent="0.2">
      <c r="C251" s="91"/>
      <c r="D251" s="168"/>
      <c r="E251" s="691">
        <v>45350</v>
      </c>
      <c r="F251" s="295">
        <v>5.5E-2</v>
      </c>
      <c r="G251" s="295">
        <v>5.5E-2</v>
      </c>
      <c r="H251" s="295">
        <v>5.5E-2</v>
      </c>
      <c r="I251" s="769"/>
      <c r="J251" s="770"/>
      <c r="K251" s="771"/>
      <c r="L251" s="100"/>
      <c r="M251" s="101"/>
    </row>
    <row r="252" spans="3:13" thickBot="1" x14ac:dyDescent="0.25">
      <c r="C252" s="91"/>
      <c r="D252" s="168"/>
      <c r="E252" s="691">
        <v>45259</v>
      </c>
      <c r="F252" s="295">
        <v>5.5E-2</v>
      </c>
      <c r="G252" s="295">
        <v>5.5E-2</v>
      </c>
      <c r="H252" s="295">
        <v>5.5E-2</v>
      </c>
      <c r="I252" s="772"/>
      <c r="J252" s="773"/>
      <c r="K252" s="774"/>
      <c r="L252" s="103"/>
      <c r="M252" s="104"/>
    </row>
    <row r="253" spans="3:13" ht="25" thickBot="1" x14ac:dyDescent="0.25">
      <c r="C253" s="91"/>
      <c r="D253" s="88" t="s">
        <v>105</v>
      </c>
      <c r="E253" s="686" t="s">
        <v>30</v>
      </c>
      <c r="F253" s="874" t="s">
        <v>9</v>
      </c>
      <c r="G253" s="875"/>
      <c r="H253" s="876"/>
      <c r="I253" s="846" t="s">
        <v>633</v>
      </c>
      <c r="J253" s="847"/>
      <c r="K253" s="848"/>
      <c r="L253" s="105" t="s">
        <v>430</v>
      </c>
      <c r="M253" s="106" t="s">
        <v>431</v>
      </c>
    </row>
    <row r="254" spans="3:13" x14ac:dyDescent="0.2">
      <c r="C254" s="91"/>
      <c r="D254" s="168"/>
      <c r="E254" s="687" t="s">
        <v>432</v>
      </c>
      <c r="F254" s="853"/>
      <c r="G254" s="854"/>
      <c r="H254" s="855"/>
      <c r="I254" s="769" t="s">
        <v>643</v>
      </c>
      <c r="J254" s="770"/>
      <c r="K254" s="771"/>
      <c r="L254" s="100"/>
      <c r="M254" s="101"/>
    </row>
    <row r="255" spans="3:13" x14ac:dyDescent="0.2">
      <c r="C255" s="91"/>
      <c r="D255" s="168"/>
      <c r="E255" s="688" t="s">
        <v>433</v>
      </c>
      <c r="F255" s="877">
        <v>0</v>
      </c>
      <c r="G255" s="878"/>
      <c r="H255" s="879"/>
      <c r="I255" s="769"/>
      <c r="J255" s="770"/>
      <c r="K255" s="771"/>
      <c r="L255" s="100"/>
      <c r="M255" s="101"/>
    </row>
    <row r="256" spans="3:13" ht="20" thickBot="1" x14ac:dyDescent="0.25">
      <c r="C256" s="91"/>
      <c r="D256" s="168"/>
      <c r="E256" s="688" t="s">
        <v>434</v>
      </c>
      <c r="F256" s="877" t="s">
        <v>637</v>
      </c>
      <c r="G256" s="878"/>
      <c r="H256" s="879"/>
      <c r="I256" s="769"/>
      <c r="J256" s="770"/>
      <c r="K256" s="771"/>
      <c r="L256" s="100"/>
      <c r="M256" s="101"/>
    </row>
    <row r="257" spans="3:13" ht="20" thickBot="1" x14ac:dyDescent="0.25">
      <c r="C257" s="91"/>
      <c r="D257" s="168"/>
      <c r="E257" s="689" t="s">
        <v>435</v>
      </c>
      <c r="F257" s="871">
        <v>0.60416666666666674</v>
      </c>
      <c r="G257" s="872"/>
      <c r="H257" s="873"/>
      <c r="I257" s="769"/>
      <c r="J257" s="770"/>
      <c r="K257" s="771"/>
      <c r="L257" s="107">
        <v>0.83333333333333337</v>
      </c>
      <c r="M257" s="108">
        <v>0.72916666666666674</v>
      </c>
    </row>
    <row r="258" spans="3:13" ht="20" thickBot="1" x14ac:dyDescent="0.25">
      <c r="C258" s="91"/>
      <c r="D258" s="168"/>
      <c r="E258" s="690" t="s">
        <v>436</v>
      </c>
      <c r="F258" s="293" t="s">
        <v>29</v>
      </c>
      <c r="G258" s="293" t="s">
        <v>28</v>
      </c>
      <c r="H258" s="294" t="s">
        <v>27</v>
      </c>
      <c r="I258" s="769"/>
      <c r="J258" s="770"/>
      <c r="K258" s="771"/>
      <c r="L258" s="100"/>
      <c r="M258" s="101"/>
    </row>
    <row r="259" spans="3:13" x14ac:dyDescent="0.2">
      <c r="C259" s="91"/>
      <c r="D259" s="168"/>
      <c r="E259" s="691">
        <v>45567</v>
      </c>
      <c r="F259" s="692" t="s">
        <v>637</v>
      </c>
      <c r="G259" s="692" t="s">
        <v>636</v>
      </c>
      <c r="H259" s="693" t="s">
        <v>380</v>
      </c>
      <c r="I259" s="769"/>
      <c r="J259" s="770"/>
      <c r="K259" s="771"/>
      <c r="L259" s="100"/>
      <c r="M259" s="101"/>
    </row>
    <row r="260" spans="3:13" x14ac:dyDescent="0.2">
      <c r="C260" s="91"/>
      <c r="D260" s="168"/>
      <c r="E260" s="691">
        <v>45560</v>
      </c>
      <c r="F260" s="692" t="s">
        <v>380</v>
      </c>
      <c r="G260" s="692" t="s">
        <v>564</v>
      </c>
      <c r="H260" s="693" t="s">
        <v>337</v>
      </c>
      <c r="I260" s="769"/>
      <c r="J260" s="770"/>
      <c r="K260" s="771"/>
      <c r="L260" s="100"/>
      <c r="M260" s="101"/>
    </row>
    <row r="261" spans="3:13" x14ac:dyDescent="0.2">
      <c r="C261" s="91"/>
      <c r="D261" s="168"/>
      <c r="E261" s="691">
        <v>45553</v>
      </c>
      <c r="F261" s="692" t="s">
        <v>337</v>
      </c>
      <c r="G261" s="692" t="s">
        <v>565</v>
      </c>
      <c r="H261" s="693" t="s">
        <v>339</v>
      </c>
      <c r="I261" s="769"/>
      <c r="J261" s="770"/>
      <c r="K261" s="771"/>
      <c r="L261" s="102"/>
      <c r="M261" s="101"/>
    </row>
    <row r="262" spans="3:13" x14ac:dyDescent="0.2">
      <c r="C262" s="91"/>
      <c r="D262" s="168"/>
      <c r="E262" s="691">
        <v>45546</v>
      </c>
      <c r="F262" s="692" t="s">
        <v>339</v>
      </c>
      <c r="G262" s="692" t="s">
        <v>567</v>
      </c>
      <c r="H262" s="693" t="s">
        <v>312</v>
      </c>
      <c r="I262" s="769"/>
      <c r="J262" s="770"/>
      <c r="K262" s="771"/>
      <c r="L262" s="100"/>
      <c r="M262" s="101"/>
    </row>
    <row r="263" spans="3:13" x14ac:dyDescent="0.2">
      <c r="C263" s="91"/>
      <c r="D263" s="168"/>
      <c r="E263" s="691">
        <v>45540</v>
      </c>
      <c r="F263" s="692" t="s">
        <v>312</v>
      </c>
      <c r="G263" s="692" t="s">
        <v>568</v>
      </c>
      <c r="H263" s="693" t="s">
        <v>267</v>
      </c>
      <c r="I263" s="769"/>
      <c r="J263" s="770"/>
      <c r="K263" s="771"/>
      <c r="L263" s="100"/>
      <c r="M263" s="101"/>
    </row>
    <row r="264" spans="3:13" ht="20" thickBot="1" x14ac:dyDescent="0.25">
      <c r="C264" s="91"/>
      <c r="D264" s="168"/>
      <c r="E264" s="691">
        <v>45532</v>
      </c>
      <c r="F264" s="692" t="s">
        <v>267</v>
      </c>
      <c r="G264" s="692" t="s">
        <v>570</v>
      </c>
      <c r="H264" s="693" t="s">
        <v>218</v>
      </c>
      <c r="I264" s="772"/>
      <c r="J264" s="773"/>
      <c r="K264" s="774"/>
      <c r="L264" s="103"/>
      <c r="M264" s="104"/>
    </row>
    <row r="265" spans="3:13" ht="25" thickBot="1" x14ac:dyDescent="0.25">
      <c r="C265" s="91"/>
      <c r="D265" s="88" t="s">
        <v>105</v>
      </c>
      <c r="E265" s="686" t="s">
        <v>30</v>
      </c>
      <c r="F265" s="874" t="s">
        <v>644</v>
      </c>
      <c r="G265" s="875"/>
      <c r="H265" s="876"/>
      <c r="I265" s="846" t="s">
        <v>633</v>
      </c>
      <c r="J265" s="847"/>
      <c r="K265" s="848"/>
      <c r="L265" s="105" t="s">
        <v>430</v>
      </c>
      <c r="M265" s="106" t="s">
        <v>431</v>
      </c>
    </row>
    <row r="266" spans="3:13" x14ac:dyDescent="0.2">
      <c r="C266" s="91"/>
      <c r="D266" s="168"/>
      <c r="E266" s="687" t="s">
        <v>432</v>
      </c>
      <c r="F266" s="853"/>
      <c r="G266" s="854"/>
      <c r="H266" s="855"/>
      <c r="I266" s="769" t="s">
        <v>645</v>
      </c>
      <c r="J266" s="770"/>
      <c r="K266" s="771"/>
      <c r="L266" s="100"/>
      <c r="M266" s="101"/>
    </row>
    <row r="267" spans="3:13" x14ac:dyDescent="0.2">
      <c r="C267" s="91"/>
      <c r="D267" s="168"/>
      <c r="E267" s="688" t="s">
        <v>433</v>
      </c>
      <c r="F267" s="877">
        <v>0</v>
      </c>
      <c r="G267" s="878"/>
      <c r="H267" s="879"/>
      <c r="I267" s="769"/>
      <c r="J267" s="770"/>
      <c r="K267" s="771"/>
      <c r="L267" s="100"/>
      <c r="M267" s="101"/>
    </row>
    <row r="268" spans="3:13" ht="20" thickBot="1" x14ac:dyDescent="0.25">
      <c r="C268" s="91"/>
      <c r="D268" s="168"/>
      <c r="E268" s="688" t="s">
        <v>434</v>
      </c>
      <c r="F268" s="886">
        <v>3.6479999999999999E-2</v>
      </c>
      <c r="G268" s="887"/>
      <c r="H268" s="888"/>
      <c r="I268" s="769"/>
      <c r="J268" s="770"/>
      <c r="K268" s="771"/>
      <c r="L268" s="100"/>
      <c r="M268" s="101"/>
    </row>
    <row r="269" spans="3:13" ht="20" thickBot="1" x14ac:dyDescent="0.25">
      <c r="C269" s="91"/>
      <c r="D269" s="168"/>
      <c r="E269" s="689" t="s">
        <v>435</v>
      </c>
      <c r="F269" s="871">
        <v>0.70833333333333337</v>
      </c>
      <c r="G269" s="872"/>
      <c r="H269" s="873"/>
      <c r="I269" s="769"/>
      <c r="J269" s="770"/>
      <c r="K269" s="771"/>
      <c r="L269" s="107">
        <v>0.9375</v>
      </c>
      <c r="M269" s="108">
        <v>0.83333333333333337</v>
      </c>
    </row>
    <row r="270" spans="3:13" ht="20" thickBot="1" x14ac:dyDescent="0.25">
      <c r="C270" s="91"/>
      <c r="D270" s="168"/>
      <c r="E270" s="690" t="s">
        <v>436</v>
      </c>
      <c r="F270" s="293" t="s">
        <v>29</v>
      </c>
      <c r="G270" s="293" t="s">
        <v>28</v>
      </c>
      <c r="H270" s="294" t="s">
        <v>27</v>
      </c>
      <c r="I270" s="769"/>
      <c r="J270" s="770"/>
      <c r="K270" s="771"/>
      <c r="L270" s="100"/>
      <c r="M270" s="101"/>
    </row>
    <row r="271" spans="3:13" ht="18" x14ac:dyDescent="0.2">
      <c r="C271" s="91"/>
      <c r="D271" s="168"/>
      <c r="E271" s="691">
        <v>45546</v>
      </c>
      <c r="F271" s="707">
        <v>3.6479999999999999E-2</v>
      </c>
      <c r="G271" s="295"/>
      <c r="H271" s="707">
        <v>3.9600000000000003E-2</v>
      </c>
      <c r="I271" s="769"/>
      <c r="J271" s="770"/>
      <c r="K271" s="771"/>
      <c r="L271" s="100"/>
      <c r="M271" s="101"/>
    </row>
    <row r="272" spans="3:13" ht="18" x14ac:dyDescent="0.2">
      <c r="C272" s="91"/>
      <c r="D272" s="168"/>
      <c r="E272" s="691">
        <v>45511</v>
      </c>
      <c r="F272" s="707">
        <v>3.9600000000000003E-2</v>
      </c>
      <c r="G272" s="295"/>
      <c r="H272" s="707">
        <v>4.2759999999999999E-2</v>
      </c>
      <c r="I272" s="769"/>
      <c r="J272" s="770"/>
      <c r="K272" s="771"/>
      <c r="L272" s="100"/>
      <c r="M272" s="101"/>
    </row>
    <row r="273" spans="3:13" ht="18" x14ac:dyDescent="0.2">
      <c r="C273" s="91"/>
      <c r="D273" s="168"/>
      <c r="E273" s="691">
        <v>45483</v>
      </c>
      <c r="F273" s="707">
        <v>4.2759999999999999E-2</v>
      </c>
      <c r="G273" s="295"/>
      <c r="H273" s="707">
        <v>4.4380000000000003E-2</v>
      </c>
      <c r="I273" s="769"/>
      <c r="J273" s="770"/>
      <c r="K273" s="771"/>
      <c r="L273" s="102"/>
      <c r="M273" s="101"/>
    </row>
    <row r="274" spans="3:13" ht="18" x14ac:dyDescent="0.2">
      <c r="C274" s="91"/>
      <c r="D274" s="168"/>
      <c r="E274" s="691">
        <v>45454</v>
      </c>
      <c r="F274" s="707">
        <v>4.4380000000000003E-2</v>
      </c>
      <c r="G274" s="295"/>
      <c r="H274" s="707">
        <v>4.4830000000000002E-2</v>
      </c>
      <c r="I274" s="769"/>
      <c r="J274" s="770"/>
      <c r="K274" s="771"/>
      <c r="L274" s="100"/>
      <c r="M274" s="101"/>
    </row>
    <row r="275" spans="3:13" ht="18" x14ac:dyDescent="0.2">
      <c r="C275" s="91"/>
      <c r="D275" s="168"/>
      <c r="E275" s="691">
        <v>45420</v>
      </c>
      <c r="F275" s="707">
        <v>4.4830000000000002E-2</v>
      </c>
      <c r="G275" s="295"/>
      <c r="H275" s="707">
        <v>4.5600000000000002E-2</v>
      </c>
      <c r="I275" s="769"/>
      <c r="J275" s="770"/>
      <c r="K275" s="771"/>
      <c r="L275" s="100"/>
      <c r="M275" s="101"/>
    </row>
    <row r="276" spans="3:13" thickBot="1" x14ac:dyDescent="0.25">
      <c r="C276" s="91"/>
      <c r="D276" s="168"/>
      <c r="E276" s="691">
        <v>45392</v>
      </c>
      <c r="F276" s="707">
        <v>4.5600000000000002E-2</v>
      </c>
      <c r="G276" s="295"/>
      <c r="H276" s="707">
        <v>4.1660000000000003E-2</v>
      </c>
      <c r="I276" s="772"/>
      <c r="J276" s="773"/>
      <c r="K276" s="774"/>
      <c r="L276" s="103"/>
      <c r="M276" s="104"/>
    </row>
    <row r="277" spans="3:13" ht="25" thickBot="1" x14ac:dyDescent="0.25">
      <c r="C277" s="91"/>
      <c r="D277" s="88" t="s">
        <v>105</v>
      </c>
      <c r="E277" s="686" t="s">
        <v>30</v>
      </c>
      <c r="F277" s="874" t="s">
        <v>7</v>
      </c>
      <c r="G277" s="875"/>
      <c r="H277" s="876"/>
      <c r="I277" s="846" t="s">
        <v>633</v>
      </c>
      <c r="J277" s="847"/>
      <c r="K277" s="848"/>
      <c r="L277" s="105" t="s">
        <v>430</v>
      </c>
      <c r="M277" s="106" t="s">
        <v>431</v>
      </c>
    </row>
    <row r="278" spans="3:13" x14ac:dyDescent="0.2">
      <c r="C278" s="91"/>
      <c r="D278" s="168"/>
      <c r="E278" s="687" t="s">
        <v>432</v>
      </c>
      <c r="F278" s="853"/>
      <c r="G278" s="854"/>
      <c r="H278" s="855"/>
      <c r="I278" s="769" t="s">
        <v>646</v>
      </c>
      <c r="J278" s="770"/>
      <c r="K278" s="771"/>
      <c r="L278" s="100"/>
      <c r="M278" s="101"/>
    </row>
    <row r="279" spans="3:13" x14ac:dyDescent="0.2">
      <c r="C279" s="91"/>
      <c r="D279" s="168"/>
      <c r="E279" s="688" t="s">
        <v>433</v>
      </c>
      <c r="F279" s="877">
        <v>0</v>
      </c>
      <c r="G279" s="878"/>
      <c r="H279" s="879"/>
      <c r="I279" s="769"/>
      <c r="J279" s="770"/>
      <c r="K279" s="771"/>
      <c r="L279" s="100"/>
      <c r="M279" s="101"/>
    </row>
    <row r="280" spans="3:13" ht="20" thickBot="1" x14ac:dyDescent="0.25">
      <c r="C280" s="91"/>
      <c r="D280" s="168"/>
      <c r="E280" s="688" t="s">
        <v>434</v>
      </c>
      <c r="F280" s="883">
        <v>0</v>
      </c>
      <c r="G280" s="884"/>
      <c r="H280" s="885"/>
      <c r="I280" s="769"/>
      <c r="J280" s="770"/>
      <c r="K280" s="771"/>
      <c r="L280" s="100"/>
      <c r="M280" s="101"/>
    </row>
    <row r="281" spans="3:13" ht="20" thickBot="1" x14ac:dyDescent="0.25">
      <c r="C281" s="91"/>
      <c r="D281" s="168"/>
      <c r="E281" s="689" t="s">
        <v>435</v>
      </c>
      <c r="F281" s="871">
        <v>0.75</v>
      </c>
      <c r="G281" s="872"/>
      <c r="H281" s="873"/>
      <c r="I281" s="769"/>
      <c r="J281" s="770"/>
      <c r="K281" s="771"/>
      <c r="L281" s="107">
        <v>0.97916666666666663</v>
      </c>
      <c r="M281" s="108">
        <v>0.875</v>
      </c>
    </row>
    <row r="282" spans="3:13" ht="20" thickBot="1" x14ac:dyDescent="0.25">
      <c r="C282" s="91"/>
      <c r="D282" s="168"/>
      <c r="E282" s="690" t="s">
        <v>436</v>
      </c>
      <c r="F282" s="293" t="s">
        <v>29</v>
      </c>
      <c r="G282" s="293" t="s">
        <v>28</v>
      </c>
      <c r="H282" s="294" t="s">
        <v>27</v>
      </c>
      <c r="I282" s="769"/>
      <c r="J282" s="770"/>
      <c r="K282" s="771"/>
      <c r="L282" s="100"/>
      <c r="M282" s="101"/>
    </row>
    <row r="283" spans="3:13" ht="18" x14ac:dyDescent="0.2">
      <c r="C283" s="91"/>
      <c r="D283" s="168"/>
      <c r="E283" s="691">
        <v>45525</v>
      </c>
      <c r="F283" s="707"/>
      <c r="G283" s="295"/>
      <c r="H283" s="707"/>
      <c r="I283" s="769"/>
      <c r="J283" s="770"/>
      <c r="K283" s="771"/>
      <c r="L283" s="100"/>
      <c r="M283" s="101"/>
    </row>
    <row r="284" spans="3:13" ht="18" x14ac:dyDescent="0.2">
      <c r="C284" s="91"/>
      <c r="D284" s="168"/>
      <c r="E284" s="691">
        <v>45476</v>
      </c>
      <c r="F284" s="707"/>
      <c r="G284" s="295"/>
      <c r="H284" s="707"/>
      <c r="I284" s="769"/>
      <c r="J284" s="770"/>
      <c r="K284" s="771"/>
      <c r="L284" s="100"/>
      <c r="M284" s="101"/>
    </row>
    <row r="285" spans="3:13" ht="18" x14ac:dyDescent="0.2">
      <c r="C285" s="91"/>
      <c r="D285" s="168"/>
      <c r="E285" s="691">
        <v>45434</v>
      </c>
      <c r="F285" s="707"/>
      <c r="G285" s="295"/>
      <c r="H285" s="707"/>
      <c r="I285" s="769"/>
      <c r="J285" s="770"/>
      <c r="K285" s="771"/>
      <c r="L285" s="102"/>
      <c r="M285" s="101"/>
    </row>
    <row r="286" spans="3:13" ht="18" x14ac:dyDescent="0.2">
      <c r="C286" s="91"/>
      <c r="D286" s="168"/>
      <c r="E286" s="691">
        <v>45392</v>
      </c>
      <c r="F286" s="707"/>
      <c r="G286" s="295"/>
      <c r="H286" s="707"/>
      <c r="I286" s="769"/>
      <c r="J286" s="770"/>
      <c r="K286" s="771"/>
      <c r="L286" s="100"/>
      <c r="M286" s="101"/>
    </row>
    <row r="287" spans="3:13" ht="18" x14ac:dyDescent="0.2">
      <c r="C287" s="91"/>
      <c r="D287" s="168"/>
      <c r="E287" s="691">
        <v>45343</v>
      </c>
      <c r="F287" s="707"/>
      <c r="G287" s="295"/>
      <c r="H287" s="707"/>
      <c r="I287" s="769"/>
      <c r="J287" s="770"/>
      <c r="K287" s="771"/>
      <c r="L287" s="100"/>
      <c r="M287" s="101"/>
    </row>
    <row r="288" spans="3:13" thickBot="1" x14ac:dyDescent="0.25">
      <c r="C288" s="91"/>
      <c r="D288" s="168"/>
      <c r="E288" s="691">
        <v>45294</v>
      </c>
      <c r="F288" s="707"/>
      <c r="G288" s="295"/>
      <c r="H288" s="707"/>
      <c r="I288" s="772"/>
      <c r="J288" s="773"/>
      <c r="K288" s="774"/>
      <c r="L288" s="103"/>
      <c r="M288" s="104"/>
    </row>
    <row r="289" spans="3:13" ht="25" thickBot="1" x14ac:dyDescent="0.25">
      <c r="C289" s="91"/>
      <c r="D289" s="88" t="s">
        <v>105</v>
      </c>
      <c r="E289" s="686" t="s">
        <v>30</v>
      </c>
      <c r="F289" s="874" t="s">
        <v>647</v>
      </c>
      <c r="G289" s="875"/>
      <c r="H289" s="876"/>
      <c r="I289" s="846" t="s">
        <v>633</v>
      </c>
      <c r="J289" s="847"/>
      <c r="K289" s="848"/>
      <c r="L289" s="105" t="s">
        <v>430</v>
      </c>
      <c r="M289" s="106" t="s">
        <v>431</v>
      </c>
    </row>
    <row r="290" spans="3:13" x14ac:dyDescent="0.2">
      <c r="C290" s="91"/>
      <c r="D290" s="168"/>
      <c r="E290" s="687" t="s">
        <v>432</v>
      </c>
      <c r="F290" s="853"/>
      <c r="G290" s="854"/>
      <c r="H290" s="855"/>
      <c r="I290" s="769" t="s">
        <v>648</v>
      </c>
      <c r="J290" s="770"/>
      <c r="K290" s="771"/>
      <c r="L290" s="100"/>
      <c r="M290" s="101"/>
    </row>
    <row r="291" spans="3:13" x14ac:dyDescent="0.2">
      <c r="C291" s="91"/>
      <c r="D291" s="168"/>
      <c r="E291" s="688" t="s">
        <v>433</v>
      </c>
      <c r="F291" s="856">
        <v>2E-3</v>
      </c>
      <c r="G291" s="857"/>
      <c r="H291" s="858"/>
      <c r="I291" s="769"/>
      <c r="J291" s="770"/>
      <c r="K291" s="771"/>
      <c r="L291" s="100"/>
      <c r="M291" s="101"/>
    </row>
    <row r="292" spans="3:13" ht="20" thickBot="1" x14ac:dyDescent="0.25">
      <c r="C292" s="91"/>
      <c r="D292" s="168"/>
      <c r="E292" s="688" t="s">
        <v>434</v>
      </c>
      <c r="F292" s="856">
        <v>3.0000000000000001E-3</v>
      </c>
      <c r="G292" s="857"/>
      <c r="H292" s="858"/>
      <c r="I292" s="769"/>
      <c r="J292" s="770"/>
      <c r="K292" s="771"/>
      <c r="L292" s="100"/>
      <c r="M292" s="101"/>
    </row>
    <row r="293" spans="3:13" ht="20" thickBot="1" x14ac:dyDescent="0.25">
      <c r="C293" s="91"/>
      <c r="D293" s="168"/>
      <c r="E293" s="689" t="s">
        <v>435</v>
      </c>
      <c r="F293" s="871">
        <v>0.52083333333333337</v>
      </c>
      <c r="G293" s="872"/>
      <c r="H293" s="873"/>
      <c r="I293" s="769"/>
      <c r="J293" s="770"/>
      <c r="K293" s="771"/>
      <c r="L293" s="107">
        <v>0.75</v>
      </c>
      <c r="M293" s="108">
        <v>0.64583333333333337</v>
      </c>
    </row>
    <row r="294" spans="3:13" ht="20" thickBot="1" x14ac:dyDescent="0.25">
      <c r="C294" s="91"/>
      <c r="D294" s="168"/>
      <c r="E294" s="690" t="s">
        <v>436</v>
      </c>
      <c r="F294" s="293" t="s">
        <v>29</v>
      </c>
      <c r="G294" s="293" t="s">
        <v>28</v>
      </c>
      <c r="H294" s="294" t="s">
        <v>27</v>
      </c>
      <c r="I294" s="769"/>
      <c r="J294" s="770"/>
      <c r="K294" s="771"/>
      <c r="L294" s="100"/>
      <c r="M294" s="101"/>
    </row>
    <row r="295" spans="3:13" ht="18" x14ac:dyDescent="0.2">
      <c r="C295" s="91"/>
      <c r="D295" s="168"/>
      <c r="E295" s="691">
        <v>45546</v>
      </c>
      <c r="F295" s="707">
        <v>3.0000000000000001E-3</v>
      </c>
      <c r="G295" s="707">
        <v>2E-3</v>
      </c>
      <c r="H295" s="707">
        <v>2E-3</v>
      </c>
      <c r="I295" s="769"/>
      <c r="J295" s="770"/>
      <c r="K295" s="771"/>
      <c r="L295" s="100"/>
      <c r="M295" s="101"/>
    </row>
    <row r="296" spans="3:13" ht="18" x14ac:dyDescent="0.2">
      <c r="C296" s="91"/>
      <c r="D296" s="168"/>
      <c r="E296" s="691">
        <v>45518</v>
      </c>
      <c r="F296" s="707">
        <v>2E-3</v>
      </c>
      <c r="G296" s="707">
        <v>2E-3</v>
      </c>
      <c r="H296" s="707">
        <v>1E-3</v>
      </c>
      <c r="I296" s="769"/>
      <c r="J296" s="770"/>
      <c r="K296" s="771"/>
      <c r="L296" s="100"/>
      <c r="M296" s="101"/>
    </row>
    <row r="297" spans="3:13" ht="18" x14ac:dyDescent="0.2">
      <c r="C297" s="91"/>
      <c r="D297" s="168"/>
      <c r="E297" s="691">
        <v>45484</v>
      </c>
      <c r="F297" s="707">
        <v>1E-3</v>
      </c>
      <c r="G297" s="707">
        <v>2E-3</v>
      </c>
      <c r="H297" s="707">
        <v>2E-3</v>
      </c>
      <c r="I297" s="769"/>
      <c r="J297" s="770"/>
      <c r="K297" s="771"/>
      <c r="L297" s="102"/>
      <c r="M297" s="101"/>
    </row>
    <row r="298" spans="3:13" ht="18" x14ac:dyDescent="0.2">
      <c r="C298" s="91"/>
      <c r="D298" s="168"/>
      <c r="E298" s="691">
        <v>45455</v>
      </c>
      <c r="F298" s="707">
        <v>2E-3</v>
      </c>
      <c r="G298" s="707">
        <v>3.0000000000000001E-3</v>
      </c>
      <c r="H298" s="707">
        <v>3.0000000000000001E-3</v>
      </c>
      <c r="I298" s="769"/>
      <c r="J298" s="770"/>
      <c r="K298" s="771"/>
      <c r="L298" s="100"/>
      <c r="M298" s="101"/>
    </row>
    <row r="299" spans="3:13" ht="18" x14ac:dyDescent="0.2">
      <c r="C299" s="91"/>
      <c r="D299" s="168"/>
      <c r="E299" s="691">
        <v>45427</v>
      </c>
      <c r="F299" s="707">
        <v>3.0000000000000001E-3</v>
      </c>
      <c r="G299" s="707">
        <v>3.0000000000000001E-3</v>
      </c>
      <c r="H299" s="707">
        <v>4.0000000000000001E-3</v>
      </c>
      <c r="I299" s="769"/>
      <c r="J299" s="770"/>
      <c r="K299" s="771"/>
      <c r="L299" s="100"/>
      <c r="M299" s="101"/>
    </row>
    <row r="300" spans="3:13" thickBot="1" x14ac:dyDescent="0.25">
      <c r="C300" s="91"/>
      <c r="D300" s="168"/>
      <c r="E300" s="691">
        <v>45392</v>
      </c>
      <c r="F300" s="707">
        <v>4.0000000000000001E-3</v>
      </c>
      <c r="G300" s="707">
        <v>3.0000000000000001E-3</v>
      </c>
      <c r="H300" s="707">
        <v>4.0000000000000001E-3</v>
      </c>
      <c r="I300" s="772"/>
      <c r="J300" s="773"/>
      <c r="K300" s="774"/>
      <c r="L300" s="103"/>
      <c r="M300" s="104"/>
    </row>
    <row r="301" spans="3:13" ht="25" thickBot="1" x14ac:dyDescent="0.25">
      <c r="C301" s="91"/>
      <c r="D301" s="88" t="s">
        <v>105</v>
      </c>
      <c r="E301" s="686" t="s">
        <v>30</v>
      </c>
      <c r="F301" s="874" t="s">
        <v>649</v>
      </c>
      <c r="G301" s="875"/>
      <c r="H301" s="876"/>
      <c r="I301" s="846" t="s">
        <v>633</v>
      </c>
      <c r="J301" s="847"/>
      <c r="K301" s="848"/>
      <c r="L301" s="105" t="s">
        <v>430</v>
      </c>
      <c r="M301" s="106" t="s">
        <v>431</v>
      </c>
    </row>
    <row r="302" spans="3:13" x14ac:dyDescent="0.2">
      <c r="C302" s="91"/>
      <c r="D302" s="168"/>
      <c r="E302" s="687" t="s">
        <v>432</v>
      </c>
      <c r="F302" s="853"/>
      <c r="G302" s="854"/>
      <c r="H302" s="855"/>
      <c r="I302" s="769" t="s">
        <v>650</v>
      </c>
      <c r="J302" s="770"/>
      <c r="K302" s="771"/>
      <c r="L302" s="100"/>
      <c r="M302" s="101"/>
    </row>
    <row r="303" spans="3:13" x14ac:dyDescent="0.2">
      <c r="C303" s="91"/>
      <c r="D303" s="168"/>
      <c r="E303" s="688" t="s">
        <v>433</v>
      </c>
      <c r="F303" s="856">
        <v>2.3E-2</v>
      </c>
      <c r="G303" s="857"/>
      <c r="H303" s="858"/>
      <c r="I303" s="769"/>
      <c r="J303" s="770"/>
      <c r="K303" s="771"/>
      <c r="L303" s="100"/>
      <c r="M303" s="101"/>
    </row>
    <row r="304" spans="3:13" ht="20" thickBot="1" x14ac:dyDescent="0.25">
      <c r="C304" s="91"/>
      <c r="D304" s="168"/>
      <c r="E304" s="688" t="s">
        <v>434</v>
      </c>
      <c r="F304" s="856">
        <v>2.5000000000000001E-2</v>
      </c>
      <c r="G304" s="857"/>
      <c r="H304" s="858"/>
      <c r="I304" s="769"/>
      <c r="J304" s="770"/>
      <c r="K304" s="771"/>
      <c r="L304" s="100"/>
      <c r="M304" s="101"/>
    </row>
    <row r="305" spans="3:13" ht="20" thickBot="1" x14ac:dyDescent="0.25">
      <c r="C305" s="91"/>
      <c r="D305" s="168"/>
      <c r="E305" s="689" t="s">
        <v>435</v>
      </c>
      <c r="F305" s="871">
        <v>0.52083333333333337</v>
      </c>
      <c r="G305" s="872"/>
      <c r="H305" s="873"/>
      <c r="I305" s="769"/>
      <c r="J305" s="770"/>
      <c r="K305" s="771"/>
      <c r="L305" s="107">
        <v>0.75</v>
      </c>
      <c r="M305" s="108">
        <v>0.64583333333333337</v>
      </c>
    </row>
    <row r="306" spans="3:13" ht="20" thickBot="1" x14ac:dyDescent="0.25">
      <c r="C306" s="91"/>
      <c r="D306" s="168"/>
      <c r="E306" s="690" t="s">
        <v>436</v>
      </c>
      <c r="F306" s="293" t="s">
        <v>29</v>
      </c>
      <c r="G306" s="293" t="s">
        <v>28</v>
      </c>
      <c r="H306" s="294" t="s">
        <v>27</v>
      </c>
      <c r="I306" s="769"/>
      <c r="J306" s="770"/>
      <c r="K306" s="771"/>
      <c r="L306" s="100"/>
      <c r="M306" s="101"/>
    </row>
    <row r="307" spans="3:13" ht="18" x14ac:dyDescent="0.2">
      <c r="C307" s="91"/>
      <c r="D307" s="168"/>
      <c r="E307" s="691">
        <v>45546</v>
      </c>
      <c r="F307" s="707">
        <v>2.5000000000000001E-2</v>
      </c>
      <c r="G307" s="707">
        <v>2.5000000000000001E-2</v>
      </c>
      <c r="H307" s="707">
        <v>2.9000000000000001E-2</v>
      </c>
      <c r="I307" s="769"/>
      <c r="J307" s="770"/>
      <c r="K307" s="771"/>
      <c r="L307" s="100"/>
      <c r="M307" s="101"/>
    </row>
    <row r="308" spans="3:13" ht="18" x14ac:dyDescent="0.2">
      <c r="C308" s="91"/>
      <c r="D308" s="168"/>
      <c r="E308" s="691">
        <v>45518</v>
      </c>
      <c r="F308" s="707">
        <v>2.9000000000000001E-2</v>
      </c>
      <c r="G308" s="707">
        <v>0.03</v>
      </c>
      <c r="H308" s="707">
        <v>0.03</v>
      </c>
      <c r="I308" s="769"/>
      <c r="J308" s="770"/>
      <c r="K308" s="771"/>
      <c r="L308" s="100"/>
      <c r="M308" s="101"/>
    </row>
    <row r="309" spans="3:13" ht="18" x14ac:dyDescent="0.2">
      <c r="C309" s="91"/>
      <c r="D309" s="168"/>
      <c r="E309" s="691">
        <v>45484</v>
      </c>
      <c r="F309" s="707">
        <v>0.03</v>
      </c>
      <c r="G309" s="707">
        <v>3.1E-2</v>
      </c>
      <c r="H309" s="707">
        <v>3.3000000000000002E-2</v>
      </c>
      <c r="I309" s="769"/>
      <c r="J309" s="770"/>
      <c r="K309" s="771"/>
      <c r="L309" s="102"/>
      <c r="M309" s="101"/>
    </row>
    <row r="310" spans="3:13" ht="18" x14ac:dyDescent="0.2">
      <c r="C310" s="91"/>
      <c r="D310" s="168"/>
      <c r="E310" s="691">
        <v>45455</v>
      </c>
      <c r="F310" s="707">
        <v>3.3000000000000002E-2</v>
      </c>
      <c r="G310" s="707">
        <v>3.4000000000000002E-2</v>
      </c>
      <c r="H310" s="707">
        <v>3.4000000000000002E-2</v>
      </c>
      <c r="I310" s="769"/>
      <c r="J310" s="770"/>
      <c r="K310" s="771"/>
      <c r="L310" s="100"/>
      <c r="M310" s="101"/>
    </row>
    <row r="311" spans="3:13" ht="18" x14ac:dyDescent="0.2">
      <c r="C311" s="91"/>
      <c r="D311" s="168"/>
      <c r="E311" s="691">
        <v>45427</v>
      </c>
      <c r="F311" s="707">
        <v>3.4000000000000002E-2</v>
      </c>
      <c r="G311" s="707">
        <v>3.4000000000000002E-2</v>
      </c>
      <c r="H311" s="707">
        <v>3.5000000000000003E-2</v>
      </c>
      <c r="I311" s="769"/>
      <c r="J311" s="770"/>
      <c r="K311" s="771"/>
      <c r="L311" s="100"/>
      <c r="M311" s="101"/>
    </row>
    <row r="312" spans="3:13" thickBot="1" x14ac:dyDescent="0.25">
      <c r="C312" s="91"/>
      <c r="D312" s="168"/>
      <c r="E312" s="691">
        <v>45392</v>
      </c>
      <c r="F312" s="707">
        <v>3.5000000000000003E-2</v>
      </c>
      <c r="G312" s="707">
        <v>3.4000000000000002E-2</v>
      </c>
      <c r="H312" s="707">
        <v>3.2000000000000001E-2</v>
      </c>
      <c r="I312" s="772"/>
      <c r="J312" s="773"/>
      <c r="K312" s="774"/>
      <c r="L312" s="103"/>
      <c r="M312" s="104"/>
    </row>
    <row r="313" spans="3:13" ht="25" thickBot="1" x14ac:dyDescent="0.25">
      <c r="C313" s="91"/>
      <c r="D313" s="88" t="s">
        <v>105</v>
      </c>
      <c r="E313" s="686" t="s">
        <v>30</v>
      </c>
      <c r="F313" s="874" t="s">
        <v>411</v>
      </c>
      <c r="G313" s="875"/>
      <c r="H313" s="876"/>
      <c r="I313" s="846" t="s">
        <v>633</v>
      </c>
      <c r="J313" s="847"/>
      <c r="K313" s="848"/>
      <c r="L313" s="105" t="s">
        <v>430</v>
      </c>
      <c r="M313" s="106" t="s">
        <v>431</v>
      </c>
    </row>
    <row r="314" spans="3:13" x14ac:dyDescent="0.2">
      <c r="C314" s="91"/>
      <c r="D314" s="168"/>
      <c r="E314" s="687" t="s">
        <v>432</v>
      </c>
      <c r="F314" s="853"/>
      <c r="G314" s="854"/>
      <c r="H314" s="855"/>
      <c r="I314" s="769" t="s">
        <v>648</v>
      </c>
      <c r="J314" s="770"/>
      <c r="K314" s="771"/>
      <c r="L314" s="100"/>
      <c r="M314" s="101"/>
    </row>
    <row r="315" spans="3:13" x14ac:dyDescent="0.2">
      <c r="C315" s="91"/>
      <c r="D315" s="168"/>
      <c r="E315" s="688" t="s">
        <v>433</v>
      </c>
      <c r="F315" s="856">
        <v>1E-3</v>
      </c>
      <c r="G315" s="857"/>
      <c r="H315" s="858"/>
      <c r="I315" s="769"/>
      <c r="J315" s="770"/>
      <c r="K315" s="771"/>
      <c r="L315" s="100"/>
      <c r="M315" s="101"/>
    </row>
    <row r="316" spans="3:13" ht="20" thickBot="1" x14ac:dyDescent="0.25">
      <c r="C316" s="91"/>
      <c r="D316" s="168"/>
      <c r="E316" s="688" t="s">
        <v>434</v>
      </c>
      <c r="F316" s="856">
        <v>2E-3</v>
      </c>
      <c r="G316" s="857"/>
      <c r="H316" s="858"/>
      <c r="I316" s="769"/>
      <c r="J316" s="770"/>
      <c r="K316" s="771"/>
      <c r="L316" s="100"/>
      <c r="M316" s="101"/>
    </row>
    <row r="317" spans="3:13" ht="20" thickBot="1" x14ac:dyDescent="0.25">
      <c r="C317" s="91"/>
      <c r="D317" s="168"/>
      <c r="E317" s="689" t="s">
        <v>435</v>
      </c>
      <c r="F317" s="871">
        <v>0.52083333333333337</v>
      </c>
      <c r="G317" s="872"/>
      <c r="H317" s="873"/>
      <c r="I317" s="769"/>
      <c r="J317" s="770"/>
      <c r="K317" s="771"/>
      <c r="L317" s="107">
        <v>0.75</v>
      </c>
      <c r="M317" s="108">
        <v>0.64583333333333337</v>
      </c>
    </row>
    <row r="318" spans="3:13" ht="20" thickBot="1" x14ac:dyDescent="0.25">
      <c r="C318" s="91"/>
      <c r="D318" s="168"/>
      <c r="E318" s="690" t="s">
        <v>436</v>
      </c>
      <c r="F318" s="293" t="s">
        <v>29</v>
      </c>
      <c r="G318" s="293" t="s">
        <v>28</v>
      </c>
      <c r="H318" s="294" t="s">
        <v>27</v>
      </c>
      <c r="I318" s="769"/>
      <c r="J318" s="770"/>
      <c r="K318" s="771"/>
      <c r="L318" s="100"/>
      <c r="M318" s="101"/>
    </row>
    <row r="319" spans="3:13" ht="18" x14ac:dyDescent="0.2">
      <c r="C319" s="91"/>
      <c r="D319" s="168"/>
      <c r="E319" s="691">
        <v>45546</v>
      </c>
      <c r="F319" s="707">
        <v>2E-3</v>
      </c>
      <c r="G319" s="707">
        <v>2E-3</v>
      </c>
      <c r="H319" s="707">
        <v>2E-3</v>
      </c>
      <c r="I319" s="769"/>
      <c r="J319" s="770"/>
      <c r="K319" s="771"/>
      <c r="L319" s="100"/>
      <c r="M319" s="101"/>
    </row>
    <row r="320" spans="3:13" ht="18" x14ac:dyDescent="0.2">
      <c r="C320" s="91"/>
      <c r="D320" s="168"/>
      <c r="E320" s="691">
        <v>45518</v>
      </c>
      <c r="F320" s="707">
        <v>2E-3</v>
      </c>
      <c r="G320" s="707">
        <v>2E-3</v>
      </c>
      <c r="H320" s="707">
        <v>-1E-3</v>
      </c>
      <c r="I320" s="769"/>
      <c r="J320" s="770"/>
      <c r="K320" s="771"/>
      <c r="L320" s="100"/>
      <c r="M320" s="101"/>
    </row>
    <row r="321" spans="3:13" ht="18" x14ac:dyDescent="0.2">
      <c r="C321" s="91"/>
      <c r="D321" s="168"/>
      <c r="E321" s="691">
        <v>45484</v>
      </c>
      <c r="F321" s="707">
        <v>-1E-3</v>
      </c>
      <c r="G321" s="707">
        <v>1E-3</v>
      </c>
      <c r="H321" s="707">
        <v>0</v>
      </c>
      <c r="I321" s="769"/>
      <c r="J321" s="770"/>
      <c r="K321" s="771"/>
      <c r="L321" s="102"/>
      <c r="M321" s="101"/>
    </row>
    <row r="322" spans="3:13" ht="18" x14ac:dyDescent="0.2">
      <c r="C322" s="91"/>
      <c r="D322" s="168"/>
      <c r="E322" s="691">
        <v>45455</v>
      </c>
      <c r="F322" s="707">
        <v>0</v>
      </c>
      <c r="G322" s="707">
        <v>1E-3</v>
      </c>
      <c r="H322" s="707">
        <v>3.0000000000000001E-3</v>
      </c>
      <c r="I322" s="769"/>
      <c r="J322" s="770"/>
      <c r="K322" s="771"/>
      <c r="L322" s="100"/>
      <c r="M322" s="101"/>
    </row>
    <row r="323" spans="3:13" ht="18" x14ac:dyDescent="0.2">
      <c r="C323" s="91"/>
      <c r="D323" s="168"/>
      <c r="E323" s="691">
        <v>45427</v>
      </c>
      <c r="F323" s="707">
        <v>3.0000000000000001E-3</v>
      </c>
      <c r="G323" s="707">
        <v>4.0000000000000001E-3</v>
      </c>
      <c r="H323" s="707">
        <v>4.0000000000000001E-3</v>
      </c>
      <c r="I323" s="769"/>
      <c r="J323" s="770"/>
      <c r="K323" s="771"/>
      <c r="L323" s="100"/>
      <c r="M323" s="101"/>
    </row>
    <row r="324" spans="3:13" thickBot="1" x14ac:dyDescent="0.25">
      <c r="C324" s="91"/>
      <c r="D324" s="168"/>
      <c r="E324" s="691">
        <v>45392</v>
      </c>
      <c r="F324" s="707">
        <v>4.0000000000000001E-3</v>
      </c>
      <c r="G324" s="707">
        <v>3.0000000000000001E-3</v>
      </c>
      <c r="H324" s="707">
        <v>4.0000000000000001E-3</v>
      </c>
      <c r="I324" s="772"/>
      <c r="J324" s="773"/>
      <c r="K324" s="774"/>
      <c r="L324" s="103"/>
      <c r="M324" s="104"/>
    </row>
    <row r="325" spans="3:13" ht="24" thickBot="1" x14ac:dyDescent="0.25">
      <c r="C325" s="91"/>
      <c r="D325" s="88" t="s">
        <v>105</v>
      </c>
      <c r="E325" s="686" t="s">
        <v>30</v>
      </c>
      <c r="F325" s="874" t="s">
        <v>573</v>
      </c>
      <c r="G325" s="875"/>
      <c r="H325" s="876"/>
      <c r="I325" s="846" t="s">
        <v>651</v>
      </c>
      <c r="J325" s="847"/>
      <c r="K325" s="848"/>
      <c r="L325" s="105"/>
      <c r="M325" s="106"/>
    </row>
    <row r="326" spans="3:13" x14ac:dyDescent="0.2">
      <c r="C326" s="91"/>
      <c r="D326" s="168"/>
      <c r="E326" s="687" t="s">
        <v>432</v>
      </c>
      <c r="F326" s="853"/>
      <c r="G326" s="854"/>
      <c r="H326" s="855"/>
      <c r="I326" s="769" t="s">
        <v>651</v>
      </c>
      <c r="J326" s="770"/>
      <c r="K326" s="771"/>
      <c r="L326" s="100"/>
      <c r="M326" s="101"/>
    </row>
    <row r="327" spans="3:13" x14ac:dyDescent="0.2">
      <c r="C327" s="91"/>
      <c r="D327" s="168"/>
      <c r="E327" s="688" t="s">
        <v>433</v>
      </c>
      <c r="F327" s="856"/>
      <c r="G327" s="857"/>
      <c r="H327" s="858"/>
      <c r="I327" s="769"/>
      <c r="J327" s="770"/>
      <c r="K327" s="771"/>
      <c r="L327" s="100"/>
      <c r="M327" s="101"/>
    </row>
    <row r="328" spans="3:13" ht="20" thickBot="1" x14ac:dyDescent="0.25">
      <c r="C328" s="91"/>
      <c r="D328" s="168"/>
      <c r="E328" s="688" t="s">
        <v>434</v>
      </c>
      <c r="F328" s="856" t="s">
        <v>638</v>
      </c>
      <c r="G328" s="857"/>
      <c r="H328" s="858"/>
      <c r="I328" s="769"/>
      <c r="J328" s="770"/>
      <c r="K328" s="771"/>
      <c r="L328" s="100"/>
      <c r="M328" s="101"/>
    </row>
    <row r="329" spans="3:13" ht="20" thickBot="1" x14ac:dyDescent="0.25">
      <c r="C329" s="91"/>
      <c r="D329" s="168"/>
      <c r="E329" s="689" t="s">
        <v>435</v>
      </c>
      <c r="F329" s="871">
        <v>0.52083333333333337</v>
      </c>
      <c r="G329" s="872"/>
      <c r="H329" s="873"/>
      <c r="I329" s="769"/>
      <c r="J329" s="770"/>
      <c r="K329" s="771"/>
      <c r="L329" s="107">
        <v>0.75</v>
      </c>
      <c r="M329" s="108">
        <v>0.64583333333333337</v>
      </c>
    </row>
    <row r="330" spans="3:13" ht="20" thickBot="1" x14ac:dyDescent="0.25">
      <c r="C330" s="91"/>
      <c r="D330" s="168"/>
      <c r="E330" s="690" t="s">
        <v>436</v>
      </c>
      <c r="F330" s="293" t="s">
        <v>29</v>
      </c>
      <c r="G330" s="293" t="s">
        <v>28</v>
      </c>
      <c r="H330" s="294" t="s">
        <v>27</v>
      </c>
      <c r="I330" s="769"/>
      <c r="J330" s="770"/>
      <c r="K330" s="771"/>
      <c r="L330" s="100"/>
      <c r="M330" s="101"/>
    </row>
    <row r="331" spans="3:13" x14ac:dyDescent="0.2">
      <c r="C331" s="91"/>
      <c r="D331" s="168"/>
      <c r="E331" s="691">
        <v>45568</v>
      </c>
      <c r="F331" s="707" t="s">
        <v>638</v>
      </c>
      <c r="G331" s="707" t="s">
        <v>72</v>
      </c>
      <c r="H331" s="707" t="s">
        <v>345</v>
      </c>
      <c r="I331" s="769"/>
      <c r="J331" s="770"/>
      <c r="K331" s="771"/>
      <c r="L331" s="100"/>
      <c r="M331" s="101"/>
    </row>
    <row r="332" spans="3:13" x14ac:dyDescent="0.2">
      <c r="C332" s="91"/>
      <c r="D332" s="168"/>
      <c r="E332" s="691">
        <v>45561</v>
      </c>
      <c r="F332" s="707" t="s">
        <v>382</v>
      </c>
      <c r="G332" s="707" t="s">
        <v>574</v>
      </c>
      <c r="H332" s="707" t="s">
        <v>72</v>
      </c>
      <c r="I332" s="769"/>
      <c r="J332" s="770"/>
      <c r="K332" s="771"/>
      <c r="L332" s="100"/>
      <c r="M332" s="101"/>
    </row>
    <row r="333" spans="3:13" x14ac:dyDescent="0.2">
      <c r="C333" s="91"/>
      <c r="D333" s="168"/>
      <c r="E333" s="691">
        <v>45554</v>
      </c>
      <c r="F333" s="707" t="s">
        <v>345</v>
      </c>
      <c r="G333" s="707" t="s">
        <v>576</v>
      </c>
      <c r="H333" s="707" t="s">
        <v>268</v>
      </c>
      <c r="I333" s="769"/>
      <c r="J333" s="770"/>
      <c r="K333" s="771"/>
      <c r="L333" s="102"/>
      <c r="M333" s="101"/>
    </row>
    <row r="334" spans="3:13" x14ac:dyDescent="0.2">
      <c r="C334" s="91"/>
      <c r="D334" s="168"/>
      <c r="E334" s="691">
        <v>45547</v>
      </c>
      <c r="F334" s="707" t="s">
        <v>330</v>
      </c>
      <c r="G334" s="707" t="s">
        <v>578</v>
      </c>
      <c r="H334" s="707" t="s">
        <v>579</v>
      </c>
      <c r="I334" s="769"/>
      <c r="J334" s="770"/>
      <c r="K334" s="771"/>
      <c r="L334" s="100"/>
      <c r="M334" s="101"/>
    </row>
    <row r="335" spans="3:13" x14ac:dyDescent="0.2">
      <c r="C335" s="91"/>
      <c r="D335" s="168"/>
      <c r="E335" s="691">
        <v>45540</v>
      </c>
      <c r="F335" s="707" t="s">
        <v>209</v>
      </c>
      <c r="G335" s="707" t="s">
        <v>580</v>
      </c>
      <c r="H335" s="707" t="s">
        <v>223</v>
      </c>
      <c r="I335" s="769"/>
      <c r="J335" s="770"/>
      <c r="K335" s="771"/>
      <c r="L335" s="100"/>
      <c r="M335" s="101"/>
    </row>
    <row r="336" spans="3:13" ht="20" thickBot="1" x14ac:dyDescent="0.25">
      <c r="C336" s="91"/>
      <c r="D336" s="168"/>
      <c r="E336" s="691">
        <v>45564</v>
      </c>
      <c r="F336" s="707" t="s">
        <v>268</v>
      </c>
      <c r="G336" s="707" t="s">
        <v>582</v>
      </c>
      <c r="H336" s="707" t="s">
        <v>13</v>
      </c>
      <c r="I336" s="772"/>
      <c r="J336" s="773"/>
      <c r="K336" s="774"/>
      <c r="L336" s="103"/>
      <c r="M336" s="104"/>
    </row>
    <row r="337" spans="3:13" ht="25" thickBot="1" x14ac:dyDescent="0.25">
      <c r="C337" s="91"/>
      <c r="D337" s="88" t="s">
        <v>105</v>
      </c>
      <c r="E337" s="686" t="s">
        <v>30</v>
      </c>
      <c r="F337" s="874" t="s">
        <v>174</v>
      </c>
      <c r="G337" s="875"/>
      <c r="H337" s="876"/>
      <c r="I337" s="846" t="s">
        <v>633</v>
      </c>
      <c r="J337" s="847"/>
      <c r="K337" s="848"/>
      <c r="L337" s="105" t="s">
        <v>430</v>
      </c>
      <c r="M337" s="106" t="s">
        <v>431</v>
      </c>
    </row>
    <row r="338" spans="3:13" x14ac:dyDescent="0.2">
      <c r="C338" s="91"/>
      <c r="D338" s="168"/>
      <c r="E338" s="687" t="s">
        <v>432</v>
      </c>
      <c r="F338" s="853"/>
      <c r="G338" s="854"/>
      <c r="H338" s="855"/>
      <c r="I338" s="769" t="s">
        <v>652</v>
      </c>
      <c r="J338" s="770"/>
      <c r="K338" s="771"/>
      <c r="L338" s="100"/>
      <c r="M338" s="101"/>
    </row>
    <row r="339" spans="3:13" x14ac:dyDescent="0.2">
      <c r="C339" s="91"/>
      <c r="D339" s="168"/>
      <c r="E339" s="688" t="s">
        <v>433</v>
      </c>
      <c r="F339" s="877">
        <v>0</v>
      </c>
      <c r="G339" s="878"/>
      <c r="H339" s="879"/>
      <c r="I339" s="769"/>
      <c r="J339" s="770"/>
      <c r="K339" s="771"/>
      <c r="L339" s="100"/>
      <c r="M339" s="101"/>
    </row>
    <row r="340" spans="3:13" ht="20" thickBot="1" x14ac:dyDescent="0.25">
      <c r="C340" s="91"/>
      <c r="D340" s="168"/>
      <c r="E340" s="688" t="s">
        <v>434</v>
      </c>
      <c r="F340" s="886">
        <v>4.0149999999999998E-2</v>
      </c>
      <c r="G340" s="887"/>
      <c r="H340" s="888"/>
      <c r="I340" s="769"/>
      <c r="J340" s="770"/>
      <c r="K340" s="771"/>
      <c r="L340" s="100"/>
      <c r="M340" s="101"/>
    </row>
    <row r="341" spans="3:13" ht="20" thickBot="1" x14ac:dyDescent="0.25">
      <c r="C341" s="91"/>
      <c r="D341" s="168"/>
      <c r="E341" s="689" t="s">
        <v>435</v>
      </c>
      <c r="F341" s="871">
        <v>0.70833333333333337</v>
      </c>
      <c r="G341" s="872"/>
      <c r="H341" s="873"/>
      <c r="I341" s="769"/>
      <c r="J341" s="770"/>
      <c r="K341" s="771"/>
      <c r="L341" s="107">
        <v>0.9375</v>
      </c>
      <c r="M341" s="108">
        <v>0.83333333333333337</v>
      </c>
    </row>
    <row r="342" spans="3:13" ht="20" thickBot="1" x14ac:dyDescent="0.25">
      <c r="C342" s="91"/>
      <c r="D342" s="168"/>
      <c r="E342" s="690" t="s">
        <v>436</v>
      </c>
      <c r="F342" s="293" t="s">
        <v>29</v>
      </c>
      <c r="G342" s="293" t="s">
        <v>28</v>
      </c>
      <c r="H342" s="294" t="s">
        <v>27</v>
      </c>
      <c r="I342" s="769"/>
      <c r="J342" s="770"/>
      <c r="K342" s="771"/>
      <c r="L342" s="100"/>
      <c r="M342" s="101"/>
    </row>
    <row r="343" spans="3:13" ht="18" x14ac:dyDescent="0.2">
      <c r="C343" s="91"/>
      <c r="D343" s="168"/>
      <c r="E343" s="691">
        <v>45547</v>
      </c>
      <c r="F343" s="707">
        <v>4.0149999999999998E-2</v>
      </c>
      <c r="G343" s="295"/>
      <c r="H343" s="707">
        <v>4.3139999999999998E-2</v>
      </c>
      <c r="I343" s="769"/>
      <c r="J343" s="770"/>
      <c r="K343" s="771"/>
      <c r="L343" s="100"/>
      <c r="M343" s="101"/>
    </row>
    <row r="344" spans="3:13" ht="18" x14ac:dyDescent="0.2">
      <c r="C344" s="91"/>
      <c r="D344" s="168"/>
      <c r="E344" s="691">
        <v>45512</v>
      </c>
      <c r="F344" s="707">
        <v>4.3139999999999998E-2</v>
      </c>
      <c r="G344" s="295"/>
      <c r="H344" s="707">
        <v>4.4049999999999999E-2</v>
      </c>
      <c r="I344" s="769"/>
      <c r="J344" s="770"/>
      <c r="K344" s="771"/>
      <c r="L344" s="100"/>
      <c r="M344" s="101"/>
    </row>
    <row r="345" spans="3:13" ht="18" x14ac:dyDescent="0.2">
      <c r="C345" s="91"/>
      <c r="D345" s="168"/>
      <c r="E345" s="691">
        <v>45484</v>
      </c>
      <c r="F345" s="707">
        <v>4.4049999999999999E-2</v>
      </c>
      <c r="G345" s="295"/>
      <c r="H345" s="707">
        <v>4.403E-2</v>
      </c>
      <c r="I345" s="769"/>
      <c r="J345" s="770"/>
      <c r="K345" s="771"/>
      <c r="L345" s="102"/>
      <c r="M345" s="101"/>
    </row>
    <row r="346" spans="3:13" ht="18" x14ac:dyDescent="0.2">
      <c r="C346" s="91"/>
      <c r="D346" s="168"/>
      <c r="E346" s="691">
        <v>45456</v>
      </c>
      <c r="F346" s="707">
        <v>4.403E-2</v>
      </c>
      <c r="G346" s="295"/>
      <c r="H346" s="707">
        <v>4.6350000000000002E-2</v>
      </c>
      <c r="I346" s="769"/>
      <c r="J346" s="770"/>
      <c r="K346" s="771"/>
      <c r="L346" s="100"/>
      <c r="M346" s="101"/>
    </row>
    <row r="347" spans="3:13" ht="18" x14ac:dyDescent="0.2">
      <c r="C347" s="91"/>
      <c r="D347" s="168"/>
      <c r="E347" s="691">
        <v>45421</v>
      </c>
      <c r="F347" s="707">
        <v>4.6350000000000002E-2</v>
      </c>
      <c r="G347" s="295"/>
      <c r="H347" s="707">
        <v>4.6710000000000002E-2</v>
      </c>
      <c r="I347" s="769"/>
      <c r="J347" s="770"/>
      <c r="K347" s="771"/>
      <c r="L347" s="100"/>
      <c r="M347" s="101"/>
    </row>
    <row r="348" spans="3:13" thickBot="1" x14ac:dyDescent="0.25">
      <c r="C348" s="91"/>
      <c r="D348" s="168"/>
      <c r="E348" s="691">
        <v>45393</v>
      </c>
      <c r="F348" s="707">
        <v>4.6710000000000002E-2</v>
      </c>
      <c r="G348" s="295"/>
      <c r="H348" s="707">
        <v>4.3310000000000001E-2</v>
      </c>
      <c r="I348" s="772"/>
      <c r="J348" s="773"/>
      <c r="K348" s="774"/>
      <c r="L348" s="103"/>
      <c r="M348" s="104"/>
    </row>
    <row r="349" spans="3:13" ht="25" thickBot="1" x14ac:dyDescent="0.25">
      <c r="C349" s="91"/>
      <c r="D349" s="88" t="s">
        <v>105</v>
      </c>
      <c r="E349" s="686" t="s">
        <v>30</v>
      </c>
      <c r="F349" s="874" t="s">
        <v>653</v>
      </c>
      <c r="G349" s="875"/>
      <c r="H349" s="876"/>
      <c r="I349" s="846" t="s">
        <v>633</v>
      </c>
      <c r="J349" s="847"/>
      <c r="K349" s="848"/>
      <c r="L349" s="105" t="s">
        <v>430</v>
      </c>
      <c r="M349" s="106" t="s">
        <v>431</v>
      </c>
    </row>
    <row r="350" spans="3:13" x14ac:dyDescent="0.2">
      <c r="C350" s="91"/>
      <c r="D350" s="168"/>
      <c r="E350" s="687" t="s">
        <v>432</v>
      </c>
      <c r="F350" s="853"/>
      <c r="G350" s="854"/>
      <c r="H350" s="855"/>
      <c r="I350" s="769" t="s">
        <v>654</v>
      </c>
      <c r="J350" s="770"/>
      <c r="K350" s="771"/>
      <c r="L350" s="100"/>
      <c r="M350" s="101"/>
    </row>
    <row r="351" spans="3:13" x14ac:dyDescent="0.2">
      <c r="C351" s="91"/>
      <c r="D351" s="168"/>
      <c r="E351" s="688" t="s">
        <v>433</v>
      </c>
      <c r="F351" s="877">
        <v>0</v>
      </c>
      <c r="G351" s="878"/>
      <c r="H351" s="879"/>
      <c r="I351" s="769"/>
      <c r="J351" s="770"/>
      <c r="K351" s="771"/>
      <c r="L351" s="100"/>
      <c r="M351" s="101"/>
    </row>
    <row r="352" spans="3:13" ht="20" thickBot="1" x14ac:dyDescent="0.25">
      <c r="C352" s="91"/>
      <c r="D352" s="168"/>
      <c r="E352" s="688" t="s">
        <v>434</v>
      </c>
      <c r="F352" s="886">
        <v>0</v>
      </c>
      <c r="G352" s="887"/>
      <c r="H352" s="888"/>
      <c r="I352" s="769"/>
      <c r="J352" s="770"/>
      <c r="K352" s="771"/>
      <c r="L352" s="100"/>
      <c r="M352" s="101"/>
    </row>
    <row r="353" spans="3:13" ht="20" thickBot="1" x14ac:dyDescent="0.25">
      <c r="C353" s="91"/>
      <c r="D353" s="168"/>
      <c r="E353" s="689" t="s">
        <v>435</v>
      </c>
      <c r="F353" s="871">
        <v>0.25</v>
      </c>
      <c r="G353" s="872"/>
      <c r="H353" s="873"/>
      <c r="I353" s="769"/>
      <c r="J353" s="770"/>
      <c r="K353" s="771"/>
      <c r="L353" s="107">
        <v>0.47916666666666669</v>
      </c>
      <c r="M353" s="108">
        <v>0.375</v>
      </c>
    </row>
    <row r="354" spans="3:13" ht="20" thickBot="1" x14ac:dyDescent="0.25">
      <c r="C354" s="91"/>
      <c r="D354" s="168"/>
      <c r="E354" s="690" t="s">
        <v>436</v>
      </c>
      <c r="F354" s="293" t="s">
        <v>29</v>
      </c>
      <c r="G354" s="293" t="s">
        <v>28</v>
      </c>
      <c r="H354" s="294" t="s">
        <v>27</v>
      </c>
      <c r="I354" s="769"/>
      <c r="J354" s="770"/>
      <c r="K354" s="771"/>
      <c r="L354" s="100"/>
      <c r="M354" s="101"/>
    </row>
    <row r="355" spans="3:13" ht="18" x14ac:dyDescent="0.2">
      <c r="C355" s="91"/>
      <c r="D355" s="168"/>
      <c r="E355" s="691">
        <v>45546</v>
      </c>
      <c r="F355" s="707">
        <v>0</v>
      </c>
      <c r="G355" s="707">
        <v>2E-3</v>
      </c>
      <c r="H355" s="707">
        <v>0</v>
      </c>
      <c r="I355" s="769"/>
      <c r="J355" s="770"/>
      <c r="K355" s="771"/>
      <c r="L355" s="100"/>
      <c r="M355" s="101"/>
    </row>
    <row r="356" spans="3:13" ht="18" x14ac:dyDescent="0.2">
      <c r="C356" s="91"/>
      <c r="D356" s="168"/>
      <c r="E356" s="691">
        <v>45519</v>
      </c>
      <c r="F356" s="707">
        <v>0</v>
      </c>
      <c r="G356" s="707">
        <v>0</v>
      </c>
      <c r="H356" s="707">
        <v>4.0000000000000001E-3</v>
      </c>
      <c r="I356" s="769"/>
      <c r="J356" s="770"/>
      <c r="K356" s="771"/>
      <c r="L356" s="100"/>
      <c r="M356" s="101"/>
    </row>
    <row r="357" spans="3:13" ht="18" x14ac:dyDescent="0.2">
      <c r="C357" s="91"/>
      <c r="D357" s="168"/>
      <c r="E357" s="691">
        <v>45484</v>
      </c>
      <c r="F357" s="707">
        <v>4.0000000000000001E-3</v>
      </c>
      <c r="G357" s="707">
        <v>2E-3</v>
      </c>
      <c r="H357" s="707">
        <v>0</v>
      </c>
      <c r="I357" s="769"/>
      <c r="J357" s="770"/>
      <c r="K357" s="771"/>
      <c r="L357" s="102"/>
      <c r="M357" s="101"/>
    </row>
    <row r="358" spans="3:13" ht="18" x14ac:dyDescent="0.2">
      <c r="C358" s="91"/>
      <c r="D358" s="168"/>
      <c r="E358" s="691">
        <v>45455</v>
      </c>
      <c r="F358" s="707">
        <v>0</v>
      </c>
      <c r="G358" s="707">
        <v>0</v>
      </c>
      <c r="H358" s="707">
        <v>4.0000000000000001E-3</v>
      </c>
      <c r="I358" s="769"/>
      <c r="J358" s="770"/>
      <c r="K358" s="771"/>
      <c r="L358" s="100"/>
      <c r="M358" s="101"/>
    </row>
    <row r="359" spans="3:13" ht="18" x14ac:dyDescent="0.2">
      <c r="C359" s="91"/>
      <c r="D359" s="168"/>
      <c r="E359" s="691">
        <v>45422</v>
      </c>
      <c r="F359" s="707">
        <v>4.0000000000000001E-3</v>
      </c>
      <c r="G359" s="707">
        <v>1E-3</v>
      </c>
      <c r="H359" s="707">
        <v>2E-3</v>
      </c>
      <c r="I359" s="769"/>
      <c r="J359" s="770"/>
      <c r="K359" s="771"/>
      <c r="L359" s="100"/>
      <c r="M359" s="101"/>
    </row>
    <row r="360" spans="3:13" thickBot="1" x14ac:dyDescent="0.25">
      <c r="C360" s="91"/>
      <c r="D360" s="168"/>
      <c r="E360" s="691">
        <v>45394</v>
      </c>
      <c r="F360" s="707">
        <v>1E-3</v>
      </c>
      <c r="G360" s="707">
        <v>1E-3</v>
      </c>
      <c r="H360" s="707">
        <v>3.0000000000000001E-3</v>
      </c>
      <c r="I360" s="772"/>
      <c r="J360" s="773"/>
      <c r="K360" s="774"/>
      <c r="L360" s="103"/>
      <c r="M360" s="104"/>
    </row>
    <row r="361" spans="3:13" ht="25" thickBot="1" x14ac:dyDescent="0.25">
      <c r="C361" s="91"/>
      <c r="D361" s="88" t="s">
        <v>105</v>
      </c>
      <c r="E361" s="686" t="s">
        <v>30</v>
      </c>
      <c r="F361" s="874" t="s">
        <v>388</v>
      </c>
      <c r="G361" s="875"/>
      <c r="H361" s="876"/>
      <c r="I361" s="846" t="s">
        <v>633</v>
      </c>
      <c r="J361" s="847"/>
      <c r="K361" s="848"/>
      <c r="L361" s="105" t="s">
        <v>430</v>
      </c>
      <c r="M361" s="106" t="s">
        <v>431</v>
      </c>
    </row>
    <row r="362" spans="3:13" x14ac:dyDescent="0.2">
      <c r="C362" s="91"/>
      <c r="D362" s="168"/>
      <c r="E362" s="687" t="s">
        <v>432</v>
      </c>
      <c r="F362" s="853"/>
      <c r="G362" s="854"/>
      <c r="H362" s="855"/>
      <c r="I362" s="769" t="s">
        <v>389</v>
      </c>
      <c r="J362" s="770"/>
      <c r="K362" s="771"/>
      <c r="L362" s="100"/>
      <c r="M362" s="101"/>
    </row>
    <row r="363" spans="3:13" x14ac:dyDescent="0.2">
      <c r="C363" s="91"/>
      <c r="D363" s="168"/>
      <c r="E363" s="688" t="s">
        <v>433</v>
      </c>
      <c r="F363" s="886">
        <v>0</v>
      </c>
      <c r="G363" s="887"/>
      <c r="H363" s="888"/>
      <c r="I363" s="769"/>
      <c r="J363" s="770"/>
      <c r="K363" s="771"/>
      <c r="L363" s="100"/>
      <c r="M363" s="101"/>
    </row>
    <row r="364" spans="3:13" ht="20" thickBot="1" x14ac:dyDescent="0.25">
      <c r="C364" s="91"/>
      <c r="D364" s="168"/>
      <c r="E364" s="688" t="s">
        <v>434</v>
      </c>
      <c r="F364" s="886">
        <v>-1E-3</v>
      </c>
      <c r="G364" s="887"/>
      <c r="H364" s="888"/>
      <c r="I364" s="769"/>
      <c r="J364" s="770"/>
      <c r="K364" s="771"/>
      <c r="L364" s="100"/>
      <c r="M364" s="101"/>
    </row>
    <row r="365" spans="3:13" ht="20" thickBot="1" x14ac:dyDescent="0.25">
      <c r="C365" s="91"/>
      <c r="D365" s="168"/>
      <c r="E365" s="689" t="s">
        <v>435</v>
      </c>
      <c r="F365" s="871">
        <v>0.25</v>
      </c>
      <c r="G365" s="872"/>
      <c r="H365" s="873"/>
      <c r="I365" s="769"/>
      <c r="J365" s="770"/>
      <c r="K365" s="771"/>
      <c r="L365" s="107">
        <v>0.47916666666666669</v>
      </c>
      <c r="M365" s="108">
        <v>0.375</v>
      </c>
    </row>
    <row r="366" spans="3:13" ht="20" thickBot="1" x14ac:dyDescent="0.25">
      <c r="C366" s="91"/>
      <c r="D366" s="168"/>
      <c r="E366" s="690" t="s">
        <v>436</v>
      </c>
      <c r="F366" s="293" t="s">
        <v>29</v>
      </c>
      <c r="G366" s="293" t="s">
        <v>28</v>
      </c>
      <c r="H366" s="294" t="s">
        <v>27</v>
      </c>
      <c r="I366" s="769"/>
      <c r="J366" s="770"/>
      <c r="K366" s="771"/>
      <c r="L366" s="100"/>
      <c r="M366" s="101"/>
    </row>
    <row r="367" spans="3:13" ht="18" x14ac:dyDescent="0.2">
      <c r="C367" s="91"/>
      <c r="D367" s="168"/>
      <c r="E367" s="691">
        <v>45565</v>
      </c>
      <c r="F367" s="707">
        <v>0</v>
      </c>
      <c r="G367" s="707">
        <v>1E-3</v>
      </c>
      <c r="H367" s="707">
        <v>-1E-3</v>
      </c>
      <c r="I367" s="769"/>
      <c r="J367" s="770"/>
      <c r="K367" s="771"/>
      <c r="L367" s="100"/>
      <c r="M367" s="101"/>
    </row>
    <row r="368" spans="3:13" ht="18" x14ac:dyDescent="0.2">
      <c r="C368" s="91"/>
      <c r="D368" s="168"/>
      <c r="E368" s="691">
        <v>45545</v>
      </c>
      <c r="F368" s="707">
        <v>-1E-3</v>
      </c>
      <c r="G368" s="707">
        <v>-1E-3</v>
      </c>
      <c r="H368" s="707">
        <v>3.0000000000000001E-3</v>
      </c>
      <c r="I368" s="769"/>
      <c r="J368" s="770"/>
      <c r="K368" s="771"/>
      <c r="L368" s="100"/>
      <c r="M368" s="101"/>
    </row>
    <row r="369" spans="3:13" ht="18" x14ac:dyDescent="0.2">
      <c r="C369" s="91"/>
      <c r="D369" s="168"/>
      <c r="E369" s="691">
        <v>45533</v>
      </c>
      <c r="F369" s="707">
        <v>-1E-3</v>
      </c>
      <c r="G369" s="707">
        <v>0</v>
      </c>
      <c r="H369" s="707">
        <v>3.0000000000000001E-3</v>
      </c>
      <c r="I369" s="769"/>
      <c r="J369" s="770"/>
      <c r="K369" s="771"/>
      <c r="L369" s="102"/>
      <c r="M369" s="101"/>
    </row>
    <row r="370" spans="3:13" ht="18" x14ac:dyDescent="0.2">
      <c r="C370" s="91"/>
      <c r="D370" s="168"/>
      <c r="E370" s="691">
        <v>45513</v>
      </c>
      <c r="F370" s="707">
        <v>3.0000000000000001E-3</v>
      </c>
      <c r="G370" s="707">
        <v>3.0000000000000001E-3</v>
      </c>
      <c r="H370" s="707">
        <v>1E-3</v>
      </c>
      <c r="I370" s="769"/>
      <c r="J370" s="770"/>
      <c r="K370" s="771"/>
      <c r="L370" s="100"/>
      <c r="M370" s="101"/>
    </row>
    <row r="371" spans="3:13" ht="18" x14ac:dyDescent="0.2">
      <c r="C371" s="91"/>
      <c r="D371" s="168"/>
      <c r="E371" s="691">
        <v>45503</v>
      </c>
      <c r="F371" s="707">
        <v>3.0000000000000001E-3</v>
      </c>
      <c r="G371" s="707">
        <v>3.0000000000000001E-3</v>
      </c>
      <c r="H371" s="707">
        <v>1E-3</v>
      </c>
      <c r="I371" s="769"/>
      <c r="J371" s="770"/>
      <c r="K371" s="771"/>
      <c r="L371" s="100"/>
      <c r="M371" s="101"/>
    </row>
    <row r="372" spans="3:13" thickBot="1" x14ac:dyDescent="0.25">
      <c r="C372" s="91"/>
      <c r="D372" s="168"/>
      <c r="E372" s="691">
        <v>45484</v>
      </c>
      <c r="F372" s="707">
        <v>1E-3</v>
      </c>
      <c r="G372" s="707">
        <v>1E-3</v>
      </c>
      <c r="H372" s="707">
        <v>1E-3</v>
      </c>
      <c r="I372" s="772"/>
      <c r="J372" s="773"/>
      <c r="K372" s="774"/>
      <c r="L372" s="103"/>
      <c r="M372" s="104"/>
    </row>
    <row r="373" spans="3:13" ht="25" thickBot="1" x14ac:dyDescent="0.25">
      <c r="C373" s="91"/>
      <c r="D373" s="88" t="s">
        <v>105</v>
      </c>
      <c r="E373" s="686" t="s">
        <v>30</v>
      </c>
      <c r="F373" s="874" t="s">
        <v>655</v>
      </c>
      <c r="G373" s="875"/>
      <c r="H373" s="876"/>
      <c r="I373" s="846" t="s">
        <v>633</v>
      </c>
      <c r="J373" s="847"/>
      <c r="K373" s="848"/>
      <c r="L373" s="105" t="s">
        <v>430</v>
      </c>
      <c r="M373" s="106" t="s">
        <v>431</v>
      </c>
    </row>
    <row r="374" spans="3:13" x14ac:dyDescent="0.2">
      <c r="C374" s="91"/>
      <c r="D374" s="168"/>
      <c r="E374" s="687" t="s">
        <v>432</v>
      </c>
      <c r="F374" s="853"/>
      <c r="G374" s="854"/>
      <c r="H374" s="855"/>
      <c r="I374" s="769" t="s">
        <v>656</v>
      </c>
      <c r="J374" s="770"/>
      <c r="K374" s="771"/>
      <c r="L374" s="100"/>
      <c r="M374" s="101"/>
    </row>
    <row r="375" spans="3:13" x14ac:dyDescent="0.2">
      <c r="C375" s="91"/>
      <c r="D375" s="168"/>
      <c r="E375" s="688" t="s">
        <v>433</v>
      </c>
      <c r="F375" s="886">
        <v>1E-3</v>
      </c>
      <c r="G375" s="887"/>
      <c r="H375" s="888"/>
      <c r="I375" s="769"/>
      <c r="J375" s="770"/>
      <c r="K375" s="771"/>
      <c r="L375" s="100"/>
      <c r="M375" s="101"/>
    </row>
    <row r="376" spans="3:13" ht="20" thickBot="1" x14ac:dyDescent="0.25">
      <c r="C376" s="91"/>
      <c r="D376" s="168"/>
      <c r="E376" s="688" t="s">
        <v>434</v>
      </c>
      <c r="F376" s="886">
        <v>2E-3</v>
      </c>
      <c r="G376" s="887"/>
      <c r="H376" s="888"/>
      <c r="I376" s="769"/>
      <c r="J376" s="770"/>
      <c r="K376" s="771"/>
      <c r="L376" s="100"/>
      <c r="M376" s="101"/>
    </row>
    <row r="377" spans="3:13" ht="20" thickBot="1" x14ac:dyDescent="0.25">
      <c r="C377" s="91"/>
      <c r="D377" s="168"/>
      <c r="E377" s="689" t="s">
        <v>435</v>
      </c>
      <c r="F377" s="871">
        <v>0.52083333333333337</v>
      </c>
      <c r="G377" s="872"/>
      <c r="H377" s="873"/>
      <c r="I377" s="769"/>
      <c r="J377" s="770"/>
      <c r="K377" s="771"/>
      <c r="L377" s="107">
        <v>0.75</v>
      </c>
      <c r="M377" s="108">
        <v>0.64583333333333337</v>
      </c>
    </row>
    <row r="378" spans="3:13" ht="20" thickBot="1" x14ac:dyDescent="0.25">
      <c r="C378" s="91"/>
      <c r="D378" s="168"/>
      <c r="E378" s="690" t="s">
        <v>436</v>
      </c>
      <c r="F378" s="293" t="s">
        <v>29</v>
      </c>
      <c r="G378" s="293" t="s">
        <v>28</v>
      </c>
      <c r="H378" s="294" t="s">
        <v>27</v>
      </c>
      <c r="I378" s="769"/>
      <c r="J378" s="770"/>
      <c r="K378" s="771"/>
      <c r="L378" s="100"/>
      <c r="M378" s="101"/>
    </row>
    <row r="379" spans="3:13" ht="18" x14ac:dyDescent="0.2">
      <c r="C379" s="91"/>
      <c r="D379" s="168"/>
      <c r="E379" s="691">
        <v>45547</v>
      </c>
      <c r="F379" s="707">
        <v>2E-3</v>
      </c>
      <c r="G379" s="707">
        <v>1E-3</v>
      </c>
      <c r="H379" s="707">
        <v>0</v>
      </c>
      <c r="I379" s="769"/>
      <c r="J379" s="770"/>
      <c r="K379" s="771"/>
      <c r="L379" s="100"/>
      <c r="M379" s="101"/>
    </row>
    <row r="380" spans="3:13" ht="18" x14ac:dyDescent="0.2">
      <c r="C380" s="91"/>
      <c r="D380" s="168"/>
      <c r="E380" s="691">
        <v>45517</v>
      </c>
      <c r="F380" s="707">
        <v>1E-3</v>
      </c>
      <c r="G380" s="707">
        <v>2E-3</v>
      </c>
      <c r="H380" s="707">
        <v>2E-3</v>
      </c>
      <c r="I380" s="769"/>
      <c r="J380" s="770"/>
      <c r="K380" s="771"/>
      <c r="L380" s="100"/>
      <c r="M380" s="101"/>
    </row>
    <row r="381" spans="3:13" ht="18" x14ac:dyDescent="0.2">
      <c r="C381" s="91"/>
      <c r="D381" s="168"/>
      <c r="E381" s="691">
        <v>45485</v>
      </c>
      <c r="F381" s="707">
        <v>2E-3</v>
      </c>
      <c r="G381" s="707">
        <v>1E-3</v>
      </c>
      <c r="H381" s="707">
        <v>0</v>
      </c>
      <c r="I381" s="769"/>
      <c r="J381" s="770"/>
      <c r="K381" s="771"/>
      <c r="L381" s="102"/>
      <c r="M381" s="101"/>
    </row>
    <row r="382" spans="3:13" ht="18" x14ac:dyDescent="0.2">
      <c r="C382" s="91"/>
      <c r="D382" s="168"/>
      <c r="E382" s="691">
        <v>45456</v>
      </c>
      <c r="F382" s="707">
        <v>-2E-3</v>
      </c>
      <c r="G382" s="707">
        <v>1E-3</v>
      </c>
      <c r="H382" s="707">
        <v>5.0000000000000001E-3</v>
      </c>
      <c r="I382" s="769"/>
      <c r="J382" s="770"/>
      <c r="K382" s="771"/>
      <c r="L382" s="100"/>
      <c r="M382" s="101"/>
    </row>
    <row r="383" spans="3:13" ht="18" x14ac:dyDescent="0.2">
      <c r="C383" s="91"/>
      <c r="D383" s="168"/>
      <c r="E383" s="691">
        <v>45426</v>
      </c>
      <c r="F383" s="707">
        <v>5.0000000000000001E-3</v>
      </c>
      <c r="G383" s="707">
        <v>3.0000000000000001E-3</v>
      </c>
      <c r="H383" s="707">
        <v>-1E-3</v>
      </c>
      <c r="I383" s="769"/>
      <c r="J383" s="770"/>
      <c r="K383" s="771"/>
      <c r="L383" s="100"/>
      <c r="M383" s="101"/>
    </row>
    <row r="384" spans="3:13" thickBot="1" x14ac:dyDescent="0.25">
      <c r="C384" s="91"/>
      <c r="D384" s="168"/>
      <c r="E384" s="691">
        <v>45393</v>
      </c>
      <c r="F384" s="707">
        <v>2E-3</v>
      </c>
      <c r="G384" s="707">
        <v>3.0000000000000001E-3</v>
      </c>
      <c r="H384" s="707">
        <v>6.0000000000000001E-3</v>
      </c>
      <c r="I384" s="772"/>
      <c r="J384" s="773"/>
      <c r="K384" s="774"/>
      <c r="L384" s="103"/>
      <c r="M384" s="104"/>
    </row>
    <row r="385" spans="3:13" ht="25" thickBot="1" x14ac:dyDescent="0.25">
      <c r="C385" s="91"/>
      <c r="D385" s="88" t="s">
        <v>105</v>
      </c>
      <c r="E385" s="686" t="s">
        <v>30</v>
      </c>
      <c r="F385" s="874" t="s">
        <v>657</v>
      </c>
      <c r="G385" s="875"/>
      <c r="H385" s="876"/>
      <c r="I385" s="846" t="s">
        <v>633</v>
      </c>
      <c r="J385" s="847"/>
      <c r="K385" s="848"/>
      <c r="L385" s="105" t="s">
        <v>430</v>
      </c>
      <c r="M385" s="106" t="s">
        <v>431</v>
      </c>
    </row>
    <row r="386" spans="3:13" x14ac:dyDescent="0.2">
      <c r="C386" s="91"/>
      <c r="D386" s="168"/>
      <c r="E386" s="687" t="s">
        <v>432</v>
      </c>
      <c r="F386" s="853"/>
      <c r="G386" s="854"/>
      <c r="H386" s="855"/>
      <c r="I386" s="769" t="s">
        <v>658</v>
      </c>
      <c r="J386" s="770"/>
      <c r="K386" s="771"/>
      <c r="L386" s="100"/>
      <c r="M386" s="101"/>
    </row>
    <row r="387" spans="3:13" x14ac:dyDescent="0.2">
      <c r="C387" s="91"/>
      <c r="D387" s="168"/>
      <c r="E387" s="688" t="s">
        <v>433</v>
      </c>
      <c r="F387" s="886"/>
      <c r="G387" s="887"/>
      <c r="H387" s="888"/>
      <c r="I387" s="769"/>
      <c r="J387" s="770"/>
      <c r="K387" s="771"/>
      <c r="L387" s="100"/>
      <c r="M387" s="101"/>
    </row>
    <row r="388" spans="3:13" ht="20" thickBot="1" x14ac:dyDescent="0.25">
      <c r="C388" s="91"/>
      <c r="D388" s="168"/>
      <c r="E388" s="688" t="s">
        <v>434</v>
      </c>
      <c r="F388" s="886">
        <v>2.7E-2</v>
      </c>
      <c r="G388" s="887"/>
      <c r="H388" s="888"/>
      <c r="I388" s="769"/>
      <c r="J388" s="770"/>
      <c r="K388" s="771"/>
      <c r="L388" s="100"/>
      <c r="M388" s="101"/>
    </row>
    <row r="389" spans="3:13" ht="20" thickBot="1" x14ac:dyDescent="0.25">
      <c r="C389" s="91"/>
      <c r="D389" s="168"/>
      <c r="E389" s="689" t="s">
        <v>435</v>
      </c>
      <c r="F389" s="871">
        <v>0.58333333333333337</v>
      </c>
      <c r="G389" s="872"/>
      <c r="H389" s="873"/>
      <c r="I389" s="769"/>
      <c r="J389" s="770"/>
      <c r="K389" s="771"/>
      <c r="L389" s="107">
        <v>0.8125</v>
      </c>
      <c r="M389" s="108">
        <v>0.70833333333333337</v>
      </c>
    </row>
    <row r="390" spans="3:13" ht="20" thickBot="1" x14ac:dyDescent="0.25">
      <c r="C390" s="91"/>
      <c r="D390" s="168"/>
      <c r="E390" s="690" t="s">
        <v>436</v>
      </c>
      <c r="F390" s="293" t="s">
        <v>29</v>
      </c>
      <c r="G390" s="293" t="s">
        <v>28</v>
      </c>
      <c r="H390" s="294" t="s">
        <v>27</v>
      </c>
      <c r="I390" s="769"/>
      <c r="J390" s="770"/>
      <c r="K390" s="771"/>
      <c r="L390" s="100"/>
      <c r="M390" s="101"/>
    </row>
    <row r="391" spans="3:13" x14ac:dyDescent="0.2">
      <c r="C391" s="91"/>
      <c r="D391" s="168"/>
      <c r="E391" s="691">
        <v>45562</v>
      </c>
      <c r="F391" s="707">
        <v>2.7E-2</v>
      </c>
      <c r="G391" s="707" t="s">
        <v>665</v>
      </c>
      <c r="H391" s="707">
        <v>2.7E-2</v>
      </c>
      <c r="I391" s="769"/>
      <c r="J391" s="770"/>
      <c r="K391" s="771"/>
      <c r="L391" s="100"/>
      <c r="M391" s="101"/>
    </row>
    <row r="392" spans="3:13" x14ac:dyDescent="0.2">
      <c r="C392" s="91"/>
      <c r="D392" s="168"/>
      <c r="E392" s="691">
        <v>45548</v>
      </c>
      <c r="F392" s="707">
        <v>2.7E-2</v>
      </c>
      <c r="G392" s="707" t="s">
        <v>666</v>
      </c>
      <c r="H392" s="707">
        <v>2.8000000000000001E-2</v>
      </c>
      <c r="I392" s="769"/>
      <c r="J392" s="770"/>
      <c r="K392" s="771"/>
      <c r="L392" s="100"/>
      <c r="M392" s="101"/>
    </row>
    <row r="393" spans="3:13" x14ac:dyDescent="0.2">
      <c r="C393" s="91"/>
      <c r="D393" s="168"/>
      <c r="E393" s="691">
        <v>45534</v>
      </c>
      <c r="F393" s="707">
        <v>2.8000000000000001E-2</v>
      </c>
      <c r="G393" s="707" t="s">
        <v>667</v>
      </c>
      <c r="H393" s="707">
        <v>2.9000000000000001E-2</v>
      </c>
      <c r="I393" s="769"/>
      <c r="J393" s="770"/>
      <c r="K393" s="771"/>
      <c r="L393" s="102"/>
      <c r="M393" s="101"/>
    </row>
    <row r="394" spans="3:13" x14ac:dyDescent="0.2">
      <c r="C394" s="91"/>
      <c r="D394" s="168"/>
      <c r="E394" s="691">
        <v>45520</v>
      </c>
      <c r="F394" s="707">
        <v>2.9000000000000001E-2</v>
      </c>
      <c r="G394" s="707" t="s">
        <v>666</v>
      </c>
      <c r="H394" s="707">
        <v>2.9000000000000001E-2</v>
      </c>
      <c r="I394" s="769"/>
      <c r="J394" s="770"/>
      <c r="K394" s="771"/>
      <c r="L394" s="100"/>
      <c r="M394" s="101"/>
    </row>
    <row r="395" spans="3:13" x14ac:dyDescent="0.2">
      <c r="C395" s="91"/>
      <c r="D395" s="168"/>
      <c r="E395" s="691">
        <v>45530</v>
      </c>
      <c r="F395" s="707">
        <v>2.9000000000000001E-2</v>
      </c>
      <c r="G395" s="707" t="s">
        <v>667</v>
      </c>
      <c r="H395" s="707">
        <v>0.03</v>
      </c>
      <c r="I395" s="769"/>
      <c r="J395" s="770"/>
      <c r="K395" s="771"/>
      <c r="L395" s="100"/>
      <c r="M395" s="101"/>
    </row>
    <row r="396" spans="3:13" ht="20" thickBot="1" x14ac:dyDescent="0.25">
      <c r="C396" s="91"/>
      <c r="D396" s="168"/>
      <c r="E396" s="691">
        <v>45485</v>
      </c>
      <c r="F396" s="707">
        <v>2.9000000000000001E-2</v>
      </c>
      <c r="G396" s="707" t="s">
        <v>667</v>
      </c>
      <c r="H396" s="707">
        <v>0.03</v>
      </c>
      <c r="I396" s="772"/>
      <c r="J396" s="773"/>
      <c r="K396" s="774"/>
      <c r="L396" s="103"/>
      <c r="M396" s="104"/>
    </row>
    <row r="397" spans="3:13" ht="25" thickBot="1" x14ac:dyDescent="0.25">
      <c r="C397" s="91"/>
      <c r="D397" s="88" t="s">
        <v>105</v>
      </c>
      <c r="E397" s="686" t="s">
        <v>30</v>
      </c>
      <c r="F397" s="874" t="s">
        <v>659</v>
      </c>
      <c r="G397" s="875"/>
      <c r="H397" s="876"/>
      <c r="I397" s="846" t="s">
        <v>633</v>
      </c>
      <c r="J397" s="847"/>
      <c r="K397" s="848"/>
      <c r="L397" s="105" t="s">
        <v>430</v>
      </c>
      <c r="M397" s="106" t="s">
        <v>431</v>
      </c>
    </row>
    <row r="398" spans="3:13" x14ac:dyDescent="0.2">
      <c r="C398" s="91"/>
      <c r="D398" s="168"/>
      <c r="E398" s="687" t="s">
        <v>432</v>
      </c>
      <c r="F398" s="853"/>
      <c r="G398" s="854"/>
      <c r="H398" s="855"/>
      <c r="I398" s="769" t="s">
        <v>660</v>
      </c>
      <c r="J398" s="770"/>
      <c r="K398" s="771"/>
      <c r="L398" s="100"/>
      <c r="M398" s="101"/>
    </row>
    <row r="399" spans="3:13" x14ac:dyDescent="0.2">
      <c r="C399" s="91"/>
      <c r="D399" s="168"/>
      <c r="E399" s="688" t="s">
        <v>433</v>
      </c>
      <c r="F399" s="886"/>
      <c r="G399" s="887"/>
      <c r="H399" s="888"/>
      <c r="I399" s="769"/>
      <c r="J399" s="770"/>
      <c r="K399" s="771"/>
      <c r="L399" s="100"/>
      <c r="M399" s="101"/>
    </row>
    <row r="400" spans="3:13" ht="20" thickBot="1" x14ac:dyDescent="0.25">
      <c r="C400" s="91"/>
      <c r="D400" s="168"/>
      <c r="E400" s="688" t="s">
        <v>434</v>
      </c>
      <c r="F400" s="886">
        <v>3.1E-2</v>
      </c>
      <c r="G400" s="887"/>
      <c r="H400" s="888"/>
      <c r="I400" s="769"/>
      <c r="J400" s="770"/>
      <c r="K400" s="771"/>
      <c r="L400" s="100"/>
      <c r="M400" s="101"/>
    </row>
    <row r="401" spans="3:13" ht="20" thickBot="1" x14ac:dyDescent="0.25">
      <c r="C401" s="91"/>
      <c r="D401" s="168"/>
      <c r="E401" s="689" t="s">
        <v>435</v>
      </c>
      <c r="F401" s="871">
        <v>0.58333333333333337</v>
      </c>
      <c r="G401" s="872"/>
      <c r="H401" s="873"/>
      <c r="I401" s="769"/>
      <c r="J401" s="770"/>
      <c r="K401" s="771"/>
      <c r="L401" s="107">
        <v>0.8125</v>
      </c>
      <c r="M401" s="108">
        <v>0.70833333333333337</v>
      </c>
    </row>
    <row r="402" spans="3:13" ht="20" thickBot="1" x14ac:dyDescent="0.25">
      <c r="C402" s="91"/>
      <c r="D402" s="168"/>
      <c r="E402" s="690" t="s">
        <v>436</v>
      </c>
      <c r="F402" s="293" t="s">
        <v>29</v>
      </c>
      <c r="G402" s="293" t="s">
        <v>28</v>
      </c>
      <c r="H402" s="294" t="s">
        <v>27</v>
      </c>
      <c r="I402" s="769"/>
      <c r="J402" s="770"/>
      <c r="K402" s="771"/>
      <c r="L402" s="100"/>
      <c r="M402" s="101"/>
    </row>
    <row r="403" spans="3:13" x14ac:dyDescent="0.2">
      <c r="C403" s="91"/>
      <c r="D403" s="168"/>
      <c r="E403" s="691">
        <v>45562</v>
      </c>
      <c r="F403" s="707">
        <v>3.1E-2</v>
      </c>
      <c r="G403" s="707" t="s">
        <v>668</v>
      </c>
      <c r="H403" s="707">
        <v>3.1E-2</v>
      </c>
      <c r="I403" s="769"/>
      <c r="J403" s="770"/>
      <c r="K403" s="771"/>
      <c r="L403" s="100"/>
      <c r="M403" s="101"/>
    </row>
    <row r="404" spans="3:13" x14ac:dyDescent="0.2">
      <c r="C404" s="91"/>
      <c r="D404" s="168"/>
      <c r="E404" s="691">
        <v>45548</v>
      </c>
      <c r="F404" s="707">
        <v>3.1E-2</v>
      </c>
      <c r="G404" s="707" t="s">
        <v>669</v>
      </c>
      <c r="H404" s="707">
        <v>0.03</v>
      </c>
      <c r="I404" s="769"/>
      <c r="J404" s="770"/>
      <c r="K404" s="771"/>
      <c r="L404" s="100"/>
      <c r="M404" s="101"/>
    </row>
    <row r="405" spans="3:13" x14ac:dyDescent="0.2">
      <c r="C405" s="91"/>
      <c r="D405" s="168"/>
      <c r="E405" s="691">
        <v>45534</v>
      </c>
      <c r="F405" s="707">
        <v>0.03</v>
      </c>
      <c r="G405" s="707" t="s">
        <v>669</v>
      </c>
      <c r="H405" s="707">
        <v>0.03</v>
      </c>
      <c r="I405" s="769"/>
      <c r="J405" s="770"/>
      <c r="K405" s="771"/>
      <c r="L405" s="102"/>
      <c r="M405" s="101"/>
    </row>
    <row r="406" spans="3:13" x14ac:dyDescent="0.2">
      <c r="C406" s="91"/>
      <c r="D406" s="168"/>
      <c r="E406" s="691">
        <v>45520</v>
      </c>
      <c r="F406" s="707">
        <v>0.03</v>
      </c>
      <c r="G406" s="707" t="s">
        <v>667</v>
      </c>
      <c r="H406" s="707">
        <v>0.03</v>
      </c>
      <c r="I406" s="769"/>
      <c r="J406" s="770"/>
      <c r="K406" s="771"/>
      <c r="L406" s="100"/>
      <c r="M406" s="101"/>
    </row>
    <row r="407" spans="3:13" x14ac:dyDescent="0.2">
      <c r="C407" s="91"/>
      <c r="D407" s="168"/>
      <c r="E407" s="691">
        <v>45530</v>
      </c>
      <c r="F407" s="707">
        <v>0.03</v>
      </c>
      <c r="G407" s="707" t="s">
        <v>667</v>
      </c>
      <c r="H407" s="707">
        <v>0.03</v>
      </c>
      <c r="I407" s="769"/>
      <c r="J407" s="770"/>
      <c r="K407" s="771"/>
      <c r="L407" s="100"/>
      <c r="M407" s="101"/>
    </row>
    <row r="408" spans="3:13" ht="20" thickBot="1" x14ac:dyDescent="0.25">
      <c r="C408" s="91"/>
      <c r="D408" s="168"/>
      <c r="E408" s="691">
        <v>45485</v>
      </c>
      <c r="F408" s="707">
        <v>2.9000000000000001E-2</v>
      </c>
      <c r="G408" s="707" t="s">
        <v>669</v>
      </c>
      <c r="H408" s="707">
        <v>0.03</v>
      </c>
      <c r="I408" s="772"/>
      <c r="J408" s="773"/>
      <c r="K408" s="774"/>
      <c r="L408" s="103"/>
      <c r="M408" s="104"/>
    </row>
    <row r="409" spans="3:13" ht="25" thickBot="1" x14ac:dyDescent="0.25">
      <c r="C409" s="91"/>
      <c r="D409" s="88" t="s">
        <v>105</v>
      </c>
      <c r="E409" s="686" t="s">
        <v>30</v>
      </c>
      <c r="F409" s="874" t="s">
        <v>661</v>
      </c>
      <c r="G409" s="875"/>
      <c r="H409" s="876"/>
      <c r="I409" s="846" t="s">
        <v>633</v>
      </c>
      <c r="J409" s="847"/>
      <c r="K409" s="848"/>
      <c r="L409" s="105" t="s">
        <v>430</v>
      </c>
      <c r="M409" s="106" t="s">
        <v>431</v>
      </c>
    </row>
    <row r="410" spans="3:13" x14ac:dyDescent="0.2">
      <c r="C410" s="91"/>
      <c r="D410" s="168"/>
      <c r="E410" s="687" t="s">
        <v>432</v>
      </c>
      <c r="F410" s="853"/>
      <c r="G410" s="854"/>
      <c r="H410" s="855"/>
      <c r="I410" s="769" t="s">
        <v>662</v>
      </c>
      <c r="J410" s="770"/>
      <c r="K410" s="771"/>
      <c r="L410" s="100"/>
      <c r="M410" s="101"/>
    </row>
    <row r="411" spans="3:13" x14ac:dyDescent="0.2">
      <c r="C411" s="91"/>
      <c r="D411" s="168"/>
      <c r="E411" s="688" t="s">
        <v>433</v>
      </c>
      <c r="F411" s="883">
        <v>75</v>
      </c>
      <c r="G411" s="884"/>
      <c r="H411" s="885"/>
      <c r="I411" s="769"/>
      <c r="J411" s="770"/>
      <c r="K411" s="771"/>
      <c r="L411" s="100"/>
      <c r="M411" s="101"/>
    </row>
    <row r="412" spans="3:13" ht="20" thickBot="1" x14ac:dyDescent="0.25">
      <c r="C412" s="91"/>
      <c r="D412" s="168"/>
      <c r="E412" s="688" t="s">
        <v>434</v>
      </c>
      <c r="F412" s="883">
        <v>74.400000000000006</v>
      </c>
      <c r="G412" s="884"/>
      <c r="H412" s="885"/>
      <c r="I412" s="769"/>
      <c r="J412" s="770"/>
      <c r="K412" s="771"/>
      <c r="L412" s="100"/>
      <c r="M412" s="101"/>
    </row>
    <row r="413" spans="3:13" ht="20" thickBot="1" x14ac:dyDescent="0.25">
      <c r="C413" s="91"/>
      <c r="D413" s="168"/>
      <c r="E413" s="689" t="s">
        <v>435</v>
      </c>
      <c r="F413" s="871">
        <v>0.58333333333333337</v>
      </c>
      <c r="G413" s="872"/>
      <c r="H413" s="873"/>
      <c r="I413" s="769"/>
      <c r="J413" s="770"/>
      <c r="K413" s="771"/>
      <c r="L413" s="107">
        <v>0.8125</v>
      </c>
      <c r="M413" s="108">
        <v>0.70833333333333337</v>
      </c>
    </row>
    <row r="414" spans="3:13" ht="20" thickBot="1" x14ac:dyDescent="0.25">
      <c r="C414" s="91"/>
      <c r="D414" s="168"/>
      <c r="E414" s="690" t="s">
        <v>436</v>
      </c>
      <c r="F414" s="293" t="s">
        <v>29</v>
      </c>
      <c r="G414" s="293" t="s">
        <v>28</v>
      </c>
      <c r="H414" s="294" t="s">
        <v>27</v>
      </c>
      <c r="I414" s="769"/>
      <c r="J414" s="770"/>
      <c r="K414" s="771"/>
      <c r="L414" s="100"/>
      <c r="M414" s="101"/>
    </row>
    <row r="415" spans="3:13" x14ac:dyDescent="0.2">
      <c r="C415" s="91"/>
      <c r="D415" s="168"/>
      <c r="E415" s="691">
        <v>45562</v>
      </c>
      <c r="F415" s="692">
        <v>74.400000000000006</v>
      </c>
      <c r="G415" s="692" t="s">
        <v>670</v>
      </c>
      <c r="H415" s="692">
        <v>73</v>
      </c>
      <c r="I415" s="769"/>
      <c r="J415" s="770"/>
      <c r="K415" s="771"/>
      <c r="L415" s="100"/>
      <c r="M415" s="101"/>
    </row>
    <row r="416" spans="3:13" x14ac:dyDescent="0.2">
      <c r="C416" s="91"/>
      <c r="D416" s="168"/>
      <c r="E416" s="691">
        <v>45548</v>
      </c>
      <c r="F416" s="692">
        <v>73</v>
      </c>
      <c r="G416" s="692" t="s">
        <v>671</v>
      </c>
      <c r="H416" s="692">
        <v>72.099999999999994</v>
      </c>
      <c r="I416" s="769"/>
      <c r="J416" s="770"/>
      <c r="K416" s="771"/>
      <c r="L416" s="100"/>
      <c r="M416" s="101"/>
    </row>
    <row r="417" spans="3:13" x14ac:dyDescent="0.2">
      <c r="C417" s="91"/>
      <c r="D417" s="168"/>
      <c r="E417" s="691">
        <v>45534</v>
      </c>
      <c r="F417" s="692">
        <v>72.099999999999994</v>
      </c>
      <c r="G417" s="692" t="s">
        <v>672</v>
      </c>
      <c r="H417" s="692">
        <v>68.8</v>
      </c>
      <c r="I417" s="769"/>
      <c r="J417" s="770"/>
      <c r="K417" s="771"/>
      <c r="L417" s="102"/>
      <c r="M417" s="101"/>
    </row>
    <row r="418" spans="3:13" x14ac:dyDescent="0.2">
      <c r="C418" s="91"/>
      <c r="D418" s="168"/>
      <c r="E418" s="691">
        <v>45520</v>
      </c>
      <c r="F418" s="692">
        <v>72.099999999999994</v>
      </c>
      <c r="G418" s="692" t="s">
        <v>673</v>
      </c>
      <c r="H418" s="692">
        <v>68.8</v>
      </c>
      <c r="I418" s="769"/>
      <c r="J418" s="770"/>
      <c r="K418" s="771"/>
      <c r="L418" s="100"/>
      <c r="M418" s="101"/>
    </row>
    <row r="419" spans="3:13" x14ac:dyDescent="0.2">
      <c r="C419" s="91"/>
      <c r="D419" s="168"/>
      <c r="E419" s="691">
        <v>45530</v>
      </c>
      <c r="F419" s="692">
        <v>68.8</v>
      </c>
      <c r="G419" s="692" t="s">
        <v>674</v>
      </c>
      <c r="H419" s="692">
        <v>69.599999999999994</v>
      </c>
      <c r="I419" s="769"/>
      <c r="J419" s="770"/>
      <c r="K419" s="771"/>
      <c r="L419" s="100"/>
      <c r="M419" s="101"/>
    </row>
    <row r="420" spans="3:13" ht="20" thickBot="1" x14ac:dyDescent="0.25">
      <c r="C420" s="91"/>
      <c r="D420" s="168"/>
      <c r="E420" s="691">
        <v>45485</v>
      </c>
      <c r="F420" s="692">
        <v>67.2</v>
      </c>
      <c r="G420" s="692" t="s">
        <v>675</v>
      </c>
      <c r="H420" s="692">
        <v>69.599999999999994</v>
      </c>
      <c r="I420" s="772"/>
      <c r="J420" s="773"/>
      <c r="K420" s="774"/>
      <c r="L420" s="103"/>
      <c r="M420" s="104"/>
    </row>
    <row r="421" spans="3:13" ht="24" thickBot="1" x14ac:dyDescent="0.25">
      <c r="C421" s="91"/>
      <c r="D421" s="88"/>
      <c r="E421" s="686"/>
      <c r="F421" s="874"/>
      <c r="G421" s="875"/>
      <c r="H421" s="876"/>
      <c r="I421" s="846"/>
      <c r="J421" s="847"/>
      <c r="K421" s="848"/>
      <c r="L421" s="105"/>
      <c r="M421" s="106"/>
    </row>
    <row r="422" spans="3:13" ht="25" thickBot="1" x14ac:dyDescent="0.25">
      <c r="C422" s="229" t="s">
        <v>105</v>
      </c>
      <c r="D422" s="229" t="s">
        <v>105</v>
      </c>
      <c r="E422" s="686" t="s">
        <v>30</v>
      </c>
      <c r="F422" s="874" t="s">
        <v>90</v>
      </c>
      <c r="G422" s="875"/>
      <c r="H422" s="876"/>
      <c r="I422" s="846" t="s">
        <v>633</v>
      </c>
      <c r="J422" s="847"/>
      <c r="K422" s="848"/>
      <c r="L422" s="105" t="s">
        <v>430</v>
      </c>
      <c r="M422" s="106" t="s">
        <v>431</v>
      </c>
    </row>
    <row r="423" spans="3:13" x14ac:dyDescent="0.2">
      <c r="C423" s="91"/>
      <c r="D423" s="91"/>
      <c r="E423" s="687" t="s">
        <v>432</v>
      </c>
      <c r="F423" s="853"/>
      <c r="G423" s="854"/>
      <c r="H423" s="855"/>
      <c r="I423" s="769" t="s">
        <v>705</v>
      </c>
      <c r="J423" s="770"/>
      <c r="K423" s="771"/>
      <c r="L423" s="100"/>
      <c r="M423" s="101"/>
    </row>
    <row r="424" spans="3:13" x14ac:dyDescent="0.2">
      <c r="C424" s="91"/>
      <c r="D424" s="91"/>
      <c r="E424" s="688" t="s">
        <v>433</v>
      </c>
      <c r="F424" s="868">
        <v>3.7499999999999999E-2</v>
      </c>
      <c r="G424" s="869"/>
      <c r="H424" s="870"/>
      <c r="I424" s="769"/>
      <c r="J424" s="770"/>
      <c r="K424" s="771"/>
      <c r="L424" s="100"/>
      <c r="M424" s="101"/>
    </row>
    <row r="425" spans="3:13" ht="20" thickBot="1" x14ac:dyDescent="0.25">
      <c r="C425" s="91"/>
      <c r="D425" s="91"/>
      <c r="E425" s="688" t="s">
        <v>434</v>
      </c>
      <c r="F425" s="868">
        <v>4.2500000000000003E-2</v>
      </c>
      <c r="G425" s="869"/>
      <c r="H425" s="870"/>
      <c r="I425" s="769"/>
      <c r="J425" s="770"/>
      <c r="K425" s="771"/>
      <c r="L425" s="100"/>
      <c r="M425" s="101"/>
    </row>
    <row r="426" spans="3:13" ht="20" thickBot="1" x14ac:dyDescent="0.25">
      <c r="C426" s="91"/>
      <c r="D426" s="91"/>
      <c r="E426" s="689" t="s">
        <v>435</v>
      </c>
      <c r="F426" s="871">
        <v>0.57291666666666674</v>
      </c>
      <c r="G426" s="872"/>
      <c r="H426" s="873"/>
      <c r="I426" s="769"/>
      <c r="J426" s="770"/>
      <c r="K426" s="771"/>
      <c r="L426" s="107">
        <v>0.80208333333333337</v>
      </c>
      <c r="M426" s="108">
        <v>0.69791666666666674</v>
      </c>
    </row>
    <row r="427" spans="3:13" ht="20" thickBot="1" x14ac:dyDescent="0.25">
      <c r="C427" s="91"/>
      <c r="D427" s="91"/>
      <c r="E427" s="690" t="s">
        <v>436</v>
      </c>
      <c r="F427" s="293" t="s">
        <v>29</v>
      </c>
      <c r="G427" s="293" t="s">
        <v>28</v>
      </c>
      <c r="H427" s="294" t="s">
        <v>27</v>
      </c>
      <c r="I427" s="769"/>
      <c r="J427" s="770"/>
      <c r="K427" s="771"/>
      <c r="L427" s="100"/>
      <c r="M427" s="101"/>
    </row>
    <row r="428" spans="3:13" x14ac:dyDescent="0.2">
      <c r="C428" s="91"/>
      <c r="D428" s="91"/>
      <c r="E428" s="691" t="s">
        <v>526</v>
      </c>
      <c r="F428" s="353">
        <v>4.2500000000000003E-2</v>
      </c>
      <c r="G428" s="353" t="s">
        <v>723</v>
      </c>
      <c r="H428" s="353">
        <v>4.4999999999999998E-2</v>
      </c>
      <c r="I428" s="769"/>
      <c r="J428" s="770"/>
      <c r="K428" s="771"/>
      <c r="L428" s="100"/>
      <c r="M428" s="101"/>
    </row>
    <row r="429" spans="3:13" x14ac:dyDescent="0.2">
      <c r="C429" s="91"/>
      <c r="D429" s="91"/>
      <c r="E429" s="691" t="s">
        <v>724</v>
      </c>
      <c r="F429" s="353">
        <v>4.4999999999999998E-2</v>
      </c>
      <c r="G429" s="353" t="s">
        <v>725</v>
      </c>
      <c r="H429" s="353">
        <v>4.7500000000000001E-2</v>
      </c>
      <c r="I429" s="769"/>
      <c r="J429" s="770"/>
      <c r="K429" s="771"/>
      <c r="L429" s="100"/>
      <c r="M429" s="101"/>
    </row>
    <row r="430" spans="3:13" x14ac:dyDescent="0.2">
      <c r="C430" s="91"/>
      <c r="D430" s="91"/>
      <c r="E430" s="691" t="s">
        <v>552</v>
      </c>
      <c r="F430" s="353">
        <v>4.7500000000000001E-2</v>
      </c>
      <c r="G430" s="353" t="s">
        <v>726</v>
      </c>
      <c r="H430" s="353">
        <v>0.05</v>
      </c>
      <c r="I430" s="769"/>
      <c r="J430" s="770"/>
      <c r="K430" s="771"/>
      <c r="L430" s="102"/>
      <c r="M430" s="101"/>
    </row>
    <row r="431" spans="3:13" x14ac:dyDescent="0.2">
      <c r="C431" s="91"/>
      <c r="D431" s="91"/>
      <c r="E431" s="691" t="s">
        <v>727</v>
      </c>
      <c r="F431" s="353">
        <v>0.05</v>
      </c>
      <c r="G431" s="353" t="s">
        <v>728</v>
      </c>
      <c r="H431" s="353">
        <v>0.05</v>
      </c>
      <c r="I431" s="769"/>
      <c r="J431" s="770"/>
      <c r="K431" s="771"/>
      <c r="L431" s="100"/>
      <c r="M431" s="101"/>
    </row>
    <row r="432" spans="3:13" x14ac:dyDescent="0.2">
      <c r="C432" s="91"/>
      <c r="D432" s="91"/>
      <c r="E432" s="691" t="s">
        <v>729</v>
      </c>
      <c r="F432" s="353">
        <v>0.05</v>
      </c>
      <c r="G432" s="353" t="s">
        <v>728</v>
      </c>
      <c r="H432" s="353">
        <v>0.05</v>
      </c>
      <c r="I432" s="769"/>
      <c r="J432" s="770"/>
      <c r="K432" s="771"/>
      <c r="L432" s="100"/>
      <c r="M432" s="101"/>
    </row>
    <row r="433" spans="3:13" ht="20" thickBot="1" x14ac:dyDescent="0.25">
      <c r="C433" s="91"/>
      <c r="D433" s="91"/>
      <c r="E433" s="691" t="s">
        <v>730</v>
      </c>
      <c r="F433" s="353">
        <v>0.05</v>
      </c>
      <c r="G433" s="353" t="s">
        <v>728</v>
      </c>
      <c r="H433" s="353">
        <v>0.05</v>
      </c>
      <c r="I433" s="772"/>
      <c r="J433" s="773"/>
      <c r="K433" s="774"/>
      <c r="L433" s="103"/>
      <c r="M433" s="104"/>
    </row>
    <row r="434" spans="3:13" ht="25" thickBot="1" x14ac:dyDescent="0.25">
      <c r="C434" s="91"/>
      <c r="D434" s="91"/>
      <c r="E434" s="686" t="s">
        <v>30</v>
      </c>
      <c r="F434" s="874" t="s">
        <v>706</v>
      </c>
      <c r="G434" s="875"/>
      <c r="H434" s="876"/>
      <c r="I434" s="846" t="s">
        <v>633</v>
      </c>
      <c r="J434" s="847"/>
      <c r="K434" s="848"/>
      <c r="L434" s="105" t="s">
        <v>430</v>
      </c>
      <c r="M434" s="106" t="s">
        <v>431</v>
      </c>
    </row>
    <row r="435" spans="3:13" x14ac:dyDescent="0.2">
      <c r="C435" s="91"/>
      <c r="D435" s="91"/>
      <c r="E435" s="687" t="s">
        <v>432</v>
      </c>
      <c r="F435" s="853"/>
      <c r="G435" s="854"/>
      <c r="H435" s="855"/>
      <c r="I435" s="769" t="s">
        <v>708</v>
      </c>
      <c r="J435" s="770"/>
      <c r="K435" s="771"/>
      <c r="L435" s="100"/>
      <c r="M435" s="101"/>
    </row>
    <row r="436" spans="3:13" x14ac:dyDescent="0.2">
      <c r="C436" s="91"/>
      <c r="D436" s="91"/>
      <c r="E436" s="688" t="s">
        <v>433</v>
      </c>
      <c r="F436" s="868" t="s">
        <v>707</v>
      </c>
      <c r="G436" s="869"/>
      <c r="H436" s="870"/>
      <c r="I436" s="769"/>
      <c r="J436" s="770"/>
      <c r="K436" s="771"/>
      <c r="L436" s="100"/>
      <c r="M436" s="101"/>
    </row>
    <row r="437" spans="3:13" ht="20" thickBot="1" x14ac:dyDescent="0.25">
      <c r="C437" s="91"/>
      <c r="D437" s="91"/>
      <c r="E437" s="688" t="s">
        <v>434</v>
      </c>
      <c r="F437" s="868" t="s">
        <v>349</v>
      </c>
      <c r="G437" s="869"/>
      <c r="H437" s="870"/>
      <c r="I437" s="769"/>
      <c r="J437" s="770"/>
      <c r="K437" s="771"/>
      <c r="L437" s="100"/>
      <c r="M437" s="101"/>
    </row>
    <row r="438" spans="3:13" ht="20" thickBot="1" x14ac:dyDescent="0.25">
      <c r="C438" s="91"/>
      <c r="D438" s="91"/>
      <c r="E438" s="689" t="s">
        <v>435</v>
      </c>
      <c r="F438" s="871">
        <v>0.58333333333333337</v>
      </c>
      <c r="G438" s="872"/>
      <c r="H438" s="873"/>
      <c r="I438" s="769"/>
      <c r="J438" s="770"/>
      <c r="K438" s="771"/>
      <c r="L438" s="107">
        <v>0.8125</v>
      </c>
      <c r="M438" s="108">
        <v>0.70833333333333337</v>
      </c>
    </row>
    <row r="439" spans="3:13" ht="20" thickBot="1" x14ac:dyDescent="0.25">
      <c r="C439" s="91"/>
      <c r="D439" s="91"/>
      <c r="E439" s="690" t="s">
        <v>436</v>
      </c>
      <c r="F439" s="293" t="s">
        <v>29</v>
      </c>
      <c r="G439" s="293" t="s">
        <v>28</v>
      </c>
      <c r="H439" s="294" t="s">
        <v>27</v>
      </c>
      <c r="I439" s="769"/>
      <c r="J439" s="770"/>
      <c r="K439" s="771"/>
      <c r="L439" s="100"/>
      <c r="M439" s="101"/>
    </row>
    <row r="440" spans="3:13" x14ac:dyDescent="0.2">
      <c r="C440" s="91"/>
      <c r="D440" s="91"/>
      <c r="E440" s="691" t="s">
        <v>575</v>
      </c>
      <c r="F440" s="353" t="s">
        <v>349</v>
      </c>
      <c r="G440" s="353" t="s">
        <v>735</v>
      </c>
      <c r="H440" s="353" t="s">
        <v>351</v>
      </c>
      <c r="I440" s="769"/>
      <c r="J440" s="770"/>
      <c r="K440" s="771"/>
      <c r="L440" s="100"/>
      <c r="M440" s="101"/>
    </row>
    <row r="441" spans="3:13" x14ac:dyDescent="0.2">
      <c r="C441" s="91"/>
      <c r="D441" s="91"/>
      <c r="E441" s="691" t="s">
        <v>583</v>
      </c>
      <c r="F441" s="353" t="s">
        <v>736</v>
      </c>
      <c r="G441" s="353" t="s">
        <v>737</v>
      </c>
      <c r="H441" s="353" t="s">
        <v>738</v>
      </c>
      <c r="I441" s="769"/>
      <c r="J441" s="770"/>
      <c r="K441" s="771"/>
      <c r="L441" s="100"/>
      <c r="M441" s="101"/>
    </row>
    <row r="442" spans="3:13" x14ac:dyDescent="0.2">
      <c r="C442" s="91"/>
      <c r="D442" s="91"/>
      <c r="E442" s="691" t="s">
        <v>739</v>
      </c>
      <c r="F442" s="353" t="s">
        <v>740</v>
      </c>
      <c r="G442" s="353" t="s">
        <v>741</v>
      </c>
      <c r="H442" s="353" t="s">
        <v>78</v>
      </c>
      <c r="I442" s="769"/>
      <c r="J442" s="770"/>
      <c r="K442" s="771"/>
      <c r="L442" s="102"/>
      <c r="M442" s="101"/>
    </row>
    <row r="443" spans="3:13" x14ac:dyDescent="0.2">
      <c r="C443" s="91"/>
      <c r="D443" s="91"/>
      <c r="E443" s="691" t="s">
        <v>742</v>
      </c>
      <c r="F443" s="353" t="s">
        <v>78</v>
      </c>
      <c r="G443" s="353" t="s">
        <v>743</v>
      </c>
      <c r="H443" s="353" t="s">
        <v>744</v>
      </c>
      <c r="I443" s="769"/>
      <c r="J443" s="770"/>
      <c r="K443" s="771"/>
      <c r="L443" s="100"/>
      <c r="M443" s="101"/>
    </row>
    <row r="444" spans="3:13" x14ac:dyDescent="0.2">
      <c r="C444" s="91"/>
      <c r="D444" s="91"/>
      <c r="E444" s="691" t="s">
        <v>745</v>
      </c>
      <c r="F444" s="353" t="s">
        <v>744</v>
      </c>
      <c r="G444" s="353" t="s">
        <v>746</v>
      </c>
      <c r="H444" s="353" t="s">
        <v>747</v>
      </c>
      <c r="I444" s="769"/>
      <c r="J444" s="770"/>
      <c r="K444" s="771"/>
      <c r="L444" s="100"/>
      <c r="M444" s="101"/>
    </row>
    <row r="445" spans="3:13" ht="20" thickBot="1" x14ac:dyDescent="0.25">
      <c r="C445" s="91"/>
      <c r="D445" s="91"/>
      <c r="E445" s="691" t="s">
        <v>748</v>
      </c>
      <c r="F445" s="353" t="s">
        <v>749</v>
      </c>
      <c r="G445" s="353" t="s">
        <v>750</v>
      </c>
      <c r="H445" s="353" t="s">
        <v>751</v>
      </c>
      <c r="I445" s="772"/>
      <c r="J445" s="773"/>
      <c r="K445" s="774"/>
      <c r="L445" s="103"/>
      <c r="M445" s="104"/>
    </row>
    <row r="446" spans="3:13" ht="25" thickBot="1" x14ac:dyDescent="0.25">
      <c r="C446" s="91"/>
      <c r="D446" s="88" t="s">
        <v>105</v>
      </c>
      <c r="E446" s="686" t="s">
        <v>30</v>
      </c>
      <c r="F446" s="874" t="s">
        <v>9</v>
      </c>
      <c r="G446" s="875"/>
      <c r="H446" s="876"/>
      <c r="I446" s="846" t="s">
        <v>633</v>
      </c>
      <c r="J446" s="847"/>
      <c r="K446" s="848"/>
      <c r="L446" s="105" t="s">
        <v>430</v>
      </c>
      <c r="M446" s="106" t="s">
        <v>431</v>
      </c>
    </row>
    <row r="447" spans="3:13" x14ac:dyDescent="0.2">
      <c r="C447" s="91"/>
      <c r="D447" s="168"/>
      <c r="E447" s="687" t="s">
        <v>432</v>
      </c>
      <c r="F447" s="853"/>
      <c r="G447" s="854"/>
      <c r="H447" s="855"/>
      <c r="I447" s="769" t="s">
        <v>701</v>
      </c>
      <c r="J447" s="770"/>
      <c r="K447" s="771"/>
      <c r="L447" s="100"/>
      <c r="M447" s="101"/>
    </row>
    <row r="448" spans="3:13" x14ac:dyDescent="0.2">
      <c r="C448" s="91"/>
      <c r="D448" s="168"/>
      <c r="E448" s="688" t="s">
        <v>433</v>
      </c>
      <c r="F448" s="868"/>
      <c r="G448" s="869"/>
      <c r="H448" s="870"/>
      <c r="I448" s="769"/>
      <c r="J448" s="770"/>
      <c r="K448" s="771"/>
      <c r="L448" s="100"/>
      <c r="M448" s="101"/>
    </row>
    <row r="449" spans="3:13" ht="20" thickBot="1" x14ac:dyDescent="0.25">
      <c r="C449" s="91"/>
      <c r="D449" s="168"/>
      <c r="E449" s="688" t="s">
        <v>434</v>
      </c>
      <c r="F449" s="868" t="s">
        <v>699</v>
      </c>
      <c r="G449" s="869"/>
      <c r="H449" s="870"/>
      <c r="I449" s="769"/>
      <c r="J449" s="770"/>
      <c r="K449" s="771"/>
      <c r="L449" s="100"/>
      <c r="M449" s="101"/>
    </row>
    <row r="450" spans="3:13" ht="20" thickBot="1" x14ac:dyDescent="0.25">
      <c r="C450" s="91"/>
      <c r="D450" s="168"/>
      <c r="E450" s="689" t="s">
        <v>435</v>
      </c>
      <c r="F450" s="871">
        <v>0.60416666666666674</v>
      </c>
      <c r="G450" s="872"/>
      <c r="H450" s="873"/>
      <c r="I450" s="769"/>
      <c r="J450" s="770"/>
      <c r="K450" s="771"/>
      <c r="L450" s="107">
        <v>0.83333333333333337</v>
      </c>
      <c r="M450" s="108">
        <v>0.72916666666666674</v>
      </c>
    </row>
    <row r="451" spans="3:13" ht="20" thickBot="1" x14ac:dyDescent="0.25">
      <c r="C451" s="91"/>
      <c r="D451" s="168"/>
      <c r="E451" s="690" t="s">
        <v>436</v>
      </c>
      <c r="F451" s="293" t="s">
        <v>29</v>
      </c>
      <c r="G451" s="293" t="s">
        <v>28</v>
      </c>
      <c r="H451" s="294" t="s">
        <v>27</v>
      </c>
      <c r="I451" s="769"/>
      <c r="J451" s="770"/>
      <c r="K451" s="771"/>
      <c r="L451" s="100"/>
      <c r="M451" s="101"/>
    </row>
    <row r="452" spans="3:13" x14ac:dyDescent="0.2">
      <c r="C452" s="91"/>
      <c r="D452" s="168"/>
      <c r="E452" s="691">
        <v>45582</v>
      </c>
      <c r="F452" s="707" t="s">
        <v>699</v>
      </c>
      <c r="G452" s="707" t="s">
        <v>731</v>
      </c>
      <c r="H452" s="707" t="s">
        <v>677</v>
      </c>
      <c r="I452" s="769"/>
      <c r="J452" s="770"/>
      <c r="K452" s="771"/>
      <c r="L452" s="100"/>
      <c r="M452" s="101"/>
    </row>
    <row r="453" spans="3:13" x14ac:dyDescent="0.2">
      <c r="C453" s="91"/>
      <c r="D453" s="168"/>
      <c r="E453" s="691">
        <v>45574</v>
      </c>
      <c r="F453" s="707" t="s">
        <v>677</v>
      </c>
      <c r="G453" s="707" t="s">
        <v>732</v>
      </c>
      <c r="H453" s="707" t="s">
        <v>637</v>
      </c>
      <c r="I453" s="769"/>
      <c r="J453" s="770"/>
      <c r="K453" s="771"/>
      <c r="L453" s="100"/>
      <c r="M453" s="101"/>
    </row>
    <row r="454" spans="3:13" x14ac:dyDescent="0.2">
      <c r="C454" s="91"/>
      <c r="D454" s="168"/>
      <c r="E454" s="691">
        <v>45567</v>
      </c>
      <c r="F454" s="707" t="s">
        <v>637</v>
      </c>
      <c r="G454" s="707" t="s">
        <v>733</v>
      </c>
      <c r="H454" s="707" t="s">
        <v>380</v>
      </c>
      <c r="I454" s="769"/>
      <c r="J454" s="770"/>
      <c r="K454" s="771"/>
      <c r="L454" s="102"/>
      <c r="M454" s="101"/>
    </row>
    <row r="455" spans="3:13" x14ac:dyDescent="0.2">
      <c r="C455" s="91"/>
      <c r="D455" s="168"/>
      <c r="E455" s="691">
        <v>45560</v>
      </c>
      <c r="F455" s="707" t="s">
        <v>380</v>
      </c>
      <c r="G455" s="707" t="s">
        <v>564</v>
      </c>
      <c r="H455" s="707" t="s">
        <v>337</v>
      </c>
      <c r="I455" s="769"/>
      <c r="J455" s="770"/>
      <c r="K455" s="771"/>
      <c r="L455" s="100"/>
      <c r="M455" s="101"/>
    </row>
    <row r="456" spans="3:13" x14ac:dyDescent="0.2">
      <c r="C456" s="91"/>
      <c r="D456" s="168"/>
      <c r="E456" s="691">
        <v>45553</v>
      </c>
      <c r="F456" s="707" t="s">
        <v>337</v>
      </c>
      <c r="G456" s="707" t="s">
        <v>565</v>
      </c>
      <c r="H456" s="707" t="s">
        <v>339</v>
      </c>
      <c r="I456" s="769"/>
      <c r="J456" s="770"/>
      <c r="K456" s="771"/>
      <c r="L456" s="100"/>
      <c r="M456" s="101"/>
    </row>
    <row r="457" spans="3:13" ht="20" thickBot="1" x14ac:dyDescent="0.25">
      <c r="C457" s="91"/>
      <c r="D457" s="168"/>
      <c r="E457" s="691">
        <v>45546</v>
      </c>
      <c r="F457" s="707" t="s">
        <v>339</v>
      </c>
      <c r="G457" s="707" t="s">
        <v>567</v>
      </c>
      <c r="H457" s="707" t="s">
        <v>312</v>
      </c>
      <c r="I457" s="772"/>
      <c r="J457" s="773"/>
      <c r="K457" s="774"/>
      <c r="L457" s="103"/>
      <c r="M457" s="104"/>
    </row>
    <row r="458" spans="3:13" ht="25" thickBot="1" x14ac:dyDescent="0.25">
      <c r="C458" s="91"/>
      <c r="D458" s="88" t="s">
        <v>105</v>
      </c>
      <c r="E458" s="686" t="s">
        <v>30</v>
      </c>
      <c r="F458" s="874" t="s">
        <v>709</v>
      </c>
      <c r="G458" s="875"/>
      <c r="H458" s="876"/>
      <c r="I458" s="846" t="s">
        <v>633</v>
      </c>
      <c r="J458" s="847"/>
      <c r="K458" s="848"/>
      <c r="L458" s="105" t="s">
        <v>430</v>
      </c>
      <c r="M458" s="106" t="s">
        <v>431</v>
      </c>
    </row>
    <row r="459" spans="3:13" x14ac:dyDescent="0.2">
      <c r="C459" s="91"/>
      <c r="D459" s="168"/>
      <c r="E459" s="687" t="s">
        <v>432</v>
      </c>
      <c r="F459" s="853"/>
      <c r="G459" s="854"/>
      <c r="H459" s="855"/>
      <c r="I459" s="769">
        <v>0</v>
      </c>
      <c r="J459" s="770"/>
      <c r="K459" s="771"/>
      <c r="L459" s="100"/>
      <c r="M459" s="101"/>
    </row>
    <row r="460" spans="3:13" x14ac:dyDescent="0.2">
      <c r="C460" s="91"/>
      <c r="D460" s="168"/>
      <c r="E460" s="688" t="s">
        <v>433</v>
      </c>
      <c r="F460" s="883">
        <v>0.6</v>
      </c>
      <c r="G460" s="884"/>
      <c r="H460" s="885"/>
      <c r="I460" s="769"/>
      <c r="J460" s="770"/>
      <c r="K460" s="771"/>
      <c r="L460" s="100"/>
      <c r="M460" s="101"/>
    </row>
    <row r="461" spans="3:13" ht="20" thickBot="1" x14ac:dyDescent="0.25">
      <c r="C461" s="91"/>
      <c r="D461" s="168"/>
      <c r="E461" s="688" t="s">
        <v>434</v>
      </c>
      <c r="F461" s="883">
        <v>0.66</v>
      </c>
      <c r="G461" s="884"/>
      <c r="H461" s="885"/>
      <c r="I461" s="769"/>
      <c r="J461" s="770"/>
      <c r="K461" s="771"/>
      <c r="L461" s="100"/>
      <c r="M461" s="101"/>
    </row>
    <row r="462" spans="3:13" ht="20" thickBot="1" x14ac:dyDescent="0.25">
      <c r="C462" s="91"/>
      <c r="D462" s="168"/>
      <c r="E462" s="689" t="s">
        <v>435</v>
      </c>
      <c r="F462" s="871">
        <v>0.87500000000000011</v>
      </c>
      <c r="G462" s="872"/>
      <c r="H462" s="873"/>
      <c r="I462" s="769"/>
      <c r="J462" s="770"/>
      <c r="K462" s="771"/>
      <c r="L462" s="107">
        <v>1.1041666666666667</v>
      </c>
      <c r="M462" s="108">
        <v>1</v>
      </c>
    </row>
    <row r="463" spans="3:13" ht="20" thickBot="1" x14ac:dyDescent="0.25">
      <c r="C463" s="91"/>
      <c r="D463" s="168"/>
      <c r="E463" s="690" t="s">
        <v>436</v>
      </c>
      <c r="F463" s="293" t="s">
        <v>29</v>
      </c>
      <c r="G463" s="293" t="s">
        <v>28</v>
      </c>
      <c r="H463" s="294" t="s">
        <v>27</v>
      </c>
      <c r="I463" s="769"/>
      <c r="J463" s="770"/>
      <c r="K463" s="771"/>
      <c r="L463" s="100"/>
      <c r="M463" s="101"/>
    </row>
    <row r="464" spans="3:13" ht="18" x14ac:dyDescent="0.2">
      <c r="C464" s="91"/>
      <c r="D464" s="168"/>
      <c r="E464" s="691">
        <v>45496</v>
      </c>
      <c r="F464" s="692">
        <v>0.52</v>
      </c>
      <c r="G464" s="692">
        <v>0.61</v>
      </c>
      <c r="H464" s="692">
        <v>0.91</v>
      </c>
      <c r="I464" s="769"/>
      <c r="J464" s="770"/>
      <c r="K464" s="771"/>
      <c r="L464" s="100"/>
      <c r="M464" s="101"/>
    </row>
    <row r="465" spans="3:13" ht="18" x14ac:dyDescent="0.2">
      <c r="C465" s="91"/>
      <c r="D465" s="168"/>
      <c r="E465" s="691">
        <v>45405</v>
      </c>
      <c r="F465" s="692">
        <v>0.45</v>
      </c>
      <c r="G465" s="692">
        <v>0.49</v>
      </c>
      <c r="H465" s="692">
        <v>0.85</v>
      </c>
      <c r="I465" s="769"/>
      <c r="J465" s="770"/>
      <c r="K465" s="771"/>
      <c r="L465" s="100"/>
      <c r="M465" s="101"/>
    </row>
    <row r="466" spans="3:13" ht="18" x14ac:dyDescent="0.2">
      <c r="C466" s="91"/>
      <c r="D466" s="168"/>
      <c r="E466" s="691">
        <v>45315</v>
      </c>
      <c r="F466" s="692">
        <v>0.71</v>
      </c>
      <c r="G466" s="692">
        <v>0.73</v>
      </c>
      <c r="H466" s="692">
        <v>1.19</v>
      </c>
      <c r="I466" s="769"/>
      <c r="J466" s="770"/>
      <c r="K466" s="771"/>
      <c r="L466" s="102"/>
      <c r="M466" s="101"/>
    </row>
    <row r="467" spans="3:13" ht="18" x14ac:dyDescent="0.2">
      <c r="C467" s="91"/>
      <c r="D467" s="168"/>
      <c r="E467" s="691">
        <v>45217</v>
      </c>
      <c r="F467" s="692">
        <v>0.66</v>
      </c>
      <c r="G467" s="692">
        <v>0.73</v>
      </c>
      <c r="H467" s="692">
        <v>1.05</v>
      </c>
      <c r="I467" s="769"/>
      <c r="J467" s="770"/>
      <c r="K467" s="771"/>
      <c r="L467" s="100"/>
      <c r="M467" s="101"/>
    </row>
    <row r="468" spans="3:13" ht="18" x14ac:dyDescent="0.2">
      <c r="C468" s="91"/>
      <c r="D468" s="168"/>
      <c r="E468" s="691">
        <v>45126</v>
      </c>
      <c r="F468" s="692">
        <v>0.91</v>
      </c>
      <c r="G468" s="692">
        <v>0.79</v>
      </c>
      <c r="H468" s="692">
        <v>0.75700000000000001</v>
      </c>
      <c r="I468" s="769"/>
      <c r="J468" s="770"/>
      <c r="K468" s="771"/>
      <c r="L468" s="100"/>
      <c r="M468" s="101"/>
    </row>
    <row r="469" spans="3:13" thickBot="1" x14ac:dyDescent="0.25">
      <c r="C469" s="91"/>
      <c r="D469" s="168"/>
      <c r="E469" s="691">
        <v>45035</v>
      </c>
      <c r="F469" s="692">
        <v>0.85</v>
      </c>
      <c r="G469" s="692">
        <v>0.85</v>
      </c>
      <c r="H469" s="692">
        <v>1.073</v>
      </c>
      <c r="I469" s="772"/>
      <c r="J469" s="773"/>
      <c r="K469" s="774"/>
      <c r="L469" s="103"/>
      <c r="M469" s="104"/>
    </row>
    <row r="470" spans="3:13" ht="25" thickBot="1" x14ac:dyDescent="0.25">
      <c r="C470" s="91"/>
      <c r="D470" s="88" t="s">
        <v>105</v>
      </c>
      <c r="E470" s="686" t="s">
        <v>30</v>
      </c>
      <c r="F470" s="874" t="s">
        <v>711</v>
      </c>
      <c r="G470" s="875"/>
      <c r="H470" s="876"/>
      <c r="I470" s="849" t="s">
        <v>633</v>
      </c>
      <c r="J470" s="847"/>
      <c r="K470" s="848"/>
      <c r="L470" s="105" t="s">
        <v>430</v>
      </c>
      <c r="M470" s="106" t="s">
        <v>431</v>
      </c>
    </row>
    <row r="471" spans="3:13" x14ac:dyDescent="0.2">
      <c r="C471" s="91"/>
      <c r="D471" s="168"/>
      <c r="E471" s="687" t="s">
        <v>432</v>
      </c>
      <c r="F471" s="853"/>
      <c r="G471" s="854"/>
      <c r="H471" s="855"/>
      <c r="I471" s="769" t="s">
        <v>712</v>
      </c>
      <c r="J471" s="770"/>
      <c r="K471" s="771"/>
      <c r="L471" s="100"/>
      <c r="M471" s="101"/>
    </row>
    <row r="472" spans="3:13" x14ac:dyDescent="0.2">
      <c r="C472" s="91"/>
      <c r="D472" s="168"/>
      <c r="E472" s="688" t="s">
        <v>433</v>
      </c>
      <c r="F472" s="877">
        <v>0</v>
      </c>
      <c r="G472" s="878"/>
      <c r="H472" s="879"/>
      <c r="I472" s="769"/>
      <c r="J472" s="770"/>
      <c r="K472" s="771"/>
      <c r="L472" s="100"/>
      <c r="M472" s="101"/>
    </row>
    <row r="473" spans="3:13" ht="20" thickBot="1" x14ac:dyDescent="0.25">
      <c r="C473" s="91"/>
      <c r="D473" s="168"/>
      <c r="E473" s="688" t="s">
        <v>434</v>
      </c>
      <c r="F473" s="877">
        <v>52.6</v>
      </c>
      <c r="G473" s="878"/>
      <c r="H473" s="879"/>
      <c r="I473" s="769"/>
      <c r="J473" s="770"/>
      <c r="K473" s="771"/>
      <c r="L473" s="100"/>
      <c r="M473" s="101"/>
    </row>
    <row r="474" spans="3:13" ht="20" thickBot="1" x14ac:dyDescent="0.25">
      <c r="C474" s="91"/>
      <c r="D474" s="168"/>
      <c r="E474" s="689" t="s">
        <v>435</v>
      </c>
      <c r="F474" s="871">
        <v>0.35416666666666674</v>
      </c>
      <c r="G474" s="872"/>
      <c r="H474" s="873"/>
      <c r="I474" s="769"/>
      <c r="J474" s="770"/>
      <c r="K474" s="771"/>
      <c r="L474" s="107">
        <v>0.58333333333333337</v>
      </c>
      <c r="M474" s="108">
        <v>0.47916666666666669</v>
      </c>
    </row>
    <row r="475" spans="3:13" ht="20" thickBot="1" x14ac:dyDescent="0.25">
      <c r="C475" s="91"/>
      <c r="D475" s="168"/>
      <c r="E475" s="690" t="s">
        <v>436</v>
      </c>
      <c r="F475" s="293" t="s">
        <v>29</v>
      </c>
      <c r="G475" s="293" t="s">
        <v>28</v>
      </c>
      <c r="H475" s="294" t="s">
        <v>27</v>
      </c>
      <c r="I475" s="769"/>
      <c r="J475" s="770"/>
      <c r="K475" s="771"/>
      <c r="L475" s="100"/>
      <c r="M475" s="101"/>
    </row>
    <row r="476" spans="3:13" x14ac:dyDescent="0.2">
      <c r="C476" s="91"/>
      <c r="D476" s="168"/>
      <c r="E476" s="691" t="s">
        <v>752</v>
      </c>
      <c r="F476" s="362">
        <v>52.6</v>
      </c>
      <c r="G476" s="362" t="s">
        <v>753</v>
      </c>
      <c r="H476" s="362">
        <v>53.8</v>
      </c>
      <c r="I476" s="769"/>
      <c r="J476" s="770"/>
      <c r="K476" s="771"/>
      <c r="L476" s="100"/>
      <c r="M476" s="101"/>
    </row>
    <row r="477" spans="3:13" x14ac:dyDescent="0.2">
      <c r="C477" s="91"/>
      <c r="D477" s="168"/>
      <c r="E477" s="691" t="s">
        <v>499</v>
      </c>
      <c r="F477" s="362">
        <v>52.9</v>
      </c>
      <c r="G477" s="362" t="s">
        <v>754</v>
      </c>
      <c r="H477" s="362">
        <v>53.8</v>
      </c>
      <c r="I477" s="769"/>
      <c r="J477" s="770"/>
      <c r="K477" s="771"/>
      <c r="L477" s="100"/>
      <c r="M477" s="101"/>
    </row>
    <row r="478" spans="3:13" x14ac:dyDescent="0.2">
      <c r="C478" s="91"/>
      <c r="D478" s="168"/>
      <c r="E478" s="691" t="s">
        <v>526</v>
      </c>
      <c r="F478" s="362">
        <v>53.8</v>
      </c>
      <c r="G478" s="362" t="s">
        <v>755</v>
      </c>
      <c r="H478" s="362">
        <v>52.8</v>
      </c>
      <c r="I478" s="769"/>
      <c r="J478" s="770"/>
      <c r="K478" s="771"/>
      <c r="L478" s="102"/>
      <c r="M478" s="101"/>
    </row>
    <row r="479" spans="3:13" x14ac:dyDescent="0.2">
      <c r="C479" s="91"/>
      <c r="D479" s="168"/>
      <c r="E479" s="691" t="s">
        <v>503</v>
      </c>
      <c r="F479" s="362">
        <v>53.4</v>
      </c>
      <c r="G479" s="362" t="s">
        <v>753</v>
      </c>
      <c r="H479" s="362">
        <v>52.8</v>
      </c>
      <c r="I479" s="769"/>
      <c r="J479" s="770"/>
      <c r="K479" s="771"/>
      <c r="L479" s="100"/>
      <c r="M479" s="101"/>
    </row>
    <row r="480" spans="3:13" x14ac:dyDescent="0.2">
      <c r="C480" s="91"/>
      <c r="D480" s="168"/>
      <c r="E480" s="691" t="s">
        <v>588</v>
      </c>
      <c r="F480" s="362">
        <v>52.8</v>
      </c>
      <c r="G480" s="362" t="s">
        <v>756</v>
      </c>
      <c r="H480" s="362">
        <v>52.3</v>
      </c>
      <c r="I480" s="769"/>
      <c r="J480" s="770"/>
      <c r="K480" s="771"/>
      <c r="L480" s="100"/>
      <c r="M480" s="101"/>
    </row>
    <row r="481" spans="3:13" ht="20" thickBot="1" x14ac:dyDescent="0.25">
      <c r="C481" s="91"/>
      <c r="D481" s="168"/>
      <c r="E481" s="691" t="s">
        <v>505</v>
      </c>
      <c r="F481" s="362">
        <v>52.7</v>
      </c>
      <c r="G481" s="362" t="s">
        <v>596</v>
      </c>
      <c r="H481" s="362">
        <v>52.3</v>
      </c>
      <c r="I481" s="772"/>
      <c r="J481" s="773"/>
      <c r="K481" s="774"/>
      <c r="L481" s="103"/>
      <c r="M481" s="104"/>
    </row>
    <row r="482" spans="3:13" ht="25" thickBot="1" x14ac:dyDescent="0.25">
      <c r="C482" s="91"/>
      <c r="D482" s="88" t="s">
        <v>105</v>
      </c>
      <c r="E482" s="686" t="s">
        <v>30</v>
      </c>
      <c r="F482" s="874" t="s">
        <v>14</v>
      </c>
      <c r="G482" s="875"/>
      <c r="H482" s="876"/>
      <c r="I482" s="849" t="s">
        <v>633</v>
      </c>
      <c r="J482" s="847"/>
      <c r="K482" s="848"/>
      <c r="L482" s="105" t="s">
        <v>430</v>
      </c>
      <c r="M482" s="106" t="s">
        <v>431</v>
      </c>
    </row>
    <row r="483" spans="3:13" x14ac:dyDescent="0.2">
      <c r="C483" s="91"/>
      <c r="D483" s="168"/>
      <c r="E483" s="687" t="s">
        <v>432</v>
      </c>
      <c r="F483" s="880"/>
      <c r="G483" s="881"/>
      <c r="H483" s="882"/>
      <c r="I483" s="769" t="s">
        <v>693</v>
      </c>
      <c r="J483" s="770"/>
      <c r="K483" s="771"/>
      <c r="L483" s="100"/>
      <c r="M483" s="101"/>
    </row>
    <row r="484" spans="3:13" x14ac:dyDescent="0.2">
      <c r="C484" s="91"/>
      <c r="D484" s="168"/>
      <c r="E484" s="688" t="s">
        <v>433</v>
      </c>
      <c r="F484" s="868" t="s">
        <v>99</v>
      </c>
      <c r="G484" s="869"/>
      <c r="H484" s="870"/>
      <c r="I484" s="769"/>
      <c r="J484" s="770"/>
      <c r="K484" s="771"/>
      <c r="L484" s="100"/>
      <c r="M484" s="101"/>
    </row>
    <row r="485" spans="3:13" ht="20" thickBot="1" x14ac:dyDescent="0.25">
      <c r="C485" s="91"/>
      <c r="D485" s="168"/>
      <c r="E485" s="688" t="s">
        <v>434</v>
      </c>
      <c r="F485" s="868" t="s">
        <v>171</v>
      </c>
      <c r="G485" s="869"/>
      <c r="H485" s="870"/>
      <c r="I485" s="769"/>
      <c r="J485" s="770"/>
      <c r="K485" s="771"/>
      <c r="L485" s="100"/>
      <c r="M485" s="101"/>
    </row>
    <row r="486" spans="3:13" ht="20" thickBot="1" x14ac:dyDescent="0.25">
      <c r="C486" s="91"/>
      <c r="D486" s="168"/>
      <c r="E486" s="689" t="s">
        <v>435</v>
      </c>
      <c r="F486" s="871">
        <v>0.52083333333333337</v>
      </c>
      <c r="G486" s="872"/>
      <c r="H486" s="873"/>
      <c r="I486" s="769"/>
      <c r="J486" s="770"/>
      <c r="K486" s="771"/>
      <c r="L486" s="107">
        <v>0.75</v>
      </c>
      <c r="M486" s="108">
        <v>0.64583333333333337</v>
      </c>
    </row>
    <row r="487" spans="3:13" ht="20" thickBot="1" x14ac:dyDescent="0.25">
      <c r="C487" s="91"/>
      <c r="D487" s="168"/>
      <c r="E487" s="690" t="s">
        <v>436</v>
      </c>
      <c r="F487" s="293" t="s">
        <v>29</v>
      </c>
      <c r="G487" s="293" t="s">
        <v>28</v>
      </c>
      <c r="H487" s="294" t="s">
        <v>27</v>
      </c>
      <c r="I487" s="769"/>
      <c r="J487" s="770"/>
      <c r="K487" s="771"/>
      <c r="L487" s="100"/>
      <c r="M487" s="101"/>
    </row>
    <row r="488" spans="3:13" x14ac:dyDescent="0.2">
      <c r="C488" s="91"/>
      <c r="D488" s="168"/>
      <c r="E488" s="691">
        <v>45582</v>
      </c>
      <c r="F488" s="707" t="s">
        <v>171</v>
      </c>
      <c r="G488" s="707" t="s">
        <v>171</v>
      </c>
      <c r="H488" s="707" t="s">
        <v>692</v>
      </c>
      <c r="I488" s="769"/>
      <c r="J488" s="770"/>
      <c r="K488" s="771"/>
      <c r="L488" s="100"/>
      <c r="M488" s="101"/>
    </row>
    <row r="489" spans="3:13" x14ac:dyDescent="0.2">
      <c r="C489" s="91"/>
      <c r="D489" s="168"/>
      <c r="E489" s="691">
        <v>45575</v>
      </c>
      <c r="F489" s="707" t="s">
        <v>678</v>
      </c>
      <c r="G489" s="707" t="s">
        <v>580</v>
      </c>
      <c r="H489" s="707" t="s">
        <v>638</v>
      </c>
      <c r="I489" s="769"/>
      <c r="J489" s="770"/>
      <c r="K489" s="771"/>
      <c r="L489" s="100"/>
      <c r="M489" s="101"/>
    </row>
    <row r="490" spans="3:13" x14ac:dyDescent="0.2">
      <c r="C490" s="91"/>
      <c r="D490" s="168"/>
      <c r="E490" s="691">
        <v>45568</v>
      </c>
      <c r="F490" s="707" t="s">
        <v>638</v>
      </c>
      <c r="G490" s="707" t="s">
        <v>734</v>
      </c>
      <c r="H490" s="707" t="s">
        <v>345</v>
      </c>
      <c r="I490" s="769"/>
      <c r="J490" s="770"/>
      <c r="K490" s="771"/>
      <c r="L490" s="102"/>
      <c r="M490" s="101"/>
    </row>
    <row r="491" spans="3:13" x14ac:dyDescent="0.2">
      <c r="C491" s="91"/>
      <c r="D491" s="168"/>
      <c r="E491" s="691">
        <v>45561</v>
      </c>
      <c r="F491" s="707" t="s">
        <v>382</v>
      </c>
      <c r="G491" s="707" t="s">
        <v>574</v>
      </c>
      <c r="H491" s="707" t="s">
        <v>72</v>
      </c>
      <c r="I491" s="769"/>
      <c r="J491" s="770"/>
      <c r="K491" s="771"/>
      <c r="L491" s="100"/>
      <c r="M491" s="101"/>
    </row>
    <row r="492" spans="3:13" x14ac:dyDescent="0.2">
      <c r="C492" s="91"/>
      <c r="D492" s="168"/>
      <c r="E492" s="691">
        <v>45554</v>
      </c>
      <c r="F492" s="707" t="s">
        <v>345</v>
      </c>
      <c r="G492" s="707" t="s">
        <v>576</v>
      </c>
      <c r="H492" s="707" t="s">
        <v>268</v>
      </c>
      <c r="I492" s="769"/>
      <c r="J492" s="770"/>
      <c r="K492" s="771"/>
      <c r="L492" s="100"/>
      <c r="M492" s="101"/>
    </row>
    <row r="493" spans="3:13" ht="20" thickBot="1" x14ac:dyDescent="0.25">
      <c r="C493" s="91"/>
      <c r="D493" s="168"/>
      <c r="E493" s="691">
        <v>45547</v>
      </c>
      <c r="F493" s="707" t="s">
        <v>330</v>
      </c>
      <c r="G493" s="707" t="s">
        <v>578</v>
      </c>
      <c r="H493" s="707" t="s">
        <v>579</v>
      </c>
      <c r="I493" s="772"/>
      <c r="J493" s="773"/>
      <c r="K493" s="774"/>
      <c r="L493" s="103"/>
      <c r="M493" s="104"/>
    </row>
    <row r="494" spans="3:13" ht="25" thickBot="1" x14ac:dyDescent="0.25">
      <c r="C494" s="91"/>
      <c r="D494" s="88" t="s">
        <v>105</v>
      </c>
      <c r="E494" s="686" t="s">
        <v>30</v>
      </c>
      <c r="F494" s="874" t="s">
        <v>713</v>
      </c>
      <c r="G494" s="875"/>
      <c r="H494" s="876"/>
      <c r="I494" s="846" t="s">
        <v>633</v>
      </c>
      <c r="J494" s="847"/>
      <c r="K494" s="848"/>
      <c r="L494" s="105" t="s">
        <v>430</v>
      </c>
      <c r="M494" s="106" t="s">
        <v>431</v>
      </c>
    </row>
    <row r="495" spans="3:13" x14ac:dyDescent="0.2">
      <c r="C495" s="91"/>
      <c r="D495" s="168"/>
      <c r="E495" s="687" t="s">
        <v>432</v>
      </c>
      <c r="F495" s="853"/>
      <c r="G495" s="854"/>
      <c r="H495" s="855"/>
      <c r="I495" s="769" t="s">
        <v>714</v>
      </c>
      <c r="J495" s="770"/>
      <c r="K495" s="771"/>
      <c r="L495" s="100"/>
      <c r="M495" s="101"/>
    </row>
    <row r="496" spans="3:13" x14ac:dyDescent="0.2">
      <c r="C496" s="91"/>
      <c r="D496" s="168"/>
      <c r="E496" s="688" t="s">
        <v>433</v>
      </c>
      <c r="F496" s="877">
        <v>47.5</v>
      </c>
      <c r="G496" s="878"/>
      <c r="H496" s="879"/>
      <c r="I496" s="769"/>
      <c r="J496" s="770"/>
      <c r="K496" s="771"/>
      <c r="L496" s="100"/>
      <c r="M496" s="101"/>
    </row>
    <row r="497" spans="3:13" ht="20" thickBot="1" x14ac:dyDescent="0.25">
      <c r="C497" s="91"/>
      <c r="D497" s="168"/>
      <c r="E497" s="688" t="s">
        <v>434</v>
      </c>
      <c r="F497" s="877">
        <v>47.3</v>
      </c>
      <c r="G497" s="878"/>
      <c r="H497" s="879"/>
      <c r="I497" s="769"/>
      <c r="J497" s="770"/>
      <c r="K497" s="771"/>
      <c r="L497" s="100"/>
      <c r="M497" s="101"/>
    </row>
    <row r="498" spans="3:13" ht="20" thickBot="1" x14ac:dyDescent="0.25">
      <c r="C498" s="91"/>
      <c r="D498" s="168"/>
      <c r="E498" s="689" t="s">
        <v>435</v>
      </c>
      <c r="F498" s="871">
        <v>0.57291666666666674</v>
      </c>
      <c r="G498" s="872"/>
      <c r="H498" s="873"/>
      <c r="I498" s="769"/>
      <c r="J498" s="770"/>
      <c r="K498" s="771"/>
      <c r="L498" s="107">
        <v>0.80208333333333337</v>
      </c>
      <c r="M498" s="108">
        <v>0.69791666666666674</v>
      </c>
    </row>
    <row r="499" spans="3:13" ht="20" thickBot="1" x14ac:dyDescent="0.25">
      <c r="C499" s="91"/>
      <c r="D499" s="168"/>
      <c r="E499" s="690" t="s">
        <v>436</v>
      </c>
      <c r="F499" s="293" t="s">
        <v>29</v>
      </c>
      <c r="G499" s="293" t="s">
        <v>28</v>
      </c>
      <c r="H499" s="294" t="s">
        <v>27</v>
      </c>
      <c r="I499" s="769"/>
      <c r="J499" s="770"/>
      <c r="K499" s="771"/>
      <c r="L499" s="100"/>
      <c r="M499" s="101"/>
    </row>
    <row r="500" spans="3:13" x14ac:dyDescent="0.2">
      <c r="C500" s="91"/>
      <c r="D500" s="168"/>
      <c r="E500" s="691" t="s">
        <v>757</v>
      </c>
      <c r="F500" s="362">
        <v>47.3</v>
      </c>
      <c r="G500" s="362" t="s">
        <v>758</v>
      </c>
      <c r="H500" s="362">
        <v>47.9</v>
      </c>
      <c r="I500" s="769"/>
      <c r="J500" s="770"/>
      <c r="K500" s="771"/>
      <c r="L500" s="100"/>
      <c r="M500" s="101"/>
    </row>
    <row r="501" spans="3:13" x14ac:dyDescent="0.2">
      <c r="C501" s="91"/>
      <c r="D501" s="168"/>
      <c r="E501" s="691" t="s">
        <v>499</v>
      </c>
      <c r="F501" s="362">
        <v>47</v>
      </c>
      <c r="G501" s="362" t="s">
        <v>500</v>
      </c>
      <c r="H501" s="362">
        <v>47.9</v>
      </c>
      <c r="I501" s="769"/>
      <c r="J501" s="770"/>
      <c r="K501" s="771"/>
      <c r="L501" s="100"/>
      <c r="M501" s="101"/>
    </row>
    <row r="502" spans="3:13" x14ac:dyDescent="0.2">
      <c r="C502" s="91"/>
      <c r="D502" s="168"/>
      <c r="E502" s="691" t="s">
        <v>501</v>
      </c>
      <c r="F502" s="362">
        <v>47.9</v>
      </c>
      <c r="G502" s="362" t="s">
        <v>502</v>
      </c>
      <c r="H502" s="362">
        <v>49.6</v>
      </c>
      <c r="I502" s="769"/>
      <c r="J502" s="770"/>
      <c r="K502" s="771"/>
      <c r="L502" s="102"/>
      <c r="M502" s="101"/>
    </row>
    <row r="503" spans="3:13" x14ac:dyDescent="0.2">
      <c r="C503" s="91"/>
      <c r="D503" s="168"/>
      <c r="E503" s="691" t="s">
        <v>503</v>
      </c>
      <c r="F503" s="362">
        <v>48</v>
      </c>
      <c r="G503" s="362" t="s">
        <v>438</v>
      </c>
      <c r="H503" s="362">
        <v>49.6</v>
      </c>
      <c r="I503" s="769"/>
      <c r="J503" s="770"/>
      <c r="K503" s="771"/>
      <c r="L503" s="100"/>
      <c r="M503" s="101"/>
    </row>
    <row r="504" spans="3:13" x14ac:dyDescent="0.2">
      <c r="C504" s="91"/>
      <c r="D504" s="168"/>
      <c r="E504" s="691" t="s">
        <v>504</v>
      </c>
      <c r="F504" s="362">
        <v>49.6</v>
      </c>
      <c r="G504" s="362" t="s">
        <v>438</v>
      </c>
      <c r="H504" s="362">
        <v>51.6</v>
      </c>
      <c r="I504" s="769"/>
      <c r="J504" s="770"/>
      <c r="K504" s="771"/>
      <c r="L504" s="100"/>
      <c r="M504" s="101"/>
    </row>
    <row r="505" spans="3:13" ht="20" thickBot="1" x14ac:dyDescent="0.25">
      <c r="C505" s="91"/>
      <c r="D505" s="168"/>
      <c r="E505" s="691" t="s">
        <v>505</v>
      </c>
      <c r="F505" s="362">
        <v>49.5</v>
      </c>
      <c r="G505" s="362" t="s">
        <v>506</v>
      </c>
      <c r="H505" s="362">
        <v>51.6</v>
      </c>
      <c r="I505" s="772"/>
      <c r="J505" s="773"/>
      <c r="K505" s="774"/>
      <c r="L505" s="103"/>
      <c r="M505" s="104"/>
    </row>
    <row r="506" spans="3:13" ht="25" thickBot="1" x14ac:dyDescent="0.25">
      <c r="C506" s="91"/>
      <c r="D506" s="88" t="s">
        <v>105</v>
      </c>
      <c r="E506" s="686" t="s">
        <v>30</v>
      </c>
      <c r="F506" s="874" t="s">
        <v>715</v>
      </c>
      <c r="G506" s="875"/>
      <c r="H506" s="876"/>
      <c r="I506" s="846" t="s">
        <v>633</v>
      </c>
      <c r="J506" s="847"/>
      <c r="K506" s="848"/>
      <c r="L506" s="105" t="s">
        <v>430</v>
      </c>
      <c r="M506" s="106" t="s">
        <v>431</v>
      </c>
    </row>
    <row r="507" spans="3:13" x14ac:dyDescent="0.2">
      <c r="C507" s="91"/>
      <c r="D507" s="168"/>
      <c r="E507" s="687" t="s">
        <v>432</v>
      </c>
      <c r="F507" s="853"/>
      <c r="G507" s="854"/>
      <c r="H507" s="855"/>
      <c r="I507" s="769" t="s">
        <v>716</v>
      </c>
      <c r="J507" s="770"/>
      <c r="K507" s="771"/>
      <c r="L507" s="100"/>
      <c r="M507" s="101"/>
    </row>
    <row r="508" spans="3:13" x14ac:dyDescent="0.2">
      <c r="C508" s="91"/>
      <c r="D508" s="168"/>
      <c r="E508" s="688" t="s">
        <v>433</v>
      </c>
      <c r="F508" s="877">
        <v>55</v>
      </c>
      <c r="G508" s="878"/>
      <c r="H508" s="879"/>
      <c r="I508" s="769"/>
      <c r="J508" s="770"/>
      <c r="K508" s="771"/>
      <c r="L508" s="100"/>
      <c r="M508" s="101"/>
    </row>
    <row r="509" spans="3:13" ht="20" thickBot="1" x14ac:dyDescent="0.25">
      <c r="C509" s="91"/>
      <c r="D509" s="168"/>
      <c r="E509" s="688" t="s">
        <v>434</v>
      </c>
      <c r="F509" s="877">
        <v>55.2</v>
      </c>
      <c r="G509" s="878"/>
      <c r="H509" s="879"/>
      <c r="I509" s="769"/>
      <c r="J509" s="770"/>
      <c r="K509" s="771"/>
      <c r="L509" s="100"/>
      <c r="M509" s="101"/>
    </row>
    <row r="510" spans="3:13" ht="20" thickBot="1" x14ac:dyDescent="0.25">
      <c r="C510" s="91"/>
      <c r="D510" s="168"/>
      <c r="E510" s="689" t="s">
        <v>435</v>
      </c>
      <c r="F510" s="871">
        <v>0.57291666666666674</v>
      </c>
      <c r="G510" s="872"/>
      <c r="H510" s="873"/>
      <c r="I510" s="769"/>
      <c r="J510" s="770"/>
      <c r="K510" s="771"/>
      <c r="L510" s="107">
        <v>0.80208333333333337</v>
      </c>
      <c r="M510" s="108">
        <v>0.69791666666666674</v>
      </c>
    </row>
    <row r="511" spans="3:13" ht="20" thickBot="1" x14ac:dyDescent="0.25">
      <c r="C511" s="91"/>
      <c r="D511" s="168"/>
      <c r="E511" s="690" t="s">
        <v>436</v>
      </c>
      <c r="F511" s="293" t="s">
        <v>29</v>
      </c>
      <c r="G511" s="293" t="s">
        <v>28</v>
      </c>
      <c r="H511" s="294" t="s">
        <v>27</v>
      </c>
      <c r="I511" s="769"/>
      <c r="J511" s="770"/>
      <c r="K511" s="771"/>
      <c r="L511" s="100"/>
      <c r="M511" s="101"/>
    </row>
    <row r="512" spans="3:13" x14ac:dyDescent="0.2">
      <c r="C512" s="91"/>
      <c r="D512" s="168"/>
      <c r="E512" s="691" t="s">
        <v>752</v>
      </c>
      <c r="F512" s="362">
        <v>55.2</v>
      </c>
      <c r="G512" s="362" t="s">
        <v>759</v>
      </c>
      <c r="H512" s="362">
        <v>55.7</v>
      </c>
      <c r="I512" s="769"/>
      <c r="J512" s="770"/>
      <c r="K512" s="771"/>
      <c r="L512" s="100"/>
      <c r="M512" s="101"/>
    </row>
    <row r="513" spans="3:13" x14ac:dyDescent="0.2">
      <c r="C513" s="91"/>
      <c r="D513" s="168"/>
      <c r="E513" s="691" t="s">
        <v>499</v>
      </c>
      <c r="F513" s="362">
        <v>55.4</v>
      </c>
      <c r="G513" s="362" t="s">
        <v>585</v>
      </c>
      <c r="H513" s="362">
        <v>55.7</v>
      </c>
      <c r="I513" s="769"/>
      <c r="J513" s="770"/>
      <c r="K513" s="771"/>
      <c r="L513" s="100"/>
      <c r="M513" s="101"/>
    </row>
    <row r="514" spans="3:13" x14ac:dyDescent="0.2">
      <c r="C514" s="91"/>
      <c r="D514" s="168"/>
      <c r="E514" s="691" t="s">
        <v>545</v>
      </c>
      <c r="F514" s="362">
        <v>55.7</v>
      </c>
      <c r="G514" s="362" t="s">
        <v>586</v>
      </c>
      <c r="H514" s="362">
        <v>55</v>
      </c>
      <c r="I514" s="769"/>
      <c r="J514" s="770"/>
      <c r="K514" s="771"/>
      <c r="L514" s="102"/>
      <c r="M514" s="101"/>
    </row>
    <row r="515" spans="3:13" x14ac:dyDescent="0.2">
      <c r="C515" s="91"/>
      <c r="D515" s="168"/>
      <c r="E515" s="691" t="s">
        <v>503</v>
      </c>
      <c r="F515" s="362">
        <v>55.2</v>
      </c>
      <c r="G515" s="362" t="s">
        <v>587</v>
      </c>
      <c r="H515" s="362">
        <v>55</v>
      </c>
      <c r="I515" s="769"/>
      <c r="J515" s="770"/>
      <c r="K515" s="771"/>
      <c r="L515" s="100"/>
      <c r="M515" s="101"/>
    </row>
    <row r="516" spans="3:13" x14ac:dyDescent="0.2">
      <c r="C516" s="91"/>
      <c r="D516" s="168"/>
      <c r="E516" s="691" t="s">
        <v>588</v>
      </c>
      <c r="F516" s="362">
        <v>55</v>
      </c>
      <c r="G516" s="362" t="s">
        <v>589</v>
      </c>
      <c r="H516" s="362">
        <v>55.3</v>
      </c>
      <c r="I516" s="769"/>
      <c r="J516" s="770"/>
      <c r="K516" s="771"/>
      <c r="L516" s="100"/>
      <c r="M516" s="101"/>
    </row>
    <row r="517" spans="3:13" ht="20" thickBot="1" x14ac:dyDescent="0.25">
      <c r="C517" s="91"/>
      <c r="D517" s="168"/>
      <c r="E517" s="691" t="s">
        <v>505</v>
      </c>
      <c r="F517" s="362">
        <v>56</v>
      </c>
      <c r="G517" s="362" t="s">
        <v>590</v>
      </c>
      <c r="H517" s="362">
        <v>55.3</v>
      </c>
      <c r="I517" s="772"/>
      <c r="J517" s="773"/>
      <c r="K517" s="774"/>
      <c r="L517" s="103"/>
      <c r="M517" s="104"/>
    </row>
    <row r="518" spans="3:13" ht="25" thickBot="1" x14ac:dyDescent="0.25">
      <c r="C518" s="91"/>
      <c r="D518" s="88" t="s">
        <v>105</v>
      </c>
      <c r="E518" s="686" t="s">
        <v>30</v>
      </c>
      <c r="F518" s="874" t="s">
        <v>717</v>
      </c>
      <c r="G518" s="875"/>
      <c r="H518" s="876"/>
      <c r="I518" s="846" t="s">
        <v>633</v>
      </c>
      <c r="J518" s="847"/>
      <c r="K518" s="848"/>
      <c r="L518" s="105" t="s">
        <v>430</v>
      </c>
      <c r="M518" s="106" t="s">
        <v>431</v>
      </c>
    </row>
    <row r="519" spans="3:13" x14ac:dyDescent="0.2">
      <c r="C519" s="91"/>
      <c r="D519" s="168"/>
      <c r="E519" s="687" t="s">
        <v>432</v>
      </c>
      <c r="F519" s="853"/>
      <c r="G519" s="854"/>
      <c r="H519" s="855"/>
      <c r="I519" s="769" t="s">
        <v>719</v>
      </c>
      <c r="J519" s="770"/>
      <c r="K519" s="771"/>
      <c r="L519" s="100"/>
      <c r="M519" s="101"/>
    </row>
    <row r="520" spans="3:13" x14ac:dyDescent="0.2">
      <c r="C520" s="91"/>
      <c r="D520" s="168"/>
      <c r="E520" s="688" t="s">
        <v>433</v>
      </c>
      <c r="F520" s="856" t="s">
        <v>718</v>
      </c>
      <c r="G520" s="857"/>
      <c r="H520" s="858"/>
      <c r="I520" s="769"/>
      <c r="J520" s="770"/>
      <c r="K520" s="771"/>
      <c r="L520" s="100"/>
      <c r="M520" s="101"/>
    </row>
    <row r="521" spans="3:13" ht="20" thickBot="1" x14ac:dyDescent="0.25">
      <c r="C521" s="91"/>
      <c r="D521" s="168"/>
      <c r="E521" s="688" t="s">
        <v>434</v>
      </c>
      <c r="F521" s="856" t="s">
        <v>378</v>
      </c>
      <c r="G521" s="857"/>
      <c r="H521" s="858"/>
      <c r="I521" s="769"/>
      <c r="J521" s="770"/>
      <c r="K521" s="771"/>
      <c r="L521" s="100"/>
      <c r="M521" s="101"/>
    </row>
    <row r="522" spans="3:13" ht="20" thickBot="1" x14ac:dyDescent="0.25">
      <c r="C522" s="91"/>
      <c r="D522" s="168"/>
      <c r="E522" s="689" t="s">
        <v>435</v>
      </c>
      <c r="F522" s="871">
        <v>0.58333333333333337</v>
      </c>
      <c r="G522" s="872"/>
      <c r="H522" s="873"/>
      <c r="I522" s="769"/>
      <c r="J522" s="770"/>
      <c r="K522" s="771"/>
      <c r="L522" s="107">
        <v>0.8125</v>
      </c>
      <c r="M522" s="108">
        <v>0.70833333333333337</v>
      </c>
    </row>
    <row r="523" spans="3:13" ht="20" thickBot="1" x14ac:dyDescent="0.25">
      <c r="C523" s="91"/>
      <c r="D523" s="168"/>
      <c r="E523" s="690" t="s">
        <v>436</v>
      </c>
      <c r="F523" s="293" t="s">
        <v>29</v>
      </c>
      <c r="G523" s="293" t="s">
        <v>28</v>
      </c>
      <c r="H523" s="294" t="s">
        <v>27</v>
      </c>
      <c r="I523" s="769"/>
      <c r="J523" s="770"/>
      <c r="K523" s="771"/>
      <c r="L523" s="100"/>
      <c r="M523" s="101"/>
    </row>
    <row r="524" spans="3:13" x14ac:dyDescent="0.2">
      <c r="C524" s="91"/>
      <c r="D524" s="168"/>
      <c r="E524" s="691" t="s">
        <v>563</v>
      </c>
      <c r="F524" s="353" t="s">
        <v>378</v>
      </c>
      <c r="G524" s="353" t="s">
        <v>760</v>
      </c>
      <c r="H524" s="353" t="s">
        <v>761</v>
      </c>
      <c r="I524" s="769"/>
      <c r="J524" s="770"/>
      <c r="K524" s="771"/>
      <c r="L524" s="100"/>
      <c r="M524" s="101"/>
    </row>
    <row r="525" spans="3:13" x14ac:dyDescent="0.2">
      <c r="C525" s="91"/>
      <c r="D525" s="168"/>
      <c r="E525" s="691" t="s">
        <v>480</v>
      </c>
      <c r="F525" s="353" t="s">
        <v>239</v>
      </c>
      <c r="G525" s="353" t="s">
        <v>762</v>
      </c>
      <c r="H525" s="353" t="s">
        <v>763</v>
      </c>
      <c r="I525" s="769"/>
      <c r="J525" s="770"/>
      <c r="K525" s="771"/>
      <c r="L525" s="100"/>
      <c r="M525" s="101"/>
    </row>
    <row r="526" spans="3:13" x14ac:dyDescent="0.2">
      <c r="C526" s="91"/>
      <c r="D526" s="168"/>
      <c r="E526" s="691" t="s">
        <v>724</v>
      </c>
      <c r="F526" s="353" t="s">
        <v>241</v>
      </c>
      <c r="G526" s="353" t="s">
        <v>764</v>
      </c>
      <c r="H526" s="353" t="s">
        <v>765</v>
      </c>
      <c r="I526" s="769"/>
      <c r="J526" s="770"/>
      <c r="K526" s="771"/>
      <c r="L526" s="102"/>
      <c r="M526" s="101"/>
    </row>
    <row r="527" spans="3:13" x14ac:dyDescent="0.2">
      <c r="C527" s="91"/>
      <c r="D527" s="168"/>
      <c r="E527" s="691" t="s">
        <v>766</v>
      </c>
      <c r="F527" s="353" t="s">
        <v>94</v>
      </c>
      <c r="G527" s="353" t="s">
        <v>767</v>
      </c>
      <c r="H527" s="353" t="s">
        <v>768</v>
      </c>
      <c r="I527" s="769"/>
      <c r="J527" s="770"/>
      <c r="K527" s="771"/>
      <c r="L527" s="100"/>
      <c r="M527" s="101"/>
    </row>
    <row r="528" spans="3:13" x14ac:dyDescent="0.2">
      <c r="C528" s="91"/>
      <c r="D528" s="168"/>
      <c r="E528" s="691" t="s">
        <v>769</v>
      </c>
      <c r="F528" s="353" t="s">
        <v>770</v>
      </c>
      <c r="G528" s="353" t="s">
        <v>771</v>
      </c>
      <c r="H528" s="353" t="s">
        <v>772</v>
      </c>
      <c r="I528" s="769"/>
      <c r="J528" s="770"/>
      <c r="K528" s="771"/>
      <c r="L528" s="100"/>
      <c r="M528" s="101"/>
    </row>
    <row r="529" spans="3:13" ht="20" thickBot="1" x14ac:dyDescent="0.25">
      <c r="C529" s="91"/>
      <c r="D529" s="168"/>
      <c r="E529" s="691" t="s">
        <v>773</v>
      </c>
      <c r="F529" s="353" t="s">
        <v>774</v>
      </c>
      <c r="G529" s="353" t="s">
        <v>775</v>
      </c>
      <c r="H529" s="353" t="s">
        <v>776</v>
      </c>
      <c r="I529" s="772"/>
      <c r="J529" s="773"/>
      <c r="K529" s="774"/>
      <c r="L529" s="103"/>
      <c r="M529" s="104"/>
    </row>
    <row r="530" spans="3:13" ht="25" thickBot="1" x14ac:dyDescent="0.25">
      <c r="C530" s="91"/>
      <c r="D530" s="88" t="s">
        <v>105</v>
      </c>
      <c r="E530" s="686" t="s">
        <v>30</v>
      </c>
      <c r="F530" s="874" t="s">
        <v>720</v>
      </c>
      <c r="G530" s="875"/>
      <c r="H530" s="876"/>
      <c r="I530" s="846" t="s">
        <v>633</v>
      </c>
      <c r="J530" s="847"/>
      <c r="K530" s="848"/>
      <c r="L530" s="105" t="s">
        <v>430</v>
      </c>
      <c r="M530" s="106" t="s">
        <v>431</v>
      </c>
    </row>
    <row r="531" spans="3:13" x14ac:dyDescent="0.2">
      <c r="C531" s="91"/>
      <c r="D531" s="168"/>
      <c r="E531" s="687" t="s">
        <v>432</v>
      </c>
      <c r="F531" s="853"/>
      <c r="G531" s="854"/>
      <c r="H531" s="855"/>
      <c r="I531" s="769" t="s">
        <v>721</v>
      </c>
      <c r="J531" s="770"/>
      <c r="K531" s="771"/>
      <c r="L531" s="100"/>
      <c r="M531" s="101"/>
    </row>
    <row r="532" spans="3:13" x14ac:dyDescent="0.2">
      <c r="C532" s="91"/>
      <c r="D532" s="168"/>
      <c r="E532" s="688" t="s">
        <v>433</v>
      </c>
      <c r="F532" s="856">
        <v>-1.0999999999999999E-2</v>
      </c>
      <c r="G532" s="857"/>
      <c r="H532" s="858"/>
      <c r="I532" s="769"/>
      <c r="J532" s="770"/>
      <c r="K532" s="771"/>
      <c r="L532" s="100"/>
      <c r="M532" s="101"/>
    </row>
    <row r="533" spans="3:13" ht="20" thickBot="1" x14ac:dyDescent="0.25">
      <c r="C533" s="91"/>
      <c r="D533" s="168"/>
      <c r="E533" s="688" t="s">
        <v>434</v>
      </c>
      <c r="F533" s="856">
        <v>0</v>
      </c>
      <c r="G533" s="857"/>
      <c r="H533" s="858"/>
      <c r="I533" s="769"/>
      <c r="J533" s="770"/>
      <c r="K533" s="771"/>
      <c r="L533" s="100"/>
      <c r="M533" s="101"/>
    </row>
    <row r="534" spans="3:13" ht="20" thickBot="1" x14ac:dyDescent="0.25">
      <c r="C534" s="91"/>
      <c r="D534" s="168"/>
      <c r="E534" s="689" t="s">
        <v>435</v>
      </c>
      <c r="F534" s="871">
        <v>0.52083333333333337</v>
      </c>
      <c r="G534" s="872"/>
      <c r="H534" s="873"/>
      <c r="I534" s="769"/>
      <c r="J534" s="770"/>
      <c r="K534" s="771"/>
      <c r="L534" s="107">
        <v>0.75</v>
      </c>
      <c r="M534" s="108">
        <v>0.64583333333333337</v>
      </c>
    </row>
    <row r="535" spans="3:13" ht="20" thickBot="1" x14ac:dyDescent="0.25">
      <c r="C535" s="91"/>
      <c r="D535" s="168"/>
      <c r="E535" s="690" t="s">
        <v>436</v>
      </c>
      <c r="F535" s="293" t="s">
        <v>29</v>
      </c>
      <c r="G535" s="293" t="s">
        <v>28</v>
      </c>
      <c r="H535" s="294" t="s">
        <v>27</v>
      </c>
      <c r="I535" s="769"/>
      <c r="J535" s="770"/>
      <c r="K535" s="771"/>
      <c r="L535" s="100"/>
      <c r="M535" s="101"/>
    </row>
    <row r="536" spans="3:13" x14ac:dyDescent="0.2">
      <c r="C536" s="91"/>
      <c r="D536" s="168"/>
      <c r="E536" s="691" t="s">
        <v>777</v>
      </c>
      <c r="F536" s="353">
        <v>0</v>
      </c>
      <c r="G536" s="353" t="s">
        <v>778</v>
      </c>
      <c r="H536" s="353">
        <v>9.9000000000000005E-2</v>
      </c>
      <c r="I536" s="769"/>
      <c r="J536" s="770"/>
      <c r="K536" s="771"/>
      <c r="L536" s="100"/>
      <c r="M536" s="101"/>
    </row>
    <row r="537" spans="3:13" x14ac:dyDescent="0.2">
      <c r="C537" s="91"/>
      <c r="D537" s="168"/>
      <c r="E537" s="691" t="s">
        <v>779</v>
      </c>
      <c r="F537" s="353">
        <v>9.9000000000000005E-2</v>
      </c>
      <c r="G537" s="353" t="s">
        <v>630</v>
      </c>
      <c r="H537" s="353">
        <v>-6.9000000000000006E-2</v>
      </c>
      <c r="I537" s="769"/>
      <c r="J537" s="770"/>
      <c r="K537" s="771"/>
      <c r="L537" s="100"/>
      <c r="M537" s="101"/>
    </row>
    <row r="538" spans="3:13" x14ac:dyDescent="0.2">
      <c r="C538" s="91"/>
      <c r="D538" s="168"/>
      <c r="E538" s="691" t="s">
        <v>780</v>
      </c>
      <c r="F538" s="353">
        <v>-6.6000000000000003E-2</v>
      </c>
      <c r="G538" s="353" t="s">
        <v>467</v>
      </c>
      <c r="H538" s="353">
        <v>1E-3</v>
      </c>
      <c r="I538" s="769"/>
      <c r="J538" s="770"/>
      <c r="K538" s="771"/>
      <c r="L538" s="102"/>
      <c r="M538" s="101"/>
    </row>
    <row r="539" spans="3:13" x14ac:dyDescent="0.2">
      <c r="C539" s="91"/>
      <c r="D539" s="168"/>
      <c r="E539" s="691" t="s">
        <v>781</v>
      </c>
      <c r="F539" s="353">
        <v>1E-3</v>
      </c>
      <c r="G539" s="353" t="s">
        <v>782</v>
      </c>
      <c r="H539" s="353">
        <v>2E-3</v>
      </c>
      <c r="I539" s="769"/>
      <c r="J539" s="770"/>
      <c r="K539" s="771"/>
      <c r="L539" s="100"/>
      <c r="M539" s="101"/>
    </row>
    <row r="540" spans="3:13" x14ac:dyDescent="0.2">
      <c r="C540" s="91"/>
      <c r="D540" s="168"/>
      <c r="E540" s="691" t="s">
        <v>783</v>
      </c>
      <c r="F540" s="353">
        <v>7.0000000000000001E-3</v>
      </c>
      <c r="G540" s="353" t="s">
        <v>784</v>
      </c>
      <c r="H540" s="353">
        <v>8.0000000000000002E-3</v>
      </c>
      <c r="I540" s="769"/>
      <c r="J540" s="770"/>
      <c r="K540" s="771"/>
      <c r="L540" s="100"/>
      <c r="M540" s="101"/>
    </row>
    <row r="541" spans="3:13" ht="20" thickBot="1" x14ac:dyDescent="0.25">
      <c r="C541" s="91"/>
      <c r="D541" s="168"/>
      <c r="E541" s="691" t="s">
        <v>785</v>
      </c>
      <c r="F541" s="353">
        <v>2.5999999999999999E-2</v>
      </c>
      <c r="G541" s="353" t="s">
        <v>495</v>
      </c>
      <c r="H541" s="353">
        <v>7.0000000000000001E-3</v>
      </c>
      <c r="I541" s="772"/>
      <c r="J541" s="773"/>
      <c r="K541" s="774"/>
      <c r="L541" s="103"/>
      <c r="M541" s="104"/>
    </row>
    <row r="542" spans="3:13" ht="25" thickBot="1" x14ac:dyDescent="0.25">
      <c r="C542" s="91"/>
      <c r="D542" s="88" t="s">
        <v>105</v>
      </c>
      <c r="E542" s="686" t="s">
        <v>30</v>
      </c>
      <c r="F542" s="874" t="s">
        <v>786</v>
      </c>
      <c r="G542" s="875"/>
      <c r="H542" s="876"/>
      <c r="I542" s="846" t="s">
        <v>633</v>
      </c>
      <c r="J542" s="847"/>
      <c r="K542" s="848"/>
      <c r="L542" s="105" t="s">
        <v>430</v>
      </c>
      <c r="M542" s="106" t="s">
        <v>431</v>
      </c>
    </row>
    <row r="543" spans="3:13" x14ac:dyDescent="0.2">
      <c r="C543" s="91"/>
      <c r="D543" s="168"/>
      <c r="E543" s="687" t="s">
        <v>432</v>
      </c>
      <c r="F543" s="853"/>
      <c r="G543" s="854"/>
      <c r="H543" s="855"/>
      <c r="I543" s="769">
        <v>0</v>
      </c>
      <c r="J543" s="770"/>
      <c r="K543" s="771"/>
      <c r="L543" s="100"/>
      <c r="M543" s="101"/>
    </row>
    <row r="544" spans="3:13" x14ac:dyDescent="0.2">
      <c r="C544" s="91"/>
      <c r="D544" s="168"/>
      <c r="E544" s="688" t="s">
        <v>433</v>
      </c>
      <c r="F544" s="856" t="s">
        <v>787</v>
      </c>
      <c r="G544" s="857"/>
      <c r="H544" s="858"/>
      <c r="I544" s="769"/>
      <c r="J544" s="770"/>
      <c r="K544" s="771"/>
      <c r="L544" s="100"/>
      <c r="M544" s="101"/>
    </row>
    <row r="545" spans="3:13" ht="20" thickBot="1" x14ac:dyDescent="0.25">
      <c r="C545" s="91"/>
      <c r="D545" s="168"/>
      <c r="E545" s="688" t="s">
        <v>434</v>
      </c>
      <c r="F545" s="856" t="s">
        <v>788</v>
      </c>
      <c r="G545" s="857"/>
      <c r="H545" s="858"/>
      <c r="I545" s="769"/>
      <c r="J545" s="770"/>
      <c r="K545" s="771"/>
      <c r="L545" s="100"/>
      <c r="M545" s="101"/>
    </row>
    <row r="546" spans="3:13" ht="20" thickBot="1" x14ac:dyDescent="0.25">
      <c r="C546" s="91"/>
      <c r="D546" s="168"/>
      <c r="E546" s="689" t="s">
        <v>435</v>
      </c>
      <c r="F546" s="859">
        <v>0.97916666666666663</v>
      </c>
      <c r="G546" s="860"/>
      <c r="H546" s="861"/>
      <c r="I546" s="769"/>
      <c r="J546" s="770"/>
      <c r="K546" s="771"/>
      <c r="L546" s="107">
        <v>0.20833333333333334</v>
      </c>
      <c r="M546" s="108">
        <v>0.10416666666666667</v>
      </c>
    </row>
    <row r="547" spans="3:13" ht="20" thickBot="1" x14ac:dyDescent="0.25">
      <c r="C547" s="91"/>
      <c r="D547" s="168"/>
      <c r="E547" s="690" t="s">
        <v>436</v>
      </c>
      <c r="F547" s="293" t="s">
        <v>29</v>
      </c>
      <c r="G547" s="293" t="s">
        <v>28</v>
      </c>
      <c r="H547" s="294" t="s">
        <v>27</v>
      </c>
      <c r="I547" s="769"/>
      <c r="J547" s="770"/>
      <c r="K547" s="771"/>
      <c r="L547" s="100"/>
      <c r="M547" s="101"/>
    </row>
    <row r="548" spans="3:13" x14ac:dyDescent="0.2">
      <c r="C548" s="91"/>
      <c r="D548" s="168"/>
      <c r="E548" s="708">
        <v>45560</v>
      </c>
      <c r="F548" s="353">
        <v>0.02</v>
      </c>
      <c r="G548" s="353" t="s">
        <v>788</v>
      </c>
      <c r="H548" s="353">
        <v>2.4E-2</v>
      </c>
      <c r="I548" s="769"/>
      <c r="J548" s="770"/>
      <c r="K548" s="771"/>
      <c r="L548" s="100"/>
      <c r="M548" s="101"/>
    </row>
    <row r="549" spans="3:13" x14ac:dyDescent="0.2">
      <c r="C549" s="91"/>
      <c r="D549" s="168"/>
      <c r="E549" s="708">
        <v>45529</v>
      </c>
      <c r="F549" s="353">
        <v>2.4E-2</v>
      </c>
      <c r="G549" s="353" t="s">
        <v>490</v>
      </c>
      <c r="H549" s="353">
        <v>2.1999999999999999E-2</v>
      </c>
      <c r="I549" s="769"/>
      <c r="J549" s="770"/>
      <c r="K549" s="771"/>
      <c r="L549" s="100"/>
      <c r="M549" s="101"/>
    </row>
    <row r="550" spans="3:13" x14ac:dyDescent="0.2">
      <c r="C550" s="91"/>
      <c r="D550" s="168"/>
      <c r="E550" s="708">
        <v>45497</v>
      </c>
      <c r="F550" s="353">
        <v>2.1999999999999999E-2</v>
      </c>
      <c r="G550" s="353" t="s">
        <v>490</v>
      </c>
      <c r="H550" s="353">
        <v>2.1000000000000001E-2</v>
      </c>
      <c r="I550" s="769"/>
      <c r="J550" s="770"/>
      <c r="K550" s="771"/>
      <c r="L550" s="102"/>
      <c r="M550" s="101"/>
    </row>
    <row r="551" spans="3:13" x14ac:dyDescent="0.2">
      <c r="C551" s="91"/>
      <c r="D551" s="168"/>
      <c r="E551" s="708">
        <v>45469</v>
      </c>
      <c r="F551" s="353">
        <v>2.1000000000000001E-2</v>
      </c>
      <c r="G551" s="353" t="s">
        <v>788</v>
      </c>
      <c r="H551" s="353">
        <v>1.9E-2</v>
      </c>
      <c r="I551" s="769"/>
      <c r="J551" s="770"/>
      <c r="K551" s="771"/>
      <c r="L551" s="100"/>
      <c r="M551" s="101"/>
    </row>
    <row r="552" spans="3:13" x14ac:dyDescent="0.2">
      <c r="C552" s="91"/>
      <c r="D552" s="168"/>
      <c r="E552" s="708">
        <v>45441</v>
      </c>
      <c r="F552" s="353">
        <v>1.9E-2</v>
      </c>
      <c r="G552" s="353" t="s">
        <v>789</v>
      </c>
      <c r="H552" s="353">
        <v>1.6E-2</v>
      </c>
      <c r="I552" s="769"/>
      <c r="J552" s="770"/>
      <c r="K552" s="771"/>
      <c r="L552" s="100"/>
      <c r="M552" s="101"/>
    </row>
    <row r="553" spans="3:13" ht="20" thickBot="1" x14ac:dyDescent="0.25">
      <c r="C553" s="91"/>
      <c r="D553" s="168"/>
      <c r="E553" s="709">
        <v>45406</v>
      </c>
      <c r="F553" s="355">
        <v>1.6E-2</v>
      </c>
      <c r="G553" s="355" t="s">
        <v>490</v>
      </c>
      <c r="H553" s="355">
        <v>2.4E-2</v>
      </c>
      <c r="I553" s="772"/>
      <c r="J553" s="773"/>
      <c r="K553" s="774"/>
      <c r="L553" s="103"/>
      <c r="M553" s="104"/>
    </row>
    <row r="554" spans="3:13" ht="25" thickBot="1" x14ac:dyDescent="0.25">
      <c r="C554" s="91"/>
      <c r="D554" s="91" t="s">
        <v>105</v>
      </c>
      <c r="E554" s="686" t="s">
        <v>30</v>
      </c>
      <c r="F554" s="874" t="s">
        <v>817</v>
      </c>
      <c r="G554" s="875"/>
      <c r="H554" s="876"/>
      <c r="I554" s="846" t="s">
        <v>633</v>
      </c>
      <c r="J554" s="847"/>
      <c r="K554" s="848"/>
      <c r="L554" s="162" t="s">
        <v>430</v>
      </c>
      <c r="M554" s="106" t="s">
        <v>431</v>
      </c>
    </row>
    <row r="555" spans="3:13" x14ac:dyDescent="0.2">
      <c r="C555" s="91"/>
      <c r="D555" s="91"/>
      <c r="E555" s="687" t="s">
        <v>432</v>
      </c>
      <c r="F555" s="853"/>
      <c r="G555" s="854"/>
      <c r="H555" s="855"/>
      <c r="I555" s="769" t="s">
        <v>818</v>
      </c>
      <c r="J555" s="770"/>
      <c r="K555" s="771"/>
      <c r="L555" s="100"/>
      <c r="M555" s="101"/>
    </row>
    <row r="556" spans="3:13" x14ac:dyDescent="0.2">
      <c r="C556" s="91"/>
      <c r="D556" s="91"/>
      <c r="E556" s="688" t="s">
        <v>433</v>
      </c>
      <c r="F556" s="883">
        <v>99.2</v>
      </c>
      <c r="G556" s="884"/>
      <c r="H556" s="885"/>
      <c r="I556" s="769"/>
      <c r="J556" s="770"/>
      <c r="K556" s="771"/>
      <c r="L556" s="100"/>
      <c r="M556" s="101"/>
    </row>
    <row r="557" spans="3:13" ht="20" thickBot="1" x14ac:dyDescent="0.25">
      <c r="C557" s="91"/>
      <c r="D557" s="91"/>
      <c r="E557" s="688" t="s">
        <v>434</v>
      </c>
      <c r="F557" s="883">
        <v>98.7</v>
      </c>
      <c r="G557" s="884"/>
      <c r="H557" s="885"/>
      <c r="I557" s="769"/>
      <c r="J557" s="770"/>
      <c r="K557" s="771"/>
      <c r="L557" s="100"/>
      <c r="M557" s="101"/>
    </row>
    <row r="558" spans="3:13" ht="20" thickBot="1" x14ac:dyDescent="0.25">
      <c r="C558" s="91"/>
      <c r="D558" s="91"/>
      <c r="E558" s="689" t="s">
        <v>435</v>
      </c>
      <c r="F558" s="871">
        <v>0.58333333333333337</v>
      </c>
      <c r="G558" s="872"/>
      <c r="H558" s="873"/>
      <c r="I558" s="769"/>
      <c r="J558" s="770"/>
      <c r="K558" s="771"/>
      <c r="L558" s="107">
        <v>0.8125</v>
      </c>
      <c r="M558" s="108">
        <v>0.70833333333333337</v>
      </c>
    </row>
    <row r="559" spans="3:13" ht="20" thickBot="1" x14ac:dyDescent="0.25">
      <c r="C559" s="91"/>
      <c r="D559" s="91"/>
      <c r="E559" s="690" t="s">
        <v>436</v>
      </c>
      <c r="F559" s="293" t="s">
        <v>29</v>
      </c>
      <c r="G559" s="293" t="s">
        <v>28</v>
      </c>
      <c r="H559" s="294" t="s">
        <v>27</v>
      </c>
      <c r="I559" s="769"/>
      <c r="J559" s="770"/>
      <c r="K559" s="771"/>
      <c r="L559" s="100"/>
      <c r="M559" s="101"/>
    </row>
    <row r="560" spans="3:13" x14ac:dyDescent="0.2">
      <c r="C560" s="91"/>
      <c r="D560" s="91"/>
      <c r="E560" s="691">
        <v>45559</v>
      </c>
      <c r="F560" s="692">
        <v>98.7</v>
      </c>
      <c r="G560" s="692" t="s">
        <v>874</v>
      </c>
      <c r="H560" s="692">
        <v>105.6</v>
      </c>
      <c r="I560" s="769"/>
      <c r="J560" s="770"/>
      <c r="K560" s="771"/>
      <c r="L560" s="100"/>
      <c r="M560" s="101"/>
    </row>
    <row r="561" spans="3:13" x14ac:dyDescent="0.2">
      <c r="C561" s="91"/>
      <c r="D561" s="91"/>
      <c r="E561" s="691">
        <v>45531</v>
      </c>
      <c r="F561" s="692">
        <v>103.3</v>
      </c>
      <c r="G561" s="692" t="s">
        <v>875</v>
      </c>
      <c r="H561" s="692">
        <v>101.9</v>
      </c>
      <c r="I561" s="769"/>
      <c r="J561" s="770"/>
      <c r="K561" s="771"/>
      <c r="L561" s="100"/>
      <c r="M561" s="101"/>
    </row>
    <row r="562" spans="3:13" x14ac:dyDescent="0.2">
      <c r="C562" s="91"/>
      <c r="D562" s="91"/>
      <c r="E562" s="691">
        <v>45503</v>
      </c>
      <c r="F562" s="692">
        <v>100.3</v>
      </c>
      <c r="G562" s="692" t="s">
        <v>876</v>
      </c>
      <c r="H562" s="692">
        <v>97.8</v>
      </c>
      <c r="I562" s="769"/>
      <c r="J562" s="770"/>
      <c r="K562" s="771"/>
      <c r="L562" s="102"/>
      <c r="M562" s="101"/>
    </row>
    <row r="563" spans="3:13" x14ac:dyDescent="0.2">
      <c r="C563" s="91"/>
      <c r="D563" s="91"/>
      <c r="E563" s="691">
        <v>45468</v>
      </c>
      <c r="F563" s="692">
        <v>100.4</v>
      </c>
      <c r="G563" s="692" t="s">
        <v>877</v>
      </c>
      <c r="H563" s="692">
        <v>101.3</v>
      </c>
      <c r="I563" s="769"/>
      <c r="J563" s="770"/>
      <c r="K563" s="771"/>
      <c r="L563" s="100"/>
      <c r="M563" s="101"/>
    </row>
    <row r="564" spans="3:13" x14ac:dyDescent="0.2">
      <c r="C564" s="91"/>
      <c r="D564" s="91"/>
      <c r="E564" s="691">
        <v>45440</v>
      </c>
      <c r="F564" s="692">
        <v>102</v>
      </c>
      <c r="G564" s="692" t="s">
        <v>878</v>
      </c>
      <c r="H564" s="692">
        <v>97.5</v>
      </c>
      <c r="I564" s="769"/>
      <c r="J564" s="770"/>
      <c r="K564" s="771"/>
      <c r="L564" s="100"/>
      <c r="M564" s="101"/>
    </row>
    <row r="565" spans="3:13" ht="20" thickBot="1" x14ac:dyDescent="0.25">
      <c r="C565" s="91"/>
      <c r="D565" s="91"/>
      <c r="E565" s="691">
        <v>45412</v>
      </c>
      <c r="F565" s="692">
        <v>97</v>
      </c>
      <c r="G565" s="692" t="s">
        <v>879</v>
      </c>
      <c r="H565" s="692">
        <v>103.1</v>
      </c>
      <c r="I565" s="772"/>
      <c r="J565" s="773"/>
      <c r="K565" s="774"/>
      <c r="L565" s="103"/>
      <c r="M565" s="104"/>
    </row>
    <row r="566" spans="3:13" ht="25" thickBot="1" x14ac:dyDescent="0.25">
      <c r="C566" s="91"/>
      <c r="D566" s="91" t="s">
        <v>105</v>
      </c>
      <c r="E566" s="686" t="s">
        <v>30</v>
      </c>
      <c r="F566" s="874" t="s">
        <v>819</v>
      </c>
      <c r="G566" s="875"/>
      <c r="H566" s="876"/>
      <c r="I566" s="846" t="s">
        <v>633</v>
      </c>
      <c r="J566" s="847"/>
      <c r="K566" s="848"/>
      <c r="L566" s="162" t="s">
        <v>430</v>
      </c>
      <c r="M566" s="106" t="s">
        <v>431</v>
      </c>
    </row>
    <row r="567" spans="3:13" x14ac:dyDescent="0.2">
      <c r="C567" s="91"/>
      <c r="D567" s="91"/>
      <c r="E567" s="687" t="s">
        <v>432</v>
      </c>
      <c r="F567" s="853"/>
      <c r="G567" s="854"/>
      <c r="H567" s="855"/>
      <c r="I567" s="769" t="s">
        <v>821</v>
      </c>
      <c r="J567" s="770"/>
      <c r="K567" s="771"/>
      <c r="L567" s="100"/>
      <c r="M567" s="101"/>
    </row>
    <row r="568" spans="3:13" x14ac:dyDescent="0.2">
      <c r="C568" s="91"/>
      <c r="D568" s="91"/>
      <c r="E568" s="688" t="s">
        <v>433</v>
      </c>
      <c r="F568" s="868" t="s">
        <v>820</v>
      </c>
      <c r="G568" s="869"/>
      <c r="H568" s="870"/>
      <c r="I568" s="769"/>
      <c r="J568" s="770"/>
      <c r="K568" s="771"/>
      <c r="L568" s="100"/>
      <c r="M568" s="101"/>
    </row>
    <row r="569" spans="3:13" ht="20" thickBot="1" x14ac:dyDescent="0.25">
      <c r="C569" s="91"/>
      <c r="D569" s="91"/>
      <c r="E569" s="688" t="s">
        <v>434</v>
      </c>
      <c r="F569" s="868" t="s">
        <v>634</v>
      </c>
      <c r="G569" s="869"/>
      <c r="H569" s="870"/>
      <c r="I569" s="769"/>
      <c r="J569" s="770"/>
      <c r="K569" s="771"/>
      <c r="L569" s="100"/>
      <c r="M569" s="101"/>
    </row>
    <row r="570" spans="3:13" ht="20" thickBot="1" x14ac:dyDescent="0.25">
      <c r="C570" s="91"/>
      <c r="D570" s="91"/>
      <c r="E570" s="689" t="s">
        <v>435</v>
      </c>
      <c r="F570" s="871">
        <v>0.58333333333333337</v>
      </c>
      <c r="G570" s="872"/>
      <c r="H570" s="873"/>
      <c r="I570" s="769"/>
      <c r="J570" s="770"/>
      <c r="K570" s="771"/>
      <c r="L570" s="107">
        <v>0.8125</v>
      </c>
      <c r="M570" s="108">
        <v>0.70833333333333337</v>
      </c>
    </row>
    <row r="571" spans="3:13" ht="20" thickBot="1" x14ac:dyDescent="0.25">
      <c r="C571" s="91"/>
      <c r="D571" s="91"/>
      <c r="E571" s="690" t="s">
        <v>436</v>
      </c>
      <c r="F571" s="293" t="s">
        <v>29</v>
      </c>
      <c r="G571" s="293" t="s">
        <v>28</v>
      </c>
      <c r="H571" s="294" t="s">
        <v>27</v>
      </c>
      <c r="I571" s="769"/>
      <c r="J571" s="770"/>
      <c r="K571" s="771"/>
      <c r="L571" s="100"/>
      <c r="M571" s="101"/>
    </row>
    <row r="572" spans="3:13" x14ac:dyDescent="0.2">
      <c r="C572" s="91"/>
      <c r="D572" s="91"/>
      <c r="E572" s="691">
        <v>45566</v>
      </c>
      <c r="F572" s="353" t="s">
        <v>634</v>
      </c>
      <c r="G572" s="353" t="s">
        <v>880</v>
      </c>
      <c r="H572" s="353" t="s">
        <v>881</v>
      </c>
      <c r="I572" s="769"/>
      <c r="J572" s="770"/>
      <c r="K572" s="771"/>
      <c r="L572" s="100"/>
      <c r="M572" s="101"/>
    </row>
    <row r="573" spans="3:13" x14ac:dyDescent="0.2">
      <c r="C573" s="91"/>
      <c r="D573" s="91"/>
      <c r="E573" s="691">
        <v>45539</v>
      </c>
      <c r="F573" s="353" t="s">
        <v>403</v>
      </c>
      <c r="G573" s="353" t="s">
        <v>527</v>
      </c>
      <c r="H573" s="353" t="s">
        <v>528</v>
      </c>
      <c r="I573" s="769"/>
      <c r="J573" s="770"/>
      <c r="K573" s="771"/>
      <c r="L573" s="100"/>
      <c r="M573" s="101"/>
    </row>
    <row r="574" spans="3:13" x14ac:dyDescent="0.2">
      <c r="C574" s="91"/>
      <c r="D574" s="91"/>
      <c r="E574" s="691">
        <v>45503</v>
      </c>
      <c r="F574" s="353" t="s">
        <v>279</v>
      </c>
      <c r="G574" s="353" t="s">
        <v>530</v>
      </c>
      <c r="H574" s="353" t="s">
        <v>531</v>
      </c>
      <c r="I574" s="769"/>
      <c r="J574" s="770"/>
      <c r="K574" s="771"/>
      <c r="L574" s="102"/>
      <c r="M574" s="101"/>
    </row>
    <row r="575" spans="3:13" x14ac:dyDescent="0.2">
      <c r="C575" s="91"/>
      <c r="D575" s="91"/>
      <c r="E575" s="691">
        <v>45475</v>
      </c>
      <c r="F575" s="353" t="s">
        <v>111</v>
      </c>
      <c r="G575" s="353" t="s">
        <v>532</v>
      </c>
      <c r="H575" s="353" t="s">
        <v>533</v>
      </c>
      <c r="I575" s="769"/>
      <c r="J575" s="770"/>
      <c r="K575" s="771"/>
      <c r="L575" s="100"/>
      <c r="M575" s="101"/>
    </row>
    <row r="576" spans="3:13" x14ac:dyDescent="0.2">
      <c r="C576" s="91"/>
      <c r="D576" s="91"/>
      <c r="E576" s="691">
        <v>45447</v>
      </c>
      <c r="F576" s="353" t="s">
        <v>18</v>
      </c>
      <c r="G576" s="353" t="s">
        <v>535</v>
      </c>
      <c r="H576" s="353" t="s">
        <v>536</v>
      </c>
      <c r="I576" s="769"/>
      <c r="J576" s="770"/>
      <c r="K576" s="771"/>
      <c r="L576" s="100"/>
      <c r="M576" s="101"/>
    </row>
    <row r="577" spans="3:13" ht="20" thickBot="1" x14ac:dyDescent="0.25">
      <c r="C577" s="91"/>
      <c r="D577" s="91"/>
      <c r="E577" s="691">
        <v>45413</v>
      </c>
      <c r="F577" s="353" t="s">
        <v>537</v>
      </c>
      <c r="G577" s="353" t="s">
        <v>538</v>
      </c>
      <c r="H577" s="353" t="s">
        <v>539</v>
      </c>
      <c r="I577" s="772"/>
      <c r="J577" s="773"/>
      <c r="K577" s="774"/>
      <c r="L577" s="103"/>
      <c r="M577" s="104"/>
    </row>
    <row r="578" spans="3:13" ht="25" thickBot="1" x14ac:dyDescent="0.25">
      <c r="C578" s="91"/>
      <c r="D578" s="91" t="s">
        <v>105</v>
      </c>
      <c r="E578" s="686" t="s">
        <v>30</v>
      </c>
      <c r="F578" s="874" t="s">
        <v>824</v>
      </c>
      <c r="G578" s="875"/>
      <c r="H578" s="876"/>
      <c r="I578" s="846" t="s">
        <v>633</v>
      </c>
      <c r="J578" s="847"/>
      <c r="K578" s="848"/>
      <c r="L578" s="162" t="s">
        <v>430</v>
      </c>
      <c r="M578" s="106" t="s">
        <v>431</v>
      </c>
    </row>
    <row r="579" spans="3:13" x14ac:dyDescent="0.2">
      <c r="C579" s="91"/>
      <c r="D579" s="91"/>
      <c r="E579" s="687" t="s">
        <v>432</v>
      </c>
      <c r="F579" s="853"/>
      <c r="G579" s="854"/>
      <c r="H579" s="855"/>
      <c r="I579" s="862" t="s">
        <v>825</v>
      </c>
      <c r="J579" s="863"/>
      <c r="K579" s="864"/>
      <c r="L579" s="100"/>
      <c r="M579" s="101"/>
    </row>
    <row r="580" spans="3:13" x14ac:dyDescent="0.2">
      <c r="C580" s="91"/>
      <c r="D580" s="91"/>
      <c r="E580" s="688" t="s">
        <v>433</v>
      </c>
      <c r="F580" s="868">
        <v>2.3E-2</v>
      </c>
      <c r="G580" s="869"/>
      <c r="H580" s="870"/>
      <c r="I580" s="862"/>
      <c r="J580" s="863"/>
      <c r="K580" s="864"/>
      <c r="L580" s="100"/>
      <c r="M580" s="101"/>
    </row>
    <row r="581" spans="3:13" ht="20" thickBot="1" x14ac:dyDescent="0.25">
      <c r="C581" s="91"/>
      <c r="D581" s="91"/>
      <c r="E581" s="688" t="s">
        <v>434</v>
      </c>
      <c r="F581" s="868">
        <v>3.7999999999999999E-2</v>
      </c>
      <c r="G581" s="869"/>
      <c r="H581" s="870"/>
      <c r="I581" s="862"/>
      <c r="J581" s="863"/>
      <c r="K581" s="864"/>
      <c r="L581" s="100"/>
      <c r="M581" s="101"/>
    </row>
    <row r="582" spans="3:13" ht="20" thickBot="1" x14ac:dyDescent="0.25">
      <c r="C582" s="91"/>
      <c r="D582" s="91"/>
      <c r="E582" s="689" t="s">
        <v>435</v>
      </c>
      <c r="F582" s="871">
        <v>2.0833333333333343E-2</v>
      </c>
      <c r="G582" s="872"/>
      <c r="H582" s="873"/>
      <c r="I582" s="862"/>
      <c r="J582" s="863"/>
      <c r="K582" s="864"/>
      <c r="L582" s="107">
        <v>0.25</v>
      </c>
      <c r="M582" s="108">
        <v>0.14583333333333331</v>
      </c>
    </row>
    <row r="583" spans="3:13" ht="20" thickBot="1" x14ac:dyDescent="0.25">
      <c r="C583" s="91"/>
      <c r="D583" s="91"/>
      <c r="E583" s="690" t="s">
        <v>436</v>
      </c>
      <c r="F583" s="293" t="s">
        <v>29</v>
      </c>
      <c r="G583" s="293" t="s">
        <v>28</v>
      </c>
      <c r="H583" s="294" t="s">
        <v>27</v>
      </c>
      <c r="I583" s="862"/>
      <c r="J583" s="863"/>
      <c r="K583" s="864"/>
      <c r="L583" s="100"/>
      <c r="M583" s="101"/>
    </row>
    <row r="584" spans="3:13" x14ac:dyDescent="0.2">
      <c r="C584" s="91"/>
      <c r="D584" s="91">
        <v>1</v>
      </c>
      <c r="E584" s="691">
        <v>45504</v>
      </c>
      <c r="F584" s="710">
        <v>3.7999999999999999E-2</v>
      </c>
      <c r="G584" s="710" t="s">
        <v>632</v>
      </c>
      <c r="H584" s="710">
        <v>3.5999999999999997E-2</v>
      </c>
      <c r="I584" s="862"/>
      <c r="J584" s="863"/>
      <c r="K584" s="864"/>
      <c r="L584" s="100"/>
      <c r="M584" s="101"/>
    </row>
    <row r="585" spans="3:13" x14ac:dyDescent="0.2">
      <c r="C585" s="91"/>
      <c r="D585" s="91"/>
      <c r="E585" s="691">
        <v>45406</v>
      </c>
      <c r="F585" s="710">
        <v>3.5999999999999997E-2</v>
      </c>
      <c r="G585" s="710" t="s">
        <v>882</v>
      </c>
      <c r="H585" s="710">
        <v>4.1000000000000002E-2</v>
      </c>
      <c r="I585" s="862"/>
      <c r="J585" s="863"/>
      <c r="K585" s="864"/>
      <c r="L585" s="100"/>
      <c r="M585" s="101"/>
    </row>
    <row r="586" spans="3:13" x14ac:dyDescent="0.2">
      <c r="C586" s="91"/>
      <c r="D586" s="91">
        <v>1</v>
      </c>
      <c r="E586" s="691">
        <v>45322</v>
      </c>
      <c r="F586" s="710">
        <v>4.1000000000000002E-2</v>
      </c>
      <c r="G586" s="710" t="s">
        <v>883</v>
      </c>
      <c r="H586" s="710">
        <v>5.3999999999999999E-2</v>
      </c>
      <c r="I586" s="862"/>
      <c r="J586" s="863"/>
      <c r="K586" s="864"/>
      <c r="L586" s="102"/>
      <c r="M586" s="101"/>
    </row>
    <row r="587" spans="3:13" x14ac:dyDescent="0.2">
      <c r="C587" s="91"/>
      <c r="D587" s="91">
        <v>1</v>
      </c>
      <c r="E587" s="691">
        <v>45224</v>
      </c>
      <c r="F587" s="710">
        <v>5.3999999999999999E-2</v>
      </c>
      <c r="G587" s="710" t="s">
        <v>884</v>
      </c>
      <c r="H587" s="710">
        <v>0.06</v>
      </c>
      <c r="I587" s="862"/>
      <c r="J587" s="863"/>
      <c r="K587" s="864"/>
      <c r="L587" s="100"/>
      <c r="M587" s="101"/>
    </row>
    <row r="588" spans="3:13" x14ac:dyDescent="0.2">
      <c r="C588" s="91"/>
      <c r="D588" s="91">
        <v>1</v>
      </c>
      <c r="E588" s="691">
        <v>45133</v>
      </c>
      <c r="F588" s="710">
        <v>0.06</v>
      </c>
      <c r="G588" s="710" t="s">
        <v>885</v>
      </c>
      <c r="H588" s="710">
        <v>7.0000000000000007E-2</v>
      </c>
      <c r="I588" s="862"/>
      <c r="J588" s="863"/>
      <c r="K588" s="864"/>
      <c r="L588" s="100"/>
      <c r="M588" s="101"/>
    </row>
    <row r="589" spans="3:13" ht="20" thickBot="1" x14ac:dyDescent="0.25">
      <c r="C589" s="91"/>
      <c r="D589" s="91">
        <v>1</v>
      </c>
      <c r="E589" s="691">
        <v>45042</v>
      </c>
      <c r="F589" s="710">
        <v>7.0000000000000007E-2</v>
      </c>
      <c r="G589" s="710" t="s">
        <v>886</v>
      </c>
      <c r="H589" s="710">
        <v>7.8E-2</v>
      </c>
      <c r="I589" s="865"/>
      <c r="J589" s="866"/>
      <c r="K589" s="867"/>
      <c r="L589" s="103"/>
      <c r="M589" s="104"/>
    </row>
    <row r="590" spans="3:13" ht="25" thickBot="1" x14ac:dyDescent="0.25">
      <c r="C590" s="91"/>
      <c r="D590" s="88" t="s">
        <v>105</v>
      </c>
      <c r="E590" s="686" t="s">
        <v>30</v>
      </c>
      <c r="F590" s="874" t="s">
        <v>826</v>
      </c>
      <c r="G590" s="875"/>
      <c r="H590" s="876"/>
      <c r="I590" s="846" t="s">
        <v>633</v>
      </c>
      <c r="J590" s="847"/>
      <c r="K590" s="848"/>
      <c r="L590" s="162" t="s">
        <v>430</v>
      </c>
      <c r="M590" s="106" t="s">
        <v>431</v>
      </c>
    </row>
    <row r="591" spans="3:13" x14ac:dyDescent="0.2">
      <c r="C591" s="91"/>
      <c r="D591" s="168"/>
      <c r="E591" s="687" t="s">
        <v>432</v>
      </c>
      <c r="F591" s="853"/>
      <c r="G591" s="854"/>
      <c r="H591" s="855"/>
      <c r="I591" s="769" t="s">
        <v>827</v>
      </c>
      <c r="J591" s="770"/>
      <c r="K591" s="771"/>
      <c r="L591" s="100"/>
      <c r="M591" s="101"/>
    </row>
    <row r="592" spans="3:13" x14ac:dyDescent="0.2">
      <c r="C592" s="91"/>
      <c r="D592" s="168"/>
      <c r="E592" s="688" t="s">
        <v>433</v>
      </c>
      <c r="F592" s="868"/>
      <c r="G592" s="869"/>
      <c r="H592" s="870"/>
      <c r="I592" s="769"/>
      <c r="J592" s="770"/>
      <c r="K592" s="771"/>
      <c r="L592" s="100"/>
      <c r="M592" s="101"/>
    </row>
    <row r="593" spans="3:13" ht="20" thickBot="1" x14ac:dyDescent="0.25">
      <c r="C593" s="91"/>
      <c r="D593" s="168"/>
      <c r="E593" s="688" t="s">
        <v>434</v>
      </c>
      <c r="F593" s="868">
        <v>-1E-3</v>
      </c>
      <c r="G593" s="869"/>
      <c r="H593" s="870"/>
      <c r="I593" s="769"/>
      <c r="J593" s="770"/>
      <c r="K593" s="771"/>
      <c r="L593" s="100"/>
      <c r="M593" s="101"/>
    </row>
    <row r="594" spans="3:13" ht="20" thickBot="1" x14ac:dyDescent="0.25">
      <c r="C594" s="91"/>
      <c r="D594" s="168"/>
      <c r="E594" s="689" t="s">
        <v>435</v>
      </c>
      <c r="F594" s="871">
        <v>0.375</v>
      </c>
      <c r="G594" s="872"/>
      <c r="H594" s="873"/>
      <c r="I594" s="769"/>
      <c r="J594" s="770"/>
      <c r="K594" s="771"/>
      <c r="L594" s="107">
        <v>0.60416666666666663</v>
      </c>
      <c r="M594" s="108">
        <v>0.49999999999999994</v>
      </c>
    </row>
    <row r="595" spans="3:13" ht="20" thickBot="1" x14ac:dyDescent="0.25">
      <c r="C595" s="91"/>
      <c r="D595" s="168"/>
      <c r="E595" s="690" t="s">
        <v>436</v>
      </c>
      <c r="F595" s="293" t="s">
        <v>29</v>
      </c>
      <c r="G595" s="293" t="s">
        <v>28</v>
      </c>
      <c r="H595" s="294" t="s">
        <v>27</v>
      </c>
      <c r="I595" s="769"/>
      <c r="J595" s="770"/>
      <c r="K595" s="771"/>
      <c r="L595" s="100"/>
      <c r="M595" s="101"/>
    </row>
    <row r="596" spans="3:13" x14ac:dyDescent="0.2">
      <c r="C596" s="91"/>
      <c r="D596" s="168"/>
      <c r="E596" s="691">
        <v>45531</v>
      </c>
      <c r="F596" s="353">
        <v>-1E-3</v>
      </c>
      <c r="G596" s="353" t="s">
        <v>456</v>
      </c>
      <c r="H596" s="353">
        <v>2E-3</v>
      </c>
      <c r="I596" s="769"/>
      <c r="J596" s="770"/>
      <c r="K596" s="771"/>
      <c r="L596" s="100"/>
      <c r="M596" s="101"/>
    </row>
    <row r="597" spans="3:13" x14ac:dyDescent="0.2">
      <c r="C597" s="91"/>
      <c r="D597" s="168"/>
      <c r="E597" s="691">
        <v>45503</v>
      </c>
      <c r="F597" s="353">
        <v>-1E-3</v>
      </c>
      <c r="G597" s="353" t="s">
        <v>462</v>
      </c>
      <c r="H597" s="353">
        <v>2E-3</v>
      </c>
      <c r="I597" s="769"/>
      <c r="J597" s="770"/>
      <c r="K597" s="771"/>
      <c r="L597" s="100"/>
      <c r="M597" s="101"/>
    </row>
    <row r="598" spans="3:13" x14ac:dyDescent="0.2">
      <c r="C598" s="91"/>
      <c r="D598" s="168"/>
      <c r="E598" s="691">
        <v>45436</v>
      </c>
      <c r="F598" s="353">
        <v>2E-3</v>
      </c>
      <c r="G598" s="353" t="s">
        <v>460</v>
      </c>
      <c r="H598" s="353">
        <v>-3.0000000000000001E-3</v>
      </c>
      <c r="I598" s="769"/>
      <c r="J598" s="770"/>
      <c r="K598" s="771"/>
      <c r="L598" s="102"/>
      <c r="M598" s="101"/>
    </row>
    <row r="599" spans="3:13" x14ac:dyDescent="0.2">
      <c r="C599" s="91"/>
      <c r="D599" s="168"/>
      <c r="E599" s="691">
        <v>45412</v>
      </c>
      <c r="F599" s="353">
        <v>2E-3</v>
      </c>
      <c r="G599" s="353" t="s">
        <v>462</v>
      </c>
      <c r="H599" s="353">
        <v>-5.0000000000000001E-3</v>
      </c>
      <c r="I599" s="769"/>
      <c r="J599" s="770"/>
      <c r="K599" s="771"/>
      <c r="L599" s="100"/>
      <c r="M599" s="101"/>
    </row>
    <row r="600" spans="3:13" x14ac:dyDescent="0.2">
      <c r="C600" s="91"/>
      <c r="D600" s="168"/>
      <c r="E600" s="691">
        <v>45345</v>
      </c>
      <c r="F600" s="353">
        <v>-3.0000000000000001E-3</v>
      </c>
      <c r="G600" s="353" t="s">
        <v>454</v>
      </c>
      <c r="H600" s="353">
        <v>-1E-3</v>
      </c>
      <c r="I600" s="769"/>
      <c r="J600" s="770"/>
      <c r="K600" s="771"/>
      <c r="L600" s="100"/>
      <c r="M600" s="101"/>
    </row>
    <row r="601" spans="3:13" ht="20" thickBot="1" x14ac:dyDescent="0.25">
      <c r="C601" s="91"/>
      <c r="D601" s="168"/>
      <c r="E601" s="691">
        <v>45321</v>
      </c>
      <c r="F601" s="353">
        <v>-3.0000000000000001E-3</v>
      </c>
      <c r="G601" s="353" t="s">
        <v>454</v>
      </c>
      <c r="H601" s="353">
        <v>-1E-3</v>
      </c>
      <c r="I601" s="772"/>
      <c r="J601" s="773"/>
      <c r="K601" s="774"/>
      <c r="L601" s="103"/>
      <c r="M601" s="104"/>
    </row>
    <row r="602" spans="3:13" ht="25" thickBot="1" x14ac:dyDescent="0.25">
      <c r="C602" s="91"/>
      <c r="D602" s="88" t="s">
        <v>105</v>
      </c>
      <c r="E602" s="686" t="s">
        <v>30</v>
      </c>
      <c r="F602" s="874" t="s">
        <v>828</v>
      </c>
      <c r="G602" s="875"/>
      <c r="H602" s="876"/>
      <c r="I602" s="846" t="s">
        <v>633</v>
      </c>
      <c r="J602" s="847"/>
      <c r="K602" s="848"/>
      <c r="L602" s="162" t="s">
        <v>430</v>
      </c>
      <c r="M602" s="106" t="s">
        <v>431</v>
      </c>
    </row>
    <row r="603" spans="3:13" x14ac:dyDescent="0.2">
      <c r="C603" s="91"/>
      <c r="D603" s="168"/>
      <c r="E603" s="687" t="s">
        <v>432</v>
      </c>
      <c r="F603" s="853"/>
      <c r="G603" s="854"/>
      <c r="H603" s="855"/>
      <c r="I603" s="862" t="s">
        <v>829</v>
      </c>
      <c r="J603" s="863"/>
      <c r="K603" s="864"/>
      <c r="L603" s="100"/>
      <c r="M603" s="101"/>
    </row>
    <row r="604" spans="3:13" x14ac:dyDescent="0.2">
      <c r="C604" s="91"/>
      <c r="D604" s="168"/>
      <c r="E604" s="688" t="s">
        <v>433</v>
      </c>
      <c r="F604" s="868">
        <v>8.0000000000000002E-3</v>
      </c>
      <c r="G604" s="869"/>
      <c r="H604" s="870"/>
      <c r="I604" s="862"/>
      <c r="J604" s="863"/>
      <c r="K604" s="864"/>
      <c r="L604" s="100"/>
      <c r="M604" s="101"/>
    </row>
    <row r="605" spans="3:13" ht="20" thickBot="1" x14ac:dyDescent="0.25">
      <c r="C605" s="91"/>
      <c r="D605" s="168"/>
      <c r="E605" s="688" t="s">
        <v>434</v>
      </c>
      <c r="F605" s="868">
        <v>6.0000000000000001E-3</v>
      </c>
      <c r="G605" s="869"/>
      <c r="H605" s="870"/>
      <c r="I605" s="862"/>
      <c r="J605" s="863"/>
      <c r="K605" s="864"/>
      <c r="L605" s="100"/>
      <c r="M605" s="101"/>
    </row>
    <row r="606" spans="3:13" ht="20" thickBot="1" x14ac:dyDescent="0.25">
      <c r="C606" s="91"/>
      <c r="D606" s="168"/>
      <c r="E606" s="689" t="s">
        <v>435</v>
      </c>
      <c r="F606" s="871">
        <v>0.41666666666666674</v>
      </c>
      <c r="G606" s="872"/>
      <c r="H606" s="873"/>
      <c r="I606" s="862"/>
      <c r="J606" s="863"/>
      <c r="K606" s="864"/>
      <c r="L606" s="107">
        <v>0.64583333333333337</v>
      </c>
      <c r="M606" s="108">
        <v>0.54166666666666674</v>
      </c>
    </row>
    <row r="607" spans="3:13" ht="20" thickBot="1" x14ac:dyDescent="0.25">
      <c r="C607" s="91"/>
      <c r="D607" s="168"/>
      <c r="E607" s="690" t="s">
        <v>436</v>
      </c>
      <c r="F607" s="293" t="s">
        <v>29</v>
      </c>
      <c r="G607" s="293" t="s">
        <v>28</v>
      </c>
      <c r="H607" s="294" t="s">
        <v>27</v>
      </c>
      <c r="I607" s="862"/>
      <c r="J607" s="863"/>
      <c r="K607" s="864"/>
      <c r="L607" s="100"/>
      <c r="M607" s="101"/>
    </row>
    <row r="608" spans="3:13" x14ac:dyDescent="0.2">
      <c r="C608" s="91"/>
      <c r="D608" s="168"/>
      <c r="E608" s="691">
        <v>45541</v>
      </c>
      <c r="F608" s="710">
        <v>6.0000000000000001E-3</v>
      </c>
      <c r="G608" s="710" t="s">
        <v>449</v>
      </c>
      <c r="H608" s="710">
        <v>4.0000000000000001E-3</v>
      </c>
      <c r="I608" s="862"/>
      <c r="J608" s="863"/>
      <c r="K608" s="864"/>
      <c r="L608" s="100"/>
      <c r="M608" s="101"/>
    </row>
    <row r="609" spans="3:13" x14ac:dyDescent="0.2">
      <c r="C609" s="91"/>
      <c r="D609" s="168"/>
      <c r="E609" s="691">
        <v>45518</v>
      </c>
      <c r="F609" s="710">
        <v>6.0000000000000001E-3</v>
      </c>
      <c r="G609" s="710" t="s">
        <v>449</v>
      </c>
      <c r="H609" s="710">
        <v>4.0000000000000001E-3</v>
      </c>
      <c r="I609" s="862"/>
      <c r="J609" s="863"/>
      <c r="K609" s="864"/>
      <c r="L609" s="100"/>
      <c r="M609" s="101"/>
    </row>
    <row r="610" spans="3:13" x14ac:dyDescent="0.2">
      <c r="C610" s="91"/>
      <c r="D610" s="168"/>
      <c r="E610" s="691">
        <v>45503</v>
      </c>
      <c r="F610" s="710">
        <v>6.0000000000000001E-3</v>
      </c>
      <c r="G610" s="710" t="s">
        <v>449</v>
      </c>
      <c r="H610" s="710">
        <v>4.0000000000000001E-3</v>
      </c>
      <c r="I610" s="862"/>
      <c r="J610" s="863"/>
      <c r="K610" s="864"/>
      <c r="L610" s="102"/>
      <c r="M610" s="101"/>
    </row>
    <row r="611" spans="3:13" x14ac:dyDescent="0.2">
      <c r="C611" s="91"/>
      <c r="D611" s="168"/>
      <c r="E611" s="691">
        <v>45450</v>
      </c>
      <c r="F611" s="710">
        <v>4.0000000000000001E-3</v>
      </c>
      <c r="G611" s="710" t="s">
        <v>452</v>
      </c>
      <c r="H611" s="710">
        <v>2E-3</v>
      </c>
      <c r="I611" s="862"/>
      <c r="J611" s="863"/>
      <c r="K611" s="864"/>
      <c r="L611" s="100"/>
      <c r="M611" s="101"/>
    </row>
    <row r="612" spans="3:13" x14ac:dyDescent="0.2">
      <c r="C612" s="91"/>
      <c r="D612" s="168"/>
      <c r="E612" s="691">
        <v>45427</v>
      </c>
      <c r="F612" s="710">
        <v>4.0000000000000001E-3</v>
      </c>
      <c r="G612" s="710" t="s">
        <v>452</v>
      </c>
      <c r="H612" s="710">
        <v>1E-3</v>
      </c>
      <c r="I612" s="862"/>
      <c r="J612" s="863"/>
      <c r="K612" s="864"/>
      <c r="L612" s="100"/>
      <c r="M612" s="101"/>
    </row>
    <row r="613" spans="3:13" ht="20" thickBot="1" x14ac:dyDescent="0.25">
      <c r="C613" s="91"/>
      <c r="D613" s="168"/>
      <c r="E613" s="691">
        <v>45412</v>
      </c>
      <c r="F613" s="710">
        <v>4.0000000000000001E-3</v>
      </c>
      <c r="G613" s="710" t="s">
        <v>460</v>
      </c>
      <c r="H613" s="710">
        <v>1E-3</v>
      </c>
      <c r="I613" s="865"/>
      <c r="J613" s="866"/>
      <c r="K613" s="867"/>
      <c r="L613" s="103"/>
      <c r="M613" s="104"/>
    </row>
    <row r="614" spans="3:13" ht="25" thickBot="1" x14ac:dyDescent="0.25">
      <c r="C614" s="91"/>
      <c r="D614" s="88" t="s">
        <v>105</v>
      </c>
      <c r="E614" s="686" t="s">
        <v>30</v>
      </c>
      <c r="F614" s="874" t="s">
        <v>830</v>
      </c>
      <c r="G614" s="875"/>
      <c r="H614" s="876"/>
      <c r="I614" s="846" t="s">
        <v>633</v>
      </c>
      <c r="J614" s="847"/>
      <c r="K614" s="848"/>
      <c r="L614" s="162" t="s">
        <v>430</v>
      </c>
      <c r="M614" s="106" t="s">
        <v>431</v>
      </c>
    </row>
    <row r="615" spans="3:13" x14ac:dyDescent="0.2">
      <c r="C615" s="91"/>
      <c r="D615" s="168"/>
      <c r="E615" s="687" t="s">
        <v>432</v>
      </c>
      <c r="F615" s="853"/>
      <c r="G615" s="854"/>
      <c r="H615" s="855"/>
      <c r="I615" s="769" t="s">
        <v>831</v>
      </c>
      <c r="J615" s="770"/>
      <c r="K615" s="771"/>
      <c r="L615" s="100"/>
      <c r="M615" s="101"/>
    </row>
    <row r="616" spans="3:13" x14ac:dyDescent="0.2">
      <c r="C616" s="91"/>
      <c r="D616" s="168"/>
      <c r="E616" s="688" t="s">
        <v>433</v>
      </c>
      <c r="F616" s="883">
        <v>0</v>
      </c>
      <c r="G616" s="884"/>
      <c r="H616" s="885"/>
      <c r="I616" s="769"/>
      <c r="J616" s="770"/>
      <c r="K616" s="771"/>
      <c r="L616" s="100"/>
      <c r="M616" s="101"/>
    </row>
    <row r="617" spans="3:13" ht="20" thickBot="1" x14ac:dyDescent="0.25">
      <c r="C617" s="91"/>
      <c r="D617" s="168"/>
      <c r="E617" s="688" t="s">
        <v>434</v>
      </c>
      <c r="F617" s="883">
        <v>0</v>
      </c>
      <c r="G617" s="884"/>
      <c r="H617" s="885"/>
      <c r="I617" s="769"/>
      <c r="J617" s="770"/>
      <c r="K617" s="771"/>
      <c r="L617" s="100"/>
      <c r="M617" s="101"/>
    </row>
    <row r="618" spans="3:13" ht="20" thickBot="1" x14ac:dyDescent="0.25">
      <c r="C618" s="91"/>
      <c r="D618" s="168"/>
      <c r="E618" s="689" t="s">
        <v>435</v>
      </c>
      <c r="F618" s="871">
        <v>0.41666666666666674</v>
      </c>
      <c r="G618" s="872"/>
      <c r="H618" s="873"/>
      <c r="I618" s="769"/>
      <c r="J618" s="770"/>
      <c r="K618" s="771"/>
      <c r="L618" s="107">
        <v>0.64583333333333337</v>
      </c>
      <c r="M618" s="108">
        <v>0.54166666666666674</v>
      </c>
    </row>
    <row r="619" spans="3:13" ht="20" thickBot="1" x14ac:dyDescent="0.25">
      <c r="C619" s="91"/>
      <c r="D619" s="168"/>
      <c r="E619" s="690" t="s">
        <v>436</v>
      </c>
      <c r="F619" s="293" t="s">
        <v>29</v>
      </c>
      <c r="G619" s="293" t="s">
        <v>28</v>
      </c>
      <c r="H619" s="294" t="s">
        <v>27</v>
      </c>
      <c r="I619" s="769"/>
      <c r="J619" s="770"/>
      <c r="K619" s="771"/>
      <c r="L619" s="100"/>
      <c r="M619" s="101"/>
    </row>
    <row r="620" spans="3:13" x14ac:dyDescent="0.2">
      <c r="C620" s="91"/>
      <c r="D620" s="168"/>
      <c r="E620" s="691">
        <v>45252</v>
      </c>
      <c r="F620" s="692">
        <v>0</v>
      </c>
      <c r="G620" s="692" t="s">
        <v>754</v>
      </c>
      <c r="H620" s="692">
        <v>0</v>
      </c>
      <c r="I620" s="769"/>
      <c r="J620" s="770"/>
      <c r="K620" s="771"/>
      <c r="L620" s="100"/>
      <c r="M620" s="101"/>
    </row>
    <row r="621" spans="3:13" x14ac:dyDescent="0.2">
      <c r="C621" s="91"/>
      <c r="D621" s="168"/>
      <c r="E621" s="691">
        <v>44882</v>
      </c>
      <c r="F621" s="692">
        <v>0</v>
      </c>
      <c r="G621" s="692" t="s">
        <v>754</v>
      </c>
      <c r="H621" s="692">
        <v>0</v>
      </c>
      <c r="I621" s="769"/>
      <c r="J621" s="770"/>
      <c r="K621" s="771"/>
      <c r="L621" s="100"/>
      <c r="M621" s="101"/>
    </row>
    <row r="622" spans="3:13" x14ac:dyDescent="0.2">
      <c r="C622" s="91"/>
      <c r="D622" s="168"/>
      <c r="E622" s="691">
        <v>44496</v>
      </c>
      <c r="F622" s="692">
        <v>0</v>
      </c>
      <c r="G622" s="692" t="s">
        <v>754</v>
      </c>
      <c r="H622" s="692">
        <v>0</v>
      </c>
      <c r="I622" s="769"/>
      <c r="J622" s="770"/>
      <c r="K622" s="771"/>
      <c r="L622" s="102"/>
      <c r="M622" s="101"/>
    </row>
    <row r="623" spans="3:13" x14ac:dyDescent="0.2">
      <c r="C623" s="91"/>
      <c r="D623" s="168"/>
      <c r="E623" s="691">
        <v>44160</v>
      </c>
      <c r="F623" s="692">
        <v>0</v>
      </c>
      <c r="G623" s="692" t="s">
        <v>754</v>
      </c>
      <c r="H623" s="692">
        <v>0</v>
      </c>
      <c r="I623" s="769"/>
      <c r="J623" s="770"/>
      <c r="K623" s="771"/>
      <c r="L623" s="100"/>
      <c r="M623" s="101"/>
    </row>
    <row r="624" spans="3:13" x14ac:dyDescent="0.2">
      <c r="C624" s="91"/>
      <c r="D624" s="168"/>
      <c r="E624" s="691">
        <v>44159</v>
      </c>
      <c r="F624" s="692">
        <v>0</v>
      </c>
      <c r="G624" s="692" t="s">
        <v>754</v>
      </c>
      <c r="H624" s="692">
        <v>0</v>
      </c>
      <c r="I624" s="769"/>
      <c r="J624" s="770"/>
      <c r="K624" s="771"/>
      <c r="L624" s="100"/>
      <c r="M624" s="101"/>
    </row>
    <row r="625" spans="3:13" ht="20" thickBot="1" x14ac:dyDescent="0.25">
      <c r="C625" s="91"/>
      <c r="D625" s="168"/>
      <c r="E625" s="691">
        <v>43901</v>
      </c>
      <c r="F625" s="692">
        <v>0</v>
      </c>
      <c r="G625" s="692" t="s">
        <v>754</v>
      </c>
      <c r="H625" s="692">
        <v>0</v>
      </c>
      <c r="I625" s="772"/>
      <c r="J625" s="773"/>
      <c r="K625" s="774"/>
      <c r="L625" s="103"/>
      <c r="M625" s="104"/>
    </row>
    <row r="626" spans="3:13" ht="25" thickBot="1" x14ac:dyDescent="0.25">
      <c r="C626" s="91"/>
      <c r="D626" s="88" t="s">
        <v>105</v>
      </c>
      <c r="E626" s="686" t="s">
        <v>30</v>
      </c>
      <c r="F626" s="874" t="s">
        <v>832</v>
      </c>
      <c r="G626" s="875"/>
      <c r="H626" s="876"/>
      <c r="I626" s="849" t="s">
        <v>633</v>
      </c>
      <c r="J626" s="847"/>
      <c r="K626" s="848"/>
      <c r="L626" s="162" t="s">
        <v>430</v>
      </c>
      <c r="M626" s="106" t="s">
        <v>431</v>
      </c>
    </row>
    <row r="627" spans="3:13" x14ac:dyDescent="0.2">
      <c r="C627" s="91"/>
      <c r="D627" s="168"/>
      <c r="E627" s="687" t="s">
        <v>432</v>
      </c>
      <c r="F627" s="853"/>
      <c r="G627" s="854"/>
      <c r="H627" s="855"/>
      <c r="I627" s="769" t="s">
        <v>834</v>
      </c>
      <c r="J627" s="770"/>
      <c r="K627" s="771"/>
      <c r="L627" s="100"/>
      <c r="M627" s="101"/>
    </row>
    <row r="628" spans="3:13" x14ac:dyDescent="0.2">
      <c r="C628" s="91"/>
      <c r="D628" s="168"/>
      <c r="E628" s="688" t="s">
        <v>433</v>
      </c>
      <c r="F628" s="877" t="s">
        <v>833</v>
      </c>
      <c r="G628" s="878"/>
      <c r="H628" s="879"/>
      <c r="I628" s="769"/>
      <c r="J628" s="770"/>
      <c r="K628" s="771"/>
      <c r="L628" s="100"/>
      <c r="M628" s="101"/>
    </row>
    <row r="629" spans="3:13" ht="20" thickBot="1" x14ac:dyDescent="0.25">
      <c r="C629" s="91"/>
      <c r="D629" s="168"/>
      <c r="E629" s="688" t="s">
        <v>434</v>
      </c>
      <c r="F629" s="877" t="s">
        <v>635</v>
      </c>
      <c r="G629" s="878"/>
      <c r="H629" s="879"/>
      <c r="I629" s="769"/>
      <c r="J629" s="770"/>
      <c r="K629" s="771"/>
      <c r="L629" s="100"/>
      <c r="M629" s="101"/>
    </row>
    <row r="630" spans="3:13" ht="20" thickBot="1" x14ac:dyDescent="0.25">
      <c r="C630" s="91"/>
      <c r="D630" s="168"/>
      <c r="E630" s="689" t="s">
        <v>435</v>
      </c>
      <c r="F630" s="871">
        <v>0.51041666666666674</v>
      </c>
      <c r="G630" s="872"/>
      <c r="H630" s="873"/>
      <c r="I630" s="769"/>
      <c r="J630" s="770"/>
      <c r="K630" s="771"/>
      <c r="L630" s="107">
        <v>0.73958333333333337</v>
      </c>
      <c r="M630" s="108">
        <v>0.63541666666666674</v>
      </c>
    </row>
    <row r="631" spans="3:13" ht="20" thickBot="1" x14ac:dyDescent="0.25">
      <c r="C631" s="91"/>
      <c r="D631" s="168"/>
      <c r="E631" s="690" t="s">
        <v>436</v>
      </c>
      <c r="F631" s="293" t="s">
        <v>29</v>
      </c>
      <c r="G631" s="293" t="s">
        <v>28</v>
      </c>
      <c r="H631" s="294" t="s">
        <v>27</v>
      </c>
      <c r="I631" s="769"/>
      <c r="J631" s="770"/>
      <c r="K631" s="771"/>
      <c r="L631" s="100"/>
      <c r="M631" s="101"/>
    </row>
    <row r="632" spans="3:13" x14ac:dyDescent="0.2">
      <c r="C632" s="91"/>
      <c r="D632" s="168"/>
      <c r="E632" s="691">
        <v>45567</v>
      </c>
      <c r="F632" s="362" t="s">
        <v>635</v>
      </c>
      <c r="G632" s="362" t="s">
        <v>887</v>
      </c>
      <c r="H632" s="362" t="s">
        <v>888</v>
      </c>
      <c r="I632" s="769"/>
      <c r="J632" s="770"/>
      <c r="K632" s="771"/>
      <c r="L632" s="100"/>
      <c r="M632" s="101"/>
    </row>
    <row r="633" spans="3:13" x14ac:dyDescent="0.2">
      <c r="C633" s="91"/>
      <c r="D633" s="168"/>
      <c r="E633" s="691">
        <v>45540</v>
      </c>
      <c r="F633" s="362" t="s">
        <v>407</v>
      </c>
      <c r="G633" s="362" t="s">
        <v>546</v>
      </c>
      <c r="H633" s="362" t="s">
        <v>547</v>
      </c>
      <c r="I633" s="769"/>
      <c r="J633" s="770"/>
      <c r="K633" s="771"/>
      <c r="L633" s="100"/>
      <c r="M633" s="101"/>
    </row>
    <row r="634" spans="3:13" x14ac:dyDescent="0.2">
      <c r="C634" s="91"/>
      <c r="D634" s="168"/>
      <c r="E634" s="691">
        <v>45504</v>
      </c>
      <c r="F634" s="362" t="s">
        <v>282</v>
      </c>
      <c r="G634" s="362" t="s">
        <v>548</v>
      </c>
      <c r="H634" s="362" t="s">
        <v>292</v>
      </c>
      <c r="I634" s="769"/>
      <c r="J634" s="770"/>
      <c r="K634" s="771"/>
      <c r="L634" s="102"/>
      <c r="M634" s="101"/>
    </row>
    <row r="635" spans="3:13" x14ac:dyDescent="0.2">
      <c r="C635" s="91"/>
      <c r="D635" s="168"/>
      <c r="E635" s="691">
        <v>45476</v>
      </c>
      <c r="F635" s="362" t="s">
        <v>122</v>
      </c>
      <c r="G635" s="362" t="s">
        <v>550</v>
      </c>
      <c r="H635" s="362" t="s">
        <v>551</v>
      </c>
      <c r="I635" s="769"/>
      <c r="J635" s="770"/>
      <c r="K635" s="771"/>
      <c r="L635" s="100"/>
      <c r="M635" s="101"/>
    </row>
    <row r="636" spans="3:13" x14ac:dyDescent="0.2">
      <c r="C636" s="91"/>
      <c r="D636" s="168"/>
      <c r="E636" s="691">
        <v>45448</v>
      </c>
      <c r="F636" s="362" t="s">
        <v>15</v>
      </c>
      <c r="G636" s="362" t="s">
        <v>553</v>
      </c>
      <c r="H636" s="362" t="s">
        <v>554</v>
      </c>
      <c r="I636" s="769"/>
      <c r="J636" s="770"/>
      <c r="K636" s="771"/>
      <c r="L636" s="100"/>
      <c r="M636" s="101"/>
    </row>
    <row r="637" spans="3:13" ht="20" thickBot="1" x14ac:dyDescent="0.25">
      <c r="C637" s="91"/>
      <c r="D637" s="168"/>
      <c r="E637" s="691">
        <v>45413</v>
      </c>
      <c r="F637" s="362" t="s">
        <v>555</v>
      </c>
      <c r="G637" s="362" t="s">
        <v>556</v>
      </c>
      <c r="H637" s="362" t="s">
        <v>557</v>
      </c>
      <c r="I637" s="772"/>
      <c r="J637" s="773"/>
      <c r="K637" s="774"/>
      <c r="L637" s="103"/>
      <c r="M637" s="104"/>
    </row>
    <row r="638" spans="3:13" ht="25" thickBot="1" x14ac:dyDescent="0.25">
      <c r="C638" s="91"/>
      <c r="D638" s="88" t="s">
        <v>105</v>
      </c>
      <c r="E638" s="686" t="s">
        <v>30</v>
      </c>
      <c r="F638" s="874" t="s">
        <v>835</v>
      </c>
      <c r="G638" s="875"/>
      <c r="H638" s="876"/>
      <c r="I638" s="849" t="s">
        <v>633</v>
      </c>
      <c r="J638" s="847"/>
      <c r="K638" s="848"/>
      <c r="L638" s="162" t="s">
        <v>430</v>
      </c>
      <c r="M638" s="106" t="s">
        <v>431</v>
      </c>
    </row>
    <row r="639" spans="3:13" x14ac:dyDescent="0.2">
      <c r="C639" s="91"/>
      <c r="D639" s="168"/>
      <c r="E639" s="687" t="s">
        <v>432</v>
      </c>
      <c r="F639" s="880"/>
      <c r="G639" s="881"/>
      <c r="H639" s="882"/>
      <c r="I639" s="769" t="s">
        <v>836</v>
      </c>
      <c r="J639" s="770"/>
      <c r="K639" s="771"/>
      <c r="L639" s="100"/>
      <c r="M639" s="101"/>
    </row>
    <row r="640" spans="3:13" x14ac:dyDescent="0.2">
      <c r="C640" s="91"/>
      <c r="D640" s="168"/>
      <c r="E640" s="688" t="s">
        <v>433</v>
      </c>
      <c r="F640" s="868">
        <v>0.03</v>
      </c>
      <c r="G640" s="869"/>
      <c r="H640" s="870"/>
      <c r="I640" s="769"/>
      <c r="J640" s="770"/>
      <c r="K640" s="771"/>
      <c r="L640" s="100"/>
      <c r="M640" s="101"/>
    </row>
    <row r="641" spans="3:13" ht="20" thickBot="1" x14ac:dyDescent="0.25">
      <c r="C641" s="91"/>
      <c r="D641" s="168"/>
      <c r="E641" s="688" t="s">
        <v>434</v>
      </c>
      <c r="F641" s="868">
        <v>0.03</v>
      </c>
      <c r="G641" s="869"/>
      <c r="H641" s="870"/>
      <c r="I641" s="769"/>
      <c r="J641" s="770"/>
      <c r="K641" s="771"/>
      <c r="L641" s="100"/>
      <c r="M641" s="101"/>
    </row>
    <row r="642" spans="3:13" ht="20" thickBot="1" x14ac:dyDescent="0.25">
      <c r="C642" s="91"/>
      <c r="D642" s="168"/>
      <c r="E642" s="689" t="s">
        <v>435</v>
      </c>
      <c r="F642" s="871">
        <v>0.52083333333333337</v>
      </c>
      <c r="G642" s="872"/>
      <c r="H642" s="873"/>
      <c r="I642" s="769"/>
      <c r="J642" s="770"/>
      <c r="K642" s="771"/>
      <c r="L642" s="107">
        <v>0.75</v>
      </c>
      <c r="M642" s="108">
        <v>0.64583333333333337</v>
      </c>
    </row>
    <row r="643" spans="3:13" ht="20" thickBot="1" x14ac:dyDescent="0.25">
      <c r="C643" s="91"/>
      <c r="D643" s="168"/>
      <c r="E643" s="690" t="s">
        <v>436</v>
      </c>
      <c r="F643" s="293" t="s">
        <v>29</v>
      </c>
      <c r="G643" s="293" t="s">
        <v>28</v>
      </c>
      <c r="H643" s="294" t="s">
        <v>27</v>
      </c>
      <c r="I643" s="769"/>
      <c r="J643" s="770"/>
      <c r="K643" s="771"/>
      <c r="L643" s="100"/>
      <c r="M643" s="101"/>
    </row>
    <row r="644" spans="3:13" x14ac:dyDescent="0.2">
      <c r="C644" s="91"/>
      <c r="D644" s="168"/>
      <c r="E644" s="691">
        <v>45561</v>
      </c>
      <c r="F644" s="353">
        <v>0.03</v>
      </c>
      <c r="G644" s="353" t="s">
        <v>669</v>
      </c>
      <c r="H644" s="353">
        <v>1.6E-2</v>
      </c>
      <c r="I644" s="769"/>
      <c r="J644" s="770"/>
      <c r="K644" s="771"/>
      <c r="L644" s="100"/>
      <c r="M644" s="101"/>
    </row>
    <row r="645" spans="3:13" x14ac:dyDescent="0.2">
      <c r="C645" s="91"/>
      <c r="D645" s="168"/>
      <c r="E645" s="691">
        <v>45533</v>
      </c>
      <c r="F645" s="353">
        <v>0.03</v>
      </c>
      <c r="G645" s="353" t="s">
        <v>666</v>
      </c>
      <c r="H645" s="353">
        <v>1.4E-2</v>
      </c>
      <c r="I645" s="769"/>
      <c r="J645" s="770"/>
      <c r="K645" s="771"/>
      <c r="L645" s="100"/>
      <c r="M645" s="101"/>
    </row>
    <row r="646" spans="3:13" x14ac:dyDescent="0.2">
      <c r="C646" s="91"/>
      <c r="D646" s="168"/>
      <c r="E646" s="691">
        <v>45498</v>
      </c>
      <c r="F646" s="353">
        <v>2.8000000000000001E-2</v>
      </c>
      <c r="G646" s="353" t="s">
        <v>788</v>
      </c>
      <c r="H646" s="353">
        <v>1.4E-2</v>
      </c>
      <c r="I646" s="769"/>
      <c r="J646" s="770"/>
      <c r="K646" s="771"/>
      <c r="L646" s="102"/>
      <c r="M646" s="101"/>
    </row>
    <row r="647" spans="3:13" x14ac:dyDescent="0.2">
      <c r="C647" s="91"/>
      <c r="D647" s="168"/>
      <c r="E647" s="691">
        <v>45470</v>
      </c>
      <c r="F647" s="353">
        <v>1.4E-2</v>
      </c>
      <c r="G647" s="353" t="s">
        <v>889</v>
      </c>
      <c r="H647" s="353">
        <v>3.4000000000000002E-2</v>
      </c>
      <c r="I647" s="769"/>
      <c r="J647" s="770"/>
      <c r="K647" s="771"/>
      <c r="L647" s="100"/>
      <c r="M647" s="101"/>
    </row>
    <row r="648" spans="3:13" x14ac:dyDescent="0.2">
      <c r="C648" s="91"/>
      <c r="D648" s="168"/>
      <c r="E648" s="691">
        <v>45442</v>
      </c>
      <c r="F648" s="353">
        <v>1.2999999999999999E-2</v>
      </c>
      <c r="G648" s="353" t="s">
        <v>890</v>
      </c>
      <c r="H648" s="353">
        <v>3.4000000000000002E-2</v>
      </c>
      <c r="I648" s="769"/>
      <c r="J648" s="770"/>
      <c r="K648" s="771"/>
      <c r="L648" s="100"/>
      <c r="M648" s="101"/>
    </row>
    <row r="649" spans="3:13" ht="20" thickBot="1" x14ac:dyDescent="0.25">
      <c r="C649" s="91"/>
      <c r="D649" s="168"/>
      <c r="E649" s="691">
        <v>45407</v>
      </c>
      <c r="F649" s="353">
        <v>1.6E-2</v>
      </c>
      <c r="G649" s="353" t="s">
        <v>495</v>
      </c>
      <c r="H649" s="353">
        <v>3.4000000000000002E-2</v>
      </c>
      <c r="I649" s="772"/>
      <c r="J649" s="773"/>
      <c r="K649" s="774"/>
      <c r="L649" s="103"/>
      <c r="M649" s="104"/>
    </row>
    <row r="650" spans="3:13" ht="25" thickBot="1" x14ac:dyDescent="0.25">
      <c r="C650" s="91"/>
      <c r="D650" s="88" t="s">
        <v>105</v>
      </c>
      <c r="E650" s="686" t="s">
        <v>30</v>
      </c>
      <c r="F650" s="874" t="s">
        <v>837</v>
      </c>
      <c r="G650" s="875"/>
      <c r="H650" s="876"/>
      <c r="I650" s="846" t="s">
        <v>633</v>
      </c>
      <c r="J650" s="847"/>
      <c r="K650" s="848"/>
      <c r="L650" s="162" t="s">
        <v>430</v>
      </c>
      <c r="M650" s="106" t="s">
        <v>431</v>
      </c>
    </row>
    <row r="651" spans="3:13" x14ac:dyDescent="0.2">
      <c r="C651" s="91"/>
      <c r="D651" s="168"/>
      <c r="E651" s="687" t="s">
        <v>432</v>
      </c>
      <c r="F651" s="853"/>
      <c r="G651" s="854"/>
      <c r="H651" s="855"/>
      <c r="I651" s="769" t="s">
        <v>838</v>
      </c>
      <c r="J651" s="770"/>
      <c r="K651" s="771"/>
      <c r="L651" s="100"/>
      <c r="M651" s="101"/>
    </row>
    <row r="652" spans="3:13" x14ac:dyDescent="0.2">
      <c r="C652" s="91"/>
      <c r="D652" s="168"/>
      <c r="E652" s="688" t="s">
        <v>433</v>
      </c>
      <c r="F652" s="856">
        <v>2E-3</v>
      </c>
      <c r="G652" s="857"/>
      <c r="H652" s="858"/>
      <c r="I652" s="769"/>
      <c r="J652" s="770"/>
      <c r="K652" s="771"/>
      <c r="L652" s="100"/>
      <c r="M652" s="101"/>
    </row>
    <row r="653" spans="3:13" ht="20" thickBot="1" x14ac:dyDescent="0.25">
      <c r="C653" s="91"/>
      <c r="D653" s="168"/>
      <c r="E653" s="688" t="s">
        <v>434</v>
      </c>
      <c r="F653" s="856">
        <v>0</v>
      </c>
      <c r="G653" s="857"/>
      <c r="H653" s="858"/>
      <c r="I653" s="769"/>
      <c r="J653" s="770"/>
      <c r="K653" s="771"/>
      <c r="L653" s="100"/>
      <c r="M653" s="101"/>
    </row>
    <row r="654" spans="3:13" ht="20" thickBot="1" x14ac:dyDescent="0.25">
      <c r="C654" s="91"/>
      <c r="D654" s="168"/>
      <c r="E654" s="689" t="s">
        <v>435</v>
      </c>
      <c r="F654" s="871">
        <v>0.54166666666666674</v>
      </c>
      <c r="G654" s="872"/>
      <c r="H654" s="873"/>
      <c r="I654" s="769"/>
      <c r="J654" s="770"/>
      <c r="K654" s="771"/>
      <c r="L654" s="107">
        <v>0.77083333333333337</v>
      </c>
      <c r="M654" s="108">
        <v>0.66666666666666674</v>
      </c>
    </row>
    <row r="655" spans="3:13" ht="20" thickBot="1" x14ac:dyDescent="0.25">
      <c r="C655" s="91"/>
      <c r="D655" s="168"/>
      <c r="E655" s="690" t="s">
        <v>436</v>
      </c>
      <c r="F655" s="293" t="s">
        <v>29</v>
      </c>
      <c r="G655" s="293" t="s">
        <v>28</v>
      </c>
      <c r="H655" s="294" t="s">
        <v>27</v>
      </c>
      <c r="I655" s="769"/>
      <c r="J655" s="770"/>
      <c r="K655" s="771"/>
      <c r="L655" s="100"/>
      <c r="M655" s="101"/>
    </row>
    <row r="656" spans="3:13" x14ac:dyDescent="0.2">
      <c r="C656" s="91"/>
      <c r="D656" s="168"/>
      <c r="E656" s="691">
        <v>45576</v>
      </c>
      <c r="F656" s="353">
        <v>0</v>
      </c>
      <c r="G656" s="353" t="s">
        <v>458</v>
      </c>
      <c r="H656" s="353">
        <v>-1E-3</v>
      </c>
      <c r="I656" s="769"/>
      <c r="J656" s="770"/>
      <c r="K656" s="771"/>
      <c r="L656" s="100"/>
      <c r="M656" s="101"/>
    </row>
    <row r="657" spans="3:13" x14ac:dyDescent="0.2">
      <c r="C657" s="91"/>
      <c r="D657" s="168"/>
      <c r="E657" s="691">
        <v>45565</v>
      </c>
      <c r="F657" s="353">
        <v>0</v>
      </c>
      <c r="G657" s="353" t="s">
        <v>462</v>
      </c>
      <c r="H657" s="353">
        <v>-1E-3</v>
      </c>
      <c r="I657" s="769"/>
      <c r="J657" s="770"/>
      <c r="K657" s="771"/>
      <c r="L657" s="100"/>
      <c r="M657" s="101"/>
    </row>
    <row r="658" spans="3:13" x14ac:dyDescent="0.2">
      <c r="C658" s="91"/>
      <c r="D658" s="168"/>
      <c r="E658" s="691">
        <v>45545</v>
      </c>
      <c r="F658" s="353">
        <v>-1E-3</v>
      </c>
      <c r="G658" s="353" t="s">
        <v>456</v>
      </c>
      <c r="H658" s="353">
        <v>3.0000000000000001E-3</v>
      </c>
      <c r="I658" s="769"/>
      <c r="J658" s="770"/>
      <c r="K658" s="771"/>
      <c r="L658" s="102"/>
      <c r="M658" s="101"/>
    </row>
    <row r="659" spans="3:13" x14ac:dyDescent="0.2">
      <c r="C659" s="91"/>
      <c r="D659" s="168"/>
      <c r="E659" s="691">
        <v>45533</v>
      </c>
      <c r="F659" s="353">
        <v>-1E-3</v>
      </c>
      <c r="G659" s="353" t="s">
        <v>458</v>
      </c>
      <c r="H659" s="353">
        <v>3.0000000000000001E-3</v>
      </c>
      <c r="I659" s="769"/>
      <c r="J659" s="770"/>
      <c r="K659" s="771"/>
      <c r="L659" s="100"/>
      <c r="M659" s="101"/>
    </row>
    <row r="660" spans="3:13" x14ac:dyDescent="0.2">
      <c r="C660" s="91"/>
      <c r="D660" s="168"/>
      <c r="E660" s="691">
        <v>45513</v>
      </c>
      <c r="F660" s="353">
        <v>3.0000000000000001E-3</v>
      </c>
      <c r="G660" s="353" t="s">
        <v>467</v>
      </c>
      <c r="H660" s="353">
        <v>1E-3</v>
      </c>
      <c r="I660" s="769"/>
      <c r="J660" s="770"/>
      <c r="K660" s="771"/>
      <c r="L660" s="100"/>
      <c r="M660" s="101"/>
    </row>
    <row r="661" spans="3:13" ht="20" thickBot="1" x14ac:dyDescent="0.25">
      <c r="C661" s="91"/>
      <c r="D661" s="168"/>
      <c r="E661" s="691">
        <v>45503</v>
      </c>
      <c r="F661" s="353">
        <v>3.0000000000000001E-3</v>
      </c>
      <c r="G661" s="353" t="s">
        <v>467</v>
      </c>
      <c r="H661" s="353">
        <v>1E-3</v>
      </c>
      <c r="I661" s="772"/>
      <c r="J661" s="773"/>
      <c r="K661" s="774"/>
      <c r="L661" s="103"/>
      <c r="M661" s="104"/>
    </row>
    <row r="662" spans="3:13" ht="25" thickBot="1" x14ac:dyDescent="0.25">
      <c r="C662" s="91"/>
      <c r="D662" s="88" t="s">
        <v>105</v>
      </c>
      <c r="E662" s="686" t="s">
        <v>30</v>
      </c>
      <c r="F662" s="874" t="s">
        <v>9</v>
      </c>
      <c r="G662" s="875"/>
      <c r="H662" s="876"/>
      <c r="I662" s="846" t="s">
        <v>633</v>
      </c>
      <c r="J662" s="847"/>
      <c r="K662" s="848"/>
      <c r="L662" s="162" t="s">
        <v>430</v>
      </c>
      <c r="M662" s="106" t="s">
        <v>431</v>
      </c>
    </row>
    <row r="663" spans="3:13" x14ac:dyDescent="0.2">
      <c r="C663" s="91"/>
      <c r="D663" s="168"/>
      <c r="E663" s="687" t="s">
        <v>432</v>
      </c>
      <c r="F663" s="853"/>
      <c r="G663" s="854"/>
      <c r="H663" s="855"/>
      <c r="I663" s="769" t="s">
        <v>840</v>
      </c>
      <c r="J663" s="770"/>
      <c r="K663" s="771"/>
      <c r="L663" s="100"/>
      <c r="M663" s="101"/>
    </row>
    <row r="664" spans="3:13" x14ac:dyDescent="0.2">
      <c r="C664" s="91"/>
      <c r="D664" s="168"/>
      <c r="E664" s="688" t="s">
        <v>433</v>
      </c>
      <c r="F664" s="877">
        <v>0</v>
      </c>
      <c r="G664" s="878"/>
      <c r="H664" s="879"/>
      <c r="I664" s="769"/>
      <c r="J664" s="770"/>
      <c r="K664" s="771"/>
      <c r="L664" s="100"/>
      <c r="M664" s="101"/>
    </row>
    <row r="665" spans="3:13" ht="20" thickBot="1" x14ac:dyDescent="0.25">
      <c r="C665" s="91"/>
      <c r="D665" s="168"/>
      <c r="E665" s="688" t="s">
        <v>434</v>
      </c>
      <c r="F665" s="877" t="s">
        <v>839</v>
      </c>
      <c r="G665" s="878"/>
      <c r="H665" s="879"/>
      <c r="I665" s="769"/>
      <c r="J665" s="770"/>
      <c r="K665" s="771"/>
      <c r="L665" s="100"/>
      <c r="M665" s="101"/>
    </row>
    <row r="666" spans="3:13" ht="20" thickBot="1" x14ac:dyDescent="0.25">
      <c r="C666" s="91"/>
      <c r="D666" s="168"/>
      <c r="E666" s="689" t="s">
        <v>435</v>
      </c>
      <c r="F666" s="871">
        <v>0.60416666666666674</v>
      </c>
      <c r="G666" s="872"/>
      <c r="H666" s="873"/>
      <c r="I666" s="769"/>
      <c r="J666" s="770"/>
      <c r="K666" s="771"/>
      <c r="L666" s="107">
        <v>0.83333333333333337</v>
      </c>
      <c r="M666" s="108">
        <v>0.72916666666666674</v>
      </c>
    </row>
    <row r="667" spans="3:13" ht="20" thickBot="1" x14ac:dyDescent="0.25">
      <c r="C667" s="91"/>
      <c r="D667" s="168"/>
      <c r="E667" s="690" t="s">
        <v>436</v>
      </c>
      <c r="F667" s="293" t="s">
        <v>29</v>
      </c>
      <c r="G667" s="293" t="s">
        <v>28</v>
      </c>
      <c r="H667" s="294" t="s">
        <v>27</v>
      </c>
      <c r="I667" s="769"/>
      <c r="J667" s="770"/>
      <c r="K667" s="771"/>
      <c r="L667" s="100"/>
      <c r="M667" s="101"/>
    </row>
    <row r="668" spans="3:13" x14ac:dyDescent="0.2">
      <c r="C668" s="91"/>
      <c r="D668" s="168"/>
      <c r="E668" s="691">
        <v>45588</v>
      </c>
      <c r="F668" s="362" t="s">
        <v>839</v>
      </c>
      <c r="G668" s="362" t="s">
        <v>891</v>
      </c>
      <c r="H668" s="362" t="s">
        <v>699</v>
      </c>
      <c r="I668" s="769"/>
      <c r="J668" s="770"/>
      <c r="K668" s="771"/>
      <c r="L668" s="100"/>
      <c r="M668" s="101"/>
    </row>
    <row r="669" spans="3:13" x14ac:dyDescent="0.2">
      <c r="C669" s="91"/>
      <c r="D669" s="168"/>
      <c r="E669" s="691">
        <v>45582</v>
      </c>
      <c r="F669" s="362" t="s">
        <v>699</v>
      </c>
      <c r="G669" s="362" t="s">
        <v>731</v>
      </c>
      <c r="H669" s="362" t="s">
        <v>677</v>
      </c>
      <c r="I669" s="769"/>
      <c r="J669" s="770"/>
      <c r="K669" s="771"/>
      <c r="L669" s="100"/>
      <c r="M669" s="101"/>
    </row>
    <row r="670" spans="3:13" x14ac:dyDescent="0.2">
      <c r="C670" s="91"/>
      <c r="D670" s="168"/>
      <c r="E670" s="691">
        <v>45574</v>
      </c>
      <c r="F670" s="362" t="s">
        <v>677</v>
      </c>
      <c r="G670" s="362" t="s">
        <v>732</v>
      </c>
      <c r="H670" s="362" t="s">
        <v>637</v>
      </c>
      <c r="I670" s="769"/>
      <c r="J670" s="770"/>
      <c r="K670" s="771"/>
      <c r="L670" s="102"/>
      <c r="M670" s="101"/>
    </row>
    <row r="671" spans="3:13" x14ac:dyDescent="0.2">
      <c r="C671" s="91"/>
      <c r="D671" s="168"/>
      <c r="E671" s="691">
        <v>45567</v>
      </c>
      <c r="F671" s="362" t="s">
        <v>637</v>
      </c>
      <c r="G671" s="362" t="s">
        <v>733</v>
      </c>
      <c r="H671" s="362" t="s">
        <v>380</v>
      </c>
      <c r="I671" s="769"/>
      <c r="J671" s="770"/>
      <c r="K671" s="771"/>
      <c r="L671" s="100"/>
      <c r="M671" s="101"/>
    </row>
    <row r="672" spans="3:13" x14ac:dyDescent="0.2">
      <c r="C672" s="91"/>
      <c r="D672" s="168"/>
      <c r="E672" s="691">
        <v>45560</v>
      </c>
      <c r="F672" s="362" t="s">
        <v>380</v>
      </c>
      <c r="G672" s="362" t="s">
        <v>564</v>
      </c>
      <c r="H672" s="362" t="s">
        <v>337</v>
      </c>
      <c r="I672" s="769"/>
      <c r="J672" s="770"/>
      <c r="K672" s="771"/>
      <c r="L672" s="100"/>
      <c r="M672" s="101"/>
    </row>
    <row r="673" spans="3:13" ht="20" thickBot="1" x14ac:dyDescent="0.25">
      <c r="C673" s="91"/>
      <c r="D673" s="168"/>
      <c r="E673" s="691">
        <v>45553</v>
      </c>
      <c r="F673" s="362" t="s">
        <v>337</v>
      </c>
      <c r="G673" s="362" t="s">
        <v>565</v>
      </c>
      <c r="H673" s="362" t="s">
        <v>339</v>
      </c>
      <c r="I673" s="772"/>
      <c r="J673" s="773"/>
      <c r="K673" s="774"/>
      <c r="L673" s="103"/>
      <c r="M673" s="104"/>
    </row>
    <row r="674" spans="3:13" ht="25" thickBot="1" x14ac:dyDescent="0.25">
      <c r="C674" s="91"/>
      <c r="D674" s="88" t="s">
        <v>105</v>
      </c>
      <c r="E674" s="686" t="s">
        <v>30</v>
      </c>
      <c r="F674" s="874" t="s">
        <v>842</v>
      </c>
      <c r="G674" s="875"/>
      <c r="H674" s="876"/>
      <c r="I674" s="846" t="s">
        <v>633</v>
      </c>
      <c r="J674" s="847"/>
      <c r="K674" s="848"/>
      <c r="L674" s="162" t="s">
        <v>430</v>
      </c>
      <c r="M674" s="106" t="s">
        <v>431</v>
      </c>
    </row>
    <row r="675" spans="3:13" x14ac:dyDescent="0.2">
      <c r="C675" s="91"/>
      <c r="D675" s="168"/>
      <c r="E675" s="687" t="s">
        <v>432</v>
      </c>
      <c r="F675" s="853"/>
      <c r="G675" s="854"/>
      <c r="H675" s="855"/>
      <c r="I675" s="769" t="s">
        <v>843</v>
      </c>
      <c r="J675" s="770"/>
      <c r="K675" s="771"/>
      <c r="L675" s="100"/>
      <c r="M675" s="101"/>
    </row>
    <row r="676" spans="3:13" x14ac:dyDescent="0.2">
      <c r="C676" s="91"/>
      <c r="D676" s="168"/>
      <c r="E676" s="688" t="s">
        <v>433</v>
      </c>
      <c r="F676" s="883">
        <v>50</v>
      </c>
      <c r="G676" s="884"/>
      <c r="H676" s="885"/>
      <c r="I676" s="769"/>
      <c r="J676" s="770"/>
      <c r="K676" s="771"/>
      <c r="L676" s="100"/>
      <c r="M676" s="101"/>
    </row>
    <row r="677" spans="3:13" ht="20" thickBot="1" x14ac:dyDescent="0.25">
      <c r="C677" s="91"/>
      <c r="D677" s="168"/>
      <c r="E677" s="688" t="s">
        <v>434</v>
      </c>
      <c r="F677" s="883">
        <v>49.8</v>
      </c>
      <c r="G677" s="884"/>
      <c r="H677" s="885"/>
      <c r="I677" s="769"/>
      <c r="J677" s="770"/>
      <c r="K677" s="771"/>
      <c r="L677" s="100"/>
      <c r="M677" s="101"/>
    </row>
    <row r="678" spans="3:13" ht="20" thickBot="1" x14ac:dyDescent="0.25">
      <c r="C678" s="91"/>
      <c r="D678" s="168"/>
      <c r="E678" s="689" t="s">
        <v>435</v>
      </c>
      <c r="F678" s="871">
        <v>6.2500000000000028E-2</v>
      </c>
      <c r="G678" s="872"/>
      <c r="H678" s="873"/>
      <c r="I678" s="769"/>
      <c r="J678" s="770"/>
      <c r="K678" s="771"/>
      <c r="L678" s="107">
        <v>0.29166666666666669</v>
      </c>
      <c r="M678" s="108">
        <v>0.1875</v>
      </c>
    </row>
    <row r="679" spans="3:13" ht="20" thickBot="1" x14ac:dyDescent="0.25">
      <c r="C679" s="91"/>
      <c r="D679" s="168"/>
      <c r="E679" s="690" t="s">
        <v>436</v>
      </c>
      <c r="F679" s="293" t="s">
        <v>29</v>
      </c>
      <c r="G679" s="293" t="s">
        <v>28</v>
      </c>
      <c r="H679" s="294" t="s">
        <v>27</v>
      </c>
      <c r="I679" s="769"/>
      <c r="J679" s="770"/>
      <c r="K679" s="771"/>
      <c r="L679" s="100"/>
      <c r="M679" s="101"/>
    </row>
    <row r="680" spans="3:13" x14ac:dyDescent="0.2">
      <c r="C680" s="91"/>
      <c r="D680" s="168"/>
      <c r="E680" s="691">
        <v>45565</v>
      </c>
      <c r="F680" s="362">
        <v>49.8</v>
      </c>
      <c r="G680" s="362" t="s">
        <v>440</v>
      </c>
      <c r="H680" s="362">
        <v>49.1</v>
      </c>
      <c r="I680" s="769"/>
      <c r="J680" s="770"/>
      <c r="K680" s="771"/>
      <c r="L680" s="100"/>
      <c r="M680" s="101"/>
    </row>
    <row r="681" spans="3:13" x14ac:dyDescent="0.2">
      <c r="C681" s="91"/>
      <c r="D681" s="168"/>
      <c r="E681" s="691">
        <v>45535</v>
      </c>
      <c r="F681" s="362">
        <v>49.1</v>
      </c>
      <c r="G681" s="362" t="s">
        <v>438</v>
      </c>
      <c r="H681" s="362">
        <v>49.4</v>
      </c>
      <c r="I681" s="769"/>
      <c r="J681" s="770"/>
      <c r="K681" s="771"/>
      <c r="L681" s="100"/>
      <c r="M681" s="101"/>
    </row>
    <row r="682" spans="3:13" x14ac:dyDescent="0.2">
      <c r="C682" s="91"/>
      <c r="D682" s="168"/>
      <c r="E682" s="691">
        <v>45504</v>
      </c>
      <c r="F682" s="362">
        <v>49.4</v>
      </c>
      <c r="G682" s="362" t="s">
        <v>440</v>
      </c>
      <c r="H682" s="362">
        <v>49.5</v>
      </c>
      <c r="I682" s="769"/>
      <c r="J682" s="770"/>
      <c r="K682" s="771"/>
      <c r="L682" s="102"/>
      <c r="M682" s="101"/>
    </row>
    <row r="683" spans="3:13" x14ac:dyDescent="0.2">
      <c r="C683" s="91"/>
      <c r="D683" s="168"/>
      <c r="E683" s="691">
        <v>45473</v>
      </c>
      <c r="F683" s="362">
        <v>49.5</v>
      </c>
      <c r="G683" s="362" t="s">
        <v>438</v>
      </c>
      <c r="H683" s="362">
        <v>49.5</v>
      </c>
      <c r="I683" s="769"/>
      <c r="J683" s="770"/>
      <c r="K683" s="771"/>
      <c r="L683" s="100"/>
      <c r="M683" s="101"/>
    </row>
    <row r="684" spans="3:13" x14ac:dyDescent="0.2">
      <c r="C684" s="91"/>
      <c r="D684" s="168"/>
      <c r="E684" s="691">
        <v>45443</v>
      </c>
      <c r="F684" s="362">
        <v>49.5</v>
      </c>
      <c r="G684" s="362" t="s">
        <v>443</v>
      </c>
      <c r="H684" s="362">
        <v>50.4</v>
      </c>
      <c r="I684" s="769"/>
      <c r="J684" s="770"/>
      <c r="K684" s="771"/>
      <c r="L684" s="100"/>
      <c r="M684" s="101"/>
    </row>
    <row r="685" spans="3:13" ht="20" thickBot="1" x14ac:dyDescent="0.25">
      <c r="C685" s="91"/>
      <c r="D685" s="168"/>
      <c r="E685" s="691">
        <v>45412</v>
      </c>
      <c r="F685" s="362">
        <v>50.4</v>
      </c>
      <c r="G685" s="362" t="s">
        <v>445</v>
      </c>
      <c r="H685" s="362">
        <v>50.8</v>
      </c>
      <c r="I685" s="772"/>
      <c r="J685" s="773"/>
      <c r="K685" s="774"/>
      <c r="L685" s="103"/>
      <c r="M685" s="104"/>
    </row>
    <row r="686" spans="3:13" ht="25" thickBot="1" x14ac:dyDescent="0.25">
      <c r="C686" s="91"/>
      <c r="D686" s="88" t="s">
        <v>105</v>
      </c>
      <c r="E686" s="686" t="s">
        <v>30</v>
      </c>
      <c r="F686" s="874" t="s">
        <v>118</v>
      </c>
      <c r="G686" s="875"/>
      <c r="H686" s="876"/>
      <c r="I686" s="846" t="s">
        <v>633</v>
      </c>
      <c r="J686" s="847"/>
      <c r="K686" s="848"/>
      <c r="L686" s="162" t="s">
        <v>430</v>
      </c>
      <c r="M686" s="106" t="s">
        <v>431</v>
      </c>
    </row>
    <row r="687" spans="3:13" x14ac:dyDescent="0.2">
      <c r="C687" s="91"/>
      <c r="D687" s="168"/>
      <c r="E687" s="687" t="s">
        <v>432</v>
      </c>
      <c r="F687" s="853"/>
      <c r="G687" s="854"/>
      <c r="H687" s="855"/>
      <c r="I687" s="769" t="s">
        <v>844</v>
      </c>
      <c r="J687" s="770"/>
      <c r="K687" s="771"/>
      <c r="L687" s="100"/>
      <c r="M687" s="101"/>
    </row>
    <row r="688" spans="3:13" x14ac:dyDescent="0.2">
      <c r="C688" s="91"/>
      <c r="D688" s="168"/>
      <c r="E688" s="688" t="s">
        <v>433</v>
      </c>
      <c r="F688" s="868">
        <v>2.5000000000000001E-3</v>
      </c>
      <c r="G688" s="869"/>
      <c r="H688" s="870"/>
      <c r="I688" s="769"/>
      <c r="J688" s="770"/>
      <c r="K688" s="771"/>
      <c r="L688" s="100"/>
      <c r="M688" s="101"/>
    </row>
    <row r="689" spans="3:13" ht="20" thickBot="1" x14ac:dyDescent="0.25">
      <c r="C689" s="91"/>
      <c r="D689" s="168"/>
      <c r="E689" s="688" t="s">
        <v>434</v>
      </c>
      <c r="F689" s="868">
        <v>2.5000000000000001E-3</v>
      </c>
      <c r="G689" s="869"/>
      <c r="H689" s="870"/>
      <c r="I689" s="769"/>
      <c r="J689" s="770"/>
      <c r="K689" s="771"/>
      <c r="L689" s="100"/>
      <c r="M689" s="101"/>
    </row>
    <row r="690" spans="3:13" ht="20" thickBot="1" x14ac:dyDescent="0.25">
      <c r="C690" s="91"/>
      <c r="D690" s="168"/>
      <c r="E690" s="689" t="s">
        <v>435</v>
      </c>
      <c r="F690" s="871">
        <v>0.12500000000000003</v>
      </c>
      <c r="G690" s="872"/>
      <c r="H690" s="873"/>
      <c r="I690" s="769"/>
      <c r="J690" s="770"/>
      <c r="K690" s="771"/>
      <c r="L690" s="107">
        <v>0.35416666666666669</v>
      </c>
      <c r="M690" s="108">
        <v>0.25</v>
      </c>
    </row>
    <row r="691" spans="3:13" ht="20" thickBot="1" x14ac:dyDescent="0.25">
      <c r="C691" s="91"/>
      <c r="D691" s="168"/>
      <c r="E691" s="690" t="s">
        <v>436</v>
      </c>
      <c r="F691" s="293" t="s">
        <v>29</v>
      </c>
      <c r="G691" s="293" t="s">
        <v>28</v>
      </c>
      <c r="H691" s="294" t="s">
        <v>27</v>
      </c>
      <c r="I691" s="769"/>
      <c r="J691" s="770"/>
      <c r="K691" s="771"/>
      <c r="L691" s="100"/>
      <c r="M691" s="101"/>
    </row>
    <row r="692" spans="3:13" x14ac:dyDescent="0.2">
      <c r="C692" s="91"/>
      <c r="D692" s="168"/>
      <c r="E692" s="691">
        <v>45555</v>
      </c>
      <c r="F692" s="295">
        <v>2.5000000000000001E-3</v>
      </c>
      <c r="G692" s="295" t="s">
        <v>892</v>
      </c>
      <c r="H692" s="295">
        <v>2.5000000000000001E-3</v>
      </c>
      <c r="I692" s="769"/>
      <c r="J692" s="770"/>
      <c r="K692" s="771"/>
      <c r="L692" s="100"/>
      <c r="M692" s="101"/>
    </row>
    <row r="693" spans="3:13" x14ac:dyDescent="0.2">
      <c r="C693" s="91"/>
      <c r="D693" s="168"/>
      <c r="E693" s="691">
        <v>45504</v>
      </c>
      <c r="F693" s="295">
        <v>2.5000000000000001E-3</v>
      </c>
      <c r="G693" s="295" t="s">
        <v>893</v>
      </c>
      <c r="H693" s="295">
        <v>1E-3</v>
      </c>
      <c r="I693" s="769"/>
      <c r="J693" s="770"/>
      <c r="K693" s="771"/>
      <c r="L693" s="100"/>
      <c r="M693" s="101"/>
    </row>
    <row r="694" spans="3:13" x14ac:dyDescent="0.2">
      <c r="C694" s="91"/>
      <c r="D694" s="168"/>
      <c r="E694" s="691">
        <v>45457</v>
      </c>
      <c r="F694" s="295">
        <v>1E-3</v>
      </c>
      <c r="G694" s="295" t="s">
        <v>893</v>
      </c>
      <c r="H694" s="295">
        <v>1E-3</v>
      </c>
      <c r="I694" s="769"/>
      <c r="J694" s="770"/>
      <c r="K694" s="771"/>
      <c r="L694" s="102"/>
      <c r="M694" s="101"/>
    </row>
    <row r="695" spans="3:13" x14ac:dyDescent="0.2">
      <c r="C695" s="91"/>
      <c r="D695" s="168"/>
      <c r="E695" s="691">
        <v>45408</v>
      </c>
      <c r="F695" s="295">
        <v>1E-3</v>
      </c>
      <c r="G695" s="295" t="s">
        <v>893</v>
      </c>
      <c r="H695" s="295">
        <v>1E-3</v>
      </c>
      <c r="I695" s="769"/>
      <c r="J695" s="770"/>
      <c r="K695" s="771"/>
      <c r="L695" s="100"/>
      <c r="M695" s="101"/>
    </row>
    <row r="696" spans="3:13" x14ac:dyDescent="0.2">
      <c r="C696" s="91"/>
      <c r="D696" s="168"/>
      <c r="E696" s="691">
        <v>45370</v>
      </c>
      <c r="F696" s="295">
        <v>1E-3</v>
      </c>
      <c r="G696" s="295" t="s">
        <v>893</v>
      </c>
      <c r="H696" s="295">
        <v>-1E-3</v>
      </c>
      <c r="I696" s="769"/>
      <c r="J696" s="770"/>
      <c r="K696" s="771"/>
      <c r="L696" s="100"/>
      <c r="M696" s="101"/>
    </row>
    <row r="697" spans="3:13" ht="20" thickBot="1" x14ac:dyDescent="0.25">
      <c r="C697" s="91"/>
      <c r="D697" s="168"/>
      <c r="E697" s="691">
        <v>45314</v>
      </c>
      <c r="F697" s="295">
        <v>-1E-3</v>
      </c>
      <c r="G697" s="295" t="s">
        <v>894</v>
      </c>
      <c r="H697" s="295">
        <v>-1E-3</v>
      </c>
      <c r="I697" s="772"/>
      <c r="J697" s="773"/>
      <c r="K697" s="774"/>
      <c r="L697" s="103"/>
      <c r="M697" s="104"/>
    </row>
    <row r="698" spans="3:13" ht="25" thickBot="1" x14ac:dyDescent="0.25">
      <c r="C698" s="91"/>
      <c r="D698" s="88" t="s">
        <v>105</v>
      </c>
      <c r="E698" s="690" t="s">
        <v>30</v>
      </c>
      <c r="F698" s="901" t="s">
        <v>845</v>
      </c>
      <c r="G698" s="902"/>
      <c r="H698" s="903"/>
      <c r="I698" s="846" t="s">
        <v>633</v>
      </c>
      <c r="J698" s="847"/>
      <c r="K698" s="848"/>
      <c r="L698" s="162" t="s">
        <v>430</v>
      </c>
      <c r="M698" s="106" t="s">
        <v>431</v>
      </c>
    </row>
    <row r="699" spans="3:13" x14ac:dyDescent="0.2">
      <c r="C699" s="91"/>
      <c r="D699" s="168"/>
      <c r="E699" s="687" t="s">
        <v>432</v>
      </c>
      <c r="F699" s="853"/>
      <c r="G699" s="854"/>
      <c r="H699" s="855"/>
      <c r="I699" s="769" t="s">
        <v>846</v>
      </c>
      <c r="J699" s="770"/>
      <c r="K699" s="771"/>
      <c r="L699" s="100"/>
      <c r="M699" s="101"/>
    </row>
    <row r="700" spans="3:13" x14ac:dyDescent="0.2">
      <c r="C700" s="91"/>
      <c r="D700" s="168"/>
      <c r="E700" s="688" t="s">
        <v>433</v>
      </c>
      <c r="F700" s="904">
        <v>1.9E-2</v>
      </c>
      <c r="G700" s="905"/>
      <c r="H700" s="906"/>
      <c r="I700" s="769"/>
      <c r="J700" s="770"/>
      <c r="K700" s="771"/>
      <c r="L700" s="100"/>
      <c r="M700" s="101"/>
    </row>
    <row r="701" spans="3:13" ht="20" thickBot="1" x14ac:dyDescent="0.25">
      <c r="C701" s="91"/>
      <c r="D701" s="168"/>
      <c r="E701" s="688" t="s">
        <v>434</v>
      </c>
      <c r="F701" s="904">
        <v>1.7000000000000001E-2</v>
      </c>
      <c r="G701" s="905"/>
      <c r="H701" s="906"/>
      <c r="I701" s="769"/>
      <c r="J701" s="770"/>
      <c r="K701" s="771"/>
      <c r="L701" s="100"/>
      <c r="M701" s="101"/>
    </row>
    <row r="702" spans="3:13" ht="20" thickBot="1" x14ac:dyDescent="0.25">
      <c r="C702" s="91"/>
      <c r="D702" s="168"/>
      <c r="E702" s="689" t="s">
        <v>435</v>
      </c>
      <c r="F702" s="871">
        <v>0.41666666666666674</v>
      </c>
      <c r="G702" s="872"/>
      <c r="H702" s="873"/>
      <c r="I702" s="769"/>
      <c r="J702" s="770"/>
      <c r="K702" s="771"/>
      <c r="L702" s="107">
        <v>0.64583333333333337</v>
      </c>
      <c r="M702" s="108">
        <v>0.54166666666666674</v>
      </c>
    </row>
    <row r="703" spans="3:13" ht="20" thickBot="1" x14ac:dyDescent="0.25">
      <c r="C703" s="91"/>
      <c r="D703" s="168"/>
      <c r="E703" s="690" t="s">
        <v>436</v>
      </c>
      <c r="F703" s="293" t="s">
        <v>29</v>
      </c>
      <c r="G703" s="293" t="s">
        <v>28</v>
      </c>
      <c r="H703" s="294" t="s">
        <v>27</v>
      </c>
      <c r="I703" s="769"/>
      <c r="J703" s="770"/>
      <c r="K703" s="771"/>
      <c r="L703" s="100"/>
      <c r="M703" s="101"/>
    </row>
    <row r="704" spans="3:13" x14ac:dyDescent="0.2">
      <c r="C704" s="91"/>
      <c r="D704" s="168"/>
      <c r="E704" s="691">
        <v>45582</v>
      </c>
      <c r="F704" s="710">
        <v>1.7000000000000001E-2</v>
      </c>
      <c r="G704" s="710" t="s">
        <v>895</v>
      </c>
      <c r="H704" s="710">
        <v>2.1999999999999999E-2</v>
      </c>
      <c r="I704" s="769"/>
      <c r="J704" s="770"/>
      <c r="K704" s="771"/>
      <c r="L704" s="100"/>
      <c r="M704" s="101"/>
    </row>
    <row r="705" spans="3:13" x14ac:dyDescent="0.2">
      <c r="C705" s="91"/>
      <c r="D705" s="168"/>
      <c r="E705" s="691">
        <v>45566</v>
      </c>
      <c r="F705" s="710">
        <v>1.7999999999999999E-2</v>
      </c>
      <c r="G705" s="710" t="s">
        <v>895</v>
      </c>
      <c r="H705" s="710">
        <v>2.1999999999999999E-2</v>
      </c>
      <c r="I705" s="769"/>
      <c r="J705" s="770"/>
      <c r="K705" s="771"/>
      <c r="L705" s="100"/>
      <c r="M705" s="101"/>
    </row>
    <row r="706" spans="3:13" x14ac:dyDescent="0.2">
      <c r="C706" s="91"/>
      <c r="D706" s="168"/>
      <c r="E706" s="691">
        <v>45553</v>
      </c>
      <c r="F706" s="710">
        <v>2.1999999999999999E-2</v>
      </c>
      <c r="G706" s="710" t="s">
        <v>490</v>
      </c>
      <c r="H706" s="710">
        <v>2.5999999999999999E-2</v>
      </c>
      <c r="I706" s="769"/>
      <c r="J706" s="770"/>
      <c r="K706" s="771"/>
      <c r="L706" s="102"/>
      <c r="M706" s="101"/>
    </row>
    <row r="707" spans="3:13" x14ac:dyDescent="0.2">
      <c r="C707" s="91"/>
      <c r="D707" s="168"/>
      <c r="E707" s="691">
        <v>45534</v>
      </c>
      <c r="F707" s="710">
        <v>2.1999999999999999E-2</v>
      </c>
      <c r="G707" s="710" t="s">
        <v>490</v>
      </c>
      <c r="H707" s="710">
        <v>2.5999999999999999E-2</v>
      </c>
      <c r="I707" s="769"/>
      <c r="J707" s="770"/>
      <c r="K707" s="771"/>
      <c r="L707" s="100"/>
      <c r="M707" s="101"/>
    </row>
    <row r="708" spans="3:13" x14ac:dyDescent="0.2">
      <c r="C708" s="91"/>
      <c r="D708" s="168"/>
      <c r="E708" s="691">
        <v>45524</v>
      </c>
      <c r="F708" s="710">
        <v>2.5999999999999999E-2</v>
      </c>
      <c r="G708" s="710" t="s">
        <v>493</v>
      </c>
      <c r="H708" s="710">
        <v>2.5000000000000001E-2</v>
      </c>
      <c r="I708" s="769"/>
      <c r="J708" s="770"/>
      <c r="K708" s="771"/>
      <c r="L708" s="100"/>
      <c r="M708" s="101"/>
    </row>
    <row r="709" spans="3:13" ht="20" thickBot="1" x14ac:dyDescent="0.25">
      <c r="C709" s="91"/>
      <c r="D709" s="168"/>
      <c r="E709" s="691">
        <v>45504</v>
      </c>
      <c r="F709" s="710">
        <v>2.5999999999999999E-2</v>
      </c>
      <c r="G709" s="710" t="s">
        <v>495</v>
      </c>
      <c r="H709" s="710">
        <v>2.5000000000000001E-2</v>
      </c>
      <c r="I709" s="772"/>
      <c r="J709" s="773"/>
      <c r="K709" s="774"/>
      <c r="L709" s="103"/>
      <c r="M709" s="104"/>
    </row>
    <row r="710" spans="3:13" ht="24" thickBot="1" x14ac:dyDescent="0.25">
      <c r="C710" s="91"/>
      <c r="D710" s="88" t="s">
        <v>105</v>
      </c>
      <c r="E710" s="686" t="s">
        <v>30</v>
      </c>
      <c r="F710" s="874" t="s">
        <v>847</v>
      </c>
      <c r="G710" s="875"/>
      <c r="H710" s="876"/>
      <c r="I710" s="846" t="s">
        <v>633</v>
      </c>
      <c r="J710" s="847"/>
      <c r="K710" s="848"/>
      <c r="L710" s="162"/>
      <c r="M710" s="106"/>
    </row>
    <row r="711" spans="3:13" x14ac:dyDescent="0.2">
      <c r="C711" s="91"/>
      <c r="D711" s="168"/>
      <c r="E711" s="687" t="s">
        <v>432</v>
      </c>
      <c r="F711" s="853"/>
      <c r="G711" s="854"/>
      <c r="H711" s="855"/>
      <c r="I711" s="769" t="s">
        <v>848</v>
      </c>
      <c r="J711" s="770"/>
      <c r="K711" s="771"/>
      <c r="L711" s="100"/>
      <c r="M711" s="101"/>
    </row>
    <row r="712" spans="3:13" x14ac:dyDescent="0.2">
      <c r="C712" s="91"/>
      <c r="D712" s="168"/>
      <c r="E712" s="688" t="s">
        <v>433</v>
      </c>
      <c r="F712" s="856">
        <v>0</v>
      </c>
      <c r="G712" s="857"/>
      <c r="H712" s="858"/>
      <c r="I712" s="769"/>
      <c r="J712" s="770"/>
      <c r="K712" s="771"/>
      <c r="L712" s="100"/>
      <c r="M712" s="101"/>
    </row>
    <row r="713" spans="3:13" ht="20" thickBot="1" x14ac:dyDescent="0.25">
      <c r="C713" s="91"/>
      <c r="D713" s="168"/>
      <c r="E713" s="688" t="s">
        <v>434</v>
      </c>
      <c r="F713" s="856">
        <v>2.7E-2</v>
      </c>
      <c r="G713" s="857"/>
      <c r="H713" s="858"/>
      <c r="I713" s="769"/>
      <c r="J713" s="770"/>
      <c r="K713" s="771"/>
      <c r="L713" s="100"/>
      <c r="M713" s="101"/>
    </row>
    <row r="714" spans="3:13" ht="20" thickBot="1" x14ac:dyDescent="0.25">
      <c r="C714" s="91"/>
      <c r="D714" s="168"/>
      <c r="E714" s="689" t="s">
        <v>435</v>
      </c>
      <c r="F714" s="871">
        <v>0.52083333333333337</v>
      </c>
      <c r="G714" s="872"/>
      <c r="H714" s="873"/>
      <c r="I714" s="769"/>
      <c r="J714" s="770"/>
      <c r="K714" s="771"/>
      <c r="L714" s="107">
        <v>0.75</v>
      </c>
      <c r="M714" s="108">
        <v>0.64583333333333337</v>
      </c>
    </row>
    <row r="715" spans="3:13" ht="20" thickBot="1" x14ac:dyDescent="0.25">
      <c r="C715" s="91"/>
      <c r="D715" s="168"/>
      <c r="E715" s="690" t="s">
        <v>436</v>
      </c>
      <c r="F715" s="293" t="s">
        <v>29</v>
      </c>
      <c r="G715" s="293" t="s">
        <v>28</v>
      </c>
      <c r="H715" s="294" t="s">
        <v>27</v>
      </c>
      <c r="I715" s="769"/>
      <c r="J715" s="770"/>
      <c r="K715" s="771"/>
      <c r="L715" s="100"/>
      <c r="M715" s="101"/>
    </row>
    <row r="716" spans="3:13" x14ac:dyDescent="0.2">
      <c r="C716" s="91"/>
      <c r="D716" s="168"/>
      <c r="E716" s="691">
        <v>45562</v>
      </c>
      <c r="F716" s="353">
        <v>2.7E-2</v>
      </c>
      <c r="G716" s="353" t="s">
        <v>665</v>
      </c>
      <c r="H716" s="353">
        <v>2.5999999999999999E-2</v>
      </c>
      <c r="I716" s="769"/>
      <c r="J716" s="770"/>
      <c r="K716" s="771"/>
      <c r="L716" s="100"/>
      <c r="M716" s="101"/>
    </row>
    <row r="717" spans="3:13" x14ac:dyDescent="0.2">
      <c r="C717" s="91"/>
      <c r="D717" s="168"/>
      <c r="E717" s="691">
        <v>45534</v>
      </c>
      <c r="F717" s="353">
        <v>2.5999999999999999E-2</v>
      </c>
      <c r="G717" s="353" t="s">
        <v>665</v>
      </c>
      <c r="H717" s="353">
        <v>2.5999999999999999E-2</v>
      </c>
      <c r="I717" s="769"/>
      <c r="J717" s="770"/>
      <c r="K717" s="771"/>
      <c r="L717" s="100"/>
      <c r="M717" s="101"/>
    </row>
    <row r="718" spans="3:13" x14ac:dyDescent="0.2">
      <c r="C718" s="91"/>
      <c r="D718" s="168"/>
      <c r="E718" s="691">
        <v>45499</v>
      </c>
      <c r="F718" s="353">
        <v>2.5999999999999999E-2</v>
      </c>
      <c r="G718" s="353" t="s">
        <v>495</v>
      </c>
      <c r="H718" s="353">
        <v>2.5999999999999999E-2</v>
      </c>
      <c r="I718" s="769"/>
      <c r="J718" s="770"/>
      <c r="K718" s="771"/>
      <c r="L718" s="102"/>
      <c r="M718" s="101"/>
    </row>
    <row r="719" spans="3:13" x14ac:dyDescent="0.2">
      <c r="C719" s="91"/>
      <c r="D719" s="168"/>
      <c r="E719" s="691">
        <v>45471</v>
      </c>
      <c r="F719" s="353">
        <v>2.5999999999999999E-2</v>
      </c>
      <c r="G719" s="353" t="s">
        <v>493</v>
      </c>
      <c r="H719" s="353">
        <v>2.8000000000000001E-2</v>
      </c>
      <c r="I719" s="769"/>
      <c r="J719" s="770"/>
      <c r="K719" s="771"/>
      <c r="L719" s="100"/>
      <c r="M719" s="101"/>
    </row>
    <row r="720" spans="3:13" x14ac:dyDescent="0.2">
      <c r="C720" s="91"/>
      <c r="D720" s="168"/>
      <c r="E720" s="691">
        <v>45443</v>
      </c>
      <c r="F720" s="353">
        <v>2.8000000000000001E-2</v>
      </c>
      <c r="G720" s="353" t="s">
        <v>666</v>
      </c>
      <c r="H720" s="353">
        <v>2.8000000000000001E-2</v>
      </c>
      <c r="I720" s="769"/>
      <c r="J720" s="770"/>
      <c r="K720" s="771"/>
      <c r="L720" s="100"/>
      <c r="M720" s="101"/>
    </row>
    <row r="721" spans="3:13" ht="20" thickBot="1" x14ac:dyDescent="0.25">
      <c r="C721" s="91"/>
      <c r="D721" s="168"/>
      <c r="E721" s="691">
        <v>45408</v>
      </c>
      <c r="F721" s="353">
        <v>2.8000000000000001E-2</v>
      </c>
      <c r="G721" s="353" t="s">
        <v>493</v>
      </c>
      <c r="H721" s="353">
        <v>2.8000000000000001E-2</v>
      </c>
      <c r="I721" s="772"/>
      <c r="J721" s="773"/>
      <c r="K721" s="774"/>
      <c r="L721" s="103"/>
      <c r="M721" s="104"/>
    </row>
    <row r="722" spans="3:13" ht="25" thickBot="1" x14ac:dyDescent="0.25">
      <c r="C722" s="91"/>
      <c r="D722" s="88" t="s">
        <v>105</v>
      </c>
      <c r="E722" s="686" t="s">
        <v>30</v>
      </c>
      <c r="F722" s="874" t="s">
        <v>849</v>
      </c>
      <c r="G722" s="875"/>
      <c r="H722" s="876"/>
      <c r="I722" s="846" t="s">
        <v>633</v>
      </c>
      <c r="J722" s="847"/>
      <c r="K722" s="848"/>
      <c r="L722" s="162" t="s">
        <v>430</v>
      </c>
      <c r="M722" s="106" t="s">
        <v>431</v>
      </c>
    </row>
    <row r="723" spans="3:13" x14ac:dyDescent="0.2">
      <c r="C723" s="91"/>
      <c r="D723" s="168"/>
      <c r="E723" s="687" t="s">
        <v>432</v>
      </c>
      <c r="F723" s="853"/>
      <c r="G723" s="854"/>
      <c r="H723" s="855"/>
      <c r="I723" s="769" t="s">
        <v>850</v>
      </c>
      <c r="J723" s="770"/>
      <c r="K723" s="771"/>
      <c r="L723" s="100"/>
      <c r="M723" s="101"/>
    </row>
    <row r="724" spans="3:13" x14ac:dyDescent="0.2">
      <c r="C724" s="91"/>
      <c r="D724" s="168"/>
      <c r="E724" s="688" t="s">
        <v>433</v>
      </c>
      <c r="F724" s="868">
        <v>3.0000000000000001E-3</v>
      </c>
      <c r="G724" s="869"/>
      <c r="H724" s="870"/>
      <c r="I724" s="769"/>
      <c r="J724" s="770"/>
      <c r="K724" s="771"/>
      <c r="L724" s="100"/>
      <c r="M724" s="101"/>
    </row>
    <row r="725" spans="3:13" ht="20" thickBot="1" x14ac:dyDescent="0.25">
      <c r="C725" s="91"/>
      <c r="D725" s="168"/>
      <c r="E725" s="688" t="s">
        <v>434</v>
      </c>
      <c r="F725" s="868">
        <v>1E-3</v>
      </c>
      <c r="G725" s="869"/>
      <c r="H725" s="870"/>
      <c r="I725" s="769"/>
      <c r="J725" s="770"/>
      <c r="K725" s="771"/>
      <c r="L725" s="100"/>
      <c r="M725" s="101"/>
    </row>
    <row r="726" spans="3:13" ht="20" thickBot="1" x14ac:dyDescent="0.25">
      <c r="C726" s="91"/>
      <c r="D726" s="168"/>
      <c r="E726" s="689" t="s">
        <v>435</v>
      </c>
      <c r="F726" s="871">
        <v>0.52083333333333337</v>
      </c>
      <c r="G726" s="872"/>
      <c r="H726" s="873"/>
      <c r="I726" s="769"/>
      <c r="J726" s="770"/>
      <c r="K726" s="771"/>
      <c r="L726" s="107">
        <v>0.75</v>
      </c>
      <c r="M726" s="108">
        <v>0.64583333333333337</v>
      </c>
    </row>
    <row r="727" spans="3:13" ht="20" thickBot="1" x14ac:dyDescent="0.25">
      <c r="C727" s="91"/>
      <c r="D727" s="168"/>
      <c r="E727" s="690" t="s">
        <v>436</v>
      </c>
      <c r="F727" s="293" t="s">
        <v>29</v>
      </c>
      <c r="G727" s="293" t="s">
        <v>28</v>
      </c>
      <c r="H727" s="294" t="s">
        <v>27</v>
      </c>
      <c r="I727" s="769"/>
      <c r="J727" s="770"/>
      <c r="K727" s="771"/>
      <c r="L727" s="100"/>
      <c r="M727" s="101"/>
    </row>
    <row r="728" spans="3:13" x14ac:dyDescent="0.2">
      <c r="C728" s="91"/>
      <c r="D728" s="168"/>
      <c r="E728" s="691">
        <v>45562</v>
      </c>
      <c r="F728" s="353">
        <v>1E-3</v>
      </c>
      <c r="G728" s="353" t="s">
        <v>460</v>
      </c>
      <c r="H728" s="353">
        <v>2E-3</v>
      </c>
      <c r="I728" s="769"/>
      <c r="J728" s="770"/>
      <c r="K728" s="771"/>
      <c r="L728" s="100"/>
      <c r="M728" s="101"/>
    </row>
    <row r="729" spans="3:13" x14ac:dyDescent="0.2">
      <c r="C729" s="91"/>
      <c r="D729" s="168"/>
      <c r="E729" s="691">
        <v>45534</v>
      </c>
      <c r="F729" s="353">
        <v>2E-3</v>
      </c>
      <c r="G729" s="353" t="s">
        <v>460</v>
      </c>
      <c r="H729" s="353">
        <v>2E-3</v>
      </c>
      <c r="I729" s="769"/>
      <c r="J729" s="770"/>
      <c r="K729" s="771"/>
      <c r="L729" s="100"/>
      <c r="M729" s="101"/>
    </row>
    <row r="730" spans="3:13" x14ac:dyDescent="0.2">
      <c r="C730" s="91"/>
      <c r="D730" s="168"/>
      <c r="E730" s="691">
        <v>45499</v>
      </c>
      <c r="F730" s="353">
        <v>2E-3</v>
      </c>
      <c r="G730" s="353" t="s">
        <v>460</v>
      </c>
      <c r="H730" s="353">
        <v>1E-3</v>
      </c>
      <c r="I730" s="769"/>
      <c r="J730" s="770"/>
      <c r="K730" s="771"/>
      <c r="L730" s="102"/>
      <c r="M730" s="101"/>
    </row>
    <row r="731" spans="3:13" x14ac:dyDescent="0.2">
      <c r="C731" s="91"/>
      <c r="D731" s="168"/>
      <c r="E731" s="691">
        <v>45471</v>
      </c>
      <c r="F731" s="353">
        <v>1E-3</v>
      </c>
      <c r="G731" s="353" t="s">
        <v>462</v>
      </c>
      <c r="H731" s="353">
        <v>3.0000000000000001E-3</v>
      </c>
      <c r="I731" s="769"/>
      <c r="J731" s="770"/>
      <c r="K731" s="771"/>
      <c r="L731" s="100"/>
      <c r="M731" s="101"/>
    </row>
    <row r="732" spans="3:13" x14ac:dyDescent="0.2">
      <c r="C732" s="91"/>
      <c r="D732" s="168"/>
      <c r="E732" s="691">
        <v>45443</v>
      </c>
      <c r="F732" s="353">
        <v>2E-3</v>
      </c>
      <c r="G732" s="353" t="s">
        <v>467</v>
      </c>
      <c r="H732" s="353">
        <v>3.0000000000000001E-3</v>
      </c>
      <c r="I732" s="769"/>
      <c r="J732" s="770"/>
      <c r="K732" s="771"/>
      <c r="L732" s="100"/>
      <c r="M732" s="101"/>
    </row>
    <row r="733" spans="3:13" ht="20" thickBot="1" x14ac:dyDescent="0.25">
      <c r="C733" s="91"/>
      <c r="D733" s="168"/>
      <c r="E733" s="691">
        <v>45408</v>
      </c>
      <c r="F733" s="353">
        <v>3.0000000000000001E-3</v>
      </c>
      <c r="G733" s="353" t="s">
        <v>467</v>
      </c>
      <c r="H733" s="353">
        <v>3.0000000000000001E-3</v>
      </c>
      <c r="I733" s="772"/>
      <c r="J733" s="773"/>
      <c r="K733" s="774"/>
      <c r="L733" s="103"/>
      <c r="M733" s="104"/>
    </row>
    <row r="734" spans="3:13" ht="25" thickBot="1" x14ac:dyDescent="0.25">
      <c r="C734" s="91"/>
      <c r="D734" s="88" t="s">
        <v>105</v>
      </c>
      <c r="E734" s="686" t="s">
        <v>30</v>
      </c>
      <c r="F734" s="874" t="s">
        <v>14</v>
      </c>
      <c r="G734" s="875"/>
      <c r="H734" s="876"/>
      <c r="I734" s="846" t="s">
        <v>633</v>
      </c>
      <c r="J734" s="847"/>
      <c r="K734" s="848"/>
      <c r="L734" s="162" t="s">
        <v>430</v>
      </c>
      <c r="M734" s="106" t="s">
        <v>431</v>
      </c>
    </row>
    <row r="735" spans="3:13" x14ac:dyDescent="0.2">
      <c r="C735" s="91"/>
      <c r="D735" s="168"/>
      <c r="E735" s="687" t="s">
        <v>432</v>
      </c>
      <c r="F735" s="853"/>
      <c r="G735" s="854"/>
      <c r="H735" s="855"/>
      <c r="I735" s="769" t="s">
        <v>851</v>
      </c>
      <c r="J735" s="770"/>
      <c r="K735" s="771"/>
      <c r="L735" s="100"/>
      <c r="M735" s="101"/>
    </row>
    <row r="736" spans="3:13" x14ac:dyDescent="0.2">
      <c r="C736" s="91"/>
      <c r="D736" s="168"/>
      <c r="E736" s="688" t="s">
        <v>433</v>
      </c>
      <c r="F736" s="877" t="s">
        <v>268</v>
      </c>
      <c r="G736" s="878"/>
      <c r="H736" s="879"/>
      <c r="I736" s="769"/>
      <c r="J736" s="770"/>
      <c r="K736" s="771"/>
      <c r="L736" s="100"/>
      <c r="M736" s="101"/>
    </row>
    <row r="737" spans="3:13" ht="20" thickBot="1" x14ac:dyDescent="0.25">
      <c r="C737" s="91"/>
      <c r="D737" s="168"/>
      <c r="E737" s="688" t="s">
        <v>434</v>
      </c>
      <c r="F737" s="886" t="s">
        <v>209</v>
      </c>
      <c r="G737" s="887"/>
      <c r="H737" s="888"/>
      <c r="I737" s="769"/>
      <c r="J737" s="770"/>
      <c r="K737" s="771"/>
      <c r="L737" s="100"/>
      <c r="M737" s="101"/>
    </row>
    <row r="738" spans="3:13" ht="20" thickBot="1" x14ac:dyDescent="0.25">
      <c r="C738" s="91"/>
      <c r="D738" s="168"/>
      <c r="E738" s="689" t="s">
        <v>435</v>
      </c>
      <c r="F738" s="871">
        <v>0.52083333333333337</v>
      </c>
      <c r="G738" s="872"/>
      <c r="H738" s="873"/>
      <c r="I738" s="769"/>
      <c r="J738" s="770"/>
      <c r="K738" s="771"/>
      <c r="L738" s="107">
        <v>0.75</v>
      </c>
      <c r="M738" s="108">
        <v>0.64583333333333337</v>
      </c>
    </row>
    <row r="739" spans="3:13" ht="20" thickBot="1" x14ac:dyDescent="0.25">
      <c r="C739" s="91"/>
      <c r="D739" s="168"/>
      <c r="E739" s="690" t="s">
        <v>436</v>
      </c>
      <c r="F739" s="293" t="s">
        <v>29</v>
      </c>
      <c r="G739" s="293" t="s">
        <v>28</v>
      </c>
      <c r="H739" s="294" t="s">
        <v>27</v>
      </c>
      <c r="I739" s="769"/>
      <c r="J739" s="770"/>
      <c r="K739" s="771"/>
      <c r="L739" s="100"/>
      <c r="M739" s="101"/>
    </row>
    <row r="740" spans="3:13" x14ac:dyDescent="0.2">
      <c r="C740" s="91"/>
      <c r="D740" s="168"/>
      <c r="E740" s="691">
        <v>45589</v>
      </c>
      <c r="F740" s="707" t="s">
        <v>209</v>
      </c>
      <c r="G740" s="707" t="s">
        <v>896</v>
      </c>
      <c r="H740" s="707" t="s">
        <v>897</v>
      </c>
      <c r="I740" s="769"/>
      <c r="J740" s="770"/>
      <c r="K740" s="771"/>
      <c r="L740" s="100"/>
      <c r="M740" s="101"/>
    </row>
    <row r="741" spans="3:13" x14ac:dyDescent="0.2">
      <c r="C741" s="91"/>
      <c r="D741" s="168"/>
      <c r="E741" s="691">
        <v>45582</v>
      </c>
      <c r="F741" s="707" t="s">
        <v>171</v>
      </c>
      <c r="G741" s="707" t="s">
        <v>898</v>
      </c>
      <c r="H741" s="707" t="s">
        <v>692</v>
      </c>
      <c r="I741" s="769"/>
      <c r="J741" s="770"/>
      <c r="K741" s="771"/>
      <c r="L741" s="100"/>
      <c r="M741" s="101"/>
    </row>
    <row r="742" spans="3:13" x14ac:dyDescent="0.2">
      <c r="C742" s="91"/>
      <c r="D742" s="168"/>
      <c r="E742" s="691">
        <v>45575</v>
      </c>
      <c r="F742" s="707" t="s">
        <v>678</v>
      </c>
      <c r="G742" s="707" t="s">
        <v>580</v>
      </c>
      <c r="H742" s="707" t="s">
        <v>638</v>
      </c>
      <c r="I742" s="769"/>
      <c r="J742" s="770"/>
      <c r="K742" s="771"/>
      <c r="L742" s="102"/>
      <c r="M742" s="101"/>
    </row>
    <row r="743" spans="3:13" x14ac:dyDescent="0.2">
      <c r="C743" s="91"/>
      <c r="D743" s="168"/>
      <c r="E743" s="691">
        <v>45568</v>
      </c>
      <c r="F743" s="707" t="s">
        <v>638</v>
      </c>
      <c r="G743" s="707" t="s">
        <v>734</v>
      </c>
      <c r="H743" s="707" t="s">
        <v>345</v>
      </c>
      <c r="I743" s="769"/>
      <c r="J743" s="770"/>
      <c r="K743" s="771"/>
      <c r="L743" s="100"/>
      <c r="M743" s="101"/>
    </row>
    <row r="744" spans="3:13" x14ac:dyDescent="0.2">
      <c r="C744" s="91"/>
      <c r="D744" s="168"/>
      <c r="E744" s="691">
        <v>45561</v>
      </c>
      <c r="F744" s="707" t="s">
        <v>382</v>
      </c>
      <c r="G744" s="707" t="s">
        <v>574</v>
      </c>
      <c r="H744" s="707" t="s">
        <v>72</v>
      </c>
      <c r="I744" s="769"/>
      <c r="J744" s="770"/>
      <c r="K744" s="771"/>
      <c r="L744" s="100"/>
      <c r="M744" s="101"/>
    </row>
    <row r="745" spans="3:13" ht="20" thickBot="1" x14ac:dyDescent="0.25">
      <c r="C745" s="91"/>
      <c r="D745" s="168"/>
      <c r="E745" s="691">
        <v>45554</v>
      </c>
      <c r="F745" s="707" t="s">
        <v>345</v>
      </c>
      <c r="G745" s="707" t="s">
        <v>576</v>
      </c>
      <c r="H745" s="707" t="s">
        <v>268</v>
      </c>
      <c r="I745" s="772"/>
      <c r="J745" s="773"/>
      <c r="K745" s="774"/>
      <c r="L745" s="103"/>
      <c r="M745" s="104"/>
    </row>
    <row r="746" spans="3:13" ht="25" thickBot="1" x14ac:dyDescent="0.25">
      <c r="C746" s="91"/>
      <c r="D746" s="88" t="s">
        <v>105</v>
      </c>
      <c r="E746" s="686" t="s">
        <v>30</v>
      </c>
      <c r="F746" s="874" t="s">
        <v>852</v>
      </c>
      <c r="G746" s="875"/>
      <c r="H746" s="876"/>
      <c r="I746" s="846" t="s">
        <v>633</v>
      </c>
      <c r="J746" s="847"/>
      <c r="K746" s="848"/>
      <c r="L746" s="162" t="s">
        <v>430</v>
      </c>
      <c r="M746" s="106" t="s">
        <v>431</v>
      </c>
    </row>
    <row r="747" spans="3:13" x14ac:dyDescent="0.2">
      <c r="C747" s="91"/>
      <c r="D747" s="168"/>
      <c r="E747" s="687" t="s">
        <v>432</v>
      </c>
      <c r="F747" s="853"/>
      <c r="G747" s="854"/>
      <c r="H747" s="855"/>
      <c r="I747" s="769" t="s">
        <v>853</v>
      </c>
      <c r="J747" s="770"/>
      <c r="K747" s="771"/>
      <c r="L747" s="100"/>
      <c r="M747" s="101"/>
    </row>
    <row r="748" spans="3:13" x14ac:dyDescent="0.2">
      <c r="C748" s="91"/>
      <c r="D748" s="168"/>
      <c r="E748" s="688" t="s">
        <v>433</v>
      </c>
      <c r="F748" s="883">
        <v>47.1</v>
      </c>
      <c r="G748" s="884"/>
      <c r="H748" s="885"/>
      <c r="I748" s="769"/>
      <c r="J748" s="770"/>
      <c r="K748" s="771"/>
      <c r="L748" s="100"/>
      <c r="M748" s="101"/>
    </row>
    <row r="749" spans="3:13" ht="20" thickBot="1" x14ac:dyDescent="0.25">
      <c r="C749" s="91"/>
      <c r="D749" s="168"/>
      <c r="E749" s="688" t="s">
        <v>434</v>
      </c>
      <c r="F749" s="883">
        <v>46.6</v>
      </c>
      <c r="G749" s="884"/>
      <c r="H749" s="885"/>
      <c r="I749" s="769"/>
      <c r="J749" s="770"/>
      <c r="K749" s="771"/>
      <c r="L749" s="100"/>
      <c r="M749" s="101"/>
    </row>
    <row r="750" spans="3:13" ht="20" thickBot="1" x14ac:dyDescent="0.25">
      <c r="C750" s="91"/>
      <c r="D750" s="168"/>
      <c r="E750" s="689" t="s">
        <v>435</v>
      </c>
      <c r="F750" s="871">
        <v>0.57291666666666674</v>
      </c>
      <c r="G750" s="872"/>
      <c r="H750" s="873"/>
      <c r="I750" s="769"/>
      <c r="J750" s="770"/>
      <c r="K750" s="771"/>
      <c r="L750" s="107">
        <v>0.80208333333333337</v>
      </c>
      <c r="M750" s="108">
        <v>0.69791666666666674</v>
      </c>
    </row>
    <row r="751" spans="3:13" ht="20" thickBot="1" x14ac:dyDescent="0.25">
      <c r="C751" s="91"/>
      <c r="D751" s="168"/>
      <c r="E751" s="690" t="s">
        <v>436</v>
      </c>
      <c r="F751" s="293" t="s">
        <v>29</v>
      </c>
      <c r="G751" s="293" t="s">
        <v>28</v>
      </c>
      <c r="H751" s="294" t="s">
        <v>27</v>
      </c>
      <c r="I751" s="769"/>
      <c r="J751" s="770"/>
      <c r="K751" s="771"/>
      <c r="L751" s="100"/>
      <c r="M751" s="101"/>
    </row>
    <row r="752" spans="3:13" x14ac:dyDescent="0.2">
      <c r="C752" s="91"/>
      <c r="D752" s="168"/>
      <c r="E752" s="691">
        <v>45565</v>
      </c>
      <c r="F752" s="362">
        <v>46.6</v>
      </c>
      <c r="G752" s="362" t="s">
        <v>899</v>
      </c>
      <c r="H752" s="362">
        <v>46.1</v>
      </c>
      <c r="I752" s="769"/>
      <c r="J752" s="770"/>
      <c r="K752" s="771"/>
      <c r="L752" s="100"/>
      <c r="M752" s="101"/>
    </row>
    <row r="753" spans="3:13" x14ac:dyDescent="0.2">
      <c r="C753" s="91"/>
      <c r="D753" s="168"/>
      <c r="E753" s="691">
        <v>45534</v>
      </c>
      <c r="F753" s="362">
        <v>46.1</v>
      </c>
      <c r="G753" s="362" t="s">
        <v>473</v>
      </c>
      <c r="H753" s="362">
        <v>45.3</v>
      </c>
      <c r="I753" s="769"/>
      <c r="J753" s="770"/>
      <c r="K753" s="771"/>
      <c r="L753" s="100"/>
      <c r="M753" s="101"/>
    </row>
    <row r="754" spans="3:13" x14ac:dyDescent="0.2">
      <c r="C754" s="91"/>
      <c r="D754" s="168"/>
      <c r="E754" s="691">
        <v>45504</v>
      </c>
      <c r="F754" s="362">
        <v>45.3</v>
      </c>
      <c r="G754" s="362" t="s">
        <v>474</v>
      </c>
      <c r="H754" s="362">
        <v>47.4</v>
      </c>
      <c r="I754" s="769"/>
      <c r="J754" s="770"/>
      <c r="K754" s="771"/>
      <c r="L754" s="102"/>
      <c r="M754" s="101"/>
    </row>
    <row r="755" spans="3:13" x14ac:dyDescent="0.2">
      <c r="C755" s="91"/>
      <c r="D755" s="168"/>
      <c r="E755" s="691">
        <v>45471</v>
      </c>
      <c r="F755" s="362">
        <v>47.4</v>
      </c>
      <c r="G755" s="362" t="s">
        <v>475</v>
      </c>
      <c r="H755" s="362">
        <v>35.4</v>
      </c>
      <c r="I755" s="769"/>
      <c r="J755" s="770"/>
      <c r="K755" s="771"/>
      <c r="L755" s="100"/>
      <c r="M755" s="101"/>
    </row>
    <row r="756" spans="3:13" x14ac:dyDescent="0.2">
      <c r="C756" s="91"/>
      <c r="D756" s="168"/>
      <c r="E756" s="691">
        <v>45443</v>
      </c>
      <c r="F756" s="362">
        <v>35.4</v>
      </c>
      <c r="G756" s="362" t="s">
        <v>476</v>
      </c>
      <c r="H756" s="362">
        <v>37.9</v>
      </c>
      <c r="I756" s="769"/>
      <c r="J756" s="770"/>
      <c r="K756" s="771"/>
      <c r="L756" s="100"/>
      <c r="M756" s="101"/>
    </row>
    <row r="757" spans="3:13" ht="20" thickBot="1" x14ac:dyDescent="0.25">
      <c r="C757" s="91"/>
      <c r="D757" s="168"/>
      <c r="E757" s="691">
        <v>45412</v>
      </c>
      <c r="F757" s="362">
        <v>37.9</v>
      </c>
      <c r="G757" s="362" t="s">
        <v>477</v>
      </c>
      <c r="H757" s="362">
        <v>41.4</v>
      </c>
      <c r="I757" s="772"/>
      <c r="J757" s="773"/>
      <c r="K757" s="774"/>
      <c r="L757" s="103"/>
      <c r="M757" s="104"/>
    </row>
    <row r="758" spans="3:13" ht="25" thickBot="1" x14ac:dyDescent="0.25">
      <c r="C758" s="91"/>
      <c r="D758" s="88" t="s">
        <v>105</v>
      </c>
      <c r="E758" s="686" t="s">
        <v>30</v>
      </c>
      <c r="F758" s="874" t="s">
        <v>856</v>
      </c>
      <c r="G758" s="875"/>
      <c r="H758" s="876"/>
      <c r="I758" s="846" t="s">
        <v>633</v>
      </c>
      <c r="J758" s="847"/>
      <c r="K758" s="848"/>
      <c r="L758" s="162" t="s">
        <v>430</v>
      </c>
      <c r="M758" s="106" t="s">
        <v>431</v>
      </c>
    </row>
    <row r="759" spans="3:13" x14ac:dyDescent="0.2">
      <c r="C759" s="91"/>
      <c r="D759" s="168"/>
      <c r="E759" s="687" t="s">
        <v>432</v>
      </c>
      <c r="F759" s="853"/>
      <c r="G759" s="854"/>
      <c r="H759" s="855"/>
      <c r="I759" s="862" t="s">
        <v>857</v>
      </c>
      <c r="J759" s="863"/>
      <c r="K759" s="864"/>
      <c r="L759" s="100"/>
      <c r="M759" s="101"/>
    </row>
    <row r="760" spans="3:13" x14ac:dyDescent="0.2">
      <c r="C760" s="91"/>
      <c r="D760" s="168"/>
      <c r="E760" s="688" t="s">
        <v>433</v>
      </c>
      <c r="F760" s="883">
        <v>1.59</v>
      </c>
      <c r="G760" s="884"/>
      <c r="H760" s="885"/>
      <c r="I760" s="862"/>
      <c r="J760" s="863"/>
      <c r="K760" s="864"/>
      <c r="L760" s="100"/>
      <c r="M760" s="101"/>
    </row>
    <row r="761" spans="3:13" ht="20" thickBot="1" x14ac:dyDescent="0.25">
      <c r="C761" s="91"/>
      <c r="D761" s="168"/>
      <c r="E761" s="688" t="s">
        <v>434</v>
      </c>
      <c r="F761" s="883">
        <v>1.4</v>
      </c>
      <c r="G761" s="884"/>
      <c r="H761" s="885"/>
      <c r="I761" s="862"/>
      <c r="J761" s="863"/>
      <c r="K761" s="864"/>
      <c r="L761" s="100"/>
      <c r="M761" s="101"/>
    </row>
    <row r="762" spans="3:13" ht="20" thickBot="1" x14ac:dyDescent="0.25">
      <c r="C762" s="91"/>
      <c r="D762" s="168"/>
      <c r="E762" s="689" t="s">
        <v>435</v>
      </c>
      <c r="F762" s="859">
        <v>0.95833333333333337</v>
      </c>
      <c r="G762" s="860"/>
      <c r="H762" s="861"/>
      <c r="I762" s="862"/>
      <c r="J762" s="863"/>
      <c r="K762" s="864"/>
      <c r="L762" s="107">
        <v>6.25E-2</v>
      </c>
      <c r="M762" s="108">
        <v>0.95833333333333337</v>
      </c>
    </row>
    <row r="763" spans="3:13" ht="20" thickBot="1" x14ac:dyDescent="0.25">
      <c r="C763" s="91"/>
      <c r="D763" s="168"/>
      <c r="E763" s="690" t="s">
        <v>436</v>
      </c>
      <c r="F763" s="293" t="s">
        <v>29</v>
      </c>
      <c r="G763" s="293" t="s">
        <v>28</v>
      </c>
      <c r="H763" s="294" t="s">
        <v>27</v>
      </c>
      <c r="I763" s="862"/>
      <c r="J763" s="863"/>
      <c r="K763" s="864"/>
      <c r="L763" s="100"/>
      <c r="M763" s="101"/>
    </row>
    <row r="764" spans="3:13" ht="18" x14ac:dyDescent="0.2">
      <c r="C764" s="91"/>
      <c r="D764" s="168"/>
      <c r="E764" s="708">
        <v>45505</v>
      </c>
      <c r="F764" s="692">
        <v>1.4</v>
      </c>
      <c r="G764" s="692">
        <v>1.34</v>
      </c>
      <c r="H764" s="692">
        <v>1.53</v>
      </c>
      <c r="I764" s="862"/>
      <c r="J764" s="863"/>
      <c r="K764" s="864"/>
      <c r="L764" s="100"/>
      <c r="M764" s="101"/>
    </row>
    <row r="765" spans="3:13" ht="18" x14ac:dyDescent="0.2">
      <c r="C765" s="91"/>
      <c r="D765" s="168"/>
      <c r="E765" s="708">
        <v>45414</v>
      </c>
      <c r="F765" s="692">
        <v>1.53</v>
      </c>
      <c r="G765" s="692">
        <v>1.51</v>
      </c>
      <c r="H765" s="692">
        <v>2.1800000000000002</v>
      </c>
      <c r="I765" s="862"/>
      <c r="J765" s="863"/>
      <c r="K765" s="864"/>
      <c r="L765" s="100"/>
      <c r="M765" s="101"/>
    </row>
    <row r="766" spans="3:13" ht="18" x14ac:dyDescent="0.2">
      <c r="C766" s="91"/>
      <c r="D766" s="168"/>
      <c r="E766" s="708">
        <v>45323</v>
      </c>
      <c r="F766" s="692">
        <v>2.1800000000000002</v>
      </c>
      <c r="G766" s="692">
        <v>2.09</v>
      </c>
      <c r="H766" s="692">
        <v>1.46</v>
      </c>
      <c r="I766" s="862"/>
      <c r="J766" s="863"/>
      <c r="K766" s="864"/>
      <c r="L766" s="102"/>
      <c r="M766" s="101"/>
    </row>
    <row r="767" spans="3:13" ht="18" x14ac:dyDescent="0.2">
      <c r="C767" s="91"/>
      <c r="D767" s="168"/>
      <c r="E767" s="708">
        <v>45232</v>
      </c>
      <c r="F767" s="692">
        <v>1.46</v>
      </c>
      <c r="G767" s="692">
        <v>1.39</v>
      </c>
      <c r="H767" s="692">
        <v>1.26</v>
      </c>
      <c r="I767" s="862"/>
      <c r="J767" s="863"/>
      <c r="K767" s="864"/>
      <c r="L767" s="100"/>
      <c r="M767" s="101"/>
    </row>
    <row r="768" spans="3:13" ht="18" x14ac:dyDescent="0.2">
      <c r="C768" s="91"/>
      <c r="D768" s="168"/>
      <c r="E768" s="708">
        <v>45141</v>
      </c>
      <c r="F768" s="692">
        <v>1.26</v>
      </c>
      <c r="G768" s="692">
        <v>1.19</v>
      </c>
      <c r="H768" s="692">
        <v>1.52</v>
      </c>
      <c r="I768" s="862"/>
      <c r="J768" s="863"/>
      <c r="K768" s="864"/>
      <c r="L768" s="100"/>
      <c r="M768" s="101"/>
    </row>
    <row r="769" spans="3:13" thickBot="1" x14ac:dyDescent="0.25">
      <c r="C769" s="91"/>
      <c r="D769" s="168"/>
      <c r="E769" s="708">
        <v>45050</v>
      </c>
      <c r="F769" s="692">
        <v>1.52</v>
      </c>
      <c r="G769" s="692">
        <v>1.44</v>
      </c>
      <c r="H769" s="692">
        <v>1.88</v>
      </c>
      <c r="I769" s="865"/>
      <c r="J769" s="866"/>
      <c r="K769" s="867"/>
      <c r="L769" s="103"/>
      <c r="M769" s="104"/>
    </row>
    <row r="770" spans="3:13" ht="25" thickBot="1" x14ac:dyDescent="0.25">
      <c r="C770" s="91"/>
      <c r="D770" s="88" t="s">
        <v>105</v>
      </c>
      <c r="E770" s="686" t="s">
        <v>30</v>
      </c>
      <c r="F770" s="874" t="s">
        <v>858</v>
      </c>
      <c r="G770" s="875"/>
      <c r="H770" s="876"/>
      <c r="I770" s="846" t="s">
        <v>633</v>
      </c>
      <c r="J770" s="847"/>
      <c r="K770" s="848"/>
      <c r="L770" s="162" t="s">
        <v>430</v>
      </c>
      <c r="M770" s="106" t="s">
        <v>431</v>
      </c>
    </row>
    <row r="771" spans="3:13" x14ac:dyDescent="0.2">
      <c r="C771" s="91"/>
      <c r="D771" s="168"/>
      <c r="E771" s="687" t="s">
        <v>432</v>
      </c>
      <c r="F771" s="853"/>
      <c r="G771" s="854"/>
      <c r="H771" s="855"/>
      <c r="I771" s="769" t="s">
        <v>859</v>
      </c>
      <c r="J771" s="770"/>
      <c r="K771" s="771"/>
      <c r="L771" s="100"/>
      <c r="M771" s="101"/>
    </row>
    <row r="772" spans="3:13" x14ac:dyDescent="0.2">
      <c r="C772" s="91"/>
      <c r="D772" s="168"/>
      <c r="E772" s="688" t="s">
        <v>433</v>
      </c>
      <c r="F772" s="886">
        <v>3.0000000000000001E-3</v>
      </c>
      <c r="G772" s="887"/>
      <c r="H772" s="888"/>
      <c r="I772" s="769"/>
      <c r="J772" s="770"/>
      <c r="K772" s="771"/>
      <c r="L772" s="100"/>
      <c r="M772" s="101"/>
    </row>
    <row r="773" spans="3:13" ht="20" thickBot="1" x14ac:dyDescent="0.25">
      <c r="C773" s="91"/>
      <c r="D773" s="168"/>
      <c r="E773" s="688" t="s">
        <v>434</v>
      </c>
      <c r="F773" s="886">
        <v>4.0000000000000001E-3</v>
      </c>
      <c r="G773" s="887"/>
      <c r="H773" s="888"/>
      <c r="I773" s="769"/>
      <c r="J773" s="770"/>
      <c r="K773" s="771"/>
      <c r="L773" s="100"/>
      <c r="M773" s="101"/>
    </row>
    <row r="774" spans="3:13" ht="20" thickBot="1" x14ac:dyDescent="0.25">
      <c r="C774" s="91"/>
      <c r="D774" s="168"/>
      <c r="E774" s="689" t="s">
        <v>435</v>
      </c>
      <c r="F774" s="871">
        <v>0.52083333333333337</v>
      </c>
      <c r="G774" s="872"/>
      <c r="H774" s="873"/>
      <c r="I774" s="769"/>
      <c r="J774" s="770"/>
      <c r="K774" s="771"/>
      <c r="L774" s="107">
        <v>0.75</v>
      </c>
      <c r="M774" s="108">
        <v>0.64583333333333337</v>
      </c>
    </row>
    <row r="775" spans="3:13" ht="20" thickBot="1" x14ac:dyDescent="0.25">
      <c r="C775" s="91"/>
      <c r="D775" s="168"/>
      <c r="E775" s="690" t="s">
        <v>436</v>
      </c>
      <c r="F775" s="293" t="s">
        <v>29</v>
      </c>
      <c r="G775" s="293" t="s">
        <v>28</v>
      </c>
      <c r="H775" s="294" t="s">
        <v>27</v>
      </c>
      <c r="I775" s="769"/>
      <c r="J775" s="770"/>
      <c r="K775" s="771"/>
      <c r="L775" s="100"/>
      <c r="M775" s="101"/>
    </row>
    <row r="776" spans="3:13" x14ac:dyDescent="0.2">
      <c r="C776" s="91"/>
      <c r="D776" s="168"/>
      <c r="E776" s="691">
        <v>45569</v>
      </c>
      <c r="F776" s="353">
        <v>4.0000000000000001E-3</v>
      </c>
      <c r="G776" s="353" t="s">
        <v>467</v>
      </c>
      <c r="H776" s="353">
        <v>5.0000000000000001E-3</v>
      </c>
      <c r="I776" s="769"/>
      <c r="J776" s="770"/>
      <c r="K776" s="771"/>
      <c r="L776" s="100"/>
      <c r="M776" s="101"/>
    </row>
    <row r="777" spans="3:13" x14ac:dyDescent="0.2">
      <c r="C777" s="91"/>
      <c r="D777" s="168"/>
      <c r="E777" s="691">
        <v>45541</v>
      </c>
      <c r="F777" s="353">
        <v>4.0000000000000001E-3</v>
      </c>
      <c r="G777" s="353" t="s">
        <v>467</v>
      </c>
      <c r="H777" s="353">
        <v>-1E-3</v>
      </c>
      <c r="I777" s="769"/>
      <c r="J777" s="770"/>
      <c r="K777" s="771"/>
      <c r="L777" s="100"/>
      <c r="M777" s="101"/>
    </row>
    <row r="778" spans="3:13" x14ac:dyDescent="0.2">
      <c r="C778" s="91"/>
      <c r="D778" s="168"/>
      <c r="E778" s="691">
        <v>45506</v>
      </c>
      <c r="F778" s="353">
        <v>2E-3</v>
      </c>
      <c r="G778" s="353" t="s">
        <v>467</v>
      </c>
      <c r="H778" s="353">
        <v>3.0000000000000001E-3</v>
      </c>
      <c r="I778" s="769"/>
      <c r="J778" s="770"/>
      <c r="K778" s="771"/>
      <c r="L778" s="102"/>
      <c r="M778" s="101"/>
    </row>
    <row r="779" spans="3:13" x14ac:dyDescent="0.2">
      <c r="C779" s="91"/>
      <c r="D779" s="168"/>
      <c r="E779" s="691">
        <v>45478</v>
      </c>
      <c r="F779" s="353">
        <v>3.0000000000000001E-3</v>
      </c>
      <c r="G779" s="353" t="s">
        <v>467</v>
      </c>
      <c r="H779" s="353">
        <v>4.0000000000000001E-3</v>
      </c>
      <c r="I779" s="769"/>
      <c r="J779" s="770"/>
      <c r="K779" s="771"/>
      <c r="L779" s="100"/>
      <c r="M779" s="101"/>
    </row>
    <row r="780" spans="3:13" x14ac:dyDescent="0.2">
      <c r="C780" s="91"/>
      <c r="D780" s="168"/>
      <c r="E780" s="691">
        <v>45450</v>
      </c>
      <c r="F780" s="353">
        <v>4.0000000000000001E-3</v>
      </c>
      <c r="G780" s="353" t="s">
        <v>467</v>
      </c>
      <c r="H780" s="353">
        <v>2E-3</v>
      </c>
      <c r="I780" s="769"/>
      <c r="J780" s="770"/>
      <c r="K780" s="771"/>
      <c r="L780" s="100"/>
      <c r="M780" s="101"/>
    </row>
    <row r="781" spans="3:13" ht="20" thickBot="1" x14ac:dyDescent="0.25">
      <c r="C781" s="91"/>
      <c r="D781" s="168"/>
      <c r="E781" s="691">
        <v>45415</v>
      </c>
      <c r="F781" s="353">
        <v>2E-3</v>
      </c>
      <c r="G781" s="353" t="s">
        <v>467</v>
      </c>
      <c r="H781" s="353">
        <v>3.0000000000000001E-3</v>
      </c>
      <c r="I781" s="772"/>
      <c r="J781" s="773"/>
      <c r="K781" s="774"/>
      <c r="L781" s="103"/>
      <c r="M781" s="104"/>
    </row>
    <row r="782" spans="3:13" ht="25" thickBot="1" x14ac:dyDescent="0.25">
      <c r="C782" s="91"/>
      <c r="D782" s="88" t="s">
        <v>105</v>
      </c>
      <c r="E782" s="686" t="s">
        <v>30</v>
      </c>
      <c r="F782" s="874" t="s">
        <v>860</v>
      </c>
      <c r="G782" s="875"/>
      <c r="H782" s="876"/>
      <c r="I782" s="846" t="s">
        <v>633</v>
      </c>
      <c r="J782" s="847"/>
      <c r="K782" s="848"/>
      <c r="L782" s="162" t="s">
        <v>430</v>
      </c>
      <c r="M782" s="106" t="s">
        <v>431</v>
      </c>
    </row>
    <row r="783" spans="3:13" x14ac:dyDescent="0.2">
      <c r="C783" s="91"/>
      <c r="D783" s="168"/>
      <c r="E783" s="687" t="s">
        <v>432</v>
      </c>
      <c r="F783" s="853"/>
      <c r="G783" s="854"/>
      <c r="H783" s="855"/>
      <c r="I783" s="769" t="s">
        <v>859</v>
      </c>
      <c r="J783" s="770"/>
      <c r="K783" s="771"/>
      <c r="L783" s="100"/>
      <c r="M783" s="101"/>
    </row>
    <row r="784" spans="3:13" x14ac:dyDescent="0.2">
      <c r="C784" s="91"/>
      <c r="D784" s="168"/>
      <c r="E784" s="688" t="s">
        <v>433</v>
      </c>
      <c r="F784" s="886" t="s">
        <v>547</v>
      </c>
      <c r="G784" s="887"/>
      <c r="H784" s="888"/>
      <c r="I784" s="769"/>
      <c r="J784" s="770"/>
      <c r="K784" s="771"/>
      <c r="L784" s="100"/>
      <c r="M784" s="101"/>
    </row>
    <row r="785" spans="3:13" ht="20" thickBot="1" x14ac:dyDescent="0.25">
      <c r="C785" s="91"/>
      <c r="D785" s="168"/>
      <c r="E785" s="688" t="s">
        <v>434</v>
      </c>
      <c r="F785" s="886" t="s">
        <v>641</v>
      </c>
      <c r="G785" s="887"/>
      <c r="H785" s="888"/>
      <c r="I785" s="769"/>
      <c r="J785" s="770"/>
      <c r="K785" s="771"/>
      <c r="L785" s="100"/>
      <c r="M785" s="101"/>
    </row>
    <row r="786" spans="3:13" ht="20" thickBot="1" x14ac:dyDescent="0.25">
      <c r="C786" s="91"/>
      <c r="D786" s="168"/>
      <c r="E786" s="689" t="s">
        <v>435</v>
      </c>
      <c r="F786" s="871">
        <v>0.52083333333333337</v>
      </c>
      <c r="G786" s="872"/>
      <c r="H786" s="873"/>
      <c r="I786" s="769"/>
      <c r="J786" s="770"/>
      <c r="K786" s="771"/>
      <c r="L786" s="107">
        <v>0.75</v>
      </c>
      <c r="M786" s="108">
        <v>0.64583333333333337</v>
      </c>
    </row>
    <row r="787" spans="3:13" ht="20" thickBot="1" x14ac:dyDescent="0.25">
      <c r="C787" s="91"/>
      <c r="D787" s="168"/>
      <c r="E787" s="690" t="s">
        <v>436</v>
      </c>
      <c r="F787" s="293" t="s">
        <v>29</v>
      </c>
      <c r="G787" s="293" t="s">
        <v>28</v>
      </c>
      <c r="H787" s="294" t="s">
        <v>27</v>
      </c>
      <c r="I787" s="769"/>
      <c r="J787" s="770"/>
      <c r="K787" s="771"/>
      <c r="L787" s="100"/>
      <c r="M787" s="101"/>
    </row>
    <row r="788" spans="3:13" x14ac:dyDescent="0.2">
      <c r="C788" s="91"/>
      <c r="D788" s="168"/>
      <c r="E788" s="691">
        <v>45569</v>
      </c>
      <c r="F788" s="353" t="s">
        <v>641</v>
      </c>
      <c r="G788" s="353" t="s">
        <v>548</v>
      </c>
      <c r="H788" s="353" t="s">
        <v>900</v>
      </c>
      <c r="I788" s="769"/>
      <c r="J788" s="770"/>
      <c r="K788" s="771"/>
      <c r="L788" s="100"/>
      <c r="M788" s="101"/>
    </row>
    <row r="789" spans="3:13" x14ac:dyDescent="0.2">
      <c r="C789" s="91"/>
      <c r="D789" s="168"/>
      <c r="E789" s="691">
        <v>45541</v>
      </c>
      <c r="F789" s="353" t="s">
        <v>425</v>
      </c>
      <c r="G789" s="353" t="s">
        <v>614</v>
      </c>
      <c r="H789" s="353" t="s">
        <v>615</v>
      </c>
      <c r="I789" s="769"/>
      <c r="J789" s="770"/>
      <c r="K789" s="771"/>
      <c r="L789" s="100"/>
      <c r="M789" s="101"/>
    </row>
    <row r="790" spans="3:13" x14ac:dyDescent="0.2">
      <c r="C790" s="91"/>
      <c r="D790" s="168"/>
      <c r="E790" s="691">
        <v>45506</v>
      </c>
      <c r="F790" s="353" t="s">
        <v>293</v>
      </c>
      <c r="G790" s="353" t="s">
        <v>616</v>
      </c>
      <c r="H790" s="353" t="s">
        <v>617</v>
      </c>
      <c r="I790" s="769"/>
      <c r="J790" s="770"/>
      <c r="K790" s="771"/>
      <c r="L790" s="102"/>
      <c r="M790" s="101"/>
    </row>
    <row r="791" spans="3:13" x14ac:dyDescent="0.2">
      <c r="C791" s="91"/>
      <c r="D791" s="168"/>
      <c r="E791" s="691">
        <v>45478</v>
      </c>
      <c r="F791" s="353" t="s">
        <v>149</v>
      </c>
      <c r="G791" s="353" t="s">
        <v>618</v>
      </c>
      <c r="H791" s="353" t="s">
        <v>382</v>
      </c>
      <c r="I791" s="769"/>
      <c r="J791" s="770"/>
      <c r="K791" s="771"/>
      <c r="L791" s="100"/>
      <c r="M791" s="101"/>
    </row>
    <row r="792" spans="3:13" x14ac:dyDescent="0.2">
      <c r="C792" s="91"/>
      <c r="D792" s="168"/>
      <c r="E792" s="691">
        <v>45450</v>
      </c>
      <c r="F792" s="353" t="s">
        <v>3</v>
      </c>
      <c r="G792" s="353" t="s">
        <v>619</v>
      </c>
      <c r="H792" s="353" t="s">
        <v>620</v>
      </c>
      <c r="I792" s="769"/>
      <c r="J792" s="770"/>
      <c r="K792" s="771"/>
      <c r="L792" s="100"/>
      <c r="M792" s="101"/>
    </row>
    <row r="793" spans="3:13" ht="20" thickBot="1" x14ac:dyDescent="0.25">
      <c r="C793" s="91"/>
      <c r="D793" s="168"/>
      <c r="E793" s="691">
        <v>45415</v>
      </c>
      <c r="F793" s="353" t="s">
        <v>621</v>
      </c>
      <c r="G793" s="353" t="s">
        <v>622</v>
      </c>
      <c r="H793" s="353" t="s">
        <v>623</v>
      </c>
      <c r="I793" s="772"/>
      <c r="J793" s="773"/>
      <c r="K793" s="774"/>
      <c r="L793" s="103"/>
      <c r="M793" s="104"/>
    </row>
    <row r="794" spans="3:13" ht="25" thickBot="1" x14ac:dyDescent="0.25">
      <c r="C794" s="91"/>
      <c r="D794" s="88" t="s">
        <v>105</v>
      </c>
      <c r="E794" s="686" t="s">
        <v>30</v>
      </c>
      <c r="F794" s="874" t="s">
        <v>861</v>
      </c>
      <c r="G794" s="875"/>
      <c r="H794" s="876"/>
      <c r="I794" s="846" t="s">
        <v>633</v>
      </c>
      <c r="J794" s="847"/>
      <c r="K794" s="848"/>
      <c r="L794" s="162" t="s">
        <v>430</v>
      </c>
      <c r="M794" s="106" t="s">
        <v>431</v>
      </c>
    </row>
    <row r="795" spans="3:13" x14ac:dyDescent="0.2">
      <c r="C795" s="91"/>
      <c r="D795" s="168"/>
      <c r="E795" s="687" t="s">
        <v>432</v>
      </c>
      <c r="F795" s="853"/>
      <c r="G795" s="854"/>
      <c r="H795" s="855"/>
      <c r="I795" s="769" t="s">
        <v>859</v>
      </c>
      <c r="J795" s="770"/>
      <c r="K795" s="771"/>
      <c r="L795" s="100"/>
      <c r="M795" s="101"/>
    </row>
    <row r="796" spans="3:13" x14ac:dyDescent="0.2">
      <c r="C796" s="91"/>
      <c r="D796" s="168"/>
      <c r="E796" s="688" t="s">
        <v>433</v>
      </c>
      <c r="F796" s="907">
        <v>4.1000000000000002E-2</v>
      </c>
      <c r="G796" s="884"/>
      <c r="H796" s="885"/>
      <c r="I796" s="769"/>
      <c r="J796" s="770"/>
      <c r="K796" s="771"/>
      <c r="L796" s="100"/>
      <c r="M796" s="101"/>
    </row>
    <row r="797" spans="3:13" ht="20" thickBot="1" x14ac:dyDescent="0.25">
      <c r="C797" s="91"/>
      <c r="D797" s="168"/>
      <c r="E797" s="688" t="s">
        <v>434</v>
      </c>
      <c r="F797" s="907">
        <v>4.1000000000000002E-2</v>
      </c>
      <c r="G797" s="884"/>
      <c r="H797" s="885"/>
      <c r="I797" s="769"/>
      <c r="J797" s="770"/>
      <c r="K797" s="771"/>
      <c r="L797" s="100"/>
      <c r="M797" s="101"/>
    </row>
    <row r="798" spans="3:13" ht="20" thickBot="1" x14ac:dyDescent="0.25">
      <c r="C798" s="91"/>
      <c r="D798" s="168"/>
      <c r="E798" s="689" t="s">
        <v>435</v>
      </c>
      <c r="F798" s="871">
        <v>0.52083333333333337</v>
      </c>
      <c r="G798" s="872"/>
      <c r="H798" s="873"/>
      <c r="I798" s="769"/>
      <c r="J798" s="770"/>
      <c r="K798" s="771"/>
      <c r="L798" s="107">
        <v>0.75</v>
      </c>
      <c r="M798" s="108">
        <v>0.64583333333333337</v>
      </c>
    </row>
    <row r="799" spans="3:13" ht="20" thickBot="1" x14ac:dyDescent="0.25">
      <c r="C799" s="91"/>
      <c r="D799" s="168"/>
      <c r="E799" s="690" t="s">
        <v>436</v>
      </c>
      <c r="F799" s="293" t="s">
        <v>29</v>
      </c>
      <c r="G799" s="293" t="s">
        <v>28</v>
      </c>
      <c r="H799" s="294" t="s">
        <v>27</v>
      </c>
      <c r="I799" s="769"/>
      <c r="J799" s="770"/>
      <c r="K799" s="771"/>
      <c r="L799" s="100"/>
      <c r="M799" s="101"/>
    </row>
    <row r="800" spans="3:13" x14ac:dyDescent="0.2">
      <c r="C800" s="91"/>
      <c r="D800" s="168"/>
      <c r="E800" s="691">
        <v>45569</v>
      </c>
      <c r="F800" s="353">
        <v>4.1000000000000002E-2</v>
      </c>
      <c r="G800" s="353" t="s">
        <v>628</v>
      </c>
      <c r="H800" s="353">
        <v>4.2000000000000003E-2</v>
      </c>
      <c r="I800" s="769"/>
      <c r="J800" s="770"/>
      <c r="K800" s="771"/>
      <c r="L800" s="100"/>
      <c r="M800" s="101"/>
    </row>
    <row r="801" spans="3:13" x14ac:dyDescent="0.2">
      <c r="C801" s="91"/>
      <c r="D801" s="168"/>
      <c r="E801" s="691">
        <v>45541</v>
      </c>
      <c r="F801" s="353">
        <v>4.2000000000000003E-2</v>
      </c>
      <c r="G801" s="353" t="s">
        <v>628</v>
      </c>
      <c r="H801" s="353">
        <v>4.2999999999999997E-2</v>
      </c>
      <c r="I801" s="769"/>
      <c r="J801" s="770"/>
      <c r="K801" s="771"/>
      <c r="L801" s="100"/>
      <c r="M801" s="101"/>
    </row>
    <row r="802" spans="3:13" x14ac:dyDescent="0.2">
      <c r="C802" s="91"/>
      <c r="D802" s="168"/>
      <c r="E802" s="691">
        <v>45506</v>
      </c>
      <c r="F802" s="353">
        <v>4.2999999999999997E-2</v>
      </c>
      <c r="G802" s="353" t="s">
        <v>629</v>
      </c>
      <c r="H802" s="353">
        <v>4.1000000000000002E-2</v>
      </c>
      <c r="I802" s="769"/>
      <c r="J802" s="770"/>
      <c r="K802" s="771"/>
      <c r="L802" s="102"/>
      <c r="M802" s="101"/>
    </row>
    <row r="803" spans="3:13" x14ac:dyDescent="0.2">
      <c r="C803" s="91"/>
      <c r="D803" s="168"/>
      <c r="E803" s="691">
        <v>45478</v>
      </c>
      <c r="F803" s="353">
        <v>4.1000000000000002E-2</v>
      </c>
      <c r="G803" s="353" t="s">
        <v>630</v>
      </c>
      <c r="H803" s="353">
        <v>0.04</v>
      </c>
      <c r="I803" s="769"/>
      <c r="J803" s="770"/>
      <c r="K803" s="771"/>
      <c r="L803" s="100"/>
      <c r="M803" s="101"/>
    </row>
    <row r="804" spans="3:13" x14ac:dyDescent="0.2">
      <c r="C804" s="91"/>
      <c r="D804" s="168"/>
      <c r="E804" s="691">
        <v>45450</v>
      </c>
      <c r="F804" s="353">
        <v>0.04</v>
      </c>
      <c r="G804" s="353" t="s">
        <v>631</v>
      </c>
      <c r="H804" s="353">
        <v>3.9E-2</v>
      </c>
      <c r="I804" s="769"/>
      <c r="J804" s="770"/>
      <c r="K804" s="771"/>
      <c r="L804" s="100"/>
      <c r="M804" s="101"/>
    </row>
    <row r="805" spans="3:13" ht="20" thickBot="1" x14ac:dyDescent="0.25">
      <c r="C805" s="91"/>
      <c r="D805" s="168"/>
      <c r="E805" s="691">
        <v>45415</v>
      </c>
      <c r="F805" s="353">
        <v>3.9E-2</v>
      </c>
      <c r="G805" s="353" t="s">
        <v>632</v>
      </c>
      <c r="H805" s="353">
        <v>3.7999999999999999E-2</v>
      </c>
      <c r="I805" s="772"/>
      <c r="J805" s="773"/>
      <c r="K805" s="774"/>
      <c r="L805" s="103"/>
      <c r="M805" s="104"/>
    </row>
    <row r="806" spans="3:13" ht="25" thickBot="1" x14ac:dyDescent="0.25">
      <c r="C806" s="91"/>
      <c r="D806" s="88" t="s">
        <v>105</v>
      </c>
      <c r="E806" s="686" t="s">
        <v>30</v>
      </c>
      <c r="F806" s="874" t="s">
        <v>862</v>
      </c>
      <c r="G806" s="875"/>
      <c r="H806" s="876"/>
      <c r="I806" s="846" t="s">
        <v>633</v>
      </c>
      <c r="J806" s="847"/>
      <c r="K806" s="848"/>
      <c r="L806" s="162" t="s">
        <v>430</v>
      </c>
      <c r="M806" s="106" t="s">
        <v>431</v>
      </c>
    </row>
    <row r="807" spans="3:13" x14ac:dyDescent="0.2">
      <c r="C807" s="91"/>
      <c r="D807" s="168"/>
      <c r="E807" s="687" t="s">
        <v>432</v>
      </c>
      <c r="F807" s="853"/>
      <c r="G807" s="854"/>
      <c r="H807" s="855"/>
      <c r="I807" s="769" t="s">
        <v>863</v>
      </c>
      <c r="J807" s="770"/>
      <c r="K807" s="771"/>
      <c r="L807" s="100"/>
      <c r="M807" s="101"/>
    </row>
    <row r="808" spans="3:13" x14ac:dyDescent="0.2">
      <c r="C808" s="91"/>
      <c r="D808" s="168"/>
      <c r="E808" s="688" t="s">
        <v>433</v>
      </c>
      <c r="F808" s="883">
        <v>47.5</v>
      </c>
      <c r="G808" s="884"/>
      <c r="H808" s="885"/>
      <c r="I808" s="769"/>
      <c r="J808" s="770"/>
      <c r="K808" s="771"/>
      <c r="L808" s="100"/>
      <c r="M808" s="101"/>
    </row>
    <row r="809" spans="3:13" ht="20" thickBot="1" x14ac:dyDescent="0.25">
      <c r="C809" s="91"/>
      <c r="D809" s="168"/>
      <c r="E809" s="688" t="s">
        <v>434</v>
      </c>
      <c r="F809" s="883">
        <v>47.2</v>
      </c>
      <c r="G809" s="884"/>
      <c r="H809" s="885"/>
      <c r="I809" s="769"/>
      <c r="J809" s="770"/>
      <c r="K809" s="771"/>
      <c r="L809" s="100"/>
      <c r="M809" s="101"/>
    </row>
    <row r="810" spans="3:13" ht="20" thickBot="1" x14ac:dyDescent="0.25">
      <c r="C810" s="91"/>
      <c r="D810" s="168"/>
      <c r="E810" s="689" t="s">
        <v>435</v>
      </c>
      <c r="F810" s="871">
        <v>0.58333333333333337</v>
      </c>
      <c r="G810" s="872"/>
      <c r="H810" s="873"/>
      <c r="I810" s="769"/>
      <c r="J810" s="770"/>
      <c r="K810" s="771"/>
      <c r="L810" s="107">
        <v>0.8125</v>
      </c>
      <c r="M810" s="108">
        <v>0.70833333333333337</v>
      </c>
    </row>
    <row r="811" spans="3:13" ht="20" thickBot="1" x14ac:dyDescent="0.25">
      <c r="C811" s="91"/>
      <c r="D811" s="168"/>
      <c r="E811" s="690" t="s">
        <v>436</v>
      </c>
      <c r="F811" s="293" t="s">
        <v>29</v>
      </c>
      <c r="G811" s="293" t="s">
        <v>28</v>
      </c>
      <c r="H811" s="294" t="s">
        <v>27</v>
      </c>
      <c r="I811" s="769"/>
      <c r="J811" s="770"/>
      <c r="K811" s="771"/>
      <c r="L811" s="100"/>
      <c r="M811" s="101"/>
    </row>
    <row r="812" spans="3:13" x14ac:dyDescent="0.2">
      <c r="C812" s="91"/>
      <c r="D812" s="168"/>
      <c r="E812" s="691">
        <v>45566</v>
      </c>
      <c r="F812" s="362">
        <v>47.2</v>
      </c>
      <c r="G812" s="362" t="s">
        <v>901</v>
      </c>
      <c r="H812" s="362">
        <v>47.2</v>
      </c>
      <c r="I812" s="769"/>
      <c r="J812" s="770"/>
      <c r="K812" s="771"/>
      <c r="L812" s="100"/>
      <c r="M812" s="101"/>
    </row>
    <row r="813" spans="3:13" x14ac:dyDescent="0.2">
      <c r="C813" s="91"/>
      <c r="D813" s="168"/>
      <c r="E813" s="691">
        <v>45538</v>
      </c>
      <c r="F813" s="362">
        <v>47.2</v>
      </c>
      <c r="G813" s="362" t="s">
        <v>509</v>
      </c>
      <c r="H813" s="362">
        <v>46.8</v>
      </c>
      <c r="I813" s="769"/>
      <c r="J813" s="770"/>
      <c r="K813" s="771"/>
      <c r="L813" s="100"/>
      <c r="M813" s="101"/>
    </row>
    <row r="814" spans="3:13" x14ac:dyDescent="0.2">
      <c r="C814" s="91"/>
      <c r="D814" s="168"/>
      <c r="E814" s="691">
        <v>45505</v>
      </c>
      <c r="F814" s="362">
        <v>46.8</v>
      </c>
      <c r="G814" s="362" t="s">
        <v>510</v>
      </c>
      <c r="H814" s="362">
        <v>48.5</v>
      </c>
      <c r="I814" s="769"/>
      <c r="J814" s="770"/>
      <c r="K814" s="771"/>
      <c r="L814" s="102"/>
      <c r="M814" s="101"/>
    </row>
    <row r="815" spans="3:13" x14ac:dyDescent="0.2">
      <c r="C815" s="91"/>
      <c r="D815" s="168"/>
      <c r="E815" s="691">
        <v>45474</v>
      </c>
      <c r="F815" s="362">
        <v>48.5</v>
      </c>
      <c r="G815" s="362" t="s">
        <v>511</v>
      </c>
      <c r="H815" s="362">
        <v>48.7</v>
      </c>
      <c r="I815" s="769"/>
      <c r="J815" s="770"/>
      <c r="K815" s="771"/>
      <c r="L815" s="100"/>
      <c r="M815" s="101"/>
    </row>
    <row r="816" spans="3:13" x14ac:dyDescent="0.2">
      <c r="C816" s="91"/>
      <c r="D816" s="168"/>
      <c r="E816" s="691">
        <v>45446</v>
      </c>
      <c r="F816" s="362">
        <v>48.7</v>
      </c>
      <c r="G816" s="362" t="s">
        <v>513</v>
      </c>
      <c r="H816" s="362">
        <v>49.2</v>
      </c>
      <c r="I816" s="769"/>
      <c r="J816" s="770"/>
      <c r="K816" s="771"/>
      <c r="L816" s="100"/>
      <c r="M816" s="101"/>
    </row>
    <row r="817" spans="3:13" ht="20" thickBot="1" x14ac:dyDescent="0.25">
      <c r="C817" s="91"/>
      <c r="D817" s="168"/>
      <c r="E817" s="691">
        <v>45413</v>
      </c>
      <c r="F817" s="362">
        <v>49.2</v>
      </c>
      <c r="G817" s="362" t="s">
        <v>515</v>
      </c>
      <c r="H817" s="362">
        <v>50.3</v>
      </c>
      <c r="I817" s="772"/>
      <c r="J817" s="773"/>
      <c r="K817" s="774"/>
      <c r="L817" s="103"/>
      <c r="M817" s="104"/>
    </row>
    <row r="818" spans="3:13" ht="25" thickBot="1" x14ac:dyDescent="0.25">
      <c r="C818" s="91"/>
      <c r="D818" s="88" t="s">
        <v>105</v>
      </c>
      <c r="E818" s="686" t="s">
        <v>30</v>
      </c>
      <c r="F818" s="874" t="s">
        <v>864</v>
      </c>
      <c r="G818" s="875"/>
      <c r="H818" s="876"/>
      <c r="I818" s="846" t="s">
        <v>633</v>
      </c>
      <c r="J818" s="847"/>
      <c r="K818" s="848"/>
      <c r="L818" s="162" t="s">
        <v>430</v>
      </c>
      <c r="M818" s="106" t="s">
        <v>431</v>
      </c>
    </row>
    <row r="819" spans="3:13" x14ac:dyDescent="0.2">
      <c r="C819" s="91"/>
      <c r="D819" s="168"/>
      <c r="E819" s="687" t="s">
        <v>432</v>
      </c>
      <c r="F819" s="853"/>
      <c r="G819" s="854"/>
      <c r="H819" s="855"/>
      <c r="I819" s="769" t="s">
        <v>865</v>
      </c>
      <c r="J819" s="770"/>
      <c r="K819" s="771"/>
      <c r="L819" s="100"/>
      <c r="M819" s="101"/>
    </row>
    <row r="820" spans="3:13" x14ac:dyDescent="0.2">
      <c r="C820" s="91"/>
      <c r="D820" s="168"/>
      <c r="E820" s="688" t="s">
        <v>433</v>
      </c>
      <c r="F820" s="883">
        <v>48.9</v>
      </c>
      <c r="G820" s="884"/>
      <c r="H820" s="885"/>
      <c r="I820" s="769"/>
      <c r="J820" s="770"/>
      <c r="K820" s="771"/>
      <c r="L820" s="100"/>
      <c r="M820" s="101"/>
    </row>
    <row r="821" spans="3:13" ht="20" thickBot="1" x14ac:dyDescent="0.25">
      <c r="C821" s="91"/>
      <c r="D821" s="168"/>
      <c r="E821" s="688" t="s">
        <v>434</v>
      </c>
      <c r="F821" s="883">
        <v>48.3</v>
      </c>
      <c r="G821" s="884"/>
      <c r="H821" s="885"/>
      <c r="I821" s="769"/>
      <c r="J821" s="770"/>
      <c r="K821" s="771"/>
      <c r="L821" s="100"/>
      <c r="M821" s="101"/>
    </row>
    <row r="822" spans="3:13" ht="20" thickBot="1" x14ac:dyDescent="0.25">
      <c r="C822" s="91"/>
      <c r="D822" s="168"/>
      <c r="E822" s="689" t="s">
        <v>435</v>
      </c>
      <c r="F822" s="871">
        <v>0.58333333333333337</v>
      </c>
      <c r="G822" s="872"/>
      <c r="H822" s="873"/>
      <c r="I822" s="769"/>
      <c r="J822" s="770"/>
      <c r="K822" s="771"/>
      <c r="L822" s="107">
        <v>0.8125</v>
      </c>
      <c r="M822" s="108">
        <v>0.70833333333333337</v>
      </c>
    </row>
    <row r="823" spans="3:13" ht="20" thickBot="1" x14ac:dyDescent="0.25">
      <c r="C823" s="91"/>
      <c r="D823" s="168"/>
      <c r="E823" s="690" t="s">
        <v>436</v>
      </c>
      <c r="F823" s="293" t="s">
        <v>29</v>
      </c>
      <c r="G823" s="293" t="s">
        <v>28</v>
      </c>
      <c r="H823" s="294" t="s">
        <v>27</v>
      </c>
      <c r="I823" s="769"/>
      <c r="J823" s="770"/>
      <c r="K823" s="771"/>
      <c r="L823" s="100"/>
      <c r="M823" s="101"/>
    </row>
    <row r="824" spans="3:13" x14ac:dyDescent="0.2">
      <c r="C824" s="91"/>
      <c r="D824" s="168"/>
      <c r="E824" s="691">
        <v>45566</v>
      </c>
      <c r="F824" s="362">
        <v>48.3</v>
      </c>
      <c r="G824" s="362" t="s">
        <v>902</v>
      </c>
      <c r="H824" s="362">
        <v>54</v>
      </c>
      <c r="I824" s="769"/>
      <c r="J824" s="770"/>
      <c r="K824" s="771"/>
      <c r="L824" s="100"/>
      <c r="M824" s="101"/>
    </row>
    <row r="825" spans="3:13" x14ac:dyDescent="0.2">
      <c r="C825" s="91"/>
      <c r="D825" s="168"/>
      <c r="E825" s="691">
        <v>45538</v>
      </c>
      <c r="F825" s="362">
        <v>54</v>
      </c>
      <c r="G825" s="362" t="s">
        <v>519</v>
      </c>
      <c r="H825" s="362">
        <v>52.9</v>
      </c>
      <c r="I825" s="769"/>
      <c r="J825" s="770"/>
      <c r="K825" s="771"/>
      <c r="L825" s="100"/>
      <c r="M825" s="101"/>
    </row>
    <row r="826" spans="3:13" x14ac:dyDescent="0.2">
      <c r="C826" s="91"/>
      <c r="D826" s="168"/>
      <c r="E826" s="691">
        <v>45505</v>
      </c>
      <c r="F826" s="362">
        <v>52.9</v>
      </c>
      <c r="G826" s="362" t="s">
        <v>520</v>
      </c>
      <c r="H826" s="362">
        <v>52.1</v>
      </c>
      <c r="I826" s="769"/>
      <c r="J826" s="770"/>
      <c r="K826" s="771"/>
      <c r="L826" s="102"/>
      <c r="M826" s="101"/>
    </row>
    <row r="827" spans="3:13" x14ac:dyDescent="0.2">
      <c r="C827" s="91"/>
      <c r="D827" s="168"/>
      <c r="E827" s="691">
        <v>45474</v>
      </c>
      <c r="F827" s="362">
        <v>52.1</v>
      </c>
      <c r="G827" s="362" t="s">
        <v>521</v>
      </c>
      <c r="H827" s="362">
        <v>57</v>
      </c>
      <c r="I827" s="769"/>
      <c r="J827" s="770"/>
      <c r="K827" s="771"/>
      <c r="L827" s="100"/>
      <c r="M827" s="101"/>
    </row>
    <row r="828" spans="3:13" x14ac:dyDescent="0.2">
      <c r="C828" s="91"/>
      <c r="D828" s="168"/>
      <c r="E828" s="691">
        <v>45446</v>
      </c>
      <c r="F828" s="362">
        <v>57</v>
      </c>
      <c r="G828" s="362" t="s">
        <v>522</v>
      </c>
      <c r="H828" s="362">
        <v>60.9</v>
      </c>
      <c r="I828" s="769"/>
      <c r="J828" s="770"/>
      <c r="K828" s="771"/>
      <c r="L828" s="100"/>
      <c r="M828" s="101"/>
    </row>
    <row r="829" spans="3:13" ht="20" thickBot="1" x14ac:dyDescent="0.25">
      <c r="C829" s="91"/>
      <c r="D829" s="168"/>
      <c r="E829" s="691">
        <v>45413</v>
      </c>
      <c r="F829" s="362">
        <v>60.9</v>
      </c>
      <c r="G829" s="362" t="s">
        <v>523</v>
      </c>
      <c r="H829" s="362">
        <v>55.8</v>
      </c>
      <c r="I829" s="772"/>
      <c r="J829" s="773"/>
      <c r="K829" s="774"/>
      <c r="L829" s="103"/>
      <c r="M829" s="104"/>
    </row>
    <row r="830" spans="3:13" ht="25" thickBot="1" x14ac:dyDescent="0.25">
      <c r="C830" s="91"/>
      <c r="D830" s="88" t="s">
        <v>105</v>
      </c>
      <c r="E830" s="686" t="s">
        <v>30</v>
      </c>
      <c r="F830" s="874" t="s">
        <v>866</v>
      </c>
      <c r="G830" s="875"/>
      <c r="H830" s="876"/>
      <c r="I830" s="846" t="s">
        <v>633</v>
      </c>
      <c r="J830" s="847"/>
      <c r="K830" s="848"/>
      <c r="L830" s="162" t="s">
        <v>430</v>
      </c>
      <c r="M830" s="106" t="s">
        <v>431</v>
      </c>
    </row>
    <row r="831" spans="3:13" x14ac:dyDescent="0.2">
      <c r="C831" s="91"/>
      <c r="D831" s="168"/>
      <c r="E831" s="687" t="s">
        <v>432</v>
      </c>
      <c r="F831" s="853"/>
      <c r="G831" s="854"/>
      <c r="H831" s="855"/>
      <c r="I831" s="769" t="s">
        <v>867</v>
      </c>
      <c r="J831" s="770"/>
      <c r="K831" s="771"/>
      <c r="L831" s="100"/>
      <c r="M831" s="101"/>
    </row>
    <row r="832" spans="3:13" x14ac:dyDescent="0.2">
      <c r="C832" s="91"/>
      <c r="D832" s="168"/>
      <c r="E832" s="688" t="s">
        <v>433</v>
      </c>
      <c r="F832" s="883">
        <v>47.9</v>
      </c>
      <c r="G832" s="884"/>
      <c r="H832" s="885"/>
      <c r="I832" s="769"/>
      <c r="J832" s="770"/>
      <c r="K832" s="771"/>
      <c r="L832" s="100"/>
      <c r="M832" s="101"/>
    </row>
    <row r="833" spans="3:13" ht="20" thickBot="1" x14ac:dyDescent="0.25">
      <c r="C833" s="91"/>
      <c r="D833" s="168"/>
      <c r="E833" s="688" t="s">
        <v>434</v>
      </c>
      <c r="F833" s="883">
        <v>47.3</v>
      </c>
      <c r="G833" s="884"/>
      <c r="H833" s="885"/>
      <c r="I833" s="769"/>
      <c r="J833" s="770"/>
      <c r="K833" s="771"/>
      <c r="L833" s="100"/>
      <c r="M833" s="101"/>
    </row>
    <row r="834" spans="3:13" ht="20" thickBot="1" x14ac:dyDescent="0.25">
      <c r="C834" s="91"/>
      <c r="D834" s="168"/>
      <c r="E834" s="689" t="s">
        <v>435</v>
      </c>
      <c r="F834" s="871">
        <v>0.61458333333333337</v>
      </c>
      <c r="G834" s="872"/>
      <c r="H834" s="873"/>
      <c r="I834" s="769"/>
      <c r="J834" s="770"/>
      <c r="K834" s="771"/>
      <c r="L834" s="107">
        <v>0.84375</v>
      </c>
      <c r="M834" s="108">
        <v>0.73958333333333337</v>
      </c>
    </row>
    <row r="835" spans="3:13" ht="20" thickBot="1" x14ac:dyDescent="0.25">
      <c r="C835" s="91"/>
      <c r="D835" s="168"/>
      <c r="E835" s="690" t="s">
        <v>436</v>
      </c>
      <c r="F835" s="293" t="s">
        <v>29</v>
      </c>
      <c r="G835" s="293" t="s">
        <v>28</v>
      </c>
      <c r="H835" s="294" t="s">
        <v>27</v>
      </c>
      <c r="I835" s="769"/>
      <c r="J835" s="770"/>
      <c r="K835" s="771"/>
      <c r="L835" s="100"/>
      <c r="M835" s="101"/>
    </row>
    <row r="836" spans="3:13" x14ac:dyDescent="0.2">
      <c r="C836" s="91"/>
      <c r="D836" s="168"/>
      <c r="E836" s="691">
        <v>45589</v>
      </c>
      <c r="F836" s="362">
        <v>47.8</v>
      </c>
      <c r="G836" s="362" t="s">
        <v>509</v>
      </c>
      <c r="H836" s="362">
        <v>47.3</v>
      </c>
      <c r="I836" s="769"/>
      <c r="J836" s="770"/>
      <c r="K836" s="771"/>
      <c r="L836" s="100"/>
      <c r="M836" s="101"/>
    </row>
    <row r="837" spans="3:13" x14ac:dyDescent="0.2">
      <c r="C837" s="91"/>
      <c r="D837" s="168"/>
      <c r="E837" s="691">
        <v>45566</v>
      </c>
      <c r="F837" s="362">
        <v>47.3</v>
      </c>
      <c r="G837" s="362" t="s">
        <v>758</v>
      </c>
      <c r="H837" s="362">
        <v>47.9</v>
      </c>
      <c r="I837" s="769"/>
      <c r="J837" s="770"/>
      <c r="K837" s="771"/>
      <c r="L837" s="100"/>
      <c r="M837" s="101"/>
    </row>
    <row r="838" spans="3:13" x14ac:dyDescent="0.2">
      <c r="C838" s="91"/>
      <c r="D838" s="168"/>
      <c r="E838" s="691">
        <v>45558</v>
      </c>
      <c r="F838" s="362">
        <v>47</v>
      </c>
      <c r="G838" s="362" t="s">
        <v>500</v>
      </c>
      <c r="H838" s="362">
        <v>47.9</v>
      </c>
      <c r="I838" s="769"/>
      <c r="J838" s="770"/>
      <c r="K838" s="771"/>
      <c r="L838" s="102"/>
      <c r="M838" s="101"/>
    </row>
    <row r="839" spans="3:13" x14ac:dyDescent="0.2">
      <c r="C839" s="91"/>
      <c r="D839" s="168"/>
      <c r="E839" s="691">
        <v>45538</v>
      </c>
      <c r="F839" s="362">
        <v>47.9</v>
      </c>
      <c r="G839" s="362" t="s">
        <v>502</v>
      </c>
      <c r="H839" s="362">
        <v>49.6</v>
      </c>
      <c r="I839" s="769"/>
      <c r="J839" s="770"/>
      <c r="K839" s="771"/>
      <c r="L839" s="100"/>
      <c r="M839" s="101"/>
    </row>
    <row r="840" spans="3:13" x14ac:dyDescent="0.2">
      <c r="C840" s="91"/>
      <c r="D840" s="168"/>
      <c r="E840" s="691">
        <v>45526</v>
      </c>
      <c r="F840" s="362">
        <v>48</v>
      </c>
      <c r="G840" s="362" t="s">
        <v>438</v>
      </c>
      <c r="H840" s="362">
        <v>49.6</v>
      </c>
      <c r="I840" s="769"/>
      <c r="J840" s="770"/>
      <c r="K840" s="771"/>
      <c r="L840" s="100"/>
      <c r="M840" s="101"/>
    </row>
    <row r="841" spans="3:13" ht="20" thickBot="1" x14ac:dyDescent="0.25">
      <c r="C841" s="91"/>
      <c r="D841" s="168"/>
      <c r="E841" s="711">
        <v>45505</v>
      </c>
      <c r="F841" s="364">
        <v>49.6</v>
      </c>
      <c r="G841" s="364" t="s">
        <v>438</v>
      </c>
      <c r="H841" s="364">
        <v>51.6</v>
      </c>
      <c r="I841" s="772"/>
      <c r="J841" s="773"/>
      <c r="K841" s="774"/>
      <c r="L841" s="103"/>
      <c r="M841" s="104"/>
    </row>
    <row r="842" spans="3:13" ht="25" thickBot="1" x14ac:dyDescent="0.25">
      <c r="C842" s="91"/>
      <c r="D842" s="88" t="s">
        <v>105</v>
      </c>
      <c r="E842" s="686" t="s">
        <v>30</v>
      </c>
      <c r="F842" s="874" t="s">
        <v>868</v>
      </c>
      <c r="G842" s="875"/>
      <c r="H842" s="876"/>
      <c r="I842" s="846" t="s">
        <v>633</v>
      </c>
      <c r="J842" s="847"/>
      <c r="K842" s="848"/>
      <c r="L842" s="162" t="s">
        <v>430</v>
      </c>
      <c r="M842" s="106" t="s">
        <v>431</v>
      </c>
    </row>
    <row r="843" spans="3:13" ht="20" thickBot="1" x14ac:dyDescent="0.25">
      <c r="C843" s="91"/>
      <c r="D843" s="168"/>
      <c r="E843" s="687" t="s">
        <v>432</v>
      </c>
      <c r="F843" s="853"/>
      <c r="G843" s="854"/>
      <c r="H843" s="855"/>
      <c r="I843" s="769" t="s">
        <v>857</v>
      </c>
      <c r="J843" s="770"/>
      <c r="K843" s="771"/>
      <c r="L843" s="100"/>
      <c r="M843" s="101"/>
    </row>
    <row r="844" spans="3:13" x14ac:dyDescent="0.2">
      <c r="C844" s="91"/>
      <c r="D844" s="168"/>
      <c r="E844" s="688" t="s">
        <v>433</v>
      </c>
      <c r="F844" s="883">
        <v>1.59</v>
      </c>
      <c r="G844" s="884"/>
      <c r="H844" s="885"/>
      <c r="I844" s="769"/>
      <c r="J844" s="770"/>
      <c r="K844" s="771"/>
      <c r="L844" s="100"/>
      <c r="M844" s="101"/>
    </row>
    <row r="845" spans="3:13" ht="20" thickBot="1" x14ac:dyDescent="0.25">
      <c r="C845" s="91"/>
      <c r="D845" s="168"/>
      <c r="E845" s="688" t="s">
        <v>434</v>
      </c>
      <c r="F845" s="883">
        <v>1.4</v>
      </c>
      <c r="G845" s="884"/>
      <c r="H845" s="885"/>
      <c r="I845" s="769"/>
      <c r="J845" s="770"/>
      <c r="K845" s="771"/>
      <c r="L845" s="100"/>
      <c r="M845" s="101"/>
    </row>
    <row r="846" spans="3:13" ht="20" thickBot="1" x14ac:dyDescent="0.25">
      <c r="C846" s="91"/>
      <c r="D846" s="168"/>
      <c r="E846" s="689" t="s">
        <v>435</v>
      </c>
      <c r="F846" s="859">
        <v>0.95833333333333337</v>
      </c>
      <c r="G846" s="860"/>
      <c r="H846" s="861"/>
      <c r="I846" s="769"/>
      <c r="J846" s="770"/>
      <c r="K846" s="771"/>
      <c r="L846" s="107">
        <v>6.25E-2</v>
      </c>
      <c r="M846" s="108">
        <v>0.95833333333333337</v>
      </c>
    </row>
    <row r="847" spans="3:13" ht="20" thickBot="1" x14ac:dyDescent="0.25">
      <c r="C847" s="91"/>
      <c r="D847" s="168"/>
      <c r="E847" s="690" t="s">
        <v>436</v>
      </c>
      <c r="F847" s="293" t="s">
        <v>29</v>
      </c>
      <c r="G847" s="293" t="s">
        <v>28</v>
      </c>
      <c r="H847" s="294" t="s">
        <v>27</v>
      </c>
      <c r="I847" s="769"/>
      <c r="J847" s="770"/>
      <c r="K847" s="771"/>
      <c r="L847" s="100"/>
      <c r="M847" s="101"/>
    </row>
    <row r="848" spans="3:13" ht="18" x14ac:dyDescent="0.2">
      <c r="C848" s="91"/>
      <c r="D848" s="168"/>
      <c r="E848" s="691">
        <v>45505</v>
      </c>
      <c r="F848" s="692">
        <v>1.4</v>
      </c>
      <c r="G848" s="692">
        <v>1.34</v>
      </c>
      <c r="H848" s="692">
        <v>1.53</v>
      </c>
      <c r="I848" s="769"/>
      <c r="J848" s="770"/>
      <c r="K848" s="771"/>
      <c r="L848" s="100"/>
      <c r="M848" s="101"/>
    </row>
    <row r="849" spans="3:13" ht="18" x14ac:dyDescent="0.2">
      <c r="C849" s="91"/>
      <c r="D849" s="168"/>
      <c r="E849" s="691">
        <v>45414</v>
      </c>
      <c r="F849" s="692">
        <v>1.53</v>
      </c>
      <c r="G849" s="692">
        <v>1.51</v>
      </c>
      <c r="H849" s="692">
        <v>1.45</v>
      </c>
      <c r="I849" s="769"/>
      <c r="J849" s="770"/>
      <c r="K849" s="771"/>
      <c r="L849" s="100"/>
      <c r="M849" s="101"/>
    </row>
    <row r="850" spans="3:13" ht="18" x14ac:dyDescent="0.2">
      <c r="C850" s="91"/>
      <c r="D850" s="168"/>
      <c r="E850" s="691">
        <v>45323</v>
      </c>
      <c r="F850" s="692">
        <v>1.45</v>
      </c>
      <c r="G850" s="692">
        <v>1.28</v>
      </c>
      <c r="H850" s="692">
        <v>1.46</v>
      </c>
      <c r="I850" s="769"/>
      <c r="J850" s="770"/>
      <c r="K850" s="771"/>
      <c r="L850" s="102"/>
      <c r="M850" s="101"/>
    </row>
    <row r="851" spans="3:13" ht="18" x14ac:dyDescent="0.2">
      <c r="C851" s="91"/>
      <c r="D851" s="168"/>
      <c r="E851" s="691">
        <v>45232</v>
      </c>
      <c r="F851" s="692">
        <v>1.46</v>
      </c>
      <c r="G851" s="692">
        <v>1.39</v>
      </c>
      <c r="H851" s="692">
        <v>1.26</v>
      </c>
      <c r="I851" s="769"/>
      <c r="J851" s="770"/>
      <c r="K851" s="771"/>
      <c r="L851" s="100"/>
      <c r="M851" s="101"/>
    </row>
    <row r="852" spans="3:13" ht="18" x14ac:dyDescent="0.2">
      <c r="C852" s="91"/>
      <c r="D852" s="168"/>
      <c r="E852" s="691">
        <v>45141</v>
      </c>
      <c r="F852" s="692">
        <v>1.26</v>
      </c>
      <c r="G852" s="692">
        <v>1.19</v>
      </c>
      <c r="H852" s="692">
        <v>1.52</v>
      </c>
      <c r="I852" s="769"/>
      <c r="J852" s="770"/>
      <c r="K852" s="771"/>
      <c r="L852" s="100"/>
      <c r="M852" s="101"/>
    </row>
    <row r="853" spans="3:13" thickBot="1" x14ac:dyDescent="0.25">
      <c r="C853" s="91"/>
      <c r="D853" s="168"/>
      <c r="E853" s="711">
        <v>45050</v>
      </c>
      <c r="F853" s="712">
        <v>1.52</v>
      </c>
      <c r="G853" s="712">
        <v>1.44</v>
      </c>
      <c r="H853" s="712">
        <v>1.88</v>
      </c>
      <c r="I853" s="772"/>
      <c r="J853" s="773"/>
      <c r="K853" s="774"/>
      <c r="L853" s="103"/>
      <c r="M853" s="104"/>
    </row>
    <row r="854" spans="3:13" ht="25" thickBot="1" x14ac:dyDescent="0.25">
      <c r="C854" s="91"/>
      <c r="D854" s="88" t="s">
        <v>105</v>
      </c>
      <c r="E854" s="686" t="s">
        <v>30</v>
      </c>
      <c r="F854" s="874" t="s">
        <v>869</v>
      </c>
      <c r="G854" s="875"/>
      <c r="H854" s="876"/>
      <c r="I854" s="846" t="s">
        <v>633</v>
      </c>
      <c r="J854" s="847"/>
      <c r="K854" s="848"/>
      <c r="L854" s="162" t="s">
        <v>430</v>
      </c>
      <c r="M854" s="106" t="s">
        <v>431</v>
      </c>
    </row>
    <row r="855" spans="3:13" x14ac:dyDescent="0.2">
      <c r="C855" s="91"/>
      <c r="D855" s="168"/>
      <c r="E855" s="687" t="s">
        <v>432</v>
      </c>
      <c r="F855" s="853"/>
      <c r="G855" s="854"/>
      <c r="H855" s="855"/>
      <c r="I855" s="769" t="s">
        <v>855</v>
      </c>
      <c r="J855" s="770"/>
      <c r="K855" s="771"/>
      <c r="L855" s="100"/>
      <c r="M855" s="101"/>
    </row>
    <row r="856" spans="3:13" x14ac:dyDescent="0.2">
      <c r="C856" s="91"/>
      <c r="D856" s="168"/>
      <c r="E856" s="688" t="s">
        <v>433</v>
      </c>
      <c r="F856" s="883">
        <v>0.92</v>
      </c>
      <c r="G856" s="884"/>
      <c r="H856" s="885"/>
      <c r="I856" s="769"/>
      <c r="J856" s="770"/>
      <c r="K856" s="771"/>
      <c r="L856" s="100"/>
      <c r="M856" s="101"/>
    </row>
    <row r="857" spans="3:13" ht="20" thickBot="1" x14ac:dyDescent="0.25">
      <c r="C857" s="91"/>
      <c r="D857" s="168"/>
      <c r="E857" s="688" t="s">
        <v>434</v>
      </c>
      <c r="F857" s="883">
        <v>0.7</v>
      </c>
      <c r="G857" s="884"/>
      <c r="H857" s="885"/>
      <c r="I857" s="769"/>
      <c r="J857" s="770"/>
      <c r="K857" s="771"/>
      <c r="L857" s="100"/>
      <c r="M857" s="101"/>
    </row>
    <row r="858" spans="3:13" ht="20" thickBot="1" x14ac:dyDescent="0.25">
      <c r="C858" s="91"/>
      <c r="D858" s="168"/>
      <c r="E858" s="689" t="s">
        <v>435</v>
      </c>
      <c r="F858" s="859">
        <v>0.95833333333333337</v>
      </c>
      <c r="G858" s="860"/>
      <c r="H858" s="861"/>
      <c r="I858" s="769"/>
      <c r="J858" s="770"/>
      <c r="K858" s="771"/>
      <c r="L858" s="107">
        <v>6.25E-2</v>
      </c>
      <c r="M858" s="107">
        <v>0.95833333333333337</v>
      </c>
    </row>
    <row r="859" spans="3:13" ht="20" thickBot="1" x14ac:dyDescent="0.25">
      <c r="C859" s="91"/>
      <c r="D859" s="168"/>
      <c r="E859" s="690" t="s">
        <v>436</v>
      </c>
      <c r="F859" s="293" t="s">
        <v>29</v>
      </c>
      <c r="G859" s="293" t="s">
        <v>28</v>
      </c>
      <c r="H859" s="294" t="s">
        <v>27</v>
      </c>
      <c r="I859" s="769"/>
      <c r="J859" s="770"/>
      <c r="K859" s="771"/>
      <c r="L859" s="100"/>
      <c r="M859" s="101"/>
    </row>
    <row r="860" spans="3:13" ht="18" x14ac:dyDescent="0.2">
      <c r="C860" s="91"/>
      <c r="D860" s="168"/>
      <c r="E860" s="691">
        <v>45503</v>
      </c>
      <c r="F860" s="692">
        <v>0.5</v>
      </c>
      <c r="G860" s="692">
        <v>0.47</v>
      </c>
      <c r="H860" s="692">
        <v>0.57999999999999996</v>
      </c>
      <c r="I860" s="769"/>
      <c r="J860" s="770"/>
      <c r="K860" s="771"/>
      <c r="L860" s="100"/>
      <c r="M860" s="101"/>
    </row>
    <row r="861" spans="3:13" ht="18" x14ac:dyDescent="0.2">
      <c r="C861" s="91"/>
      <c r="D861" s="168"/>
      <c r="E861" s="691">
        <v>45412</v>
      </c>
      <c r="F861" s="692">
        <v>0.43</v>
      </c>
      <c r="G861" s="692">
        <v>0.41</v>
      </c>
      <c r="H861" s="692">
        <v>0.6</v>
      </c>
      <c r="I861" s="769"/>
      <c r="J861" s="770"/>
      <c r="K861" s="771"/>
      <c r="L861" s="100"/>
      <c r="M861" s="101"/>
    </row>
    <row r="862" spans="3:13" ht="18" x14ac:dyDescent="0.2">
      <c r="C862" s="91"/>
      <c r="D862" s="168"/>
      <c r="E862" s="691">
        <v>45321</v>
      </c>
      <c r="F862" s="692">
        <v>0.59</v>
      </c>
      <c r="G862" s="692">
        <v>0.57999999999999996</v>
      </c>
      <c r="H862" s="692">
        <v>0.69</v>
      </c>
      <c r="I862" s="769"/>
      <c r="J862" s="770"/>
      <c r="K862" s="771"/>
      <c r="L862" s="102"/>
      <c r="M862" s="101"/>
    </row>
    <row r="863" spans="3:13" ht="18" x14ac:dyDescent="0.2">
      <c r="C863" s="91"/>
      <c r="D863" s="168"/>
      <c r="E863" s="691">
        <v>45230</v>
      </c>
      <c r="F863" s="692">
        <v>0.53</v>
      </c>
      <c r="G863" s="692">
        <v>0.49</v>
      </c>
      <c r="H863" s="692">
        <v>0.67</v>
      </c>
      <c r="I863" s="769"/>
      <c r="J863" s="770"/>
      <c r="K863" s="771"/>
      <c r="L863" s="100"/>
      <c r="M863" s="101"/>
    </row>
    <row r="864" spans="3:13" ht="18" x14ac:dyDescent="0.2">
      <c r="C864" s="91"/>
      <c r="D864" s="168"/>
      <c r="E864" s="691">
        <v>45139</v>
      </c>
      <c r="F864" s="692">
        <v>0.4</v>
      </c>
      <c r="G864" s="692">
        <v>0.4</v>
      </c>
      <c r="H864" s="692">
        <v>1.05</v>
      </c>
      <c r="I864" s="769"/>
      <c r="J864" s="770"/>
      <c r="K864" s="771"/>
      <c r="L864" s="100"/>
      <c r="M864" s="101"/>
    </row>
    <row r="865" spans="3:13" thickBot="1" x14ac:dyDescent="0.25">
      <c r="C865" s="91"/>
      <c r="D865" s="168"/>
      <c r="E865" s="711">
        <v>45048</v>
      </c>
      <c r="F865" s="712">
        <v>0.43</v>
      </c>
      <c r="G865" s="712">
        <v>0.42</v>
      </c>
      <c r="H865" s="712">
        <v>1.1299999999999999</v>
      </c>
      <c r="I865" s="772"/>
      <c r="J865" s="773"/>
      <c r="K865" s="774"/>
      <c r="L865" s="103"/>
      <c r="M865" s="104"/>
    </row>
    <row r="866" spans="3:13" ht="25" thickBot="1" x14ac:dyDescent="0.25">
      <c r="C866" s="91"/>
      <c r="D866" s="88" t="s">
        <v>105</v>
      </c>
      <c r="E866" s="686" t="s">
        <v>30</v>
      </c>
      <c r="F866" s="874" t="s">
        <v>870</v>
      </c>
      <c r="G866" s="875"/>
      <c r="H866" s="876"/>
      <c r="I866" s="846" t="s">
        <v>633</v>
      </c>
      <c r="J866" s="847"/>
      <c r="K866" s="848"/>
      <c r="L866" s="162" t="s">
        <v>430</v>
      </c>
      <c r="M866" s="106" t="s">
        <v>431</v>
      </c>
    </row>
    <row r="867" spans="3:13" x14ac:dyDescent="0.2">
      <c r="C867" s="91"/>
      <c r="D867" s="168"/>
      <c r="E867" s="687" t="s">
        <v>432</v>
      </c>
      <c r="F867" s="853"/>
      <c r="G867" s="854"/>
      <c r="H867" s="855"/>
      <c r="I867" s="769" t="s">
        <v>855</v>
      </c>
      <c r="J867" s="770"/>
      <c r="K867" s="771"/>
      <c r="L867" s="100"/>
      <c r="M867" s="101"/>
    </row>
    <row r="868" spans="3:13" x14ac:dyDescent="0.2">
      <c r="C868" s="91"/>
      <c r="D868" s="168"/>
      <c r="E868" s="688" t="s">
        <v>433</v>
      </c>
      <c r="F868" s="883">
        <v>1.84</v>
      </c>
      <c r="G868" s="884"/>
      <c r="H868" s="885"/>
      <c r="I868" s="769"/>
      <c r="J868" s="770"/>
      <c r="K868" s="771"/>
      <c r="L868" s="100"/>
      <c r="M868" s="101"/>
    </row>
    <row r="869" spans="3:13" ht="20" thickBot="1" x14ac:dyDescent="0.25">
      <c r="C869" s="91"/>
      <c r="D869" s="168"/>
      <c r="E869" s="688" t="s">
        <v>434</v>
      </c>
      <c r="F869" s="883">
        <v>1.55</v>
      </c>
      <c r="G869" s="884"/>
      <c r="H869" s="885"/>
      <c r="I869" s="769"/>
      <c r="J869" s="770"/>
      <c r="K869" s="771"/>
      <c r="L869" s="100"/>
      <c r="M869" s="101"/>
    </row>
    <row r="870" spans="3:13" ht="20" thickBot="1" x14ac:dyDescent="0.25">
      <c r="C870" s="91"/>
      <c r="D870" s="168"/>
      <c r="E870" s="689" t="s">
        <v>435</v>
      </c>
      <c r="F870" s="859">
        <v>0.95833333333333337</v>
      </c>
      <c r="G870" s="860"/>
      <c r="H870" s="861"/>
      <c r="I870" s="769"/>
      <c r="J870" s="770"/>
      <c r="K870" s="771"/>
      <c r="L870" s="107">
        <v>6.25E-2</v>
      </c>
      <c r="M870" s="107">
        <v>0.95833333333333337</v>
      </c>
    </row>
    <row r="871" spans="3:13" ht="20" thickBot="1" x14ac:dyDescent="0.25">
      <c r="C871" s="91"/>
      <c r="D871" s="168"/>
      <c r="E871" s="690" t="s">
        <v>436</v>
      </c>
      <c r="F871" s="293" t="s">
        <v>29</v>
      </c>
      <c r="G871" s="293" t="s">
        <v>28</v>
      </c>
      <c r="H871" s="294" t="s">
        <v>27</v>
      </c>
      <c r="I871" s="769"/>
      <c r="J871" s="770"/>
      <c r="K871" s="771"/>
      <c r="L871" s="100"/>
      <c r="M871" s="101"/>
    </row>
    <row r="872" spans="3:13" ht="18" x14ac:dyDescent="0.2">
      <c r="C872" s="91"/>
      <c r="D872" s="168"/>
      <c r="E872" s="691">
        <v>45496</v>
      </c>
      <c r="F872" s="692">
        <v>1.89</v>
      </c>
      <c r="G872" s="692">
        <v>1.85</v>
      </c>
      <c r="H872" s="692">
        <v>1.44</v>
      </c>
      <c r="I872" s="769"/>
      <c r="J872" s="770"/>
      <c r="K872" s="771"/>
      <c r="L872" s="100"/>
      <c r="M872" s="101"/>
    </row>
    <row r="873" spans="3:13" ht="18" x14ac:dyDescent="0.2">
      <c r="C873" s="91"/>
      <c r="D873" s="168"/>
      <c r="E873" s="691">
        <v>45407</v>
      </c>
      <c r="F873" s="692">
        <v>1.89</v>
      </c>
      <c r="G873" s="692">
        <v>1.49</v>
      </c>
      <c r="H873" s="692">
        <v>1.17</v>
      </c>
      <c r="I873" s="769"/>
      <c r="J873" s="770"/>
      <c r="K873" s="771"/>
      <c r="L873" s="100"/>
      <c r="M873" s="101"/>
    </row>
    <row r="874" spans="3:13" ht="18" x14ac:dyDescent="0.2">
      <c r="C874" s="91"/>
      <c r="D874" s="168"/>
      <c r="E874" s="691">
        <v>45321</v>
      </c>
      <c r="F874" s="692">
        <v>1.64</v>
      </c>
      <c r="G874" s="692">
        <v>1.6</v>
      </c>
      <c r="H874" s="692">
        <v>1.05</v>
      </c>
      <c r="I874" s="769"/>
      <c r="J874" s="770"/>
      <c r="K874" s="771"/>
      <c r="L874" s="102"/>
      <c r="M874" s="101"/>
    </row>
    <row r="875" spans="3:13" ht="18" x14ac:dyDescent="0.2">
      <c r="C875" s="91"/>
      <c r="D875" s="168"/>
      <c r="E875" s="691">
        <v>45223</v>
      </c>
      <c r="F875" s="692">
        <v>1.55</v>
      </c>
      <c r="G875" s="692">
        <v>1.45</v>
      </c>
      <c r="H875" s="692">
        <v>1.06</v>
      </c>
      <c r="I875" s="769"/>
      <c r="J875" s="770"/>
      <c r="K875" s="771"/>
      <c r="L875" s="100"/>
      <c r="M875" s="101"/>
    </row>
    <row r="876" spans="3:13" ht="18" x14ac:dyDescent="0.2">
      <c r="C876" s="91"/>
      <c r="D876" s="168"/>
      <c r="E876" s="691">
        <v>45132</v>
      </c>
      <c r="F876" s="692">
        <v>1.44</v>
      </c>
      <c r="G876" s="692">
        <v>1.32</v>
      </c>
      <c r="H876" s="692">
        <v>1.21</v>
      </c>
      <c r="I876" s="769"/>
      <c r="J876" s="770"/>
      <c r="K876" s="771"/>
      <c r="L876" s="100"/>
      <c r="M876" s="101"/>
    </row>
    <row r="877" spans="3:13" thickBot="1" x14ac:dyDescent="0.25">
      <c r="C877" s="91"/>
      <c r="D877" s="168"/>
      <c r="E877" s="711">
        <v>45041</v>
      </c>
      <c r="F877" s="712">
        <v>1.17</v>
      </c>
      <c r="G877" s="712">
        <v>1.06</v>
      </c>
      <c r="H877" s="712">
        <v>1.23</v>
      </c>
      <c r="I877" s="772"/>
      <c r="J877" s="773"/>
      <c r="K877" s="774"/>
      <c r="L877" s="103"/>
      <c r="M877" s="104"/>
    </row>
    <row r="878" spans="3:13" ht="25" thickBot="1" x14ac:dyDescent="0.25">
      <c r="C878" s="91"/>
      <c r="D878" s="88" t="s">
        <v>105</v>
      </c>
      <c r="E878" s="686" t="s">
        <v>30</v>
      </c>
      <c r="F878" s="874" t="s">
        <v>871</v>
      </c>
      <c r="G878" s="875"/>
      <c r="H878" s="876"/>
      <c r="I878" s="846" t="s">
        <v>633</v>
      </c>
      <c r="J878" s="847"/>
      <c r="K878" s="848"/>
      <c r="L878" s="162" t="s">
        <v>430</v>
      </c>
      <c r="M878" s="106" t="s">
        <v>431</v>
      </c>
    </row>
    <row r="879" spans="3:13" x14ac:dyDescent="0.2">
      <c r="C879" s="91"/>
      <c r="D879" s="168"/>
      <c r="E879" s="687" t="s">
        <v>432</v>
      </c>
      <c r="F879" s="853"/>
      <c r="G879" s="854"/>
      <c r="H879" s="855"/>
      <c r="I879" s="769" t="s">
        <v>855</v>
      </c>
      <c r="J879" s="770"/>
      <c r="K879" s="771"/>
      <c r="L879" s="100"/>
      <c r="M879" s="101"/>
    </row>
    <row r="880" spans="3:13" x14ac:dyDescent="0.2">
      <c r="C880" s="91"/>
      <c r="D880" s="168"/>
      <c r="E880" s="688" t="s">
        <v>433</v>
      </c>
      <c r="F880" s="883">
        <v>3.1</v>
      </c>
      <c r="G880" s="884"/>
      <c r="H880" s="885"/>
      <c r="I880" s="769"/>
      <c r="J880" s="770"/>
      <c r="K880" s="771"/>
      <c r="L880" s="100"/>
      <c r="M880" s="101"/>
    </row>
    <row r="881" spans="3:13" ht="20" thickBot="1" x14ac:dyDescent="0.25">
      <c r="C881" s="91"/>
      <c r="D881" s="168"/>
      <c r="E881" s="688" t="s">
        <v>434</v>
      </c>
      <c r="F881" s="883">
        <v>2.99</v>
      </c>
      <c r="G881" s="884"/>
      <c r="H881" s="885"/>
      <c r="I881" s="769"/>
      <c r="J881" s="770"/>
      <c r="K881" s="771"/>
      <c r="L881" s="100"/>
      <c r="M881" s="101"/>
    </row>
    <row r="882" spans="3:13" ht="20" thickBot="1" x14ac:dyDescent="0.25">
      <c r="C882" s="91"/>
      <c r="D882" s="168"/>
      <c r="E882" s="689" t="s">
        <v>435</v>
      </c>
      <c r="F882" s="859">
        <v>0.95833333333333337</v>
      </c>
      <c r="G882" s="860"/>
      <c r="H882" s="861"/>
      <c r="I882" s="769"/>
      <c r="J882" s="770"/>
      <c r="K882" s="771"/>
      <c r="L882" s="107">
        <v>6.25E-2</v>
      </c>
      <c r="M882" s="107">
        <v>0.95833333333333337</v>
      </c>
    </row>
    <row r="883" spans="3:13" ht="20" thickBot="1" x14ac:dyDescent="0.25">
      <c r="C883" s="91"/>
      <c r="D883" s="168"/>
      <c r="E883" s="690" t="s">
        <v>436</v>
      </c>
      <c r="F883" s="293" t="s">
        <v>29</v>
      </c>
      <c r="G883" s="293" t="s">
        <v>28</v>
      </c>
      <c r="H883" s="294" t="s">
        <v>27</v>
      </c>
      <c r="I883" s="769"/>
      <c r="J883" s="770"/>
      <c r="K883" s="771"/>
      <c r="L883" s="100"/>
      <c r="M883" s="101"/>
    </row>
    <row r="884" spans="3:13" ht="18" x14ac:dyDescent="0.2">
      <c r="C884" s="91"/>
      <c r="D884" s="168"/>
      <c r="E884" s="691">
        <v>45503</v>
      </c>
      <c r="F884" s="692">
        <v>2.95</v>
      </c>
      <c r="G884" s="692">
        <v>2.94</v>
      </c>
      <c r="H884" s="692">
        <v>2.69</v>
      </c>
      <c r="I884" s="769"/>
      <c r="J884" s="770"/>
      <c r="K884" s="771"/>
      <c r="L884" s="100"/>
      <c r="M884" s="101"/>
    </row>
    <row r="885" spans="3:13" ht="18" x14ac:dyDescent="0.2">
      <c r="C885" s="91"/>
      <c r="D885" s="168"/>
      <c r="E885" s="691">
        <v>45407</v>
      </c>
      <c r="F885" s="692">
        <v>2.94</v>
      </c>
      <c r="G885" s="692">
        <v>2.94</v>
      </c>
      <c r="H885" s="692">
        <v>2.4500000000000002</v>
      </c>
      <c r="I885" s="769"/>
      <c r="J885" s="770"/>
      <c r="K885" s="771"/>
      <c r="L885" s="100"/>
      <c r="M885" s="101"/>
    </row>
    <row r="886" spans="3:13" ht="18" x14ac:dyDescent="0.2">
      <c r="C886" s="91"/>
      <c r="D886" s="168"/>
      <c r="E886" s="691">
        <v>45321</v>
      </c>
      <c r="F886" s="692">
        <v>2.93</v>
      </c>
      <c r="G886" s="692">
        <v>2.78</v>
      </c>
      <c r="H886" s="692">
        <v>2.3199999999999998</v>
      </c>
      <c r="I886" s="769"/>
      <c r="J886" s="770"/>
      <c r="K886" s="771"/>
      <c r="L886" s="102"/>
      <c r="M886" s="101"/>
    </row>
    <row r="887" spans="3:13" ht="18" x14ac:dyDescent="0.2">
      <c r="C887" s="91"/>
      <c r="D887" s="168"/>
      <c r="E887" s="691">
        <v>45223</v>
      </c>
      <c r="F887" s="692">
        <v>2.99</v>
      </c>
      <c r="G887" s="692">
        <v>2.65</v>
      </c>
      <c r="H887" s="692">
        <v>2.35</v>
      </c>
      <c r="I887" s="769"/>
      <c r="J887" s="770"/>
      <c r="K887" s="771"/>
      <c r="L887" s="100"/>
      <c r="M887" s="101"/>
    </row>
    <row r="888" spans="3:13" ht="18" x14ac:dyDescent="0.2">
      <c r="C888" s="91"/>
      <c r="D888" s="168"/>
      <c r="E888" s="691">
        <v>45132</v>
      </c>
      <c r="F888" s="692">
        <v>2.69</v>
      </c>
      <c r="G888" s="692">
        <v>2.5499999999999998</v>
      </c>
      <c r="H888" s="692">
        <v>2.23</v>
      </c>
      <c r="I888" s="769"/>
      <c r="J888" s="770"/>
      <c r="K888" s="771"/>
      <c r="L888" s="100"/>
      <c r="M888" s="101"/>
    </row>
    <row r="889" spans="3:13" thickBot="1" x14ac:dyDescent="0.25">
      <c r="C889" s="91"/>
      <c r="D889" s="168"/>
      <c r="E889" s="711">
        <v>45041</v>
      </c>
      <c r="F889" s="712">
        <v>2.4500000000000002</v>
      </c>
      <c r="G889" s="712">
        <v>2.2400000000000002</v>
      </c>
      <c r="H889" s="712">
        <v>2.2200000000000002</v>
      </c>
      <c r="I889" s="772"/>
      <c r="J889" s="773"/>
      <c r="K889" s="774"/>
      <c r="L889" s="103"/>
      <c r="M889" s="104"/>
    </row>
    <row r="890" spans="3:13" ht="25" thickBot="1" x14ac:dyDescent="0.25">
      <c r="C890" s="91"/>
      <c r="D890" s="88" t="s">
        <v>105</v>
      </c>
      <c r="E890" s="686" t="s">
        <v>30</v>
      </c>
      <c r="F890" s="874" t="s">
        <v>872</v>
      </c>
      <c r="G890" s="875"/>
      <c r="H890" s="876"/>
      <c r="I890" s="846" t="s">
        <v>633</v>
      </c>
      <c r="J890" s="847"/>
      <c r="K890" s="848"/>
      <c r="L890" s="162" t="s">
        <v>430</v>
      </c>
      <c r="M890" s="106" t="s">
        <v>431</v>
      </c>
    </row>
    <row r="891" spans="3:13" x14ac:dyDescent="0.2">
      <c r="C891" s="91"/>
      <c r="D891" s="168"/>
      <c r="E891" s="687" t="s">
        <v>432</v>
      </c>
      <c r="F891" s="853"/>
      <c r="G891" s="854"/>
      <c r="H891" s="855"/>
      <c r="I891" s="769" t="s">
        <v>855</v>
      </c>
      <c r="J891" s="770"/>
      <c r="K891" s="771"/>
      <c r="L891" s="100"/>
      <c r="M891" s="101"/>
    </row>
    <row r="892" spans="3:13" x14ac:dyDescent="0.2">
      <c r="C892" s="91"/>
      <c r="D892" s="168"/>
      <c r="E892" s="688" t="s">
        <v>433</v>
      </c>
      <c r="F892" s="883">
        <v>5.21</v>
      </c>
      <c r="G892" s="884"/>
      <c r="H892" s="885"/>
      <c r="I892" s="769"/>
      <c r="J892" s="770"/>
      <c r="K892" s="771"/>
      <c r="L892" s="100"/>
      <c r="M892" s="101"/>
    </row>
    <row r="893" spans="3:13" ht="20" thickBot="1" x14ac:dyDescent="0.25">
      <c r="C893" s="91"/>
      <c r="D893" s="168"/>
      <c r="E893" s="688" t="s">
        <v>434</v>
      </c>
      <c r="F893" s="883">
        <v>4.3899999999999997</v>
      </c>
      <c r="G893" s="884"/>
      <c r="H893" s="885"/>
      <c r="I893" s="769"/>
      <c r="J893" s="770"/>
      <c r="K893" s="771"/>
      <c r="L893" s="100"/>
      <c r="M893" s="101"/>
    </row>
    <row r="894" spans="3:13" ht="20" thickBot="1" x14ac:dyDescent="0.25">
      <c r="C894" s="91"/>
      <c r="D894" s="168"/>
      <c r="E894" s="689" t="s">
        <v>435</v>
      </c>
      <c r="F894" s="859">
        <v>0.95833333333333337</v>
      </c>
      <c r="G894" s="860"/>
      <c r="H894" s="861"/>
      <c r="I894" s="769"/>
      <c r="J894" s="770"/>
      <c r="K894" s="771"/>
      <c r="L894" s="107">
        <v>6.25E-2</v>
      </c>
      <c r="M894" s="107">
        <v>0.95833333333333337</v>
      </c>
    </row>
    <row r="895" spans="3:13" ht="20" thickBot="1" x14ac:dyDescent="0.25">
      <c r="C895" s="91"/>
      <c r="D895" s="168"/>
      <c r="E895" s="690" t="s">
        <v>436</v>
      </c>
      <c r="F895" s="293" t="s">
        <v>29</v>
      </c>
      <c r="G895" s="293" t="s">
        <v>28</v>
      </c>
      <c r="H895" s="294" t="s">
        <v>27</v>
      </c>
      <c r="I895" s="769"/>
      <c r="J895" s="770"/>
      <c r="K895" s="771"/>
      <c r="L895" s="100"/>
      <c r="M895" s="101"/>
    </row>
    <row r="896" spans="3:13" ht="18" x14ac:dyDescent="0.2">
      <c r="C896" s="91"/>
      <c r="D896" s="168"/>
      <c r="E896" s="691">
        <v>45504</v>
      </c>
      <c r="F896" s="692">
        <v>5.16</v>
      </c>
      <c r="G896" s="692">
        <v>4.72</v>
      </c>
      <c r="H896" s="692">
        <v>2.98</v>
      </c>
      <c r="I896" s="769"/>
      <c r="J896" s="770"/>
      <c r="K896" s="771"/>
      <c r="L896" s="100"/>
      <c r="M896" s="101"/>
    </row>
    <row r="897" spans="3:13" ht="18" x14ac:dyDescent="0.2">
      <c r="C897" s="91"/>
      <c r="D897" s="168"/>
      <c r="E897" s="691">
        <v>45406</v>
      </c>
      <c r="F897" s="692">
        <v>4.71</v>
      </c>
      <c r="G897" s="692">
        <v>4.32</v>
      </c>
      <c r="H897" s="692">
        <v>2.2000000000000002</v>
      </c>
      <c r="I897" s="769"/>
      <c r="J897" s="770"/>
      <c r="K897" s="771"/>
      <c r="L897" s="100"/>
      <c r="M897" s="101"/>
    </row>
    <row r="898" spans="3:13" ht="18" x14ac:dyDescent="0.2">
      <c r="C898" s="91"/>
      <c r="D898" s="168"/>
      <c r="E898" s="691">
        <v>45323</v>
      </c>
      <c r="F898" s="692">
        <v>5.33</v>
      </c>
      <c r="G898" s="692">
        <v>4.96</v>
      </c>
      <c r="H898" s="692">
        <v>1.76</v>
      </c>
      <c r="I898" s="769"/>
      <c r="J898" s="770"/>
      <c r="K898" s="771"/>
      <c r="L898" s="102"/>
      <c r="M898" s="101"/>
    </row>
    <row r="899" spans="3:13" ht="18" x14ac:dyDescent="0.2">
      <c r="C899" s="91"/>
      <c r="D899" s="168"/>
      <c r="E899" s="691">
        <v>45224</v>
      </c>
      <c r="F899" s="692">
        <v>4.3899999999999997</v>
      </c>
      <c r="G899" s="692">
        <v>3.64</v>
      </c>
      <c r="H899" s="692">
        <v>1.64</v>
      </c>
      <c r="I899" s="769"/>
      <c r="J899" s="770"/>
      <c r="K899" s="771"/>
      <c r="L899" s="100"/>
      <c r="M899" s="101"/>
    </row>
    <row r="900" spans="3:13" ht="18" x14ac:dyDescent="0.2">
      <c r="C900" s="91"/>
      <c r="D900" s="168"/>
      <c r="E900" s="691">
        <v>45133</v>
      </c>
      <c r="F900" s="692">
        <v>2.98</v>
      </c>
      <c r="G900" s="692">
        <v>2.91</v>
      </c>
      <c r="H900" s="692">
        <v>2.46</v>
      </c>
      <c r="I900" s="769"/>
      <c r="J900" s="770"/>
      <c r="K900" s="771"/>
      <c r="L900" s="100"/>
      <c r="M900" s="101"/>
    </row>
    <row r="901" spans="3:13" thickBot="1" x14ac:dyDescent="0.25">
      <c r="C901" s="91"/>
      <c r="D901" s="168"/>
      <c r="E901" s="711">
        <v>45042</v>
      </c>
      <c r="F901" s="712">
        <v>2.2000000000000002</v>
      </c>
      <c r="G901" s="712">
        <v>2.02</v>
      </c>
      <c r="H901" s="712">
        <v>2.72</v>
      </c>
      <c r="I901" s="772"/>
      <c r="J901" s="773"/>
      <c r="K901" s="774"/>
      <c r="L901" s="103"/>
      <c r="M901" s="104"/>
    </row>
    <row r="902" spans="3:13" ht="25" thickBot="1" x14ac:dyDescent="0.25">
      <c r="C902" s="91"/>
      <c r="D902" s="88" t="s">
        <v>105</v>
      </c>
      <c r="E902" s="686" t="s">
        <v>30</v>
      </c>
      <c r="F902" s="874" t="s">
        <v>854</v>
      </c>
      <c r="G902" s="875"/>
      <c r="H902" s="876"/>
      <c r="I902" s="846" t="s">
        <v>633</v>
      </c>
      <c r="J902" s="847"/>
      <c r="K902" s="848"/>
      <c r="L902" s="162" t="s">
        <v>430</v>
      </c>
      <c r="M902" s="106" t="s">
        <v>431</v>
      </c>
    </row>
    <row r="903" spans="3:13" x14ac:dyDescent="0.2">
      <c r="C903" s="91"/>
      <c r="D903" s="168"/>
      <c r="E903" s="687" t="s">
        <v>432</v>
      </c>
      <c r="F903" s="853"/>
      <c r="G903" s="854"/>
      <c r="H903" s="855"/>
      <c r="I903" s="769" t="s">
        <v>855</v>
      </c>
      <c r="J903" s="770"/>
      <c r="K903" s="771"/>
      <c r="L903" s="100"/>
      <c r="M903" s="101"/>
    </row>
    <row r="904" spans="3:13" x14ac:dyDescent="0.2">
      <c r="C904" s="91"/>
      <c r="D904" s="168"/>
      <c r="E904" s="688" t="s">
        <v>433</v>
      </c>
      <c r="F904" s="883">
        <v>1.1399999999999999</v>
      </c>
      <c r="G904" s="884"/>
      <c r="H904" s="885"/>
      <c r="I904" s="769"/>
      <c r="J904" s="770"/>
      <c r="K904" s="771"/>
      <c r="L904" s="100"/>
      <c r="M904" s="101"/>
    </row>
    <row r="905" spans="3:13" ht="20" thickBot="1" x14ac:dyDescent="0.25">
      <c r="C905" s="91"/>
      <c r="D905" s="168"/>
      <c r="E905" s="688" t="s">
        <v>434</v>
      </c>
      <c r="F905" s="883"/>
      <c r="G905" s="884"/>
      <c r="H905" s="885"/>
      <c r="I905" s="769"/>
      <c r="J905" s="770"/>
      <c r="K905" s="771"/>
      <c r="L905" s="100"/>
      <c r="M905" s="101"/>
    </row>
    <row r="906" spans="3:13" ht="20" thickBot="1" x14ac:dyDescent="0.25">
      <c r="C906" s="91"/>
      <c r="D906" s="168"/>
      <c r="E906" s="689" t="s">
        <v>435</v>
      </c>
      <c r="F906" s="859">
        <v>0.95833333333333337</v>
      </c>
      <c r="G906" s="860"/>
      <c r="H906" s="861"/>
      <c r="I906" s="769"/>
      <c r="J906" s="770"/>
      <c r="K906" s="771"/>
      <c r="L906" s="107">
        <v>6.25E-2</v>
      </c>
      <c r="M906" s="107">
        <v>0.95833333333333337</v>
      </c>
    </row>
    <row r="907" spans="3:13" ht="20" thickBot="1" x14ac:dyDescent="0.25">
      <c r="C907" s="91"/>
      <c r="D907" s="168"/>
      <c r="E907" s="690" t="s">
        <v>436</v>
      </c>
      <c r="F907" s="293" t="s">
        <v>29</v>
      </c>
      <c r="G907" s="293" t="s">
        <v>28</v>
      </c>
      <c r="H907" s="294" t="s">
        <v>27</v>
      </c>
      <c r="I907" s="769"/>
      <c r="J907" s="770"/>
      <c r="K907" s="771"/>
      <c r="L907" s="100"/>
      <c r="M907" s="101"/>
    </row>
    <row r="908" spans="3:13" ht="18" x14ac:dyDescent="0.2">
      <c r="C908" s="91"/>
      <c r="D908" s="168"/>
      <c r="E908" s="691">
        <v>45506</v>
      </c>
      <c r="F908" s="692">
        <v>1.26</v>
      </c>
      <c r="G908" s="692">
        <v>1.01</v>
      </c>
      <c r="H908" s="692"/>
      <c r="I908" s="769"/>
      <c r="J908" s="770"/>
      <c r="K908" s="771"/>
      <c r="L908" s="100"/>
      <c r="M908" s="101"/>
    </row>
    <row r="909" spans="3:13" ht="18" x14ac:dyDescent="0.2">
      <c r="C909" s="91"/>
      <c r="D909" s="168"/>
      <c r="E909" s="691">
        <v>45415</v>
      </c>
      <c r="F909" s="692">
        <v>1.23</v>
      </c>
      <c r="G909" s="692">
        <v>0.94</v>
      </c>
      <c r="H909" s="692"/>
      <c r="I909" s="769"/>
      <c r="J909" s="770"/>
      <c r="K909" s="771"/>
      <c r="L909" s="100"/>
      <c r="M909" s="101"/>
    </row>
    <row r="910" spans="3:13" ht="18" x14ac:dyDescent="0.2">
      <c r="C910" s="91"/>
      <c r="D910" s="168"/>
      <c r="E910" s="691">
        <v>45325</v>
      </c>
      <c r="F910" s="692">
        <v>1</v>
      </c>
      <c r="G910" s="692">
        <v>0.87</v>
      </c>
      <c r="H910" s="692"/>
      <c r="I910" s="769"/>
      <c r="J910" s="770"/>
      <c r="K910" s="771"/>
      <c r="L910" s="102"/>
      <c r="M910" s="101"/>
    </row>
    <row r="911" spans="3:13" ht="18" x14ac:dyDescent="0.2">
      <c r="C911" s="91"/>
      <c r="D911" s="168"/>
      <c r="E911" s="691">
        <v>45234</v>
      </c>
      <c r="F911" s="692">
        <v>0.94</v>
      </c>
      <c r="G911" s="692">
        <v>0.8</v>
      </c>
      <c r="H911" s="692"/>
      <c r="I911" s="769"/>
      <c r="J911" s="770"/>
      <c r="K911" s="771"/>
      <c r="L911" s="100"/>
      <c r="M911" s="101"/>
    </row>
    <row r="912" spans="3:13" ht="18" x14ac:dyDescent="0.2">
      <c r="C912" s="91"/>
      <c r="D912" s="168"/>
      <c r="E912" s="691">
        <v>45142</v>
      </c>
      <c r="F912" s="692">
        <v>0.87</v>
      </c>
      <c r="G912" s="692">
        <v>0.73</v>
      </c>
      <c r="H912" s="692"/>
      <c r="I912" s="769"/>
      <c r="J912" s="770"/>
      <c r="K912" s="771"/>
      <c r="L912" s="100"/>
      <c r="M912" s="101"/>
    </row>
    <row r="913" spans="3:13" thickBot="1" x14ac:dyDescent="0.25">
      <c r="C913" s="91"/>
      <c r="D913" s="168"/>
      <c r="E913" s="691">
        <v>45051</v>
      </c>
      <c r="F913" s="712">
        <v>0.8</v>
      </c>
      <c r="G913" s="712">
        <v>0.66</v>
      </c>
      <c r="H913" s="712"/>
      <c r="I913" s="772"/>
      <c r="J913" s="773"/>
      <c r="K913" s="774"/>
      <c r="L913" s="103"/>
      <c r="M913" s="104"/>
    </row>
    <row r="914" spans="3:13" ht="25" thickBot="1" x14ac:dyDescent="0.25">
      <c r="C914" s="91"/>
      <c r="D914" s="91" t="s">
        <v>105</v>
      </c>
      <c r="E914" s="686" t="s">
        <v>30</v>
      </c>
      <c r="F914" s="874" t="s">
        <v>873</v>
      </c>
      <c r="G914" s="875"/>
      <c r="H914" s="876"/>
      <c r="I914" s="846" t="s">
        <v>633</v>
      </c>
      <c r="J914" s="847"/>
      <c r="K914" s="848"/>
      <c r="L914" s="162" t="s">
        <v>430</v>
      </c>
      <c r="M914" s="106" t="s">
        <v>431</v>
      </c>
    </row>
    <row r="915" spans="3:13" x14ac:dyDescent="0.2">
      <c r="C915" s="91"/>
      <c r="D915" s="91"/>
      <c r="E915" s="687" t="s">
        <v>432</v>
      </c>
      <c r="F915" s="853"/>
      <c r="G915" s="854"/>
      <c r="H915" s="855"/>
      <c r="I915" s="769"/>
      <c r="J915" s="770"/>
      <c r="K915" s="771"/>
      <c r="L915" s="100"/>
      <c r="M915" s="101"/>
    </row>
    <row r="916" spans="3:13" x14ac:dyDescent="0.2">
      <c r="C916" s="91"/>
      <c r="D916" s="91"/>
      <c r="E916" s="688" t="s">
        <v>433</v>
      </c>
      <c r="F916" s="907">
        <v>1E-3</v>
      </c>
      <c r="G916" s="884"/>
      <c r="H916" s="885"/>
      <c r="I916" s="769"/>
      <c r="J916" s="770"/>
      <c r="K916" s="771"/>
      <c r="L916" s="100"/>
      <c r="M916" s="101"/>
    </row>
    <row r="917" spans="3:13" ht="20" thickBot="1" x14ac:dyDescent="0.25">
      <c r="C917" s="91"/>
      <c r="D917" s="91"/>
      <c r="E917" s="688" t="s">
        <v>434</v>
      </c>
      <c r="F917" s="907">
        <v>1E-3</v>
      </c>
      <c r="G917" s="884"/>
      <c r="H917" s="885"/>
      <c r="I917" s="769"/>
      <c r="J917" s="770"/>
      <c r="K917" s="771"/>
      <c r="L917" s="100"/>
      <c r="M917" s="101"/>
    </row>
    <row r="918" spans="3:13" ht="20" thickBot="1" x14ac:dyDescent="0.25">
      <c r="C918" s="91"/>
      <c r="D918" s="91"/>
      <c r="E918" s="689" t="s">
        <v>435</v>
      </c>
      <c r="F918" s="871">
        <v>0.54166666666666674</v>
      </c>
      <c r="G918" s="872"/>
      <c r="H918" s="873"/>
      <c r="I918" s="769"/>
      <c r="J918" s="770"/>
      <c r="K918" s="771"/>
      <c r="L918" s="107">
        <v>0.77083333333333337</v>
      </c>
      <c r="M918" s="108">
        <v>0.95833333333333337</v>
      </c>
    </row>
    <row r="919" spans="3:13" ht="20" thickBot="1" x14ac:dyDescent="0.25">
      <c r="C919" s="91"/>
      <c r="D919" s="91"/>
      <c r="E919" s="690" t="s">
        <v>436</v>
      </c>
      <c r="F919" s="293" t="s">
        <v>29</v>
      </c>
      <c r="G919" s="293" t="s">
        <v>28</v>
      </c>
      <c r="H919" s="294" t="s">
        <v>27</v>
      </c>
      <c r="I919" s="769"/>
      <c r="J919" s="770"/>
      <c r="K919" s="771"/>
      <c r="L919" s="100"/>
      <c r="M919" s="101"/>
    </row>
    <row r="920" spans="3:13" x14ac:dyDescent="0.2">
      <c r="C920" s="91"/>
      <c r="D920" s="91"/>
      <c r="E920" s="691">
        <v>45559</v>
      </c>
      <c r="F920" s="353">
        <v>1E-3</v>
      </c>
      <c r="G920" s="353" t="s">
        <v>460</v>
      </c>
      <c r="H920" s="353">
        <v>0</v>
      </c>
      <c r="I920" s="769"/>
      <c r="J920" s="770"/>
      <c r="K920" s="771"/>
      <c r="L920" s="100"/>
      <c r="M920" s="101"/>
    </row>
    <row r="921" spans="3:13" x14ac:dyDescent="0.2">
      <c r="C921" s="91"/>
      <c r="D921" s="91"/>
      <c r="E921" s="691">
        <v>45531</v>
      </c>
      <c r="F921" s="353">
        <v>-1E-3</v>
      </c>
      <c r="G921" s="353" t="s">
        <v>462</v>
      </c>
      <c r="H921" s="353">
        <v>0</v>
      </c>
      <c r="I921" s="769"/>
      <c r="J921" s="770"/>
      <c r="K921" s="771"/>
      <c r="L921" s="100"/>
      <c r="M921" s="101"/>
    </row>
    <row r="922" spans="3:13" x14ac:dyDescent="0.2">
      <c r="C922" s="91"/>
      <c r="D922" s="91"/>
      <c r="E922" s="691">
        <v>45503</v>
      </c>
      <c r="F922" s="353">
        <v>0</v>
      </c>
      <c r="G922" s="353" t="s">
        <v>460</v>
      </c>
      <c r="H922" s="353">
        <v>3.0000000000000001E-3</v>
      </c>
      <c r="I922" s="769"/>
      <c r="J922" s="770"/>
      <c r="K922" s="771"/>
      <c r="L922" s="102"/>
      <c r="M922" s="101"/>
    </row>
    <row r="923" spans="3:13" x14ac:dyDescent="0.2">
      <c r="C923" s="91"/>
      <c r="D923" s="91"/>
      <c r="E923" s="691">
        <v>45468</v>
      </c>
      <c r="F923" s="353">
        <v>2E-3</v>
      </c>
      <c r="G923" s="353" t="s">
        <v>467</v>
      </c>
      <c r="H923" s="353">
        <v>1E-3</v>
      </c>
      <c r="I923" s="769"/>
      <c r="J923" s="770"/>
      <c r="K923" s="771"/>
      <c r="L923" s="100"/>
      <c r="M923" s="101"/>
    </row>
    <row r="924" spans="3:13" x14ac:dyDescent="0.2">
      <c r="C924" s="91"/>
      <c r="D924" s="91"/>
      <c r="E924" s="691">
        <v>45440</v>
      </c>
      <c r="F924" s="353">
        <v>1E-3</v>
      </c>
      <c r="G924" s="353" t="s">
        <v>903</v>
      </c>
      <c r="H924" s="353">
        <v>1.2E-2</v>
      </c>
      <c r="I924" s="769"/>
      <c r="J924" s="770"/>
      <c r="K924" s="771"/>
      <c r="L924" s="100"/>
      <c r="M924" s="101"/>
    </row>
    <row r="925" spans="3:13" ht="20" thickBot="1" x14ac:dyDescent="0.25">
      <c r="C925" s="91"/>
      <c r="D925" s="91"/>
      <c r="E925" s="691">
        <v>45412</v>
      </c>
      <c r="F925" s="353">
        <v>1.2E-2</v>
      </c>
      <c r="G925" s="353" t="s">
        <v>462</v>
      </c>
      <c r="H925" s="353">
        <v>-1E-3</v>
      </c>
      <c r="I925" s="772"/>
      <c r="J925" s="773"/>
      <c r="K925" s="774"/>
      <c r="L925" s="103"/>
      <c r="M925" s="104"/>
    </row>
    <row r="926" spans="3:13" ht="25" thickBot="1" x14ac:dyDescent="0.25">
      <c r="C926" s="91" t="s">
        <v>105</v>
      </c>
      <c r="D926" s="91" t="s">
        <v>105</v>
      </c>
      <c r="E926" s="713" t="s">
        <v>30</v>
      </c>
      <c r="F926" s="814" t="s">
        <v>915</v>
      </c>
      <c r="G926" s="815"/>
      <c r="H926" s="816"/>
      <c r="I926" s="846" t="s">
        <v>633</v>
      </c>
      <c r="J926" s="847"/>
      <c r="K926" s="848"/>
      <c r="L926" s="162" t="s">
        <v>430</v>
      </c>
      <c r="M926" s="106" t="s">
        <v>431</v>
      </c>
    </row>
    <row r="927" spans="3:13" x14ac:dyDescent="0.2">
      <c r="C927" s="91"/>
      <c r="D927" s="91"/>
      <c r="E927" s="714" t="s">
        <v>432</v>
      </c>
      <c r="F927" s="805"/>
      <c r="G927" s="806"/>
      <c r="H927" s="807"/>
      <c r="I927" s="769" t="s">
        <v>916</v>
      </c>
      <c r="J927" s="770"/>
      <c r="K927" s="771"/>
      <c r="L927" s="100"/>
      <c r="M927" s="101"/>
    </row>
    <row r="928" spans="3:13" x14ac:dyDescent="0.2">
      <c r="C928" s="91"/>
      <c r="D928" s="91"/>
      <c r="E928" s="715" t="s">
        <v>433</v>
      </c>
      <c r="F928" s="824">
        <v>4.3499999999999997E-2</v>
      </c>
      <c r="G928" s="825"/>
      <c r="H928" s="826"/>
      <c r="I928" s="769"/>
      <c r="J928" s="770"/>
      <c r="K928" s="771"/>
      <c r="L928" s="100"/>
      <c r="M928" s="101"/>
    </row>
    <row r="929" spans="3:13" ht="20" thickBot="1" x14ac:dyDescent="0.25">
      <c r="C929" s="91"/>
      <c r="D929" s="91"/>
      <c r="E929" s="715" t="s">
        <v>434</v>
      </c>
      <c r="F929" s="824">
        <v>4.3499999999999997E-2</v>
      </c>
      <c r="G929" s="825"/>
      <c r="H929" s="826"/>
      <c r="I929" s="769"/>
      <c r="J929" s="770"/>
      <c r="K929" s="771"/>
      <c r="L929" s="100"/>
      <c r="M929" s="101"/>
    </row>
    <row r="930" spans="3:13" ht="20" thickBot="1" x14ac:dyDescent="0.25">
      <c r="C930" s="91"/>
      <c r="D930" s="91"/>
      <c r="E930" s="716" t="s">
        <v>435</v>
      </c>
      <c r="F930" s="811">
        <v>0.14583333333333334</v>
      </c>
      <c r="G930" s="812"/>
      <c r="H930" s="813"/>
      <c r="I930" s="769"/>
      <c r="J930" s="770"/>
      <c r="K930" s="771"/>
      <c r="L930" s="107">
        <v>0.375</v>
      </c>
      <c r="M930" s="108">
        <v>0.22916666666666666</v>
      </c>
    </row>
    <row r="931" spans="3:13" ht="20" thickBot="1" x14ac:dyDescent="0.25">
      <c r="C931" s="91"/>
      <c r="D931" s="91"/>
      <c r="E931" s="717" t="s">
        <v>436</v>
      </c>
      <c r="F931" s="278" t="s">
        <v>29</v>
      </c>
      <c r="G931" s="278" t="s">
        <v>28</v>
      </c>
      <c r="H931" s="279" t="s">
        <v>27</v>
      </c>
      <c r="I931" s="769"/>
      <c r="J931" s="770"/>
      <c r="K931" s="771"/>
      <c r="L931" s="100"/>
      <c r="M931" s="101"/>
    </row>
    <row r="932" spans="3:13" x14ac:dyDescent="0.2">
      <c r="C932" s="91"/>
      <c r="D932" s="91"/>
      <c r="E932" s="718">
        <v>45559</v>
      </c>
      <c r="F932" s="385">
        <v>4.3499999999999997E-2</v>
      </c>
      <c r="G932" s="385" t="s">
        <v>938</v>
      </c>
      <c r="H932" s="385">
        <v>4.3499999999999997E-2</v>
      </c>
      <c r="I932" s="769"/>
      <c r="J932" s="770"/>
      <c r="K932" s="771"/>
      <c r="L932" s="100"/>
      <c r="M932" s="101"/>
    </row>
    <row r="933" spans="3:13" x14ac:dyDescent="0.2">
      <c r="C933" s="91"/>
      <c r="D933" s="91"/>
      <c r="E933" s="718">
        <v>45510</v>
      </c>
      <c r="F933" s="385">
        <v>4.3499999999999997E-2</v>
      </c>
      <c r="G933" s="385" t="s">
        <v>938</v>
      </c>
      <c r="H933" s="385">
        <v>4.3499999999999997E-2</v>
      </c>
      <c r="I933" s="769"/>
      <c r="J933" s="770"/>
      <c r="K933" s="771"/>
      <c r="L933" s="100"/>
      <c r="M933" s="101"/>
    </row>
    <row r="934" spans="3:13" x14ac:dyDescent="0.2">
      <c r="C934" s="91"/>
      <c r="D934" s="91"/>
      <c r="E934" s="718">
        <v>45461</v>
      </c>
      <c r="F934" s="385">
        <v>4.3499999999999997E-2</v>
      </c>
      <c r="G934" s="385" t="s">
        <v>938</v>
      </c>
      <c r="H934" s="385">
        <v>4.3499999999999997E-2</v>
      </c>
      <c r="I934" s="769"/>
      <c r="J934" s="770"/>
      <c r="K934" s="771"/>
      <c r="L934" s="102"/>
      <c r="M934" s="101"/>
    </row>
    <row r="935" spans="3:13" x14ac:dyDescent="0.2">
      <c r="C935" s="91"/>
      <c r="D935" s="91"/>
      <c r="E935" s="718">
        <v>45419</v>
      </c>
      <c r="F935" s="385">
        <v>4.3499999999999997E-2</v>
      </c>
      <c r="G935" s="385" t="s">
        <v>938</v>
      </c>
      <c r="H935" s="385">
        <v>4.3499999999999997E-2</v>
      </c>
      <c r="I935" s="769"/>
      <c r="J935" s="770"/>
      <c r="K935" s="771"/>
      <c r="L935" s="100"/>
      <c r="M935" s="101"/>
    </row>
    <row r="936" spans="3:13" x14ac:dyDescent="0.2">
      <c r="C936" s="91"/>
      <c r="D936" s="91"/>
      <c r="E936" s="718">
        <v>45370</v>
      </c>
      <c r="F936" s="385">
        <v>4.3499999999999997E-2</v>
      </c>
      <c r="G936" s="385" t="s">
        <v>938</v>
      </c>
      <c r="H936" s="385">
        <v>4.3499999999999997E-2</v>
      </c>
      <c r="I936" s="769"/>
      <c r="J936" s="770"/>
      <c r="K936" s="771"/>
      <c r="L936" s="100"/>
      <c r="M936" s="101"/>
    </row>
    <row r="937" spans="3:13" ht="20" thickBot="1" x14ac:dyDescent="0.25">
      <c r="C937" s="91"/>
      <c r="D937" s="91"/>
      <c r="E937" s="718">
        <v>45328</v>
      </c>
      <c r="F937" s="385">
        <v>4.3499999999999997E-2</v>
      </c>
      <c r="G937" s="385" t="s">
        <v>938</v>
      </c>
      <c r="H937" s="385">
        <v>4.3499999999999997E-2</v>
      </c>
      <c r="I937" s="772"/>
      <c r="J937" s="773"/>
      <c r="K937" s="774"/>
      <c r="L937" s="103"/>
      <c r="M937" s="104"/>
    </row>
    <row r="938" spans="3:13" ht="25" thickBot="1" x14ac:dyDescent="0.25">
      <c r="C938" s="91"/>
      <c r="D938" s="91" t="s">
        <v>105</v>
      </c>
      <c r="E938" s="713" t="s">
        <v>30</v>
      </c>
      <c r="F938" s="814" t="s">
        <v>917</v>
      </c>
      <c r="G938" s="815"/>
      <c r="H938" s="816"/>
      <c r="I938" s="846" t="s">
        <v>633</v>
      </c>
      <c r="J938" s="847"/>
      <c r="K938" s="848"/>
      <c r="L938" s="162" t="s">
        <v>430</v>
      </c>
      <c r="M938" s="106" t="s">
        <v>431</v>
      </c>
    </row>
    <row r="939" spans="3:13" x14ac:dyDescent="0.2">
      <c r="C939" s="91"/>
      <c r="D939" s="91"/>
      <c r="E939" s="714" t="s">
        <v>432</v>
      </c>
      <c r="F939" s="805"/>
      <c r="G939" s="806"/>
      <c r="H939" s="807"/>
      <c r="I939" s="769" t="s">
        <v>918</v>
      </c>
      <c r="J939" s="770"/>
      <c r="K939" s="771"/>
      <c r="L939" s="100"/>
      <c r="M939" s="101"/>
    </row>
    <row r="940" spans="3:13" x14ac:dyDescent="0.2">
      <c r="C940" s="91"/>
      <c r="D940" s="91"/>
      <c r="E940" s="715" t="s">
        <v>433</v>
      </c>
      <c r="F940" s="824"/>
      <c r="G940" s="825"/>
      <c r="H940" s="826"/>
      <c r="I940" s="769"/>
      <c r="J940" s="770"/>
      <c r="K940" s="771"/>
      <c r="L940" s="100"/>
      <c r="M940" s="101"/>
    </row>
    <row r="941" spans="3:13" ht="20" thickBot="1" x14ac:dyDescent="0.25">
      <c r="C941" s="91"/>
      <c r="D941" s="91"/>
      <c r="E941" s="715" t="s">
        <v>434</v>
      </c>
      <c r="F941" s="824"/>
      <c r="G941" s="825"/>
      <c r="H941" s="826"/>
      <c r="I941" s="769"/>
      <c r="J941" s="770"/>
      <c r="K941" s="771"/>
      <c r="L941" s="100"/>
      <c r="M941" s="101"/>
    </row>
    <row r="942" spans="3:13" ht="20" thickBot="1" x14ac:dyDescent="0.25">
      <c r="C942" s="91"/>
      <c r="D942" s="91"/>
      <c r="E942" s="716" t="s">
        <v>435</v>
      </c>
      <c r="F942" s="811">
        <v>0.41666666666666674</v>
      </c>
      <c r="G942" s="812"/>
      <c r="H942" s="813"/>
      <c r="I942" s="769"/>
      <c r="J942" s="770"/>
      <c r="K942" s="771"/>
      <c r="L942" s="107">
        <v>0.64583333333333337</v>
      </c>
      <c r="M942" s="108">
        <v>0.5</v>
      </c>
    </row>
    <row r="943" spans="3:13" ht="20" thickBot="1" x14ac:dyDescent="0.25">
      <c r="C943" s="91"/>
      <c r="D943" s="91"/>
      <c r="E943" s="717" t="s">
        <v>436</v>
      </c>
      <c r="F943" s="278" t="s">
        <v>29</v>
      </c>
      <c r="G943" s="278" t="s">
        <v>28</v>
      </c>
      <c r="H943" s="279" t="s">
        <v>27</v>
      </c>
      <c r="I943" s="769"/>
      <c r="J943" s="770"/>
      <c r="K943" s="771"/>
      <c r="L943" s="100"/>
      <c r="M943" s="101"/>
    </row>
    <row r="944" spans="3:13" ht="18" x14ac:dyDescent="0.2">
      <c r="C944" s="91"/>
      <c r="D944" s="91"/>
      <c r="E944" s="718">
        <v>44138</v>
      </c>
      <c r="F944" s="380"/>
      <c r="G944" s="380"/>
      <c r="H944" s="380"/>
      <c r="I944" s="769"/>
      <c r="J944" s="770"/>
      <c r="K944" s="771"/>
      <c r="L944" s="100"/>
      <c r="M944" s="101"/>
    </row>
    <row r="945" spans="3:13" ht="18" x14ac:dyDescent="0.2">
      <c r="C945" s="91"/>
      <c r="D945" s="91"/>
      <c r="E945" s="718">
        <v>42682</v>
      </c>
      <c r="F945" s="380"/>
      <c r="G945" s="380"/>
      <c r="H945" s="380"/>
      <c r="I945" s="769"/>
      <c r="J945" s="770"/>
      <c r="K945" s="771"/>
      <c r="L945" s="100"/>
      <c r="M945" s="101"/>
    </row>
    <row r="946" spans="3:13" ht="18" x14ac:dyDescent="0.2">
      <c r="C946" s="91"/>
      <c r="D946" s="91"/>
      <c r="E946" s="718">
        <v>41219</v>
      </c>
      <c r="F946" s="380"/>
      <c r="G946" s="380"/>
      <c r="H946" s="380"/>
      <c r="I946" s="769"/>
      <c r="J946" s="770"/>
      <c r="K946" s="771"/>
      <c r="L946" s="102"/>
      <c r="M946" s="101"/>
    </row>
    <row r="947" spans="3:13" ht="18" x14ac:dyDescent="0.2">
      <c r="C947" s="91"/>
      <c r="D947" s="91"/>
      <c r="E947" s="718">
        <v>39756</v>
      </c>
      <c r="F947" s="380"/>
      <c r="G947" s="380"/>
      <c r="H947" s="380"/>
      <c r="I947" s="769"/>
      <c r="J947" s="770"/>
      <c r="K947" s="771"/>
      <c r="L947" s="100"/>
      <c r="M947" s="101"/>
    </row>
    <row r="948" spans="3:13" ht="18" x14ac:dyDescent="0.2">
      <c r="C948" s="91"/>
      <c r="D948" s="91"/>
      <c r="E948" s="718"/>
      <c r="F948" s="380"/>
      <c r="G948" s="380"/>
      <c r="H948" s="380"/>
      <c r="I948" s="769"/>
      <c r="J948" s="770"/>
      <c r="K948" s="771"/>
      <c r="L948" s="100"/>
      <c r="M948" s="101"/>
    </row>
    <row r="949" spans="3:13" thickBot="1" x14ac:dyDescent="0.25">
      <c r="C949" s="91"/>
      <c r="D949" s="91"/>
      <c r="E949" s="718"/>
      <c r="F949" s="380"/>
      <c r="G949" s="380"/>
      <c r="H949" s="380"/>
      <c r="I949" s="772"/>
      <c r="J949" s="773"/>
      <c r="K949" s="774"/>
      <c r="L949" s="103"/>
      <c r="M949" s="104"/>
    </row>
    <row r="950" spans="3:13" ht="25" thickBot="1" x14ac:dyDescent="0.25">
      <c r="C950" s="91"/>
      <c r="D950" s="91" t="s">
        <v>105</v>
      </c>
      <c r="E950" s="713" t="s">
        <v>30</v>
      </c>
      <c r="F950" s="814" t="s">
        <v>919</v>
      </c>
      <c r="G950" s="815"/>
      <c r="H950" s="816"/>
      <c r="I950" s="846" t="s">
        <v>633</v>
      </c>
      <c r="J950" s="847"/>
      <c r="K950" s="848"/>
      <c r="L950" s="162" t="s">
        <v>430</v>
      </c>
      <c r="M950" s="106" t="s">
        <v>431</v>
      </c>
    </row>
    <row r="951" spans="3:13" x14ac:dyDescent="0.2">
      <c r="C951" s="91"/>
      <c r="D951" s="91"/>
      <c r="E951" s="714" t="s">
        <v>432</v>
      </c>
      <c r="F951" s="805"/>
      <c r="G951" s="806"/>
      <c r="H951" s="807"/>
      <c r="I951" s="769" t="s">
        <v>716</v>
      </c>
      <c r="J951" s="770"/>
      <c r="K951" s="771"/>
      <c r="L951" s="100"/>
      <c r="M951" s="101"/>
    </row>
    <row r="952" spans="3:13" x14ac:dyDescent="0.2">
      <c r="C952" s="91"/>
      <c r="D952" s="91"/>
      <c r="E952" s="715" t="s">
        <v>433</v>
      </c>
      <c r="F952" s="817">
        <v>55.3</v>
      </c>
      <c r="G952" s="818"/>
      <c r="H952" s="819"/>
      <c r="I952" s="769"/>
      <c r="J952" s="770"/>
      <c r="K952" s="771"/>
      <c r="L952" s="100"/>
      <c r="M952" s="101"/>
    </row>
    <row r="953" spans="3:13" ht="20" thickBot="1" x14ac:dyDescent="0.25">
      <c r="C953" s="91"/>
      <c r="D953" s="91"/>
      <c r="E953" s="715" t="s">
        <v>434</v>
      </c>
      <c r="F953" s="817">
        <v>55.2</v>
      </c>
      <c r="G953" s="818"/>
      <c r="H953" s="819"/>
      <c r="I953" s="769"/>
      <c r="J953" s="770"/>
      <c r="K953" s="771"/>
      <c r="L953" s="100"/>
      <c r="M953" s="101"/>
    </row>
    <row r="954" spans="3:13" ht="20" thickBot="1" x14ac:dyDescent="0.25">
      <c r="C954" s="91"/>
      <c r="D954" s="91"/>
      <c r="E954" s="716" t="s">
        <v>435</v>
      </c>
      <c r="F954" s="811">
        <v>0.625</v>
      </c>
      <c r="G954" s="812"/>
      <c r="H954" s="813"/>
      <c r="I954" s="769"/>
      <c r="J954" s="770"/>
      <c r="K954" s="771"/>
      <c r="L954" s="107">
        <v>0.85416666666666663</v>
      </c>
      <c r="M954" s="108">
        <v>0.70833333333333326</v>
      </c>
    </row>
    <row r="955" spans="3:13" ht="20" thickBot="1" x14ac:dyDescent="0.25">
      <c r="C955" s="91"/>
      <c r="D955" s="91"/>
      <c r="E955" s="717" t="s">
        <v>436</v>
      </c>
      <c r="F955" s="278" t="s">
        <v>29</v>
      </c>
      <c r="G955" s="278" t="s">
        <v>28</v>
      </c>
      <c r="H955" s="279" t="s">
        <v>27</v>
      </c>
      <c r="I955" s="769"/>
      <c r="J955" s="770"/>
      <c r="K955" s="771"/>
      <c r="L955" s="100"/>
      <c r="M955" s="101"/>
    </row>
    <row r="956" spans="3:13" x14ac:dyDescent="0.2">
      <c r="C956" s="91"/>
      <c r="D956" s="91"/>
      <c r="E956" s="718">
        <v>45589</v>
      </c>
      <c r="F956" s="719">
        <v>55.3</v>
      </c>
      <c r="G956" s="719" t="s">
        <v>604</v>
      </c>
      <c r="H956" s="719">
        <v>55.2</v>
      </c>
      <c r="I956" s="769"/>
      <c r="J956" s="770"/>
      <c r="K956" s="771"/>
      <c r="L956" s="100"/>
      <c r="M956" s="101"/>
    </row>
    <row r="957" spans="3:13" x14ac:dyDescent="0.2">
      <c r="C957" s="91"/>
      <c r="D957" s="91"/>
      <c r="E957" s="718">
        <v>45568</v>
      </c>
      <c r="F957" s="719">
        <v>55.2</v>
      </c>
      <c r="G957" s="719" t="s">
        <v>759</v>
      </c>
      <c r="H957" s="719">
        <v>55.7</v>
      </c>
      <c r="I957" s="769"/>
      <c r="J957" s="770"/>
      <c r="K957" s="771"/>
      <c r="L957" s="100"/>
      <c r="M957" s="101"/>
    </row>
    <row r="958" spans="3:13" x14ac:dyDescent="0.2">
      <c r="C958" s="91"/>
      <c r="D958" s="91"/>
      <c r="E958" s="718">
        <v>45558</v>
      </c>
      <c r="F958" s="719">
        <v>55.4</v>
      </c>
      <c r="G958" s="719" t="s">
        <v>585</v>
      </c>
      <c r="H958" s="719">
        <v>55.7</v>
      </c>
      <c r="I958" s="769"/>
      <c r="J958" s="770"/>
      <c r="K958" s="771"/>
      <c r="L958" s="102"/>
      <c r="M958" s="101"/>
    </row>
    <row r="959" spans="3:13" x14ac:dyDescent="0.2">
      <c r="C959" s="91"/>
      <c r="D959" s="91"/>
      <c r="E959" s="718">
        <v>45540</v>
      </c>
      <c r="F959" s="719">
        <v>55.7</v>
      </c>
      <c r="G959" s="719" t="s">
        <v>586</v>
      </c>
      <c r="H959" s="719">
        <v>55</v>
      </c>
      <c r="I959" s="769"/>
      <c r="J959" s="770"/>
      <c r="K959" s="771"/>
      <c r="L959" s="100"/>
      <c r="M959" s="101"/>
    </row>
    <row r="960" spans="3:13" x14ac:dyDescent="0.2">
      <c r="C960" s="91"/>
      <c r="D960" s="91"/>
      <c r="E960" s="718">
        <v>45526</v>
      </c>
      <c r="F960" s="719">
        <v>55.2</v>
      </c>
      <c r="G960" s="719" t="s">
        <v>587</v>
      </c>
      <c r="H960" s="719">
        <v>55</v>
      </c>
      <c r="I960" s="769"/>
      <c r="J960" s="770"/>
      <c r="K960" s="771"/>
      <c r="L960" s="100"/>
      <c r="M960" s="101"/>
    </row>
    <row r="961" spans="3:13" ht="20" thickBot="1" x14ac:dyDescent="0.25">
      <c r="C961" s="91"/>
      <c r="D961" s="91"/>
      <c r="E961" s="718">
        <v>45509</v>
      </c>
      <c r="F961" s="719">
        <v>55</v>
      </c>
      <c r="G961" s="719" t="s">
        <v>589</v>
      </c>
      <c r="H961" s="719">
        <v>55.3</v>
      </c>
      <c r="I961" s="772"/>
      <c r="J961" s="773"/>
      <c r="K961" s="774"/>
      <c r="L961" s="103"/>
      <c r="M961" s="104"/>
    </row>
    <row r="962" spans="3:13" ht="25" thickBot="1" x14ac:dyDescent="0.25">
      <c r="C962" s="91"/>
      <c r="D962" s="91" t="s">
        <v>105</v>
      </c>
      <c r="E962" s="713" t="s">
        <v>30</v>
      </c>
      <c r="F962" s="814" t="s">
        <v>920</v>
      </c>
      <c r="G962" s="815"/>
      <c r="H962" s="816"/>
      <c r="I962" s="846" t="s">
        <v>633</v>
      </c>
      <c r="J962" s="847"/>
      <c r="K962" s="848"/>
      <c r="L962" s="162" t="s">
        <v>430</v>
      </c>
      <c r="M962" s="106" t="s">
        <v>431</v>
      </c>
    </row>
    <row r="963" spans="3:13" x14ac:dyDescent="0.2">
      <c r="C963" s="91"/>
      <c r="D963" s="91"/>
      <c r="E963" s="714" t="s">
        <v>432</v>
      </c>
      <c r="F963" s="805"/>
      <c r="G963" s="806"/>
      <c r="H963" s="807"/>
      <c r="I963" s="769" t="s">
        <v>921</v>
      </c>
      <c r="J963" s="770"/>
      <c r="K963" s="771"/>
      <c r="L963" s="100"/>
      <c r="M963" s="101"/>
    </row>
    <row r="964" spans="3:13" x14ac:dyDescent="0.2">
      <c r="C964" s="91"/>
      <c r="D964" s="91"/>
      <c r="E964" s="715" t="s">
        <v>433</v>
      </c>
      <c r="F964" s="817">
        <v>53.3</v>
      </c>
      <c r="G964" s="818"/>
      <c r="H964" s="819"/>
      <c r="I964" s="769"/>
      <c r="J964" s="770"/>
      <c r="K964" s="771"/>
      <c r="L964" s="100"/>
      <c r="M964" s="101"/>
    </row>
    <row r="965" spans="3:13" ht="20" thickBot="1" x14ac:dyDescent="0.25">
      <c r="C965" s="91"/>
      <c r="D965" s="91"/>
      <c r="E965" s="715" t="s">
        <v>434</v>
      </c>
      <c r="F965" s="817">
        <v>54.9</v>
      </c>
      <c r="G965" s="818"/>
      <c r="H965" s="819"/>
      <c r="I965" s="769"/>
      <c r="J965" s="770"/>
      <c r="K965" s="771"/>
      <c r="L965" s="100"/>
      <c r="M965" s="101"/>
    </row>
    <row r="966" spans="3:13" ht="20" thickBot="1" x14ac:dyDescent="0.25">
      <c r="C966" s="91"/>
      <c r="D966" s="91"/>
      <c r="E966" s="716" t="s">
        <v>435</v>
      </c>
      <c r="F966" s="811">
        <v>0.625</v>
      </c>
      <c r="G966" s="812"/>
      <c r="H966" s="813"/>
      <c r="I966" s="769"/>
      <c r="J966" s="770"/>
      <c r="K966" s="771"/>
      <c r="L966" s="107">
        <v>0.85416666666666663</v>
      </c>
      <c r="M966" s="108">
        <v>0.70833333333333326</v>
      </c>
    </row>
    <row r="967" spans="3:13" ht="20" thickBot="1" x14ac:dyDescent="0.25">
      <c r="C967" s="91"/>
      <c r="D967" s="91"/>
      <c r="E967" s="717" t="s">
        <v>436</v>
      </c>
      <c r="F967" s="278" t="s">
        <v>29</v>
      </c>
      <c r="G967" s="278" t="s">
        <v>28</v>
      </c>
      <c r="H967" s="279" t="s">
        <v>27</v>
      </c>
      <c r="I967" s="769"/>
      <c r="J967" s="770"/>
      <c r="K967" s="771"/>
      <c r="L967" s="100"/>
      <c r="M967" s="101"/>
    </row>
    <row r="968" spans="3:13" x14ac:dyDescent="0.2">
      <c r="C968" s="91"/>
      <c r="D968" s="91"/>
      <c r="E968" s="718">
        <v>45568</v>
      </c>
      <c r="F968" s="719">
        <v>54.9</v>
      </c>
      <c r="G968" s="719" t="s">
        <v>506</v>
      </c>
      <c r="H968" s="719">
        <v>51.5</v>
      </c>
      <c r="I968" s="769"/>
      <c r="J968" s="770"/>
      <c r="K968" s="771"/>
      <c r="L968" s="100"/>
      <c r="M968" s="101"/>
    </row>
    <row r="969" spans="3:13" x14ac:dyDescent="0.2">
      <c r="C969" s="91"/>
      <c r="D969" s="91"/>
      <c r="E969" s="718">
        <v>45540</v>
      </c>
      <c r="F969" s="719">
        <v>51.5</v>
      </c>
      <c r="G969" s="719" t="s">
        <v>594</v>
      </c>
      <c r="H969" s="719">
        <v>51.4</v>
      </c>
      <c r="I969" s="769"/>
      <c r="J969" s="770"/>
      <c r="K969" s="771"/>
      <c r="L969" s="100"/>
      <c r="M969" s="101"/>
    </row>
    <row r="970" spans="3:13" x14ac:dyDescent="0.2">
      <c r="C970" s="91"/>
      <c r="D970" s="91"/>
      <c r="E970" s="718">
        <v>45509</v>
      </c>
      <c r="F970" s="719">
        <v>51.4</v>
      </c>
      <c r="G970" s="719" t="s">
        <v>595</v>
      </c>
      <c r="H970" s="719">
        <v>48.8</v>
      </c>
      <c r="I970" s="769"/>
      <c r="J970" s="770"/>
      <c r="K970" s="771"/>
      <c r="L970" s="102"/>
      <c r="M970" s="101"/>
    </row>
    <row r="971" spans="3:13" x14ac:dyDescent="0.2">
      <c r="C971" s="91"/>
      <c r="D971" s="91"/>
      <c r="E971" s="718">
        <v>45476</v>
      </c>
      <c r="F971" s="719">
        <v>48.8</v>
      </c>
      <c r="G971" s="719" t="s">
        <v>596</v>
      </c>
      <c r="H971" s="719">
        <v>53.8</v>
      </c>
      <c r="I971" s="769"/>
      <c r="J971" s="770"/>
      <c r="K971" s="771"/>
      <c r="L971" s="100"/>
      <c r="M971" s="101"/>
    </row>
    <row r="972" spans="3:13" x14ac:dyDescent="0.2">
      <c r="C972" s="91"/>
      <c r="D972" s="91"/>
      <c r="E972" s="718">
        <v>45448</v>
      </c>
      <c r="F972" s="719">
        <v>53.8</v>
      </c>
      <c r="G972" s="719" t="s">
        <v>597</v>
      </c>
      <c r="H972" s="719">
        <v>49.4</v>
      </c>
      <c r="I972" s="769"/>
      <c r="J972" s="770"/>
      <c r="K972" s="771"/>
      <c r="L972" s="100"/>
      <c r="M972" s="101"/>
    </row>
    <row r="973" spans="3:13" ht="20" thickBot="1" x14ac:dyDescent="0.25">
      <c r="C973" s="91"/>
      <c r="D973" s="91"/>
      <c r="E973" s="718">
        <v>45415</v>
      </c>
      <c r="F973" s="719">
        <v>49.4</v>
      </c>
      <c r="G973" s="719" t="s">
        <v>599</v>
      </c>
      <c r="H973" s="719">
        <v>51.4</v>
      </c>
      <c r="I973" s="772"/>
      <c r="J973" s="773"/>
      <c r="K973" s="774"/>
      <c r="L973" s="103"/>
      <c r="M973" s="104"/>
    </row>
    <row r="974" spans="3:13" ht="25" thickBot="1" x14ac:dyDescent="0.25">
      <c r="C974" s="91"/>
      <c r="D974" s="91" t="s">
        <v>105</v>
      </c>
      <c r="E974" s="713" t="s">
        <v>30</v>
      </c>
      <c r="F974" s="814" t="s">
        <v>922</v>
      </c>
      <c r="G974" s="815"/>
      <c r="H974" s="816"/>
      <c r="I974" s="846" t="s">
        <v>633</v>
      </c>
      <c r="J974" s="847"/>
      <c r="K974" s="848"/>
      <c r="L974" s="162" t="s">
        <v>430</v>
      </c>
      <c r="M974" s="106" t="s">
        <v>431</v>
      </c>
    </row>
    <row r="975" spans="3:13" x14ac:dyDescent="0.2">
      <c r="C975" s="91"/>
      <c r="D975" s="91"/>
      <c r="E975" s="714" t="s">
        <v>432</v>
      </c>
      <c r="F975" s="805"/>
      <c r="G975" s="806"/>
      <c r="H975" s="807"/>
      <c r="I975" s="769" t="s">
        <v>923</v>
      </c>
      <c r="J975" s="770"/>
      <c r="K975" s="771"/>
      <c r="L975" s="100"/>
      <c r="M975" s="101"/>
    </row>
    <row r="976" spans="3:13" x14ac:dyDescent="0.2">
      <c r="C976" s="91"/>
      <c r="D976" s="91"/>
      <c r="E976" s="715" t="s">
        <v>433</v>
      </c>
      <c r="F976" s="817">
        <v>0</v>
      </c>
      <c r="G976" s="818"/>
      <c r="H976" s="819"/>
      <c r="I976" s="769"/>
      <c r="J976" s="770"/>
      <c r="K976" s="771"/>
      <c r="L976" s="100"/>
      <c r="M976" s="101"/>
    </row>
    <row r="977" spans="3:13" ht="20" thickBot="1" x14ac:dyDescent="0.25">
      <c r="C977" s="91"/>
      <c r="D977" s="91"/>
      <c r="E977" s="715" t="s">
        <v>434</v>
      </c>
      <c r="F977" s="817">
        <v>59.4</v>
      </c>
      <c r="G977" s="818"/>
      <c r="H977" s="819"/>
      <c r="I977" s="769"/>
      <c r="J977" s="770"/>
      <c r="K977" s="771"/>
      <c r="L977" s="100"/>
      <c r="M977" s="101"/>
    </row>
    <row r="978" spans="3:13" ht="20" thickBot="1" x14ac:dyDescent="0.25">
      <c r="C978" s="91"/>
      <c r="D978" s="91"/>
      <c r="E978" s="716" t="s">
        <v>435</v>
      </c>
      <c r="F978" s="811">
        <v>0.625</v>
      </c>
      <c r="G978" s="812"/>
      <c r="H978" s="813"/>
      <c r="I978" s="769"/>
      <c r="J978" s="770"/>
      <c r="K978" s="771"/>
      <c r="L978" s="107">
        <v>0.85416666666666663</v>
      </c>
      <c r="M978" s="108">
        <v>0.70833333333333326</v>
      </c>
    </row>
    <row r="979" spans="3:13" ht="20" thickBot="1" x14ac:dyDescent="0.25">
      <c r="C979" s="91"/>
      <c r="D979" s="91"/>
      <c r="E979" s="717" t="s">
        <v>436</v>
      </c>
      <c r="F979" s="278" t="s">
        <v>29</v>
      </c>
      <c r="G979" s="278" t="s">
        <v>28</v>
      </c>
      <c r="H979" s="279" t="s">
        <v>27</v>
      </c>
      <c r="I979" s="769"/>
      <c r="J979" s="770"/>
      <c r="K979" s="771"/>
      <c r="L979" s="100"/>
      <c r="M979" s="101"/>
    </row>
    <row r="980" spans="3:13" x14ac:dyDescent="0.2">
      <c r="C980" s="91"/>
      <c r="D980" s="91"/>
      <c r="E980" s="718">
        <v>45568</v>
      </c>
      <c r="F980" s="719">
        <v>59.4</v>
      </c>
      <c r="G980" s="719" t="s">
        <v>943</v>
      </c>
      <c r="H980" s="719">
        <v>57.3</v>
      </c>
      <c r="I980" s="769"/>
      <c r="J980" s="770"/>
      <c r="K980" s="771"/>
      <c r="L980" s="100"/>
      <c r="M980" s="101"/>
    </row>
    <row r="981" spans="3:13" x14ac:dyDescent="0.2">
      <c r="C981" s="91"/>
      <c r="D981" s="91"/>
      <c r="E981" s="718">
        <v>45540</v>
      </c>
      <c r="F981" s="719">
        <v>57.3</v>
      </c>
      <c r="G981" s="719" t="s">
        <v>589</v>
      </c>
      <c r="H981" s="719">
        <v>57</v>
      </c>
      <c r="I981" s="769"/>
      <c r="J981" s="770"/>
      <c r="K981" s="771"/>
      <c r="L981" s="100"/>
      <c r="M981" s="101"/>
    </row>
    <row r="982" spans="3:13" x14ac:dyDescent="0.2">
      <c r="C982" s="91"/>
      <c r="D982" s="91"/>
      <c r="E982" s="718">
        <v>45509</v>
      </c>
      <c r="F982" s="719">
        <v>57</v>
      </c>
      <c r="G982" s="719" t="s">
        <v>589</v>
      </c>
      <c r="H982" s="719">
        <v>56.3</v>
      </c>
      <c r="I982" s="769"/>
      <c r="J982" s="770"/>
      <c r="K982" s="771"/>
      <c r="L982" s="102"/>
      <c r="M982" s="101"/>
    </row>
    <row r="983" spans="3:13" x14ac:dyDescent="0.2">
      <c r="C983" s="91"/>
      <c r="D983" s="91"/>
      <c r="E983" s="718">
        <v>45476</v>
      </c>
      <c r="F983" s="719">
        <v>56.3</v>
      </c>
      <c r="G983" s="719" t="s">
        <v>602</v>
      </c>
      <c r="H983" s="719">
        <v>58.1</v>
      </c>
      <c r="I983" s="769"/>
      <c r="J983" s="770"/>
      <c r="K983" s="771"/>
      <c r="L983" s="100"/>
      <c r="M983" s="101"/>
    </row>
    <row r="984" spans="3:13" x14ac:dyDescent="0.2">
      <c r="C984" s="91"/>
      <c r="D984" s="91"/>
      <c r="E984" s="718">
        <v>45448</v>
      </c>
      <c r="F984" s="719">
        <v>58.1</v>
      </c>
      <c r="G984" s="719" t="s">
        <v>603</v>
      </c>
      <c r="H984" s="719">
        <v>59.2</v>
      </c>
      <c r="I984" s="769"/>
      <c r="J984" s="770"/>
      <c r="K984" s="771"/>
      <c r="L984" s="100"/>
      <c r="M984" s="101"/>
    </row>
    <row r="985" spans="3:13" ht="20" thickBot="1" x14ac:dyDescent="0.25">
      <c r="C985" s="91"/>
      <c r="D985" s="91"/>
      <c r="E985" s="718">
        <v>45415</v>
      </c>
      <c r="F985" s="719">
        <v>59.2</v>
      </c>
      <c r="G985" s="719" t="s">
        <v>604</v>
      </c>
      <c r="H985" s="719">
        <v>53.4</v>
      </c>
      <c r="I985" s="772"/>
      <c r="J985" s="773"/>
      <c r="K985" s="774"/>
      <c r="L985" s="103"/>
      <c r="M985" s="104"/>
    </row>
    <row r="986" spans="3:13" ht="25" thickBot="1" x14ac:dyDescent="0.25">
      <c r="C986" s="91"/>
      <c r="D986" s="88" t="s">
        <v>105</v>
      </c>
      <c r="E986" s="713" t="s">
        <v>30</v>
      </c>
      <c r="F986" s="814" t="s">
        <v>52</v>
      </c>
      <c r="G986" s="815"/>
      <c r="H986" s="816"/>
      <c r="I986" s="846" t="s">
        <v>633</v>
      </c>
      <c r="J986" s="847"/>
      <c r="K986" s="848"/>
      <c r="L986" s="162" t="s">
        <v>430</v>
      </c>
      <c r="M986" s="106" t="s">
        <v>431</v>
      </c>
    </row>
    <row r="987" spans="3:13" x14ac:dyDescent="0.2">
      <c r="C987" s="91"/>
      <c r="D987" s="168"/>
      <c r="E987" s="714" t="s">
        <v>432</v>
      </c>
      <c r="F987" s="805"/>
      <c r="G987" s="806"/>
      <c r="H987" s="807"/>
      <c r="I987" s="769" t="s">
        <v>924</v>
      </c>
      <c r="J987" s="770"/>
      <c r="K987" s="771"/>
      <c r="L987" s="100"/>
      <c r="M987" s="101"/>
    </row>
    <row r="988" spans="3:13" x14ac:dyDescent="0.2">
      <c r="C988" s="91"/>
      <c r="D988" s="168"/>
      <c r="E988" s="715" t="s">
        <v>433</v>
      </c>
      <c r="F988" s="824"/>
      <c r="G988" s="825"/>
      <c r="H988" s="826"/>
      <c r="I988" s="769"/>
      <c r="J988" s="770"/>
      <c r="K988" s="771"/>
      <c r="L988" s="100"/>
      <c r="M988" s="101"/>
    </row>
    <row r="989" spans="3:13" ht="20" thickBot="1" x14ac:dyDescent="0.25">
      <c r="C989" s="91"/>
      <c r="D989" s="168"/>
      <c r="E989" s="715" t="s">
        <v>434</v>
      </c>
      <c r="F989" s="820">
        <v>4.0660000000000002E-2</v>
      </c>
      <c r="G989" s="821"/>
      <c r="H989" s="822"/>
      <c r="I989" s="769"/>
      <c r="J989" s="770"/>
      <c r="K989" s="771"/>
      <c r="L989" s="100"/>
      <c r="M989" s="101"/>
    </row>
    <row r="990" spans="3:13" ht="20" thickBot="1" x14ac:dyDescent="0.25">
      <c r="C990" s="91"/>
      <c r="D990" s="168"/>
      <c r="E990" s="716" t="s">
        <v>435</v>
      </c>
      <c r="F990" s="811">
        <v>0.75</v>
      </c>
      <c r="G990" s="812"/>
      <c r="H990" s="813"/>
      <c r="I990" s="769"/>
      <c r="J990" s="770"/>
      <c r="K990" s="771"/>
      <c r="L990" s="107">
        <v>0.97916666666666663</v>
      </c>
      <c r="M990" s="108">
        <v>0.83333333333333326</v>
      </c>
    </row>
    <row r="991" spans="3:13" ht="20" thickBot="1" x14ac:dyDescent="0.25">
      <c r="C991" s="91"/>
      <c r="D991" s="168"/>
      <c r="E991" s="717" t="s">
        <v>436</v>
      </c>
      <c r="F991" s="278" t="s">
        <v>29</v>
      </c>
      <c r="G991" s="278" t="s">
        <v>28</v>
      </c>
      <c r="H991" s="279" t="s">
        <v>27</v>
      </c>
      <c r="I991" s="769"/>
      <c r="J991" s="770"/>
      <c r="K991" s="771"/>
      <c r="L991" s="100"/>
      <c r="M991" s="101"/>
    </row>
    <row r="992" spans="3:13" x14ac:dyDescent="0.2">
      <c r="C992" s="91"/>
      <c r="D992" s="168"/>
      <c r="E992" s="718">
        <v>45574</v>
      </c>
      <c r="F992" s="720">
        <v>4.0660000000000002E-2</v>
      </c>
      <c r="G992" s="720" t="s">
        <v>754</v>
      </c>
      <c r="H992" s="720">
        <v>3.6479999999999999E-2</v>
      </c>
      <c r="I992" s="769"/>
      <c r="J992" s="770"/>
      <c r="K992" s="771"/>
      <c r="L992" s="100"/>
      <c r="M992" s="101"/>
    </row>
    <row r="993" spans="3:13" x14ac:dyDescent="0.2">
      <c r="C993" s="91"/>
      <c r="D993" s="168"/>
      <c r="E993" s="718">
        <v>45546</v>
      </c>
      <c r="F993" s="720">
        <v>3.6479999999999999E-2</v>
      </c>
      <c r="G993" s="720" t="s">
        <v>754</v>
      </c>
      <c r="H993" s="720">
        <v>3.9600000000000003E-2</v>
      </c>
      <c r="I993" s="769"/>
      <c r="J993" s="770"/>
      <c r="K993" s="771"/>
      <c r="L993" s="100"/>
      <c r="M993" s="101"/>
    </row>
    <row r="994" spans="3:13" x14ac:dyDescent="0.2">
      <c r="C994" s="91"/>
      <c r="D994" s="168"/>
      <c r="E994" s="718">
        <v>45511</v>
      </c>
      <c r="F994" s="720">
        <v>3.9600000000000003E-2</v>
      </c>
      <c r="G994" s="720" t="s">
        <v>754</v>
      </c>
      <c r="H994" s="720">
        <v>4.2759999999999999E-2</v>
      </c>
      <c r="I994" s="769"/>
      <c r="J994" s="770"/>
      <c r="K994" s="771"/>
      <c r="L994" s="102"/>
      <c r="M994" s="101"/>
    </row>
    <row r="995" spans="3:13" x14ac:dyDescent="0.2">
      <c r="C995" s="91"/>
      <c r="D995" s="168"/>
      <c r="E995" s="718">
        <v>45483</v>
      </c>
      <c r="F995" s="720">
        <v>4.2759999999999999E-2</v>
      </c>
      <c r="G995" s="720" t="s">
        <v>754</v>
      </c>
      <c r="H995" s="720">
        <v>4.4380000000000003E-2</v>
      </c>
      <c r="I995" s="769"/>
      <c r="J995" s="770"/>
      <c r="K995" s="771"/>
      <c r="L995" s="100"/>
      <c r="M995" s="101"/>
    </row>
    <row r="996" spans="3:13" x14ac:dyDescent="0.2">
      <c r="C996" s="91"/>
      <c r="D996" s="168"/>
      <c r="E996" s="718">
        <v>45454</v>
      </c>
      <c r="F996" s="720">
        <v>4.4380000000000003E-2</v>
      </c>
      <c r="G996" s="720" t="s">
        <v>754</v>
      </c>
      <c r="H996" s="720">
        <v>4.4830000000000002E-2</v>
      </c>
      <c r="I996" s="769"/>
      <c r="J996" s="770"/>
      <c r="K996" s="771"/>
      <c r="L996" s="100"/>
      <c r="M996" s="101"/>
    </row>
    <row r="997" spans="3:13" ht="20" thickBot="1" x14ac:dyDescent="0.25">
      <c r="C997" s="91"/>
      <c r="D997" s="168"/>
      <c r="E997" s="718">
        <v>45420</v>
      </c>
      <c r="F997" s="720">
        <v>4.4830000000000002E-2</v>
      </c>
      <c r="G997" s="720" t="s">
        <v>754</v>
      </c>
      <c r="H997" s="720">
        <v>4.5600000000000002E-2</v>
      </c>
      <c r="I997" s="772"/>
      <c r="J997" s="773"/>
      <c r="K997" s="774"/>
      <c r="L997" s="103"/>
      <c r="M997" s="104"/>
    </row>
    <row r="998" spans="3:13" ht="25" thickBot="1" x14ac:dyDescent="0.25">
      <c r="C998" s="91"/>
      <c r="D998" s="88" t="s">
        <v>105</v>
      </c>
      <c r="E998" s="713" t="s">
        <v>30</v>
      </c>
      <c r="F998" s="814" t="s">
        <v>9</v>
      </c>
      <c r="G998" s="815"/>
      <c r="H998" s="816"/>
      <c r="I998" s="846" t="s">
        <v>633</v>
      </c>
      <c r="J998" s="847"/>
      <c r="K998" s="848"/>
      <c r="L998" s="162" t="s">
        <v>430</v>
      </c>
      <c r="M998" s="106" t="s">
        <v>431</v>
      </c>
    </row>
    <row r="999" spans="3:13" x14ac:dyDescent="0.2">
      <c r="C999" s="91"/>
      <c r="D999" s="168"/>
      <c r="E999" s="714" t="s">
        <v>432</v>
      </c>
      <c r="F999" s="805"/>
      <c r="G999" s="806"/>
      <c r="H999" s="807"/>
      <c r="I999" s="769" t="s">
        <v>926</v>
      </c>
      <c r="J999" s="770"/>
      <c r="K999" s="771"/>
      <c r="L999" s="100"/>
      <c r="M999" s="101"/>
    </row>
    <row r="1000" spans="3:13" x14ac:dyDescent="0.2">
      <c r="C1000" s="91"/>
      <c r="D1000" s="168"/>
      <c r="E1000" s="715" t="s">
        <v>433</v>
      </c>
      <c r="F1000" s="817">
        <v>0</v>
      </c>
      <c r="G1000" s="818"/>
      <c r="H1000" s="819"/>
      <c r="I1000" s="769"/>
      <c r="J1000" s="770"/>
      <c r="K1000" s="771"/>
      <c r="L1000" s="100"/>
      <c r="M1000" s="101"/>
    </row>
    <row r="1001" spans="3:13" ht="20" thickBot="1" x14ac:dyDescent="0.25">
      <c r="C1001" s="91"/>
      <c r="D1001" s="168"/>
      <c r="E1001" s="715" t="s">
        <v>434</v>
      </c>
      <c r="F1001" s="824" t="s">
        <v>925</v>
      </c>
      <c r="G1001" s="825"/>
      <c r="H1001" s="826"/>
      <c r="I1001" s="769"/>
      <c r="J1001" s="770"/>
      <c r="K1001" s="771"/>
      <c r="L1001" s="100"/>
      <c r="M1001" s="101"/>
    </row>
    <row r="1002" spans="3:13" ht="20" thickBot="1" x14ac:dyDescent="0.25">
      <c r="C1002" s="91"/>
      <c r="D1002" s="168"/>
      <c r="E1002" s="716" t="s">
        <v>435</v>
      </c>
      <c r="F1002" s="811">
        <v>0.64583333333333337</v>
      </c>
      <c r="G1002" s="812"/>
      <c r="H1002" s="813"/>
      <c r="I1002" s="769"/>
      <c r="J1002" s="770"/>
      <c r="K1002" s="771"/>
      <c r="L1002" s="107">
        <v>0.875</v>
      </c>
      <c r="M1002" s="108">
        <v>0.72916666666666663</v>
      </c>
    </row>
    <row r="1003" spans="3:13" ht="20" thickBot="1" x14ac:dyDescent="0.25">
      <c r="C1003" s="91"/>
      <c r="D1003" s="168"/>
      <c r="E1003" s="717" t="s">
        <v>436</v>
      </c>
      <c r="F1003" s="278" t="s">
        <v>29</v>
      </c>
      <c r="G1003" s="278" t="s">
        <v>28</v>
      </c>
      <c r="H1003" s="279" t="s">
        <v>27</v>
      </c>
      <c r="I1003" s="769"/>
      <c r="J1003" s="770"/>
      <c r="K1003" s="771"/>
      <c r="L1003" s="100"/>
      <c r="M1003" s="101"/>
    </row>
    <row r="1004" spans="3:13" x14ac:dyDescent="0.2">
      <c r="C1004" s="91"/>
      <c r="D1004" s="168"/>
      <c r="E1004" s="718">
        <v>45595</v>
      </c>
      <c r="F1004" s="721" t="s">
        <v>925</v>
      </c>
      <c r="G1004" s="721" t="s">
        <v>939</v>
      </c>
      <c r="H1004" s="721" t="s">
        <v>839</v>
      </c>
      <c r="I1004" s="769"/>
      <c r="J1004" s="770"/>
      <c r="K1004" s="771"/>
      <c r="L1004" s="100"/>
      <c r="M1004" s="101"/>
    </row>
    <row r="1005" spans="3:13" x14ac:dyDescent="0.2">
      <c r="C1005" s="91"/>
      <c r="D1005" s="168"/>
      <c r="E1005" s="718">
        <v>45588</v>
      </c>
      <c r="F1005" s="721" t="s">
        <v>839</v>
      </c>
      <c r="G1005" s="721" t="s">
        <v>891</v>
      </c>
      <c r="H1005" s="721" t="s">
        <v>699</v>
      </c>
      <c r="I1005" s="769"/>
      <c r="J1005" s="770"/>
      <c r="K1005" s="771"/>
      <c r="L1005" s="100"/>
      <c r="M1005" s="101"/>
    </row>
    <row r="1006" spans="3:13" x14ac:dyDescent="0.2">
      <c r="C1006" s="91"/>
      <c r="D1006" s="168"/>
      <c r="E1006" s="718">
        <v>45582</v>
      </c>
      <c r="F1006" s="721" t="s">
        <v>699</v>
      </c>
      <c r="G1006" s="721" t="s">
        <v>731</v>
      </c>
      <c r="H1006" s="721" t="s">
        <v>677</v>
      </c>
      <c r="I1006" s="769"/>
      <c r="J1006" s="770"/>
      <c r="K1006" s="771"/>
      <c r="L1006" s="102"/>
      <c r="M1006" s="101"/>
    </row>
    <row r="1007" spans="3:13" x14ac:dyDescent="0.2">
      <c r="C1007" s="91"/>
      <c r="D1007" s="168"/>
      <c r="E1007" s="718">
        <v>45574</v>
      </c>
      <c r="F1007" s="721" t="s">
        <v>677</v>
      </c>
      <c r="G1007" s="721" t="s">
        <v>732</v>
      </c>
      <c r="H1007" s="721" t="s">
        <v>637</v>
      </c>
      <c r="I1007" s="769"/>
      <c r="J1007" s="770"/>
      <c r="K1007" s="771"/>
      <c r="L1007" s="100"/>
      <c r="M1007" s="101"/>
    </row>
    <row r="1008" spans="3:13" x14ac:dyDescent="0.2">
      <c r="C1008" s="91"/>
      <c r="D1008" s="168"/>
      <c r="E1008" s="718">
        <v>45567</v>
      </c>
      <c r="F1008" s="721" t="s">
        <v>637</v>
      </c>
      <c r="G1008" s="721" t="s">
        <v>733</v>
      </c>
      <c r="H1008" s="721" t="s">
        <v>380</v>
      </c>
      <c r="I1008" s="769"/>
      <c r="J1008" s="770"/>
      <c r="K1008" s="771"/>
      <c r="L1008" s="100"/>
      <c r="M1008" s="101"/>
    </row>
    <row r="1009" spans="3:13" ht="20" thickBot="1" x14ac:dyDescent="0.25">
      <c r="C1009" s="91"/>
      <c r="D1009" s="168"/>
      <c r="E1009" s="718">
        <v>45560</v>
      </c>
      <c r="F1009" s="721" t="s">
        <v>380</v>
      </c>
      <c r="G1009" s="721" t="s">
        <v>564</v>
      </c>
      <c r="H1009" s="721" t="s">
        <v>337</v>
      </c>
      <c r="I1009" s="772"/>
      <c r="J1009" s="773"/>
      <c r="K1009" s="774"/>
      <c r="L1009" s="103"/>
      <c r="M1009" s="104"/>
    </row>
    <row r="1010" spans="3:13" ht="25" thickBot="1" x14ac:dyDescent="0.25">
      <c r="C1010" s="91"/>
      <c r="D1010" s="88" t="s">
        <v>105</v>
      </c>
      <c r="E1010" s="713" t="s">
        <v>30</v>
      </c>
      <c r="F1010" s="814" t="s">
        <v>927</v>
      </c>
      <c r="G1010" s="815"/>
      <c r="H1010" s="816"/>
      <c r="I1010" s="846" t="s">
        <v>633</v>
      </c>
      <c r="J1010" s="847"/>
      <c r="K1010" s="848"/>
      <c r="L1010" s="162" t="s">
        <v>430</v>
      </c>
      <c r="M1010" s="106" t="s">
        <v>431</v>
      </c>
    </row>
    <row r="1011" spans="3:13" x14ac:dyDescent="0.2">
      <c r="C1011" s="91"/>
      <c r="D1011" s="168"/>
      <c r="E1011" s="714" t="s">
        <v>432</v>
      </c>
      <c r="F1011" s="805"/>
      <c r="G1011" s="806"/>
      <c r="H1011" s="807"/>
      <c r="I1011" s="769" t="s">
        <v>928</v>
      </c>
      <c r="J1011" s="770"/>
      <c r="K1011" s="771"/>
      <c r="L1011" s="100"/>
      <c r="M1011" s="101"/>
    </row>
    <row r="1012" spans="3:13" x14ac:dyDescent="0.2">
      <c r="C1012" s="91"/>
      <c r="D1012" s="168"/>
      <c r="E1012" s="715" t="s">
        <v>433</v>
      </c>
      <c r="F1012" s="817">
        <v>0</v>
      </c>
      <c r="G1012" s="818"/>
      <c r="H1012" s="819"/>
      <c r="I1012" s="769"/>
      <c r="J1012" s="770"/>
      <c r="K1012" s="771"/>
      <c r="L1012" s="100"/>
      <c r="M1012" s="101"/>
    </row>
    <row r="1013" spans="3:13" ht="20" thickBot="1" x14ac:dyDescent="0.25">
      <c r="C1013" s="91"/>
      <c r="D1013" s="168"/>
      <c r="E1013" s="715" t="s">
        <v>434</v>
      </c>
      <c r="F1013" s="820">
        <v>4.3889999999999998E-2</v>
      </c>
      <c r="G1013" s="821"/>
      <c r="H1013" s="822"/>
      <c r="I1013" s="769"/>
      <c r="J1013" s="770"/>
      <c r="K1013" s="771"/>
      <c r="L1013" s="100"/>
      <c r="M1013" s="101"/>
    </row>
    <row r="1014" spans="3:13" ht="20" thickBot="1" x14ac:dyDescent="0.25">
      <c r="C1014" s="91"/>
      <c r="D1014" s="168"/>
      <c r="E1014" s="716" t="s">
        <v>435</v>
      </c>
      <c r="F1014" s="811">
        <v>0.75</v>
      </c>
      <c r="G1014" s="812"/>
      <c r="H1014" s="813"/>
      <c r="I1014" s="769"/>
      <c r="J1014" s="770"/>
      <c r="K1014" s="771"/>
      <c r="L1014" s="107">
        <v>0.97916666666666663</v>
      </c>
      <c r="M1014" s="108">
        <v>0.83333333333333326</v>
      </c>
    </row>
    <row r="1015" spans="3:13" ht="20" thickBot="1" x14ac:dyDescent="0.25">
      <c r="C1015" s="91"/>
      <c r="D1015" s="168"/>
      <c r="E1015" s="717" t="s">
        <v>436</v>
      </c>
      <c r="F1015" s="278" t="s">
        <v>29</v>
      </c>
      <c r="G1015" s="278" t="s">
        <v>28</v>
      </c>
      <c r="H1015" s="279" t="s">
        <v>27</v>
      </c>
      <c r="I1015" s="769"/>
      <c r="J1015" s="770"/>
      <c r="K1015" s="771"/>
      <c r="L1015" s="100"/>
      <c r="M1015" s="101"/>
    </row>
    <row r="1016" spans="3:13" x14ac:dyDescent="0.2">
      <c r="C1016" s="91"/>
      <c r="D1016" s="168"/>
      <c r="E1016" s="718">
        <v>45575</v>
      </c>
      <c r="F1016" s="720">
        <v>4.3889999999999998E-2</v>
      </c>
      <c r="G1016" s="720" t="s">
        <v>754</v>
      </c>
      <c r="H1016" s="720">
        <v>4.0149999999999998E-2</v>
      </c>
      <c r="I1016" s="769"/>
      <c r="J1016" s="770"/>
      <c r="K1016" s="771"/>
      <c r="L1016" s="100"/>
      <c r="M1016" s="101"/>
    </row>
    <row r="1017" spans="3:13" x14ac:dyDescent="0.2">
      <c r="C1017" s="91"/>
      <c r="D1017" s="168"/>
      <c r="E1017" s="718">
        <v>45547</v>
      </c>
      <c r="F1017" s="720">
        <v>4.0149999999999998E-2</v>
      </c>
      <c r="G1017" s="720" t="s">
        <v>754</v>
      </c>
      <c r="H1017" s="720">
        <v>4.3139999999999998E-2</v>
      </c>
      <c r="I1017" s="769"/>
      <c r="J1017" s="770"/>
      <c r="K1017" s="771"/>
      <c r="L1017" s="100"/>
      <c r="M1017" s="101"/>
    </row>
    <row r="1018" spans="3:13" x14ac:dyDescent="0.2">
      <c r="C1018" s="91"/>
      <c r="D1018" s="168"/>
      <c r="E1018" s="718">
        <v>45512</v>
      </c>
      <c r="F1018" s="720">
        <v>4.3139999999999998E-2</v>
      </c>
      <c r="G1018" s="720" t="s">
        <v>754</v>
      </c>
      <c r="H1018" s="720">
        <v>4.4049999999999999E-2</v>
      </c>
      <c r="I1018" s="769"/>
      <c r="J1018" s="770"/>
      <c r="K1018" s="771"/>
      <c r="L1018" s="102"/>
      <c r="M1018" s="101"/>
    </row>
    <row r="1019" spans="3:13" x14ac:dyDescent="0.2">
      <c r="C1019" s="91"/>
      <c r="D1019" s="168"/>
      <c r="E1019" s="718">
        <v>45484</v>
      </c>
      <c r="F1019" s="720">
        <v>4.4049999999999999E-2</v>
      </c>
      <c r="G1019" s="720" t="s">
        <v>754</v>
      </c>
      <c r="H1019" s="720">
        <v>4.403E-2</v>
      </c>
      <c r="I1019" s="769"/>
      <c r="J1019" s="770"/>
      <c r="K1019" s="771"/>
      <c r="L1019" s="100"/>
      <c r="M1019" s="101"/>
    </row>
    <row r="1020" spans="3:13" x14ac:dyDescent="0.2">
      <c r="C1020" s="91"/>
      <c r="D1020" s="168"/>
      <c r="E1020" s="718">
        <v>45456</v>
      </c>
      <c r="F1020" s="720">
        <v>4.403E-2</v>
      </c>
      <c r="G1020" s="720" t="s">
        <v>754</v>
      </c>
      <c r="H1020" s="720">
        <v>4.6350000000000002E-2</v>
      </c>
      <c r="I1020" s="769"/>
      <c r="J1020" s="770"/>
      <c r="K1020" s="771"/>
      <c r="L1020" s="100"/>
      <c r="M1020" s="101"/>
    </row>
    <row r="1021" spans="3:13" ht="20" thickBot="1" x14ac:dyDescent="0.25">
      <c r="C1021" s="91"/>
      <c r="D1021" s="168"/>
      <c r="E1021" s="718">
        <v>45421</v>
      </c>
      <c r="F1021" s="720">
        <v>4.6350000000000002E-2</v>
      </c>
      <c r="G1021" s="720" t="s">
        <v>754</v>
      </c>
      <c r="H1021" s="720">
        <v>4.6710000000000002E-2</v>
      </c>
      <c r="I1021" s="772"/>
      <c r="J1021" s="773"/>
      <c r="K1021" s="774"/>
      <c r="L1021" s="103"/>
      <c r="M1021" s="104"/>
    </row>
    <row r="1022" spans="3:13" ht="25" thickBot="1" x14ac:dyDescent="0.25">
      <c r="C1022" s="91"/>
      <c r="D1022" s="88" t="s">
        <v>105</v>
      </c>
      <c r="E1022" s="713" t="s">
        <v>30</v>
      </c>
      <c r="F1022" s="814" t="s">
        <v>929</v>
      </c>
      <c r="G1022" s="815"/>
      <c r="H1022" s="816"/>
      <c r="I1022" s="849" t="s">
        <v>633</v>
      </c>
      <c r="J1022" s="847"/>
      <c r="K1022" s="848"/>
      <c r="L1022" s="162" t="s">
        <v>430</v>
      </c>
      <c r="M1022" s="106" t="s">
        <v>431</v>
      </c>
    </row>
    <row r="1023" spans="3:13" x14ac:dyDescent="0.2">
      <c r="C1023" s="91"/>
      <c r="D1023" s="168"/>
      <c r="E1023" s="714" t="s">
        <v>432</v>
      </c>
      <c r="F1023" s="805"/>
      <c r="G1023" s="806"/>
      <c r="H1023" s="807"/>
      <c r="I1023" s="769" t="s">
        <v>930</v>
      </c>
      <c r="J1023" s="770"/>
      <c r="K1023" s="771"/>
      <c r="L1023" s="100"/>
      <c r="M1023" s="101"/>
    </row>
    <row r="1024" spans="3:13" x14ac:dyDescent="0.2">
      <c r="C1024" s="91"/>
      <c r="D1024" s="168"/>
      <c r="E1024" s="715" t="s">
        <v>433</v>
      </c>
      <c r="F1024" s="824">
        <v>4.7500000000000001E-2</v>
      </c>
      <c r="G1024" s="825"/>
      <c r="H1024" s="826"/>
      <c r="I1024" s="769"/>
      <c r="J1024" s="770"/>
      <c r="K1024" s="771"/>
      <c r="L1024" s="100"/>
      <c r="M1024" s="101"/>
    </row>
    <row r="1025" spans="3:13" ht="20" thickBot="1" x14ac:dyDescent="0.25">
      <c r="C1025" s="91"/>
      <c r="D1025" s="168"/>
      <c r="E1025" s="715" t="s">
        <v>434</v>
      </c>
      <c r="F1025" s="824">
        <v>0.05</v>
      </c>
      <c r="G1025" s="825"/>
      <c r="H1025" s="826"/>
      <c r="I1025" s="769"/>
      <c r="J1025" s="770"/>
      <c r="K1025" s="771"/>
      <c r="L1025" s="100"/>
      <c r="M1025" s="101"/>
    </row>
    <row r="1026" spans="3:13" ht="20" thickBot="1" x14ac:dyDescent="0.25">
      <c r="C1026" s="91"/>
      <c r="D1026" s="168"/>
      <c r="E1026" s="716" t="s">
        <v>435</v>
      </c>
      <c r="F1026" s="811">
        <v>0.5</v>
      </c>
      <c r="G1026" s="812"/>
      <c r="H1026" s="813"/>
      <c r="I1026" s="769"/>
      <c r="J1026" s="770"/>
      <c r="K1026" s="771"/>
      <c r="L1026" s="107">
        <v>0.72916666666666663</v>
      </c>
      <c r="M1026" s="108">
        <v>0.58333333333333326</v>
      </c>
    </row>
    <row r="1027" spans="3:13" ht="20" thickBot="1" x14ac:dyDescent="0.25">
      <c r="C1027" s="91"/>
      <c r="D1027" s="168"/>
      <c r="E1027" s="717" t="s">
        <v>436</v>
      </c>
      <c r="F1027" s="278" t="s">
        <v>29</v>
      </c>
      <c r="G1027" s="278" t="s">
        <v>28</v>
      </c>
      <c r="H1027" s="279" t="s">
        <v>27</v>
      </c>
      <c r="I1027" s="769"/>
      <c r="J1027" s="770"/>
      <c r="K1027" s="771"/>
      <c r="L1027" s="100"/>
      <c r="M1027" s="101"/>
    </row>
    <row r="1028" spans="3:13" x14ac:dyDescent="0.2">
      <c r="C1028" s="91"/>
      <c r="D1028" s="168"/>
      <c r="E1028" s="718">
        <v>45554</v>
      </c>
      <c r="F1028" s="385">
        <v>0.05</v>
      </c>
      <c r="G1028" s="385" t="s">
        <v>728</v>
      </c>
      <c r="H1028" s="385">
        <v>0.05</v>
      </c>
      <c r="I1028" s="769"/>
      <c r="J1028" s="770"/>
      <c r="K1028" s="771"/>
      <c r="L1028" s="100"/>
      <c r="M1028" s="215">
        <v>0.14583333333333337</v>
      </c>
    </row>
    <row r="1029" spans="3:13" x14ac:dyDescent="0.2">
      <c r="C1029" s="91"/>
      <c r="D1029" s="168"/>
      <c r="E1029" s="718">
        <v>45505</v>
      </c>
      <c r="F1029" s="385">
        <v>0.05</v>
      </c>
      <c r="G1029" s="385" t="s">
        <v>728</v>
      </c>
      <c r="H1029" s="385">
        <v>5.2499999999999998E-2</v>
      </c>
      <c r="I1029" s="769"/>
      <c r="J1029" s="770"/>
      <c r="K1029" s="771"/>
      <c r="L1029" s="100"/>
      <c r="M1029" s="101"/>
    </row>
    <row r="1030" spans="3:13" x14ac:dyDescent="0.2">
      <c r="C1030" s="91"/>
      <c r="D1030" s="168"/>
      <c r="E1030" s="718">
        <v>45463</v>
      </c>
      <c r="F1030" s="385">
        <v>5.2499999999999998E-2</v>
      </c>
      <c r="G1030" s="385" t="s">
        <v>940</v>
      </c>
      <c r="H1030" s="385">
        <v>5.2499999999999998E-2</v>
      </c>
      <c r="I1030" s="769"/>
      <c r="J1030" s="770"/>
      <c r="K1030" s="771"/>
      <c r="L1030" s="102"/>
      <c r="M1030" s="101"/>
    </row>
    <row r="1031" spans="3:13" x14ac:dyDescent="0.2">
      <c r="C1031" s="91"/>
      <c r="D1031" s="168"/>
      <c r="E1031" s="718">
        <v>45421</v>
      </c>
      <c r="F1031" s="385">
        <v>5.2499999999999998E-2</v>
      </c>
      <c r="G1031" s="385" t="s">
        <v>940</v>
      </c>
      <c r="H1031" s="385">
        <v>5.2499999999999998E-2</v>
      </c>
      <c r="I1031" s="769"/>
      <c r="J1031" s="770"/>
      <c r="K1031" s="771"/>
      <c r="L1031" s="100"/>
      <c r="M1031" s="101"/>
    </row>
    <row r="1032" spans="3:13" x14ac:dyDescent="0.2">
      <c r="C1032" s="91"/>
      <c r="D1032" s="168"/>
      <c r="E1032" s="718">
        <v>45372</v>
      </c>
      <c r="F1032" s="385">
        <v>5.2499999999999998E-2</v>
      </c>
      <c r="G1032" s="385" t="s">
        <v>940</v>
      </c>
      <c r="H1032" s="385">
        <v>5.2499999999999998E-2</v>
      </c>
      <c r="I1032" s="769"/>
      <c r="J1032" s="770"/>
      <c r="K1032" s="771"/>
      <c r="L1032" s="100"/>
      <c r="M1032" s="101"/>
    </row>
    <row r="1033" spans="3:13" ht="20" thickBot="1" x14ac:dyDescent="0.25">
      <c r="C1033" s="91"/>
      <c r="D1033" s="168"/>
      <c r="E1033" s="718">
        <v>45323</v>
      </c>
      <c r="F1033" s="385">
        <v>5.2499999999999998E-2</v>
      </c>
      <c r="G1033" s="385" t="s">
        <v>940</v>
      </c>
      <c r="H1033" s="385">
        <v>5.2499999999999998E-2</v>
      </c>
      <c r="I1033" s="772"/>
      <c r="J1033" s="773"/>
      <c r="K1033" s="774"/>
      <c r="L1033" s="103"/>
      <c r="M1033" s="104"/>
    </row>
    <row r="1034" spans="3:13" ht="25" thickBot="1" x14ac:dyDescent="0.25">
      <c r="C1034" s="91"/>
      <c r="D1034" s="88" t="s">
        <v>105</v>
      </c>
      <c r="E1034" s="713" t="s">
        <v>30</v>
      </c>
      <c r="F1034" s="814" t="s">
        <v>14</v>
      </c>
      <c r="G1034" s="815"/>
      <c r="H1034" s="816"/>
      <c r="I1034" s="849" t="s">
        <v>633</v>
      </c>
      <c r="J1034" s="847"/>
      <c r="K1034" s="848"/>
      <c r="L1034" s="162" t="s">
        <v>430</v>
      </c>
      <c r="M1034" s="106" t="s">
        <v>431</v>
      </c>
    </row>
    <row r="1035" spans="3:13" x14ac:dyDescent="0.2">
      <c r="C1035" s="91"/>
      <c r="D1035" s="168"/>
      <c r="E1035" s="714" t="s">
        <v>432</v>
      </c>
      <c r="F1035" s="840"/>
      <c r="G1035" s="841"/>
      <c r="H1035" s="842"/>
      <c r="I1035" s="769" t="s">
        <v>933</v>
      </c>
      <c r="J1035" s="770"/>
      <c r="K1035" s="771"/>
      <c r="L1035" s="100"/>
      <c r="M1035" s="101"/>
    </row>
    <row r="1036" spans="3:13" x14ac:dyDescent="0.2">
      <c r="C1036" s="91"/>
      <c r="D1036" s="168"/>
      <c r="E1036" s="715" t="s">
        <v>433</v>
      </c>
      <c r="F1036" s="824" t="s">
        <v>931</v>
      </c>
      <c r="G1036" s="825"/>
      <c r="H1036" s="826"/>
      <c r="I1036" s="769"/>
      <c r="J1036" s="770"/>
      <c r="K1036" s="771"/>
      <c r="L1036" s="100"/>
      <c r="M1036" s="101"/>
    </row>
    <row r="1037" spans="3:13" ht="20" thickBot="1" x14ac:dyDescent="0.25">
      <c r="C1037" s="91"/>
      <c r="D1037" s="168"/>
      <c r="E1037" s="715" t="s">
        <v>434</v>
      </c>
      <c r="F1037" s="824" t="s">
        <v>932</v>
      </c>
      <c r="G1037" s="825"/>
      <c r="H1037" s="826"/>
      <c r="I1037" s="769"/>
      <c r="J1037" s="770"/>
      <c r="K1037" s="771"/>
      <c r="L1037" s="100"/>
      <c r="M1037" s="101"/>
    </row>
    <row r="1038" spans="3:13" ht="20" thickBot="1" x14ac:dyDescent="0.25">
      <c r="C1038" s="91"/>
      <c r="D1038" s="168"/>
      <c r="E1038" s="716" t="s">
        <v>435</v>
      </c>
      <c r="F1038" s="811">
        <v>0.5625</v>
      </c>
      <c r="G1038" s="812"/>
      <c r="H1038" s="813"/>
      <c r="I1038" s="769"/>
      <c r="J1038" s="770"/>
      <c r="K1038" s="771"/>
      <c r="L1038" s="107">
        <v>0.79166666666666663</v>
      </c>
      <c r="M1038" s="108">
        <v>0.64583333333333326</v>
      </c>
    </row>
    <row r="1039" spans="3:13" ht="20" thickBot="1" x14ac:dyDescent="0.25">
      <c r="C1039" s="91"/>
      <c r="D1039" s="168"/>
      <c r="E1039" s="717" t="s">
        <v>436</v>
      </c>
      <c r="F1039" s="278" t="s">
        <v>29</v>
      </c>
      <c r="G1039" s="278" t="s">
        <v>28</v>
      </c>
      <c r="H1039" s="279" t="s">
        <v>27</v>
      </c>
      <c r="I1039" s="769"/>
      <c r="J1039" s="770"/>
      <c r="K1039" s="771"/>
      <c r="L1039" s="100"/>
      <c r="M1039" s="101"/>
    </row>
    <row r="1040" spans="3:13" x14ac:dyDescent="0.2">
      <c r="C1040" s="91"/>
      <c r="D1040" s="168"/>
      <c r="E1040" s="718">
        <v>45596</v>
      </c>
      <c r="F1040" s="380" t="s">
        <v>932</v>
      </c>
      <c r="G1040" s="380" t="s">
        <v>941</v>
      </c>
      <c r="H1040" s="380" t="s">
        <v>579</v>
      </c>
      <c r="I1040" s="769"/>
      <c r="J1040" s="770"/>
      <c r="K1040" s="771"/>
      <c r="L1040" s="100"/>
      <c r="M1040" s="101"/>
    </row>
    <row r="1041" spans="3:13" x14ac:dyDescent="0.2">
      <c r="C1041" s="91"/>
      <c r="D1041" s="168"/>
      <c r="E1041" s="718">
        <v>45589</v>
      </c>
      <c r="F1041" s="380" t="s">
        <v>209</v>
      </c>
      <c r="G1041" s="380" t="s">
        <v>896</v>
      </c>
      <c r="H1041" s="380" t="s">
        <v>897</v>
      </c>
      <c r="I1041" s="769"/>
      <c r="J1041" s="770"/>
      <c r="K1041" s="771"/>
      <c r="L1041" s="100"/>
      <c r="M1041" s="101"/>
    </row>
    <row r="1042" spans="3:13" x14ac:dyDescent="0.2">
      <c r="C1042" s="91"/>
      <c r="D1042" s="168"/>
      <c r="E1042" s="718">
        <v>45582</v>
      </c>
      <c r="F1042" s="380" t="s">
        <v>171</v>
      </c>
      <c r="G1042" s="380" t="s">
        <v>898</v>
      </c>
      <c r="H1042" s="380" t="s">
        <v>692</v>
      </c>
      <c r="I1042" s="769"/>
      <c r="J1042" s="770"/>
      <c r="K1042" s="771"/>
      <c r="L1042" s="102"/>
      <c r="M1042" s="101"/>
    </row>
    <row r="1043" spans="3:13" x14ac:dyDescent="0.2">
      <c r="C1043" s="91"/>
      <c r="D1043" s="168"/>
      <c r="E1043" s="718">
        <v>45575</v>
      </c>
      <c r="F1043" s="380" t="s">
        <v>678</v>
      </c>
      <c r="G1043" s="380" t="s">
        <v>580</v>
      </c>
      <c r="H1043" s="380" t="s">
        <v>638</v>
      </c>
      <c r="I1043" s="769"/>
      <c r="J1043" s="770"/>
      <c r="K1043" s="771"/>
      <c r="L1043" s="100"/>
      <c r="M1043" s="101"/>
    </row>
    <row r="1044" spans="3:13" x14ac:dyDescent="0.2">
      <c r="C1044" s="91"/>
      <c r="D1044" s="168"/>
      <c r="E1044" s="718">
        <v>45568</v>
      </c>
      <c r="F1044" s="380" t="s">
        <v>638</v>
      </c>
      <c r="G1044" s="380" t="s">
        <v>734</v>
      </c>
      <c r="H1044" s="380" t="s">
        <v>345</v>
      </c>
      <c r="I1044" s="769"/>
      <c r="J1044" s="770"/>
      <c r="K1044" s="771"/>
      <c r="L1044" s="100"/>
      <c r="M1044" s="101"/>
    </row>
    <row r="1045" spans="3:13" ht="20" thickBot="1" x14ac:dyDescent="0.25">
      <c r="C1045" s="91"/>
      <c r="D1045" s="168"/>
      <c r="E1045" s="718">
        <v>45561</v>
      </c>
      <c r="F1045" s="380" t="s">
        <v>382</v>
      </c>
      <c r="G1045" s="380" t="s">
        <v>574</v>
      </c>
      <c r="H1045" s="380" t="s">
        <v>72</v>
      </c>
      <c r="I1045" s="772"/>
      <c r="J1045" s="773"/>
      <c r="K1045" s="774"/>
      <c r="L1045" s="103"/>
      <c r="M1045" s="104"/>
    </row>
    <row r="1046" spans="3:13" ht="25" thickBot="1" x14ac:dyDescent="0.25">
      <c r="C1046" s="91"/>
      <c r="D1046" s="88" t="s">
        <v>105</v>
      </c>
      <c r="E1046" s="713" t="s">
        <v>30</v>
      </c>
      <c r="F1046" s="814" t="s">
        <v>127</v>
      </c>
      <c r="G1046" s="815"/>
      <c r="H1046" s="816"/>
      <c r="I1046" s="846" t="s">
        <v>633</v>
      </c>
      <c r="J1046" s="847"/>
      <c r="K1046" s="848"/>
      <c r="L1046" s="162" t="s">
        <v>430</v>
      </c>
      <c r="M1046" s="106" t="s">
        <v>431</v>
      </c>
    </row>
    <row r="1047" spans="3:13" x14ac:dyDescent="0.2">
      <c r="C1047" s="91"/>
      <c r="D1047" s="168"/>
      <c r="E1047" s="714" t="s">
        <v>432</v>
      </c>
      <c r="F1047" s="805"/>
      <c r="G1047" s="806"/>
      <c r="H1047" s="807"/>
      <c r="I1047" s="769" t="s">
        <v>934</v>
      </c>
      <c r="J1047" s="770"/>
      <c r="K1047" s="771"/>
      <c r="L1047" s="100"/>
      <c r="M1047" s="101"/>
    </row>
    <row r="1048" spans="3:13" x14ac:dyDescent="0.2">
      <c r="C1048" s="91"/>
      <c r="D1048" s="168"/>
      <c r="E1048" s="715" t="s">
        <v>433</v>
      </c>
      <c r="F1048" s="824">
        <v>4.6199999999999998E-2</v>
      </c>
      <c r="G1048" s="825"/>
      <c r="H1048" s="826"/>
      <c r="I1048" s="769"/>
      <c r="J1048" s="770"/>
      <c r="K1048" s="771"/>
      <c r="L1048" s="100"/>
      <c r="M1048" s="101"/>
    </row>
    <row r="1049" spans="3:13" ht="20" thickBot="1" x14ac:dyDescent="0.25">
      <c r="C1049" s="91"/>
      <c r="D1049" s="168"/>
      <c r="E1049" s="715" t="s">
        <v>434</v>
      </c>
      <c r="F1049" s="824">
        <v>4.8800000000000003E-2</v>
      </c>
      <c r="G1049" s="825"/>
      <c r="H1049" s="826"/>
      <c r="I1049" s="769"/>
      <c r="J1049" s="770"/>
      <c r="K1049" s="771"/>
      <c r="L1049" s="100"/>
      <c r="M1049" s="101"/>
    </row>
    <row r="1050" spans="3:13" ht="20" thickBot="1" x14ac:dyDescent="0.25">
      <c r="C1050" s="91"/>
      <c r="D1050" s="168"/>
      <c r="E1050" s="716" t="s">
        <v>435</v>
      </c>
      <c r="F1050" s="811">
        <v>0.79166666666666663</v>
      </c>
      <c r="G1050" s="812"/>
      <c r="H1050" s="813"/>
      <c r="I1050" s="769"/>
      <c r="J1050" s="770"/>
      <c r="K1050" s="771"/>
      <c r="L1050" s="107">
        <v>2.0833333333333332E-2</v>
      </c>
      <c r="M1050" s="108">
        <v>0.875</v>
      </c>
    </row>
    <row r="1051" spans="3:13" ht="20" thickBot="1" x14ac:dyDescent="0.25">
      <c r="C1051" s="91"/>
      <c r="D1051" s="168"/>
      <c r="E1051" s="717" t="s">
        <v>436</v>
      </c>
      <c r="F1051" s="278" t="s">
        <v>29</v>
      </c>
      <c r="G1051" s="278" t="s">
        <v>28</v>
      </c>
      <c r="H1051" s="279" t="s">
        <v>27</v>
      </c>
      <c r="I1051" s="769"/>
      <c r="J1051" s="770"/>
      <c r="K1051" s="771"/>
      <c r="L1051" s="100"/>
      <c r="M1051" s="215"/>
    </row>
    <row r="1052" spans="3:13" x14ac:dyDescent="0.2">
      <c r="C1052" s="91"/>
      <c r="D1052" s="168"/>
      <c r="E1052" s="718">
        <v>45553</v>
      </c>
      <c r="F1052" s="380">
        <v>0.05</v>
      </c>
      <c r="G1052" s="380" t="s">
        <v>940</v>
      </c>
      <c r="H1052" s="380">
        <v>5.5E-2</v>
      </c>
      <c r="I1052" s="769"/>
      <c r="J1052" s="770"/>
      <c r="K1052" s="771"/>
      <c r="L1052" s="100"/>
      <c r="M1052" s="101"/>
    </row>
    <row r="1053" spans="3:13" x14ac:dyDescent="0.2">
      <c r="C1053" s="91"/>
      <c r="D1053" s="168"/>
      <c r="E1053" s="718">
        <v>45504</v>
      </c>
      <c r="F1053" s="380">
        <v>5.5E-2</v>
      </c>
      <c r="G1053" s="380" t="s">
        <v>942</v>
      </c>
      <c r="H1053" s="380">
        <v>5.5E-2</v>
      </c>
      <c r="I1053" s="769"/>
      <c r="J1053" s="770"/>
      <c r="K1053" s="771"/>
      <c r="L1053" s="100"/>
      <c r="M1053" s="101"/>
    </row>
    <row r="1054" spans="3:13" x14ac:dyDescent="0.2">
      <c r="C1054" s="91"/>
      <c r="D1054" s="168"/>
      <c r="E1054" s="718">
        <v>45455</v>
      </c>
      <c r="F1054" s="380">
        <v>5.5E-2</v>
      </c>
      <c r="G1054" s="380" t="s">
        <v>942</v>
      </c>
      <c r="H1054" s="380">
        <v>5.5E-2</v>
      </c>
      <c r="I1054" s="769"/>
      <c r="J1054" s="770"/>
      <c r="K1054" s="771"/>
      <c r="L1054" s="102"/>
      <c r="M1054" s="101"/>
    </row>
    <row r="1055" spans="3:13" x14ac:dyDescent="0.2">
      <c r="C1055" s="91"/>
      <c r="D1055" s="168"/>
      <c r="E1055" s="718">
        <v>45413</v>
      </c>
      <c r="F1055" s="380">
        <v>5.5E-2</v>
      </c>
      <c r="G1055" s="380" t="s">
        <v>942</v>
      </c>
      <c r="H1055" s="380">
        <v>5.5E-2</v>
      </c>
      <c r="I1055" s="769"/>
      <c r="J1055" s="770"/>
      <c r="K1055" s="771"/>
      <c r="L1055" s="100"/>
      <c r="M1055" s="101"/>
    </row>
    <row r="1056" spans="3:13" x14ac:dyDescent="0.2">
      <c r="C1056" s="91"/>
      <c r="D1056" s="168"/>
      <c r="E1056" s="718">
        <v>45371</v>
      </c>
      <c r="F1056" s="380">
        <v>5.5E-2</v>
      </c>
      <c r="G1056" s="380" t="s">
        <v>942</v>
      </c>
      <c r="H1056" s="380">
        <v>5.5E-2</v>
      </c>
      <c r="I1056" s="769"/>
      <c r="J1056" s="770"/>
      <c r="K1056" s="771"/>
      <c r="L1056" s="100"/>
      <c r="M1056" s="101"/>
    </row>
    <row r="1057" spans="3:13" ht="20" thickBot="1" x14ac:dyDescent="0.25">
      <c r="C1057" s="91"/>
      <c r="D1057" s="168"/>
      <c r="E1057" s="718">
        <v>45322</v>
      </c>
      <c r="F1057" s="380">
        <v>5.5E-2</v>
      </c>
      <c r="G1057" s="380" t="s">
        <v>942</v>
      </c>
      <c r="H1057" s="380">
        <v>5.5E-2</v>
      </c>
      <c r="I1057" s="772"/>
      <c r="J1057" s="773"/>
      <c r="K1057" s="774"/>
      <c r="L1057" s="103"/>
      <c r="M1057" s="104"/>
    </row>
    <row r="1058" spans="3:13" ht="25" thickBot="1" x14ac:dyDescent="0.25">
      <c r="C1058" s="91"/>
      <c r="D1058" s="88" t="s">
        <v>105</v>
      </c>
      <c r="E1058" s="713" t="s">
        <v>30</v>
      </c>
      <c r="F1058" s="814" t="s">
        <v>125</v>
      </c>
      <c r="G1058" s="815"/>
      <c r="H1058" s="816"/>
      <c r="I1058" s="846" t="s">
        <v>633</v>
      </c>
      <c r="J1058" s="847"/>
      <c r="K1058" s="848"/>
      <c r="L1058" s="162" t="s">
        <v>430</v>
      </c>
      <c r="M1058" s="106" t="s">
        <v>431</v>
      </c>
    </row>
    <row r="1059" spans="3:13" x14ac:dyDescent="0.2">
      <c r="C1059" s="91"/>
      <c r="D1059" s="168"/>
      <c r="E1059" s="714" t="s">
        <v>432</v>
      </c>
      <c r="F1059" s="805"/>
      <c r="G1059" s="806"/>
      <c r="H1059" s="807"/>
      <c r="I1059" s="769" t="s">
        <v>935</v>
      </c>
      <c r="J1059" s="770"/>
      <c r="K1059" s="771"/>
      <c r="L1059" s="100"/>
      <c r="M1059" s="101"/>
    </row>
    <row r="1060" spans="3:13" x14ac:dyDescent="0.2">
      <c r="C1060" s="91"/>
      <c r="D1060" s="168"/>
      <c r="E1060" s="715" t="s">
        <v>433</v>
      </c>
      <c r="F1060" s="831">
        <v>0</v>
      </c>
      <c r="G1060" s="832"/>
      <c r="H1060" s="833"/>
      <c r="I1060" s="769"/>
      <c r="J1060" s="770"/>
      <c r="K1060" s="771"/>
      <c r="L1060" s="100"/>
      <c r="M1060" s="101"/>
    </row>
    <row r="1061" spans="3:13" ht="20" thickBot="1" x14ac:dyDescent="0.25">
      <c r="C1061" s="91"/>
      <c r="D1061" s="168"/>
      <c r="E1061" s="715" t="s">
        <v>434</v>
      </c>
      <c r="F1061" s="831">
        <v>0</v>
      </c>
      <c r="G1061" s="832"/>
      <c r="H1061" s="833"/>
      <c r="I1061" s="769"/>
      <c r="J1061" s="770"/>
      <c r="K1061" s="771"/>
      <c r="L1061" s="100"/>
      <c r="M1061" s="101"/>
    </row>
    <row r="1062" spans="3:13" ht="20" thickBot="1" x14ac:dyDescent="0.25">
      <c r="C1062" s="91"/>
      <c r="D1062" s="168"/>
      <c r="E1062" s="716" t="s">
        <v>435</v>
      </c>
      <c r="F1062" s="811">
        <v>0.79166666666666663</v>
      </c>
      <c r="G1062" s="812"/>
      <c r="H1062" s="813"/>
      <c r="I1062" s="769"/>
      <c r="J1062" s="770"/>
      <c r="K1062" s="771"/>
      <c r="L1062" s="107">
        <v>2.0833333333333332E-2</v>
      </c>
      <c r="M1062" s="108">
        <v>0.875</v>
      </c>
    </row>
    <row r="1063" spans="3:13" ht="20" thickBot="1" x14ac:dyDescent="0.25">
      <c r="C1063" s="91"/>
      <c r="D1063" s="168"/>
      <c r="E1063" s="717" t="s">
        <v>436</v>
      </c>
      <c r="F1063" s="278" t="s">
        <v>29</v>
      </c>
      <c r="G1063" s="278" t="s">
        <v>28</v>
      </c>
      <c r="H1063" s="279" t="s">
        <v>27</v>
      </c>
      <c r="I1063" s="769"/>
      <c r="J1063" s="770"/>
      <c r="K1063" s="771"/>
      <c r="L1063" s="100"/>
      <c r="M1063" s="101"/>
    </row>
    <row r="1064" spans="3:13" x14ac:dyDescent="0.2">
      <c r="C1064" s="91"/>
      <c r="D1064" s="168"/>
      <c r="E1064" s="718">
        <v>45553</v>
      </c>
      <c r="F1064" s="283">
        <v>0</v>
      </c>
      <c r="G1064" s="283" t="s">
        <v>754</v>
      </c>
      <c r="H1064" s="283">
        <v>0</v>
      </c>
      <c r="I1064" s="769"/>
      <c r="J1064" s="770"/>
      <c r="K1064" s="771"/>
      <c r="L1064" s="100"/>
      <c r="M1064" s="101"/>
    </row>
    <row r="1065" spans="3:13" x14ac:dyDescent="0.2">
      <c r="C1065" s="91"/>
      <c r="D1065" s="168"/>
      <c r="E1065" s="718">
        <v>45504</v>
      </c>
      <c r="F1065" s="283">
        <v>0</v>
      </c>
      <c r="G1065" s="283" t="s">
        <v>754</v>
      </c>
      <c r="H1065" s="283">
        <v>0</v>
      </c>
      <c r="I1065" s="769"/>
      <c r="J1065" s="770"/>
      <c r="K1065" s="771"/>
      <c r="L1065" s="100"/>
      <c r="M1065" s="101"/>
    </row>
    <row r="1066" spans="3:13" x14ac:dyDescent="0.2">
      <c r="C1066" s="91"/>
      <c r="D1066" s="168"/>
      <c r="E1066" s="718">
        <v>45455</v>
      </c>
      <c r="F1066" s="283">
        <v>0</v>
      </c>
      <c r="G1066" s="283" t="s">
        <v>754</v>
      </c>
      <c r="H1066" s="283">
        <v>0</v>
      </c>
      <c r="I1066" s="769"/>
      <c r="J1066" s="770"/>
      <c r="K1066" s="771"/>
      <c r="L1066" s="102"/>
      <c r="M1066" s="101"/>
    </row>
    <row r="1067" spans="3:13" x14ac:dyDescent="0.2">
      <c r="C1067" s="91"/>
      <c r="D1067" s="168"/>
      <c r="E1067" s="718">
        <v>45413</v>
      </c>
      <c r="F1067" s="283">
        <v>0</v>
      </c>
      <c r="G1067" s="283" t="s">
        <v>754</v>
      </c>
      <c r="H1067" s="283">
        <v>0</v>
      </c>
      <c r="I1067" s="769"/>
      <c r="J1067" s="770"/>
      <c r="K1067" s="771"/>
      <c r="L1067" s="100"/>
      <c r="M1067" s="101"/>
    </row>
    <row r="1068" spans="3:13" x14ac:dyDescent="0.2">
      <c r="C1068" s="91"/>
      <c r="D1068" s="168"/>
      <c r="E1068" s="718">
        <v>45371</v>
      </c>
      <c r="F1068" s="283">
        <v>0</v>
      </c>
      <c r="G1068" s="283" t="s">
        <v>754</v>
      </c>
      <c r="H1068" s="283">
        <v>0</v>
      </c>
      <c r="I1068" s="769"/>
      <c r="J1068" s="770"/>
      <c r="K1068" s="771"/>
      <c r="L1068" s="100"/>
      <c r="M1068" s="101"/>
    </row>
    <row r="1069" spans="3:13" thickBot="1" x14ac:dyDescent="0.25">
      <c r="C1069" s="91"/>
      <c r="D1069" s="168"/>
      <c r="E1069" s="718">
        <v>45322</v>
      </c>
      <c r="F1069" s="283">
        <v>0</v>
      </c>
      <c r="G1069" s="283">
        <v>0</v>
      </c>
      <c r="H1069" s="283">
        <v>0</v>
      </c>
      <c r="I1069" s="772"/>
      <c r="J1069" s="773"/>
      <c r="K1069" s="774"/>
      <c r="L1069" s="103"/>
      <c r="M1069" s="104"/>
    </row>
    <row r="1070" spans="3:13" ht="25" thickBot="1" x14ac:dyDescent="0.25">
      <c r="C1070" s="91"/>
      <c r="D1070" s="88" t="s">
        <v>105</v>
      </c>
      <c r="E1070" s="713" t="s">
        <v>30</v>
      </c>
      <c r="F1070" s="814" t="s">
        <v>129</v>
      </c>
      <c r="G1070" s="815"/>
      <c r="H1070" s="816"/>
      <c r="I1070" s="846" t="s">
        <v>633</v>
      </c>
      <c r="J1070" s="847"/>
      <c r="K1070" s="848"/>
      <c r="L1070" s="162" t="s">
        <v>430</v>
      </c>
      <c r="M1070" s="106" t="s">
        <v>431</v>
      </c>
    </row>
    <row r="1071" spans="3:13" x14ac:dyDescent="0.2">
      <c r="C1071" s="91"/>
      <c r="D1071" s="168"/>
      <c r="E1071" s="714" t="s">
        <v>432</v>
      </c>
      <c r="F1071" s="805"/>
      <c r="G1071" s="806"/>
      <c r="H1071" s="807"/>
      <c r="I1071" s="769" t="s">
        <v>936</v>
      </c>
      <c r="J1071" s="770"/>
      <c r="K1071" s="771"/>
      <c r="L1071" s="100"/>
      <c r="M1071" s="101"/>
    </row>
    <row r="1072" spans="3:13" x14ac:dyDescent="0.2">
      <c r="C1072" s="91"/>
      <c r="D1072" s="168"/>
      <c r="E1072" s="715" t="s">
        <v>433</v>
      </c>
      <c r="F1072" s="831">
        <v>0</v>
      </c>
      <c r="G1072" s="832"/>
      <c r="H1072" s="833"/>
      <c r="I1072" s="769"/>
      <c r="J1072" s="770"/>
      <c r="K1072" s="771"/>
      <c r="L1072" s="100"/>
      <c r="M1072" s="101"/>
    </row>
    <row r="1073" spans="3:13" ht="20" thickBot="1" x14ac:dyDescent="0.25">
      <c r="C1073" s="91"/>
      <c r="D1073" s="168"/>
      <c r="E1073" s="715" t="s">
        <v>434</v>
      </c>
      <c r="F1073" s="831">
        <v>0</v>
      </c>
      <c r="G1073" s="832"/>
      <c r="H1073" s="833"/>
      <c r="I1073" s="769"/>
      <c r="J1073" s="770"/>
      <c r="K1073" s="771"/>
      <c r="L1073" s="100"/>
      <c r="M1073" s="101"/>
    </row>
    <row r="1074" spans="3:13" ht="20" thickBot="1" x14ac:dyDescent="0.25">
      <c r="C1074" s="91"/>
      <c r="D1074" s="168"/>
      <c r="E1074" s="716" t="s">
        <v>435</v>
      </c>
      <c r="F1074" s="811">
        <v>0.8125</v>
      </c>
      <c r="G1074" s="812"/>
      <c r="H1074" s="813"/>
      <c r="I1074" s="769"/>
      <c r="J1074" s="770"/>
      <c r="K1074" s="771"/>
      <c r="L1074" s="107">
        <v>4.1666666666666664E-2</v>
      </c>
      <c r="M1074" s="108">
        <v>0.89583333333333337</v>
      </c>
    </row>
    <row r="1075" spans="3:13" ht="20" thickBot="1" x14ac:dyDescent="0.25">
      <c r="C1075" s="91"/>
      <c r="D1075" s="168"/>
      <c r="E1075" s="717" t="s">
        <v>436</v>
      </c>
      <c r="F1075" s="278" t="s">
        <v>29</v>
      </c>
      <c r="G1075" s="278" t="s">
        <v>28</v>
      </c>
      <c r="H1075" s="279" t="s">
        <v>27</v>
      </c>
      <c r="I1075" s="769"/>
      <c r="J1075" s="770"/>
      <c r="K1075" s="771"/>
      <c r="L1075" s="100"/>
      <c r="M1075" s="101"/>
    </row>
    <row r="1076" spans="3:13" x14ac:dyDescent="0.2">
      <c r="C1076" s="91"/>
      <c r="D1076" s="168"/>
      <c r="E1076" s="718">
        <v>45553</v>
      </c>
      <c r="F1076" s="283">
        <v>0</v>
      </c>
      <c r="G1076" s="283" t="s">
        <v>754</v>
      </c>
      <c r="H1076" s="283">
        <v>0</v>
      </c>
      <c r="I1076" s="769"/>
      <c r="J1076" s="770"/>
      <c r="K1076" s="771"/>
      <c r="L1076" s="100"/>
      <c r="M1076" s="101"/>
    </row>
    <row r="1077" spans="3:13" x14ac:dyDescent="0.2">
      <c r="C1077" s="91"/>
      <c r="D1077" s="168"/>
      <c r="E1077" s="718">
        <v>45504</v>
      </c>
      <c r="F1077" s="283">
        <v>0</v>
      </c>
      <c r="G1077" s="283" t="s">
        <v>754</v>
      </c>
      <c r="H1077" s="283">
        <v>0</v>
      </c>
      <c r="I1077" s="769"/>
      <c r="J1077" s="770"/>
      <c r="K1077" s="771"/>
      <c r="L1077" s="100"/>
      <c r="M1077" s="101"/>
    </row>
    <row r="1078" spans="3:13" x14ac:dyDescent="0.2">
      <c r="C1078" s="91"/>
      <c r="D1078" s="168"/>
      <c r="E1078" s="718">
        <v>45455</v>
      </c>
      <c r="F1078" s="283">
        <v>0</v>
      </c>
      <c r="G1078" s="283" t="s">
        <v>754</v>
      </c>
      <c r="H1078" s="283">
        <v>0</v>
      </c>
      <c r="I1078" s="769"/>
      <c r="J1078" s="770"/>
      <c r="K1078" s="771"/>
      <c r="L1078" s="102"/>
      <c r="M1078" s="101"/>
    </row>
    <row r="1079" spans="3:13" x14ac:dyDescent="0.2">
      <c r="C1079" s="91"/>
      <c r="D1079" s="168"/>
      <c r="E1079" s="718">
        <v>45413</v>
      </c>
      <c r="F1079" s="283">
        <v>0</v>
      </c>
      <c r="G1079" s="283" t="s">
        <v>754</v>
      </c>
      <c r="H1079" s="283">
        <v>0</v>
      </c>
      <c r="I1079" s="769"/>
      <c r="J1079" s="770"/>
      <c r="K1079" s="771"/>
      <c r="L1079" s="100"/>
      <c r="M1079" s="101"/>
    </row>
    <row r="1080" spans="3:13" x14ac:dyDescent="0.2">
      <c r="C1080" s="91"/>
      <c r="D1080" s="168"/>
      <c r="E1080" s="718">
        <v>45371</v>
      </c>
      <c r="F1080" s="283">
        <v>0</v>
      </c>
      <c r="G1080" s="283" t="s">
        <v>754</v>
      </c>
      <c r="H1080" s="283">
        <v>0</v>
      </c>
      <c r="I1080" s="769"/>
      <c r="J1080" s="770"/>
      <c r="K1080" s="771"/>
      <c r="L1080" s="100"/>
      <c r="M1080" s="101"/>
    </row>
    <row r="1081" spans="3:13" ht="20" thickBot="1" x14ac:dyDescent="0.25">
      <c r="C1081" s="91"/>
      <c r="D1081" s="168"/>
      <c r="E1081" s="722">
        <v>45322</v>
      </c>
      <c r="F1081" s="723">
        <v>0</v>
      </c>
      <c r="G1081" s="723" t="s">
        <v>754</v>
      </c>
      <c r="H1081" s="723">
        <v>0</v>
      </c>
      <c r="I1081" s="772"/>
      <c r="J1081" s="773"/>
      <c r="K1081" s="774"/>
      <c r="L1081" s="103"/>
      <c r="M1081" s="104"/>
    </row>
    <row r="1082" spans="3:13" ht="25" thickBot="1" x14ac:dyDescent="0.25">
      <c r="C1082" s="91" t="s">
        <v>105</v>
      </c>
      <c r="D1082" s="91" t="s">
        <v>105</v>
      </c>
      <c r="E1082" s="713" t="s">
        <v>30</v>
      </c>
      <c r="F1082" s="814" t="s">
        <v>948</v>
      </c>
      <c r="G1082" s="815"/>
      <c r="H1082" s="816"/>
      <c r="I1082" s="846" t="s">
        <v>633</v>
      </c>
      <c r="J1082" s="847"/>
      <c r="K1082" s="848"/>
      <c r="L1082" s="162" t="s">
        <v>430</v>
      </c>
      <c r="M1082" s="106" t="s">
        <v>431</v>
      </c>
    </row>
    <row r="1083" spans="3:13" x14ac:dyDescent="0.2">
      <c r="E1083" s="714" t="s">
        <v>432</v>
      </c>
      <c r="F1083" s="805"/>
      <c r="G1083" s="806"/>
      <c r="H1083" s="807"/>
      <c r="I1083" s="769" t="s">
        <v>949</v>
      </c>
      <c r="J1083" s="770"/>
      <c r="K1083" s="771"/>
      <c r="L1083" s="100"/>
      <c r="M1083" s="101"/>
    </row>
    <row r="1084" spans="3:13" x14ac:dyDescent="0.2">
      <c r="E1084" s="715" t="s">
        <v>433</v>
      </c>
      <c r="F1084" s="824">
        <v>4.0000000000000001E-3</v>
      </c>
      <c r="G1084" s="825"/>
      <c r="H1084" s="826"/>
      <c r="I1084" s="769"/>
      <c r="J1084" s="770"/>
      <c r="K1084" s="771"/>
      <c r="L1084" s="100"/>
      <c r="M1084" s="101"/>
    </row>
    <row r="1085" spans="3:13" ht="20" thickBot="1" x14ac:dyDescent="0.25">
      <c r="E1085" s="715" t="s">
        <v>434</v>
      </c>
      <c r="F1085" s="824">
        <v>0</v>
      </c>
      <c r="G1085" s="825"/>
      <c r="H1085" s="826"/>
      <c r="I1085" s="769"/>
      <c r="J1085" s="770"/>
      <c r="K1085" s="771"/>
      <c r="L1085" s="100"/>
      <c r="M1085" s="101"/>
    </row>
    <row r="1086" spans="3:13" ht="20" thickBot="1" x14ac:dyDescent="0.25">
      <c r="E1086" s="716" t="s">
        <v>435</v>
      </c>
      <c r="F1086" s="811">
        <v>0.29166666666666674</v>
      </c>
      <c r="G1086" s="812"/>
      <c r="H1086" s="813"/>
      <c r="I1086" s="769"/>
      <c r="J1086" s="770"/>
      <c r="K1086" s="771"/>
      <c r="L1086" s="107">
        <v>0.52083333333333337</v>
      </c>
      <c r="M1086" s="108">
        <v>0.375</v>
      </c>
    </row>
    <row r="1087" spans="3:13" ht="20" thickBot="1" x14ac:dyDescent="0.25">
      <c r="E1087" s="717" t="s">
        <v>436</v>
      </c>
      <c r="F1087" s="278" t="s">
        <v>29</v>
      </c>
      <c r="G1087" s="278" t="s">
        <v>28</v>
      </c>
      <c r="H1087" s="279" t="s">
        <v>27</v>
      </c>
      <c r="I1087" s="769"/>
      <c r="J1087" s="770"/>
      <c r="K1087" s="771"/>
      <c r="L1087" s="100"/>
      <c r="M1087" s="101"/>
    </row>
    <row r="1088" spans="3:13" x14ac:dyDescent="0.2">
      <c r="E1088" s="718">
        <v>45595</v>
      </c>
      <c r="F1088" s="385">
        <v>4.0000000000000001E-3</v>
      </c>
      <c r="G1088" s="385" t="s">
        <v>460</v>
      </c>
      <c r="H1088" s="385">
        <v>0</v>
      </c>
      <c r="I1088" s="769"/>
      <c r="J1088" s="770"/>
      <c r="K1088" s="771"/>
      <c r="L1088" s="100"/>
      <c r="M1088" s="101"/>
    </row>
    <row r="1089" spans="4:13" x14ac:dyDescent="0.2">
      <c r="E1089" s="718">
        <v>45576</v>
      </c>
      <c r="F1089" s="385">
        <v>0</v>
      </c>
      <c r="G1089" s="385" t="s">
        <v>458</v>
      </c>
      <c r="H1089" s="385">
        <v>-1E-3</v>
      </c>
      <c r="I1089" s="769"/>
      <c r="J1089" s="770"/>
      <c r="K1089" s="771"/>
      <c r="L1089" s="100"/>
      <c r="M1089" s="101"/>
    </row>
    <row r="1090" spans="4:13" x14ac:dyDescent="0.2">
      <c r="E1090" s="718">
        <v>45565</v>
      </c>
      <c r="F1090" s="385">
        <v>0</v>
      </c>
      <c r="G1090" s="385" t="s">
        <v>462</v>
      </c>
      <c r="H1090" s="385">
        <v>-1E-3</v>
      </c>
      <c r="I1090" s="769"/>
      <c r="J1090" s="770"/>
      <c r="K1090" s="771"/>
      <c r="L1090" s="102"/>
      <c r="M1090" s="101"/>
    </row>
    <row r="1091" spans="4:13" x14ac:dyDescent="0.2">
      <c r="E1091" s="718">
        <v>45545</v>
      </c>
      <c r="F1091" s="385">
        <v>-1E-3</v>
      </c>
      <c r="G1091" s="385" t="s">
        <v>456</v>
      </c>
      <c r="H1091" s="385">
        <v>3.0000000000000001E-3</v>
      </c>
      <c r="I1091" s="769"/>
      <c r="J1091" s="770"/>
      <c r="K1091" s="771"/>
      <c r="L1091" s="100"/>
      <c r="M1091" s="101"/>
    </row>
    <row r="1092" spans="4:13" x14ac:dyDescent="0.2">
      <c r="E1092" s="718">
        <v>45533</v>
      </c>
      <c r="F1092" s="385">
        <v>-1E-3</v>
      </c>
      <c r="G1092" s="385" t="s">
        <v>458</v>
      </c>
      <c r="H1092" s="385">
        <v>3.0000000000000001E-3</v>
      </c>
      <c r="I1092" s="769"/>
      <c r="J1092" s="770"/>
      <c r="K1092" s="771"/>
      <c r="L1092" s="100"/>
      <c r="M1092" s="101"/>
    </row>
    <row r="1093" spans="4:13" ht="20" thickBot="1" x14ac:dyDescent="0.25">
      <c r="E1093" s="718">
        <v>45513</v>
      </c>
      <c r="F1093" s="385">
        <v>3.0000000000000001E-3</v>
      </c>
      <c r="G1093" s="385" t="s">
        <v>467</v>
      </c>
      <c r="H1093" s="385">
        <v>1E-3</v>
      </c>
      <c r="I1093" s="772"/>
      <c r="J1093" s="773"/>
      <c r="K1093" s="774"/>
      <c r="L1093" s="103"/>
      <c r="M1093" s="104"/>
    </row>
    <row r="1094" spans="4:13" ht="25" thickBot="1" x14ac:dyDescent="0.25">
      <c r="D1094" t="s">
        <v>105</v>
      </c>
      <c r="E1094" s="713" t="s">
        <v>30</v>
      </c>
      <c r="F1094" s="814" t="s">
        <v>950</v>
      </c>
      <c r="G1094" s="815"/>
      <c r="H1094" s="816"/>
      <c r="I1094" s="846" t="s">
        <v>633</v>
      </c>
      <c r="J1094" s="847"/>
      <c r="K1094" s="848"/>
      <c r="L1094" s="162" t="s">
        <v>430</v>
      </c>
      <c r="M1094" s="106" t="s">
        <v>431</v>
      </c>
    </row>
    <row r="1095" spans="4:13" x14ac:dyDescent="0.2">
      <c r="E1095" s="714" t="s">
        <v>432</v>
      </c>
      <c r="F1095" s="805"/>
      <c r="G1095" s="806"/>
      <c r="H1095" s="807"/>
      <c r="I1095" s="769" t="s">
        <v>951</v>
      </c>
      <c r="J1095" s="770"/>
      <c r="K1095" s="771"/>
      <c r="L1095" s="100"/>
      <c r="M1095" s="101"/>
    </row>
    <row r="1096" spans="4:13" x14ac:dyDescent="0.2">
      <c r="E1096" s="715" t="s">
        <v>433</v>
      </c>
      <c r="F1096" s="824">
        <v>3.0000000000000001E-3</v>
      </c>
      <c r="G1096" s="825"/>
      <c r="H1096" s="826"/>
      <c r="I1096" s="769"/>
      <c r="J1096" s="770"/>
      <c r="K1096" s="771"/>
      <c r="L1096" s="100"/>
      <c r="M1096" s="101"/>
    </row>
    <row r="1097" spans="4:13" ht="20" thickBot="1" x14ac:dyDescent="0.25">
      <c r="E1097" s="715" t="s">
        <v>434</v>
      </c>
      <c r="F1097" s="824">
        <v>3.0000000000000001E-3</v>
      </c>
      <c r="G1097" s="825"/>
      <c r="H1097" s="826"/>
      <c r="I1097" s="769"/>
      <c r="J1097" s="770"/>
      <c r="K1097" s="771"/>
      <c r="L1097" s="100"/>
      <c r="M1097" s="101"/>
    </row>
    <row r="1098" spans="4:13" ht="20" thickBot="1" x14ac:dyDescent="0.25">
      <c r="E1098" s="716" t="s">
        <v>435</v>
      </c>
      <c r="F1098" s="811">
        <v>0.5625</v>
      </c>
      <c r="G1098" s="812"/>
      <c r="H1098" s="813"/>
      <c r="I1098" s="769"/>
      <c r="J1098" s="770"/>
      <c r="K1098" s="771"/>
      <c r="L1098" s="107">
        <v>0.79166666666666663</v>
      </c>
      <c r="M1098" s="108">
        <v>0.64583333333333326</v>
      </c>
    </row>
    <row r="1099" spans="4:13" ht="20" thickBot="1" x14ac:dyDescent="0.25">
      <c r="E1099" s="717" t="s">
        <v>436</v>
      </c>
      <c r="F1099" s="278" t="s">
        <v>29</v>
      </c>
      <c r="G1099" s="278" t="s">
        <v>28</v>
      </c>
      <c r="H1099" s="279" t="s">
        <v>27</v>
      </c>
      <c r="I1099" s="769"/>
      <c r="J1099" s="770"/>
      <c r="K1099" s="771"/>
      <c r="L1099" s="100"/>
      <c r="M1099" s="101"/>
    </row>
    <row r="1100" spans="4:13" x14ac:dyDescent="0.2">
      <c r="E1100" s="718">
        <v>45575</v>
      </c>
      <c r="F1100" s="385">
        <v>3.0000000000000001E-3</v>
      </c>
      <c r="G1100" s="385" t="s">
        <v>460</v>
      </c>
      <c r="H1100" s="385">
        <v>3.0000000000000001E-3</v>
      </c>
      <c r="I1100" s="769"/>
      <c r="J1100" s="770"/>
      <c r="K1100" s="771"/>
      <c r="L1100" s="100"/>
      <c r="M1100" s="101"/>
    </row>
    <row r="1101" spans="4:13" x14ac:dyDescent="0.2">
      <c r="E1101" s="718">
        <v>45546</v>
      </c>
      <c r="F1101" s="385">
        <v>3.0000000000000001E-3</v>
      </c>
      <c r="G1101" s="385" t="s">
        <v>460</v>
      </c>
      <c r="H1101" s="385">
        <v>2E-3</v>
      </c>
      <c r="I1101" s="769"/>
      <c r="J1101" s="770"/>
      <c r="K1101" s="771"/>
      <c r="L1101" s="100"/>
      <c r="M1101" s="101"/>
    </row>
    <row r="1102" spans="4:13" x14ac:dyDescent="0.2">
      <c r="E1102" s="718">
        <v>45518</v>
      </c>
      <c r="F1102" s="385">
        <v>2E-3</v>
      </c>
      <c r="G1102" s="385" t="s">
        <v>460</v>
      </c>
      <c r="H1102" s="385">
        <v>1E-3</v>
      </c>
      <c r="I1102" s="769"/>
      <c r="J1102" s="770"/>
      <c r="K1102" s="771"/>
      <c r="L1102" s="102"/>
      <c r="M1102" s="101"/>
    </row>
    <row r="1103" spans="4:13" x14ac:dyDescent="0.2">
      <c r="E1103" s="718">
        <v>45484</v>
      </c>
      <c r="F1103" s="385">
        <v>1E-3</v>
      </c>
      <c r="G1103" s="385" t="s">
        <v>460</v>
      </c>
      <c r="H1103" s="385">
        <v>2E-3</v>
      </c>
      <c r="I1103" s="769"/>
      <c r="J1103" s="770"/>
      <c r="K1103" s="771"/>
      <c r="L1103" s="100"/>
      <c r="M1103" s="101"/>
    </row>
    <row r="1104" spans="4:13" x14ac:dyDescent="0.2">
      <c r="E1104" s="718">
        <v>45455</v>
      </c>
      <c r="F1104" s="385">
        <v>2E-3</v>
      </c>
      <c r="G1104" s="385" t="s">
        <v>467</v>
      </c>
      <c r="H1104" s="385">
        <v>3.0000000000000001E-3</v>
      </c>
      <c r="I1104" s="769"/>
      <c r="J1104" s="770"/>
      <c r="K1104" s="771"/>
      <c r="L1104" s="100"/>
      <c r="M1104" s="101"/>
    </row>
    <row r="1105" spans="4:13" ht="20" thickBot="1" x14ac:dyDescent="0.25">
      <c r="E1105" s="718">
        <v>45427</v>
      </c>
      <c r="F1105" s="385">
        <v>3.0000000000000001E-3</v>
      </c>
      <c r="G1105" s="385" t="s">
        <v>467</v>
      </c>
      <c r="H1105" s="385">
        <v>4.0000000000000001E-3</v>
      </c>
      <c r="I1105" s="772"/>
      <c r="J1105" s="773"/>
      <c r="K1105" s="774"/>
      <c r="L1105" s="103"/>
      <c r="M1105" s="104"/>
    </row>
    <row r="1106" spans="4:13" ht="25" thickBot="1" x14ac:dyDescent="0.25">
      <c r="D1106" t="s">
        <v>105</v>
      </c>
      <c r="E1106" s="713" t="s">
        <v>30</v>
      </c>
      <c r="F1106" s="814" t="s">
        <v>952</v>
      </c>
      <c r="G1106" s="815"/>
      <c r="H1106" s="816"/>
      <c r="I1106" s="846" t="s">
        <v>633</v>
      </c>
      <c r="J1106" s="847"/>
      <c r="K1106" s="848"/>
      <c r="L1106" s="162" t="s">
        <v>430</v>
      </c>
      <c r="M1106" s="106" t="s">
        <v>431</v>
      </c>
    </row>
    <row r="1107" spans="4:13" x14ac:dyDescent="0.2">
      <c r="E1107" s="714" t="s">
        <v>432</v>
      </c>
      <c r="F1107" s="805"/>
      <c r="G1107" s="806"/>
      <c r="H1107" s="807"/>
      <c r="I1107" s="769" t="s">
        <v>953</v>
      </c>
      <c r="J1107" s="770"/>
      <c r="K1107" s="771"/>
      <c r="L1107" s="100"/>
      <c r="M1107" s="101"/>
    </row>
    <row r="1108" spans="4:13" x14ac:dyDescent="0.2">
      <c r="E1108" s="715" t="s">
        <v>433</v>
      </c>
      <c r="F1108" s="824">
        <v>2.4E-2</v>
      </c>
      <c r="G1108" s="825"/>
      <c r="H1108" s="826"/>
      <c r="I1108" s="769"/>
      <c r="J1108" s="770"/>
      <c r="K1108" s="771"/>
      <c r="L1108" s="100"/>
      <c r="M1108" s="101"/>
    </row>
    <row r="1109" spans="4:13" ht="20" thickBot="1" x14ac:dyDescent="0.25">
      <c r="E1109" s="715" t="s">
        <v>434</v>
      </c>
      <c r="F1109" s="824">
        <v>2.4E-2</v>
      </c>
      <c r="G1109" s="825"/>
      <c r="H1109" s="826"/>
      <c r="I1109" s="769"/>
      <c r="J1109" s="770"/>
      <c r="K1109" s="771"/>
      <c r="L1109" s="100"/>
      <c r="M1109" s="101"/>
    </row>
    <row r="1110" spans="4:13" ht="20" thickBot="1" x14ac:dyDescent="0.25">
      <c r="E1110" s="716" t="s">
        <v>435</v>
      </c>
      <c r="F1110" s="811">
        <v>0.5625</v>
      </c>
      <c r="G1110" s="812"/>
      <c r="H1110" s="813"/>
      <c r="I1110" s="769"/>
      <c r="J1110" s="770"/>
      <c r="K1110" s="771"/>
      <c r="L1110" s="107">
        <v>0.79166666666666663</v>
      </c>
      <c r="M1110" s="108">
        <v>0.64583333333333326</v>
      </c>
    </row>
    <row r="1111" spans="4:13" ht="20" thickBot="1" x14ac:dyDescent="0.25">
      <c r="E1111" s="717" t="s">
        <v>436</v>
      </c>
      <c r="F1111" s="278" t="s">
        <v>29</v>
      </c>
      <c r="G1111" s="278" t="s">
        <v>28</v>
      </c>
      <c r="H1111" s="279" t="s">
        <v>27</v>
      </c>
      <c r="I1111" s="769"/>
      <c r="J1111" s="770"/>
      <c r="K1111" s="771"/>
      <c r="L1111" s="100"/>
      <c r="M1111" s="101"/>
    </row>
    <row r="1112" spans="4:13" x14ac:dyDescent="0.2">
      <c r="E1112" s="718">
        <v>45575</v>
      </c>
      <c r="F1112" s="385">
        <v>2.4E-2</v>
      </c>
      <c r="G1112" s="385" t="s">
        <v>971</v>
      </c>
      <c r="H1112" s="385">
        <v>2.5000000000000001E-2</v>
      </c>
      <c r="I1112" s="769"/>
      <c r="J1112" s="770"/>
      <c r="K1112" s="771"/>
      <c r="L1112" s="100"/>
      <c r="M1112" s="101"/>
    </row>
    <row r="1113" spans="4:13" x14ac:dyDescent="0.2">
      <c r="E1113" s="718">
        <v>45546</v>
      </c>
      <c r="F1113" s="385">
        <v>2.5000000000000001E-2</v>
      </c>
      <c r="G1113" s="385" t="s">
        <v>495</v>
      </c>
      <c r="H1113" s="385">
        <v>2.9000000000000001E-2</v>
      </c>
      <c r="I1113" s="769"/>
      <c r="J1113" s="770"/>
      <c r="K1113" s="771"/>
      <c r="L1113" s="100"/>
      <c r="M1113" s="101"/>
    </row>
    <row r="1114" spans="4:13" x14ac:dyDescent="0.2">
      <c r="E1114" s="718">
        <v>45518</v>
      </c>
      <c r="F1114" s="385">
        <v>2.9000000000000001E-2</v>
      </c>
      <c r="G1114" s="385" t="s">
        <v>669</v>
      </c>
      <c r="H1114" s="385">
        <v>0.03</v>
      </c>
      <c r="I1114" s="769"/>
      <c r="J1114" s="770"/>
      <c r="K1114" s="771"/>
      <c r="L1114" s="102"/>
      <c r="M1114" s="101"/>
    </row>
    <row r="1115" spans="4:13" x14ac:dyDescent="0.2">
      <c r="E1115" s="718">
        <v>45484</v>
      </c>
      <c r="F1115" s="385">
        <v>0.03</v>
      </c>
      <c r="G1115" s="385" t="s">
        <v>668</v>
      </c>
      <c r="H1115" s="385">
        <v>3.3000000000000002E-2</v>
      </c>
      <c r="I1115" s="769"/>
      <c r="J1115" s="770"/>
      <c r="K1115" s="771"/>
      <c r="L1115" s="100"/>
      <c r="M1115" s="101"/>
    </row>
    <row r="1116" spans="4:13" x14ac:dyDescent="0.2">
      <c r="E1116" s="718">
        <v>45455</v>
      </c>
      <c r="F1116" s="385">
        <v>3.3000000000000002E-2</v>
      </c>
      <c r="G1116" s="385" t="s">
        <v>882</v>
      </c>
      <c r="H1116" s="385">
        <v>3.4000000000000002E-2</v>
      </c>
      <c r="I1116" s="769"/>
      <c r="J1116" s="770"/>
      <c r="K1116" s="771"/>
      <c r="L1116" s="100"/>
      <c r="M1116" s="101"/>
    </row>
    <row r="1117" spans="4:13" ht="20" thickBot="1" x14ac:dyDescent="0.25">
      <c r="E1117" s="718">
        <v>45427</v>
      </c>
      <c r="F1117" s="385">
        <v>3.4000000000000002E-2</v>
      </c>
      <c r="G1117" s="385" t="s">
        <v>882</v>
      </c>
      <c r="H1117" s="385">
        <v>3.5000000000000003E-2</v>
      </c>
      <c r="I1117" s="772"/>
      <c r="J1117" s="773"/>
      <c r="K1117" s="774"/>
      <c r="L1117" s="103"/>
      <c r="M1117" s="104"/>
    </row>
    <row r="1118" spans="4:13" ht="25" thickBot="1" x14ac:dyDescent="0.25">
      <c r="D1118" t="s">
        <v>105</v>
      </c>
      <c r="E1118" s="713" t="s">
        <v>30</v>
      </c>
      <c r="F1118" s="814" t="s">
        <v>954</v>
      </c>
      <c r="G1118" s="815"/>
      <c r="H1118" s="816"/>
      <c r="I1118" s="846" t="s">
        <v>633</v>
      </c>
      <c r="J1118" s="847"/>
      <c r="K1118" s="848"/>
      <c r="L1118" s="162" t="s">
        <v>430</v>
      </c>
      <c r="M1118" s="106" t="s">
        <v>431</v>
      </c>
    </row>
    <row r="1119" spans="4:13" x14ac:dyDescent="0.2">
      <c r="E1119" s="714" t="s">
        <v>432</v>
      </c>
      <c r="F1119" s="805"/>
      <c r="G1119" s="806"/>
      <c r="H1119" s="807"/>
      <c r="I1119" s="769" t="s">
        <v>953</v>
      </c>
      <c r="J1119" s="770"/>
      <c r="K1119" s="771"/>
      <c r="L1119" s="100"/>
      <c r="M1119" s="101"/>
    </row>
    <row r="1120" spans="4:13" x14ac:dyDescent="0.2">
      <c r="E1120" s="715" t="s">
        <v>433</v>
      </c>
      <c r="F1120" s="824">
        <v>2E-3</v>
      </c>
      <c r="G1120" s="825"/>
      <c r="H1120" s="826"/>
      <c r="I1120" s="769"/>
      <c r="J1120" s="770"/>
      <c r="K1120" s="771"/>
      <c r="L1120" s="100"/>
      <c r="M1120" s="101"/>
    </row>
    <row r="1121" spans="4:13" ht="20" thickBot="1" x14ac:dyDescent="0.25">
      <c r="E1121" s="715" t="s">
        <v>434</v>
      </c>
      <c r="F1121" s="824">
        <v>2E-3</v>
      </c>
      <c r="G1121" s="825"/>
      <c r="H1121" s="826"/>
      <c r="I1121" s="769"/>
      <c r="J1121" s="770"/>
      <c r="K1121" s="771"/>
      <c r="L1121" s="100"/>
      <c r="M1121" s="101"/>
    </row>
    <row r="1122" spans="4:13" ht="20" thickBot="1" x14ac:dyDescent="0.25">
      <c r="E1122" s="716" t="s">
        <v>435</v>
      </c>
      <c r="F1122" s="811">
        <v>0.5625</v>
      </c>
      <c r="G1122" s="812"/>
      <c r="H1122" s="813"/>
      <c r="I1122" s="769"/>
      <c r="J1122" s="770"/>
      <c r="K1122" s="771"/>
      <c r="L1122" s="107">
        <v>0.79166666666666663</v>
      </c>
      <c r="M1122" s="108">
        <v>0.64583333333333326</v>
      </c>
    </row>
    <row r="1123" spans="4:13" ht="20" thickBot="1" x14ac:dyDescent="0.25">
      <c r="E1123" s="717" t="s">
        <v>436</v>
      </c>
      <c r="F1123" s="278" t="s">
        <v>29</v>
      </c>
      <c r="G1123" s="278" t="s">
        <v>28</v>
      </c>
      <c r="H1123" s="279" t="s">
        <v>27</v>
      </c>
      <c r="I1123" s="769"/>
      <c r="J1123" s="770"/>
      <c r="K1123" s="771"/>
      <c r="L1123" s="100"/>
      <c r="M1123" s="101"/>
    </row>
    <row r="1124" spans="4:13" x14ac:dyDescent="0.2">
      <c r="E1124" s="718">
        <v>45575</v>
      </c>
      <c r="F1124" s="385">
        <v>2E-3</v>
      </c>
      <c r="G1124" s="385" t="s">
        <v>462</v>
      </c>
      <c r="H1124" s="385">
        <v>2E-3</v>
      </c>
      <c r="I1124" s="769"/>
      <c r="J1124" s="770"/>
      <c r="K1124" s="771"/>
      <c r="L1124" s="100"/>
      <c r="M1124" s="101"/>
    </row>
    <row r="1125" spans="4:13" x14ac:dyDescent="0.2">
      <c r="E1125" s="718">
        <v>45546</v>
      </c>
      <c r="F1125" s="385">
        <v>2E-3</v>
      </c>
      <c r="G1125" s="385" t="s">
        <v>460</v>
      </c>
      <c r="H1125" s="385">
        <v>2E-3</v>
      </c>
      <c r="I1125" s="769"/>
      <c r="J1125" s="770"/>
      <c r="K1125" s="771"/>
      <c r="L1125" s="100"/>
      <c r="M1125" s="101"/>
    </row>
    <row r="1126" spans="4:13" x14ac:dyDescent="0.2">
      <c r="E1126" s="718">
        <v>45518</v>
      </c>
      <c r="F1126" s="385">
        <v>2E-3</v>
      </c>
      <c r="G1126" s="385" t="s">
        <v>460</v>
      </c>
      <c r="H1126" s="385">
        <v>-1E-3</v>
      </c>
      <c r="I1126" s="769"/>
      <c r="J1126" s="770"/>
      <c r="K1126" s="771"/>
      <c r="L1126" s="102"/>
      <c r="M1126" s="101"/>
    </row>
    <row r="1127" spans="4:13" x14ac:dyDescent="0.2">
      <c r="E1127" s="718">
        <v>45484</v>
      </c>
      <c r="F1127" s="385">
        <v>-1E-3</v>
      </c>
      <c r="G1127" s="385" t="s">
        <v>462</v>
      </c>
      <c r="H1127" s="385">
        <v>0</v>
      </c>
      <c r="I1127" s="769"/>
      <c r="J1127" s="770"/>
      <c r="K1127" s="771"/>
      <c r="L1127" s="100"/>
      <c r="M1127" s="101"/>
    </row>
    <row r="1128" spans="4:13" x14ac:dyDescent="0.2">
      <c r="E1128" s="718">
        <v>45455</v>
      </c>
      <c r="F1128" s="385">
        <v>0</v>
      </c>
      <c r="G1128" s="385" t="s">
        <v>462</v>
      </c>
      <c r="H1128" s="385">
        <v>3.0000000000000001E-3</v>
      </c>
      <c r="I1128" s="769"/>
      <c r="J1128" s="770"/>
      <c r="K1128" s="771"/>
      <c r="L1128" s="100"/>
      <c r="M1128" s="101"/>
    </row>
    <row r="1129" spans="4:13" ht="20" thickBot="1" x14ac:dyDescent="0.25">
      <c r="E1129" s="718">
        <v>45427</v>
      </c>
      <c r="F1129" s="385">
        <v>3.0000000000000001E-3</v>
      </c>
      <c r="G1129" s="385" t="s">
        <v>452</v>
      </c>
      <c r="H1129" s="385">
        <v>4.0000000000000001E-3</v>
      </c>
      <c r="I1129" s="772"/>
      <c r="J1129" s="773"/>
      <c r="K1129" s="774"/>
      <c r="L1129" s="103"/>
      <c r="M1129" s="104"/>
    </row>
    <row r="1130" spans="4:13" ht="25" thickBot="1" x14ac:dyDescent="0.25">
      <c r="D1130" t="s">
        <v>105</v>
      </c>
      <c r="E1130" s="713" t="s">
        <v>30</v>
      </c>
      <c r="F1130" s="814" t="s">
        <v>14</v>
      </c>
      <c r="G1130" s="815"/>
      <c r="H1130" s="816"/>
      <c r="I1130" s="846" t="s">
        <v>633</v>
      </c>
      <c r="J1130" s="847"/>
      <c r="K1130" s="848"/>
      <c r="L1130" s="162" t="s">
        <v>430</v>
      </c>
      <c r="M1130" s="106" t="s">
        <v>431</v>
      </c>
    </row>
    <row r="1131" spans="4:13" x14ac:dyDescent="0.2">
      <c r="E1131" s="714" t="s">
        <v>432</v>
      </c>
      <c r="F1131" s="805"/>
      <c r="G1131" s="806"/>
      <c r="H1131" s="807"/>
      <c r="I1131" s="769" t="s">
        <v>955</v>
      </c>
      <c r="J1131" s="770"/>
      <c r="K1131" s="771"/>
      <c r="L1131" s="100"/>
      <c r="M1131" s="101"/>
    </row>
    <row r="1132" spans="4:13" x14ac:dyDescent="0.2">
      <c r="E1132" s="715" t="s">
        <v>433</v>
      </c>
      <c r="F1132" s="817" t="s">
        <v>72</v>
      </c>
      <c r="G1132" s="818"/>
      <c r="H1132" s="819"/>
      <c r="I1132" s="769"/>
      <c r="J1132" s="770"/>
      <c r="K1132" s="771"/>
      <c r="L1132" s="100"/>
      <c r="M1132" s="101"/>
    </row>
    <row r="1133" spans="4:13" ht="20" thickBot="1" x14ac:dyDescent="0.25">
      <c r="E1133" s="715" t="s">
        <v>434</v>
      </c>
      <c r="F1133" s="817" t="s">
        <v>413</v>
      </c>
      <c r="G1133" s="818"/>
      <c r="H1133" s="819"/>
      <c r="I1133" s="769"/>
      <c r="J1133" s="770"/>
      <c r="K1133" s="771"/>
      <c r="L1133" s="100"/>
      <c r="M1133" s="101"/>
    </row>
    <row r="1134" spans="4:13" ht="20" thickBot="1" x14ac:dyDescent="0.25">
      <c r="E1134" s="716" t="s">
        <v>435</v>
      </c>
      <c r="F1134" s="811">
        <v>0.5625</v>
      </c>
      <c r="G1134" s="812"/>
      <c r="H1134" s="813"/>
      <c r="I1134" s="769"/>
      <c r="J1134" s="770"/>
      <c r="K1134" s="771"/>
      <c r="L1134" s="107">
        <v>0.79166666666666663</v>
      </c>
      <c r="M1134" s="108">
        <v>0.64583333333333326</v>
      </c>
    </row>
    <row r="1135" spans="4:13" ht="20" thickBot="1" x14ac:dyDescent="0.25">
      <c r="E1135" s="717" t="s">
        <v>436</v>
      </c>
      <c r="F1135" s="278" t="s">
        <v>29</v>
      </c>
      <c r="G1135" s="278" t="s">
        <v>28</v>
      </c>
      <c r="H1135" s="279" t="s">
        <v>27</v>
      </c>
      <c r="I1135" s="769"/>
      <c r="J1135" s="770"/>
      <c r="K1135" s="771"/>
      <c r="L1135" s="100"/>
      <c r="M1135" s="101"/>
    </row>
    <row r="1136" spans="4:13" x14ac:dyDescent="0.2">
      <c r="E1136" s="718">
        <v>45603</v>
      </c>
      <c r="F1136" s="719" t="s">
        <v>972</v>
      </c>
      <c r="G1136" s="719" t="s">
        <v>973</v>
      </c>
      <c r="H1136" s="719" t="s">
        <v>974</v>
      </c>
      <c r="I1136" s="769"/>
      <c r="J1136" s="770"/>
      <c r="K1136" s="771"/>
      <c r="L1136" s="100"/>
      <c r="M1136" s="101"/>
    </row>
    <row r="1137" spans="4:13" x14ac:dyDescent="0.2">
      <c r="E1137" s="718">
        <v>45596</v>
      </c>
      <c r="F1137" s="719" t="s">
        <v>975</v>
      </c>
      <c r="G1137" s="719" t="s">
        <v>976</v>
      </c>
      <c r="H1137" s="719" t="s">
        <v>977</v>
      </c>
      <c r="I1137" s="769"/>
      <c r="J1137" s="770"/>
      <c r="K1137" s="771"/>
      <c r="L1137" s="100"/>
      <c r="M1137" s="101"/>
    </row>
    <row r="1138" spans="4:13" x14ac:dyDescent="0.2">
      <c r="E1138" s="718">
        <v>45589</v>
      </c>
      <c r="F1138" s="719" t="s">
        <v>978</v>
      </c>
      <c r="G1138" s="719" t="s">
        <v>979</v>
      </c>
      <c r="H1138" s="719" t="s">
        <v>980</v>
      </c>
      <c r="I1138" s="769"/>
      <c r="J1138" s="770"/>
      <c r="K1138" s="771"/>
      <c r="L1138" s="102"/>
      <c r="M1138" s="101"/>
    </row>
    <row r="1139" spans="4:13" x14ac:dyDescent="0.2">
      <c r="E1139" s="718">
        <v>45582</v>
      </c>
      <c r="F1139" s="719" t="s">
        <v>981</v>
      </c>
      <c r="G1139" s="719" t="s">
        <v>981</v>
      </c>
      <c r="H1139" s="719" t="s">
        <v>982</v>
      </c>
      <c r="I1139" s="769"/>
      <c r="J1139" s="770"/>
      <c r="K1139" s="771"/>
      <c r="L1139" s="100"/>
      <c r="M1139" s="101"/>
    </row>
    <row r="1140" spans="4:13" x14ac:dyDescent="0.2">
      <c r="E1140" s="718">
        <v>45575</v>
      </c>
      <c r="F1140" s="719" t="s">
        <v>983</v>
      </c>
      <c r="G1140" s="719" t="s">
        <v>984</v>
      </c>
      <c r="H1140" s="719" t="s">
        <v>985</v>
      </c>
      <c r="I1140" s="769"/>
      <c r="J1140" s="770"/>
      <c r="K1140" s="771"/>
      <c r="L1140" s="100"/>
      <c r="M1140" s="101"/>
    </row>
    <row r="1141" spans="4:13" ht="20" thickBot="1" x14ac:dyDescent="0.25">
      <c r="E1141" s="718">
        <v>45568</v>
      </c>
      <c r="F1141" s="719" t="s">
        <v>985</v>
      </c>
      <c r="G1141" s="719" t="s">
        <v>986</v>
      </c>
      <c r="H1141" s="719" t="s">
        <v>987</v>
      </c>
      <c r="I1141" s="772"/>
      <c r="J1141" s="773"/>
      <c r="K1141" s="774"/>
      <c r="L1141" s="103"/>
      <c r="M1141" s="104"/>
    </row>
    <row r="1142" spans="4:13" ht="25" thickBot="1" x14ac:dyDescent="0.25">
      <c r="D1142" s="88" t="s">
        <v>105</v>
      </c>
      <c r="E1142" s="713" t="s">
        <v>30</v>
      </c>
      <c r="F1142" s="814" t="s">
        <v>956</v>
      </c>
      <c r="G1142" s="815"/>
      <c r="H1142" s="816"/>
      <c r="I1142" s="846" t="s">
        <v>633</v>
      </c>
      <c r="J1142" s="847"/>
      <c r="K1142" s="848"/>
      <c r="L1142" s="162" t="s">
        <v>430</v>
      </c>
      <c r="M1142" s="106" t="s">
        <v>431</v>
      </c>
    </row>
    <row r="1143" spans="4:13" x14ac:dyDescent="0.2">
      <c r="D1143" s="89"/>
      <c r="E1143" s="714" t="s">
        <v>432</v>
      </c>
      <c r="F1143" s="805"/>
      <c r="G1143" s="806"/>
      <c r="H1143" s="807"/>
      <c r="I1143" s="769" t="s">
        <v>957</v>
      </c>
      <c r="J1143" s="770"/>
      <c r="K1143" s="771"/>
      <c r="L1143" s="100"/>
      <c r="M1143" s="101"/>
    </row>
    <row r="1144" spans="4:13" x14ac:dyDescent="0.2">
      <c r="D1144" s="89"/>
      <c r="E1144" s="715" t="s">
        <v>433</v>
      </c>
      <c r="F1144" s="824">
        <v>2E-3</v>
      </c>
      <c r="G1144" s="825"/>
      <c r="H1144" s="826"/>
      <c r="I1144" s="769"/>
      <c r="J1144" s="770"/>
      <c r="K1144" s="771"/>
      <c r="L1144" s="100"/>
      <c r="M1144" s="101"/>
    </row>
    <row r="1145" spans="4:13" ht="20" thickBot="1" x14ac:dyDescent="0.25">
      <c r="D1145" s="89"/>
      <c r="E1145" s="715" t="s">
        <v>434</v>
      </c>
      <c r="F1145" s="820">
        <v>0</v>
      </c>
      <c r="G1145" s="821"/>
      <c r="H1145" s="822"/>
      <c r="I1145" s="769"/>
      <c r="J1145" s="770"/>
      <c r="K1145" s="771"/>
      <c r="L1145" s="100"/>
      <c r="M1145" s="101"/>
    </row>
    <row r="1146" spans="4:13" ht="20" thickBot="1" x14ac:dyDescent="0.25">
      <c r="D1146" s="89"/>
      <c r="E1146" s="716" t="s">
        <v>435</v>
      </c>
      <c r="F1146" s="811">
        <v>0.5625</v>
      </c>
      <c r="G1146" s="812"/>
      <c r="H1146" s="813"/>
      <c r="I1146" s="769"/>
      <c r="J1146" s="770"/>
      <c r="K1146" s="771"/>
      <c r="L1146" s="107">
        <v>0.79166666666666663</v>
      </c>
      <c r="M1146" s="108">
        <v>0.64583333333333326</v>
      </c>
    </row>
    <row r="1147" spans="4:13" ht="20" thickBot="1" x14ac:dyDescent="0.25">
      <c r="D1147" s="89"/>
      <c r="E1147" s="717" t="s">
        <v>436</v>
      </c>
      <c r="F1147" s="278" t="s">
        <v>29</v>
      </c>
      <c r="G1147" s="278" t="s">
        <v>28</v>
      </c>
      <c r="H1147" s="279" t="s">
        <v>27</v>
      </c>
      <c r="I1147" s="769"/>
      <c r="J1147" s="770"/>
      <c r="K1147" s="771"/>
      <c r="L1147" s="100"/>
      <c r="M1147" s="101"/>
    </row>
    <row r="1148" spans="4:13" x14ac:dyDescent="0.2">
      <c r="D1148" s="89"/>
      <c r="E1148" s="718">
        <v>45576</v>
      </c>
      <c r="F1148" s="720">
        <v>0</v>
      </c>
      <c r="G1148" s="720" t="s">
        <v>462</v>
      </c>
      <c r="H1148" s="720">
        <v>2E-3</v>
      </c>
      <c r="I1148" s="769"/>
      <c r="J1148" s="770"/>
      <c r="K1148" s="771"/>
      <c r="L1148" s="100"/>
      <c r="M1148" s="101"/>
    </row>
    <row r="1149" spans="4:13" x14ac:dyDescent="0.2">
      <c r="D1149" s="89"/>
      <c r="E1149" s="718">
        <v>45547</v>
      </c>
      <c r="F1149" s="720">
        <v>2E-3</v>
      </c>
      <c r="G1149" s="720" t="s">
        <v>462</v>
      </c>
      <c r="H1149" s="720">
        <v>0</v>
      </c>
      <c r="I1149" s="769"/>
      <c r="J1149" s="770"/>
      <c r="K1149" s="771"/>
      <c r="L1149" s="100"/>
      <c r="M1149" s="101"/>
    </row>
    <row r="1150" spans="4:13" x14ac:dyDescent="0.2">
      <c r="D1150" s="89"/>
      <c r="E1150" s="718">
        <v>45517</v>
      </c>
      <c r="F1150" s="720">
        <v>1E-3</v>
      </c>
      <c r="G1150" s="720" t="s">
        <v>460</v>
      </c>
      <c r="H1150" s="720">
        <v>2E-3</v>
      </c>
      <c r="I1150" s="769"/>
      <c r="J1150" s="770"/>
      <c r="K1150" s="771"/>
      <c r="L1150" s="102"/>
      <c r="M1150" s="101"/>
    </row>
    <row r="1151" spans="4:13" x14ac:dyDescent="0.2">
      <c r="D1151" s="89"/>
      <c r="E1151" s="718">
        <v>45485</v>
      </c>
      <c r="F1151" s="720">
        <v>2E-3</v>
      </c>
      <c r="G1151" s="720" t="s">
        <v>462</v>
      </c>
      <c r="H1151" s="720">
        <v>0</v>
      </c>
      <c r="I1151" s="769"/>
      <c r="J1151" s="770"/>
      <c r="K1151" s="771"/>
      <c r="L1151" s="100"/>
      <c r="M1151" s="101"/>
    </row>
    <row r="1152" spans="4:13" x14ac:dyDescent="0.2">
      <c r="D1152" s="89"/>
      <c r="E1152" s="718">
        <v>45456</v>
      </c>
      <c r="F1152" s="720">
        <v>-2E-3</v>
      </c>
      <c r="G1152" s="720" t="s">
        <v>462</v>
      </c>
      <c r="H1152" s="720">
        <v>5.0000000000000001E-3</v>
      </c>
      <c r="I1152" s="769"/>
      <c r="J1152" s="770"/>
      <c r="K1152" s="771"/>
      <c r="L1152" s="100"/>
      <c r="M1152" s="101"/>
    </row>
    <row r="1153" spans="4:13" ht="20" thickBot="1" x14ac:dyDescent="0.25">
      <c r="D1153" s="89"/>
      <c r="E1153" s="718">
        <v>45426</v>
      </c>
      <c r="F1153" s="720">
        <v>5.0000000000000001E-3</v>
      </c>
      <c r="G1153" s="720" t="s">
        <v>467</v>
      </c>
      <c r="H1153" s="720">
        <v>-1E-3</v>
      </c>
      <c r="I1153" s="772"/>
      <c r="J1153" s="773"/>
      <c r="K1153" s="774"/>
      <c r="L1153" s="103"/>
      <c r="M1153" s="104"/>
    </row>
    <row r="1154" spans="4:13" ht="25" thickBot="1" x14ac:dyDescent="0.25">
      <c r="D1154" s="88" t="s">
        <v>105</v>
      </c>
      <c r="E1154" s="713" t="s">
        <v>30</v>
      </c>
      <c r="F1154" s="814" t="s">
        <v>9</v>
      </c>
      <c r="G1154" s="815"/>
      <c r="H1154" s="816"/>
      <c r="I1154" s="846" t="s">
        <v>633</v>
      </c>
      <c r="J1154" s="847"/>
      <c r="K1154" s="848"/>
      <c r="L1154" s="162" t="s">
        <v>430</v>
      </c>
      <c r="M1154" s="106" t="s">
        <v>431</v>
      </c>
    </row>
    <row r="1155" spans="4:13" x14ac:dyDescent="0.2">
      <c r="D1155" s="89"/>
      <c r="E1155" s="714" t="s">
        <v>432</v>
      </c>
      <c r="F1155" s="805"/>
      <c r="G1155" s="806"/>
      <c r="H1155" s="807"/>
      <c r="I1155" s="769" t="s">
        <v>926</v>
      </c>
      <c r="J1155" s="770"/>
      <c r="K1155" s="771"/>
      <c r="L1155" s="100"/>
      <c r="M1155" s="101"/>
    </row>
    <row r="1156" spans="4:13" x14ac:dyDescent="0.2">
      <c r="D1156" s="89"/>
      <c r="E1156" s="715" t="s">
        <v>433</v>
      </c>
      <c r="F1156" s="817">
        <v>0</v>
      </c>
      <c r="G1156" s="818"/>
      <c r="H1156" s="819"/>
      <c r="I1156" s="769"/>
      <c r="J1156" s="770"/>
      <c r="K1156" s="771"/>
      <c r="L1156" s="100"/>
      <c r="M1156" s="101"/>
    </row>
    <row r="1157" spans="4:13" ht="20" thickBot="1" x14ac:dyDescent="0.25">
      <c r="D1157" s="89"/>
      <c r="E1157" s="715" t="s">
        <v>434</v>
      </c>
      <c r="F1157" s="824" t="s">
        <v>958</v>
      </c>
      <c r="G1157" s="825"/>
      <c r="H1157" s="826"/>
      <c r="I1157" s="769"/>
      <c r="J1157" s="770"/>
      <c r="K1157" s="771"/>
      <c r="L1157" s="100"/>
      <c r="M1157" s="101"/>
    </row>
    <row r="1158" spans="4:13" ht="20" thickBot="1" x14ac:dyDescent="0.25">
      <c r="D1158" s="89"/>
      <c r="E1158" s="716" t="s">
        <v>435</v>
      </c>
      <c r="F1158" s="811">
        <v>0.66666666666666674</v>
      </c>
      <c r="G1158" s="812"/>
      <c r="H1158" s="813"/>
      <c r="I1158" s="769"/>
      <c r="J1158" s="770"/>
      <c r="K1158" s="771"/>
      <c r="L1158" s="107">
        <v>0.89583333333333337</v>
      </c>
      <c r="M1158" s="108">
        <v>0.75</v>
      </c>
    </row>
    <row r="1159" spans="4:13" ht="20" thickBot="1" x14ac:dyDescent="0.25">
      <c r="D1159" s="89"/>
      <c r="E1159" s="717" t="s">
        <v>436</v>
      </c>
      <c r="F1159" s="278" t="s">
        <v>29</v>
      </c>
      <c r="G1159" s="278" t="s">
        <v>28</v>
      </c>
      <c r="H1159" s="279" t="s">
        <v>27</v>
      </c>
      <c r="I1159" s="769"/>
      <c r="J1159" s="770"/>
      <c r="K1159" s="771"/>
      <c r="L1159" s="100"/>
      <c r="M1159" s="101"/>
    </row>
    <row r="1160" spans="4:13" x14ac:dyDescent="0.2">
      <c r="D1160" s="89"/>
      <c r="E1160" s="718">
        <v>45602</v>
      </c>
      <c r="F1160" s="719" t="s">
        <v>988</v>
      </c>
      <c r="G1160" s="719" t="s">
        <v>989</v>
      </c>
      <c r="H1160" s="719" t="s">
        <v>990</v>
      </c>
      <c r="I1160" s="769"/>
      <c r="J1160" s="770"/>
      <c r="K1160" s="771"/>
      <c r="L1160" s="100"/>
      <c r="M1160" s="101"/>
    </row>
    <row r="1161" spans="4:13" x14ac:dyDescent="0.2">
      <c r="D1161" s="89"/>
      <c r="E1161" s="718">
        <v>45595</v>
      </c>
      <c r="F1161" s="719" t="s">
        <v>990</v>
      </c>
      <c r="G1161" s="719" t="s">
        <v>991</v>
      </c>
      <c r="H1161" s="719" t="s">
        <v>992</v>
      </c>
      <c r="I1161" s="769"/>
      <c r="J1161" s="770"/>
      <c r="K1161" s="771"/>
      <c r="L1161" s="100"/>
      <c r="M1161" s="101"/>
    </row>
    <row r="1162" spans="4:13" x14ac:dyDescent="0.2">
      <c r="D1162" s="89"/>
      <c r="E1162" s="718">
        <v>45588</v>
      </c>
      <c r="F1162" s="719" t="s">
        <v>992</v>
      </c>
      <c r="G1162" s="719" t="s">
        <v>993</v>
      </c>
      <c r="H1162" s="719" t="s">
        <v>994</v>
      </c>
      <c r="I1162" s="769"/>
      <c r="J1162" s="770"/>
      <c r="K1162" s="771"/>
      <c r="L1162" s="102"/>
      <c r="M1162" s="101"/>
    </row>
    <row r="1163" spans="4:13" x14ac:dyDescent="0.2">
      <c r="D1163" s="89"/>
      <c r="E1163" s="718">
        <v>45582</v>
      </c>
      <c r="F1163" s="719" t="s">
        <v>994</v>
      </c>
      <c r="G1163" s="719" t="s">
        <v>995</v>
      </c>
      <c r="H1163" s="719" t="s">
        <v>996</v>
      </c>
      <c r="I1163" s="769"/>
      <c r="J1163" s="770"/>
      <c r="K1163" s="771"/>
      <c r="L1163" s="100"/>
      <c r="M1163" s="101"/>
    </row>
    <row r="1164" spans="4:13" x14ac:dyDescent="0.2">
      <c r="D1164" s="89"/>
      <c r="E1164" s="718">
        <v>45574</v>
      </c>
      <c r="F1164" s="719" t="s">
        <v>996</v>
      </c>
      <c r="G1164" s="719" t="s">
        <v>997</v>
      </c>
      <c r="H1164" s="719" t="s">
        <v>998</v>
      </c>
      <c r="I1164" s="769"/>
      <c r="J1164" s="770"/>
      <c r="K1164" s="771"/>
      <c r="L1164" s="100"/>
      <c r="M1164" s="101"/>
    </row>
    <row r="1165" spans="4:13" ht="20" thickBot="1" x14ac:dyDescent="0.25">
      <c r="D1165" s="89"/>
      <c r="E1165" s="718">
        <v>45567</v>
      </c>
      <c r="F1165" s="719" t="s">
        <v>998</v>
      </c>
      <c r="G1165" s="719" t="s">
        <v>999</v>
      </c>
      <c r="H1165" s="719" t="s">
        <v>1000</v>
      </c>
      <c r="I1165" s="772"/>
      <c r="J1165" s="773"/>
      <c r="K1165" s="774"/>
      <c r="L1165" s="103"/>
      <c r="M1165" s="104"/>
    </row>
    <row r="1166" spans="4:13" ht="25" thickBot="1" x14ac:dyDescent="0.25">
      <c r="D1166" s="88" t="s">
        <v>105</v>
      </c>
      <c r="E1166" s="713" t="s">
        <v>30</v>
      </c>
      <c r="F1166" s="814" t="s">
        <v>959</v>
      </c>
      <c r="G1166" s="815"/>
      <c r="H1166" s="816"/>
      <c r="I1166" s="846" t="s">
        <v>633</v>
      </c>
      <c r="J1166" s="847"/>
      <c r="K1166" s="848"/>
      <c r="L1166" s="162" t="s">
        <v>430</v>
      </c>
      <c r="M1166" s="106" t="s">
        <v>431</v>
      </c>
    </row>
    <row r="1167" spans="4:13" x14ac:dyDescent="0.2">
      <c r="D1167" s="89"/>
      <c r="E1167" s="714" t="s">
        <v>432</v>
      </c>
      <c r="F1167" s="805"/>
      <c r="G1167" s="806"/>
      <c r="H1167" s="807"/>
      <c r="I1167" s="769" t="s">
        <v>960</v>
      </c>
      <c r="J1167" s="770"/>
      <c r="K1167" s="771"/>
      <c r="L1167" s="100"/>
      <c r="M1167" s="101"/>
    </row>
    <row r="1168" spans="4:13" x14ac:dyDescent="0.2">
      <c r="D1168" s="89"/>
      <c r="E1168" s="715" t="s">
        <v>433</v>
      </c>
      <c r="F1168" s="820">
        <v>2E-3</v>
      </c>
      <c r="G1168" s="821"/>
      <c r="H1168" s="822"/>
      <c r="I1168" s="769"/>
      <c r="J1168" s="770"/>
      <c r="K1168" s="771"/>
      <c r="L1168" s="100"/>
      <c r="M1168" s="101"/>
    </row>
    <row r="1169" spans="4:13" ht="20" thickBot="1" x14ac:dyDescent="0.25">
      <c r="D1169" s="89"/>
      <c r="E1169" s="715" t="s">
        <v>434</v>
      </c>
      <c r="F1169" s="820">
        <v>7.0000000000000001E-3</v>
      </c>
      <c r="G1169" s="821"/>
      <c r="H1169" s="822"/>
      <c r="I1169" s="769"/>
      <c r="J1169" s="770"/>
      <c r="K1169" s="771"/>
      <c r="L1169" s="100"/>
      <c r="M1169" s="101"/>
    </row>
    <row r="1170" spans="4:13" ht="20" thickBot="1" x14ac:dyDescent="0.25">
      <c r="D1170" s="89"/>
      <c r="E1170" s="716" t="s">
        <v>435</v>
      </c>
      <c r="F1170" s="811">
        <v>0.99305555555555558</v>
      </c>
      <c r="G1170" s="812"/>
      <c r="H1170" s="813"/>
      <c r="I1170" s="769"/>
      <c r="J1170" s="770"/>
      <c r="K1170" s="771"/>
      <c r="L1170" s="107">
        <v>0.22222222222222221</v>
      </c>
      <c r="M1170" s="108">
        <v>7.6388888888888867E-2</v>
      </c>
    </row>
    <row r="1171" spans="4:13" ht="20" thickBot="1" x14ac:dyDescent="0.25">
      <c r="D1171" s="89"/>
      <c r="E1171" s="717" t="s">
        <v>436</v>
      </c>
      <c r="F1171" s="278" t="s">
        <v>29</v>
      </c>
      <c r="G1171" s="278" t="s">
        <v>28</v>
      </c>
      <c r="H1171" s="279" t="s">
        <v>27</v>
      </c>
      <c r="I1171" s="769"/>
      <c r="J1171" s="770"/>
      <c r="K1171" s="771"/>
      <c r="L1171" s="100"/>
      <c r="M1171" s="101"/>
    </row>
    <row r="1172" spans="4:13" x14ac:dyDescent="0.2">
      <c r="D1172" s="89"/>
      <c r="E1172" s="718">
        <v>45542</v>
      </c>
      <c r="F1172" s="720">
        <v>7.0000000000000001E-3</v>
      </c>
      <c r="G1172" s="720" t="s">
        <v>1001</v>
      </c>
      <c r="H1172" s="720">
        <v>-6.0000000000000001E-3</v>
      </c>
      <c r="I1172" s="769"/>
      <c r="J1172" s="770"/>
      <c r="K1172" s="771"/>
      <c r="L1172" s="100"/>
      <c r="M1172" s="101"/>
    </row>
    <row r="1173" spans="4:13" x14ac:dyDescent="0.2">
      <c r="D1173" s="89" t="s">
        <v>105</v>
      </c>
      <c r="E1173" s="718">
        <v>45517</v>
      </c>
      <c r="F1173" s="720">
        <v>8.0000000000000002E-3</v>
      </c>
      <c r="G1173" s="720" t="s">
        <v>449</v>
      </c>
      <c r="H1173" s="720">
        <v>-6.0000000000000001E-3</v>
      </c>
      <c r="I1173" s="769"/>
      <c r="J1173" s="770"/>
      <c r="K1173" s="771"/>
      <c r="L1173" s="100"/>
      <c r="M1173" s="101"/>
    </row>
    <row r="1174" spans="4:13" x14ac:dyDescent="0.2">
      <c r="D1174" s="89"/>
      <c r="E1174" s="718">
        <v>45451</v>
      </c>
      <c r="F1174" s="720">
        <v>-5.0000000000000001E-3</v>
      </c>
      <c r="G1174" s="720" t="s">
        <v>782</v>
      </c>
      <c r="H1174" s="720">
        <v>1E-3</v>
      </c>
      <c r="I1174" s="769"/>
      <c r="J1174" s="770"/>
      <c r="K1174" s="771"/>
      <c r="L1174" s="102"/>
      <c r="M1174" s="101"/>
    </row>
    <row r="1175" spans="4:13" x14ac:dyDescent="0.2">
      <c r="D1175" s="89" t="s">
        <v>105</v>
      </c>
      <c r="E1175" s="718">
        <v>45426</v>
      </c>
      <c r="F1175" s="720">
        <v>-5.0000000000000001E-3</v>
      </c>
      <c r="G1175" s="720" t="s">
        <v>454</v>
      </c>
      <c r="H1175" s="720">
        <v>0</v>
      </c>
      <c r="I1175" s="769"/>
      <c r="J1175" s="770"/>
      <c r="K1175" s="771"/>
      <c r="L1175" s="100"/>
      <c r="M1175" s="101"/>
    </row>
    <row r="1176" spans="4:13" x14ac:dyDescent="0.2">
      <c r="D1176" s="89"/>
      <c r="E1176" s="718">
        <v>45360</v>
      </c>
      <c r="F1176" s="720">
        <v>1E-3</v>
      </c>
      <c r="G1176" s="720" t="s">
        <v>456</v>
      </c>
      <c r="H1176" s="720">
        <v>-7.0000000000000001E-3</v>
      </c>
      <c r="I1176" s="769"/>
      <c r="J1176" s="770"/>
      <c r="K1176" s="771"/>
      <c r="L1176" s="100"/>
      <c r="M1176" s="101"/>
    </row>
    <row r="1177" spans="4:13" ht="20" thickBot="1" x14ac:dyDescent="0.25">
      <c r="D1177" s="89">
        <v>1</v>
      </c>
      <c r="E1177" s="718">
        <v>45335</v>
      </c>
      <c r="F1177" s="720">
        <v>-1E-3</v>
      </c>
      <c r="G1177" s="720" t="s">
        <v>460</v>
      </c>
      <c r="H1177" s="720">
        <v>-8.0000000000000002E-3</v>
      </c>
      <c r="I1177" s="772"/>
      <c r="J1177" s="773"/>
      <c r="K1177" s="774"/>
      <c r="L1177" s="103"/>
      <c r="M1177" s="104"/>
    </row>
    <row r="1178" spans="4:13" ht="25" thickBot="1" x14ac:dyDescent="0.25">
      <c r="D1178" s="88" t="s">
        <v>105</v>
      </c>
      <c r="E1178" s="713" t="s">
        <v>30</v>
      </c>
      <c r="F1178" s="814" t="s">
        <v>961</v>
      </c>
      <c r="G1178" s="815"/>
      <c r="H1178" s="816"/>
      <c r="I1178" s="849" t="s">
        <v>633</v>
      </c>
      <c r="J1178" s="847"/>
      <c r="K1178" s="848"/>
      <c r="L1178" s="162" t="s">
        <v>430</v>
      </c>
      <c r="M1178" s="106" t="s">
        <v>431</v>
      </c>
    </row>
    <row r="1179" spans="4:13" x14ac:dyDescent="0.2">
      <c r="D1179" s="89"/>
      <c r="E1179" s="714" t="s">
        <v>432</v>
      </c>
      <c r="F1179" s="805"/>
      <c r="G1179" s="806"/>
      <c r="H1179" s="807"/>
      <c r="I1179" s="769" t="s">
        <v>962</v>
      </c>
      <c r="J1179" s="770"/>
      <c r="K1179" s="771"/>
      <c r="L1179" s="100"/>
      <c r="M1179" s="101"/>
    </row>
    <row r="1180" spans="4:13" x14ac:dyDescent="0.2">
      <c r="D1180" s="89"/>
      <c r="E1180" s="715" t="s">
        <v>433</v>
      </c>
      <c r="F1180" s="824">
        <v>1E-3</v>
      </c>
      <c r="G1180" s="825"/>
      <c r="H1180" s="826"/>
      <c r="I1180" s="769"/>
      <c r="J1180" s="770"/>
      <c r="K1180" s="771"/>
      <c r="L1180" s="100"/>
      <c r="M1180" s="101"/>
    </row>
    <row r="1181" spans="4:13" ht="20" thickBot="1" x14ac:dyDescent="0.25">
      <c r="D1181" s="89"/>
      <c r="E1181" s="715" t="s">
        <v>434</v>
      </c>
      <c r="F1181" s="824">
        <v>7.0000000000000001E-3</v>
      </c>
      <c r="G1181" s="825"/>
      <c r="H1181" s="826"/>
      <c r="I1181" s="769"/>
      <c r="J1181" s="770"/>
      <c r="K1181" s="771"/>
      <c r="L1181" s="100"/>
      <c r="M1181" s="101"/>
    </row>
    <row r="1182" spans="4:13" ht="20" thickBot="1" x14ac:dyDescent="0.25">
      <c r="D1182" s="89"/>
      <c r="E1182" s="716" t="s">
        <v>435</v>
      </c>
      <c r="F1182" s="811">
        <v>0.29166666666666674</v>
      </c>
      <c r="G1182" s="812"/>
      <c r="H1182" s="813"/>
      <c r="I1182" s="769"/>
      <c r="J1182" s="770"/>
      <c r="K1182" s="771"/>
      <c r="L1182" s="107">
        <v>0.52083333333333337</v>
      </c>
      <c r="M1182" s="108">
        <v>0.375</v>
      </c>
    </row>
    <row r="1183" spans="4:13" ht="20" thickBot="1" x14ac:dyDescent="0.25">
      <c r="D1183" s="89"/>
      <c r="E1183" s="717" t="s">
        <v>436</v>
      </c>
      <c r="F1183" s="278" t="s">
        <v>29</v>
      </c>
      <c r="G1183" s="278" t="s">
        <v>28</v>
      </c>
      <c r="H1183" s="279" t="s">
        <v>27</v>
      </c>
      <c r="I1183" s="769"/>
      <c r="J1183" s="770"/>
      <c r="K1183" s="771"/>
      <c r="L1183" s="100"/>
      <c r="M1183" s="101"/>
    </row>
    <row r="1184" spans="4:13" x14ac:dyDescent="0.2">
      <c r="D1184" s="89" t="s">
        <v>105</v>
      </c>
      <c r="E1184" s="718">
        <v>45565</v>
      </c>
      <c r="F1184" s="385">
        <v>7.0000000000000001E-3</v>
      </c>
      <c r="G1184" s="385" t="s">
        <v>459</v>
      </c>
      <c r="H1184" s="385">
        <v>3.0000000000000001E-3</v>
      </c>
      <c r="I1184" s="769"/>
      <c r="J1184" s="770"/>
      <c r="K1184" s="771"/>
      <c r="L1184" s="100"/>
      <c r="M1184" s="215">
        <v>0.14583333333333337</v>
      </c>
    </row>
    <row r="1185" spans="4:13" x14ac:dyDescent="0.2">
      <c r="D1185" s="89" t="s">
        <v>105</v>
      </c>
      <c r="E1185" s="718">
        <v>45519</v>
      </c>
      <c r="F1185" s="385">
        <v>8.9999999999999993E-3</v>
      </c>
      <c r="G1185" s="385" t="s">
        <v>459</v>
      </c>
      <c r="H1185" s="385">
        <v>3.0000000000000001E-3</v>
      </c>
      <c r="I1185" s="769"/>
      <c r="J1185" s="770"/>
      <c r="K1185" s="771"/>
      <c r="L1185" s="100"/>
      <c r="M1185" s="101"/>
    </row>
    <row r="1186" spans="4:13" x14ac:dyDescent="0.2">
      <c r="D1186" s="89"/>
      <c r="E1186" s="718">
        <v>45471</v>
      </c>
      <c r="F1186" s="385">
        <v>3.0000000000000001E-3</v>
      </c>
      <c r="G1186" s="385" t="s">
        <v>460</v>
      </c>
      <c r="H1186" s="385">
        <v>-2E-3</v>
      </c>
      <c r="I1186" s="769"/>
      <c r="J1186" s="770"/>
      <c r="K1186" s="771"/>
      <c r="L1186" s="102"/>
      <c r="M1186" s="101"/>
    </row>
    <row r="1187" spans="4:13" x14ac:dyDescent="0.2">
      <c r="D1187" s="89" t="s">
        <v>105</v>
      </c>
      <c r="E1187" s="718">
        <v>45422</v>
      </c>
      <c r="F1187" s="385">
        <v>2E-3</v>
      </c>
      <c r="G1187" s="385" t="s">
        <v>458</v>
      </c>
      <c r="H1187" s="385">
        <v>-2E-3</v>
      </c>
      <c r="I1187" s="769"/>
      <c r="J1187" s="770"/>
      <c r="K1187" s="771"/>
      <c r="L1187" s="100"/>
      <c r="M1187" s="101"/>
    </row>
    <row r="1188" spans="4:13" x14ac:dyDescent="0.2">
      <c r="D1188" s="89" t="s">
        <v>105</v>
      </c>
      <c r="E1188" s="718">
        <v>45379</v>
      </c>
      <c r="F1188" s="385">
        <v>-2E-3</v>
      </c>
      <c r="G1188" s="385" t="s">
        <v>461</v>
      </c>
      <c r="H1188" s="385">
        <v>3.0000000000000001E-3</v>
      </c>
      <c r="I1188" s="769"/>
      <c r="J1188" s="770"/>
      <c r="K1188" s="771"/>
      <c r="L1188" s="100"/>
      <c r="M1188" s="101"/>
    </row>
    <row r="1189" spans="4:13" ht="20" thickBot="1" x14ac:dyDescent="0.25">
      <c r="D1189" s="89" t="s">
        <v>105</v>
      </c>
      <c r="E1189" s="718">
        <v>45337</v>
      </c>
      <c r="F1189" s="385">
        <v>-2E-3</v>
      </c>
      <c r="G1189" s="385" t="s">
        <v>462</v>
      </c>
      <c r="H1189" s="385">
        <v>2E-3</v>
      </c>
      <c r="I1189" s="772"/>
      <c r="J1189" s="773"/>
      <c r="K1189" s="774"/>
      <c r="L1189" s="103"/>
      <c r="M1189" s="104"/>
    </row>
    <row r="1190" spans="4:13" ht="25" thickBot="1" x14ac:dyDescent="0.25">
      <c r="D1190" s="88" t="s">
        <v>105</v>
      </c>
      <c r="E1190" s="713" t="s">
        <v>30</v>
      </c>
      <c r="F1190" s="814" t="s">
        <v>963</v>
      </c>
      <c r="G1190" s="815"/>
      <c r="H1190" s="816"/>
      <c r="I1190" s="849" t="s">
        <v>633</v>
      </c>
      <c r="J1190" s="847"/>
      <c r="K1190" s="848"/>
      <c r="L1190" s="162" t="s">
        <v>430</v>
      </c>
      <c r="M1190" s="106" t="s">
        <v>431</v>
      </c>
    </row>
    <row r="1191" spans="4:13" x14ac:dyDescent="0.2">
      <c r="D1191" s="89"/>
      <c r="E1191" s="714" t="s">
        <v>432</v>
      </c>
      <c r="F1191" s="840"/>
      <c r="G1191" s="841"/>
      <c r="H1191" s="842"/>
      <c r="I1191" s="769" t="s">
        <v>964</v>
      </c>
      <c r="J1191" s="770"/>
      <c r="K1191" s="771"/>
      <c r="L1191" s="100"/>
      <c r="M1191" s="101"/>
    </row>
    <row r="1192" spans="4:13" x14ac:dyDescent="0.2">
      <c r="D1192" s="89"/>
      <c r="E1192" s="715" t="s">
        <v>433</v>
      </c>
      <c r="F1192" s="824">
        <v>2E-3</v>
      </c>
      <c r="G1192" s="825"/>
      <c r="H1192" s="826"/>
      <c r="I1192" s="769"/>
      <c r="J1192" s="770"/>
      <c r="K1192" s="771"/>
      <c r="L1192" s="100"/>
      <c r="M1192" s="101"/>
    </row>
    <row r="1193" spans="4:13" ht="20" thickBot="1" x14ac:dyDescent="0.25">
      <c r="D1193" s="89"/>
      <c r="E1193" s="715" t="s">
        <v>434</v>
      </c>
      <c r="F1193" s="824">
        <v>2E-3</v>
      </c>
      <c r="G1193" s="825"/>
      <c r="H1193" s="826"/>
      <c r="I1193" s="769"/>
      <c r="J1193" s="770"/>
      <c r="K1193" s="771"/>
      <c r="L1193" s="100"/>
      <c r="M1193" s="101"/>
    </row>
    <row r="1194" spans="4:13" ht="20" thickBot="1" x14ac:dyDescent="0.25">
      <c r="D1194" s="89"/>
      <c r="E1194" s="716" t="s">
        <v>435</v>
      </c>
      <c r="F1194" s="811">
        <v>0.29166666666666674</v>
      </c>
      <c r="G1194" s="812"/>
      <c r="H1194" s="813"/>
      <c r="I1194" s="769"/>
      <c r="J1194" s="770"/>
      <c r="K1194" s="771"/>
      <c r="L1194" s="107">
        <v>0.52083333333333337</v>
      </c>
      <c r="M1194" s="108">
        <v>0.375</v>
      </c>
    </row>
    <row r="1195" spans="4:13" ht="20" thickBot="1" x14ac:dyDescent="0.25">
      <c r="D1195" s="89"/>
      <c r="E1195" s="717" t="s">
        <v>436</v>
      </c>
      <c r="F1195" s="278" t="s">
        <v>29</v>
      </c>
      <c r="G1195" s="278" t="s">
        <v>28</v>
      </c>
      <c r="H1195" s="279" t="s">
        <v>27</v>
      </c>
      <c r="I1195" s="769"/>
      <c r="J1195" s="770"/>
      <c r="K1195" s="771"/>
      <c r="L1195" s="100"/>
      <c r="M1195" s="101"/>
    </row>
    <row r="1196" spans="4:13" x14ac:dyDescent="0.2">
      <c r="D1196" s="89"/>
      <c r="E1196" s="718">
        <v>45565</v>
      </c>
      <c r="F1196" s="380">
        <v>5.0000000000000001E-3</v>
      </c>
      <c r="G1196" s="380" t="s">
        <v>449</v>
      </c>
      <c r="H1196" s="380">
        <v>7.0000000000000001E-3</v>
      </c>
      <c r="I1196" s="769"/>
      <c r="J1196" s="770"/>
      <c r="K1196" s="771"/>
      <c r="L1196" s="100"/>
      <c r="M1196" s="101"/>
    </row>
    <row r="1197" spans="4:13" x14ac:dyDescent="0.2">
      <c r="D1197" s="89"/>
      <c r="E1197" s="718">
        <v>45519</v>
      </c>
      <c r="F1197" s="380">
        <v>6.0000000000000001E-3</v>
      </c>
      <c r="G1197" s="380" t="s">
        <v>449</v>
      </c>
      <c r="H1197" s="380">
        <v>7.0000000000000001E-3</v>
      </c>
      <c r="I1197" s="769"/>
      <c r="J1197" s="770"/>
      <c r="K1197" s="771"/>
      <c r="L1197" s="100"/>
      <c r="M1197" s="101"/>
    </row>
    <row r="1198" spans="4:13" x14ac:dyDescent="0.2">
      <c r="D1198" s="89"/>
      <c r="E1198" s="718">
        <v>45471</v>
      </c>
      <c r="F1198" s="380">
        <v>7.0000000000000001E-3</v>
      </c>
      <c r="G1198" s="380" t="s">
        <v>449</v>
      </c>
      <c r="H1198" s="380">
        <v>-3.0000000000000001E-3</v>
      </c>
      <c r="I1198" s="769"/>
      <c r="J1198" s="770"/>
      <c r="K1198" s="771"/>
      <c r="L1198" s="102"/>
      <c r="M1198" s="101"/>
    </row>
    <row r="1199" spans="4:13" x14ac:dyDescent="0.2">
      <c r="D1199" s="89"/>
      <c r="E1199" s="718">
        <v>45422</v>
      </c>
      <c r="F1199" s="380">
        <v>6.0000000000000001E-3</v>
      </c>
      <c r="G1199" s="380" t="s">
        <v>452</v>
      </c>
      <c r="H1199" s="380">
        <v>-3.0000000000000001E-3</v>
      </c>
      <c r="I1199" s="769"/>
      <c r="J1199" s="770"/>
      <c r="K1199" s="771"/>
      <c r="L1199" s="100"/>
      <c r="M1199" s="101"/>
    </row>
    <row r="1200" spans="4:13" x14ac:dyDescent="0.2">
      <c r="D1200" s="89"/>
      <c r="E1200" s="718">
        <v>45379</v>
      </c>
      <c r="F1200" s="380">
        <v>-3.0000000000000001E-3</v>
      </c>
      <c r="G1200" s="380" t="s">
        <v>454</v>
      </c>
      <c r="H1200" s="380">
        <v>-1E-3</v>
      </c>
      <c r="I1200" s="769"/>
      <c r="J1200" s="770"/>
      <c r="K1200" s="771"/>
      <c r="L1200" s="100"/>
      <c r="M1200" s="101"/>
    </row>
    <row r="1201" spans="4:13" ht="20" thickBot="1" x14ac:dyDescent="0.25">
      <c r="D1201" s="89"/>
      <c r="E1201" s="718">
        <v>45337</v>
      </c>
      <c r="F1201" s="380">
        <v>-3.0000000000000001E-3</v>
      </c>
      <c r="G1201" s="380" t="s">
        <v>456</v>
      </c>
      <c r="H1201" s="380">
        <v>-1E-3</v>
      </c>
      <c r="I1201" s="772"/>
      <c r="J1201" s="773"/>
      <c r="K1201" s="774"/>
      <c r="L1201" s="103"/>
      <c r="M1201" s="104"/>
    </row>
    <row r="1202" spans="4:13" ht="25" thickBot="1" x14ac:dyDescent="0.25">
      <c r="D1202" s="88" t="s">
        <v>105</v>
      </c>
      <c r="E1202" s="713" t="s">
        <v>30</v>
      </c>
      <c r="F1202" s="814" t="s">
        <v>965</v>
      </c>
      <c r="G1202" s="815"/>
      <c r="H1202" s="816"/>
      <c r="I1202" s="846" t="s">
        <v>633</v>
      </c>
      <c r="J1202" s="847"/>
      <c r="K1202" s="848"/>
      <c r="L1202" s="162" t="s">
        <v>430</v>
      </c>
      <c r="M1202" s="106" t="s">
        <v>431</v>
      </c>
    </row>
    <row r="1203" spans="4:13" x14ac:dyDescent="0.2">
      <c r="D1203" s="89"/>
      <c r="E1203" s="714" t="s">
        <v>432</v>
      </c>
      <c r="F1203" s="805"/>
      <c r="G1203" s="806"/>
      <c r="H1203" s="807"/>
      <c r="I1203" s="769" t="s">
        <v>966</v>
      </c>
      <c r="J1203" s="770"/>
      <c r="K1203" s="771"/>
      <c r="L1203" s="100"/>
      <c r="M1203" s="101"/>
    </row>
    <row r="1204" spans="4:13" x14ac:dyDescent="0.2">
      <c r="D1204" s="89"/>
      <c r="E1204" s="715" t="s">
        <v>433</v>
      </c>
      <c r="F1204" s="824">
        <v>2E-3</v>
      </c>
      <c r="G1204" s="825"/>
      <c r="H1204" s="826"/>
      <c r="I1204" s="769"/>
      <c r="J1204" s="770"/>
      <c r="K1204" s="771"/>
      <c r="L1204" s="100"/>
      <c r="M1204" s="101"/>
    </row>
    <row r="1205" spans="4:13" ht="20" thickBot="1" x14ac:dyDescent="0.25">
      <c r="D1205" s="89"/>
      <c r="E1205" s="715" t="s">
        <v>434</v>
      </c>
      <c r="F1205" s="824">
        <v>5.0000000000000001E-3</v>
      </c>
      <c r="G1205" s="825"/>
      <c r="H1205" s="826"/>
      <c r="I1205" s="769"/>
      <c r="J1205" s="770"/>
      <c r="K1205" s="771"/>
      <c r="L1205" s="100"/>
      <c r="M1205" s="101"/>
    </row>
    <row r="1206" spans="4:13" ht="20" thickBot="1" x14ac:dyDescent="0.25">
      <c r="D1206" s="89"/>
      <c r="E1206" s="716" t="s">
        <v>435</v>
      </c>
      <c r="F1206" s="811">
        <v>0.29166666666666674</v>
      </c>
      <c r="G1206" s="812"/>
      <c r="H1206" s="813"/>
      <c r="I1206" s="769"/>
      <c r="J1206" s="770"/>
      <c r="K1206" s="771"/>
      <c r="L1206" s="107">
        <v>0.52083333333333337</v>
      </c>
      <c r="M1206" s="108">
        <v>0.375</v>
      </c>
    </row>
    <row r="1207" spans="4:13" ht="20" thickBot="1" x14ac:dyDescent="0.25">
      <c r="D1207" s="89"/>
      <c r="E1207" s="717" t="s">
        <v>436</v>
      </c>
      <c r="F1207" s="278" t="s">
        <v>29</v>
      </c>
      <c r="G1207" s="278" t="s">
        <v>28</v>
      </c>
      <c r="H1207" s="279" t="s">
        <v>27</v>
      </c>
      <c r="I1207" s="769"/>
      <c r="J1207" s="770"/>
      <c r="K1207" s="771"/>
      <c r="L1207" s="100"/>
      <c r="M1207" s="215"/>
    </row>
    <row r="1208" spans="4:13" x14ac:dyDescent="0.2">
      <c r="D1208" s="89"/>
      <c r="E1208" s="718">
        <v>45565</v>
      </c>
      <c r="F1208" s="380">
        <v>5.0000000000000001E-3</v>
      </c>
      <c r="G1208" s="380" t="s">
        <v>449</v>
      </c>
      <c r="H1208" s="380">
        <v>7.0000000000000001E-3</v>
      </c>
      <c r="I1208" s="769"/>
      <c r="J1208" s="770"/>
      <c r="K1208" s="771"/>
      <c r="L1208" s="100"/>
      <c r="M1208" s="101"/>
    </row>
    <row r="1209" spans="4:13" x14ac:dyDescent="0.2">
      <c r="D1209" s="89"/>
      <c r="E1209" s="718">
        <v>45519</v>
      </c>
      <c r="F1209" s="380">
        <v>6.0000000000000001E-3</v>
      </c>
      <c r="G1209" s="380" t="s">
        <v>449</v>
      </c>
      <c r="H1209" s="380">
        <v>7.0000000000000001E-3</v>
      </c>
      <c r="I1209" s="769"/>
      <c r="J1209" s="770"/>
      <c r="K1209" s="771"/>
      <c r="L1209" s="100"/>
      <c r="M1209" s="101"/>
    </row>
    <row r="1210" spans="4:13" x14ac:dyDescent="0.2">
      <c r="D1210" s="89"/>
      <c r="E1210" s="718">
        <v>45471</v>
      </c>
      <c r="F1210" s="380">
        <v>7.0000000000000001E-3</v>
      </c>
      <c r="G1210" s="380" t="s">
        <v>449</v>
      </c>
      <c r="H1210" s="380">
        <v>-3.0000000000000001E-3</v>
      </c>
      <c r="I1210" s="769"/>
      <c r="J1210" s="770"/>
      <c r="K1210" s="771"/>
      <c r="L1210" s="102"/>
      <c r="M1210" s="101"/>
    </row>
    <row r="1211" spans="4:13" x14ac:dyDescent="0.2">
      <c r="D1211" s="89"/>
      <c r="E1211" s="718">
        <v>45422</v>
      </c>
      <c r="F1211" s="380">
        <v>6.0000000000000001E-3</v>
      </c>
      <c r="G1211" s="380" t="s">
        <v>452</v>
      </c>
      <c r="H1211" s="380">
        <v>-3.0000000000000001E-3</v>
      </c>
      <c r="I1211" s="769"/>
      <c r="J1211" s="770"/>
      <c r="K1211" s="771"/>
      <c r="L1211" s="100"/>
      <c r="M1211" s="101"/>
    </row>
    <row r="1212" spans="4:13" x14ac:dyDescent="0.2">
      <c r="D1212" s="89"/>
      <c r="E1212" s="718">
        <v>45379</v>
      </c>
      <c r="F1212" s="380">
        <v>-3.0000000000000001E-3</v>
      </c>
      <c r="G1212" s="380" t="s">
        <v>454</v>
      </c>
      <c r="H1212" s="380">
        <v>-1E-3</v>
      </c>
      <c r="I1212" s="769"/>
      <c r="J1212" s="770"/>
      <c r="K1212" s="771"/>
      <c r="L1212" s="100"/>
      <c r="M1212" s="101"/>
    </row>
    <row r="1213" spans="4:13" ht="20" thickBot="1" x14ac:dyDescent="0.25">
      <c r="D1213" s="89"/>
      <c r="E1213" s="718">
        <v>45337</v>
      </c>
      <c r="F1213" s="380">
        <v>-3.0000000000000001E-3</v>
      </c>
      <c r="G1213" s="380" t="s">
        <v>456</v>
      </c>
      <c r="H1213" s="380">
        <v>-1E-3</v>
      </c>
      <c r="I1213" s="772"/>
      <c r="J1213" s="773"/>
      <c r="K1213" s="774"/>
      <c r="L1213" s="103"/>
      <c r="M1213" s="104"/>
    </row>
    <row r="1214" spans="4:13" ht="25" thickBot="1" x14ac:dyDescent="0.25">
      <c r="D1214" s="88" t="s">
        <v>105</v>
      </c>
      <c r="E1214" s="713" t="s">
        <v>30</v>
      </c>
      <c r="F1214" s="814" t="s">
        <v>967</v>
      </c>
      <c r="G1214" s="815"/>
      <c r="H1214" s="816"/>
      <c r="I1214" s="846" t="s">
        <v>633</v>
      </c>
      <c r="J1214" s="847"/>
      <c r="K1214" s="848"/>
      <c r="L1214" s="162" t="s">
        <v>430</v>
      </c>
      <c r="M1214" s="106" t="s">
        <v>431</v>
      </c>
    </row>
    <row r="1215" spans="4:13" x14ac:dyDescent="0.2">
      <c r="D1215" s="89"/>
      <c r="E1215" s="714" t="s">
        <v>432</v>
      </c>
      <c r="F1215" s="805"/>
      <c r="G1215" s="806"/>
      <c r="H1215" s="807"/>
      <c r="I1215" s="769" t="s">
        <v>691</v>
      </c>
      <c r="J1215" s="770"/>
      <c r="K1215" s="771"/>
      <c r="L1215" s="100"/>
      <c r="M1215" s="101"/>
    </row>
    <row r="1216" spans="4:13" x14ac:dyDescent="0.2">
      <c r="D1216" s="89"/>
      <c r="E1216" s="715" t="s">
        <v>433</v>
      </c>
      <c r="F1216" s="824">
        <v>2E-3</v>
      </c>
      <c r="G1216" s="825"/>
      <c r="H1216" s="826"/>
      <c r="I1216" s="769"/>
      <c r="J1216" s="770"/>
      <c r="K1216" s="771"/>
      <c r="L1216" s="100"/>
      <c r="M1216" s="101"/>
    </row>
    <row r="1217" spans="4:13" ht="20" thickBot="1" x14ac:dyDescent="0.25">
      <c r="D1217" s="89"/>
      <c r="E1217" s="715" t="s">
        <v>434</v>
      </c>
      <c r="F1217" s="824">
        <v>5.0000000000000001E-3</v>
      </c>
      <c r="G1217" s="825"/>
      <c r="H1217" s="826"/>
      <c r="I1217" s="769"/>
      <c r="J1217" s="770"/>
      <c r="K1217" s="771"/>
      <c r="L1217" s="100"/>
      <c r="M1217" s="101"/>
    </row>
    <row r="1218" spans="4:13" ht="20" thickBot="1" x14ac:dyDescent="0.25">
      <c r="D1218" s="89"/>
      <c r="E1218" s="716" t="s">
        <v>435</v>
      </c>
      <c r="F1218" s="811">
        <v>0.5625</v>
      </c>
      <c r="G1218" s="812"/>
      <c r="H1218" s="813"/>
      <c r="I1218" s="769"/>
      <c r="J1218" s="770"/>
      <c r="K1218" s="771"/>
      <c r="L1218" s="107">
        <v>0.79166666666666663</v>
      </c>
      <c r="M1218" s="108">
        <v>0.64583333333333326</v>
      </c>
    </row>
    <row r="1219" spans="4:13" ht="20" thickBot="1" x14ac:dyDescent="0.25">
      <c r="D1219" s="89"/>
      <c r="E1219" s="717" t="s">
        <v>436</v>
      </c>
      <c r="F1219" s="278" t="s">
        <v>29</v>
      </c>
      <c r="G1219" s="278" t="s">
        <v>28</v>
      </c>
      <c r="H1219" s="279" t="s">
        <v>27</v>
      </c>
      <c r="I1219" s="769"/>
      <c r="J1219" s="770"/>
      <c r="K1219" s="771"/>
      <c r="L1219" s="100"/>
      <c r="M1219" s="101"/>
    </row>
    <row r="1220" spans="4:13" x14ac:dyDescent="0.2">
      <c r="D1220" s="89"/>
      <c r="E1220" s="718">
        <v>45582</v>
      </c>
      <c r="F1220" s="380">
        <v>5.0000000000000001E-3</v>
      </c>
      <c r="G1220" s="380" t="s">
        <v>462</v>
      </c>
      <c r="H1220" s="380">
        <v>2E-3</v>
      </c>
      <c r="I1220" s="769"/>
      <c r="J1220" s="770"/>
      <c r="K1220" s="771"/>
      <c r="L1220" s="100"/>
      <c r="M1220" s="101"/>
    </row>
    <row r="1221" spans="4:13" x14ac:dyDescent="0.2">
      <c r="D1221" s="89"/>
      <c r="E1221" s="718">
        <v>45552</v>
      </c>
      <c r="F1221" s="380">
        <v>1E-3</v>
      </c>
      <c r="G1221" s="380" t="s">
        <v>460</v>
      </c>
      <c r="H1221" s="380">
        <v>4.0000000000000001E-3</v>
      </c>
      <c r="I1221" s="769"/>
      <c r="J1221" s="770"/>
      <c r="K1221" s="771"/>
      <c r="L1221" s="100"/>
      <c r="M1221" s="101"/>
    </row>
    <row r="1222" spans="4:13" x14ac:dyDescent="0.2">
      <c r="D1222" s="89"/>
      <c r="E1222" s="718">
        <v>45519</v>
      </c>
      <c r="F1222" s="380">
        <v>4.0000000000000001E-3</v>
      </c>
      <c r="G1222" s="380" t="s">
        <v>462</v>
      </c>
      <c r="H1222" s="380">
        <v>5.0000000000000001E-3</v>
      </c>
      <c r="I1222" s="769"/>
      <c r="J1222" s="770"/>
      <c r="K1222" s="771"/>
      <c r="L1222" s="102"/>
      <c r="M1222" s="101"/>
    </row>
    <row r="1223" spans="4:13" x14ac:dyDescent="0.2">
      <c r="D1223" s="89"/>
      <c r="E1223" s="718">
        <v>45489</v>
      </c>
      <c r="F1223" s="380">
        <v>4.0000000000000001E-3</v>
      </c>
      <c r="G1223" s="380" t="s">
        <v>462</v>
      </c>
      <c r="H1223" s="380">
        <v>1E-3</v>
      </c>
      <c r="I1223" s="769"/>
      <c r="J1223" s="770"/>
      <c r="K1223" s="771"/>
      <c r="L1223" s="100"/>
      <c r="M1223" s="101"/>
    </row>
    <row r="1224" spans="4:13" x14ac:dyDescent="0.2">
      <c r="D1224" s="89"/>
      <c r="E1224" s="718">
        <v>45461</v>
      </c>
      <c r="F1224" s="380">
        <v>-1E-3</v>
      </c>
      <c r="G1224" s="380" t="s">
        <v>460</v>
      </c>
      <c r="H1224" s="380">
        <v>-1E-3</v>
      </c>
      <c r="I1224" s="769"/>
      <c r="J1224" s="770"/>
      <c r="K1224" s="771"/>
      <c r="L1224" s="100"/>
      <c r="M1224" s="101"/>
    </row>
    <row r="1225" spans="4:13" ht="20" thickBot="1" x14ac:dyDescent="0.25">
      <c r="D1225" s="89"/>
      <c r="E1225" s="718">
        <v>45427</v>
      </c>
      <c r="F1225" s="380">
        <v>2E-3</v>
      </c>
      <c r="G1225" s="380" t="s">
        <v>460</v>
      </c>
      <c r="H1225" s="380">
        <v>8.9999999999999993E-3</v>
      </c>
      <c r="I1225" s="772"/>
      <c r="J1225" s="773"/>
      <c r="K1225" s="774"/>
      <c r="L1225" s="103"/>
      <c r="M1225" s="104"/>
    </row>
    <row r="1226" spans="4:13" ht="25" thickBot="1" x14ac:dyDescent="0.25">
      <c r="D1226" s="88" t="s">
        <v>105</v>
      </c>
      <c r="E1226" s="713" t="s">
        <v>30</v>
      </c>
      <c r="F1226" s="814" t="s">
        <v>968</v>
      </c>
      <c r="G1226" s="815"/>
      <c r="H1226" s="816"/>
      <c r="I1226" s="846" t="s">
        <v>633</v>
      </c>
      <c r="J1226" s="847"/>
      <c r="K1226" s="848"/>
      <c r="L1226" s="162" t="s">
        <v>430</v>
      </c>
      <c r="M1226" s="106" t="s">
        <v>431</v>
      </c>
    </row>
    <row r="1227" spans="4:13" x14ac:dyDescent="0.2">
      <c r="D1227" s="89"/>
      <c r="E1227" s="714" t="s">
        <v>432</v>
      </c>
      <c r="F1227" s="805"/>
      <c r="G1227" s="806"/>
      <c r="H1227" s="807"/>
      <c r="I1227" s="769" t="s">
        <v>969</v>
      </c>
      <c r="J1227" s="770"/>
      <c r="K1227" s="771"/>
      <c r="L1227" s="100"/>
      <c r="M1227" s="101"/>
    </row>
    <row r="1228" spans="4:13" x14ac:dyDescent="0.2">
      <c r="D1228" s="89"/>
      <c r="E1228" s="715" t="s">
        <v>433</v>
      </c>
      <c r="F1228" s="824">
        <v>3.0000000000000001E-3</v>
      </c>
      <c r="G1228" s="825"/>
      <c r="H1228" s="826"/>
      <c r="I1228" s="769"/>
      <c r="J1228" s="770"/>
      <c r="K1228" s="771"/>
      <c r="L1228" s="100"/>
      <c r="M1228" s="101"/>
    </row>
    <row r="1229" spans="4:13" ht="20" thickBot="1" x14ac:dyDescent="0.25">
      <c r="D1229" s="89"/>
      <c r="E1229" s="715" t="s">
        <v>434</v>
      </c>
      <c r="F1229" s="824">
        <v>4.0000000000000001E-3</v>
      </c>
      <c r="G1229" s="825"/>
      <c r="H1229" s="826"/>
      <c r="I1229" s="769"/>
      <c r="J1229" s="770"/>
      <c r="K1229" s="771"/>
      <c r="L1229" s="100"/>
      <c r="M1229" s="101"/>
    </row>
    <row r="1230" spans="4:13" ht="20" thickBot="1" x14ac:dyDescent="0.25">
      <c r="D1230" s="89"/>
      <c r="E1230" s="716" t="s">
        <v>435</v>
      </c>
      <c r="F1230" s="811">
        <v>0.5625</v>
      </c>
      <c r="G1230" s="812"/>
      <c r="H1230" s="813"/>
      <c r="I1230" s="769"/>
      <c r="J1230" s="770"/>
      <c r="K1230" s="771"/>
      <c r="L1230" s="107">
        <v>0.79166666666666663</v>
      </c>
      <c r="M1230" s="108">
        <v>0.64583333333333326</v>
      </c>
    </row>
    <row r="1231" spans="4:13" ht="20" thickBot="1" x14ac:dyDescent="0.25">
      <c r="D1231" s="89"/>
      <c r="E1231" s="717" t="s">
        <v>436</v>
      </c>
      <c r="F1231" s="278" t="s">
        <v>29</v>
      </c>
      <c r="G1231" s="278" t="s">
        <v>28</v>
      </c>
      <c r="H1231" s="279" t="s">
        <v>27</v>
      </c>
      <c r="I1231" s="769"/>
      <c r="J1231" s="770"/>
      <c r="K1231" s="771"/>
      <c r="L1231" s="100"/>
      <c r="M1231" s="101"/>
    </row>
    <row r="1232" spans="4:13" x14ac:dyDescent="0.2">
      <c r="D1232" s="89"/>
      <c r="E1232" s="718">
        <v>45582</v>
      </c>
      <c r="F1232" s="380">
        <v>4.0000000000000001E-3</v>
      </c>
      <c r="G1232" s="380" t="s">
        <v>467</v>
      </c>
      <c r="H1232" s="380">
        <v>1E-3</v>
      </c>
      <c r="I1232" s="769"/>
      <c r="J1232" s="770"/>
      <c r="K1232" s="771"/>
      <c r="L1232" s="100"/>
      <c r="M1232" s="101"/>
    </row>
    <row r="1233" spans="3:13" x14ac:dyDescent="0.2">
      <c r="D1233" s="89"/>
      <c r="E1233" s="718">
        <v>45552</v>
      </c>
      <c r="F1233" s="380">
        <v>1E-3</v>
      </c>
      <c r="G1233" s="380" t="s">
        <v>461</v>
      </c>
      <c r="H1233" s="380">
        <v>1.0999999999999999E-2</v>
      </c>
      <c r="I1233" s="769"/>
      <c r="J1233" s="770"/>
      <c r="K1233" s="771"/>
      <c r="L1233" s="100"/>
      <c r="M1233" s="101"/>
    </row>
    <row r="1234" spans="3:13" x14ac:dyDescent="0.2">
      <c r="D1234" s="89"/>
      <c r="E1234" s="718">
        <v>45519</v>
      </c>
      <c r="F1234" s="380">
        <v>0.01</v>
      </c>
      <c r="G1234" s="380" t="s">
        <v>452</v>
      </c>
      <c r="H1234" s="380">
        <v>-2E-3</v>
      </c>
      <c r="I1234" s="769"/>
      <c r="J1234" s="770"/>
      <c r="K1234" s="771"/>
      <c r="L1234" s="102"/>
      <c r="M1234" s="101"/>
    </row>
    <row r="1235" spans="3:13" x14ac:dyDescent="0.2">
      <c r="D1235" s="89"/>
      <c r="E1235" s="718">
        <v>45489</v>
      </c>
      <c r="F1235" s="380">
        <v>0</v>
      </c>
      <c r="G1235" s="380" t="s">
        <v>454</v>
      </c>
      <c r="H1235" s="380">
        <v>3.0000000000000001E-3</v>
      </c>
      <c r="I1235" s="769"/>
      <c r="J1235" s="770"/>
      <c r="K1235" s="771"/>
      <c r="L1235" s="100"/>
      <c r="M1235" s="101"/>
    </row>
    <row r="1236" spans="3:13" x14ac:dyDescent="0.2">
      <c r="D1236" s="89"/>
      <c r="E1236" s="718">
        <v>45461</v>
      </c>
      <c r="F1236" s="380">
        <v>1E-3</v>
      </c>
      <c r="G1236" s="380" t="s">
        <v>467</v>
      </c>
      <c r="H1236" s="380">
        <v>-2E-3</v>
      </c>
      <c r="I1236" s="769"/>
      <c r="J1236" s="770"/>
      <c r="K1236" s="771"/>
      <c r="L1236" s="100"/>
      <c r="M1236" s="101"/>
    </row>
    <row r="1237" spans="3:13" ht="20" thickBot="1" x14ac:dyDescent="0.25">
      <c r="D1237" s="89"/>
      <c r="E1237" s="722">
        <v>45427</v>
      </c>
      <c r="F1237" s="724">
        <v>0</v>
      </c>
      <c r="G1237" s="724" t="s">
        <v>452</v>
      </c>
      <c r="H1237" s="724">
        <v>6.0000000000000001E-3</v>
      </c>
      <c r="I1237" s="772"/>
      <c r="J1237" s="773"/>
      <c r="K1237" s="774"/>
      <c r="L1237" s="103"/>
      <c r="M1237" s="104"/>
    </row>
    <row r="1238" spans="3:13" ht="25" thickBot="1" x14ac:dyDescent="0.25">
      <c r="C1238" t="s">
        <v>105</v>
      </c>
      <c r="D1238" t="s">
        <v>105</v>
      </c>
      <c r="E1238" s="713" t="s">
        <v>30</v>
      </c>
      <c r="F1238" s="814" t="s">
        <v>1005</v>
      </c>
      <c r="G1238" s="815"/>
      <c r="H1238" s="816"/>
      <c r="I1238" s="846" t="s">
        <v>633</v>
      </c>
      <c r="J1238" s="847"/>
      <c r="K1238" s="848"/>
      <c r="L1238" s="162" t="s">
        <v>430</v>
      </c>
      <c r="M1238" s="106" t="s">
        <v>431</v>
      </c>
    </row>
    <row r="1239" spans="3:13" x14ac:dyDescent="0.2">
      <c r="E1239" s="714" t="s">
        <v>432</v>
      </c>
      <c r="F1239" s="805"/>
      <c r="G1239" s="806"/>
      <c r="H1239" s="807"/>
      <c r="I1239" s="769" t="s">
        <v>1006</v>
      </c>
      <c r="J1239" s="770"/>
      <c r="K1239" s="771"/>
      <c r="L1239" s="100"/>
      <c r="M1239" s="101"/>
    </row>
    <row r="1240" spans="3:13" x14ac:dyDescent="0.2">
      <c r="E1240" s="715" t="s">
        <v>433</v>
      </c>
      <c r="F1240" s="824">
        <v>0.02</v>
      </c>
      <c r="G1240" s="825"/>
      <c r="H1240" s="826"/>
      <c r="I1240" s="769"/>
      <c r="J1240" s="770"/>
      <c r="K1240" s="771"/>
      <c r="L1240" s="100"/>
      <c r="M1240" s="101"/>
    </row>
    <row r="1241" spans="3:13" ht="20" thickBot="1" x14ac:dyDescent="0.25">
      <c r="E1241" s="715" t="s">
        <v>434</v>
      </c>
      <c r="F1241" s="824">
        <v>0.02</v>
      </c>
      <c r="G1241" s="825"/>
      <c r="H1241" s="826"/>
      <c r="I1241" s="769"/>
      <c r="J1241" s="770"/>
      <c r="K1241" s="771"/>
      <c r="L1241" s="100"/>
      <c r="M1241" s="101"/>
    </row>
    <row r="1242" spans="3:13" ht="20" thickBot="1" x14ac:dyDescent="0.25">
      <c r="E1242" s="716" t="s">
        <v>435</v>
      </c>
      <c r="F1242" s="811">
        <v>0.41666666666666674</v>
      </c>
      <c r="G1242" s="812"/>
      <c r="H1242" s="813"/>
      <c r="I1242" s="769"/>
      <c r="J1242" s="770"/>
      <c r="K1242" s="771"/>
      <c r="L1242" s="107">
        <v>0.64583333333333337</v>
      </c>
      <c r="M1242" s="108">
        <v>0.5</v>
      </c>
    </row>
    <row r="1243" spans="3:13" ht="20" thickBot="1" x14ac:dyDescent="0.25">
      <c r="E1243" s="717" t="s">
        <v>436</v>
      </c>
      <c r="F1243" s="278" t="s">
        <v>29</v>
      </c>
      <c r="G1243" s="278" t="s">
        <v>28</v>
      </c>
      <c r="H1243" s="279" t="s">
        <v>27</v>
      </c>
      <c r="I1243" s="769"/>
      <c r="J1243" s="770"/>
      <c r="K1243" s="771"/>
      <c r="L1243" s="100"/>
      <c r="M1243" s="101"/>
    </row>
    <row r="1244" spans="3:13" x14ac:dyDescent="0.2">
      <c r="E1244" s="718">
        <v>45596</v>
      </c>
      <c r="F1244" s="385">
        <v>0.02</v>
      </c>
      <c r="G1244" s="385" t="s">
        <v>789</v>
      </c>
      <c r="H1244" s="385">
        <v>1.7000000000000001E-2</v>
      </c>
      <c r="I1244" s="769"/>
      <c r="J1244" s="770"/>
      <c r="K1244" s="771"/>
      <c r="L1244" s="100"/>
      <c r="M1244" s="101"/>
    </row>
    <row r="1245" spans="3:13" x14ac:dyDescent="0.2">
      <c r="E1245" s="718">
        <v>45582</v>
      </c>
      <c r="F1245" s="385">
        <v>1.7000000000000001E-2</v>
      </c>
      <c r="G1245" s="385" t="s">
        <v>895</v>
      </c>
      <c r="H1245" s="385">
        <v>2.1999999999999999E-2</v>
      </c>
      <c r="I1245" s="769"/>
      <c r="J1245" s="770"/>
      <c r="K1245" s="771"/>
      <c r="L1245" s="100"/>
      <c r="M1245" s="101"/>
    </row>
    <row r="1246" spans="3:13" x14ac:dyDescent="0.2">
      <c r="E1246" s="718">
        <v>45566</v>
      </c>
      <c r="F1246" s="385">
        <v>1.7999999999999999E-2</v>
      </c>
      <c r="G1246" s="385" t="s">
        <v>895</v>
      </c>
      <c r="H1246" s="385">
        <v>2.1999999999999999E-2</v>
      </c>
      <c r="I1246" s="769"/>
      <c r="J1246" s="770"/>
      <c r="K1246" s="771"/>
      <c r="L1246" s="102"/>
      <c r="M1246" s="101"/>
    </row>
    <row r="1247" spans="3:13" x14ac:dyDescent="0.2">
      <c r="E1247" s="718">
        <v>45553</v>
      </c>
      <c r="F1247" s="385">
        <v>2.1999999999999999E-2</v>
      </c>
      <c r="G1247" s="385" t="s">
        <v>490</v>
      </c>
      <c r="H1247" s="385">
        <v>2.5999999999999999E-2</v>
      </c>
      <c r="I1247" s="769"/>
      <c r="J1247" s="770"/>
      <c r="K1247" s="771"/>
      <c r="L1247" s="100"/>
      <c r="M1247" s="101"/>
    </row>
    <row r="1248" spans="3:13" x14ac:dyDescent="0.2">
      <c r="E1248" s="718">
        <v>45534</v>
      </c>
      <c r="F1248" s="385">
        <v>2.1999999999999999E-2</v>
      </c>
      <c r="G1248" s="385" t="s">
        <v>490</v>
      </c>
      <c r="H1248" s="385">
        <v>2.5999999999999999E-2</v>
      </c>
      <c r="I1248" s="769"/>
      <c r="J1248" s="770"/>
      <c r="K1248" s="771"/>
      <c r="L1248" s="100"/>
      <c r="M1248" s="101"/>
    </row>
    <row r="1249" spans="4:13" ht="20" thickBot="1" x14ac:dyDescent="0.25">
      <c r="E1249" s="718">
        <v>45524</v>
      </c>
      <c r="F1249" s="385">
        <v>2.5999999999999999E-2</v>
      </c>
      <c r="G1249" s="385" t="s">
        <v>493</v>
      </c>
      <c r="H1249" s="385">
        <v>2.5000000000000001E-2</v>
      </c>
      <c r="I1249" s="772"/>
      <c r="J1249" s="773"/>
      <c r="K1249" s="774"/>
      <c r="L1249" s="103"/>
      <c r="M1249" s="104"/>
    </row>
    <row r="1250" spans="4:13" ht="25" thickBot="1" x14ac:dyDescent="0.25">
      <c r="E1250" s="713" t="s">
        <v>30</v>
      </c>
      <c r="F1250" s="814" t="s">
        <v>1007</v>
      </c>
      <c r="G1250" s="815"/>
      <c r="H1250" s="816"/>
      <c r="I1250" s="846" t="s">
        <v>633</v>
      </c>
      <c r="J1250" s="847"/>
      <c r="K1250" s="848"/>
      <c r="L1250" s="162" t="s">
        <v>430</v>
      </c>
      <c r="M1250" s="106" t="s">
        <v>431</v>
      </c>
    </row>
    <row r="1251" spans="4:13" x14ac:dyDescent="0.2">
      <c r="E1251" s="714" t="s">
        <v>432</v>
      </c>
      <c r="F1251" s="805"/>
      <c r="G1251" s="806"/>
      <c r="H1251" s="807"/>
      <c r="I1251" s="769" t="s">
        <v>1008</v>
      </c>
      <c r="J1251" s="770"/>
      <c r="K1251" s="771"/>
      <c r="L1251" s="100"/>
      <c r="M1251" s="101"/>
    </row>
    <row r="1252" spans="4:13" x14ac:dyDescent="0.2">
      <c r="E1252" s="715" t="s">
        <v>433</v>
      </c>
      <c r="F1252" s="824"/>
      <c r="G1252" s="825"/>
      <c r="H1252" s="826"/>
      <c r="I1252" s="769"/>
      <c r="J1252" s="770"/>
      <c r="K1252" s="771"/>
      <c r="L1252" s="100"/>
      <c r="M1252" s="101"/>
    </row>
    <row r="1253" spans="4:13" ht="20" thickBot="1" x14ac:dyDescent="0.25">
      <c r="E1253" s="715" t="s">
        <v>434</v>
      </c>
      <c r="F1253" s="824">
        <v>1.6E-2</v>
      </c>
      <c r="G1253" s="825"/>
      <c r="H1253" s="826"/>
      <c r="I1253" s="769"/>
      <c r="J1253" s="770"/>
      <c r="K1253" s="771"/>
      <c r="L1253" s="100"/>
      <c r="M1253" s="101"/>
    </row>
    <row r="1254" spans="4:13" ht="20" thickBot="1" x14ac:dyDescent="0.25">
      <c r="E1254" s="716" t="s">
        <v>435</v>
      </c>
      <c r="F1254" s="811">
        <v>0.5625</v>
      </c>
      <c r="G1254" s="812"/>
      <c r="H1254" s="813"/>
      <c r="I1254" s="769"/>
      <c r="J1254" s="770"/>
      <c r="K1254" s="771"/>
      <c r="L1254" s="107">
        <v>0.79166666666666663</v>
      </c>
      <c r="M1254" s="108">
        <v>0.64583333333333326</v>
      </c>
    </row>
    <row r="1255" spans="4:13" ht="20" thickBot="1" x14ac:dyDescent="0.25">
      <c r="E1255" s="717" t="s">
        <v>436</v>
      </c>
      <c r="F1255" s="278" t="s">
        <v>29</v>
      </c>
      <c r="G1255" s="278" t="s">
        <v>28</v>
      </c>
      <c r="H1255" s="279" t="s">
        <v>27</v>
      </c>
      <c r="I1255" s="769"/>
      <c r="J1255" s="770"/>
      <c r="K1255" s="771"/>
      <c r="L1255" s="100"/>
      <c r="M1255" s="101"/>
    </row>
    <row r="1256" spans="4:13" x14ac:dyDescent="0.2">
      <c r="E1256" s="718">
        <v>45580</v>
      </c>
      <c r="F1256" s="385">
        <v>1.6E-2</v>
      </c>
      <c r="G1256" s="385" t="s">
        <v>895</v>
      </c>
      <c r="H1256" s="385">
        <v>0.02</v>
      </c>
      <c r="I1256" s="769"/>
      <c r="J1256" s="770"/>
      <c r="K1256" s="771"/>
      <c r="L1256" s="100"/>
      <c r="M1256" s="101"/>
    </row>
    <row r="1257" spans="4:13" x14ac:dyDescent="0.2">
      <c r="E1257" s="718">
        <v>45552</v>
      </c>
      <c r="F1257" s="385">
        <v>0.02</v>
      </c>
      <c r="G1257" s="385" t="s">
        <v>754</v>
      </c>
      <c r="H1257" s="385">
        <v>2.5000000000000001E-2</v>
      </c>
      <c r="I1257" s="769"/>
      <c r="J1257" s="770"/>
      <c r="K1257" s="771"/>
      <c r="L1257" s="100"/>
      <c r="M1257" s="101"/>
    </row>
    <row r="1258" spans="4:13" x14ac:dyDescent="0.2">
      <c r="E1258" s="718">
        <v>45524</v>
      </c>
      <c r="F1258" s="385">
        <v>2.5000000000000001E-2</v>
      </c>
      <c r="G1258" s="385" t="s">
        <v>495</v>
      </c>
      <c r="H1258" s="385">
        <v>2.7E-2</v>
      </c>
      <c r="I1258" s="769"/>
      <c r="J1258" s="770"/>
      <c r="K1258" s="771"/>
      <c r="L1258" s="102"/>
      <c r="M1258" s="101"/>
    </row>
    <row r="1259" spans="4:13" x14ac:dyDescent="0.2">
      <c r="E1259" s="718">
        <v>45489</v>
      </c>
      <c r="F1259" s="385">
        <v>2.7E-2</v>
      </c>
      <c r="G1259" s="385" t="s">
        <v>754</v>
      </c>
      <c r="H1259" s="385">
        <v>2.9000000000000001E-2</v>
      </c>
      <c r="I1259" s="769"/>
      <c r="J1259" s="770"/>
      <c r="K1259" s="771"/>
      <c r="L1259" s="100"/>
      <c r="M1259" s="101"/>
    </row>
    <row r="1260" spans="4:13" x14ac:dyDescent="0.2">
      <c r="E1260" s="718">
        <v>45468</v>
      </c>
      <c r="F1260" s="385">
        <v>2.9000000000000001E-2</v>
      </c>
      <c r="G1260" s="385" t="s">
        <v>493</v>
      </c>
      <c r="H1260" s="385">
        <v>2.7E-2</v>
      </c>
      <c r="I1260" s="769"/>
      <c r="J1260" s="770"/>
      <c r="K1260" s="771"/>
      <c r="L1260" s="100"/>
      <c r="M1260" s="101"/>
    </row>
    <row r="1261" spans="4:13" ht="20" thickBot="1" x14ac:dyDescent="0.25">
      <c r="E1261" s="718">
        <v>45433</v>
      </c>
      <c r="F1261" s="385">
        <v>2.7E-2</v>
      </c>
      <c r="G1261" s="385" t="s">
        <v>665</v>
      </c>
      <c r="H1261" s="385">
        <v>2.9000000000000001E-2</v>
      </c>
      <c r="I1261" s="772"/>
      <c r="J1261" s="773"/>
      <c r="K1261" s="774"/>
      <c r="L1261" s="103"/>
      <c r="M1261" s="104"/>
    </row>
    <row r="1262" spans="4:13" ht="25" thickBot="1" x14ac:dyDescent="0.25">
      <c r="D1262" t="s">
        <v>105</v>
      </c>
      <c r="E1262" s="713" t="s">
        <v>30</v>
      </c>
      <c r="F1262" s="814" t="s">
        <v>1009</v>
      </c>
      <c r="G1262" s="815"/>
      <c r="H1262" s="816"/>
      <c r="I1262" s="846" t="s">
        <v>633</v>
      </c>
      <c r="J1262" s="847"/>
      <c r="K1262" s="848"/>
      <c r="L1262" s="162" t="s">
        <v>430</v>
      </c>
      <c r="M1262" s="106" t="s">
        <v>431</v>
      </c>
    </row>
    <row r="1263" spans="4:13" x14ac:dyDescent="0.2">
      <c r="E1263" s="714" t="s">
        <v>432</v>
      </c>
      <c r="F1263" s="805"/>
      <c r="G1263" s="806"/>
      <c r="H1263" s="807"/>
      <c r="I1263" s="769" t="s">
        <v>1010</v>
      </c>
      <c r="J1263" s="770"/>
      <c r="K1263" s="771"/>
      <c r="L1263" s="100"/>
      <c r="M1263" s="101"/>
    </row>
    <row r="1264" spans="4:13" x14ac:dyDescent="0.2">
      <c r="E1264" s="715" t="s">
        <v>433</v>
      </c>
      <c r="F1264" s="824"/>
      <c r="G1264" s="825"/>
      <c r="H1264" s="826"/>
      <c r="I1264" s="769"/>
      <c r="J1264" s="770"/>
      <c r="K1264" s="771"/>
      <c r="L1264" s="100"/>
      <c r="M1264" s="101"/>
    </row>
    <row r="1265" spans="4:13" ht="20" thickBot="1" x14ac:dyDescent="0.25">
      <c r="E1265" s="715" t="s">
        <v>434</v>
      </c>
      <c r="F1265" s="824">
        <v>1.7000000000000001E-2</v>
      </c>
      <c r="G1265" s="825"/>
      <c r="H1265" s="826"/>
      <c r="I1265" s="769"/>
      <c r="J1265" s="770"/>
      <c r="K1265" s="771"/>
      <c r="L1265" s="100"/>
      <c r="M1265" s="101"/>
    </row>
    <row r="1266" spans="4:13" ht="20" thickBot="1" x14ac:dyDescent="0.25">
      <c r="E1266" s="716" t="s">
        <v>435</v>
      </c>
      <c r="F1266" s="811">
        <v>0.29166666666666674</v>
      </c>
      <c r="G1266" s="812"/>
      <c r="H1266" s="813"/>
      <c r="I1266" s="769"/>
      <c r="J1266" s="770"/>
      <c r="K1266" s="771"/>
      <c r="L1266" s="107">
        <v>0.52083333333333337</v>
      </c>
      <c r="M1266" s="108">
        <v>0.375</v>
      </c>
    </row>
    <row r="1267" spans="4:13" ht="20" thickBot="1" x14ac:dyDescent="0.25">
      <c r="E1267" s="717" t="s">
        <v>436</v>
      </c>
      <c r="F1267" s="278" t="s">
        <v>29</v>
      </c>
      <c r="G1267" s="278" t="s">
        <v>28</v>
      </c>
      <c r="H1267" s="279" t="s">
        <v>27</v>
      </c>
      <c r="I1267" s="769"/>
      <c r="J1267" s="770"/>
      <c r="K1267" s="771"/>
      <c r="L1267" s="100"/>
      <c r="M1267" s="101"/>
    </row>
    <row r="1268" spans="4:13" x14ac:dyDescent="0.2">
      <c r="E1268" s="718">
        <v>45581</v>
      </c>
      <c r="F1268" s="385">
        <v>1.7000000000000001E-2</v>
      </c>
      <c r="G1268" s="385" t="s">
        <v>789</v>
      </c>
      <c r="H1268" s="385">
        <v>2.1999999999999999E-2</v>
      </c>
      <c r="I1268" s="769"/>
      <c r="J1268" s="770"/>
      <c r="K1268" s="771"/>
      <c r="L1268" s="100"/>
      <c r="M1268" s="101"/>
    </row>
    <row r="1269" spans="4:13" x14ac:dyDescent="0.2">
      <c r="E1269" s="718">
        <v>45553</v>
      </c>
      <c r="F1269" s="385">
        <v>2.1999999999999999E-2</v>
      </c>
      <c r="G1269" s="385" t="s">
        <v>490</v>
      </c>
      <c r="H1269" s="385">
        <v>2.1999999999999999E-2</v>
      </c>
      <c r="I1269" s="769"/>
      <c r="J1269" s="770"/>
      <c r="K1269" s="771"/>
      <c r="L1269" s="100"/>
      <c r="M1269" s="101"/>
    </row>
    <row r="1270" spans="4:13" x14ac:dyDescent="0.2">
      <c r="E1270" s="718">
        <v>45518</v>
      </c>
      <c r="F1270" s="385">
        <v>2.1999999999999999E-2</v>
      </c>
      <c r="G1270" s="385" t="s">
        <v>971</v>
      </c>
      <c r="H1270" s="385">
        <v>0.02</v>
      </c>
      <c r="I1270" s="769"/>
      <c r="J1270" s="770"/>
      <c r="K1270" s="771"/>
      <c r="L1270" s="102"/>
      <c r="M1270" s="101"/>
    </row>
    <row r="1271" spans="4:13" x14ac:dyDescent="0.2">
      <c r="E1271" s="718">
        <v>45490</v>
      </c>
      <c r="F1271" s="385">
        <v>0.02</v>
      </c>
      <c r="G1271" s="385" t="s">
        <v>789</v>
      </c>
      <c r="H1271" s="385">
        <v>0.02</v>
      </c>
      <c r="I1271" s="769"/>
      <c r="J1271" s="770"/>
      <c r="K1271" s="771"/>
      <c r="L1271" s="100"/>
      <c r="M1271" s="101"/>
    </row>
    <row r="1272" spans="4:13" x14ac:dyDescent="0.2">
      <c r="E1272" s="718">
        <v>45462</v>
      </c>
      <c r="F1272" s="385">
        <v>0.02</v>
      </c>
      <c r="G1272" s="385" t="s">
        <v>788</v>
      </c>
      <c r="H1272" s="385">
        <v>2.3E-2</v>
      </c>
      <c r="I1272" s="769"/>
      <c r="J1272" s="770"/>
      <c r="K1272" s="771"/>
      <c r="L1272" s="100"/>
      <c r="M1272" s="101"/>
    </row>
    <row r="1273" spans="4:13" ht="20" thickBot="1" x14ac:dyDescent="0.25">
      <c r="E1273" s="718">
        <v>45434</v>
      </c>
      <c r="F1273" s="385">
        <v>2.3E-2</v>
      </c>
      <c r="G1273" s="385" t="s">
        <v>1028</v>
      </c>
      <c r="H1273" s="385">
        <v>3.2000000000000001E-2</v>
      </c>
      <c r="I1273" s="772"/>
      <c r="J1273" s="773"/>
      <c r="K1273" s="774"/>
      <c r="L1273" s="103"/>
      <c r="M1273" s="104"/>
    </row>
    <row r="1274" spans="4:13" ht="25" thickBot="1" x14ac:dyDescent="0.25">
      <c r="D1274" t="s">
        <v>105</v>
      </c>
      <c r="E1274" s="713" t="s">
        <v>30</v>
      </c>
      <c r="F1274" s="814" t="s">
        <v>9</v>
      </c>
      <c r="G1274" s="815"/>
      <c r="H1274" s="816"/>
      <c r="I1274" s="846" t="s">
        <v>633</v>
      </c>
      <c r="J1274" s="847"/>
      <c r="K1274" s="848"/>
      <c r="L1274" s="162" t="s">
        <v>430</v>
      </c>
      <c r="M1274" s="106" t="s">
        <v>431</v>
      </c>
    </row>
    <row r="1275" spans="4:13" x14ac:dyDescent="0.2">
      <c r="E1275" s="714" t="s">
        <v>432</v>
      </c>
      <c r="F1275" s="805"/>
      <c r="G1275" s="806"/>
      <c r="H1275" s="807"/>
      <c r="I1275" s="769" t="s">
        <v>926</v>
      </c>
      <c r="J1275" s="770"/>
      <c r="K1275" s="771"/>
      <c r="L1275" s="100"/>
      <c r="M1275" s="101"/>
    </row>
    <row r="1276" spans="4:13" x14ac:dyDescent="0.2">
      <c r="E1276" s="715" t="s">
        <v>433</v>
      </c>
      <c r="F1276" s="824"/>
      <c r="G1276" s="825"/>
      <c r="H1276" s="826"/>
      <c r="I1276" s="769"/>
      <c r="J1276" s="770"/>
      <c r="K1276" s="771"/>
      <c r="L1276" s="100"/>
      <c r="M1276" s="101"/>
    </row>
    <row r="1277" spans="4:13" ht="20" thickBot="1" x14ac:dyDescent="0.25">
      <c r="E1277" s="715" t="s">
        <v>434</v>
      </c>
      <c r="F1277" s="824" t="s">
        <v>1011</v>
      </c>
      <c r="G1277" s="825"/>
      <c r="H1277" s="826"/>
      <c r="I1277" s="769"/>
      <c r="J1277" s="770"/>
      <c r="K1277" s="771"/>
      <c r="L1277" s="100"/>
      <c r="M1277" s="101"/>
    </row>
    <row r="1278" spans="4:13" ht="20" thickBot="1" x14ac:dyDescent="0.25">
      <c r="E1278" s="716" t="s">
        <v>435</v>
      </c>
      <c r="F1278" s="811">
        <v>0.64583333333333337</v>
      </c>
      <c r="G1278" s="812"/>
      <c r="H1278" s="813"/>
      <c r="I1278" s="769"/>
      <c r="J1278" s="770"/>
      <c r="K1278" s="771"/>
      <c r="L1278" s="107">
        <v>0.875</v>
      </c>
      <c r="M1278" s="108">
        <v>0.72916666666666663</v>
      </c>
    </row>
    <row r="1279" spans="4:13" ht="20" thickBot="1" x14ac:dyDescent="0.25">
      <c r="E1279" s="717" t="s">
        <v>436</v>
      </c>
      <c r="F1279" s="278" t="s">
        <v>29</v>
      </c>
      <c r="G1279" s="278" t="s">
        <v>28</v>
      </c>
      <c r="H1279" s="279" t="s">
        <v>27</v>
      </c>
      <c r="I1279" s="769"/>
      <c r="J1279" s="770"/>
      <c r="K1279" s="771"/>
      <c r="L1279" s="100"/>
      <c r="M1279" s="101"/>
    </row>
    <row r="1280" spans="4:13" x14ac:dyDescent="0.2">
      <c r="E1280" s="718">
        <v>45610</v>
      </c>
      <c r="F1280" s="719" t="s">
        <v>1029</v>
      </c>
      <c r="G1280" s="719" t="s">
        <v>1030</v>
      </c>
      <c r="H1280" s="719" t="s">
        <v>988</v>
      </c>
      <c r="I1280" s="769"/>
      <c r="J1280" s="770"/>
      <c r="K1280" s="771"/>
      <c r="L1280" s="100"/>
      <c r="M1280" s="101"/>
    </row>
    <row r="1281" spans="5:13" x14ac:dyDescent="0.2">
      <c r="E1281" s="718">
        <v>45602</v>
      </c>
      <c r="F1281" s="719" t="s">
        <v>988</v>
      </c>
      <c r="G1281" s="719" t="s">
        <v>989</v>
      </c>
      <c r="H1281" s="719" t="s">
        <v>990</v>
      </c>
      <c r="I1281" s="769"/>
      <c r="J1281" s="770"/>
      <c r="K1281" s="771"/>
      <c r="L1281" s="100"/>
      <c r="M1281" s="101"/>
    </row>
    <row r="1282" spans="5:13" x14ac:dyDescent="0.2">
      <c r="E1282" s="718">
        <v>45595</v>
      </c>
      <c r="F1282" s="719" t="s">
        <v>990</v>
      </c>
      <c r="G1282" s="719" t="s">
        <v>991</v>
      </c>
      <c r="H1282" s="719" t="s">
        <v>992</v>
      </c>
      <c r="I1282" s="769"/>
      <c r="J1282" s="770"/>
      <c r="K1282" s="771"/>
      <c r="L1282" s="102"/>
      <c r="M1282" s="101"/>
    </row>
    <row r="1283" spans="5:13" x14ac:dyDescent="0.2">
      <c r="E1283" s="718">
        <v>45588</v>
      </c>
      <c r="F1283" s="719" t="s">
        <v>992</v>
      </c>
      <c r="G1283" s="719" t="s">
        <v>993</v>
      </c>
      <c r="H1283" s="719" t="s">
        <v>994</v>
      </c>
      <c r="I1283" s="769"/>
      <c r="J1283" s="770"/>
      <c r="K1283" s="771"/>
      <c r="L1283" s="100"/>
      <c r="M1283" s="101"/>
    </row>
    <row r="1284" spans="5:13" x14ac:dyDescent="0.2">
      <c r="E1284" s="718">
        <v>45582</v>
      </c>
      <c r="F1284" s="719" t="s">
        <v>994</v>
      </c>
      <c r="G1284" s="719" t="s">
        <v>995</v>
      </c>
      <c r="H1284" s="719" t="s">
        <v>996</v>
      </c>
      <c r="I1284" s="769"/>
      <c r="J1284" s="770"/>
      <c r="K1284" s="771"/>
      <c r="L1284" s="100"/>
      <c r="M1284" s="101"/>
    </row>
    <row r="1285" spans="5:13" ht="20" thickBot="1" x14ac:dyDescent="0.25">
      <c r="E1285" s="718">
        <v>45574</v>
      </c>
      <c r="F1285" s="719" t="s">
        <v>996</v>
      </c>
      <c r="G1285" s="719" t="s">
        <v>997</v>
      </c>
      <c r="H1285" s="719" t="s">
        <v>998</v>
      </c>
      <c r="I1285" s="772"/>
      <c r="J1285" s="773"/>
      <c r="K1285" s="774"/>
      <c r="L1285" s="103"/>
      <c r="M1285" s="104"/>
    </row>
    <row r="1286" spans="5:13" ht="25" thickBot="1" x14ac:dyDescent="0.25">
      <c r="E1286" s="713" t="s">
        <v>30</v>
      </c>
      <c r="F1286" s="814" t="s">
        <v>1012</v>
      </c>
      <c r="G1286" s="815"/>
      <c r="H1286" s="816"/>
      <c r="I1286" s="846" t="s">
        <v>633</v>
      </c>
      <c r="J1286" s="847"/>
      <c r="K1286" s="848"/>
      <c r="L1286" s="162" t="s">
        <v>430</v>
      </c>
      <c r="M1286" s="106" t="s">
        <v>431</v>
      </c>
    </row>
    <row r="1287" spans="5:13" x14ac:dyDescent="0.2">
      <c r="E1287" s="714" t="s">
        <v>432</v>
      </c>
      <c r="F1287" s="805"/>
      <c r="G1287" s="806"/>
      <c r="H1287" s="807"/>
      <c r="I1287" s="769" t="s">
        <v>1013</v>
      </c>
      <c r="J1287" s="770"/>
      <c r="K1287" s="771"/>
      <c r="L1287" s="100"/>
      <c r="M1287" s="101"/>
    </row>
    <row r="1288" spans="5:13" x14ac:dyDescent="0.2">
      <c r="E1288" s="715" t="s">
        <v>433</v>
      </c>
      <c r="F1288" s="827">
        <v>32.97</v>
      </c>
      <c r="G1288" s="825"/>
      <c r="H1288" s="826"/>
      <c r="I1288" s="769"/>
      <c r="J1288" s="770"/>
      <c r="K1288" s="771"/>
      <c r="L1288" s="100"/>
      <c r="M1288" s="101"/>
    </row>
    <row r="1289" spans="5:13" ht="20" thickBot="1" x14ac:dyDescent="0.25">
      <c r="E1289" s="715" t="s">
        <v>434</v>
      </c>
      <c r="F1289" s="824"/>
      <c r="G1289" s="825"/>
      <c r="H1289" s="826"/>
      <c r="I1289" s="769"/>
      <c r="J1289" s="770"/>
      <c r="K1289" s="771"/>
      <c r="L1289" s="100"/>
      <c r="M1289" s="101"/>
    </row>
    <row r="1290" spans="5:13" ht="20" thickBot="1" x14ac:dyDescent="0.25">
      <c r="E1290" s="716" t="s">
        <v>435</v>
      </c>
      <c r="F1290" s="828">
        <v>0.875</v>
      </c>
      <c r="G1290" s="829"/>
      <c r="H1290" s="830"/>
      <c r="I1290" s="769"/>
      <c r="J1290" s="770"/>
      <c r="K1290" s="771"/>
      <c r="L1290" s="107">
        <v>0.10416666666666667</v>
      </c>
      <c r="M1290" s="108">
        <v>1</v>
      </c>
    </row>
    <row r="1291" spans="5:13" ht="20" thickBot="1" x14ac:dyDescent="0.25">
      <c r="E1291" s="717" t="s">
        <v>436</v>
      </c>
      <c r="F1291" s="278" t="s">
        <v>29</v>
      </c>
      <c r="G1291" s="278" t="s">
        <v>28</v>
      </c>
      <c r="H1291" s="279" t="s">
        <v>27</v>
      </c>
      <c r="I1291" s="769"/>
      <c r="J1291" s="770"/>
      <c r="K1291" s="771"/>
      <c r="L1291" s="100"/>
      <c r="M1291" s="101"/>
    </row>
    <row r="1292" spans="5:13" ht="18" x14ac:dyDescent="0.2">
      <c r="E1292" s="718">
        <v>45532</v>
      </c>
      <c r="F1292" s="719">
        <v>0.68</v>
      </c>
      <c r="G1292" s="719">
        <v>0.64</v>
      </c>
      <c r="H1292" s="719">
        <v>0</v>
      </c>
      <c r="I1292" s="769"/>
      <c r="J1292" s="770"/>
      <c r="K1292" s="771"/>
      <c r="L1292" s="100"/>
      <c r="M1292" s="101"/>
    </row>
    <row r="1293" spans="5:13" ht="18" x14ac:dyDescent="0.2">
      <c r="E1293" s="718">
        <v>45434</v>
      </c>
      <c r="F1293" s="719">
        <v>0.61</v>
      </c>
      <c r="G1293" s="719">
        <v>0.55000000000000004</v>
      </c>
      <c r="H1293" s="719">
        <v>0</v>
      </c>
      <c r="I1293" s="769"/>
      <c r="J1293" s="770"/>
      <c r="K1293" s="771"/>
      <c r="L1293" s="100"/>
      <c r="M1293" s="101"/>
    </row>
    <row r="1294" spans="5:13" ht="18" x14ac:dyDescent="0.2">
      <c r="E1294" s="718">
        <v>45343</v>
      </c>
      <c r="F1294" s="719">
        <v>0.52</v>
      </c>
      <c r="G1294" s="719">
        <v>0.46</v>
      </c>
      <c r="H1294" s="719">
        <v>0</v>
      </c>
      <c r="I1294" s="769"/>
      <c r="J1294" s="770"/>
      <c r="K1294" s="771"/>
      <c r="L1294" s="102"/>
      <c r="M1294" s="101"/>
    </row>
    <row r="1295" spans="5:13" ht="18" x14ac:dyDescent="0.2">
      <c r="E1295" s="718">
        <v>45251</v>
      </c>
      <c r="F1295" s="719">
        <v>0.4</v>
      </c>
      <c r="G1295" s="719">
        <v>0.34</v>
      </c>
      <c r="H1295" s="719">
        <v>0</v>
      </c>
      <c r="I1295" s="769"/>
      <c r="J1295" s="770"/>
      <c r="K1295" s="771"/>
      <c r="L1295" s="100"/>
      <c r="M1295" s="101"/>
    </row>
    <row r="1296" spans="5:13" ht="18" x14ac:dyDescent="0.2">
      <c r="E1296" s="718">
        <v>45161</v>
      </c>
      <c r="F1296" s="719">
        <v>0.27</v>
      </c>
      <c r="G1296" s="719">
        <v>0.21</v>
      </c>
      <c r="H1296" s="719">
        <v>0</v>
      </c>
      <c r="I1296" s="769"/>
      <c r="J1296" s="770"/>
      <c r="K1296" s="771"/>
      <c r="L1296" s="100"/>
      <c r="M1296" s="101"/>
    </row>
    <row r="1297" spans="4:13" thickBot="1" x14ac:dyDescent="0.25">
      <c r="E1297" s="718">
        <v>45070</v>
      </c>
      <c r="F1297" s="719">
        <v>0.11</v>
      </c>
      <c r="G1297" s="719">
        <v>0.09</v>
      </c>
      <c r="H1297" s="719">
        <v>0</v>
      </c>
      <c r="I1297" s="772"/>
      <c r="J1297" s="773"/>
      <c r="K1297" s="774"/>
      <c r="L1297" s="103"/>
      <c r="M1297" s="104"/>
    </row>
    <row r="1298" spans="4:13" ht="25" thickBot="1" x14ac:dyDescent="0.25">
      <c r="D1298" t="s">
        <v>105</v>
      </c>
      <c r="E1298" s="713" t="s">
        <v>30</v>
      </c>
      <c r="F1298" s="814" t="s">
        <v>14</v>
      </c>
      <c r="G1298" s="815"/>
      <c r="H1298" s="816"/>
      <c r="I1298" s="846" t="s">
        <v>633</v>
      </c>
      <c r="J1298" s="847"/>
      <c r="K1298" s="848"/>
      <c r="L1298" s="162" t="s">
        <v>430</v>
      </c>
      <c r="M1298" s="106" t="s">
        <v>431</v>
      </c>
    </row>
    <row r="1299" spans="4:13" x14ac:dyDescent="0.2">
      <c r="E1299" s="714" t="s">
        <v>432</v>
      </c>
      <c r="F1299" s="805"/>
      <c r="G1299" s="806"/>
      <c r="H1299" s="807"/>
      <c r="I1299" s="769" t="s">
        <v>955</v>
      </c>
      <c r="J1299" s="770"/>
      <c r="K1299" s="771"/>
      <c r="L1299" s="100"/>
      <c r="M1299" s="101"/>
    </row>
    <row r="1300" spans="4:13" x14ac:dyDescent="0.2">
      <c r="E1300" s="715" t="s">
        <v>433</v>
      </c>
      <c r="F1300" s="824" t="s">
        <v>1014</v>
      </c>
      <c r="G1300" s="825"/>
      <c r="H1300" s="826"/>
      <c r="I1300" s="769"/>
      <c r="J1300" s="770"/>
      <c r="K1300" s="771"/>
      <c r="L1300" s="100"/>
      <c r="M1300" s="101"/>
    </row>
    <row r="1301" spans="4:13" ht="20" thickBot="1" x14ac:dyDescent="0.25">
      <c r="E1301" s="715" t="s">
        <v>434</v>
      </c>
      <c r="F1301" s="824" t="s">
        <v>1015</v>
      </c>
      <c r="G1301" s="825"/>
      <c r="H1301" s="826"/>
      <c r="I1301" s="769"/>
      <c r="J1301" s="770"/>
      <c r="K1301" s="771"/>
      <c r="L1301" s="100"/>
      <c r="M1301" s="101"/>
    </row>
    <row r="1302" spans="4:13" ht="20" thickBot="1" x14ac:dyDescent="0.25">
      <c r="E1302" s="716" t="s">
        <v>435</v>
      </c>
      <c r="F1302" s="811">
        <v>0.5625</v>
      </c>
      <c r="G1302" s="812"/>
      <c r="H1302" s="813"/>
      <c r="I1302" s="769"/>
      <c r="J1302" s="770"/>
      <c r="K1302" s="771"/>
      <c r="L1302" s="107">
        <v>0.79166666666666663</v>
      </c>
      <c r="M1302" s="108">
        <v>0.64583333333333326</v>
      </c>
    </row>
    <row r="1303" spans="4:13" ht="20" thickBot="1" x14ac:dyDescent="0.25">
      <c r="E1303" s="717" t="s">
        <v>436</v>
      </c>
      <c r="F1303" s="278" t="s">
        <v>29</v>
      </c>
      <c r="G1303" s="278" t="s">
        <v>28</v>
      </c>
      <c r="H1303" s="279" t="s">
        <v>27</v>
      </c>
      <c r="I1303" s="769"/>
      <c r="J1303" s="770"/>
      <c r="K1303" s="771"/>
      <c r="L1303" s="100"/>
      <c r="M1303" s="101"/>
    </row>
    <row r="1304" spans="4:13" x14ac:dyDescent="0.2">
      <c r="E1304" s="718">
        <v>45610</v>
      </c>
      <c r="F1304" s="719" t="s">
        <v>1031</v>
      </c>
      <c r="G1304" s="719" t="s">
        <v>1032</v>
      </c>
      <c r="H1304" s="719" t="s">
        <v>972</v>
      </c>
      <c r="I1304" s="769"/>
      <c r="J1304" s="770"/>
      <c r="K1304" s="771"/>
      <c r="L1304" s="100"/>
      <c r="M1304" s="101"/>
    </row>
    <row r="1305" spans="4:13" x14ac:dyDescent="0.2">
      <c r="E1305" s="718">
        <v>45603</v>
      </c>
      <c r="F1305" s="719" t="s">
        <v>972</v>
      </c>
      <c r="G1305" s="719" t="s">
        <v>973</v>
      </c>
      <c r="H1305" s="719" t="s">
        <v>974</v>
      </c>
      <c r="I1305" s="769"/>
      <c r="J1305" s="770"/>
      <c r="K1305" s="771"/>
      <c r="L1305" s="100"/>
      <c r="M1305" s="101"/>
    </row>
    <row r="1306" spans="4:13" x14ac:dyDescent="0.2">
      <c r="E1306" s="718">
        <v>45596</v>
      </c>
      <c r="F1306" s="719" t="s">
        <v>975</v>
      </c>
      <c r="G1306" s="719" t="s">
        <v>976</v>
      </c>
      <c r="H1306" s="719" t="s">
        <v>977</v>
      </c>
      <c r="I1306" s="769"/>
      <c r="J1306" s="770"/>
      <c r="K1306" s="771"/>
      <c r="L1306" s="102"/>
      <c r="M1306" s="101"/>
    </row>
    <row r="1307" spans="4:13" x14ac:dyDescent="0.2">
      <c r="E1307" s="718">
        <v>45589</v>
      </c>
      <c r="F1307" s="719" t="s">
        <v>978</v>
      </c>
      <c r="G1307" s="719" t="s">
        <v>979</v>
      </c>
      <c r="H1307" s="719" t="s">
        <v>980</v>
      </c>
      <c r="I1307" s="769"/>
      <c r="J1307" s="770"/>
      <c r="K1307" s="771"/>
      <c r="L1307" s="100"/>
      <c r="M1307" s="101"/>
    </row>
    <row r="1308" spans="4:13" x14ac:dyDescent="0.2">
      <c r="E1308" s="718">
        <v>45582</v>
      </c>
      <c r="F1308" s="719" t="s">
        <v>981</v>
      </c>
      <c r="G1308" s="719" t="s">
        <v>981</v>
      </c>
      <c r="H1308" s="719" t="s">
        <v>982</v>
      </c>
      <c r="I1308" s="769"/>
      <c r="J1308" s="770"/>
      <c r="K1308" s="771"/>
      <c r="L1308" s="100"/>
      <c r="M1308" s="101"/>
    </row>
    <row r="1309" spans="4:13" ht="20" thickBot="1" x14ac:dyDescent="0.25">
      <c r="E1309" s="718">
        <v>45575</v>
      </c>
      <c r="F1309" s="719" t="s">
        <v>983</v>
      </c>
      <c r="G1309" s="719" t="s">
        <v>984</v>
      </c>
      <c r="H1309" s="719" t="s">
        <v>985</v>
      </c>
      <c r="I1309" s="772"/>
      <c r="J1309" s="773"/>
      <c r="K1309" s="774"/>
      <c r="L1309" s="103"/>
      <c r="M1309" s="104"/>
    </row>
    <row r="1310" spans="4:13" ht="25" thickBot="1" x14ac:dyDescent="0.25">
      <c r="D1310" t="s">
        <v>105</v>
      </c>
      <c r="E1310" s="713" t="s">
        <v>30</v>
      </c>
      <c r="F1310" s="814" t="s">
        <v>1016</v>
      </c>
      <c r="G1310" s="815"/>
      <c r="H1310" s="816"/>
      <c r="I1310" s="846" t="s">
        <v>633</v>
      </c>
      <c r="J1310" s="847"/>
      <c r="K1310" s="848"/>
      <c r="L1310" s="162" t="s">
        <v>430</v>
      </c>
      <c r="M1310" s="106" t="s">
        <v>431</v>
      </c>
    </row>
    <row r="1311" spans="4:13" x14ac:dyDescent="0.2">
      <c r="E1311" s="714" t="s">
        <v>432</v>
      </c>
      <c r="F1311" s="805"/>
      <c r="G1311" s="806"/>
      <c r="H1311" s="807"/>
      <c r="I1311" s="769" t="s">
        <v>1017</v>
      </c>
      <c r="J1311" s="770"/>
      <c r="K1311" s="771"/>
      <c r="L1311" s="100"/>
      <c r="M1311" s="101"/>
    </row>
    <row r="1312" spans="4:13" x14ac:dyDescent="0.2">
      <c r="E1312" s="715" t="s">
        <v>433</v>
      </c>
      <c r="F1312" s="817"/>
      <c r="G1312" s="818"/>
      <c r="H1312" s="819"/>
      <c r="I1312" s="769"/>
      <c r="J1312" s="770"/>
      <c r="K1312" s="771"/>
      <c r="L1312" s="100"/>
      <c r="M1312" s="101"/>
    </row>
    <row r="1313" spans="4:13" ht="20" thickBot="1" x14ac:dyDescent="0.25">
      <c r="E1313" s="715" t="s">
        <v>434</v>
      </c>
      <c r="F1313" s="817">
        <v>10.3</v>
      </c>
      <c r="G1313" s="818"/>
      <c r="H1313" s="819"/>
      <c r="I1313" s="769"/>
      <c r="J1313" s="770"/>
      <c r="K1313" s="771"/>
      <c r="L1313" s="100"/>
      <c r="M1313" s="101"/>
    </row>
    <row r="1314" spans="4:13" ht="20" thickBot="1" x14ac:dyDescent="0.25">
      <c r="E1314" s="716" t="s">
        <v>435</v>
      </c>
      <c r="F1314" s="811">
        <v>0.5625</v>
      </c>
      <c r="G1314" s="812"/>
      <c r="H1314" s="813"/>
      <c r="I1314" s="769"/>
      <c r="J1314" s="770"/>
      <c r="K1314" s="771"/>
      <c r="L1314" s="107">
        <v>0.79166666666666663</v>
      </c>
      <c r="M1314" s="108">
        <v>0.64583333333333326</v>
      </c>
    </row>
    <row r="1315" spans="4:13" ht="20" thickBot="1" x14ac:dyDescent="0.25">
      <c r="E1315" s="717" t="s">
        <v>436</v>
      </c>
      <c r="F1315" s="278" t="s">
        <v>29</v>
      </c>
      <c r="G1315" s="278" t="s">
        <v>28</v>
      </c>
      <c r="H1315" s="279" t="s">
        <v>27</v>
      </c>
      <c r="I1315" s="769"/>
      <c r="J1315" s="770"/>
      <c r="K1315" s="771"/>
      <c r="L1315" s="100"/>
      <c r="M1315" s="101"/>
    </row>
    <row r="1316" spans="4:13" x14ac:dyDescent="0.2">
      <c r="E1316" s="718">
        <v>45582</v>
      </c>
      <c r="F1316" s="283">
        <v>10.3</v>
      </c>
      <c r="G1316" s="283" t="s">
        <v>1033</v>
      </c>
      <c r="H1316" s="283">
        <v>1.7</v>
      </c>
      <c r="I1316" s="769"/>
      <c r="J1316" s="770"/>
      <c r="K1316" s="771"/>
      <c r="L1316" s="100"/>
      <c r="M1316" s="101"/>
    </row>
    <row r="1317" spans="4:13" x14ac:dyDescent="0.2">
      <c r="E1317" s="718">
        <v>45554</v>
      </c>
      <c r="F1317" s="283">
        <v>1.7</v>
      </c>
      <c r="G1317" s="283" t="s">
        <v>1034</v>
      </c>
      <c r="H1317" s="283">
        <v>-7</v>
      </c>
      <c r="I1317" s="769"/>
      <c r="J1317" s="770"/>
      <c r="K1317" s="771"/>
      <c r="L1317" s="100"/>
      <c r="M1317" s="101"/>
    </row>
    <row r="1318" spans="4:13" x14ac:dyDescent="0.2">
      <c r="E1318" s="718">
        <v>45519</v>
      </c>
      <c r="F1318" s="283">
        <v>-7</v>
      </c>
      <c r="G1318" s="283" t="s">
        <v>1035</v>
      </c>
      <c r="H1318" s="283">
        <v>13.9</v>
      </c>
      <c r="I1318" s="769"/>
      <c r="J1318" s="770"/>
      <c r="K1318" s="771"/>
      <c r="L1318" s="102"/>
      <c r="M1318" s="101"/>
    </row>
    <row r="1319" spans="4:13" x14ac:dyDescent="0.2">
      <c r="E1319" s="718">
        <v>45491</v>
      </c>
      <c r="F1319" s="283">
        <v>13.9</v>
      </c>
      <c r="G1319" s="283" t="s">
        <v>1036</v>
      </c>
      <c r="H1319" s="283">
        <v>1.3</v>
      </c>
      <c r="I1319" s="769"/>
      <c r="J1319" s="770"/>
      <c r="K1319" s="771"/>
      <c r="L1319" s="100"/>
      <c r="M1319" s="101"/>
    </row>
    <row r="1320" spans="4:13" x14ac:dyDescent="0.2">
      <c r="E1320" s="718">
        <v>45463</v>
      </c>
      <c r="F1320" s="283">
        <v>1.3</v>
      </c>
      <c r="G1320" s="283" t="s">
        <v>1037</v>
      </c>
      <c r="H1320" s="283">
        <v>4.5</v>
      </c>
      <c r="I1320" s="769"/>
      <c r="J1320" s="770"/>
      <c r="K1320" s="771"/>
      <c r="L1320" s="100"/>
      <c r="M1320" s="101"/>
    </row>
    <row r="1321" spans="4:13" ht="20" thickBot="1" x14ac:dyDescent="0.25">
      <c r="E1321" s="718">
        <v>45428</v>
      </c>
      <c r="F1321" s="283">
        <v>4.5</v>
      </c>
      <c r="G1321" s="283" t="s">
        <v>1038</v>
      </c>
      <c r="H1321" s="283">
        <v>15.5</v>
      </c>
      <c r="I1321" s="772"/>
      <c r="J1321" s="773"/>
      <c r="K1321" s="774"/>
      <c r="L1321" s="103"/>
      <c r="M1321" s="104"/>
    </row>
    <row r="1322" spans="4:13" ht="25" thickBot="1" x14ac:dyDescent="0.25">
      <c r="D1322" s="88" t="s">
        <v>105</v>
      </c>
      <c r="E1322" s="713" t="s">
        <v>30</v>
      </c>
      <c r="F1322" s="814" t="s">
        <v>1018</v>
      </c>
      <c r="G1322" s="815"/>
      <c r="H1322" s="816"/>
      <c r="I1322" s="846" t="s">
        <v>633</v>
      </c>
      <c r="J1322" s="847"/>
      <c r="K1322" s="848"/>
      <c r="L1322" s="162" t="s">
        <v>430</v>
      </c>
      <c r="M1322" s="106" t="s">
        <v>431</v>
      </c>
    </row>
    <row r="1323" spans="4:13" x14ac:dyDescent="0.2">
      <c r="D1323" s="89"/>
      <c r="E1323" s="714" t="s">
        <v>432</v>
      </c>
      <c r="F1323" s="805"/>
      <c r="G1323" s="806"/>
      <c r="H1323" s="807"/>
      <c r="I1323" s="769" t="s">
        <v>1020</v>
      </c>
      <c r="J1323" s="770"/>
      <c r="K1323" s="771"/>
      <c r="L1323" s="100"/>
      <c r="M1323" s="101"/>
    </row>
    <row r="1324" spans="4:13" x14ac:dyDescent="0.2">
      <c r="D1324" s="89"/>
      <c r="E1324" s="715" t="s">
        <v>433</v>
      </c>
      <c r="F1324" s="824" t="s">
        <v>707</v>
      </c>
      <c r="G1324" s="825"/>
      <c r="H1324" s="826"/>
      <c r="I1324" s="769"/>
      <c r="J1324" s="770"/>
      <c r="K1324" s="771"/>
      <c r="L1324" s="100"/>
      <c r="M1324" s="101"/>
    </row>
    <row r="1325" spans="4:13" ht="20" thickBot="1" x14ac:dyDescent="0.25">
      <c r="D1325" s="89"/>
      <c r="E1325" s="715" t="s">
        <v>434</v>
      </c>
      <c r="F1325" s="820" t="s">
        <v>1019</v>
      </c>
      <c r="G1325" s="821"/>
      <c r="H1325" s="822"/>
      <c r="I1325" s="769"/>
      <c r="J1325" s="770"/>
      <c r="K1325" s="771"/>
      <c r="L1325" s="100"/>
      <c r="M1325" s="101"/>
    </row>
    <row r="1326" spans="4:13" ht="20" thickBot="1" x14ac:dyDescent="0.25">
      <c r="D1326" s="89"/>
      <c r="E1326" s="716" t="s">
        <v>435</v>
      </c>
      <c r="F1326" s="811">
        <v>0.625</v>
      </c>
      <c r="G1326" s="812"/>
      <c r="H1326" s="813"/>
      <c r="I1326" s="769"/>
      <c r="J1326" s="770"/>
      <c r="K1326" s="771"/>
      <c r="L1326" s="107">
        <v>0.85416666666666663</v>
      </c>
      <c r="M1326" s="108">
        <v>0.70833333333333326</v>
      </c>
    </row>
    <row r="1327" spans="4:13" ht="20" thickBot="1" x14ac:dyDescent="0.25">
      <c r="D1327" s="89"/>
      <c r="E1327" s="717" t="s">
        <v>436</v>
      </c>
      <c r="F1327" s="278" t="s">
        <v>29</v>
      </c>
      <c r="G1327" s="278" t="s">
        <v>28</v>
      </c>
      <c r="H1327" s="279" t="s">
        <v>27</v>
      </c>
      <c r="I1327" s="769"/>
      <c r="J1327" s="770"/>
      <c r="K1327" s="771"/>
      <c r="L1327" s="100"/>
      <c r="M1327" s="101"/>
    </row>
    <row r="1328" spans="4:13" x14ac:dyDescent="0.2">
      <c r="D1328" s="89"/>
      <c r="E1328" s="718">
        <v>45588</v>
      </c>
      <c r="F1328" s="719" t="s">
        <v>1039</v>
      </c>
      <c r="G1328" s="719" t="s">
        <v>1040</v>
      </c>
      <c r="H1328" s="719" t="s">
        <v>1040</v>
      </c>
      <c r="I1328" s="769"/>
      <c r="J1328" s="770"/>
      <c r="K1328" s="771"/>
      <c r="L1328" s="100"/>
      <c r="M1328" s="101"/>
    </row>
    <row r="1329" spans="4:13" x14ac:dyDescent="0.2">
      <c r="D1329" s="89"/>
      <c r="E1329" s="718">
        <v>45554</v>
      </c>
      <c r="F1329" s="719" t="s">
        <v>1041</v>
      </c>
      <c r="G1329" s="719" t="s">
        <v>1042</v>
      </c>
      <c r="H1329" s="719" t="s">
        <v>1043</v>
      </c>
      <c r="I1329" s="769"/>
      <c r="J1329" s="770"/>
      <c r="K1329" s="771"/>
      <c r="L1329" s="100"/>
      <c r="M1329" s="101"/>
    </row>
    <row r="1330" spans="4:13" x14ac:dyDescent="0.2">
      <c r="D1330" s="89"/>
      <c r="E1330" s="718">
        <v>45526</v>
      </c>
      <c r="F1330" s="719" t="s">
        <v>1044</v>
      </c>
      <c r="G1330" s="719" t="s">
        <v>1045</v>
      </c>
      <c r="H1330" s="719" t="s">
        <v>1046</v>
      </c>
      <c r="I1330" s="769"/>
      <c r="J1330" s="770"/>
      <c r="K1330" s="771"/>
      <c r="L1330" s="102"/>
      <c r="M1330" s="101"/>
    </row>
    <row r="1331" spans="4:13" x14ac:dyDescent="0.2">
      <c r="D1331" s="89"/>
      <c r="E1331" s="718">
        <v>45496</v>
      </c>
      <c r="F1331" s="719" t="s">
        <v>1047</v>
      </c>
      <c r="G1331" s="719" t="s">
        <v>1048</v>
      </c>
      <c r="H1331" s="719" t="s">
        <v>1049</v>
      </c>
      <c r="I1331" s="769"/>
      <c r="J1331" s="770"/>
      <c r="K1331" s="771"/>
      <c r="L1331" s="100"/>
      <c r="M1331" s="101"/>
    </row>
    <row r="1332" spans="4:13" x14ac:dyDescent="0.2">
      <c r="D1332" s="89"/>
      <c r="E1332" s="718">
        <v>45464</v>
      </c>
      <c r="F1332" s="719" t="s">
        <v>1049</v>
      </c>
      <c r="G1332" s="719" t="s">
        <v>1050</v>
      </c>
      <c r="H1332" s="719" t="s">
        <v>1051</v>
      </c>
      <c r="I1332" s="769"/>
      <c r="J1332" s="770"/>
      <c r="K1332" s="771"/>
      <c r="L1332" s="100"/>
      <c r="M1332" s="101"/>
    </row>
    <row r="1333" spans="4:13" ht="20" thickBot="1" x14ac:dyDescent="0.25">
      <c r="D1333" s="89"/>
      <c r="E1333" s="718">
        <v>45434</v>
      </c>
      <c r="F1333" s="719" t="s">
        <v>1051</v>
      </c>
      <c r="G1333" s="719" t="s">
        <v>1052</v>
      </c>
      <c r="H1333" s="719" t="s">
        <v>1053</v>
      </c>
      <c r="I1333" s="772"/>
      <c r="J1333" s="773"/>
      <c r="K1333" s="774"/>
      <c r="L1333" s="103"/>
      <c r="M1333" s="104"/>
    </row>
    <row r="1334" spans="4:13" ht="25" thickBot="1" x14ac:dyDescent="0.25">
      <c r="D1334" s="88" t="s">
        <v>105</v>
      </c>
      <c r="E1334" s="713" t="s">
        <v>30</v>
      </c>
      <c r="F1334" s="814" t="s">
        <v>1021</v>
      </c>
      <c r="G1334" s="815"/>
      <c r="H1334" s="816"/>
      <c r="I1334" s="846" t="s">
        <v>633</v>
      </c>
      <c r="J1334" s="847"/>
      <c r="K1334" s="848"/>
      <c r="L1334" s="162" t="s">
        <v>430</v>
      </c>
      <c r="M1334" s="106" t="s">
        <v>431</v>
      </c>
    </row>
    <row r="1335" spans="4:13" x14ac:dyDescent="0.2">
      <c r="D1335" s="89"/>
      <c r="E1335" s="714" t="s">
        <v>432</v>
      </c>
      <c r="F1335" s="805"/>
      <c r="G1335" s="806"/>
      <c r="H1335" s="807"/>
      <c r="I1335" s="769" t="s">
        <v>1022</v>
      </c>
      <c r="J1335" s="770"/>
      <c r="K1335" s="771"/>
      <c r="L1335" s="100"/>
      <c r="M1335" s="101"/>
    </row>
    <row r="1336" spans="4:13" x14ac:dyDescent="0.2">
      <c r="D1336" s="89"/>
      <c r="E1336" s="715" t="s">
        <v>433</v>
      </c>
      <c r="F1336" s="817"/>
      <c r="G1336" s="818"/>
      <c r="H1336" s="819"/>
      <c r="I1336" s="769"/>
      <c r="J1336" s="770"/>
      <c r="K1336" s="771"/>
      <c r="L1336" s="100"/>
      <c r="M1336" s="101"/>
    </row>
    <row r="1337" spans="4:13" ht="20" thickBot="1" x14ac:dyDescent="0.25">
      <c r="D1337" s="89"/>
      <c r="E1337" s="715" t="s">
        <v>434</v>
      </c>
      <c r="F1337" s="824">
        <v>2E-3</v>
      </c>
      <c r="G1337" s="825"/>
      <c r="H1337" s="826"/>
      <c r="I1337" s="769"/>
      <c r="J1337" s="770"/>
      <c r="K1337" s="771"/>
      <c r="L1337" s="100"/>
      <c r="M1337" s="101"/>
    </row>
    <row r="1338" spans="4:13" ht="20" thickBot="1" x14ac:dyDescent="0.25">
      <c r="D1338" s="89"/>
      <c r="E1338" s="716" t="s">
        <v>435</v>
      </c>
      <c r="F1338" s="811">
        <v>0.29166666666666674</v>
      </c>
      <c r="G1338" s="812"/>
      <c r="H1338" s="813"/>
      <c r="I1338" s="769"/>
      <c r="J1338" s="770"/>
      <c r="K1338" s="771"/>
      <c r="L1338" s="107">
        <v>0.52083333333333337</v>
      </c>
      <c r="M1338" s="108">
        <v>0.375</v>
      </c>
    </row>
    <row r="1339" spans="4:13" ht="20" thickBot="1" x14ac:dyDescent="0.25">
      <c r="D1339" s="89"/>
      <c r="E1339" s="717" t="s">
        <v>436</v>
      </c>
      <c r="F1339" s="278" t="s">
        <v>29</v>
      </c>
      <c r="G1339" s="278" t="s">
        <v>28</v>
      </c>
      <c r="H1339" s="279" t="s">
        <v>27</v>
      </c>
      <c r="I1339" s="769"/>
      <c r="J1339" s="770"/>
      <c r="K1339" s="771"/>
      <c r="L1339" s="100"/>
      <c r="M1339" s="101"/>
    </row>
    <row r="1340" spans="4:13" x14ac:dyDescent="0.2">
      <c r="D1340" s="89"/>
      <c r="E1340" s="718">
        <v>45595</v>
      </c>
      <c r="F1340" s="380">
        <v>2E-3</v>
      </c>
      <c r="G1340" s="380" t="s">
        <v>456</v>
      </c>
      <c r="H1340" s="380">
        <v>-3.0000000000000001E-3</v>
      </c>
      <c r="I1340" s="769"/>
      <c r="J1340" s="770"/>
      <c r="K1340" s="771"/>
      <c r="L1340" s="100"/>
      <c r="M1340" s="101"/>
    </row>
    <row r="1341" spans="4:13" x14ac:dyDescent="0.2">
      <c r="D1341" s="89"/>
      <c r="E1341" s="718">
        <v>45531</v>
      </c>
      <c r="F1341" s="380">
        <v>-1E-3</v>
      </c>
      <c r="G1341" s="380" t="s">
        <v>456</v>
      </c>
      <c r="H1341" s="380">
        <v>2E-3</v>
      </c>
      <c r="I1341" s="769"/>
      <c r="J1341" s="770"/>
      <c r="K1341" s="771"/>
      <c r="L1341" s="100"/>
      <c r="M1341" s="101"/>
    </row>
    <row r="1342" spans="4:13" x14ac:dyDescent="0.2">
      <c r="D1342" s="89"/>
      <c r="E1342" s="718">
        <v>45503</v>
      </c>
      <c r="F1342" s="380">
        <v>-1E-3</v>
      </c>
      <c r="G1342" s="380" t="s">
        <v>462</v>
      </c>
      <c r="H1342" s="380">
        <v>2E-3</v>
      </c>
      <c r="I1342" s="769"/>
      <c r="J1342" s="770"/>
      <c r="K1342" s="771"/>
      <c r="L1342" s="102"/>
      <c r="M1342" s="101"/>
    </row>
    <row r="1343" spans="4:13" x14ac:dyDescent="0.2">
      <c r="D1343" s="89"/>
      <c r="E1343" s="718">
        <v>45436</v>
      </c>
      <c r="F1343" s="380">
        <v>2E-3</v>
      </c>
      <c r="G1343" s="380" t="s">
        <v>460</v>
      </c>
      <c r="H1343" s="380">
        <v>-3.0000000000000001E-3</v>
      </c>
      <c r="I1343" s="769"/>
      <c r="J1343" s="770"/>
      <c r="K1343" s="771"/>
      <c r="L1343" s="100"/>
      <c r="M1343" s="101"/>
    </row>
    <row r="1344" spans="4:13" x14ac:dyDescent="0.2">
      <c r="D1344" s="89"/>
      <c r="E1344" s="718">
        <v>45412</v>
      </c>
      <c r="F1344" s="380">
        <v>2E-3</v>
      </c>
      <c r="G1344" s="380" t="s">
        <v>462</v>
      </c>
      <c r="H1344" s="380">
        <v>-5.0000000000000001E-3</v>
      </c>
      <c r="I1344" s="769"/>
      <c r="J1344" s="770"/>
      <c r="K1344" s="771"/>
      <c r="L1344" s="100"/>
      <c r="M1344" s="101"/>
    </row>
    <row r="1345" spans="4:13" ht="20" thickBot="1" x14ac:dyDescent="0.25">
      <c r="D1345" s="89"/>
      <c r="E1345" s="718">
        <v>45345</v>
      </c>
      <c r="F1345" s="380">
        <v>-3.0000000000000001E-3</v>
      </c>
      <c r="G1345" s="380" t="s">
        <v>454</v>
      </c>
      <c r="H1345" s="380">
        <v>-1E-3</v>
      </c>
      <c r="I1345" s="772"/>
      <c r="J1345" s="773"/>
      <c r="K1345" s="774"/>
      <c r="L1345" s="103"/>
      <c r="M1345" s="104"/>
    </row>
    <row r="1346" spans="4:13" ht="25" thickBot="1" x14ac:dyDescent="0.25">
      <c r="D1346" s="88" t="s">
        <v>105</v>
      </c>
      <c r="E1346" s="713" t="s">
        <v>30</v>
      </c>
      <c r="F1346" s="814" t="s">
        <v>1023</v>
      </c>
      <c r="G1346" s="815"/>
      <c r="H1346" s="816"/>
      <c r="I1346" s="846" t="s">
        <v>633</v>
      </c>
      <c r="J1346" s="847"/>
      <c r="K1346" s="848"/>
      <c r="L1346" s="162" t="s">
        <v>430</v>
      </c>
      <c r="M1346" s="106" t="s">
        <v>431</v>
      </c>
    </row>
    <row r="1347" spans="4:13" x14ac:dyDescent="0.2">
      <c r="D1347" s="89"/>
      <c r="E1347" s="714" t="s">
        <v>432</v>
      </c>
      <c r="F1347" s="805"/>
      <c r="G1347" s="806"/>
      <c r="H1347" s="807"/>
      <c r="I1347" s="769" t="s">
        <v>1024</v>
      </c>
      <c r="J1347" s="770"/>
      <c r="K1347" s="771"/>
      <c r="L1347" s="100"/>
      <c r="M1347" s="101"/>
    </row>
    <row r="1348" spans="4:13" x14ac:dyDescent="0.2">
      <c r="D1348" s="89"/>
      <c r="E1348" s="715" t="s">
        <v>433</v>
      </c>
      <c r="F1348" s="820"/>
      <c r="G1348" s="821"/>
      <c r="H1348" s="822"/>
      <c r="I1348" s="769"/>
      <c r="J1348" s="770"/>
      <c r="K1348" s="771"/>
      <c r="L1348" s="100"/>
      <c r="M1348" s="101"/>
    </row>
    <row r="1349" spans="4:13" ht="20" thickBot="1" x14ac:dyDescent="0.25">
      <c r="D1349" s="89"/>
      <c r="E1349" s="715" t="s">
        <v>434</v>
      </c>
      <c r="F1349" s="817">
        <v>48.5</v>
      </c>
      <c r="G1349" s="818"/>
      <c r="H1349" s="819"/>
      <c r="I1349" s="769"/>
      <c r="J1349" s="770"/>
      <c r="K1349" s="771"/>
      <c r="L1349" s="100"/>
      <c r="M1349" s="101"/>
    </row>
    <row r="1350" spans="4:13" ht="20" thickBot="1" x14ac:dyDescent="0.25">
      <c r="D1350" s="89"/>
      <c r="E1350" s="716" t="s">
        <v>435</v>
      </c>
      <c r="F1350" s="811">
        <v>0.61458333333333337</v>
      </c>
      <c r="G1350" s="812"/>
      <c r="H1350" s="813"/>
      <c r="I1350" s="769"/>
      <c r="J1350" s="770"/>
      <c r="K1350" s="771"/>
      <c r="L1350" s="107">
        <v>0.84375</v>
      </c>
      <c r="M1350" s="108">
        <v>0.69791666666666663</v>
      </c>
    </row>
    <row r="1351" spans="4:13" ht="20" thickBot="1" x14ac:dyDescent="0.25">
      <c r="D1351" s="89"/>
      <c r="E1351" s="717" t="s">
        <v>436</v>
      </c>
      <c r="F1351" s="278" t="s">
        <v>29</v>
      </c>
      <c r="G1351" s="278" t="s">
        <v>28</v>
      </c>
      <c r="H1351" s="279" t="s">
        <v>27</v>
      </c>
      <c r="I1351" s="769"/>
      <c r="J1351" s="770"/>
      <c r="K1351" s="771"/>
      <c r="L1351" s="100"/>
      <c r="M1351" s="101"/>
    </row>
    <row r="1352" spans="4:13" x14ac:dyDescent="0.2">
      <c r="D1352" s="89"/>
      <c r="E1352" s="718">
        <v>45597</v>
      </c>
      <c r="F1352" s="389">
        <v>48.5</v>
      </c>
      <c r="G1352" s="389" t="s">
        <v>1054</v>
      </c>
      <c r="H1352" s="389">
        <v>47.8</v>
      </c>
      <c r="I1352" s="769"/>
      <c r="J1352" s="770"/>
      <c r="K1352" s="771"/>
      <c r="L1352" s="100"/>
      <c r="M1352" s="101"/>
    </row>
    <row r="1353" spans="4:13" x14ac:dyDescent="0.2">
      <c r="D1353" s="89"/>
      <c r="E1353" s="718">
        <v>45589</v>
      </c>
      <c r="F1353" s="389">
        <v>47.8</v>
      </c>
      <c r="G1353" s="389" t="s">
        <v>509</v>
      </c>
      <c r="H1353" s="389">
        <v>47.3</v>
      </c>
      <c r="I1353" s="769"/>
      <c r="J1353" s="770"/>
      <c r="K1353" s="771"/>
      <c r="L1353" s="100"/>
      <c r="M1353" s="101"/>
    </row>
    <row r="1354" spans="4:13" x14ac:dyDescent="0.2">
      <c r="D1354" s="89"/>
      <c r="E1354" s="718">
        <v>45566</v>
      </c>
      <c r="F1354" s="389">
        <v>47.3</v>
      </c>
      <c r="G1354" s="389" t="s">
        <v>758</v>
      </c>
      <c r="H1354" s="389">
        <v>47.9</v>
      </c>
      <c r="I1354" s="769"/>
      <c r="J1354" s="770"/>
      <c r="K1354" s="771"/>
      <c r="L1354" s="102"/>
      <c r="M1354" s="101"/>
    </row>
    <row r="1355" spans="4:13" x14ac:dyDescent="0.2">
      <c r="D1355" s="89"/>
      <c r="E1355" s="718">
        <v>45558</v>
      </c>
      <c r="F1355" s="389">
        <v>47</v>
      </c>
      <c r="G1355" s="389" t="s">
        <v>500</v>
      </c>
      <c r="H1355" s="389">
        <v>47.9</v>
      </c>
      <c r="I1355" s="769"/>
      <c r="J1355" s="770"/>
      <c r="K1355" s="771"/>
      <c r="L1355" s="100"/>
      <c r="M1355" s="101"/>
    </row>
    <row r="1356" spans="4:13" x14ac:dyDescent="0.2">
      <c r="D1356" s="89"/>
      <c r="E1356" s="718">
        <v>45538</v>
      </c>
      <c r="F1356" s="389">
        <v>47.9</v>
      </c>
      <c r="G1356" s="389" t="s">
        <v>502</v>
      </c>
      <c r="H1356" s="389">
        <v>49.6</v>
      </c>
      <c r="I1356" s="769"/>
      <c r="J1356" s="770"/>
      <c r="K1356" s="771"/>
      <c r="L1356" s="100"/>
      <c r="M1356" s="101"/>
    </row>
    <row r="1357" spans="4:13" ht="20" thickBot="1" x14ac:dyDescent="0.25">
      <c r="D1357" s="89"/>
      <c r="E1357" s="718">
        <v>45526</v>
      </c>
      <c r="F1357" s="389">
        <v>48</v>
      </c>
      <c r="G1357" s="389" t="s">
        <v>438</v>
      </c>
      <c r="H1357" s="389">
        <v>49.6</v>
      </c>
      <c r="I1357" s="772"/>
      <c r="J1357" s="773"/>
      <c r="K1357" s="774"/>
      <c r="L1357" s="103"/>
      <c r="M1357" s="104"/>
    </row>
    <row r="1358" spans="4:13" ht="25" thickBot="1" x14ac:dyDescent="0.25">
      <c r="D1358" s="88" t="s">
        <v>105</v>
      </c>
      <c r="E1358" s="713" t="s">
        <v>30</v>
      </c>
      <c r="F1358" s="814" t="s">
        <v>1025</v>
      </c>
      <c r="G1358" s="815"/>
      <c r="H1358" s="816"/>
      <c r="I1358" s="849" t="s">
        <v>633</v>
      </c>
      <c r="J1358" s="847"/>
      <c r="K1358" s="848"/>
      <c r="L1358" s="162" t="s">
        <v>430</v>
      </c>
      <c r="M1358" s="106" t="s">
        <v>431</v>
      </c>
    </row>
    <row r="1359" spans="4:13" x14ac:dyDescent="0.2">
      <c r="D1359" s="89"/>
      <c r="E1359" s="714" t="s">
        <v>432</v>
      </c>
      <c r="F1359" s="805"/>
      <c r="G1359" s="806"/>
      <c r="H1359" s="807"/>
      <c r="I1359" s="769" t="s">
        <v>1026</v>
      </c>
      <c r="J1359" s="770"/>
      <c r="K1359" s="771"/>
      <c r="L1359" s="100"/>
      <c r="M1359" s="101"/>
    </row>
    <row r="1360" spans="4:13" x14ac:dyDescent="0.2">
      <c r="D1360" s="89"/>
      <c r="E1360" s="715" t="s">
        <v>433</v>
      </c>
      <c r="F1360" s="824"/>
      <c r="G1360" s="825"/>
      <c r="H1360" s="826"/>
      <c r="I1360" s="769"/>
      <c r="J1360" s="770"/>
      <c r="K1360" s="771"/>
      <c r="L1360" s="100"/>
      <c r="M1360" s="101"/>
    </row>
    <row r="1361" spans="3:13" ht="20" thickBot="1" x14ac:dyDescent="0.25">
      <c r="D1361" s="89"/>
      <c r="E1361" s="715" t="s">
        <v>434</v>
      </c>
      <c r="F1361" s="831">
        <v>55</v>
      </c>
      <c r="G1361" s="832"/>
      <c r="H1361" s="833"/>
      <c r="I1361" s="769"/>
      <c r="J1361" s="770"/>
      <c r="K1361" s="771"/>
      <c r="L1361" s="100"/>
      <c r="M1361" s="101"/>
    </row>
    <row r="1362" spans="3:13" ht="20" thickBot="1" x14ac:dyDescent="0.25">
      <c r="D1362" s="89"/>
      <c r="E1362" s="716" t="s">
        <v>435</v>
      </c>
      <c r="F1362" s="811">
        <v>0.61458333333333337</v>
      </c>
      <c r="G1362" s="812"/>
      <c r="H1362" s="813"/>
      <c r="I1362" s="769"/>
      <c r="J1362" s="770"/>
      <c r="K1362" s="771"/>
      <c r="L1362" s="107">
        <v>0.84375</v>
      </c>
      <c r="M1362" s="108">
        <v>0.69791666666666663</v>
      </c>
    </row>
    <row r="1363" spans="3:13" ht="20" thickBot="1" x14ac:dyDescent="0.25">
      <c r="D1363" s="89"/>
      <c r="E1363" s="717" t="s">
        <v>436</v>
      </c>
      <c r="F1363" s="278" t="s">
        <v>29</v>
      </c>
      <c r="G1363" s="278" t="s">
        <v>28</v>
      </c>
      <c r="H1363" s="279" t="s">
        <v>27</v>
      </c>
      <c r="I1363" s="769"/>
      <c r="J1363" s="770"/>
      <c r="K1363" s="771"/>
      <c r="L1363" s="100"/>
      <c r="M1363" s="101"/>
    </row>
    <row r="1364" spans="3:13" x14ac:dyDescent="0.2">
      <c r="D1364" s="89"/>
      <c r="E1364" s="718">
        <v>45601</v>
      </c>
      <c r="F1364" s="389">
        <v>55</v>
      </c>
      <c r="G1364" s="389" t="s">
        <v>585</v>
      </c>
      <c r="H1364" s="389">
        <v>55.2</v>
      </c>
      <c r="I1364" s="769"/>
      <c r="J1364" s="770"/>
      <c r="K1364" s="771"/>
      <c r="L1364" s="100"/>
      <c r="M1364" s="215"/>
    </row>
    <row r="1365" spans="3:13" x14ac:dyDescent="0.2">
      <c r="D1365" s="89"/>
      <c r="E1365" s="718">
        <v>45589</v>
      </c>
      <c r="F1365" s="389">
        <v>55.3</v>
      </c>
      <c r="G1365" s="389" t="s">
        <v>604</v>
      </c>
      <c r="H1365" s="389">
        <v>55.2</v>
      </c>
      <c r="I1365" s="769"/>
      <c r="J1365" s="770"/>
      <c r="K1365" s="771"/>
      <c r="L1365" s="100"/>
      <c r="M1365" s="101"/>
    </row>
    <row r="1366" spans="3:13" x14ac:dyDescent="0.2">
      <c r="D1366" s="89"/>
      <c r="E1366" s="718">
        <v>45568</v>
      </c>
      <c r="F1366" s="389">
        <v>55.2</v>
      </c>
      <c r="G1366" s="389" t="s">
        <v>759</v>
      </c>
      <c r="H1366" s="389">
        <v>55.7</v>
      </c>
      <c r="I1366" s="769"/>
      <c r="J1366" s="770"/>
      <c r="K1366" s="771"/>
      <c r="L1366" s="102"/>
      <c r="M1366" s="101"/>
    </row>
    <row r="1367" spans="3:13" x14ac:dyDescent="0.2">
      <c r="D1367" s="89"/>
      <c r="E1367" s="718">
        <v>45558</v>
      </c>
      <c r="F1367" s="389">
        <v>55.4</v>
      </c>
      <c r="G1367" s="389" t="s">
        <v>585</v>
      </c>
      <c r="H1367" s="389">
        <v>55.7</v>
      </c>
      <c r="I1367" s="769"/>
      <c r="J1367" s="770"/>
      <c r="K1367" s="771"/>
      <c r="L1367" s="100"/>
      <c r="M1367" s="101"/>
    </row>
    <row r="1368" spans="3:13" x14ac:dyDescent="0.2">
      <c r="D1368" s="89"/>
      <c r="E1368" s="718">
        <v>45540</v>
      </c>
      <c r="F1368" s="389">
        <v>55.7</v>
      </c>
      <c r="G1368" s="389" t="s">
        <v>586</v>
      </c>
      <c r="H1368" s="389">
        <v>55</v>
      </c>
      <c r="I1368" s="769"/>
      <c r="J1368" s="770"/>
      <c r="K1368" s="771"/>
      <c r="L1368" s="100"/>
      <c r="M1368" s="101"/>
    </row>
    <row r="1369" spans="3:13" ht="20" thickBot="1" x14ac:dyDescent="0.25">
      <c r="D1369" s="89"/>
      <c r="E1369" s="722">
        <v>45526</v>
      </c>
      <c r="F1369" s="391">
        <v>55.2</v>
      </c>
      <c r="G1369" s="391" t="s">
        <v>587</v>
      </c>
      <c r="H1369" s="391">
        <v>55</v>
      </c>
      <c r="I1369" s="772"/>
      <c r="J1369" s="773"/>
      <c r="K1369" s="774"/>
      <c r="L1369" s="103"/>
      <c r="M1369" s="104"/>
    </row>
    <row r="1370" spans="3:13" ht="25" thickBot="1" x14ac:dyDescent="0.25">
      <c r="C1370" t="s">
        <v>105</v>
      </c>
      <c r="D1370">
        <v>1</v>
      </c>
      <c r="E1370" s="713" t="s">
        <v>30</v>
      </c>
      <c r="F1370" s="814" t="s">
        <v>1060</v>
      </c>
      <c r="G1370" s="815"/>
      <c r="H1370" s="816"/>
      <c r="I1370" s="846" t="s">
        <v>633</v>
      </c>
      <c r="J1370" s="847"/>
      <c r="K1370" s="848"/>
      <c r="L1370" s="162" t="s">
        <v>430</v>
      </c>
      <c r="M1370" s="106" t="s">
        <v>431</v>
      </c>
    </row>
    <row r="1371" spans="3:13" x14ac:dyDescent="0.2">
      <c r="E1371" s="714" t="s">
        <v>432</v>
      </c>
      <c r="F1371" s="805"/>
      <c r="G1371" s="806"/>
      <c r="H1371" s="807"/>
      <c r="I1371" s="769" t="s">
        <v>1061</v>
      </c>
      <c r="J1371" s="770"/>
      <c r="K1371" s="771"/>
      <c r="L1371" s="100"/>
      <c r="M1371" s="101"/>
    </row>
    <row r="1372" spans="3:13" x14ac:dyDescent="0.2">
      <c r="E1372" s="715" t="s">
        <v>433</v>
      </c>
      <c r="F1372" s="817" t="s">
        <v>1090</v>
      </c>
      <c r="G1372" s="818"/>
      <c r="H1372" s="819"/>
      <c r="I1372" s="769"/>
      <c r="J1372" s="770"/>
      <c r="K1372" s="771"/>
      <c r="L1372" s="100"/>
      <c r="M1372" s="101"/>
    </row>
    <row r="1373" spans="3:13" ht="20" thickBot="1" x14ac:dyDescent="0.25">
      <c r="E1373" s="715" t="s">
        <v>434</v>
      </c>
      <c r="F1373" s="817">
        <v>108.7</v>
      </c>
      <c r="G1373" s="818"/>
      <c r="H1373" s="819"/>
      <c r="I1373" s="769"/>
      <c r="J1373" s="770"/>
      <c r="K1373" s="771"/>
      <c r="L1373" s="100"/>
      <c r="M1373" s="101"/>
    </row>
    <row r="1374" spans="3:13" ht="20" thickBot="1" x14ac:dyDescent="0.25">
      <c r="E1374" s="716" t="s">
        <v>435</v>
      </c>
      <c r="F1374" s="811">
        <v>0.625</v>
      </c>
      <c r="G1374" s="812"/>
      <c r="H1374" s="813"/>
      <c r="I1374" s="769"/>
      <c r="J1374" s="770"/>
      <c r="K1374" s="771"/>
      <c r="L1374" s="107">
        <v>0.85416666666666663</v>
      </c>
      <c r="M1374" s="108">
        <v>0.70833333333333326</v>
      </c>
    </row>
    <row r="1375" spans="3:13" ht="20" thickBot="1" x14ac:dyDescent="0.25">
      <c r="E1375" s="717" t="s">
        <v>436</v>
      </c>
      <c r="F1375" s="278" t="s">
        <v>29</v>
      </c>
      <c r="G1375" s="278" t="s">
        <v>28</v>
      </c>
      <c r="H1375" s="279" t="s">
        <v>27</v>
      </c>
      <c r="I1375" s="769"/>
      <c r="J1375" s="770"/>
      <c r="K1375" s="771"/>
      <c r="L1375" s="100"/>
      <c r="M1375" s="101"/>
    </row>
    <row r="1376" spans="3:13" x14ac:dyDescent="0.2">
      <c r="E1376" s="718">
        <v>45594</v>
      </c>
      <c r="F1376" s="283">
        <v>108.7</v>
      </c>
      <c r="G1376" s="283" t="s">
        <v>1091</v>
      </c>
      <c r="H1376" s="283">
        <v>99.2</v>
      </c>
      <c r="I1376" s="769"/>
      <c r="J1376" s="770"/>
      <c r="K1376" s="771"/>
      <c r="L1376" s="100"/>
      <c r="M1376" s="101"/>
    </row>
    <row r="1377" spans="4:13" x14ac:dyDescent="0.2">
      <c r="E1377" s="718">
        <v>45559</v>
      </c>
      <c r="F1377" s="283">
        <v>98.7</v>
      </c>
      <c r="G1377" s="283" t="s">
        <v>874</v>
      </c>
      <c r="H1377" s="283">
        <v>105.6</v>
      </c>
      <c r="I1377" s="769"/>
      <c r="J1377" s="770"/>
      <c r="K1377" s="771"/>
      <c r="L1377" s="100"/>
      <c r="M1377" s="101"/>
    </row>
    <row r="1378" spans="4:13" x14ac:dyDescent="0.2">
      <c r="E1378" s="718">
        <v>45531</v>
      </c>
      <c r="F1378" s="283">
        <v>103.3</v>
      </c>
      <c r="G1378" s="283" t="s">
        <v>875</v>
      </c>
      <c r="H1378" s="283">
        <v>101.9</v>
      </c>
      <c r="I1378" s="769"/>
      <c r="J1378" s="770"/>
      <c r="K1378" s="771"/>
      <c r="L1378" s="102"/>
      <c r="M1378" s="101"/>
    </row>
    <row r="1379" spans="4:13" x14ac:dyDescent="0.2">
      <c r="E1379" s="718">
        <v>45503</v>
      </c>
      <c r="F1379" s="283">
        <v>100.3</v>
      </c>
      <c r="G1379" s="283" t="s">
        <v>876</v>
      </c>
      <c r="H1379" s="283">
        <v>97.8</v>
      </c>
      <c r="I1379" s="769"/>
      <c r="J1379" s="770"/>
      <c r="K1379" s="771"/>
      <c r="L1379" s="100"/>
      <c r="M1379" s="101"/>
    </row>
    <row r="1380" spans="4:13" x14ac:dyDescent="0.2">
      <c r="E1380" s="718">
        <v>45468</v>
      </c>
      <c r="F1380" s="283">
        <v>100.4</v>
      </c>
      <c r="G1380" s="283" t="s">
        <v>877</v>
      </c>
      <c r="H1380" s="283">
        <v>101.3</v>
      </c>
      <c r="I1380" s="769"/>
      <c r="J1380" s="770"/>
      <c r="K1380" s="771"/>
      <c r="L1380" s="100"/>
      <c r="M1380" s="101"/>
    </row>
    <row r="1381" spans="4:13" ht="20" thickBot="1" x14ac:dyDescent="0.25">
      <c r="E1381" s="718">
        <v>45440</v>
      </c>
      <c r="F1381" s="283">
        <v>102</v>
      </c>
      <c r="G1381" s="283" t="s">
        <v>878</v>
      </c>
      <c r="H1381" s="283">
        <v>97.5</v>
      </c>
      <c r="I1381" s="772"/>
      <c r="J1381" s="773"/>
      <c r="K1381" s="774"/>
      <c r="L1381" s="103"/>
      <c r="M1381" s="104"/>
    </row>
    <row r="1382" spans="4:13" ht="25" thickBot="1" x14ac:dyDescent="0.25">
      <c r="D1382">
        <v>2</v>
      </c>
      <c r="E1382" s="713" t="s">
        <v>30</v>
      </c>
      <c r="F1382" s="814" t="s">
        <v>1062</v>
      </c>
      <c r="G1382" s="815"/>
      <c r="H1382" s="816"/>
      <c r="I1382" s="846" t="s">
        <v>633</v>
      </c>
      <c r="J1382" s="847"/>
      <c r="K1382" s="848"/>
      <c r="L1382" s="162" t="s">
        <v>430</v>
      </c>
      <c r="M1382" s="106" t="s">
        <v>431</v>
      </c>
    </row>
    <row r="1383" spans="4:13" x14ac:dyDescent="0.2">
      <c r="E1383" s="714" t="s">
        <v>432</v>
      </c>
      <c r="F1383" s="805"/>
      <c r="G1383" s="806"/>
      <c r="H1383" s="807"/>
      <c r="I1383" s="769" t="s">
        <v>1064</v>
      </c>
      <c r="J1383" s="770"/>
      <c r="K1383" s="771"/>
      <c r="L1383" s="100"/>
      <c r="M1383" s="101"/>
    </row>
    <row r="1384" spans="4:13" x14ac:dyDescent="0.2">
      <c r="E1384" s="715" t="s">
        <v>433</v>
      </c>
      <c r="F1384" s="824"/>
      <c r="G1384" s="825"/>
      <c r="H1384" s="826"/>
      <c r="I1384" s="769"/>
      <c r="J1384" s="770"/>
      <c r="K1384" s="771"/>
      <c r="L1384" s="100"/>
      <c r="M1384" s="101"/>
    </row>
    <row r="1385" spans="4:13" ht="20" thickBot="1" x14ac:dyDescent="0.25">
      <c r="E1385" s="715" t="s">
        <v>434</v>
      </c>
      <c r="F1385" s="824" t="s">
        <v>1063</v>
      </c>
      <c r="G1385" s="825"/>
      <c r="H1385" s="826"/>
      <c r="I1385" s="769"/>
      <c r="J1385" s="770"/>
      <c r="K1385" s="771"/>
      <c r="L1385" s="100"/>
      <c r="M1385" s="101"/>
    </row>
    <row r="1386" spans="4:13" ht="20" thickBot="1" x14ac:dyDescent="0.25">
      <c r="E1386" s="716" t="s">
        <v>435</v>
      </c>
      <c r="F1386" s="811">
        <v>0.625</v>
      </c>
      <c r="G1386" s="812"/>
      <c r="H1386" s="813"/>
      <c r="I1386" s="769"/>
      <c r="J1386" s="770"/>
      <c r="K1386" s="771"/>
      <c r="L1386" s="107">
        <v>0.85416666666666663</v>
      </c>
      <c r="M1386" s="108">
        <v>0.70833333333333326</v>
      </c>
    </row>
    <row r="1387" spans="4:13" ht="20" thickBot="1" x14ac:dyDescent="0.25">
      <c r="E1387" s="717" t="s">
        <v>436</v>
      </c>
      <c r="F1387" s="278" t="s">
        <v>29</v>
      </c>
      <c r="G1387" s="278" t="s">
        <v>28</v>
      </c>
      <c r="H1387" s="279" t="s">
        <v>27</v>
      </c>
      <c r="I1387" s="769"/>
      <c r="J1387" s="770"/>
      <c r="K1387" s="771"/>
      <c r="L1387" s="100"/>
      <c r="M1387" s="101"/>
    </row>
    <row r="1388" spans="4:13" x14ac:dyDescent="0.2">
      <c r="E1388" s="718">
        <v>45589</v>
      </c>
      <c r="F1388" s="719" t="s">
        <v>1092</v>
      </c>
      <c r="G1388" s="719" t="s">
        <v>1093</v>
      </c>
      <c r="H1388" s="719" t="s">
        <v>1094</v>
      </c>
      <c r="I1388" s="769"/>
      <c r="J1388" s="770"/>
      <c r="K1388" s="771"/>
      <c r="L1388" s="100"/>
      <c r="M1388" s="101"/>
    </row>
    <row r="1389" spans="4:13" x14ac:dyDescent="0.2">
      <c r="E1389" s="718">
        <v>45560</v>
      </c>
      <c r="F1389" s="719" t="s">
        <v>1095</v>
      </c>
      <c r="G1389" s="719" t="s">
        <v>1096</v>
      </c>
      <c r="H1389" s="719" t="s">
        <v>1097</v>
      </c>
      <c r="I1389" s="769"/>
      <c r="J1389" s="770"/>
      <c r="K1389" s="771"/>
      <c r="L1389" s="100"/>
      <c r="M1389" s="101"/>
    </row>
    <row r="1390" spans="4:13" x14ac:dyDescent="0.2">
      <c r="E1390" s="718">
        <v>45527</v>
      </c>
      <c r="F1390" s="719" t="s">
        <v>1098</v>
      </c>
      <c r="G1390" s="719" t="s">
        <v>1099</v>
      </c>
      <c r="H1390" s="719" t="s">
        <v>1100</v>
      </c>
      <c r="I1390" s="769"/>
      <c r="J1390" s="770"/>
      <c r="K1390" s="771"/>
      <c r="L1390" s="102"/>
      <c r="M1390" s="101"/>
    </row>
    <row r="1391" spans="4:13" x14ac:dyDescent="0.2">
      <c r="E1391" s="718">
        <v>45497</v>
      </c>
      <c r="F1391" s="719" t="s">
        <v>1101</v>
      </c>
      <c r="G1391" s="719" t="s">
        <v>1102</v>
      </c>
      <c r="H1391" s="719" t="s">
        <v>1103</v>
      </c>
      <c r="I1391" s="769"/>
      <c r="J1391" s="770"/>
      <c r="K1391" s="771"/>
      <c r="L1391" s="100"/>
      <c r="M1391" s="101"/>
    </row>
    <row r="1392" spans="4:13" x14ac:dyDescent="0.2">
      <c r="E1392" s="718">
        <v>45469</v>
      </c>
      <c r="F1392" s="719" t="s">
        <v>1104</v>
      </c>
      <c r="G1392" s="719" t="s">
        <v>1105</v>
      </c>
      <c r="H1392" s="719" t="s">
        <v>1106</v>
      </c>
      <c r="I1392" s="769"/>
      <c r="J1392" s="770"/>
      <c r="K1392" s="771"/>
      <c r="L1392" s="100"/>
      <c r="M1392" s="101"/>
    </row>
    <row r="1393" spans="4:13" ht="20" thickBot="1" x14ac:dyDescent="0.25">
      <c r="E1393" s="718">
        <v>45435</v>
      </c>
      <c r="F1393" s="719" t="s">
        <v>1107</v>
      </c>
      <c r="G1393" s="719" t="s">
        <v>1108</v>
      </c>
      <c r="H1393" s="719" t="s">
        <v>1109</v>
      </c>
      <c r="I1393" s="772"/>
      <c r="J1393" s="773"/>
      <c r="K1393" s="774"/>
      <c r="L1393" s="103"/>
      <c r="M1393" s="104"/>
    </row>
    <row r="1394" spans="4:13" ht="25" thickBot="1" x14ac:dyDescent="0.25">
      <c r="D1394" t="s">
        <v>105</v>
      </c>
      <c r="E1394" s="713" t="s">
        <v>30</v>
      </c>
      <c r="F1394" s="814" t="s">
        <v>7</v>
      </c>
      <c r="G1394" s="815"/>
      <c r="H1394" s="816"/>
      <c r="I1394" s="846" t="s">
        <v>633</v>
      </c>
      <c r="J1394" s="847"/>
      <c r="K1394" s="848"/>
      <c r="L1394" s="162" t="s">
        <v>430</v>
      </c>
      <c r="M1394" s="106" t="s">
        <v>431</v>
      </c>
    </row>
    <row r="1395" spans="4:13" x14ac:dyDescent="0.2">
      <c r="E1395" s="714" t="s">
        <v>432</v>
      </c>
      <c r="F1395" s="805"/>
      <c r="G1395" s="806"/>
      <c r="H1395" s="807"/>
      <c r="I1395" s="769" t="s">
        <v>1065</v>
      </c>
      <c r="J1395" s="770"/>
      <c r="K1395" s="771"/>
      <c r="L1395" s="100"/>
      <c r="M1395" s="101"/>
    </row>
    <row r="1396" spans="4:13" x14ac:dyDescent="0.2">
      <c r="E1396" s="715" t="s">
        <v>433</v>
      </c>
      <c r="F1396" s="824"/>
      <c r="G1396" s="825"/>
      <c r="H1396" s="826"/>
      <c r="I1396" s="769"/>
      <c r="J1396" s="770"/>
      <c r="K1396" s="771"/>
      <c r="L1396" s="100"/>
      <c r="M1396" s="101"/>
    </row>
    <row r="1397" spans="4:13" ht="20" thickBot="1" x14ac:dyDescent="0.25">
      <c r="E1397" s="715" t="s">
        <v>434</v>
      </c>
      <c r="F1397" s="824">
        <v>0</v>
      </c>
      <c r="G1397" s="825"/>
      <c r="H1397" s="826"/>
      <c r="I1397" s="769"/>
      <c r="J1397" s="770"/>
      <c r="K1397" s="771"/>
      <c r="L1397" s="100"/>
      <c r="M1397" s="101"/>
    </row>
    <row r="1398" spans="4:13" ht="20" thickBot="1" x14ac:dyDescent="0.25">
      <c r="E1398" s="716" t="s">
        <v>435</v>
      </c>
      <c r="F1398" s="811">
        <v>0.79166666666666663</v>
      </c>
      <c r="G1398" s="812"/>
      <c r="H1398" s="813"/>
      <c r="I1398" s="769"/>
      <c r="J1398" s="770"/>
      <c r="K1398" s="771"/>
      <c r="L1398" s="107">
        <v>2.0833333333333332E-2</v>
      </c>
      <c r="M1398" s="108">
        <v>0.875</v>
      </c>
    </row>
    <row r="1399" spans="4:13" ht="20" thickBot="1" x14ac:dyDescent="0.25">
      <c r="E1399" s="717" t="s">
        <v>436</v>
      </c>
      <c r="F1399" s="278" t="s">
        <v>29</v>
      </c>
      <c r="G1399" s="278" t="s">
        <v>28</v>
      </c>
      <c r="H1399" s="279" t="s">
        <v>27</v>
      </c>
      <c r="I1399" s="769"/>
      <c r="J1399" s="770"/>
      <c r="K1399" s="771"/>
      <c r="L1399" s="100"/>
      <c r="M1399" s="101"/>
    </row>
    <row r="1400" spans="4:13" x14ac:dyDescent="0.2">
      <c r="E1400" s="718">
        <v>45574</v>
      </c>
      <c r="F1400" s="719">
        <v>0</v>
      </c>
      <c r="G1400" s="719" t="s">
        <v>754</v>
      </c>
      <c r="H1400" s="719">
        <v>0</v>
      </c>
      <c r="I1400" s="769"/>
      <c r="J1400" s="770"/>
      <c r="K1400" s="771"/>
      <c r="L1400" s="100"/>
      <c r="M1400" s="101"/>
    </row>
    <row r="1401" spans="4:13" x14ac:dyDescent="0.2">
      <c r="E1401" s="718">
        <v>45525</v>
      </c>
      <c r="F1401" s="719">
        <v>0</v>
      </c>
      <c r="G1401" s="719" t="s">
        <v>754</v>
      </c>
      <c r="H1401" s="719">
        <v>0</v>
      </c>
      <c r="I1401" s="769"/>
      <c r="J1401" s="770"/>
      <c r="K1401" s="771"/>
      <c r="L1401" s="100"/>
      <c r="M1401" s="101"/>
    </row>
    <row r="1402" spans="4:13" x14ac:dyDescent="0.2">
      <c r="E1402" s="718">
        <v>45476</v>
      </c>
      <c r="F1402" s="719">
        <v>0</v>
      </c>
      <c r="G1402" s="719" t="s">
        <v>754</v>
      </c>
      <c r="H1402" s="719">
        <v>0</v>
      </c>
      <c r="I1402" s="769"/>
      <c r="J1402" s="770"/>
      <c r="K1402" s="771"/>
      <c r="L1402" s="102"/>
      <c r="M1402" s="101"/>
    </row>
    <row r="1403" spans="4:13" x14ac:dyDescent="0.2">
      <c r="E1403" s="718">
        <v>45434</v>
      </c>
      <c r="F1403" s="719">
        <v>0</v>
      </c>
      <c r="G1403" s="719" t="s">
        <v>754</v>
      </c>
      <c r="H1403" s="719">
        <v>0</v>
      </c>
      <c r="I1403" s="769"/>
      <c r="J1403" s="770"/>
      <c r="K1403" s="771"/>
      <c r="L1403" s="100"/>
      <c r="M1403" s="101"/>
    </row>
    <row r="1404" spans="4:13" x14ac:dyDescent="0.2">
      <c r="E1404" s="718">
        <v>45392</v>
      </c>
      <c r="F1404" s="719">
        <v>0</v>
      </c>
      <c r="G1404" s="719" t="s">
        <v>754</v>
      </c>
      <c r="H1404" s="719">
        <v>0</v>
      </c>
      <c r="I1404" s="769"/>
      <c r="J1404" s="770"/>
      <c r="K1404" s="771"/>
      <c r="L1404" s="100"/>
      <c r="M1404" s="101"/>
    </row>
    <row r="1405" spans="4:13" ht="20" thickBot="1" x14ac:dyDescent="0.25">
      <c r="E1405" s="718">
        <v>45343</v>
      </c>
      <c r="F1405" s="719">
        <v>0</v>
      </c>
      <c r="G1405" s="719" t="s">
        <v>754</v>
      </c>
      <c r="H1405" s="719">
        <v>0</v>
      </c>
      <c r="I1405" s="772"/>
      <c r="J1405" s="773"/>
      <c r="K1405" s="774"/>
      <c r="L1405" s="103"/>
      <c r="M1405" s="104"/>
    </row>
    <row r="1406" spans="4:13" ht="25" thickBot="1" x14ac:dyDescent="0.25">
      <c r="D1406">
        <v>3</v>
      </c>
      <c r="E1406" s="713" t="s">
        <v>30</v>
      </c>
      <c r="F1406" s="814" t="s">
        <v>50</v>
      </c>
      <c r="G1406" s="815"/>
      <c r="H1406" s="816"/>
      <c r="I1406" s="846" t="s">
        <v>633</v>
      </c>
      <c r="J1406" s="847"/>
      <c r="K1406" s="848"/>
      <c r="L1406" s="162" t="s">
        <v>430</v>
      </c>
      <c r="M1406" s="106" t="s">
        <v>431</v>
      </c>
    </row>
    <row r="1407" spans="4:13" x14ac:dyDescent="0.2">
      <c r="E1407" s="714" t="s">
        <v>432</v>
      </c>
      <c r="F1407" s="805"/>
      <c r="G1407" s="806"/>
      <c r="H1407" s="807"/>
      <c r="I1407" s="769" t="s">
        <v>1066</v>
      </c>
      <c r="J1407" s="770"/>
      <c r="K1407" s="771"/>
      <c r="L1407" s="100"/>
      <c r="M1407" s="101"/>
    </row>
    <row r="1408" spans="4:13" x14ac:dyDescent="0.2">
      <c r="E1408" s="715" t="s">
        <v>433</v>
      </c>
      <c r="F1408" s="824">
        <v>4.2500000000000003E-2</v>
      </c>
      <c r="G1408" s="825"/>
      <c r="H1408" s="826"/>
      <c r="I1408" s="769"/>
      <c r="J1408" s="770"/>
      <c r="K1408" s="771"/>
      <c r="L1408" s="100"/>
      <c r="M1408" s="101"/>
    </row>
    <row r="1409" spans="4:13" ht="20" thickBot="1" x14ac:dyDescent="0.25">
      <c r="E1409" s="715" t="s">
        <v>434</v>
      </c>
      <c r="F1409" s="824">
        <v>4.7500000000000001E-2</v>
      </c>
      <c r="G1409" s="825"/>
      <c r="H1409" s="826"/>
      <c r="I1409" s="769"/>
      <c r="J1409" s="770"/>
      <c r="K1409" s="771"/>
      <c r="L1409" s="100"/>
      <c r="M1409" s="101"/>
    </row>
    <row r="1410" spans="4:13" ht="20" thickBot="1" x14ac:dyDescent="0.25">
      <c r="E1410" s="716" t="s">
        <v>435</v>
      </c>
      <c r="F1410" s="811">
        <v>4.1666666666666657E-2</v>
      </c>
      <c r="G1410" s="812"/>
      <c r="H1410" s="813"/>
      <c r="I1410" s="769"/>
      <c r="J1410" s="770"/>
      <c r="K1410" s="771"/>
      <c r="L1410" s="107">
        <v>0.27083333333333331</v>
      </c>
      <c r="M1410" s="108">
        <v>0.12499999999999997</v>
      </c>
    </row>
    <row r="1411" spans="4:13" ht="20" thickBot="1" x14ac:dyDescent="0.25">
      <c r="E1411" s="717" t="s">
        <v>436</v>
      </c>
      <c r="F1411" s="278" t="s">
        <v>29</v>
      </c>
      <c r="G1411" s="278" t="s">
        <v>28</v>
      </c>
      <c r="H1411" s="279" t="s">
        <v>27</v>
      </c>
      <c r="I1411" s="769"/>
      <c r="J1411" s="770"/>
      <c r="K1411" s="771"/>
      <c r="L1411" s="100"/>
      <c r="M1411" s="101"/>
    </row>
    <row r="1412" spans="4:13" x14ac:dyDescent="0.2">
      <c r="E1412" s="718">
        <v>45574</v>
      </c>
      <c r="F1412" s="385">
        <v>4.7500000000000001E-2</v>
      </c>
      <c r="G1412" s="385" t="s">
        <v>726</v>
      </c>
      <c r="H1412" s="385">
        <v>5.2499999999999998E-2</v>
      </c>
      <c r="I1412" s="769"/>
      <c r="J1412" s="770"/>
      <c r="K1412" s="771"/>
      <c r="L1412" s="100"/>
      <c r="M1412" s="101"/>
    </row>
    <row r="1413" spans="4:13" x14ac:dyDescent="0.2">
      <c r="E1413" s="718">
        <v>45518</v>
      </c>
      <c r="F1413" s="385">
        <v>5.2499999999999998E-2</v>
      </c>
      <c r="G1413" s="385" t="s">
        <v>942</v>
      </c>
      <c r="H1413" s="385">
        <v>5.5E-2</v>
      </c>
      <c r="I1413" s="769"/>
      <c r="J1413" s="770"/>
      <c r="K1413" s="771"/>
      <c r="L1413" s="100"/>
      <c r="M1413" s="101"/>
    </row>
    <row r="1414" spans="4:13" x14ac:dyDescent="0.2">
      <c r="E1414" s="718">
        <v>45483</v>
      </c>
      <c r="F1414" s="385">
        <v>5.5E-2</v>
      </c>
      <c r="G1414" s="385" t="s">
        <v>942</v>
      </c>
      <c r="H1414" s="385">
        <v>5.5E-2</v>
      </c>
      <c r="I1414" s="769"/>
      <c r="J1414" s="770"/>
      <c r="K1414" s="771"/>
      <c r="L1414" s="102"/>
      <c r="M1414" s="101"/>
    </row>
    <row r="1415" spans="4:13" x14ac:dyDescent="0.2">
      <c r="E1415" s="718">
        <v>45434</v>
      </c>
      <c r="F1415" s="385">
        <v>5.5E-2</v>
      </c>
      <c r="G1415" s="385" t="s">
        <v>942</v>
      </c>
      <c r="H1415" s="385">
        <v>5.5E-2</v>
      </c>
      <c r="I1415" s="769"/>
      <c r="J1415" s="770"/>
      <c r="K1415" s="771"/>
      <c r="L1415" s="100"/>
      <c r="M1415" s="101"/>
    </row>
    <row r="1416" spans="4:13" x14ac:dyDescent="0.2">
      <c r="E1416" s="718">
        <v>45392</v>
      </c>
      <c r="F1416" s="385">
        <v>5.5E-2</v>
      </c>
      <c r="G1416" s="385" t="s">
        <v>942</v>
      </c>
      <c r="H1416" s="385">
        <v>5.5E-2</v>
      </c>
      <c r="I1416" s="769"/>
      <c r="J1416" s="770"/>
      <c r="K1416" s="771"/>
      <c r="L1416" s="100"/>
      <c r="M1416" s="101"/>
    </row>
    <row r="1417" spans="4:13" ht="20" thickBot="1" x14ac:dyDescent="0.25">
      <c r="E1417" s="718">
        <v>45350</v>
      </c>
      <c r="F1417" s="385">
        <v>5.5E-2</v>
      </c>
      <c r="G1417" s="385" t="s">
        <v>942</v>
      </c>
      <c r="H1417" s="385">
        <v>5.5E-2</v>
      </c>
      <c r="I1417" s="772"/>
      <c r="J1417" s="773"/>
      <c r="K1417" s="774"/>
      <c r="L1417" s="103"/>
      <c r="M1417" s="104"/>
    </row>
    <row r="1418" spans="4:13" ht="25" thickBot="1" x14ac:dyDescent="0.25">
      <c r="D1418">
        <v>4</v>
      </c>
      <c r="E1418" s="713" t="s">
        <v>30</v>
      </c>
      <c r="F1418" s="814" t="s">
        <v>1067</v>
      </c>
      <c r="G1418" s="815"/>
      <c r="H1418" s="816"/>
      <c r="I1418" s="846" t="s">
        <v>633</v>
      </c>
      <c r="J1418" s="847"/>
      <c r="K1418" s="848"/>
      <c r="L1418" s="162" t="s">
        <v>430</v>
      </c>
      <c r="M1418" s="106" t="s">
        <v>431</v>
      </c>
    </row>
    <row r="1419" spans="4:13" x14ac:dyDescent="0.2">
      <c r="E1419" s="714" t="s">
        <v>432</v>
      </c>
      <c r="F1419" s="805"/>
      <c r="G1419" s="806"/>
      <c r="H1419" s="807"/>
      <c r="I1419" s="769" t="s">
        <v>1068</v>
      </c>
      <c r="J1419" s="770"/>
      <c r="K1419" s="771"/>
      <c r="L1419" s="100"/>
      <c r="M1419" s="101"/>
    </row>
    <row r="1420" spans="4:13" x14ac:dyDescent="0.2">
      <c r="E1420" s="715" t="s">
        <v>433</v>
      </c>
      <c r="F1420" s="827"/>
      <c r="G1420" s="825"/>
      <c r="H1420" s="826"/>
      <c r="I1420" s="769"/>
      <c r="J1420" s="770"/>
      <c r="K1420" s="771"/>
      <c r="L1420" s="100"/>
      <c r="M1420" s="101"/>
    </row>
    <row r="1421" spans="4:13" ht="20" thickBot="1" x14ac:dyDescent="0.25">
      <c r="E1421" s="715" t="s">
        <v>434</v>
      </c>
      <c r="F1421" s="824">
        <v>-6.9999999999999993E-3</v>
      </c>
      <c r="G1421" s="825"/>
      <c r="H1421" s="826"/>
      <c r="I1421" s="769"/>
      <c r="J1421" s="770"/>
      <c r="K1421" s="771"/>
      <c r="L1421" s="100"/>
      <c r="M1421" s="101"/>
    </row>
    <row r="1422" spans="4:13" ht="20" thickBot="1" x14ac:dyDescent="0.25">
      <c r="E1422" s="716" t="s">
        <v>435</v>
      </c>
      <c r="F1422" s="811">
        <v>0.5625</v>
      </c>
      <c r="G1422" s="812"/>
      <c r="H1422" s="813"/>
      <c r="I1422" s="769"/>
      <c r="J1422" s="770"/>
      <c r="K1422" s="771"/>
      <c r="L1422" s="107">
        <v>0.79166666666666663</v>
      </c>
      <c r="M1422" s="108">
        <v>0.6875</v>
      </c>
    </row>
    <row r="1423" spans="4:13" ht="20" thickBot="1" x14ac:dyDescent="0.25">
      <c r="E1423" s="717" t="s">
        <v>436</v>
      </c>
      <c r="F1423" s="278" t="s">
        <v>29</v>
      </c>
      <c r="G1423" s="278" t="s">
        <v>28</v>
      </c>
      <c r="H1423" s="279" t="s">
        <v>27</v>
      </c>
      <c r="I1423" s="769"/>
      <c r="J1423" s="770"/>
      <c r="K1423" s="771"/>
      <c r="L1423" s="100"/>
      <c r="M1423" s="101"/>
    </row>
    <row r="1424" spans="4:13" x14ac:dyDescent="0.2">
      <c r="E1424" s="718">
        <v>45590</v>
      </c>
      <c r="F1424" s="385">
        <v>-8.0000000000000002E-3</v>
      </c>
      <c r="G1424" s="385" t="s">
        <v>1110</v>
      </c>
      <c r="H1424" s="385">
        <v>-8.0000000000000002E-3</v>
      </c>
      <c r="I1424" s="769"/>
      <c r="J1424" s="770"/>
      <c r="K1424" s="771"/>
      <c r="L1424" s="100"/>
      <c r="M1424" s="101"/>
    </row>
    <row r="1425" spans="4:13" x14ac:dyDescent="0.2">
      <c r="E1425" s="718">
        <v>45561</v>
      </c>
      <c r="F1425" s="385">
        <v>0</v>
      </c>
      <c r="G1425" s="385" t="s">
        <v>778</v>
      </c>
      <c r="H1425" s="385">
        <v>9.9000000000000005E-2</v>
      </c>
      <c r="I1425" s="769"/>
      <c r="J1425" s="770"/>
      <c r="K1425" s="771"/>
      <c r="L1425" s="100"/>
      <c r="M1425" s="101"/>
    </row>
    <row r="1426" spans="4:13" x14ac:dyDescent="0.2">
      <c r="E1426" s="718">
        <v>45530</v>
      </c>
      <c r="F1426" s="385">
        <v>9.9000000000000005E-2</v>
      </c>
      <c r="G1426" s="385" t="s">
        <v>630</v>
      </c>
      <c r="H1426" s="385">
        <v>-6.9000000000000006E-2</v>
      </c>
      <c r="I1426" s="769"/>
      <c r="J1426" s="770"/>
      <c r="K1426" s="771"/>
      <c r="L1426" s="102"/>
      <c r="M1426" s="101"/>
    </row>
    <row r="1427" spans="4:13" x14ac:dyDescent="0.2">
      <c r="E1427" s="718">
        <v>45498</v>
      </c>
      <c r="F1427" s="385">
        <v>-6.6000000000000003E-2</v>
      </c>
      <c r="G1427" s="385" t="s">
        <v>467</v>
      </c>
      <c r="H1427" s="385">
        <v>1E-3</v>
      </c>
      <c r="I1427" s="769"/>
      <c r="J1427" s="770"/>
      <c r="K1427" s="771"/>
      <c r="L1427" s="100"/>
      <c r="M1427" s="101"/>
    </row>
    <row r="1428" spans="4:13" x14ac:dyDescent="0.2">
      <c r="E1428" s="718">
        <v>45470</v>
      </c>
      <c r="F1428" s="385">
        <v>1E-3</v>
      </c>
      <c r="G1428" s="385" t="s">
        <v>782</v>
      </c>
      <c r="H1428" s="385">
        <v>2E-3</v>
      </c>
      <c r="I1428" s="769"/>
      <c r="J1428" s="770"/>
      <c r="K1428" s="771"/>
      <c r="L1428" s="100"/>
      <c r="M1428" s="101"/>
    </row>
    <row r="1429" spans="4:13" ht="20" thickBot="1" x14ac:dyDescent="0.25">
      <c r="E1429" s="718">
        <v>45436</v>
      </c>
      <c r="F1429" s="385">
        <v>7.0000000000000001E-3</v>
      </c>
      <c r="G1429" s="385" t="s">
        <v>784</v>
      </c>
      <c r="H1429" s="385">
        <v>8.0000000000000002E-3</v>
      </c>
      <c r="I1429" s="772"/>
      <c r="J1429" s="773"/>
      <c r="K1429" s="774"/>
      <c r="L1429" s="103"/>
      <c r="M1429" s="104"/>
    </row>
    <row r="1430" spans="4:13" ht="25" thickBot="1" x14ac:dyDescent="0.25">
      <c r="D1430">
        <v>5</v>
      </c>
      <c r="E1430" s="713" t="s">
        <v>30</v>
      </c>
      <c r="F1430" s="814" t="s">
        <v>1069</v>
      </c>
      <c r="G1430" s="815"/>
      <c r="H1430" s="816"/>
      <c r="I1430" s="846" t="s">
        <v>633</v>
      </c>
      <c r="J1430" s="847"/>
      <c r="K1430" s="848"/>
      <c r="L1430" s="162" t="s">
        <v>430</v>
      </c>
      <c r="M1430" s="106" t="s">
        <v>431</v>
      </c>
    </row>
    <row r="1431" spans="4:13" x14ac:dyDescent="0.2">
      <c r="E1431" s="714" t="s">
        <v>432</v>
      </c>
      <c r="F1431" s="805"/>
      <c r="G1431" s="806"/>
      <c r="H1431" s="807"/>
      <c r="I1431" s="769" t="s">
        <v>1070</v>
      </c>
      <c r="J1431" s="770"/>
      <c r="K1431" s="771"/>
      <c r="L1431" s="100"/>
      <c r="M1431" s="101"/>
    </row>
    <row r="1432" spans="4:13" x14ac:dyDescent="0.2">
      <c r="E1432" s="715" t="s">
        <v>433</v>
      </c>
      <c r="F1432" s="824"/>
      <c r="G1432" s="825"/>
      <c r="H1432" s="826"/>
      <c r="I1432" s="769"/>
      <c r="J1432" s="770"/>
      <c r="K1432" s="771"/>
      <c r="L1432" s="100"/>
      <c r="M1432" s="101"/>
    </row>
    <row r="1433" spans="4:13" ht="20" thickBot="1" x14ac:dyDescent="0.25">
      <c r="E1433" s="715" t="s">
        <v>434</v>
      </c>
      <c r="F1433" s="824">
        <v>2.8000000000000001E-2</v>
      </c>
      <c r="G1433" s="825"/>
      <c r="H1433" s="826"/>
      <c r="I1433" s="769"/>
      <c r="J1433" s="770"/>
      <c r="K1433" s="771"/>
      <c r="L1433" s="100"/>
      <c r="M1433" s="101"/>
    </row>
    <row r="1434" spans="4:13" ht="20" thickBot="1" x14ac:dyDescent="0.25">
      <c r="E1434" s="716" t="s">
        <v>435</v>
      </c>
      <c r="F1434" s="811">
        <v>0.5625</v>
      </c>
      <c r="G1434" s="812"/>
      <c r="H1434" s="813"/>
      <c r="I1434" s="769"/>
      <c r="J1434" s="770"/>
      <c r="K1434" s="771"/>
      <c r="L1434" s="107">
        <v>0.79166666666666663</v>
      </c>
      <c r="M1434" s="108">
        <v>0.64583333333333326</v>
      </c>
    </row>
    <row r="1435" spans="4:13" ht="20" thickBot="1" x14ac:dyDescent="0.25">
      <c r="E1435" s="717" t="s">
        <v>436</v>
      </c>
      <c r="F1435" s="278" t="s">
        <v>29</v>
      </c>
      <c r="G1435" s="278" t="s">
        <v>28</v>
      </c>
      <c r="H1435" s="279" t="s">
        <v>27</v>
      </c>
      <c r="I1435" s="769"/>
      <c r="J1435" s="770"/>
      <c r="K1435" s="771"/>
      <c r="L1435" s="100"/>
      <c r="M1435" s="101"/>
    </row>
    <row r="1436" spans="4:13" x14ac:dyDescent="0.2">
      <c r="E1436" s="718">
        <v>45595</v>
      </c>
      <c r="F1436" s="385">
        <v>2.8000000000000001E-2</v>
      </c>
      <c r="G1436" s="385" t="s">
        <v>669</v>
      </c>
      <c r="H1436" s="385">
        <v>0.03</v>
      </c>
      <c r="I1436" s="769"/>
      <c r="J1436" s="770"/>
      <c r="K1436" s="771"/>
      <c r="L1436" s="100"/>
      <c r="M1436" s="101"/>
    </row>
    <row r="1437" spans="4:13" x14ac:dyDescent="0.2">
      <c r="E1437" s="718">
        <v>45561</v>
      </c>
      <c r="F1437" s="385">
        <v>0.03</v>
      </c>
      <c r="G1437" s="385" t="s">
        <v>669</v>
      </c>
      <c r="H1437" s="385">
        <v>1.6E-2</v>
      </c>
      <c r="I1437" s="769"/>
      <c r="J1437" s="770"/>
      <c r="K1437" s="771"/>
      <c r="L1437" s="100"/>
      <c r="M1437" s="101"/>
    </row>
    <row r="1438" spans="4:13" x14ac:dyDescent="0.2">
      <c r="E1438" s="718">
        <v>45533</v>
      </c>
      <c r="F1438" s="385">
        <v>0.03</v>
      </c>
      <c r="G1438" s="385" t="s">
        <v>666</v>
      </c>
      <c r="H1438" s="385">
        <v>1.4E-2</v>
      </c>
      <c r="I1438" s="769"/>
      <c r="J1438" s="770"/>
      <c r="K1438" s="771"/>
      <c r="L1438" s="102"/>
      <c r="M1438" s="101"/>
    </row>
    <row r="1439" spans="4:13" x14ac:dyDescent="0.2">
      <c r="E1439" s="718">
        <v>45498</v>
      </c>
      <c r="F1439" s="385">
        <v>2.8000000000000001E-2</v>
      </c>
      <c r="G1439" s="385" t="s">
        <v>788</v>
      </c>
      <c r="H1439" s="385">
        <v>1.4E-2</v>
      </c>
      <c r="I1439" s="769"/>
      <c r="J1439" s="770"/>
      <c r="K1439" s="771"/>
      <c r="L1439" s="100"/>
      <c r="M1439" s="101"/>
    </row>
    <row r="1440" spans="4:13" x14ac:dyDescent="0.2">
      <c r="E1440" s="718">
        <v>45470</v>
      </c>
      <c r="F1440" s="385">
        <v>1.4E-2</v>
      </c>
      <c r="G1440" s="385" t="s">
        <v>889</v>
      </c>
      <c r="H1440" s="385">
        <v>3.4000000000000002E-2</v>
      </c>
      <c r="I1440" s="769"/>
      <c r="J1440" s="770"/>
      <c r="K1440" s="771"/>
      <c r="L1440" s="100"/>
      <c r="M1440" s="101"/>
    </row>
    <row r="1441" spans="4:13" ht="20" thickBot="1" x14ac:dyDescent="0.25">
      <c r="E1441" s="718">
        <v>45442</v>
      </c>
      <c r="F1441" s="385">
        <v>1.2999999999999999E-2</v>
      </c>
      <c r="G1441" s="385" t="s">
        <v>890</v>
      </c>
      <c r="H1441" s="385">
        <v>3.4000000000000002E-2</v>
      </c>
      <c r="I1441" s="772"/>
      <c r="J1441" s="773"/>
      <c r="K1441" s="774"/>
      <c r="L1441" s="103"/>
      <c r="M1441" s="104"/>
    </row>
    <row r="1442" spans="4:13" ht="25" thickBot="1" x14ac:dyDescent="0.25">
      <c r="D1442">
        <v>6</v>
      </c>
      <c r="E1442" s="713" t="s">
        <v>30</v>
      </c>
      <c r="F1442" s="814" t="s">
        <v>14</v>
      </c>
      <c r="G1442" s="815"/>
      <c r="H1442" s="816"/>
      <c r="I1442" s="846" t="s">
        <v>633</v>
      </c>
      <c r="J1442" s="847"/>
      <c r="K1442" s="848"/>
      <c r="L1442" s="162" t="s">
        <v>430</v>
      </c>
      <c r="M1442" s="106" t="s">
        <v>431</v>
      </c>
    </row>
    <row r="1443" spans="4:13" x14ac:dyDescent="0.2">
      <c r="E1443" s="714" t="s">
        <v>432</v>
      </c>
      <c r="F1443" s="805"/>
      <c r="G1443" s="806"/>
      <c r="H1443" s="807"/>
      <c r="I1443" s="769" t="s">
        <v>1072</v>
      </c>
      <c r="J1443" s="770"/>
      <c r="K1443" s="771"/>
      <c r="L1443" s="100"/>
      <c r="M1443" s="101"/>
    </row>
    <row r="1444" spans="4:13" x14ac:dyDescent="0.2">
      <c r="E1444" s="715" t="s">
        <v>433</v>
      </c>
      <c r="F1444" s="817"/>
      <c r="G1444" s="818"/>
      <c r="H1444" s="819"/>
      <c r="I1444" s="769"/>
      <c r="J1444" s="770"/>
      <c r="K1444" s="771"/>
      <c r="L1444" s="100"/>
      <c r="M1444" s="101"/>
    </row>
    <row r="1445" spans="4:13" ht="20" thickBot="1" x14ac:dyDescent="0.25">
      <c r="E1445" s="715" t="s">
        <v>434</v>
      </c>
      <c r="F1445" s="817" t="s">
        <v>1071</v>
      </c>
      <c r="G1445" s="818"/>
      <c r="H1445" s="819"/>
      <c r="I1445" s="769"/>
      <c r="J1445" s="770"/>
      <c r="K1445" s="771"/>
      <c r="L1445" s="100"/>
      <c r="M1445" s="101"/>
    </row>
    <row r="1446" spans="4:13" ht="20" thickBot="1" x14ac:dyDescent="0.25">
      <c r="E1446" s="716" t="s">
        <v>435</v>
      </c>
      <c r="F1446" s="811">
        <v>0.5625</v>
      </c>
      <c r="G1446" s="812"/>
      <c r="H1446" s="813"/>
      <c r="I1446" s="769"/>
      <c r="J1446" s="770"/>
      <c r="K1446" s="771"/>
      <c r="L1446" s="107">
        <v>0.79166666666666663</v>
      </c>
      <c r="M1446" s="108">
        <v>0.64583333333333326</v>
      </c>
    </row>
    <row r="1447" spans="4:13" ht="20" thickBot="1" x14ac:dyDescent="0.25">
      <c r="E1447" s="717" t="s">
        <v>436</v>
      </c>
      <c r="F1447" s="278" t="s">
        <v>29</v>
      </c>
      <c r="G1447" s="278" t="s">
        <v>28</v>
      </c>
      <c r="H1447" s="279" t="s">
        <v>27</v>
      </c>
      <c r="I1447" s="769"/>
      <c r="J1447" s="770"/>
      <c r="K1447" s="771"/>
      <c r="L1447" s="100"/>
      <c r="M1447" s="101"/>
    </row>
    <row r="1448" spans="4:13" x14ac:dyDescent="0.2">
      <c r="E1448" s="718">
        <v>45617</v>
      </c>
      <c r="F1448" s="283" t="s">
        <v>1111</v>
      </c>
      <c r="G1448" s="283" t="s">
        <v>1112</v>
      </c>
      <c r="H1448" s="283" t="s">
        <v>987</v>
      </c>
      <c r="I1448" s="769"/>
      <c r="J1448" s="770"/>
      <c r="K1448" s="771"/>
      <c r="L1448" s="100"/>
      <c r="M1448" s="101"/>
    </row>
    <row r="1449" spans="4:13" x14ac:dyDescent="0.2">
      <c r="E1449" s="718">
        <v>45610</v>
      </c>
      <c r="F1449" s="283" t="s">
        <v>1031</v>
      </c>
      <c r="G1449" s="283" t="s">
        <v>1032</v>
      </c>
      <c r="H1449" s="283" t="s">
        <v>972</v>
      </c>
      <c r="I1449" s="769"/>
      <c r="J1449" s="770"/>
      <c r="K1449" s="771"/>
      <c r="L1449" s="100"/>
      <c r="M1449" s="101"/>
    </row>
    <row r="1450" spans="4:13" x14ac:dyDescent="0.2">
      <c r="E1450" s="718">
        <v>45603</v>
      </c>
      <c r="F1450" s="283" t="s">
        <v>972</v>
      </c>
      <c r="G1450" s="283" t="s">
        <v>973</v>
      </c>
      <c r="H1450" s="283" t="s">
        <v>974</v>
      </c>
      <c r="I1450" s="769"/>
      <c r="J1450" s="770"/>
      <c r="K1450" s="771"/>
      <c r="L1450" s="102"/>
      <c r="M1450" s="101"/>
    </row>
    <row r="1451" spans="4:13" x14ac:dyDescent="0.2">
      <c r="E1451" s="718">
        <v>45596</v>
      </c>
      <c r="F1451" s="283" t="s">
        <v>975</v>
      </c>
      <c r="G1451" s="283" t="s">
        <v>976</v>
      </c>
      <c r="H1451" s="283" t="s">
        <v>977</v>
      </c>
      <c r="I1451" s="769"/>
      <c r="J1451" s="770"/>
      <c r="K1451" s="771"/>
      <c r="L1451" s="100"/>
      <c r="M1451" s="101"/>
    </row>
    <row r="1452" spans="4:13" x14ac:dyDescent="0.2">
      <c r="E1452" s="718">
        <v>45589</v>
      </c>
      <c r="F1452" s="283" t="s">
        <v>978</v>
      </c>
      <c r="G1452" s="283" t="s">
        <v>979</v>
      </c>
      <c r="H1452" s="283" t="s">
        <v>980</v>
      </c>
      <c r="I1452" s="769"/>
      <c r="J1452" s="770"/>
      <c r="K1452" s="771"/>
      <c r="L1452" s="100"/>
      <c r="M1452" s="101"/>
    </row>
    <row r="1453" spans="4:13" ht="20" thickBot="1" x14ac:dyDescent="0.25">
      <c r="E1453" s="718">
        <v>45582</v>
      </c>
      <c r="F1453" s="283" t="s">
        <v>981</v>
      </c>
      <c r="G1453" s="283" t="s">
        <v>981</v>
      </c>
      <c r="H1453" s="283" t="s">
        <v>982</v>
      </c>
      <c r="I1453" s="772"/>
      <c r="J1453" s="773"/>
      <c r="K1453" s="774"/>
      <c r="L1453" s="103"/>
      <c r="M1453" s="104"/>
    </row>
    <row r="1454" spans="4:13" ht="25" thickBot="1" x14ac:dyDescent="0.25">
      <c r="D1454" s="88" t="s">
        <v>105</v>
      </c>
      <c r="E1454" s="713" t="s">
        <v>30</v>
      </c>
      <c r="F1454" s="814" t="s">
        <v>1073</v>
      </c>
      <c r="G1454" s="815"/>
      <c r="H1454" s="816"/>
      <c r="I1454" s="846" t="s">
        <v>633</v>
      </c>
      <c r="J1454" s="847"/>
      <c r="K1454" s="848"/>
      <c r="L1454" s="162" t="s">
        <v>430</v>
      </c>
      <c r="M1454" s="106" t="s">
        <v>431</v>
      </c>
    </row>
    <row r="1455" spans="4:13" x14ac:dyDescent="0.2">
      <c r="D1455" s="89"/>
      <c r="E1455" s="714" t="s">
        <v>432</v>
      </c>
      <c r="F1455" s="805"/>
      <c r="G1455" s="806"/>
      <c r="H1455" s="807"/>
      <c r="I1455" s="769" t="s">
        <v>1074</v>
      </c>
      <c r="J1455" s="770"/>
      <c r="K1455" s="771"/>
      <c r="L1455" s="100"/>
      <c r="M1455" s="101"/>
    </row>
    <row r="1456" spans="4:13" x14ac:dyDescent="0.2">
      <c r="D1456" s="89"/>
      <c r="E1456" s="715" t="s">
        <v>433</v>
      </c>
      <c r="F1456" s="817">
        <v>44.9</v>
      </c>
      <c r="G1456" s="818"/>
      <c r="H1456" s="819"/>
      <c r="I1456" s="769"/>
      <c r="J1456" s="770"/>
      <c r="K1456" s="771"/>
      <c r="L1456" s="100"/>
      <c r="M1456" s="101"/>
    </row>
    <row r="1457" spans="4:13" ht="20" thickBot="1" x14ac:dyDescent="0.25">
      <c r="D1457" s="89"/>
      <c r="E1457" s="715" t="s">
        <v>434</v>
      </c>
      <c r="F1457" s="817">
        <v>41.6</v>
      </c>
      <c r="G1457" s="818"/>
      <c r="H1457" s="819"/>
      <c r="I1457" s="769"/>
      <c r="J1457" s="770"/>
      <c r="K1457" s="771"/>
      <c r="L1457" s="100"/>
      <c r="M1457" s="101"/>
    </row>
    <row r="1458" spans="4:13" ht="20" thickBot="1" x14ac:dyDescent="0.25">
      <c r="D1458" s="89"/>
      <c r="E1458" s="716" t="s">
        <v>435</v>
      </c>
      <c r="F1458" s="811">
        <v>0.61458333333333337</v>
      </c>
      <c r="G1458" s="812"/>
      <c r="H1458" s="813"/>
      <c r="I1458" s="769"/>
      <c r="J1458" s="770"/>
      <c r="K1458" s="771"/>
      <c r="L1458" s="107">
        <v>0.84375</v>
      </c>
      <c r="M1458" s="108">
        <v>0.69791666666666663</v>
      </c>
    </row>
    <row r="1459" spans="4:13" ht="20" thickBot="1" x14ac:dyDescent="0.25">
      <c r="D1459" s="89"/>
      <c r="E1459" s="717" t="s">
        <v>436</v>
      </c>
      <c r="F1459" s="278" t="s">
        <v>29</v>
      </c>
      <c r="G1459" s="278" t="s">
        <v>28</v>
      </c>
      <c r="H1459" s="279" t="s">
        <v>27</v>
      </c>
      <c r="I1459" s="769"/>
      <c r="J1459" s="770"/>
      <c r="K1459" s="771"/>
      <c r="L1459" s="100"/>
      <c r="M1459" s="101"/>
    </row>
    <row r="1460" spans="4:13" x14ac:dyDescent="0.2">
      <c r="D1460" s="89"/>
      <c r="E1460" s="718">
        <v>45596</v>
      </c>
      <c r="F1460" s="719" t="s">
        <v>1113</v>
      </c>
      <c r="G1460" s="719" t="s">
        <v>1114</v>
      </c>
      <c r="H1460" s="719" t="s">
        <v>1115</v>
      </c>
      <c r="I1460" s="769"/>
      <c r="J1460" s="770"/>
      <c r="K1460" s="771"/>
      <c r="L1460" s="100"/>
      <c r="M1460" s="101"/>
    </row>
    <row r="1461" spans="4:13" x14ac:dyDescent="0.2">
      <c r="D1461" s="89"/>
      <c r="E1461" s="718">
        <v>45565</v>
      </c>
      <c r="F1461" s="719" t="s">
        <v>1115</v>
      </c>
      <c r="G1461" s="719" t="s">
        <v>1116</v>
      </c>
      <c r="H1461" s="719" t="s">
        <v>1116</v>
      </c>
      <c r="I1461" s="769"/>
      <c r="J1461" s="770"/>
      <c r="K1461" s="771"/>
      <c r="L1461" s="100"/>
      <c r="M1461" s="101"/>
    </row>
    <row r="1462" spans="4:13" x14ac:dyDescent="0.2">
      <c r="D1462" s="89"/>
      <c r="E1462" s="718">
        <v>45534</v>
      </c>
      <c r="F1462" s="719" t="s">
        <v>1116</v>
      </c>
      <c r="G1462" s="719" t="s">
        <v>1117</v>
      </c>
      <c r="H1462" s="719" t="s">
        <v>1118</v>
      </c>
      <c r="I1462" s="769"/>
      <c r="J1462" s="770"/>
      <c r="K1462" s="771"/>
      <c r="L1462" s="102"/>
      <c r="M1462" s="101"/>
    </row>
    <row r="1463" spans="4:13" x14ac:dyDescent="0.2">
      <c r="D1463" s="89"/>
      <c r="E1463" s="718">
        <v>45504</v>
      </c>
      <c r="F1463" s="719" t="s">
        <v>1118</v>
      </c>
      <c r="G1463" s="719" t="s">
        <v>1119</v>
      </c>
      <c r="H1463" s="719" t="s">
        <v>1120</v>
      </c>
      <c r="I1463" s="769"/>
      <c r="J1463" s="770"/>
      <c r="K1463" s="771"/>
      <c r="L1463" s="100"/>
      <c r="M1463" s="101"/>
    </row>
    <row r="1464" spans="4:13" x14ac:dyDescent="0.2">
      <c r="D1464" s="89"/>
      <c r="E1464" s="718">
        <v>45471</v>
      </c>
      <c r="F1464" s="719" t="s">
        <v>1120</v>
      </c>
      <c r="G1464" s="719" t="s">
        <v>1121</v>
      </c>
      <c r="H1464" s="719" t="s">
        <v>1122</v>
      </c>
      <c r="I1464" s="769"/>
      <c r="J1464" s="770"/>
      <c r="K1464" s="771"/>
      <c r="L1464" s="100"/>
      <c r="M1464" s="101"/>
    </row>
    <row r="1465" spans="4:13" ht="20" thickBot="1" x14ac:dyDescent="0.25">
      <c r="D1465" s="89"/>
      <c r="E1465" s="718">
        <v>45443</v>
      </c>
      <c r="F1465" s="719" t="s">
        <v>1122</v>
      </c>
      <c r="G1465" s="719" t="s">
        <v>1123</v>
      </c>
      <c r="H1465" s="719" t="s">
        <v>1124</v>
      </c>
      <c r="I1465" s="772"/>
      <c r="J1465" s="773"/>
      <c r="K1465" s="774"/>
      <c r="L1465" s="103"/>
      <c r="M1465" s="104"/>
    </row>
    <row r="1466" spans="4:13" ht="25" thickBot="1" x14ac:dyDescent="0.25">
      <c r="D1466">
        <v>7</v>
      </c>
      <c r="E1466" s="713" t="s">
        <v>30</v>
      </c>
      <c r="F1466" s="814" t="s">
        <v>1075</v>
      </c>
      <c r="G1466" s="815"/>
      <c r="H1466" s="816"/>
      <c r="I1466" s="846" t="s">
        <v>633</v>
      </c>
      <c r="J1466" s="847"/>
      <c r="K1466" s="848"/>
      <c r="L1466" s="162" t="s">
        <v>430</v>
      </c>
      <c r="M1466" s="106" t="s">
        <v>431</v>
      </c>
    </row>
    <row r="1467" spans="4:13" x14ac:dyDescent="0.2">
      <c r="D1467" s="89"/>
      <c r="E1467" s="714" t="s">
        <v>432</v>
      </c>
      <c r="F1467" s="805"/>
      <c r="G1467" s="806"/>
      <c r="H1467" s="807"/>
      <c r="I1467" s="769" t="s">
        <v>1076</v>
      </c>
      <c r="J1467" s="770"/>
      <c r="K1467" s="771"/>
      <c r="L1467" s="100"/>
      <c r="M1467" s="101"/>
    </row>
    <row r="1468" spans="4:13" x14ac:dyDescent="0.2">
      <c r="D1468" s="89"/>
      <c r="E1468" s="715" t="s">
        <v>433</v>
      </c>
      <c r="F1468" s="817"/>
      <c r="G1468" s="818"/>
      <c r="H1468" s="819"/>
      <c r="I1468" s="769"/>
      <c r="J1468" s="770"/>
      <c r="K1468" s="771"/>
      <c r="L1468" s="100"/>
      <c r="M1468" s="101"/>
    </row>
    <row r="1469" spans="4:13" ht="20" thickBot="1" x14ac:dyDescent="0.25">
      <c r="D1469" s="89"/>
      <c r="E1469" s="715" t="s">
        <v>434</v>
      </c>
      <c r="F1469" s="824">
        <v>2.7E-2</v>
      </c>
      <c r="G1469" s="825"/>
      <c r="H1469" s="826"/>
      <c r="I1469" s="769"/>
      <c r="J1469" s="770"/>
      <c r="K1469" s="771"/>
      <c r="L1469" s="100"/>
      <c r="M1469" s="101"/>
    </row>
    <row r="1470" spans="4:13" ht="20" thickBot="1" x14ac:dyDescent="0.25">
      <c r="D1470" s="89"/>
      <c r="E1470" s="716" t="s">
        <v>435</v>
      </c>
      <c r="F1470" s="811">
        <v>0.5625</v>
      </c>
      <c r="G1470" s="812"/>
      <c r="H1470" s="813"/>
      <c r="I1470" s="769"/>
      <c r="J1470" s="770"/>
      <c r="K1470" s="771"/>
      <c r="L1470" s="107">
        <v>0.79166666666666663</v>
      </c>
      <c r="M1470" s="108">
        <v>0.64583333333333326</v>
      </c>
    </row>
    <row r="1471" spans="4:13" ht="20" thickBot="1" x14ac:dyDescent="0.25">
      <c r="D1471" s="89"/>
      <c r="E1471" s="717" t="s">
        <v>436</v>
      </c>
      <c r="F1471" s="278" t="s">
        <v>29</v>
      </c>
      <c r="G1471" s="278" t="s">
        <v>28</v>
      </c>
      <c r="H1471" s="279" t="s">
        <v>27</v>
      </c>
      <c r="I1471" s="769"/>
      <c r="J1471" s="770"/>
      <c r="K1471" s="771"/>
      <c r="L1471" s="100"/>
      <c r="M1471" s="101"/>
    </row>
    <row r="1472" spans="4:13" x14ac:dyDescent="0.2">
      <c r="D1472" s="89"/>
      <c r="E1472" s="718">
        <v>45596</v>
      </c>
      <c r="F1472" s="380">
        <v>2.7E-2</v>
      </c>
      <c r="G1472" s="380" t="s">
        <v>493</v>
      </c>
      <c r="H1472" s="380">
        <v>2.7E-2</v>
      </c>
      <c r="I1472" s="769"/>
      <c r="J1472" s="770"/>
      <c r="K1472" s="771"/>
      <c r="L1472" s="100"/>
      <c r="M1472" s="101"/>
    </row>
    <row r="1473" spans="4:13" x14ac:dyDescent="0.2">
      <c r="D1473" s="89"/>
      <c r="E1473" s="718">
        <v>45562</v>
      </c>
      <c r="F1473" s="380">
        <v>2.7E-2</v>
      </c>
      <c r="G1473" s="380" t="s">
        <v>665</v>
      </c>
      <c r="H1473" s="380">
        <v>2.5999999999999999E-2</v>
      </c>
      <c r="I1473" s="769"/>
      <c r="J1473" s="770"/>
      <c r="K1473" s="771"/>
      <c r="L1473" s="100"/>
      <c r="M1473" s="101"/>
    </row>
    <row r="1474" spans="4:13" x14ac:dyDescent="0.2">
      <c r="D1474" s="89"/>
      <c r="E1474" s="718">
        <v>45534</v>
      </c>
      <c r="F1474" s="380">
        <v>2.5999999999999999E-2</v>
      </c>
      <c r="G1474" s="380" t="s">
        <v>665</v>
      </c>
      <c r="H1474" s="380">
        <v>2.5999999999999999E-2</v>
      </c>
      <c r="I1474" s="769"/>
      <c r="J1474" s="770"/>
      <c r="K1474" s="771"/>
      <c r="L1474" s="102"/>
      <c r="M1474" s="101"/>
    </row>
    <row r="1475" spans="4:13" x14ac:dyDescent="0.2">
      <c r="D1475" s="89"/>
      <c r="E1475" s="718">
        <v>45499</v>
      </c>
      <c r="F1475" s="380">
        <v>2.5999999999999999E-2</v>
      </c>
      <c r="G1475" s="380" t="s">
        <v>495</v>
      </c>
      <c r="H1475" s="380">
        <v>2.5999999999999999E-2</v>
      </c>
      <c r="I1475" s="769"/>
      <c r="J1475" s="770"/>
      <c r="K1475" s="771"/>
      <c r="L1475" s="100"/>
      <c r="M1475" s="101"/>
    </row>
    <row r="1476" spans="4:13" x14ac:dyDescent="0.2">
      <c r="D1476" s="89"/>
      <c r="E1476" s="718">
        <v>45471</v>
      </c>
      <c r="F1476" s="380">
        <v>2.5999999999999999E-2</v>
      </c>
      <c r="G1476" s="380" t="s">
        <v>493</v>
      </c>
      <c r="H1476" s="380">
        <v>2.8000000000000001E-2</v>
      </c>
      <c r="I1476" s="769"/>
      <c r="J1476" s="770"/>
      <c r="K1476" s="771"/>
      <c r="L1476" s="100"/>
      <c r="M1476" s="101"/>
    </row>
    <row r="1477" spans="4:13" ht="20" thickBot="1" x14ac:dyDescent="0.25">
      <c r="D1477" s="89"/>
      <c r="E1477" s="718">
        <v>45443</v>
      </c>
      <c r="F1477" s="380">
        <v>2.8000000000000001E-2</v>
      </c>
      <c r="G1477" s="380" t="s">
        <v>666</v>
      </c>
      <c r="H1477" s="380">
        <v>2.8000000000000001E-2</v>
      </c>
      <c r="I1477" s="772"/>
      <c r="J1477" s="773"/>
      <c r="K1477" s="774"/>
      <c r="L1477" s="103"/>
      <c r="M1477" s="104"/>
    </row>
    <row r="1478" spans="4:13" ht="25" thickBot="1" x14ac:dyDescent="0.25">
      <c r="D1478">
        <v>8</v>
      </c>
      <c r="E1478" s="713" t="s">
        <v>30</v>
      </c>
      <c r="F1478" s="814" t="s">
        <v>1077</v>
      </c>
      <c r="G1478" s="815"/>
      <c r="H1478" s="816"/>
      <c r="I1478" s="846" t="s">
        <v>633</v>
      </c>
      <c r="J1478" s="847"/>
      <c r="K1478" s="848"/>
      <c r="L1478" s="162" t="s">
        <v>430</v>
      </c>
      <c r="M1478" s="106" t="s">
        <v>431</v>
      </c>
    </row>
    <row r="1479" spans="4:13" x14ac:dyDescent="0.2">
      <c r="D1479" s="89"/>
      <c r="E1479" s="714" t="s">
        <v>432</v>
      </c>
      <c r="F1479" s="805"/>
      <c r="G1479" s="806"/>
      <c r="H1479" s="807"/>
      <c r="I1479" s="769" t="s">
        <v>1076</v>
      </c>
      <c r="J1479" s="770"/>
      <c r="K1479" s="771"/>
      <c r="L1479" s="100"/>
      <c r="M1479" s="101"/>
    </row>
    <row r="1480" spans="4:13" x14ac:dyDescent="0.2">
      <c r="D1480" s="89"/>
      <c r="E1480" s="715" t="s">
        <v>433</v>
      </c>
      <c r="F1480" s="820"/>
      <c r="G1480" s="821"/>
      <c r="H1480" s="822"/>
      <c r="I1480" s="769"/>
      <c r="J1480" s="770"/>
      <c r="K1480" s="771"/>
      <c r="L1480" s="100"/>
      <c r="M1480" s="101"/>
    </row>
    <row r="1481" spans="4:13" ht="20" thickBot="1" x14ac:dyDescent="0.25">
      <c r="D1481" s="89"/>
      <c r="E1481" s="715" t="s">
        <v>434</v>
      </c>
      <c r="F1481" s="824">
        <v>3.0000000000000001E-3</v>
      </c>
      <c r="G1481" s="825"/>
      <c r="H1481" s="826"/>
      <c r="I1481" s="769"/>
      <c r="J1481" s="770"/>
      <c r="K1481" s="771"/>
      <c r="L1481" s="100"/>
      <c r="M1481" s="101"/>
    </row>
    <row r="1482" spans="4:13" ht="20" thickBot="1" x14ac:dyDescent="0.25">
      <c r="D1482" s="89"/>
      <c r="E1482" s="716" t="s">
        <v>435</v>
      </c>
      <c r="F1482" s="811">
        <v>0.5625</v>
      </c>
      <c r="G1482" s="812"/>
      <c r="H1482" s="813"/>
      <c r="I1482" s="769"/>
      <c r="J1482" s="770"/>
      <c r="K1482" s="771"/>
      <c r="L1482" s="107">
        <v>0.79166666666666663</v>
      </c>
      <c r="M1482" s="108">
        <v>0.64583333333333326</v>
      </c>
    </row>
    <row r="1483" spans="4:13" ht="20" thickBot="1" x14ac:dyDescent="0.25">
      <c r="D1483" s="89"/>
      <c r="E1483" s="717" t="s">
        <v>436</v>
      </c>
      <c r="F1483" s="278" t="s">
        <v>29</v>
      </c>
      <c r="G1483" s="278" t="s">
        <v>28</v>
      </c>
      <c r="H1483" s="279" t="s">
        <v>27</v>
      </c>
      <c r="I1483" s="769"/>
      <c r="J1483" s="770"/>
      <c r="K1483" s="771"/>
      <c r="L1483" s="100"/>
      <c r="M1483" s="101"/>
    </row>
    <row r="1484" spans="4:13" x14ac:dyDescent="0.2">
      <c r="D1484" s="89"/>
      <c r="E1484" s="718">
        <v>45596</v>
      </c>
      <c r="F1484" s="380">
        <v>3.0000000000000001E-3</v>
      </c>
      <c r="G1484" s="380" t="s">
        <v>467</v>
      </c>
      <c r="H1484" s="380">
        <v>2E-3</v>
      </c>
      <c r="I1484" s="769"/>
      <c r="J1484" s="770"/>
      <c r="K1484" s="771"/>
      <c r="L1484" s="100"/>
      <c r="M1484" s="101"/>
    </row>
    <row r="1485" spans="4:13" x14ac:dyDescent="0.2">
      <c r="D1485" s="89"/>
      <c r="E1485" s="718">
        <v>45562</v>
      </c>
      <c r="F1485" s="380">
        <v>1E-3</v>
      </c>
      <c r="G1485" s="380" t="s">
        <v>460</v>
      </c>
      <c r="H1485" s="380">
        <v>2E-3</v>
      </c>
      <c r="I1485" s="769"/>
      <c r="J1485" s="770"/>
      <c r="K1485" s="771"/>
      <c r="L1485" s="100"/>
      <c r="M1485" s="101"/>
    </row>
    <row r="1486" spans="4:13" x14ac:dyDescent="0.2">
      <c r="D1486" s="89"/>
      <c r="E1486" s="718">
        <v>45534</v>
      </c>
      <c r="F1486" s="380">
        <v>2E-3</v>
      </c>
      <c r="G1486" s="380" t="s">
        <v>460</v>
      </c>
      <c r="H1486" s="380">
        <v>2E-3</v>
      </c>
      <c r="I1486" s="769"/>
      <c r="J1486" s="770"/>
      <c r="K1486" s="771"/>
      <c r="L1486" s="102"/>
      <c r="M1486" s="101"/>
    </row>
    <row r="1487" spans="4:13" x14ac:dyDescent="0.2">
      <c r="D1487" s="89"/>
      <c r="E1487" s="718">
        <v>45499</v>
      </c>
      <c r="F1487" s="380">
        <v>2E-3</v>
      </c>
      <c r="G1487" s="380" t="s">
        <v>460</v>
      </c>
      <c r="H1487" s="380">
        <v>1E-3</v>
      </c>
      <c r="I1487" s="769"/>
      <c r="J1487" s="770"/>
      <c r="K1487" s="771"/>
      <c r="L1487" s="100"/>
      <c r="M1487" s="101"/>
    </row>
    <row r="1488" spans="4:13" x14ac:dyDescent="0.2">
      <c r="D1488" s="89"/>
      <c r="E1488" s="718">
        <v>45471</v>
      </c>
      <c r="F1488" s="380">
        <v>1E-3</v>
      </c>
      <c r="G1488" s="380" t="s">
        <v>462</v>
      </c>
      <c r="H1488" s="380">
        <v>3.0000000000000001E-3</v>
      </c>
      <c r="I1488" s="769"/>
      <c r="J1488" s="770"/>
      <c r="K1488" s="771"/>
      <c r="L1488" s="100"/>
      <c r="M1488" s="101"/>
    </row>
    <row r="1489" spans="4:13" ht="20" thickBot="1" x14ac:dyDescent="0.25">
      <c r="D1489" s="89"/>
      <c r="E1489" s="718">
        <v>45443</v>
      </c>
      <c r="F1489" s="380">
        <v>2E-3</v>
      </c>
      <c r="G1489" s="380" t="s">
        <v>467</v>
      </c>
      <c r="H1489" s="380">
        <v>3.0000000000000001E-3</v>
      </c>
      <c r="I1489" s="772"/>
      <c r="J1489" s="773"/>
      <c r="K1489" s="774"/>
      <c r="L1489" s="103"/>
      <c r="M1489" s="104"/>
    </row>
    <row r="1490" spans="4:13" ht="25" thickBot="1" x14ac:dyDescent="0.25">
      <c r="D1490">
        <v>9</v>
      </c>
      <c r="E1490" s="713" t="s">
        <v>30</v>
      </c>
      <c r="F1490" s="814" t="s">
        <v>9</v>
      </c>
      <c r="G1490" s="815"/>
      <c r="H1490" s="816"/>
      <c r="I1490" s="849" t="s">
        <v>633</v>
      </c>
      <c r="J1490" s="847"/>
      <c r="K1490" s="848"/>
      <c r="L1490" s="162" t="s">
        <v>430</v>
      </c>
      <c r="M1490" s="106" t="s">
        <v>431</v>
      </c>
    </row>
    <row r="1491" spans="4:13" x14ac:dyDescent="0.2">
      <c r="D1491" s="89"/>
      <c r="E1491" s="714" t="s">
        <v>432</v>
      </c>
      <c r="F1491" s="805"/>
      <c r="G1491" s="806"/>
      <c r="H1491" s="807"/>
      <c r="I1491" s="769" t="s">
        <v>1079</v>
      </c>
      <c r="J1491" s="770"/>
      <c r="K1491" s="771"/>
      <c r="L1491" s="100"/>
      <c r="M1491" s="101"/>
    </row>
    <row r="1492" spans="4:13" x14ac:dyDescent="0.2">
      <c r="D1492" s="89"/>
      <c r="E1492" s="715" t="s">
        <v>433</v>
      </c>
      <c r="F1492" s="824"/>
      <c r="G1492" s="825"/>
      <c r="H1492" s="826"/>
      <c r="I1492" s="769"/>
      <c r="J1492" s="770"/>
      <c r="K1492" s="771"/>
      <c r="L1492" s="100"/>
      <c r="M1492" s="101"/>
    </row>
    <row r="1493" spans="4:13" ht="20" thickBot="1" x14ac:dyDescent="0.25">
      <c r="D1493" s="89"/>
      <c r="E1493" s="715" t="s">
        <v>434</v>
      </c>
      <c r="F1493" s="831" t="s">
        <v>1078</v>
      </c>
      <c r="G1493" s="832"/>
      <c r="H1493" s="833"/>
      <c r="I1493" s="769"/>
      <c r="J1493" s="770"/>
      <c r="K1493" s="771"/>
      <c r="L1493" s="100"/>
      <c r="M1493" s="101"/>
    </row>
    <row r="1494" spans="4:13" ht="20" thickBot="1" x14ac:dyDescent="0.25">
      <c r="D1494" s="89"/>
      <c r="E1494" s="716" t="s">
        <v>435</v>
      </c>
      <c r="F1494" s="811">
        <v>0.64583333333333337</v>
      </c>
      <c r="G1494" s="812"/>
      <c r="H1494" s="813"/>
      <c r="I1494" s="769"/>
      <c r="J1494" s="770"/>
      <c r="K1494" s="771"/>
      <c r="L1494" s="107">
        <v>0.875</v>
      </c>
      <c r="M1494" s="108">
        <v>0.72916666666666663</v>
      </c>
    </row>
    <row r="1495" spans="4:13" ht="20" thickBot="1" x14ac:dyDescent="0.25">
      <c r="D1495" s="89"/>
      <c r="E1495" s="717" t="s">
        <v>436</v>
      </c>
      <c r="F1495" s="278" t="s">
        <v>29</v>
      </c>
      <c r="G1495" s="278" t="s">
        <v>28</v>
      </c>
      <c r="H1495" s="279" t="s">
        <v>27</v>
      </c>
      <c r="I1495" s="769"/>
      <c r="J1495" s="770"/>
      <c r="K1495" s="771"/>
      <c r="L1495" s="100"/>
      <c r="M1495" s="101"/>
    </row>
    <row r="1496" spans="4:13" x14ac:dyDescent="0.2">
      <c r="D1496" s="89"/>
      <c r="E1496" s="718">
        <v>45616</v>
      </c>
      <c r="F1496" s="389" t="s">
        <v>1125</v>
      </c>
      <c r="G1496" s="389" t="s">
        <v>1030</v>
      </c>
      <c r="H1496" s="389" t="s">
        <v>1029</v>
      </c>
      <c r="I1496" s="769"/>
      <c r="J1496" s="770"/>
      <c r="K1496" s="771"/>
      <c r="L1496" s="100"/>
      <c r="M1496" s="215"/>
    </row>
    <row r="1497" spans="4:13" x14ac:dyDescent="0.2">
      <c r="D1497" s="89"/>
      <c r="E1497" s="718">
        <v>45610</v>
      </c>
      <c r="F1497" s="389" t="s">
        <v>1029</v>
      </c>
      <c r="G1497" s="389" t="s">
        <v>1030</v>
      </c>
      <c r="H1497" s="389" t="s">
        <v>988</v>
      </c>
      <c r="I1497" s="769"/>
      <c r="J1497" s="770"/>
      <c r="K1497" s="771"/>
      <c r="L1497" s="100"/>
      <c r="M1497" s="101"/>
    </row>
    <row r="1498" spans="4:13" x14ac:dyDescent="0.2">
      <c r="D1498" s="89"/>
      <c r="E1498" s="718">
        <v>45602</v>
      </c>
      <c r="F1498" s="389" t="s">
        <v>988</v>
      </c>
      <c r="G1498" s="389" t="s">
        <v>989</v>
      </c>
      <c r="H1498" s="389" t="s">
        <v>990</v>
      </c>
      <c r="I1498" s="769"/>
      <c r="J1498" s="770"/>
      <c r="K1498" s="771"/>
      <c r="L1498" s="102"/>
      <c r="M1498" s="101"/>
    </row>
    <row r="1499" spans="4:13" x14ac:dyDescent="0.2">
      <c r="D1499" s="89"/>
      <c r="E1499" s="718">
        <v>45595</v>
      </c>
      <c r="F1499" s="389" t="s">
        <v>990</v>
      </c>
      <c r="G1499" s="389" t="s">
        <v>991</v>
      </c>
      <c r="H1499" s="389" t="s">
        <v>992</v>
      </c>
      <c r="I1499" s="769"/>
      <c r="J1499" s="770"/>
      <c r="K1499" s="771"/>
      <c r="L1499" s="100"/>
      <c r="M1499" s="101"/>
    </row>
    <row r="1500" spans="4:13" x14ac:dyDescent="0.2">
      <c r="D1500" s="89"/>
      <c r="E1500" s="718">
        <v>45588</v>
      </c>
      <c r="F1500" s="389" t="s">
        <v>992</v>
      </c>
      <c r="G1500" s="389" t="s">
        <v>993</v>
      </c>
      <c r="H1500" s="389" t="s">
        <v>994</v>
      </c>
      <c r="I1500" s="769"/>
      <c r="J1500" s="770"/>
      <c r="K1500" s="771"/>
      <c r="L1500" s="100"/>
      <c r="M1500" s="101"/>
    </row>
    <row r="1501" spans="4:13" ht="20" thickBot="1" x14ac:dyDescent="0.25">
      <c r="D1501" s="89"/>
      <c r="E1501" s="718">
        <v>45582</v>
      </c>
      <c r="F1501" s="389" t="s">
        <v>994</v>
      </c>
      <c r="G1501" s="389" t="s">
        <v>995</v>
      </c>
      <c r="H1501" s="389" t="s">
        <v>996</v>
      </c>
      <c r="I1501" s="772"/>
      <c r="J1501" s="773"/>
      <c r="K1501" s="774"/>
      <c r="L1501" s="103"/>
      <c r="M1501" s="104"/>
    </row>
    <row r="1502" spans="4:13" ht="25" thickBot="1" x14ac:dyDescent="0.25">
      <c r="D1502">
        <v>11</v>
      </c>
      <c r="E1502" s="713" t="s">
        <v>30</v>
      </c>
      <c r="F1502" s="814" t="s">
        <v>1080</v>
      </c>
      <c r="G1502" s="815"/>
      <c r="H1502" s="816"/>
      <c r="I1502" s="849" t="s">
        <v>633</v>
      </c>
      <c r="J1502" s="847"/>
      <c r="K1502" s="848"/>
      <c r="L1502" s="162" t="s">
        <v>430</v>
      </c>
      <c r="M1502" s="106" t="s">
        <v>431</v>
      </c>
    </row>
    <row r="1503" spans="4:13" x14ac:dyDescent="0.2">
      <c r="D1503" s="89"/>
      <c r="E1503" s="714" t="s">
        <v>432</v>
      </c>
      <c r="F1503" s="840"/>
      <c r="G1503" s="841"/>
      <c r="H1503" s="842"/>
      <c r="I1503" s="769" t="s">
        <v>1081</v>
      </c>
      <c r="J1503" s="770"/>
      <c r="K1503" s="771"/>
      <c r="L1503" s="100"/>
      <c r="M1503" s="101"/>
    </row>
    <row r="1504" spans="4:13" x14ac:dyDescent="0.2">
      <c r="D1504" s="89"/>
      <c r="E1504" s="715" t="s">
        <v>433</v>
      </c>
      <c r="F1504" s="824"/>
      <c r="G1504" s="825"/>
      <c r="H1504" s="826"/>
      <c r="I1504" s="769"/>
      <c r="J1504" s="770"/>
      <c r="K1504" s="771"/>
      <c r="L1504" s="100"/>
      <c r="M1504" s="101"/>
    </row>
    <row r="1505" spans="4:13" ht="20" thickBot="1" x14ac:dyDescent="0.25">
      <c r="D1505" s="89"/>
      <c r="E1505" s="715" t="s">
        <v>434</v>
      </c>
      <c r="F1505" s="824">
        <v>4.0000000000000001E-3</v>
      </c>
      <c r="G1505" s="825"/>
      <c r="H1505" s="826"/>
      <c r="I1505" s="769"/>
      <c r="J1505" s="770"/>
      <c r="K1505" s="771"/>
      <c r="L1505" s="100"/>
      <c r="M1505" s="101"/>
    </row>
    <row r="1506" spans="4:13" ht="20" thickBot="1" x14ac:dyDescent="0.25">
      <c r="D1506" s="89"/>
      <c r="E1506" s="716" t="s">
        <v>435</v>
      </c>
      <c r="F1506" s="811">
        <v>0.54166666666666674</v>
      </c>
      <c r="G1506" s="812"/>
      <c r="H1506" s="813"/>
      <c r="I1506" s="769"/>
      <c r="J1506" s="770"/>
      <c r="K1506" s="771"/>
      <c r="L1506" s="107">
        <v>0.77083333333333337</v>
      </c>
      <c r="M1506" s="108">
        <v>0.625</v>
      </c>
    </row>
    <row r="1507" spans="4:13" ht="20" thickBot="1" x14ac:dyDescent="0.25">
      <c r="D1507" s="89"/>
      <c r="E1507" s="717" t="s">
        <v>436</v>
      </c>
      <c r="F1507" s="278" t="s">
        <v>29</v>
      </c>
      <c r="G1507" s="278" t="s">
        <v>28</v>
      </c>
      <c r="H1507" s="279" t="s">
        <v>27</v>
      </c>
      <c r="I1507" s="769"/>
      <c r="J1507" s="770"/>
      <c r="K1507" s="771"/>
      <c r="L1507" s="100"/>
      <c r="M1507" s="101"/>
    </row>
    <row r="1508" spans="4:13" x14ac:dyDescent="0.2">
      <c r="D1508" s="89"/>
      <c r="E1508" s="718">
        <v>45608</v>
      </c>
      <c r="F1508" s="380">
        <v>4.0000000000000001E-3</v>
      </c>
      <c r="G1508" s="380" t="s">
        <v>452</v>
      </c>
      <c r="H1508" s="380">
        <v>0</v>
      </c>
      <c r="I1508" s="769"/>
      <c r="J1508" s="770"/>
      <c r="K1508" s="771"/>
      <c r="L1508" s="100"/>
      <c r="M1508" s="101"/>
    </row>
    <row r="1509" spans="4:13" x14ac:dyDescent="0.2">
      <c r="D1509" s="89"/>
      <c r="E1509" s="718">
        <v>45595</v>
      </c>
      <c r="F1509" s="380">
        <v>4.0000000000000001E-3</v>
      </c>
      <c r="G1509" s="380" t="s">
        <v>460</v>
      </c>
      <c r="H1509" s="380">
        <v>0</v>
      </c>
      <c r="I1509" s="769"/>
      <c r="J1509" s="770"/>
      <c r="K1509" s="771"/>
      <c r="L1509" s="100"/>
      <c r="M1509" s="101"/>
    </row>
    <row r="1510" spans="4:13" x14ac:dyDescent="0.2">
      <c r="D1510" s="89"/>
      <c r="E1510" s="718">
        <v>45576</v>
      </c>
      <c r="F1510" s="380">
        <v>0</v>
      </c>
      <c r="G1510" s="380" t="s">
        <v>458</v>
      </c>
      <c r="H1510" s="380">
        <v>-1E-3</v>
      </c>
      <c r="I1510" s="769"/>
      <c r="J1510" s="770"/>
      <c r="K1510" s="771"/>
      <c r="L1510" s="102"/>
      <c r="M1510" s="101"/>
    </row>
    <row r="1511" spans="4:13" x14ac:dyDescent="0.2">
      <c r="D1511" s="89"/>
      <c r="E1511" s="718">
        <v>45565</v>
      </c>
      <c r="F1511" s="380">
        <v>0</v>
      </c>
      <c r="G1511" s="380" t="s">
        <v>462</v>
      </c>
      <c r="H1511" s="380">
        <v>-1E-3</v>
      </c>
      <c r="I1511" s="769"/>
      <c r="J1511" s="770"/>
      <c r="K1511" s="771"/>
      <c r="L1511" s="100"/>
      <c r="M1511" s="101"/>
    </row>
    <row r="1512" spans="4:13" ht="20" thickBot="1" x14ac:dyDescent="0.25">
      <c r="D1512" s="89"/>
      <c r="E1512" s="718">
        <v>45545</v>
      </c>
      <c r="F1512" s="380">
        <v>-1E-3</v>
      </c>
      <c r="G1512" s="380" t="s">
        <v>456</v>
      </c>
      <c r="H1512" s="380">
        <v>3.0000000000000001E-3</v>
      </c>
      <c r="I1512" s="769"/>
      <c r="J1512" s="770"/>
      <c r="K1512" s="771"/>
      <c r="L1512" s="100"/>
      <c r="M1512" s="101"/>
    </row>
    <row r="1513" spans="4:13" ht="20" thickBot="1" x14ac:dyDescent="0.25">
      <c r="D1513" s="89"/>
      <c r="E1513" s="718">
        <v>45533</v>
      </c>
      <c r="F1513" s="380">
        <v>-1E-3</v>
      </c>
      <c r="G1513" s="380" t="s">
        <v>458</v>
      </c>
      <c r="H1513" s="380">
        <v>3.0000000000000001E-3</v>
      </c>
      <c r="I1513" s="772"/>
      <c r="J1513" s="773"/>
      <c r="K1513" s="774"/>
      <c r="L1513" s="103"/>
      <c r="M1513" s="104"/>
    </row>
    <row r="1514" spans="4:13" ht="25" thickBot="1" x14ac:dyDescent="0.25">
      <c r="D1514">
        <v>12</v>
      </c>
      <c r="E1514" s="713" t="s">
        <v>30</v>
      </c>
      <c r="F1514" s="814" t="s">
        <v>1082</v>
      </c>
      <c r="G1514" s="815"/>
      <c r="H1514" s="816"/>
      <c r="I1514" s="849" t="s">
        <v>633</v>
      </c>
      <c r="J1514" s="847"/>
      <c r="K1514" s="848"/>
      <c r="L1514" s="162" t="s">
        <v>430</v>
      </c>
      <c r="M1514" s="106" t="s">
        <v>431</v>
      </c>
    </row>
    <row r="1515" spans="4:13" x14ac:dyDescent="0.2">
      <c r="D1515" s="89"/>
      <c r="E1515" s="714" t="s">
        <v>432</v>
      </c>
      <c r="F1515" s="840"/>
      <c r="G1515" s="841"/>
      <c r="H1515" s="842"/>
      <c r="I1515" s="769" t="s">
        <v>1083</v>
      </c>
      <c r="J1515" s="770"/>
      <c r="K1515" s="771"/>
      <c r="L1515" s="100"/>
      <c r="M1515" s="101"/>
    </row>
    <row r="1516" spans="4:13" x14ac:dyDescent="0.2">
      <c r="D1516" s="89"/>
      <c r="E1516" s="715" t="s">
        <v>433</v>
      </c>
      <c r="F1516" s="824"/>
      <c r="G1516" s="825"/>
      <c r="H1516" s="826"/>
      <c r="I1516" s="769"/>
      <c r="J1516" s="770"/>
      <c r="K1516" s="771"/>
      <c r="L1516" s="100"/>
      <c r="M1516" s="101"/>
    </row>
    <row r="1517" spans="4:13" ht="20" thickBot="1" x14ac:dyDescent="0.25">
      <c r="D1517" s="89"/>
      <c r="E1517" s="715" t="s">
        <v>434</v>
      </c>
      <c r="F1517" s="824">
        <v>7.0000000000000001E-3</v>
      </c>
      <c r="G1517" s="825"/>
      <c r="H1517" s="826"/>
      <c r="I1517" s="769"/>
      <c r="J1517" s="770"/>
      <c r="K1517" s="771"/>
      <c r="L1517" s="100"/>
      <c r="M1517" s="101"/>
    </row>
    <row r="1518" spans="4:13" ht="20" thickBot="1" x14ac:dyDescent="0.25">
      <c r="D1518" s="89"/>
      <c r="E1518" s="716" t="s">
        <v>435</v>
      </c>
      <c r="F1518" s="811">
        <v>0.33333333333333337</v>
      </c>
      <c r="G1518" s="812"/>
      <c r="H1518" s="813"/>
      <c r="I1518" s="769"/>
      <c r="J1518" s="770"/>
      <c r="K1518" s="771"/>
      <c r="L1518" s="107">
        <v>0.5625</v>
      </c>
      <c r="M1518" s="108">
        <v>0.41666666666666663</v>
      </c>
    </row>
    <row r="1519" spans="4:13" ht="20" thickBot="1" x14ac:dyDescent="0.25">
      <c r="D1519" s="89"/>
      <c r="E1519" s="717" t="s">
        <v>436</v>
      </c>
      <c r="F1519" s="278" t="s">
        <v>29</v>
      </c>
      <c r="G1519" s="278" t="s">
        <v>28</v>
      </c>
      <c r="H1519" s="279" t="s">
        <v>27</v>
      </c>
      <c r="I1519" s="769"/>
      <c r="J1519" s="770"/>
      <c r="K1519" s="771"/>
      <c r="L1519" s="100"/>
      <c r="M1519" s="101"/>
    </row>
    <row r="1520" spans="4:13" x14ac:dyDescent="0.2">
      <c r="D1520" s="89"/>
      <c r="E1520" s="718">
        <v>45538</v>
      </c>
      <c r="F1520" s="380">
        <v>7.0000000000000001E-3</v>
      </c>
      <c r="G1520" s="380" t="s">
        <v>903</v>
      </c>
      <c r="H1520" s="380">
        <v>5.0000000000000001E-3</v>
      </c>
      <c r="I1520" s="769"/>
      <c r="J1520" s="770"/>
      <c r="K1520" s="771"/>
      <c r="L1520" s="100"/>
      <c r="M1520" s="101"/>
    </row>
    <row r="1521" spans="4:13" x14ac:dyDescent="0.2">
      <c r="D1521" s="89"/>
      <c r="E1521" s="718">
        <v>45442</v>
      </c>
      <c r="F1521" s="380">
        <v>5.0000000000000001E-3</v>
      </c>
      <c r="G1521" s="380" t="s">
        <v>467</v>
      </c>
      <c r="H1521" s="380">
        <v>3.0000000000000001E-3</v>
      </c>
      <c r="I1521" s="769"/>
      <c r="J1521" s="770"/>
      <c r="K1521" s="771"/>
      <c r="L1521" s="100"/>
      <c r="M1521" s="101"/>
    </row>
    <row r="1522" spans="4:13" x14ac:dyDescent="0.2">
      <c r="D1522" s="89"/>
      <c r="E1522" s="718">
        <v>45351</v>
      </c>
      <c r="F1522" s="380">
        <v>3.0000000000000001E-3</v>
      </c>
      <c r="G1522" s="380" t="s">
        <v>462</v>
      </c>
      <c r="H1522" s="380">
        <v>3.0000000000000001E-3</v>
      </c>
      <c r="I1522" s="769"/>
      <c r="J1522" s="770"/>
      <c r="K1522" s="771"/>
      <c r="L1522" s="102"/>
      <c r="M1522" s="101"/>
    </row>
    <row r="1523" spans="4:13" x14ac:dyDescent="0.2">
      <c r="D1523" s="89"/>
      <c r="E1523" s="718">
        <v>45261</v>
      </c>
      <c r="F1523" s="380">
        <v>3.0000000000000001E-3</v>
      </c>
      <c r="G1523" s="380" t="s">
        <v>462</v>
      </c>
      <c r="H1523" s="380">
        <v>-1E-3</v>
      </c>
      <c r="I1523" s="769"/>
      <c r="J1523" s="770"/>
      <c r="K1523" s="771"/>
      <c r="L1523" s="100"/>
      <c r="M1523" s="101"/>
    </row>
    <row r="1524" spans="4:13" x14ac:dyDescent="0.2">
      <c r="D1524" s="89"/>
      <c r="E1524" s="718">
        <v>45173</v>
      </c>
      <c r="F1524" s="380">
        <v>0</v>
      </c>
      <c r="G1524" s="380" t="s">
        <v>462</v>
      </c>
      <c r="H1524" s="380">
        <v>3.0000000000000001E-3</v>
      </c>
      <c r="I1524" s="769"/>
      <c r="J1524" s="770"/>
      <c r="K1524" s="771"/>
      <c r="L1524" s="100"/>
      <c r="M1524" s="101"/>
    </row>
    <row r="1525" spans="4:13" ht="20" thickBot="1" x14ac:dyDescent="0.25">
      <c r="D1525" s="89"/>
      <c r="E1525" s="718">
        <v>45076</v>
      </c>
      <c r="F1525" s="380">
        <v>3.0000000000000001E-3</v>
      </c>
      <c r="G1525" s="380" t="s">
        <v>462</v>
      </c>
      <c r="H1525" s="380">
        <v>0</v>
      </c>
      <c r="I1525" s="772"/>
      <c r="J1525" s="773"/>
      <c r="K1525" s="774"/>
      <c r="L1525" s="103"/>
      <c r="M1525" s="104"/>
    </row>
    <row r="1526" spans="4:13" ht="25" thickBot="1" x14ac:dyDescent="0.25">
      <c r="D1526">
        <v>13</v>
      </c>
      <c r="E1526" s="713" t="s">
        <v>30</v>
      </c>
      <c r="F1526" s="814" t="s">
        <v>1084</v>
      </c>
      <c r="G1526" s="815"/>
      <c r="H1526" s="816"/>
      <c r="I1526" s="846" t="s">
        <v>633</v>
      </c>
      <c r="J1526" s="847"/>
      <c r="K1526" s="848"/>
      <c r="L1526" s="162" t="s">
        <v>430</v>
      </c>
      <c r="M1526" s="106" t="s">
        <v>431</v>
      </c>
    </row>
    <row r="1527" spans="4:13" x14ac:dyDescent="0.2">
      <c r="D1527" s="89"/>
      <c r="E1527" s="714" t="s">
        <v>432</v>
      </c>
      <c r="F1527" s="805"/>
      <c r="G1527" s="806"/>
      <c r="H1527" s="807"/>
      <c r="I1527" s="769" t="s">
        <v>1085</v>
      </c>
      <c r="J1527" s="770"/>
      <c r="K1527" s="771"/>
      <c r="L1527" s="100"/>
      <c r="M1527" s="101"/>
    </row>
    <row r="1528" spans="4:13" x14ac:dyDescent="0.2">
      <c r="D1528" s="89"/>
      <c r="E1528" s="715" t="s">
        <v>433</v>
      </c>
      <c r="F1528" s="824">
        <v>0</v>
      </c>
      <c r="G1528" s="825"/>
      <c r="H1528" s="826"/>
      <c r="I1528" s="769"/>
      <c r="J1528" s="770"/>
      <c r="K1528" s="771"/>
      <c r="L1528" s="100"/>
      <c r="M1528" s="101"/>
    </row>
    <row r="1529" spans="4:13" ht="20" thickBot="1" x14ac:dyDescent="0.25">
      <c r="D1529" s="89"/>
      <c r="E1529" s="715" t="s">
        <v>434</v>
      </c>
      <c r="F1529" s="824">
        <v>0.02</v>
      </c>
      <c r="G1529" s="825"/>
      <c r="H1529" s="826"/>
      <c r="I1529" s="769"/>
      <c r="J1529" s="770"/>
      <c r="K1529" s="771"/>
      <c r="L1529" s="100"/>
      <c r="M1529" s="101"/>
    </row>
    <row r="1530" spans="4:13" ht="20" thickBot="1" x14ac:dyDescent="0.25">
      <c r="D1530" s="89"/>
      <c r="E1530" s="716" t="s">
        <v>435</v>
      </c>
      <c r="F1530" s="811">
        <v>0.41666666666666674</v>
      </c>
      <c r="G1530" s="812"/>
      <c r="H1530" s="813"/>
      <c r="I1530" s="769"/>
      <c r="J1530" s="770"/>
      <c r="K1530" s="771"/>
      <c r="L1530" s="107">
        <v>0.64583333333333337</v>
      </c>
      <c r="M1530" s="108">
        <v>0.5</v>
      </c>
    </row>
    <row r="1531" spans="4:13" ht="20" thickBot="1" x14ac:dyDescent="0.25">
      <c r="D1531" s="89"/>
      <c r="E1531" s="717" t="s">
        <v>436</v>
      </c>
      <c r="F1531" s="278" t="s">
        <v>29</v>
      </c>
      <c r="G1531" s="278" t="s">
        <v>28</v>
      </c>
      <c r="H1531" s="279" t="s">
        <v>27</v>
      </c>
      <c r="I1531" s="769"/>
      <c r="J1531" s="770"/>
      <c r="K1531" s="771"/>
      <c r="L1531" s="100"/>
      <c r="M1531" s="215"/>
    </row>
    <row r="1532" spans="4:13" x14ac:dyDescent="0.2">
      <c r="D1532" s="89"/>
      <c r="E1532" s="718">
        <v>45615</v>
      </c>
      <c r="F1532" s="380">
        <v>0.02</v>
      </c>
      <c r="G1532" s="380" t="s">
        <v>788</v>
      </c>
      <c r="H1532" s="380">
        <v>0.02</v>
      </c>
      <c r="I1532" s="769"/>
      <c r="J1532" s="770"/>
      <c r="K1532" s="771"/>
      <c r="L1532" s="100"/>
      <c r="M1532" s="101"/>
    </row>
    <row r="1533" spans="4:13" x14ac:dyDescent="0.2">
      <c r="D1533" s="89"/>
      <c r="E1533" s="718">
        <v>45596</v>
      </c>
      <c r="F1533" s="380">
        <v>0.02</v>
      </c>
      <c r="G1533" s="380" t="s">
        <v>789</v>
      </c>
      <c r="H1533" s="380">
        <v>1.7000000000000001E-2</v>
      </c>
      <c r="I1533" s="769"/>
      <c r="J1533" s="770"/>
      <c r="K1533" s="771"/>
      <c r="L1533" s="100"/>
      <c r="M1533" s="101"/>
    </row>
    <row r="1534" spans="4:13" x14ac:dyDescent="0.2">
      <c r="D1534" s="89"/>
      <c r="E1534" s="718">
        <v>45582</v>
      </c>
      <c r="F1534" s="380">
        <v>1.7000000000000001E-2</v>
      </c>
      <c r="G1534" s="380" t="s">
        <v>895</v>
      </c>
      <c r="H1534" s="380">
        <v>2.1999999999999999E-2</v>
      </c>
      <c r="I1534" s="769"/>
      <c r="J1534" s="770"/>
      <c r="K1534" s="771"/>
      <c r="L1534" s="102"/>
      <c r="M1534" s="101"/>
    </row>
    <row r="1535" spans="4:13" x14ac:dyDescent="0.2">
      <c r="D1535" s="89"/>
      <c r="E1535" s="718">
        <v>45566</v>
      </c>
      <c r="F1535" s="380">
        <v>1.7999999999999999E-2</v>
      </c>
      <c r="G1535" s="380" t="s">
        <v>895</v>
      </c>
      <c r="H1535" s="380">
        <v>2.1999999999999999E-2</v>
      </c>
      <c r="I1535" s="769"/>
      <c r="J1535" s="770"/>
      <c r="K1535" s="771"/>
      <c r="L1535" s="100"/>
      <c r="M1535" s="101"/>
    </row>
    <row r="1536" spans="4:13" x14ac:dyDescent="0.2">
      <c r="D1536" s="89"/>
      <c r="E1536" s="718">
        <v>45553</v>
      </c>
      <c r="F1536" s="380">
        <v>2.1999999999999999E-2</v>
      </c>
      <c r="G1536" s="380" t="s">
        <v>490</v>
      </c>
      <c r="H1536" s="380">
        <v>2.5999999999999999E-2</v>
      </c>
      <c r="I1536" s="769"/>
      <c r="J1536" s="770"/>
      <c r="K1536" s="771"/>
      <c r="L1536" s="100"/>
      <c r="M1536" s="101"/>
    </row>
    <row r="1537" spans="3:13" ht="20" thickBot="1" x14ac:dyDescent="0.25">
      <c r="D1537" s="89"/>
      <c r="E1537" s="718">
        <v>45534</v>
      </c>
      <c r="F1537" s="380">
        <v>2.1999999999999999E-2</v>
      </c>
      <c r="G1537" s="380" t="s">
        <v>490</v>
      </c>
      <c r="H1537" s="380">
        <v>2.5999999999999999E-2</v>
      </c>
      <c r="I1537" s="772"/>
      <c r="J1537" s="773"/>
      <c r="K1537" s="774"/>
      <c r="L1537" s="103"/>
      <c r="M1537" s="104"/>
    </row>
    <row r="1538" spans="3:13" ht="25" thickBot="1" x14ac:dyDescent="0.25">
      <c r="D1538">
        <v>15</v>
      </c>
      <c r="E1538" s="713" t="s">
        <v>30</v>
      </c>
      <c r="F1538" s="814" t="s">
        <v>1087</v>
      </c>
      <c r="G1538" s="815"/>
      <c r="H1538" s="816"/>
      <c r="I1538" s="846" t="s">
        <v>633</v>
      </c>
      <c r="J1538" s="847"/>
      <c r="K1538" s="848"/>
      <c r="L1538" s="162" t="s">
        <v>430</v>
      </c>
      <c r="M1538" s="106" t="s">
        <v>431</v>
      </c>
    </row>
    <row r="1539" spans="3:13" x14ac:dyDescent="0.2">
      <c r="D1539" s="89"/>
      <c r="E1539" s="714" t="s">
        <v>432</v>
      </c>
      <c r="F1539" s="805"/>
      <c r="G1539" s="806"/>
      <c r="H1539" s="807"/>
      <c r="I1539" s="769" t="s">
        <v>1088</v>
      </c>
      <c r="J1539" s="770"/>
      <c r="K1539" s="771"/>
      <c r="L1539" s="100"/>
      <c r="M1539" s="101"/>
    </row>
    <row r="1540" spans="3:13" x14ac:dyDescent="0.2">
      <c r="D1540" s="89"/>
      <c r="E1540" s="715" t="s">
        <v>433</v>
      </c>
      <c r="F1540" s="824"/>
      <c r="G1540" s="825"/>
      <c r="H1540" s="826"/>
      <c r="I1540" s="769"/>
      <c r="J1540" s="770"/>
      <c r="K1540" s="771"/>
      <c r="L1540" s="100"/>
      <c r="M1540" s="101"/>
    </row>
    <row r="1541" spans="3:13" ht="20" thickBot="1" x14ac:dyDescent="0.25">
      <c r="D1541" s="89"/>
      <c r="E1541" s="715" t="s">
        <v>434</v>
      </c>
      <c r="F1541" s="817">
        <v>50.1</v>
      </c>
      <c r="G1541" s="818"/>
      <c r="H1541" s="819"/>
      <c r="I1541" s="769"/>
      <c r="J1541" s="770"/>
      <c r="K1541" s="771"/>
      <c r="L1541" s="100"/>
      <c r="M1541" s="101"/>
    </row>
    <row r="1542" spans="3:13" ht="20" thickBot="1" x14ac:dyDescent="0.25">
      <c r="D1542" s="89"/>
      <c r="E1542" s="716" t="s">
        <v>435</v>
      </c>
      <c r="F1542" s="811">
        <v>6.2500000000000028E-2</v>
      </c>
      <c r="G1542" s="812"/>
      <c r="H1542" s="813"/>
      <c r="I1542" s="769"/>
      <c r="J1542" s="770"/>
      <c r="K1542" s="771"/>
      <c r="L1542" s="107">
        <v>0.29166666666666669</v>
      </c>
      <c r="M1542" s="108">
        <v>0.14583333333333334</v>
      </c>
    </row>
    <row r="1543" spans="3:13" ht="20" thickBot="1" x14ac:dyDescent="0.25">
      <c r="D1543" s="89"/>
      <c r="E1543" s="717" t="s">
        <v>436</v>
      </c>
      <c r="F1543" s="278" t="s">
        <v>29</v>
      </c>
      <c r="G1543" s="278" t="s">
        <v>28</v>
      </c>
      <c r="H1543" s="279" t="s">
        <v>27</v>
      </c>
      <c r="I1543" s="769"/>
      <c r="J1543" s="770"/>
      <c r="K1543" s="771"/>
      <c r="L1543" s="100"/>
      <c r="M1543" s="101"/>
    </row>
    <row r="1544" spans="3:13" x14ac:dyDescent="0.2">
      <c r="D1544" s="89"/>
      <c r="E1544" s="718">
        <v>45596</v>
      </c>
      <c r="F1544" s="283">
        <v>50.1</v>
      </c>
      <c r="G1544" s="283" t="s">
        <v>513</v>
      </c>
      <c r="H1544" s="283">
        <v>49.8</v>
      </c>
      <c r="I1544" s="769"/>
      <c r="J1544" s="770"/>
      <c r="K1544" s="771"/>
      <c r="L1544" s="100"/>
      <c r="M1544" s="101"/>
    </row>
    <row r="1545" spans="3:13" x14ac:dyDescent="0.2">
      <c r="D1545" s="89"/>
      <c r="E1545" s="718">
        <v>45565</v>
      </c>
      <c r="F1545" s="283">
        <v>49.8</v>
      </c>
      <c r="G1545" s="283" t="s">
        <v>440</v>
      </c>
      <c r="H1545" s="283">
        <v>49.1</v>
      </c>
      <c r="I1545" s="769"/>
      <c r="J1545" s="770"/>
      <c r="K1545" s="771"/>
      <c r="L1545" s="100"/>
      <c r="M1545" s="101"/>
    </row>
    <row r="1546" spans="3:13" x14ac:dyDescent="0.2">
      <c r="D1546" s="89"/>
      <c r="E1546" s="718">
        <v>45535</v>
      </c>
      <c r="F1546" s="283">
        <v>49.1</v>
      </c>
      <c r="G1546" s="283" t="s">
        <v>438</v>
      </c>
      <c r="H1546" s="283">
        <v>49.4</v>
      </c>
      <c r="I1546" s="769"/>
      <c r="J1546" s="770"/>
      <c r="K1546" s="771"/>
      <c r="L1546" s="102"/>
      <c r="M1546" s="101"/>
    </row>
    <row r="1547" spans="3:13" x14ac:dyDescent="0.2">
      <c r="D1547" s="89"/>
      <c r="E1547" s="718">
        <v>45504</v>
      </c>
      <c r="F1547" s="283">
        <v>49.4</v>
      </c>
      <c r="G1547" s="283" t="s">
        <v>440</v>
      </c>
      <c r="H1547" s="283">
        <v>49.5</v>
      </c>
      <c r="I1547" s="769"/>
      <c r="J1547" s="770"/>
      <c r="K1547" s="771"/>
      <c r="L1547" s="100"/>
      <c r="M1547" s="101"/>
    </row>
    <row r="1548" spans="3:13" x14ac:dyDescent="0.2">
      <c r="D1548" s="89"/>
      <c r="E1548" s="718">
        <v>45473</v>
      </c>
      <c r="F1548" s="283">
        <v>49.5</v>
      </c>
      <c r="G1548" s="283" t="s">
        <v>438</v>
      </c>
      <c r="H1548" s="283">
        <v>49.5</v>
      </c>
      <c r="I1548" s="769"/>
      <c r="J1548" s="770"/>
      <c r="K1548" s="771"/>
      <c r="L1548" s="100"/>
      <c r="M1548" s="101"/>
    </row>
    <row r="1549" spans="3:13" ht="20" thickBot="1" x14ac:dyDescent="0.25">
      <c r="D1549" s="89"/>
      <c r="E1549" s="722">
        <v>45443</v>
      </c>
      <c r="F1549" s="723">
        <v>49.5</v>
      </c>
      <c r="G1549" s="723" t="s">
        <v>443</v>
      </c>
      <c r="H1549" s="723">
        <v>50.4</v>
      </c>
      <c r="I1549" s="772"/>
      <c r="J1549" s="773"/>
      <c r="K1549" s="774"/>
      <c r="L1549" s="103"/>
      <c r="M1549" s="104"/>
    </row>
    <row r="1550" spans="3:13" ht="25" thickBot="1" x14ac:dyDescent="0.25">
      <c r="C1550" t="s">
        <v>105</v>
      </c>
      <c r="D1550">
        <v>1</v>
      </c>
      <c r="E1550" s="713" t="s">
        <v>30</v>
      </c>
      <c r="F1550" s="814" t="s">
        <v>1135</v>
      </c>
      <c r="G1550" s="815"/>
      <c r="H1550" s="816"/>
      <c r="I1550" s="846" t="s">
        <v>633</v>
      </c>
      <c r="J1550" s="847"/>
      <c r="K1550" s="848"/>
      <c r="L1550" s="162" t="s">
        <v>430</v>
      </c>
      <c r="M1550" s="106" t="s">
        <v>431</v>
      </c>
    </row>
    <row r="1551" spans="3:13" x14ac:dyDescent="0.2">
      <c r="E1551" s="714" t="s">
        <v>432</v>
      </c>
      <c r="F1551" s="805"/>
      <c r="G1551" s="806"/>
      <c r="H1551" s="807"/>
      <c r="I1551" s="769" t="s">
        <v>1136</v>
      </c>
      <c r="J1551" s="770"/>
      <c r="K1551" s="771"/>
      <c r="L1551" s="100"/>
      <c r="M1551" s="101"/>
    </row>
    <row r="1552" spans="3:13" x14ac:dyDescent="0.2">
      <c r="E1552" s="715" t="s">
        <v>433</v>
      </c>
      <c r="F1552" s="823">
        <v>2E-3</v>
      </c>
      <c r="G1552" s="818"/>
      <c r="H1552" s="819"/>
      <c r="I1552" s="769"/>
      <c r="J1552" s="770"/>
      <c r="K1552" s="771"/>
      <c r="L1552" s="100"/>
      <c r="M1552" s="101"/>
    </row>
    <row r="1553" spans="4:13" ht="20" thickBot="1" x14ac:dyDescent="0.25">
      <c r="E1553" s="715" t="s">
        <v>434</v>
      </c>
      <c r="F1553" s="823">
        <v>2E-3</v>
      </c>
      <c r="G1553" s="818"/>
      <c r="H1553" s="819"/>
      <c r="I1553" s="769"/>
      <c r="J1553" s="770"/>
      <c r="K1553" s="771"/>
      <c r="L1553" s="100"/>
      <c r="M1553" s="101"/>
    </row>
    <row r="1554" spans="4:13" ht="20" thickBot="1" x14ac:dyDescent="0.25">
      <c r="E1554" s="716" t="s">
        <v>435</v>
      </c>
      <c r="F1554" s="850">
        <v>0.99305555555555558</v>
      </c>
      <c r="G1554" s="851"/>
      <c r="H1554" s="852"/>
      <c r="I1554" s="769"/>
      <c r="J1554" s="770"/>
      <c r="K1554" s="771"/>
      <c r="L1554" s="107">
        <v>0.22222222222222221</v>
      </c>
      <c r="M1554" s="108">
        <v>7.6388888888888867E-2</v>
      </c>
    </row>
    <row r="1555" spans="4:13" ht="20" thickBot="1" x14ac:dyDescent="0.25">
      <c r="E1555" s="717" t="s">
        <v>436</v>
      </c>
      <c r="F1555" s="278" t="s">
        <v>29</v>
      </c>
      <c r="G1555" s="278" t="s">
        <v>28</v>
      </c>
      <c r="H1555" s="279" t="s">
        <v>27</v>
      </c>
      <c r="I1555" s="769"/>
      <c r="J1555" s="770"/>
      <c r="K1555" s="771"/>
      <c r="L1555" s="100"/>
      <c r="M1555" s="101"/>
    </row>
    <row r="1556" spans="4:13" x14ac:dyDescent="0.2">
      <c r="E1556" s="718">
        <v>45596</v>
      </c>
      <c r="F1556" s="380">
        <v>1E-3</v>
      </c>
      <c r="G1556" s="380" t="s">
        <v>467</v>
      </c>
      <c r="H1556" s="380">
        <v>7.0000000000000001E-3</v>
      </c>
      <c r="I1556" s="769"/>
      <c r="J1556" s="770"/>
      <c r="K1556" s="771"/>
      <c r="L1556" s="100"/>
      <c r="M1556" s="101"/>
    </row>
    <row r="1557" spans="4:13" x14ac:dyDescent="0.2">
      <c r="E1557" s="718">
        <v>45566</v>
      </c>
      <c r="F1557" s="380">
        <v>7.0000000000000001E-3</v>
      </c>
      <c r="G1557" s="380" t="s">
        <v>452</v>
      </c>
      <c r="H1557" s="380">
        <v>1E-3</v>
      </c>
      <c r="I1557" s="769"/>
      <c r="J1557" s="770"/>
      <c r="K1557" s="771"/>
      <c r="L1557" s="100"/>
      <c r="M1557" s="101"/>
    </row>
    <row r="1558" spans="4:13" x14ac:dyDescent="0.2">
      <c r="E1558" s="718">
        <v>45534</v>
      </c>
      <c r="F1558" s="380">
        <v>0</v>
      </c>
      <c r="G1558" s="380" t="s">
        <v>467</v>
      </c>
      <c r="H1558" s="380">
        <v>5.0000000000000001E-3</v>
      </c>
      <c r="I1558" s="769"/>
      <c r="J1558" s="770"/>
      <c r="K1558" s="771"/>
      <c r="L1558" s="102"/>
      <c r="M1558" s="101"/>
    </row>
    <row r="1559" spans="4:13" x14ac:dyDescent="0.2">
      <c r="E1559" s="718">
        <v>45504</v>
      </c>
      <c r="F1559" s="380">
        <v>5.0000000000000001E-3</v>
      </c>
      <c r="G1559" s="380" t="s">
        <v>460</v>
      </c>
      <c r="H1559" s="380">
        <v>6.0000000000000001E-3</v>
      </c>
      <c r="I1559" s="769"/>
      <c r="J1559" s="770"/>
      <c r="K1559" s="771"/>
      <c r="L1559" s="100"/>
      <c r="M1559" s="101"/>
    </row>
    <row r="1560" spans="4:13" x14ac:dyDescent="0.2">
      <c r="E1560" s="718">
        <v>45476</v>
      </c>
      <c r="F1560" s="380">
        <v>6.0000000000000001E-3</v>
      </c>
      <c r="G1560" s="380" t="s">
        <v>467</v>
      </c>
      <c r="H1560" s="380">
        <v>1E-3</v>
      </c>
      <c r="I1560" s="769"/>
      <c r="J1560" s="770"/>
      <c r="K1560" s="771"/>
      <c r="L1560" s="100"/>
      <c r="M1560" s="101"/>
    </row>
    <row r="1561" spans="4:13" ht="20" thickBot="1" x14ac:dyDescent="0.25">
      <c r="E1561" s="718">
        <v>45447</v>
      </c>
      <c r="F1561" s="380">
        <v>1E-3</v>
      </c>
      <c r="G1561" s="380" t="s">
        <v>462</v>
      </c>
      <c r="H1561" s="380">
        <v>-4.0000000000000001E-3</v>
      </c>
      <c r="I1561" s="772"/>
      <c r="J1561" s="773"/>
      <c r="K1561" s="774"/>
      <c r="L1561" s="103"/>
      <c r="M1561" s="104"/>
    </row>
    <row r="1562" spans="4:13" ht="25" thickBot="1" x14ac:dyDescent="0.25">
      <c r="D1562">
        <v>1</v>
      </c>
      <c r="E1562" s="713" t="s">
        <v>30</v>
      </c>
      <c r="F1562" s="814" t="s">
        <v>1137</v>
      </c>
      <c r="G1562" s="815"/>
      <c r="H1562" s="816"/>
      <c r="I1562" s="846" t="s">
        <v>633</v>
      </c>
      <c r="J1562" s="847"/>
      <c r="K1562" s="848"/>
      <c r="L1562" s="162" t="s">
        <v>430</v>
      </c>
      <c r="M1562" s="106" t="s">
        <v>431</v>
      </c>
    </row>
    <row r="1563" spans="4:13" x14ac:dyDescent="0.2">
      <c r="E1563" s="714" t="s">
        <v>432</v>
      </c>
      <c r="F1563" s="805"/>
      <c r="G1563" s="806"/>
      <c r="H1563" s="807"/>
      <c r="I1563" s="769" t="s">
        <v>1138</v>
      </c>
      <c r="J1563" s="770"/>
      <c r="K1563" s="771"/>
      <c r="L1563" s="100"/>
      <c r="M1563" s="101"/>
    </row>
    <row r="1564" spans="4:13" x14ac:dyDescent="0.2">
      <c r="E1564" s="715" t="s">
        <v>433</v>
      </c>
      <c r="F1564" s="817">
        <v>4.3499999999999997E-2</v>
      </c>
      <c r="G1564" s="818"/>
      <c r="H1564" s="819"/>
      <c r="I1564" s="769"/>
      <c r="J1564" s="770"/>
      <c r="K1564" s="771"/>
      <c r="L1564" s="100"/>
      <c r="M1564" s="101"/>
    </row>
    <row r="1565" spans="4:13" ht="20" thickBot="1" x14ac:dyDescent="0.25">
      <c r="E1565" s="715" t="s">
        <v>434</v>
      </c>
      <c r="F1565" s="817">
        <v>4.3499999999999997E-2</v>
      </c>
      <c r="G1565" s="818"/>
      <c r="H1565" s="819"/>
      <c r="I1565" s="769"/>
      <c r="J1565" s="770"/>
      <c r="K1565" s="771"/>
      <c r="L1565" s="100"/>
      <c r="M1565" s="101"/>
    </row>
    <row r="1566" spans="4:13" ht="20" thickBot="1" x14ac:dyDescent="0.25">
      <c r="E1566" s="716" t="s">
        <v>435</v>
      </c>
      <c r="F1566" s="811">
        <v>0.14583333333333334</v>
      </c>
      <c r="G1566" s="812"/>
      <c r="H1566" s="813"/>
      <c r="I1566" s="769"/>
      <c r="J1566" s="770"/>
      <c r="K1566" s="771"/>
      <c r="L1566" s="107">
        <v>0.375</v>
      </c>
      <c r="M1566" s="108">
        <v>0.22916666666666666</v>
      </c>
    </row>
    <row r="1567" spans="4:13" ht="20" thickBot="1" x14ac:dyDescent="0.25">
      <c r="E1567" s="717" t="s">
        <v>436</v>
      </c>
      <c r="F1567" s="278" t="s">
        <v>29</v>
      </c>
      <c r="G1567" s="278" t="s">
        <v>28</v>
      </c>
      <c r="H1567" s="279" t="s">
        <v>27</v>
      </c>
      <c r="I1567" s="769"/>
      <c r="J1567" s="770"/>
      <c r="K1567" s="771"/>
      <c r="L1567" s="100"/>
      <c r="M1567" s="101"/>
    </row>
    <row r="1568" spans="4:13" x14ac:dyDescent="0.2">
      <c r="E1568" s="718">
        <v>45618</v>
      </c>
      <c r="F1568" s="283">
        <v>48.8</v>
      </c>
      <c r="G1568" s="283" t="s">
        <v>510</v>
      </c>
      <c r="H1568" s="283">
        <v>48.5</v>
      </c>
      <c r="I1568" s="769"/>
      <c r="J1568" s="770"/>
      <c r="K1568" s="771"/>
      <c r="L1568" s="100"/>
      <c r="M1568" s="101"/>
    </row>
    <row r="1569" spans="4:13" x14ac:dyDescent="0.2">
      <c r="E1569" s="718">
        <v>45597</v>
      </c>
      <c r="F1569" s="283">
        <v>48.5</v>
      </c>
      <c r="G1569" s="283" t="s">
        <v>1054</v>
      </c>
      <c r="H1569" s="283">
        <v>47.8</v>
      </c>
      <c r="I1569" s="769"/>
      <c r="J1569" s="770"/>
      <c r="K1569" s="771"/>
      <c r="L1569" s="100"/>
      <c r="M1569" s="101"/>
    </row>
    <row r="1570" spans="4:13" x14ac:dyDescent="0.2">
      <c r="E1570" s="718">
        <v>45589</v>
      </c>
      <c r="F1570" s="283">
        <v>47.8</v>
      </c>
      <c r="G1570" s="283" t="s">
        <v>509</v>
      </c>
      <c r="H1570" s="283">
        <v>47.3</v>
      </c>
      <c r="I1570" s="769"/>
      <c r="J1570" s="770"/>
      <c r="K1570" s="771"/>
      <c r="L1570" s="102"/>
      <c r="M1570" s="101"/>
    </row>
    <row r="1571" spans="4:13" x14ac:dyDescent="0.2">
      <c r="E1571" s="718">
        <v>45566</v>
      </c>
      <c r="F1571" s="283">
        <v>47.3</v>
      </c>
      <c r="G1571" s="283" t="s">
        <v>758</v>
      </c>
      <c r="H1571" s="283">
        <v>47.9</v>
      </c>
      <c r="I1571" s="769"/>
      <c r="J1571" s="770"/>
      <c r="K1571" s="771"/>
      <c r="L1571" s="100"/>
      <c r="M1571" s="101"/>
    </row>
    <row r="1572" spans="4:13" x14ac:dyDescent="0.2">
      <c r="E1572" s="718">
        <v>45558</v>
      </c>
      <c r="F1572" s="283">
        <v>47</v>
      </c>
      <c r="G1572" s="283" t="s">
        <v>500</v>
      </c>
      <c r="H1572" s="283">
        <v>47.9</v>
      </c>
      <c r="I1572" s="769"/>
      <c r="J1572" s="770"/>
      <c r="K1572" s="771"/>
      <c r="L1572" s="100"/>
      <c r="M1572" s="101"/>
    </row>
    <row r="1573" spans="4:13" ht="20" thickBot="1" x14ac:dyDescent="0.25">
      <c r="E1573" s="718">
        <v>45538</v>
      </c>
      <c r="F1573" s="283">
        <v>47.9</v>
      </c>
      <c r="G1573" s="283" t="s">
        <v>502</v>
      </c>
      <c r="H1573" s="283">
        <v>49.6</v>
      </c>
      <c r="I1573" s="772"/>
      <c r="J1573" s="773"/>
      <c r="K1573" s="774"/>
      <c r="L1573" s="103"/>
      <c r="M1573" s="104"/>
    </row>
    <row r="1574" spans="4:13" ht="25" thickBot="1" x14ac:dyDescent="0.25">
      <c r="D1574">
        <v>2</v>
      </c>
      <c r="E1574" s="713" t="s">
        <v>30</v>
      </c>
      <c r="F1574" s="814" t="s">
        <v>1139</v>
      </c>
      <c r="G1574" s="815"/>
      <c r="H1574" s="816"/>
      <c r="I1574" s="846" t="s">
        <v>633</v>
      </c>
      <c r="J1574" s="847"/>
      <c r="K1574" s="848"/>
      <c r="L1574" s="162" t="s">
        <v>430</v>
      </c>
      <c r="M1574" s="106" t="s">
        <v>431</v>
      </c>
    </row>
    <row r="1575" spans="4:13" x14ac:dyDescent="0.2">
      <c r="E1575" s="714" t="s">
        <v>432</v>
      </c>
      <c r="F1575" s="805"/>
      <c r="G1575" s="806"/>
      <c r="H1575" s="807"/>
      <c r="I1575" s="769" t="s">
        <v>1140</v>
      </c>
      <c r="J1575" s="770"/>
      <c r="K1575" s="771"/>
      <c r="L1575" s="100"/>
      <c r="M1575" s="101"/>
    </row>
    <row r="1576" spans="4:13" x14ac:dyDescent="0.2">
      <c r="E1576" s="715" t="s">
        <v>433</v>
      </c>
      <c r="F1576" s="827">
        <v>-2E-3</v>
      </c>
      <c r="G1576" s="825"/>
      <c r="H1576" s="826"/>
      <c r="I1576" s="769"/>
      <c r="J1576" s="770"/>
      <c r="K1576" s="771"/>
      <c r="L1576" s="100"/>
      <c r="M1576" s="101"/>
    </row>
    <row r="1577" spans="4:13" ht="20" thickBot="1" x14ac:dyDescent="0.25">
      <c r="E1577" s="715" t="s">
        <v>434</v>
      </c>
      <c r="F1577" s="817">
        <v>4.0000000000000001E-3</v>
      </c>
      <c r="G1577" s="818"/>
      <c r="H1577" s="819"/>
      <c r="I1577" s="769"/>
      <c r="J1577" s="770"/>
      <c r="K1577" s="771"/>
      <c r="L1577" s="100"/>
      <c r="M1577" s="101"/>
    </row>
    <row r="1578" spans="4:13" ht="20" thickBot="1" x14ac:dyDescent="0.25">
      <c r="E1578" s="716" t="s">
        <v>435</v>
      </c>
      <c r="F1578" s="811">
        <v>0.29166666666666674</v>
      </c>
      <c r="G1578" s="812"/>
      <c r="H1578" s="813"/>
      <c r="I1578" s="769"/>
      <c r="J1578" s="770"/>
      <c r="K1578" s="771"/>
      <c r="L1578" s="107">
        <v>0.52083333333333337</v>
      </c>
      <c r="M1578" s="108">
        <v>0.375</v>
      </c>
    </row>
    <row r="1579" spans="4:13" ht="20" thickBot="1" x14ac:dyDescent="0.25">
      <c r="E1579" s="717" t="s">
        <v>436</v>
      </c>
      <c r="F1579" s="278" t="s">
        <v>29</v>
      </c>
      <c r="G1579" s="278" t="s">
        <v>28</v>
      </c>
      <c r="H1579" s="279" t="s">
        <v>27</v>
      </c>
      <c r="I1579" s="769"/>
      <c r="J1579" s="770"/>
      <c r="K1579" s="771"/>
      <c r="L1579" s="369">
        <v>0.1875</v>
      </c>
      <c r="M1579" s="370">
        <v>4.1666666666666664E-2</v>
      </c>
    </row>
    <row r="1580" spans="4:13" x14ac:dyDescent="0.2">
      <c r="E1580" s="718">
        <v>45597</v>
      </c>
      <c r="F1580" s="719" t="s">
        <v>1163</v>
      </c>
      <c r="G1580" s="719" t="s">
        <v>1164</v>
      </c>
      <c r="H1580" s="719" t="s">
        <v>1165</v>
      </c>
      <c r="I1580" s="769"/>
      <c r="J1580" s="770"/>
      <c r="K1580" s="771"/>
      <c r="L1580" s="100"/>
      <c r="M1580" s="101"/>
    </row>
    <row r="1581" spans="4:13" x14ac:dyDescent="0.2">
      <c r="E1581" s="718">
        <v>45566</v>
      </c>
      <c r="F1581" s="719" t="s">
        <v>1165</v>
      </c>
      <c r="G1581" s="719" t="s">
        <v>1164</v>
      </c>
      <c r="H1581" s="719" t="s">
        <v>1165</v>
      </c>
      <c r="I1581" s="769"/>
      <c r="J1581" s="770"/>
      <c r="K1581" s="771"/>
      <c r="L1581" s="100"/>
      <c r="M1581" s="101"/>
    </row>
    <row r="1582" spans="4:13" x14ac:dyDescent="0.2">
      <c r="E1582" s="718">
        <v>45538</v>
      </c>
      <c r="F1582" s="719" t="s">
        <v>1165</v>
      </c>
      <c r="G1582" s="719" t="s">
        <v>1166</v>
      </c>
      <c r="H1582" s="719" t="s">
        <v>1167</v>
      </c>
      <c r="I1582" s="769"/>
      <c r="J1582" s="770"/>
      <c r="K1582" s="771"/>
      <c r="L1582" s="102"/>
      <c r="M1582" s="101"/>
    </row>
    <row r="1583" spans="4:13" x14ac:dyDescent="0.2">
      <c r="E1583" s="718">
        <v>45505</v>
      </c>
      <c r="F1583" s="719" t="s">
        <v>1167</v>
      </c>
      <c r="G1583" s="719" t="s">
        <v>1168</v>
      </c>
      <c r="H1583" s="719" t="s">
        <v>1169</v>
      </c>
      <c r="I1583" s="769"/>
      <c r="J1583" s="770"/>
      <c r="K1583" s="771"/>
      <c r="L1583" s="100"/>
      <c r="M1583" s="101"/>
    </row>
    <row r="1584" spans="4:13" x14ac:dyDescent="0.2">
      <c r="E1584" s="718">
        <v>45474</v>
      </c>
      <c r="F1584" s="719" t="s">
        <v>1169</v>
      </c>
      <c r="G1584" s="719" t="s">
        <v>1170</v>
      </c>
      <c r="H1584" s="719" t="s">
        <v>1171</v>
      </c>
      <c r="I1584" s="769"/>
      <c r="J1584" s="770"/>
      <c r="K1584" s="771"/>
      <c r="L1584" s="100"/>
      <c r="M1584" s="101"/>
    </row>
    <row r="1585" spans="4:13" ht="20" thickBot="1" x14ac:dyDescent="0.25">
      <c r="E1585" s="718">
        <v>45446</v>
      </c>
      <c r="F1585" s="719" t="s">
        <v>1171</v>
      </c>
      <c r="G1585" s="719" t="s">
        <v>1172</v>
      </c>
      <c r="H1585" s="719" t="s">
        <v>1170</v>
      </c>
      <c r="I1585" s="772"/>
      <c r="J1585" s="773"/>
      <c r="K1585" s="774"/>
      <c r="L1585" s="103"/>
      <c r="M1585" s="104"/>
    </row>
    <row r="1586" spans="4:13" ht="25" thickBot="1" x14ac:dyDescent="0.25">
      <c r="D1586" t="s">
        <v>105</v>
      </c>
      <c r="E1586" s="713" t="s">
        <v>30</v>
      </c>
      <c r="F1586" s="814" t="s">
        <v>1141</v>
      </c>
      <c r="G1586" s="815"/>
      <c r="H1586" s="816"/>
      <c r="I1586" s="846" t="s">
        <v>633</v>
      </c>
      <c r="J1586" s="847"/>
      <c r="K1586" s="848"/>
      <c r="L1586" s="162" t="s">
        <v>430</v>
      </c>
      <c r="M1586" s="106" t="s">
        <v>431</v>
      </c>
    </row>
    <row r="1587" spans="4:13" x14ac:dyDescent="0.2">
      <c r="E1587" s="714" t="s">
        <v>432</v>
      </c>
      <c r="F1587" s="805"/>
      <c r="G1587" s="806"/>
      <c r="H1587" s="807"/>
      <c r="I1587" s="769" t="s">
        <v>1142</v>
      </c>
      <c r="J1587" s="770"/>
      <c r="K1587" s="771"/>
      <c r="L1587" s="100"/>
      <c r="M1587" s="101"/>
    </row>
    <row r="1588" spans="4:13" x14ac:dyDescent="0.2">
      <c r="E1588" s="715" t="s">
        <v>433</v>
      </c>
      <c r="F1588" s="827">
        <v>3.0000000000000001E-3</v>
      </c>
      <c r="G1588" s="825"/>
      <c r="H1588" s="826"/>
      <c r="I1588" s="769"/>
      <c r="J1588" s="770"/>
      <c r="K1588" s="771"/>
      <c r="L1588" s="100"/>
      <c r="M1588" s="101"/>
    </row>
    <row r="1589" spans="4:13" ht="20" thickBot="1" x14ac:dyDescent="0.25">
      <c r="E1589" s="715" t="s">
        <v>434</v>
      </c>
      <c r="F1589" s="817">
        <v>3.0000000000000001E-3</v>
      </c>
      <c r="G1589" s="818"/>
      <c r="H1589" s="819"/>
      <c r="I1589" s="769"/>
      <c r="J1589" s="770"/>
      <c r="K1589" s="771"/>
      <c r="L1589" s="100"/>
      <c r="M1589" s="101"/>
    </row>
    <row r="1590" spans="4:13" ht="20" thickBot="1" x14ac:dyDescent="0.25">
      <c r="E1590" s="716" t="s">
        <v>435</v>
      </c>
      <c r="F1590" s="811">
        <v>0.5625</v>
      </c>
      <c r="G1590" s="812"/>
      <c r="H1590" s="813"/>
      <c r="I1590" s="769"/>
      <c r="J1590" s="770"/>
      <c r="K1590" s="771"/>
      <c r="L1590" s="107">
        <v>0.79166666666666663</v>
      </c>
      <c r="M1590" s="108">
        <v>0.64583333333333326</v>
      </c>
    </row>
    <row r="1591" spans="4:13" ht="20" thickBot="1" x14ac:dyDescent="0.25">
      <c r="E1591" s="717" t="s">
        <v>436</v>
      </c>
      <c r="F1591" s="278" t="s">
        <v>29</v>
      </c>
      <c r="G1591" s="278" t="s">
        <v>28</v>
      </c>
      <c r="H1591" s="279" t="s">
        <v>27</v>
      </c>
      <c r="I1591" s="769"/>
      <c r="J1591" s="770"/>
      <c r="K1591" s="771"/>
      <c r="L1591" s="100"/>
      <c r="M1591" s="101"/>
    </row>
    <row r="1592" spans="4:13" x14ac:dyDescent="0.2">
      <c r="E1592" s="718">
        <v>45597</v>
      </c>
      <c r="F1592" s="719">
        <v>54.8</v>
      </c>
      <c r="G1592" s="719" t="s">
        <v>1173</v>
      </c>
      <c r="H1592" s="719">
        <v>48.3</v>
      </c>
      <c r="I1592" s="769"/>
      <c r="J1592" s="770"/>
      <c r="K1592" s="771"/>
      <c r="L1592" s="100"/>
      <c r="M1592" s="101"/>
    </row>
    <row r="1593" spans="4:13" x14ac:dyDescent="0.2">
      <c r="E1593" s="718">
        <v>45566</v>
      </c>
      <c r="F1593" s="719">
        <v>48.3</v>
      </c>
      <c r="G1593" s="719" t="s">
        <v>902</v>
      </c>
      <c r="H1593" s="719">
        <v>54</v>
      </c>
      <c r="I1593" s="769"/>
      <c r="J1593" s="770"/>
      <c r="K1593" s="771"/>
      <c r="L1593" s="100"/>
      <c r="M1593" s="101"/>
    </row>
    <row r="1594" spans="4:13" x14ac:dyDescent="0.2">
      <c r="E1594" s="718">
        <v>45538</v>
      </c>
      <c r="F1594" s="719">
        <v>54</v>
      </c>
      <c r="G1594" s="719" t="s">
        <v>519</v>
      </c>
      <c r="H1594" s="719">
        <v>52.9</v>
      </c>
      <c r="I1594" s="769"/>
      <c r="J1594" s="770"/>
      <c r="K1594" s="771"/>
      <c r="L1594" s="102"/>
      <c r="M1594" s="101"/>
    </row>
    <row r="1595" spans="4:13" x14ac:dyDescent="0.2">
      <c r="E1595" s="718">
        <v>45505</v>
      </c>
      <c r="F1595" s="719">
        <v>52.9</v>
      </c>
      <c r="G1595" s="719" t="s">
        <v>520</v>
      </c>
      <c r="H1595" s="719">
        <v>52.1</v>
      </c>
      <c r="I1595" s="769"/>
      <c r="J1595" s="770"/>
      <c r="K1595" s="771"/>
      <c r="L1595" s="100"/>
      <c r="M1595" s="101"/>
    </row>
    <row r="1596" spans="4:13" x14ac:dyDescent="0.2">
      <c r="E1596" s="718">
        <v>45474</v>
      </c>
      <c r="F1596" s="719">
        <v>52.1</v>
      </c>
      <c r="G1596" s="719" t="s">
        <v>521</v>
      </c>
      <c r="H1596" s="719">
        <v>57</v>
      </c>
      <c r="I1596" s="769"/>
      <c r="J1596" s="770"/>
      <c r="K1596" s="771"/>
      <c r="L1596" s="100"/>
      <c r="M1596" s="101"/>
    </row>
    <row r="1597" spans="4:13" ht="20" thickBot="1" x14ac:dyDescent="0.25">
      <c r="E1597" s="718">
        <v>45446</v>
      </c>
      <c r="F1597" s="719">
        <v>57</v>
      </c>
      <c r="G1597" s="719" t="s">
        <v>522</v>
      </c>
      <c r="H1597" s="719">
        <v>60.9</v>
      </c>
      <c r="I1597" s="772"/>
      <c r="J1597" s="773"/>
      <c r="K1597" s="774"/>
      <c r="L1597" s="103"/>
      <c r="M1597" s="104"/>
    </row>
    <row r="1598" spans="4:13" ht="25" thickBot="1" x14ac:dyDescent="0.25">
      <c r="D1598">
        <v>3</v>
      </c>
      <c r="E1598" s="713" t="s">
        <v>30</v>
      </c>
      <c r="F1598" s="814" t="s">
        <v>1143</v>
      </c>
      <c r="G1598" s="815"/>
      <c r="H1598" s="816"/>
      <c r="I1598" s="846" t="s">
        <v>633</v>
      </c>
      <c r="J1598" s="847"/>
      <c r="K1598" s="848"/>
      <c r="L1598" s="162" t="s">
        <v>430</v>
      </c>
      <c r="M1598" s="106" t="s">
        <v>431</v>
      </c>
    </row>
    <row r="1599" spans="4:13" x14ac:dyDescent="0.2">
      <c r="E1599" s="714" t="s">
        <v>432</v>
      </c>
      <c r="F1599" s="805"/>
      <c r="G1599" s="806"/>
      <c r="H1599" s="807"/>
      <c r="I1599" s="769" t="s">
        <v>1144</v>
      </c>
      <c r="J1599" s="770"/>
      <c r="K1599" s="771"/>
      <c r="L1599" s="100"/>
      <c r="M1599" s="101"/>
    </row>
    <row r="1600" spans="4:13" x14ac:dyDescent="0.2">
      <c r="E1600" s="715" t="s">
        <v>433</v>
      </c>
      <c r="F1600" s="827">
        <v>2E-3</v>
      </c>
      <c r="G1600" s="825"/>
      <c r="H1600" s="826"/>
      <c r="I1600" s="769"/>
      <c r="J1600" s="770"/>
      <c r="K1600" s="771"/>
      <c r="L1600" s="100"/>
      <c r="M1600" s="101"/>
    </row>
    <row r="1601" spans="4:13" ht="20" thickBot="1" x14ac:dyDescent="0.25">
      <c r="E1601" s="715" t="s">
        <v>434</v>
      </c>
      <c r="F1601" s="824">
        <v>2.5999999999999999E-2</v>
      </c>
      <c r="G1601" s="825"/>
      <c r="H1601" s="826"/>
      <c r="I1601" s="769"/>
      <c r="J1601" s="770"/>
      <c r="K1601" s="771"/>
      <c r="L1601" s="100"/>
      <c r="M1601" s="101"/>
    </row>
    <row r="1602" spans="4:13" ht="20" thickBot="1" x14ac:dyDescent="0.25">
      <c r="E1602" s="716" t="s">
        <v>435</v>
      </c>
      <c r="F1602" s="811">
        <v>0.5625</v>
      </c>
      <c r="G1602" s="812"/>
      <c r="H1602" s="813"/>
      <c r="I1602" s="769"/>
      <c r="J1602" s="770"/>
      <c r="K1602" s="771"/>
      <c r="L1602" s="107">
        <v>0.79166666666666663</v>
      </c>
      <c r="M1602" s="108">
        <v>0.64583333333333326</v>
      </c>
    </row>
    <row r="1603" spans="4:13" ht="20" thickBot="1" x14ac:dyDescent="0.25">
      <c r="E1603" s="717" t="s">
        <v>436</v>
      </c>
      <c r="F1603" s="278" t="s">
        <v>29</v>
      </c>
      <c r="G1603" s="278" t="s">
        <v>28</v>
      </c>
      <c r="H1603" s="279" t="s">
        <v>27</v>
      </c>
      <c r="I1603" s="769"/>
      <c r="J1603" s="770"/>
      <c r="K1603" s="771"/>
      <c r="L1603" s="100"/>
      <c r="M1603" s="101"/>
    </row>
    <row r="1604" spans="4:13" x14ac:dyDescent="0.2">
      <c r="E1604" s="718">
        <v>45594</v>
      </c>
      <c r="F1604" s="385" t="s">
        <v>1174</v>
      </c>
      <c r="G1604" s="385" t="s">
        <v>1175</v>
      </c>
      <c r="H1604" s="385" t="s">
        <v>1176</v>
      </c>
      <c r="I1604" s="769"/>
      <c r="J1604" s="770"/>
      <c r="K1604" s="771"/>
      <c r="L1604" s="100"/>
      <c r="M1604" s="101"/>
    </row>
    <row r="1605" spans="4:13" x14ac:dyDescent="0.2">
      <c r="E1605" s="718">
        <v>45566</v>
      </c>
      <c r="F1605" s="385" t="s">
        <v>1177</v>
      </c>
      <c r="G1605" s="385" t="s">
        <v>1178</v>
      </c>
      <c r="H1605" s="385" t="s">
        <v>1179</v>
      </c>
      <c r="I1605" s="769"/>
      <c r="J1605" s="770"/>
      <c r="K1605" s="771"/>
      <c r="L1605" s="100"/>
      <c r="M1605" s="101"/>
    </row>
    <row r="1606" spans="4:13" x14ac:dyDescent="0.2">
      <c r="E1606" s="718">
        <v>45539</v>
      </c>
      <c r="F1606" s="385" t="s">
        <v>1180</v>
      </c>
      <c r="G1606" s="385" t="s">
        <v>1181</v>
      </c>
      <c r="H1606" s="385" t="s">
        <v>1182</v>
      </c>
      <c r="I1606" s="769"/>
      <c r="J1606" s="770"/>
      <c r="K1606" s="771"/>
      <c r="L1606" s="102"/>
      <c r="M1606" s="101"/>
    </row>
    <row r="1607" spans="4:13" x14ac:dyDescent="0.2">
      <c r="E1607" s="718">
        <v>45503</v>
      </c>
      <c r="F1607" s="385" t="s">
        <v>1183</v>
      </c>
      <c r="G1607" s="385" t="s">
        <v>1184</v>
      </c>
      <c r="H1607" s="385" t="s">
        <v>1185</v>
      </c>
      <c r="I1607" s="769"/>
      <c r="J1607" s="770"/>
      <c r="K1607" s="771"/>
      <c r="L1607" s="100"/>
      <c r="M1607" s="101"/>
    </row>
    <row r="1608" spans="4:13" x14ac:dyDescent="0.2">
      <c r="E1608" s="718">
        <v>45475</v>
      </c>
      <c r="F1608" s="385" t="s">
        <v>1186</v>
      </c>
      <c r="G1608" s="385" t="s">
        <v>1187</v>
      </c>
      <c r="H1608" s="385" t="s">
        <v>1188</v>
      </c>
      <c r="I1608" s="769"/>
      <c r="J1608" s="770"/>
      <c r="K1608" s="771"/>
      <c r="L1608" s="100"/>
      <c r="M1608" s="101"/>
    </row>
    <row r="1609" spans="4:13" ht="20" thickBot="1" x14ac:dyDescent="0.25">
      <c r="E1609" s="718">
        <v>45447</v>
      </c>
      <c r="F1609" s="385" t="s">
        <v>1189</v>
      </c>
      <c r="G1609" s="385" t="s">
        <v>1190</v>
      </c>
      <c r="H1609" s="385" t="s">
        <v>1191</v>
      </c>
      <c r="I1609" s="772"/>
      <c r="J1609" s="773"/>
      <c r="K1609" s="774"/>
      <c r="L1609" s="103"/>
      <c r="M1609" s="104"/>
    </row>
    <row r="1610" spans="4:13" ht="25" thickBot="1" x14ac:dyDescent="0.25">
      <c r="D1610">
        <v>4</v>
      </c>
      <c r="E1610" s="713" t="s">
        <v>30</v>
      </c>
      <c r="F1610" s="814" t="s">
        <v>1145</v>
      </c>
      <c r="G1610" s="815"/>
      <c r="H1610" s="816"/>
      <c r="I1610" s="846" t="s">
        <v>633</v>
      </c>
      <c r="J1610" s="847"/>
      <c r="K1610" s="848"/>
      <c r="L1610" s="162" t="s">
        <v>430</v>
      </c>
      <c r="M1610" s="106" t="s">
        <v>431</v>
      </c>
    </row>
    <row r="1611" spans="4:13" x14ac:dyDescent="0.2">
      <c r="E1611" s="714" t="s">
        <v>432</v>
      </c>
      <c r="F1611" s="805"/>
      <c r="G1611" s="806"/>
      <c r="H1611" s="807"/>
      <c r="I1611" s="769" t="s">
        <v>1144</v>
      </c>
      <c r="J1611" s="770"/>
      <c r="K1611" s="771"/>
      <c r="L1611" s="100"/>
      <c r="M1611" s="101"/>
    </row>
    <row r="1612" spans="4:13" x14ac:dyDescent="0.2">
      <c r="E1612" s="715" t="s">
        <v>433</v>
      </c>
      <c r="F1612" s="827">
        <v>2.7E-2</v>
      </c>
      <c r="G1612" s="825"/>
      <c r="H1612" s="826"/>
      <c r="I1612" s="769"/>
      <c r="J1612" s="770"/>
      <c r="K1612" s="771"/>
      <c r="L1612" s="100"/>
      <c r="M1612" s="101"/>
    </row>
    <row r="1613" spans="4:13" ht="20" thickBot="1" x14ac:dyDescent="0.25">
      <c r="E1613" s="715" t="s">
        <v>434</v>
      </c>
      <c r="F1613" s="824" t="e">
        <v>#REF!</v>
      </c>
      <c r="G1613" s="825"/>
      <c r="H1613" s="826"/>
      <c r="I1613" s="769"/>
      <c r="J1613" s="770"/>
      <c r="K1613" s="771"/>
      <c r="L1613" s="100"/>
      <c r="M1613" s="101"/>
    </row>
    <row r="1614" spans="4:13" ht="20" thickBot="1" x14ac:dyDescent="0.25">
      <c r="E1614" s="716" t="s">
        <v>435</v>
      </c>
      <c r="F1614" s="811">
        <v>0.5625</v>
      </c>
      <c r="G1614" s="812"/>
      <c r="H1614" s="813"/>
      <c r="I1614" s="769"/>
      <c r="J1614" s="770"/>
      <c r="K1614" s="771"/>
      <c r="L1614" s="107">
        <v>0.79166666666666663</v>
      </c>
      <c r="M1614" s="108">
        <v>0.64583333333333326</v>
      </c>
    </row>
    <row r="1615" spans="4:13" ht="20" thickBot="1" x14ac:dyDescent="0.25">
      <c r="E1615" s="717" t="s">
        <v>436</v>
      </c>
      <c r="F1615" s="278" t="s">
        <v>29</v>
      </c>
      <c r="G1615" s="278" t="s">
        <v>28</v>
      </c>
      <c r="H1615" s="279" t="s">
        <v>27</v>
      </c>
      <c r="I1615" s="769"/>
      <c r="J1615" s="770"/>
      <c r="K1615" s="771"/>
      <c r="L1615" s="100"/>
      <c r="M1615" s="101"/>
    </row>
    <row r="1616" spans="4:13" x14ac:dyDescent="0.2">
      <c r="E1616" s="718">
        <v>45595</v>
      </c>
      <c r="F1616" s="385" t="s">
        <v>1192</v>
      </c>
      <c r="G1616" s="385" t="s">
        <v>1193</v>
      </c>
      <c r="H1616" s="385" t="s">
        <v>1194</v>
      </c>
      <c r="I1616" s="769"/>
      <c r="J1616" s="770"/>
      <c r="K1616" s="771"/>
      <c r="L1616" s="100"/>
      <c r="M1616" s="101"/>
    </row>
    <row r="1617" spans="4:13" x14ac:dyDescent="0.2">
      <c r="E1617" s="718">
        <v>45567</v>
      </c>
      <c r="F1617" s="385" t="s">
        <v>1195</v>
      </c>
      <c r="G1617" s="385" t="s">
        <v>1196</v>
      </c>
      <c r="H1617" s="385" t="s">
        <v>1197</v>
      </c>
      <c r="I1617" s="769"/>
      <c r="J1617" s="770"/>
      <c r="K1617" s="771"/>
      <c r="L1617" s="100"/>
      <c r="M1617" s="101"/>
    </row>
    <row r="1618" spans="4:13" x14ac:dyDescent="0.2">
      <c r="E1618" s="718">
        <v>45540</v>
      </c>
      <c r="F1618" s="385" t="s">
        <v>1198</v>
      </c>
      <c r="G1618" s="385" t="s">
        <v>1199</v>
      </c>
      <c r="H1618" s="385" t="s">
        <v>1200</v>
      </c>
      <c r="I1618" s="769"/>
      <c r="J1618" s="770"/>
      <c r="K1618" s="771"/>
      <c r="L1618" s="102"/>
      <c r="M1618" s="101"/>
    </row>
    <row r="1619" spans="4:13" x14ac:dyDescent="0.2">
      <c r="E1619" s="718">
        <v>45504</v>
      </c>
      <c r="F1619" s="385" t="s">
        <v>1201</v>
      </c>
      <c r="G1619" s="385" t="s">
        <v>1202</v>
      </c>
      <c r="H1619" s="385" t="s">
        <v>1203</v>
      </c>
      <c r="I1619" s="769"/>
      <c r="J1619" s="770"/>
      <c r="K1619" s="771"/>
      <c r="L1619" s="100"/>
      <c r="M1619" s="101"/>
    </row>
    <row r="1620" spans="4:13" x14ac:dyDescent="0.2">
      <c r="E1620" s="718">
        <v>45476</v>
      </c>
      <c r="F1620" s="385" t="s">
        <v>1204</v>
      </c>
      <c r="G1620" s="385" t="s">
        <v>1205</v>
      </c>
      <c r="H1620" s="385" t="s">
        <v>1206</v>
      </c>
      <c r="I1620" s="769"/>
      <c r="J1620" s="770"/>
      <c r="K1620" s="771"/>
      <c r="L1620" s="100"/>
      <c r="M1620" s="101"/>
    </row>
    <row r="1621" spans="4:13" ht="20" thickBot="1" x14ac:dyDescent="0.25">
      <c r="E1621" s="718">
        <v>45448</v>
      </c>
      <c r="F1621" s="385" t="s">
        <v>1207</v>
      </c>
      <c r="G1621" s="385" t="s">
        <v>1208</v>
      </c>
      <c r="H1621" s="385" t="s">
        <v>1209</v>
      </c>
      <c r="I1621" s="772"/>
      <c r="J1621" s="773"/>
      <c r="K1621" s="774"/>
      <c r="L1621" s="103"/>
      <c r="M1621" s="104"/>
    </row>
    <row r="1622" spans="4:13" ht="25" thickBot="1" x14ac:dyDescent="0.25">
      <c r="D1622">
        <v>5</v>
      </c>
      <c r="E1622" s="713" t="s">
        <v>30</v>
      </c>
      <c r="F1622" s="814" t="s">
        <v>90</v>
      </c>
      <c r="G1622" s="815"/>
      <c r="H1622" s="816"/>
      <c r="I1622" s="846" t="s">
        <v>633</v>
      </c>
      <c r="J1622" s="847"/>
      <c r="K1622" s="848"/>
      <c r="L1622" s="162" t="s">
        <v>430</v>
      </c>
      <c r="M1622" s="106" t="s">
        <v>431</v>
      </c>
    </row>
    <row r="1623" spans="4:13" x14ac:dyDescent="0.2">
      <c r="E1623" s="714" t="s">
        <v>432</v>
      </c>
      <c r="F1623" s="805"/>
      <c r="G1623" s="806"/>
      <c r="H1623" s="807"/>
      <c r="I1623" s="769" t="s">
        <v>1146</v>
      </c>
      <c r="J1623" s="770"/>
      <c r="K1623" s="771"/>
      <c r="L1623" s="100"/>
      <c r="M1623" s="101"/>
    </row>
    <row r="1624" spans="4:13" x14ac:dyDescent="0.2">
      <c r="E1624" s="715" t="s">
        <v>433</v>
      </c>
      <c r="F1624" s="827">
        <v>3.2500000000000001E-2</v>
      </c>
      <c r="G1624" s="825"/>
      <c r="H1624" s="826"/>
      <c r="I1624" s="769"/>
      <c r="J1624" s="770"/>
      <c r="K1624" s="771"/>
      <c r="L1624" s="100"/>
      <c r="M1624" s="101"/>
    </row>
    <row r="1625" spans="4:13" ht="20" thickBot="1" x14ac:dyDescent="0.25">
      <c r="E1625" s="715" t="s">
        <v>434</v>
      </c>
      <c r="F1625" s="817">
        <v>3.7499999999999999E-2</v>
      </c>
      <c r="G1625" s="818"/>
      <c r="H1625" s="819"/>
      <c r="I1625" s="769"/>
      <c r="J1625" s="770"/>
      <c r="K1625" s="771"/>
      <c r="L1625" s="100"/>
      <c r="M1625" s="101"/>
    </row>
    <row r="1626" spans="4:13" ht="20" thickBot="1" x14ac:dyDescent="0.25">
      <c r="E1626" s="716" t="s">
        <v>435</v>
      </c>
      <c r="F1626" s="811">
        <v>0.61458333333333337</v>
      </c>
      <c r="G1626" s="812"/>
      <c r="H1626" s="813"/>
      <c r="I1626" s="769"/>
      <c r="J1626" s="770"/>
      <c r="K1626" s="771"/>
      <c r="L1626" s="107">
        <v>0.84375</v>
      </c>
      <c r="M1626" s="108">
        <v>0.69791666666666663</v>
      </c>
    </row>
    <row r="1627" spans="4:13" ht="20" thickBot="1" x14ac:dyDescent="0.25">
      <c r="E1627" s="717" t="s">
        <v>436</v>
      </c>
      <c r="F1627" s="278" t="s">
        <v>29</v>
      </c>
      <c r="G1627" s="278" t="s">
        <v>28</v>
      </c>
      <c r="H1627" s="279" t="s">
        <v>27</v>
      </c>
      <c r="I1627" s="769"/>
      <c r="J1627" s="770"/>
      <c r="K1627" s="771"/>
      <c r="L1627" s="100"/>
      <c r="M1627" s="101"/>
    </row>
    <row r="1628" spans="4:13" x14ac:dyDescent="0.2">
      <c r="E1628" s="718">
        <v>45618</v>
      </c>
      <c r="F1628" s="283">
        <v>57</v>
      </c>
      <c r="G1628" s="283" t="s">
        <v>586</v>
      </c>
      <c r="H1628" s="283">
        <v>55</v>
      </c>
      <c r="I1628" s="769"/>
      <c r="J1628" s="770"/>
      <c r="K1628" s="771"/>
      <c r="L1628" s="100"/>
      <c r="M1628" s="101"/>
    </row>
    <row r="1629" spans="4:13" x14ac:dyDescent="0.2">
      <c r="E1629" s="718">
        <v>45601</v>
      </c>
      <c r="F1629" s="283">
        <v>55</v>
      </c>
      <c r="G1629" s="283" t="s">
        <v>585</v>
      </c>
      <c r="H1629" s="283">
        <v>55.2</v>
      </c>
      <c r="I1629" s="769"/>
      <c r="J1629" s="770"/>
      <c r="K1629" s="771"/>
      <c r="L1629" s="100"/>
      <c r="M1629" s="101"/>
    </row>
    <row r="1630" spans="4:13" x14ac:dyDescent="0.2">
      <c r="E1630" s="718">
        <v>45589</v>
      </c>
      <c r="F1630" s="283">
        <v>55.3</v>
      </c>
      <c r="G1630" s="283" t="s">
        <v>604</v>
      </c>
      <c r="H1630" s="283">
        <v>55.2</v>
      </c>
      <c r="I1630" s="769"/>
      <c r="J1630" s="770"/>
      <c r="K1630" s="771"/>
      <c r="L1630" s="102"/>
      <c r="M1630" s="101"/>
    </row>
    <row r="1631" spans="4:13" x14ac:dyDescent="0.2">
      <c r="E1631" s="718">
        <v>45568</v>
      </c>
      <c r="F1631" s="283">
        <v>55.2</v>
      </c>
      <c r="G1631" s="283" t="s">
        <v>759</v>
      </c>
      <c r="H1631" s="283">
        <v>55.7</v>
      </c>
      <c r="I1631" s="769"/>
      <c r="J1631" s="770"/>
      <c r="K1631" s="771"/>
      <c r="L1631" s="100"/>
      <c r="M1631" s="101"/>
    </row>
    <row r="1632" spans="4:13" x14ac:dyDescent="0.2">
      <c r="E1632" s="718">
        <v>45558</v>
      </c>
      <c r="F1632" s="283">
        <v>55.4</v>
      </c>
      <c r="G1632" s="283" t="s">
        <v>585</v>
      </c>
      <c r="H1632" s="283">
        <v>55.7</v>
      </c>
      <c r="I1632" s="769"/>
      <c r="J1632" s="770"/>
      <c r="K1632" s="771"/>
      <c r="L1632" s="100"/>
      <c r="M1632" s="101"/>
    </row>
    <row r="1633" spans="4:13" ht="20" thickBot="1" x14ac:dyDescent="0.25">
      <c r="E1633" s="718">
        <v>45540</v>
      </c>
      <c r="F1633" s="283">
        <v>55.7</v>
      </c>
      <c r="G1633" s="283" t="s">
        <v>586</v>
      </c>
      <c r="H1633" s="283">
        <v>55</v>
      </c>
      <c r="I1633" s="772"/>
      <c r="J1633" s="773"/>
      <c r="K1633" s="774"/>
      <c r="L1633" s="103"/>
      <c r="M1633" s="104"/>
    </row>
    <row r="1634" spans="4:13" ht="25" thickBot="1" x14ac:dyDescent="0.25">
      <c r="D1634">
        <v>6</v>
      </c>
      <c r="E1634" s="713" t="s">
        <v>30</v>
      </c>
      <c r="F1634" s="814" t="s">
        <v>9</v>
      </c>
      <c r="G1634" s="815"/>
      <c r="H1634" s="816"/>
      <c r="I1634" s="846" t="s">
        <v>633</v>
      </c>
      <c r="J1634" s="847"/>
      <c r="K1634" s="848"/>
      <c r="L1634" s="162" t="s">
        <v>430</v>
      </c>
      <c r="M1634" s="106" t="s">
        <v>431</v>
      </c>
    </row>
    <row r="1635" spans="4:13" x14ac:dyDescent="0.2">
      <c r="E1635" s="714" t="s">
        <v>432</v>
      </c>
      <c r="F1635" s="805"/>
      <c r="G1635" s="806"/>
      <c r="H1635" s="807"/>
      <c r="I1635" s="769" t="s">
        <v>1148</v>
      </c>
      <c r="J1635" s="770"/>
      <c r="K1635" s="771"/>
      <c r="L1635" s="100"/>
      <c r="M1635" s="101"/>
    </row>
    <row r="1636" spans="4:13" x14ac:dyDescent="0.2">
      <c r="E1636" s="715" t="s">
        <v>433</v>
      </c>
      <c r="F1636" s="817">
        <v>0</v>
      </c>
      <c r="G1636" s="818"/>
      <c r="H1636" s="819"/>
      <c r="I1636" s="769"/>
      <c r="J1636" s="770"/>
      <c r="K1636" s="771"/>
      <c r="L1636" s="100"/>
      <c r="M1636" s="101"/>
    </row>
    <row r="1637" spans="4:13" ht="20" thickBot="1" x14ac:dyDescent="0.25">
      <c r="E1637" s="715" t="s">
        <v>434</v>
      </c>
      <c r="F1637" s="817" t="s">
        <v>1147</v>
      </c>
      <c r="G1637" s="818"/>
      <c r="H1637" s="819"/>
      <c r="I1637" s="769"/>
      <c r="J1637" s="770"/>
      <c r="K1637" s="771"/>
      <c r="L1637" s="100"/>
      <c r="M1637" s="101"/>
    </row>
    <row r="1638" spans="4:13" ht="20" thickBot="1" x14ac:dyDescent="0.25">
      <c r="E1638" s="716" t="s">
        <v>435</v>
      </c>
      <c r="F1638" s="811">
        <v>0.64583333333333337</v>
      </c>
      <c r="G1638" s="812"/>
      <c r="H1638" s="813"/>
      <c r="I1638" s="769"/>
      <c r="J1638" s="770"/>
      <c r="K1638" s="771"/>
      <c r="L1638" s="107">
        <v>0.875</v>
      </c>
      <c r="M1638" s="108">
        <v>0.72916666666666663</v>
      </c>
    </row>
    <row r="1639" spans="4:13" ht="20" thickBot="1" x14ac:dyDescent="0.25">
      <c r="E1639" s="717" t="s">
        <v>436</v>
      </c>
      <c r="F1639" s="278" t="s">
        <v>29</v>
      </c>
      <c r="G1639" s="278" t="s">
        <v>28</v>
      </c>
      <c r="H1639" s="279" t="s">
        <v>27</v>
      </c>
      <c r="I1639" s="769"/>
      <c r="J1639" s="770"/>
      <c r="K1639" s="771"/>
      <c r="L1639" s="100"/>
      <c r="M1639" s="101"/>
    </row>
    <row r="1640" spans="4:13" x14ac:dyDescent="0.2">
      <c r="E1640" s="718">
        <v>45601</v>
      </c>
      <c r="F1640" s="283" t="s">
        <v>1210</v>
      </c>
      <c r="G1640" s="283" t="s">
        <v>1211</v>
      </c>
      <c r="H1640" s="283" t="s">
        <v>1212</v>
      </c>
      <c r="I1640" s="769"/>
      <c r="J1640" s="770"/>
      <c r="K1640" s="771"/>
      <c r="L1640" s="100"/>
      <c r="M1640" s="101"/>
    </row>
    <row r="1641" spans="4:13" x14ac:dyDescent="0.2">
      <c r="E1641" s="718">
        <v>45568</v>
      </c>
      <c r="F1641" s="283" t="s">
        <v>1212</v>
      </c>
      <c r="G1641" s="283" t="s">
        <v>1213</v>
      </c>
      <c r="H1641" s="283" t="s">
        <v>1214</v>
      </c>
      <c r="I1641" s="769"/>
      <c r="J1641" s="770"/>
      <c r="K1641" s="771"/>
      <c r="L1641" s="100"/>
      <c r="M1641" s="101"/>
    </row>
    <row r="1642" spans="4:13" x14ac:dyDescent="0.2">
      <c r="E1642" s="718">
        <v>45540</v>
      </c>
      <c r="F1642" s="283" t="s">
        <v>1214</v>
      </c>
      <c r="G1642" s="283" t="s">
        <v>1215</v>
      </c>
      <c r="H1642" s="283" t="s">
        <v>1216</v>
      </c>
      <c r="I1642" s="769"/>
      <c r="J1642" s="770"/>
      <c r="K1642" s="771"/>
      <c r="L1642" s="102"/>
      <c r="M1642" s="101"/>
    </row>
    <row r="1643" spans="4:13" x14ac:dyDescent="0.2">
      <c r="E1643" s="718">
        <v>45509</v>
      </c>
      <c r="F1643" s="283" t="s">
        <v>1216</v>
      </c>
      <c r="G1643" s="283" t="s">
        <v>1216</v>
      </c>
      <c r="H1643" s="283" t="s">
        <v>1168</v>
      </c>
      <c r="I1643" s="769"/>
      <c r="J1643" s="770"/>
      <c r="K1643" s="771"/>
      <c r="L1643" s="100"/>
      <c r="M1643" s="101"/>
    </row>
    <row r="1644" spans="4:13" x14ac:dyDescent="0.2">
      <c r="E1644" s="718">
        <v>45476</v>
      </c>
      <c r="F1644" s="283" t="s">
        <v>1168</v>
      </c>
      <c r="G1644" s="283" t="s">
        <v>1217</v>
      </c>
      <c r="H1644" s="283" t="s">
        <v>1211</v>
      </c>
      <c r="I1644" s="769"/>
      <c r="J1644" s="770"/>
      <c r="K1644" s="771"/>
      <c r="L1644" s="100"/>
      <c r="M1644" s="101"/>
    </row>
    <row r="1645" spans="4:13" ht="20" thickBot="1" x14ac:dyDescent="0.25">
      <c r="E1645" s="718">
        <v>45448</v>
      </c>
      <c r="F1645" s="283" t="s">
        <v>1211</v>
      </c>
      <c r="G1645" s="283" t="s">
        <v>1218</v>
      </c>
      <c r="H1645" s="283" t="s">
        <v>1219</v>
      </c>
      <c r="I1645" s="772"/>
      <c r="J1645" s="773"/>
      <c r="K1645" s="774"/>
      <c r="L1645" s="103"/>
      <c r="M1645" s="104"/>
    </row>
    <row r="1646" spans="4:13" ht="25" thickBot="1" x14ac:dyDescent="0.25">
      <c r="D1646" s="88" t="s">
        <v>105</v>
      </c>
      <c r="E1646" s="713" t="s">
        <v>30</v>
      </c>
      <c r="F1646" s="814" t="s">
        <v>52</v>
      </c>
      <c r="G1646" s="815"/>
      <c r="H1646" s="816"/>
      <c r="I1646" s="846" t="s">
        <v>633</v>
      </c>
      <c r="J1646" s="847"/>
      <c r="K1646" s="848"/>
      <c r="L1646" s="162" t="s">
        <v>430</v>
      </c>
      <c r="M1646" s="106" t="s">
        <v>431</v>
      </c>
    </row>
    <row r="1647" spans="4:13" x14ac:dyDescent="0.2">
      <c r="D1647" s="89"/>
      <c r="E1647" s="714" t="s">
        <v>432</v>
      </c>
      <c r="F1647" s="805"/>
      <c r="G1647" s="806"/>
      <c r="H1647" s="807"/>
      <c r="I1647" s="769" t="s">
        <v>1149</v>
      </c>
      <c r="J1647" s="770"/>
      <c r="K1647" s="771"/>
      <c r="L1647" s="100"/>
      <c r="M1647" s="101"/>
    </row>
    <row r="1648" spans="4:13" x14ac:dyDescent="0.2">
      <c r="D1648" s="89"/>
      <c r="E1648" s="715" t="s">
        <v>433</v>
      </c>
      <c r="F1648" s="817">
        <v>0</v>
      </c>
      <c r="G1648" s="818"/>
      <c r="H1648" s="819"/>
      <c r="I1648" s="769"/>
      <c r="J1648" s="770"/>
      <c r="K1648" s="771"/>
      <c r="L1648" s="100"/>
      <c r="M1648" s="101"/>
    </row>
    <row r="1649" spans="4:13" ht="20" thickBot="1" x14ac:dyDescent="0.25">
      <c r="D1649" s="89"/>
      <c r="E1649" s="715" t="s">
        <v>434</v>
      </c>
      <c r="F1649" s="817">
        <v>4.3470000000000002E-2</v>
      </c>
      <c r="G1649" s="818"/>
      <c r="H1649" s="819"/>
      <c r="I1649" s="769"/>
      <c r="J1649" s="770"/>
      <c r="K1649" s="771"/>
      <c r="L1649" s="100"/>
      <c r="M1649" s="101"/>
    </row>
    <row r="1650" spans="4:13" ht="20" thickBot="1" x14ac:dyDescent="0.25">
      <c r="D1650" s="89"/>
      <c r="E1650" s="716" t="s">
        <v>435</v>
      </c>
      <c r="F1650" s="811">
        <v>0.75</v>
      </c>
      <c r="G1650" s="812"/>
      <c r="H1650" s="813"/>
      <c r="I1650" s="769"/>
      <c r="J1650" s="770"/>
      <c r="K1650" s="771"/>
      <c r="L1650" s="107">
        <v>0.97916666666666663</v>
      </c>
      <c r="M1650" s="108">
        <v>0.83333333333333326</v>
      </c>
    </row>
    <row r="1651" spans="4:13" ht="20" thickBot="1" x14ac:dyDescent="0.25">
      <c r="D1651" s="89"/>
      <c r="E1651" s="717" t="s">
        <v>436</v>
      </c>
      <c r="F1651" s="278" t="s">
        <v>29</v>
      </c>
      <c r="G1651" s="278" t="s">
        <v>28</v>
      </c>
      <c r="H1651" s="279" t="s">
        <v>27</v>
      </c>
      <c r="I1651" s="769"/>
      <c r="J1651" s="770"/>
      <c r="K1651" s="771"/>
      <c r="L1651" s="100"/>
      <c r="M1651" s="101"/>
    </row>
    <row r="1652" spans="4:13" x14ac:dyDescent="0.2">
      <c r="D1652" s="89"/>
      <c r="E1652" s="718">
        <v>45601</v>
      </c>
      <c r="F1652" s="719" t="s">
        <v>1220</v>
      </c>
      <c r="G1652" s="719" t="s">
        <v>1221</v>
      </c>
      <c r="H1652" s="719" t="s">
        <v>1222</v>
      </c>
      <c r="I1652" s="769"/>
      <c r="J1652" s="770"/>
      <c r="K1652" s="771"/>
      <c r="L1652" s="100"/>
      <c r="M1652" s="101"/>
    </row>
    <row r="1653" spans="4:13" x14ac:dyDescent="0.2">
      <c r="D1653" s="89"/>
      <c r="E1653" s="718">
        <v>45568</v>
      </c>
      <c r="F1653" s="719" t="s">
        <v>1222</v>
      </c>
      <c r="G1653" s="719" t="s">
        <v>1223</v>
      </c>
      <c r="H1653" s="719" t="s">
        <v>1224</v>
      </c>
      <c r="I1653" s="769"/>
      <c r="J1653" s="770"/>
      <c r="K1653" s="771"/>
      <c r="L1653" s="100"/>
      <c r="M1653" s="101"/>
    </row>
    <row r="1654" spans="4:13" x14ac:dyDescent="0.2">
      <c r="D1654" s="89"/>
      <c r="E1654" s="718">
        <v>45540</v>
      </c>
      <c r="F1654" s="719" t="s">
        <v>1224</v>
      </c>
      <c r="G1654" s="719" t="s">
        <v>1225</v>
      </c>
      <c r="H1654" s="719" t="s">
        <v>1226</v>
      </c>
      <c r="I1654" s="769"/>
      <c r="J1654" s="770"/>
      <c r="K1654" s="771"/>
      <c r="L1654" s="102"/>
      <c r="M1654" s="101"/>
    </row>
    <row r="1655" spans="4:13" x14ac:dyDescent="0.2">
      <c r="D1655" s="89"/>
      <c r="E1655" s="718">
        <v>45509</v>
      </c>
      <c r="F1655" s="719" t="s">
        <v>1226</v>
      </c>
      <c r="G1655" s="719" t="s">
        <v>1225</v>
      </c>
      <c r="H1655" s="719" t="s">
        <v>1223</v>
      </c>
      <c r="I1655" s="769"/>
      <c r="J1655" s="770"/>
      <c r="K1655" s="771"/>
      <c r="L1655" s="100"/>
      <c r="M1655" s="101"/>
    </row>
    <row r="1656" spans="4:13" x14ac:dyDescent="0.2">
      <c r="D1656" s="89"/>
      <c r="E1656" s="718">
        <v>45476</v>
      </c>
      <c r="F1656" s="719" t="s">
        <v>1223</v>
      </c>
      <c r="G1656" s="719" t="s">
        <v>1227</v>
      </c>
      <c r="H1656" s="719" t="s">
        <v>1220</v>
      </c>
      <c r="I1656" s="769"/>
      <c r="J1656" s="770"/>
      <c r="K1656" s="771"/>
      <c r="L1656" s="100"/>
      <c r="M1656" s="101"/>
    </row>
    <row r="1657" spans="4:13" ht="20" thickBot="1" x14ac:dyDescent="0.25">
      <c r="D1657" s="89"/>
      <c r="E1657" s="718">
        <v>45448</v>
      </c>
      <c r="F1657" s="719" t="s">
        <v>1220</v>
      </c>
      <c r="G1657" s="719" t="s">
        <v>1228</v>
      </c>
      <c r="H1657" s="719" t="s">
        <v>1229</v>
      </c>
      <c r="I1657" s="772"/>
      <c r="J1657" s="773"/>
      <c r="K1657" s="774"/>
      <c r="L1657" s="103"/>
      <c r="M1657" s="104"/>
    </row>
    <row r="1658" spans="4:13" ht="25" thickBot="1" x14ac:dyDescent="0.25">
      <c r="D1658">
        <v>7</v>
      </c>
      <c r="E1658" s="713" t="s">
        <v>30</v>
      </c>
      <c r="F1658" s="814" t="s">
        <v>1150</v>
      </c>
      <c r="G1658" s="815"/>
      <c r="H1658" s="816"/>
      <c r="I1658" s="846" t="s">
        <v>633</v>
      </c>
      <c r="J1658" s="847"/>
      <c r="K1658" s="848"/>
      <c r="L1658" s="162" t="s">
        <v>430</v>
      </c>
      <c r="M1658" s="106" t="s">
        <v>431</v>
      </c>
    </row>
    <row r="1659" spans="4:13" x14ac:dyDescent="0.2">
      <c r="D1659" s="89"/>
      <c r="E1659" s="714" t="s">
        <v>432</v>
      </c>
      <c r="F1659" s="805"/>
      <c r="G1659" s="806"/>
      <c r="H1659" s="807"/>
      <c r="I1659" s="769" t="s">
        <v>1151</v>
      </c>
      <c r="J1659" s="770"/>
      <c r="K1659" s="771"/>
      <c r="L1659" s="100"/>
      <c r="M1659" s="101"/>
    </row>
    <row r="1660" spans="4:13" x14ac:dyDescent="0.2">
      <c r="D1660" s="89"/>
      <c r="E1660" s="715" t="s">
        <v>433</v>
      </c>
      <c r="F1660" s="817">
        <v>7.4999999999999997E-3</v>
      </c>
      <c r="G1660" s="818"/>
      <c r="H1660" s="819"/>
      <c r="I1660" s="769"/>
      <c r="J1660" s="770"/>
      <c r="K1660" s="771"/>
      <c r="L1660" s="100"/>
      <c r="M1660" s="101"/>
    </row>
    <row r="1661" spans="4:13" ht="20" thickBot="1" x14ac:dyDescent="0.25">
      <c r="D1661" s="89"/>
      <c r="E1661" s="715" t="s">
        <v>434</v>
      </c>
      <c r="F1661" s="824">
        <v>0.01</v>
      </c>
      <c r="G1661" s="825"/>
      <c r="H1661" s="826"/>
      <c r="I1661" s="769"/>
      <c r="J1661" s="770"/>
      <c r="K1661" s="771"/>
      <c r="L1661" s="100"/>
      <c r="M1661" s="101"/>
    </row>
    <row r="1662" spans="4:13" ht="20" thickBot="1" x14ac:dyDescent="0.25">
      <c r="D1662" s="89"/>
      <c r="E1662" s="716" t="s">
        <v>435</v>
      </c>
      <c r="F1662" s="811">
        <v>0.64583333333333337</v>
      </c>
      <c r="G1662" s="812"/>
      <c r="H1662" s="813"/>
      <c r="I1662" s="769"/>
      <c r="J1662" s="770"/>
      <c r="K1662" s="771"/>
      <c r="L1662" s="107">
        <v>0.875</v>
      </c>
      <c r="M1662" s="108">
        <v>0.72916666666666663</v>
      </c>
    </row>
    <row r="1663" spans="4:13" ht="20" thickBot="1" x14ac:dyDescent="0.25">
      <c r="D1663" s="89"/>
      <c r="E1663" s="717" t="s">
        <v>436</v>
      </c>
      <c r="F1663" s="278" t="s">
        <v>29</v>
      </c>
      <c r="G1663" s="278" t="s">
        <v>28</v>
      </c>
      <c r="H1663" s="279" t="s">
        <v>27</v>
      </c>
      <c r="I1663" s="769"/>
      <c r="J1663" s="770"/>
      <c r="K1663" s="771"/>
      <c r="L1663" s="100"/>
      <c r="M1663" s="101"/>
    </row>
    <row r="1664" spans="4:13" x14ac:dyDescent="0.2">
      <c r="D1664" s="89"/>
      <c r="E1664" s="718">
        <v>45623</v>
      </c>
      <c r="F1664" s="380" t="s">
        <v>1230</v>
      </c>
      <c r="G1664" s="380" t="s">
        <v>1231</v>
      </c>
      <c r="H1664" s="380" t="s">
        <v>1125</v>
      </c>
      <c r="I1664" s="769"/>
      <c r="J1664" s="770"/>
      <c r="K1664" s="771"/>
      <c r="L1664" s="100"/>
      <c r="M1664" s="101"/>
    </row>
    <row r="1665" spans="4:13" x14ac:dyDescent="0.2">
      <c r="D1665" s="89"/>
      <c r="E1665" s="718">
        <v>45616</v>
      </c>
      <c r="F1665" s="380" t="s">
        <v>1125</v>
      </c>
      <c r="G1665" s="380" t="s">
        <v>1030</v>
      </c>
      <c r="H1665" s="380" t="s">
        <v>1029</v>
      </c>
      <c r="I1665" s="769"/>
      <c r="J1665" s="770"/>
      <c r="K1665" s="771"/>
      <c r="L1665" s="100"/>
      <c r="M1665" s="101"/>
    </row>
    <row r="1666" spans="4:13" x14ac:dyDescent="0.2">
      <c r="D1666" s="89"/>
      <c r="E1666" s="718">
        <v>45610</v>
      </c>
      <c r="F1666" s="380" t="s">
        <v>1029</v>
      </c>
      <c r="G1666" s="380" t="s">
        <v>1030</v>
      </c>
      <c r="H1666" s="380" t="s">
        <v>988</v>
      </c>
      <c r="I1666" s="769"/>
      <c r="J1666" s="770"/>
      <c r="K1666" s="771"/>
      <c r="L1666" s="102"/>
      <c r="M1666" s="101"/>
    </row>
    <row r="1667" spans="4:13" x14ac:dyDescent="0.2">
      <c r="D1667" s="89"/>
      <c r="E1667" s="718">
        <v>45602</v>
      </c>
      <c r="F1667" s="380" t="s">
        <v>988</v>
      </c>
      <c r="G1667" s="380" t="s">
        <v>989</v>
      </c>
      <c r="H1667" s="380" t="s">
        <v>990</v>
      </c>
      <c r="I1667" s="769"/>
      <c r="J1667" s="770"/>
      <c r="K1667" s="771"/>
      <c r="L1667" s="100"/>
      <c r="M1667" s="101"/>
    </row>
    <row r="1668" spans="4:13" x14ac:dyDescent="0.2">
      <c r="D1668" s="89"/>
      <c r="E1668" s="718">
        <v>45595</v>
      </c>
      <c r="F1668" s="380" t="s">
        <v>990</v>
      </c>
      <c r="G1668" s="380" t="s">
        <v>991</v>
      </c>
      <c r="H1668" s="380" t="s">
        <v>992</v>
      </c>
      <c r="I1668" s="769"/>
      <c r="J1668" s="770"/>
      <c r="K1668" s="771"/>
      <c r="L1668" s="100"/>
      <c r="M1668" s="101"/>
    </row>
    <row r="1669" spans="4:13" ht="20" thickBot="1" x14ac:dyDescent="0.25">
      <c r="D1669" s="89"/>
      <c r="E1669" s="718">
        <v>45588</v>
      </c>
      <c r="F1669" s="380" t="s">
        <v>992</v>
      </c>
      <c r="G1669" s="380" t="s">
        <v>993</v>
      </c>
      <c r="H1669" s="380" t="s">
        <v>994</v>
      </c>
      <c r="I1669" s="772"/>
      <c r="J1669" s="773"/>
      <c r="K1669" s="774"/>
      <c r="L1669" s="103"/>
      <c r="M1669" s="104"/>
    </row>
    <row r="1670" spans="4:13" ht="25" thickBot="1" x14ac:dyDescent="0.25">
      <c r="D1670">
        <v>8</v>
      </c>
      <c r="E1670" s="713" t="s">
        <v>30</v>
      </c>
      <c r="F1670" s="814" t="s">
        <v>1152</v>
      </c>
      <c r="G1670" s="815"/>
      <c r="H1670" s="816"/>
      <c r="I1670" s="846" t="s">
        <v>633</v>
      </c>
      <c r="J1670" s="847"/>
      <c r="K1670" s="848"/>
      <c r="L1670" s="162" t="s">
        <v>430</v>
      </c>
      <c r="M1670" s="106" t="s">
        <v>431</v>
      </c>
    </row>
    <row r="1671" spans="4:13" x14ac:dyDescent="0.2">
      <c r="D1671" s="89"/>
      <c r="E1671" s="714" t="s">
        <v>432</v>
      </c>
      <c r="F1671" s="805"/>
      <c r="G1671" s="806"/>
      <c r="H1671" s="807"/>
      <c r="I1671" s="769" t="s">
        <v>1153</v>
      </c>
      <c r="J1671" s="770"/>
      <c r="K1671" s="771"/>
      <c r="L1671" s="100"/>
      <c r="M1671" s="101"/>
    </row>
    <row r="1672" spans="4:13" x14ac:dyDescent="0.2">
      <c r="D1672" s="89"/>
      <c r="E1672" s="715" t="s">
        <v>433</v>
      </c>
      <c r="F1672" s="820"/>
      <c r="G1672" s="821"/>
      <c r="H1672" s="822"/>
      <c r="I1672" s="769"/>
      <c r="J1672" s="770"/>
      <c r="K1672" s="771"/>
      <c r="L1672" s="100"/>
      <c r="M1672" s="101"/>
    </row>
    <row r="1673" spans="4:13" ht="20" thickBot="1" x14ac:dyDescent="0.25">
      <c r="D1673" s="89"/>
      <c r="E1673" s="715" t="s">
        <v>434</v>
      </c>
      <c r="F1673" s="824"/>
      <c r="G1673" s="825"/>
      <c r="H1673" s="826"/>
      <c r="I1673" s="769"/>
      <c r="J1673" s="770"/>
      <c r="K1673" s="771"/>
      <c r="L1673" s="100"/>
      <c r="M1673" s="101"/>
    </row>
    <row r="1674" spans="4:13" ht="20" thickBot="1" x14ac:dyDescent="0.25">
      <c r="D1674" s="89"/>
      <c r="E1674" s="716" t="s">
        <v>435</v>
      </c>
      <c r="F1674" s="811">
        <v>0.64583333333333337</v>
      </c>
      <c r="G1674" s="812"/>
      <c r="H1674" s="813"/>
      <c r="I1674" s="769"/>
      <c r="J1674" s="770"/>
      <c r="K1674" s="771"/>
      <c r="L1674" s="107">
        <v>0.875</v>
      </c>
      <c r="M1674" s="108">
        <v>0.72916666666666663</v>
      </c>
    </row>
    <row r="1675" spans="4:13" ht="20" thickBot="1" x14ac:dyDescent="0.25">
      <c r="D1675" s="89"/>
      <c r="E1675" s="717" t="s">
        <v>436</v>
      </c>
      <c r="F1675" s="278" t="s">
        <v>29</v>
      </c>
      <c r="G1675" s="278" t="s">
        <v>28</v>
      </c>
      <c r="H1675" s="279" t="s">
        <v>27</v>
      </c>
      <c r="I1675" s="769"/>
      <c r="J1675" s="770"/>
      <c r="K1675" s="771"/>
      <c r="L1675" s="100"/>
      <c r="M1675" s="101"/>
    </row>
    <row r="1676" spans="4:13" ht="18" x14ac:dyDescent="0.2">
      <c r="D1676" s="89"/>
      <c r="E1676" s="718">
        <v>45610</v>
      </c>
      <c r="F1676" s="380"/>
      <c r="G1676" s="380"/>
      <c r="H1676" s="380"/>
      <c r="I1676" s="769"/>
      <c r="J1676" s="770"/>
      <c r="K1676" s="771"/>
      <c r="L1676" s="100"/>
      <c r="M1676" s="101"/>
    </row>
    <row r="1677" spans="4:13" ht="18" x14ac:dyDescent="0.2">
      <c r="D1677" s="89"/>
      <c r="E1677" s="718">
        <v>45565</v>
      </c>
      <c r="F1677" s="380"/>
      <c r="G1677" s="380"/>
      <c r="H1677" s="380"/>
      <c r="I1677" s="769"/>
      <c r="J1677" s="770"/>
      <c r="K1677" s="771"/>
      <c r="L1677" s="100"/>
      <c r="M1677" s="101"/>
    </row>
    <row r="1678" spans="4:13" ht="18" x14ac:dyDescent="0.2">
      <c r="D1678" s="89"/>
      <c r="E1678" s="718">
        <v>45561</v>
      </c>
      <c r="F1678" s="380"/>
      <c r="G1678" s="380"/>
      <c r="H1678" s="380"/>
      <c r="I1678" s="769"/>
      <c r="J1678" s="770"/>
      <c r="K1678" s="771"/>
      <c r="L1678" s="102"/>
      <c r="M1678" s="101"/>
    </row>
    <row r="1679" spans="4:13" ht="18" x14ac:dyDescent="0.2">
      <c r="D1679" s="89"/>
      <c r="E1679" s="718">
        <v>45527</v>
      </c>
      <c r="F1679" s="380"/>
      <c r="G1679" s="380"/>
      <c r="H1679" s="380"/>
      <c r="I1679" s="769"/>
      <c r="J1679" s="770"/>
      <c r="K1679" s="771"/>
      <c r="L1679" s="100"/>
      <c r="M1679" s="101"/>
    </row>
    <row r="1680" spans="4:13" ht="18" x14ac:dyDescent="0.2">
      <c r="D1680" s="89"/>
      <c r="E1680" s="718">
        <v>45488</v>
      </c>
      <c r="F1680" s="380"/>
      <c r="G1680" s="380"/>
      <c r="H1680" s="380"/>
      <c r="I1680" s="769"/>
      <c r="J1680" s="770"/>
      <c r="K1680" s="771"/>
      <c r="L1680" s="100"/>
      <c r="M1680" s="101"/>
    </row>
    <row r="1681" spans="4:13" thickBot="1" x14ac:dyDescent="0.25">
      <c r="D1681" s="89"/>
      <c r="E1681" s="718">
        <v>45475</v>
      </c>
      <c r="F1681" s="380"/>
      <c r="G1681" s="380"/>
      <c r="H1681" s="380"/>
      <c r="I1681" s="772"/>
      <c r="J1681" s="773"/>
      <c r="K1681" s="774"/>
      <c r="L1681" s="103"/>
      <c r="M1681" s="104"/>
    </row>
    <row r="1682" spans="4:13" ht="25" thickBot="1" x14ac:dyDescent="0.25">
      <c r="D1682">
        <v>9</v>
      </c>
      <c r="E1682" s="713" t="s">
        <v>30</v>
      </c>
      <c r="F1682" s="814" t="s">
        <v>1154</v>
      </c>
      <c r="G1682" s="815"/>
      <c r="H1682" s="816"/>
      <c r="I1682" s="849" t="s">
        <v>633</v>
      </c>
      <c r="J1682" s="847"/>
      <c r="K1682" s="848"/>
      <c r="L1682" s="162" t="s">
        <v>430</v>
      </c>
      <c r="M1682" s="106" t="s">
        <v>431</v>
      </c>
    </row>
    <row r="1683" spans="4:13" x14ac:dyDescent="0.2">
      <c r="D1683" s="89"/>
      <c r="E1683" s="714" t="s">
        <v>432</v>
      </c>
      <c r="F1683" s="805"/>
      <c r="G1683" s="806"/>
      <c r="H1683" s="807"/>
      <c r="I1683" s="769" t="s">
        <v>1153</v>
      </c>
      <c r="J1683" s="770"/>
      <c r="K1683" s="771"/>
      <c r="L1683" s="100"/>
      <c r="M1683" s="101"/>
    </row>
    <row r="1684" spans="4:13" x14ac:dyDescent="0.2">
      <c r="D1684" s="89"/>
      <c r="E1684" s="715" t="s">
        <v>433</v>
      </c>
      <c r="F1684" s="827">
        <v>3.15E-2</v>
      </c>
      <c r="G1684" s="825"/>
      <c r="H1684" s="826"/>
      <c r="I1684" s="769"/>
      <c r="J1684" s="770"/>
      <c r="K1684" s="771"/>
      <c r="L1684" s="100"/>
      <c r="M1684" s="101"/>
    </row>
    <row r="1685" spans="4:13" ht="20" thickBot="1" x14ac:dyDescent="0.25">
      <c r="D1685" s="89"/>
      <c r="E1685" s="715" t="s">
        <v>434</v>
      </c>
      <c r="F1685" s="831">
        <v>3.4000000000000002E-2</v>
      </c>
      <c r="G1685" s="832"/>
      <c r="H1685" s="833"/>
      <c r="I1685" s="769"/>
      <c r="J1685" s="770"/>
      <c r="K1685" s="771"/>
      <c r="L1685" s="100"/>
      <c r="M1685" s="101"/>
    </row>
    <row r="1686" spans="4:13" ht="20" thickBot="1" x14ac:dyDescent="0.25">
      <c r="D1686" s="89"/>
      <c r="E1686" s="716" t="s">
        <v>435</v>
      </c>
      <c r="F1686" s="811">
        <v>0.55208333333333337</v>
      </c>
      <c r="G1686" s="812"/>
      <c r="H1686" s="813"/>
      <c r="I1686" s="769"/>
      <c r="J1686" s="770"/>
      <c r="K1686" s="771"/>
      <c r="L1686" s="107">
        <v>0.78125</v>
      </c>
      <c r="M1686" s="108">
        <v>0.63541666666666663</v>
      </c>
    </row>
    <row r="1687" spans="4:13" ht="20" thickBot="1" x14ac:dyDescent="0.25">
      <c r="D1687" s="89"/>
      <c r="E1687" s="717" t="s">
        <v>436</v>
      </c>
      <c r="F1687" s="278" t="s">
        <v>29</v>
      </c>
      <c r="G1687" s="278" t="s">
        <v>28</v>
      </c>
      <c r="H1687" s="279" t="s">
        <v>27</v>
      </c>
      <c r="I1687" s="769"/>
      <c r="J1687" s="770"/>
      <c r="K1687" s="771"/>
      <c r="L1687" s="100"/>
      <c r="M1687" s="101"/>
    </row>
    <row r="1688" spans="4:13" x14ac:dyDescent="0.2">
      <c r="D1688" s="89"/>
      <c r="E1688" s="718">
        <v>45623</v>
      </c>
      <c r="F1688" s="389" t="s">
        <v>1111</v>
      </c>
      <c r="G1688" s="389" t="s">
        <v>1232</v>
      </c>
      <c r="H1688" s="389" t="s">
        <v>1232</v>
      </c>
      <c r="I1688" s="769"/>
      <c r="J1688" s="770"/>
      <c r="K1688" s="771"/>
      <c r="L1688" s="100"/>
      <c r="M1688" s="215"/>
    </row>
    <row r="1689" spans="4:13" x14ac:dyDescent="0.2">
      <c r="D1689" s="89"/>
      <c r="E1689" s="718">
        <v>45617</v>
      </c>
      <c r="F1689" s="389" t="s">
        <v>1111</v>
      </c>
      <c r="G1689" s="389" t="s">
        <v>1112</v>
      </c>
      <c r="H1689" s="389" t="s">
        <v>987</v>
      </c>
      <c r="I1689" s="769"/>
      <c r="J1689" s="770"/>
      <c r="K1689" s="771"/>
      <c r="L1689" s="100"/>
      <c r="M1689" s="101"/>
    </row>
    <row r="1690" spans="4:13" x14ac:dyDescent="0.2">
      <c r="D1690" s="89"/>
      <c r="E1690" s="718">
        <v>45610</v>
      </c>
      <c r="F1690" s="389" t="s">
        <v>1031</v>
      </c>
      <c r="G1690" s="389" t="s">
        <v>1032</v>
      </c>
      <c r="H1690" s="389" t="s">
        <v>972</v>
      </c>
      <c r="I1690" s="769"/>
      <c r="J1690" s="770"/>
      <c r="K1690" s="771"/>
      <c r="L1690" s="102"/>
      <c r="M1690" s="101"/>
    </row>
    <row r="1691" spans="4:13" x14ac:dyDescent="0.2">
      <c r="D1691" s="89"/>
      <c r="E1691" s="718">
        <v>45603</v>
      </c>
      <c r="F1691" s="389" t="s">
        <v>972</v>
      </c>
      <c r="G1691" s="389" t="s">
        <v>973</v>
      </c>
      <c r="H1691" s="389" t="s">
        <v>974</v>
      </c>
      <c r="I1691" s="769"/>
      <c r="J1691" s="770"/>
      <c r="K1691" s="771"/>
      <c r="L1691" s="100"/>
      <c r="M1691" s="101"/>
    </row>
    <row r="1692" spans="4:13" x14ac:dyDescent="0.2">
      <c r="D1692" s="89"/>
      <c r="E1692" s="718">
        <v>45596</v>
      </c>
      <c r="F1692" s="389" t="s">
        <v>975</v>
      </c>
      <c r="G1692" s="389" t="s">
        <v>976</v>
      </c>
      <c r="H1692" s="389" t="s">
        <v>977</v>
      </c>
      <c r="I1692" s="769"/>
      <c r="J1692" s="770"/>
      <c r="K1692" s="771"/>
      <c r="L1692" s="100"/>
      <c r="M1692" s="101"/>
    </row>
    <row r="1693" spans="4:13" ht="20" thickBot="1" x14ac:dyDescent="0.25">
      <c r="D1693" s="89"/>
      <c r="E1693" s="718">
        <v>45589</v>
      </c>
      <c r="F1693" s="389" t="s">
        <v>978</v>
      </c>
      <c r="G1693" s="389" t="s">
        <v>979</v>
      </c>
      <c r="H1693" s="389" t="s">
        <v>980</v>
      </c>
      <c r="I1693" s="772"/>
      <c r="J1693" s="773"/>
      <c r="K1693" s="774"/>
      <c r="L1693" s="103"/>
      <c r="M1693" s="104"/>
    </row>
    <row r="1694" spans="4:13" ht="25" thickBot="1" x14ac:dyDescent="0.25">
      <c r="D1694" s="89" t="s">
        <v>105</v>
      </c>
      <c r="E1694" s="713" t="s">
        <v>30</v>
      </c>
      <c r="F1694" s="814" t="s">
        <v>14</v>
      </c>
      <c r="G1694" s="815"/>
      <c r="H1694" s="816"/>
      <c r="I1694" s="849" t="s">
        <v>633</v>
      </c>
      <c r="J1694" s="847"/>
      <c r="K1694" s="848"/>
      <c r="L1694" s="162" t="s">
        <v>430</v>
      </c>
      <c r="M1694" s="106" t="s">
        <v>431</v>
      </c>
    </row>
    <row r="1695" spans="4:13" x14ac:dyDescent="0.2">
      <c r="D1695" s="89"/>
      <c r="E1695" s="714" t="s">
        <v>432</v>
      </c>
      <c r="F1695" s="805"/>
      <c r="G1695" s="806"/>
      <c r="H1695" s="807"/>
      <c r="I1695" s="769" t="s">
        <v>1155</v>
      </c>
      <c r="J1695" s="770"/>
      <c r="K1695" s="771"/>
      <c r="L1695" s="100"/>
      <c r="M1695" s="101"/>
    </row>
    <row r="1696" spans="4:13" x14ac:dyDescent="0.2">
      <c r="D1696" s="89"/>
      <c r="E1696" s="715" t="s">
        <v>433</v>
      </c>
      <c r="F1696" s="824" t="s">
        <v>413</v>
      </c>
      <c r="G1696" s="825"/>
      <c r="H1696" s="826"/>
      <c r="I1696" s="769"/>
      <c r="J1696" s="770"/>
      <c r="K1696" s="771"/>
      <c r="L1696" s="100"/>
      <c r="M1696" s="101"/>
    </row>
    <row r="1697" spans="4:13" ht="20" thickBot="1" x14ac:dyDescent="0.25">
      <c r="D1697" s="89"/>
      <c r="E1697" s="715" t="s">
        <v>434</v>
      </c>
      <c r="F1697" s="824" t="s">
        <v>381</v>
      </c>
      <c r="G1697" s="825"/>
      <c r="H1697" s="826"/>
      <c r="I1697" s="769"/>
      <c r="J1697" s="770"/>
      <c r="K1697" s="771"/>
      <c r="L1697" s="100"/>
      <c r="M1697" s="101"/>
    </row>
    <row r="1698" spans="4:13" ht="20" thickBot="1" x14ac:dyDescent="0.25">
      <c r="D1698" s="89"/>
      <c r="E1698" s="716" t="s">
        <v>435</v>
      </c>
      <c r="F1698" s="811">
        <v>0.5625</v>
      </c>
      <c r="G1698" s="812"/>
      <c r="H1698" s="813"/>
      <c r="I1698" s="769"/>
      <c r="J1698" s="770"/>
      <c r="K1698" s="771"/>
      <c r="L1698" s="107">
        <v>0.79166666666666663</v>
      </c>
      <c r="M1698" s="108">
        <v>0.64583333333333326</v>
      </c>
    </row>
    <row r="1699" spans="4:13" ht="20" thickBot="1" x14ac:dyDescent="0.25">
      <c r="D1699" s="89"/>
      <c r="E1699" s="717" t="s">
        <v>436</v>
      </c>
      <c r="F1699" s="278" t="s">
        <v>29</v>
      </c>
      <c r="G1699" s="278" t="s">
        <v>28</v>
      </c>
      <c r="H1699" s="279" t="s">
        <v>27</v>
      </c>
      <c r="I1699" s="769"/>
      <c r="J1699" s="770"/>
      <c r="K1699" s="771"/>
      <c r="L1699" s="100"/>
      <c r="M1699" s="101"/>
    </row>
    <row r="1700" spans="4:13" x14ac:dyDescent="0.2">
      <c r="D1700" s="89"/>
      <c r="E1700" s="718">
        <v>45610</v>
      </c>
      <c r="F1700" s="380">
        <v>4.0000000000000001E-3</v>
      </c>
      <c r="G1700" s="380" t="s">
        <v>452</v>
      </c>
      <c r="H1700" s="380">
        <v>4.0000000000000001E-3</v>
      </c>
      <c r="I1700" s="769"/>
      <c r="J1700" s="770"/>
      <c r="K1700" s="771"/>
      <c r="L1700" s="100"/>
      <c r="M1700" s="215"/>
    </row>
    <row r="1701" spans="4:13" x14ac:dyDescent="0.2">
      <c r="D1701" s="89"/>
      <c r="E1701" s="718">
        <v>45595</v>
      </c>
      <c r="F1701" s="380">
        <v>4.0000000000000001E-3</v>
      </c>
      <c r="G1701" s="380" t="s">
        <v>460</v>
      </c>
      <c r="H1701" s="380">
        <v>2E-3</v>
      </c>
      <c r="I1701" s="769"/>
      <c r="J1701" s="770"/>
      <c r="K1701" s="771"/>
      <c r="L1701" s="100"/>
      <c r="M1701" s="101"/>
    </row>
    <row r="1702" spans="4:13" x14ac:dyDescent="0.2">
      <c r="D1702" s="89"/>
      <c r="E1702" s="718">
        <v>45541</v>
      </c>
      <c r="F1702" s="380">
        <v>2E-3</v>
      </c>
      <c r="G1702" s="380" t="s">
        <v>467</v>
      </c>
      <c r="H1702" s="380">
        <v>3.0000000000000001E-3</v>
      </c>
      <c r="I1702" s="769"/>
      <c r="J1702" s="770"/>
      <c r="K1702" s="771"/>
      <c r="L1702" s="102"/>
      <c r="M1702" s="101"/>
    </row>
    <row r="1703" spans="4:13" x14ac:dyDescent="0.2">
      <c r="D1703" s="89"/>
      <c r="E1703" s="718">
        <v>45518</v>
      </c>
      <c r="F1703" s="380">
        <v>3.0000000000000001E-3</v>
      </c>
      <c r="G1703" s="380" t="s">
        <v>467</v>
      </c>
      <c r="H1703" s="380">
        <v>3.0000000000000001E-3</v>
      </c>
      <c r="I1703" s="769"/>
      <c r="J1703" s="770"/>
      <c r="K1703" s="771"/>
      <c r="L1703" s="100"/>
      <c r="M1703" s="101"/>
    </row>
    <row r="1704" spans="4:13" x14ac:dyDescent="0.2">
      <c r="D1704" s="89"/>
      <c r="E1704" s="718">
        <v>45503</v>
      </c>
      <c r="F1704" s="380">
        <v>3.0000000000000001E-3</v>
      </c>
      <c r="G1704" s="380" t="s">
        <v>460</v>
      </c>
      <c r="H1704" s="380">
        <v>3.0000000000000001E-3</v>
      </c>
      <c r="I1704" s="769"/>
      <c r="J1704" s="770"/>
      <c r="K1704" s="771"/>
      <c r="L1704" s="100"/>
      <c r="M1704" s="101"/>
    </row>
    <row r="1705" spans="4:13" ht="20" thickBot="1" x14ac:dyDescent="0.25">
      <c r="D1705" s="89"/>
      <c r="E1705" s="718">
        <v>45450</v>
      </c>
      <c r="F1705" s="380">
        <v>3.0000000000000001E-3</v>
      </c>
      <c r="G1705" s="380" t="s">
        <v>467</v>
      </c>
      <c r="H1705" s="380">
        <v>0</v>
      </c>
      <c r="I1705" s="772"/>
      <c r="J1705" s="773"/>
      <c r="K1705" s="774"/>
      <c r="L1705" s="103"/>
      <c r="M1705" s="104"/>
    </row>
    <row r="1706" spans="4:13" ht="25" thickBot="1" x14ac:dyDescent="0.25">
      <c r="D1706">
        <v>10</v>
      </c>
      <c r="E1706" s="713" t="s">
        <v>30</v>
      </c>
      <c r="F1706" s="814" t="s">
        <v>1156</v>
      </c>
      <c r="G1706" s="815"/>
      <c r="H1706" s="816"/>
      <c r="I1706" s="849" t="s">
        <v>633</v>
      </c>
      <c r="J1706" s="847"/>
      <c r="K1706" s="848"/>
      <c r="L1706" s="162" t="s">
        <v>430</v>
      </c>
      <c r="M1706" s="106" t="s">
        <v>431</v>
      </c>
    </row>
    <row r="1707" spans="4:13" x14ac:dyDescent="0.2">
      <c r="D1707" s="89"/>
      <c r="E1707" s="714" t="s">
        <v>432</v>
      </c>
      <c r="F1707" s="805"/>
      <c r="G1707" s="806"/>
      <c r="H1707" s="807"/>
      <c r="I1707" s="769" t="s">
        <v>1157</v>
      </c>
      <c r="J1707" s="770"/>
      <c r="K1707" s="771"/>
      <c r="L1707" s="100"/>
      <c r="M1707" s="101"/>
    </row>
    <row r="1708" spans="4:13" x14ac:dyDescent="0.2">
      <c r="D1708" s="89"/>
      <c r="E1708" s="715" t="s">
        <v>433</v>
      </c>
      <c r="F1708" s="824">
        <v>3.0000000000000001E-3</v>
      </c>
      <c r="G1708" s="825"/>
      <c r="H1708" s="826"/>
      <c r="I1708" s="769"/>
      <c r="J1708" s="770"/>
      <c r="K1708" s="771"/>
      <c r="L1708" s="100"/>
      <c r="M1708" s="101"/>
    </row>
    <row r="1709" spans="4:13" ht="20" thickBot="1" x14ac:dyDescent="0.25">
      <c r="D1709" s="89"/>
      <c r="E1709" s="715" t="s">
        <v>434</v>
      </c>
      <c r="F1709" s="824">
        <v>2E-3</v>
      </c>
      <c r="G1709" s="825"/>
      <c r="H1709" s="826"/>
      <c r="I1709" s="769"/>
      <c r="J1709" s="770"/>
      <c r="K1709" s="771"/>
      <c r="L1709" s="100"/>
      <c r="M1709" s="101"/>
    </row>
    <row r="1710" spans="4:13" ht="20" thickBot="1" x14ac:dyDescent="0.25">
      <c r="D1710" s="89"/>
      <c r="E1710" s="716" t="s">
        <v>435</v>
      </c>
      <c r="F1710" s="811">
        <v>0.5625</v>
      </c>
      <c r="G1710" s="812"/>
      <c r="H1710" s="813"/>
      <c r="I1710" s="769"/>
      <c r="J1710" s="770"/>
      <c r="K1710" s="771"/>
      <c r="L1710" s="107">
        <v>0.79166666666666663</v>
      </c>
      <c r="M1710" s="108">
        <v>0.64583333333333326</v>
      </c>
    </row>
    <row r="1711" spans="4:13" ht="20" thickBot="1" x14ac:dyDescent="0.25">
      <c r="D1711" s="89"/>
      <c r="E1711" s="717" t="s">
        <v>436</v>
      </c>
      <c r="F1711" s="278" t="s">
        <v>29</v>
      </c>
      <c r="G1711" s="278" t="s">
        <v>28</v>
      </c>
      <c r="H1711" s="279" t="s">
        <v>27</v>
      </c>
      <c r="I1711" s="769"/>
      <c r="J1711" s="770"/>
      <c r="K1711" s="771"/>
      <c r="L1711" s="100"/>
      <c r="M1711" s="101"/>
    </row>
    <row r="1712" spans="4:13" x14ac:dyDescent="0.2">
      <c r="D1712" s="89"/>
      <c r="E1712" s="718">
        <v>45597</v>
      </c>
      <c r="F1712" s="380">
        <v>4.0000000000000001E-3</v>
      </c>
      <c r="G1712" s="380" t="s">
        <v>467</v>
      </c>
      <c r="H1712" s="380">
        <v>3.0000000000000001E-3</v>
      </c>
      <c r="I1712" s="769"/>
      <c r="J1712" s="770"/>
      <c r="K1712" s="771"/>
      <c r="L1712" s="100"/>
      <c r="M1712" s="215"/>
    </row>
    <row r="1713" spans="4:13" x14ac:dyDescent="0.2">
      <c r="D1713" s="89"/>
      <c r="E1713" s="718">
        <v>45569</v>
      </c>
      <c r="F1713" s="380">
        <v>4.0000000000000001E-3</v>
      </c>
      <c r="G1713" s="380" t="s">
        <v>467</v>
      </c>
      <c r="H1713" s="380">
        <v>5.0000000000000001E-3</v>
      </c>
      <c r="I1713" s="769"/>
      <c r="J1713" s="770"/>
      <c r="K1713" s="771"/>
      <c r="L1713" s="100"/>
      <c r="M1713" s="101"/>
    </row>
    <row r="1714" spans="4:13" x14ac:dyDescent="0.2">
      <c r="D1714" s="89"/>
      <c r="E1714" s="718">
        <v>45541</v>
      </c>
      <c r="F1714" s="380">
        <v>4.0000000000000001E-3</v>
      </c>
      <c r="G1714" s="380" t="s">
        <v>467</v>
      </c>
      <c r="H1714" s="380">
        <v>0</v>
      </c>
      <c r="I1714" s="769"/>
      <c r="J1714" s="770"/>
      <c r="K1714" s="771"/>
      <c r="L1714" s="102"/>
      <c r="M1714" s="101"/>
    </row>
    <row r="1715" spans="4:13" x14ac:dyDescent="0.2">
      <c r="D1715" s="89"/>
      <c r="E1715" s="718">
        <v>45506</v>
      </c>
      <c r="F1715" s="380">
        <v>2E-3</v>
      </c>
      <c r="G1715" s="380" t="s">
        <v>467</v>
      </c>
      <c r="H1715" s="380">
        <v>3.0000000000000001E-3</v>
      </c>
      <c r="I1715" s="769"/>
      <c r="J1715" s="770"/>
      <c r="K1715" s="771"/>
      <c r="L1715" s="100"/>
      <c r="M1715" s="101"/>
    </row>
    <row r="1716" spans="4:13" x14ac:dyDescent="0.2">
      <c r="D1716" s="89"/>
      <c r="E1716" s="718">
        <v>45478</v>
      </c>
      <c r="F1716" s="380">
        <v>3.0000000000000001E-3</v>
      </c>
      <c r="G1716" s="380" t="s">
        <v>467</v>
      </c>
      <c r="H1716" s="380">
        <v>4.0000000000000001E-3</v>
      </c>
      <c r="I1716" s="769"/>
      <c r="J1716" s="770"/>
      <c r="K1716" s="771"/>
      <c r="L1716" s="100"/>
      <c r="M1716" s="101"/>
    </row>
    <row r="1717" spans="4:13" ht="20" thickBot="1" x14ac:dyDescent="0.25">
      <c r="D1717" s="89"/>
      <c r="E1717" s="718">
        <v>45450</v>
      </c>
      <c r="F1717" s="380">
        <v>4.0000000000000001E-3</v>
      </c>
      <c r="G1717" s="380" t="s">
        <v>467</v>
      </c>
      <c r="H1717" s="380">
        <v>2E-3</v>
      </c>
      <c r="I1717" s="772"/>
      <c r="J1717" s="773"/>
      <c r="K1717" s="774"/>
      <c r="L1717" s="103"/>
      <c r="M1717" s="104"/>
    </row>
    <row r="1718" spans="4:13" ht="25" thickBot="1" x14ac:dyDescent="0.25">
      <c r="D1718" t="e">
        <v>#VALUE!</v>
      </c>
      <c r="E1718" s="713" t="s">
        <v>30</v>
      </c>
      <c r="F1718" s="814" t="s">
        <v>1158</v>
      </c>
      <c r="G1718" s="815"/>
      <c r="H1718" s="816"/>
      <c r="I1718" s="849" t="s">
        <v>633</v>
      </c>
      <c r="J1718" s="847"/>
      <c r="K1718" s="848"/>
      <c r="L1718" s="162" t="s">
        <v>430</v>
      </c>
      <c r="M1718" s="106" t="s">
        <v>431</v>
      </c>
    </row>
    <row r="1719" spans="4:13" x14ac:dyDescent="0.2">
      <c r="D1719" s="89"/>
      <c r="E1719" s="714" t="s">
        <v>432</v>
      </c>
      <c r="F1719" s="805"/>
      <c r="G1719" s="806"/>
      <c r="H1719" s="807"/>
      <c r="I1719" s="769" t="s">
        <v>1159</v>
      </c>
      <c r="J1719" s="770"/>
      <c r="K1719" s="771"/>
      <c r="L1719" s="100"/>
      <c r="M1719" s="101"/>
    </row>
    <row r="1720" spans="4:13" x14ac:dyDescent="0.2">
      <c r="D1720" s="89"/>
      <c r="E1720" s="715" t="s">
        <v>433</v>
      </c>
      <c r="F1720" s="824"/>
      <c r="G1720" s="825"/>
      <c r="H1720" s="826"/>
      <c r="I1720" s="769"/>
      <c r="J1720" s="770"/>
      <c r="K1720" s="771"/>
      <c r="L1720" s="100"/>
      <c r="M1720" s="101"/>
    </row>
    <row r="1721" spans="4:13" ht="20" thickBot="1" x14ac:dyDescent="0.25">
      <c r="D1721" s="89"/>
      <c r="E1721" s="715" t="s">
        <v>434</v>
      </c>
      <c r="F1721" s="824">
        <v>4.6080000000000003E-2</v>
      </c>
      <c r="G1721" s="825"/>
      <c r="H1721" s="826"/>
      <c r="I1721" s="769"/>
      <c r="J1721" s="770"/>
      <c r="K1721" s="771"/>
      <c r="L1721" s="100"/>
      <c r="M1721" s="101"/>
    </row>
    <row r="1722" spans="4:13" ht="20" thickBot="1" x14ac:dyDescent="0.25">
      <c r="D1722" s="89"/>
      <c r="E1722" s="716" t="s">
        <v>435</v>
      </c>
      <c r="F1722" s="811">
        <v>0.75</v>
      </c>
      <c r="G1722" s="812"/>
      <c r="H1722" s="813"/>
      <c r="I1722" s="769"/>
      <c r="J1722" s="770"/>
      <c r="K1722" s="771"/>
      <c r="L1722" s="107">
        <v>0.97916666666666663</v>
      </c>
      <c r="M1722" s="108">
        <v>0.83333333333333326</v>
      </c>
    </row>
    <row r="1723" spans="4:13" ht="20" thickBot="1" x14ac:dyDescent="0.25">
      <c r="D1723" s="89"/>
      <c r="E1723" s="717" t="s">
        <v>436</v>
      </c>
      <c r="F1723" s="278" t="s">
        <v>29</v>
      </c>
      <c r="G1723" s="278" t="s">
        <v>28</v>
      </c>
      <c r="H1723" s="279" t="s">
        <v>27</v>
      </c>
      <c r="I1723" s="769"/>
      <c r="J1723" s="770"/>
      <c r="K1723" s="771"/>
      <c r="L1723" s="100"/>
      <c r="M1723" s="101"/>
    </row>
    <row r="1724" spans="4:13" x14ac:dyDescent="0.2">
      <c r="D1724" s="89"/>
      <c r="E1724" s="718">
        <v>45602</v>
      </c>
      <c r="F1724" s="380">
        <v>4.5999999999999999E-2</v>
      </c>
      <c r="G1724" s="380" t="s">
        <v>754</v>
      </c>
      <c r="H1724" s="380">
        <v>4.2999999999999997E-2</v>
      </c>
      <c r="I1724" s="769"/>
      <c r="J1724" s="770"/>
      <c r="K1724" s="771"/>
      <c r="L1724" s="100"/>
      <c r="M1724" s="215"/>
    </row>
    <row r="1725" spans="4:13" x14ac:dyDescent="0.2">
      <c r="D1725" s="89"/>
      <c r="E1725" s="718">
        <v>45575</v>
      </c>
      <c r="F1725" s="380">
        <v>4.2999999999999997E-2</v>
      </c>
      <c r="G1725" s="380" t="s">
        <v>754</v>
      </c>
      <c r="H1725" s="380">
        <v>0.04</v>
      </c>
      <c r="I1725" s="769"/>
      <c r="J1725" s="770"/>
      <c r="K1725" s="771"/>
      <c r="L1725" s="100"/>
      <c r="M1725" s="101"/>
    </row>
    <row r="1726" spans="4:13" x14ac:dyDescent="0.2">
      <c r="D1726" s="89"/>
      <c r="E1726" s="718">
        <v>45547</v>
      </c>
      <c r="F1726" s="380">
        <v>0.04</v>
      </c>
      <c r="G1726" s="380" t="s">
        <v>754</v>
      </c>
      <c r="H1726" s="380">
        <v>4.2999999999999997E-2</v>
      </c>
      <c r="I1726" s="769"/>
      <c r="J1726" s="770"/>
      <c r="K1726" s="771"/>
      <c r="L1726" s="102"/>
      <c r="M1726" s="101"/>
    </row>
    <row r="1727" spans="4:13" x14ac:dyDescent="0.2">
      <c r="D1727" s="89"/>
      <c r="E1727" s="718">
        <v>45512</v>
      </c>
      <c r="F1727" s="380">
        <v>4.2999999999999997E-2</v>
      </c>
      <c r="G1727" s="380" t="s">
        <v>754</v>
      </c>
      <c r="H1727" s="380">
        <v>4.3999999999999997E-2</v>
      </c>
      <c r="I1727" s="769"/>
      <c r="J1727" s="770"/>
      <c r="K1727" s="771"/>
      <c r="L1727" s="100"/>
      <c r="M1727" s="101"/>
    </row>
    <row r="1728" spans="4:13" x14ac:dyDescent="0.2">
      <c r="D1728" s="89"/>
      <c r="E1728" s="718">
        <v>45484</v>
      </c>
      <c r="F1728" s="380">
        <v>4.3999999999999997E-2</v>
      </c>
      <c r="G1728" s="380" t="s">
        <v>754</v>
      </c>
      <c r="H1728" s="380">
        <v>4.3999999999999997E-2</v>
      </c>
      <c r="I1728" s="769"/>
      <c r="J1728" s="770"/>
      <c r="K1728" s="771"/>
      <c r="L1728" s="100"/>
      <c r="M1728" s="101"/>
    </row>
    <row r="1729" spans="4:13" ht="20" thickBot="1" x14ac:dyDescent="0.25">
      <c r="D1729" s="89"/>
      <c r="E1729" s="718">
        <v>45456</v>
      </c>
      <c r="F1729" s="380">
        <v>4.3999999999999997E-2</v>
      </c>
      <c r="G1729" s="380" t="s">
        <v>754</v>
      </c>
      <c r="H1729" s="380">
        <v>4.5999999999999999E-2</v>
      </c>
      <c r="I1729" s="772"/>
      <c r="J1729" s="773"/>
      <c r="K1729" s="774"/>
      <c r="L1729" s="103"/>
      <c r="M1729" s="104"/>
    </row>
    <row r="1730" spans="4:13" ht="25" thickBot="1" x14ac:dyDescent="0.25">
      <c r="D1730">
        <v>11</v>
      </c>
      <c r="E1730" s="713" t="s">
        <v>30</v>
      </c>
      <c r="F1730" s="814" t="s">
        <v>1160</v>
      </c>
      <c r="G1730" s="815"/>
      <c r="H1730" s="816"/>
      <c r="I1730" s="849" t="s">
        <v>633</v>
      </c>
      <c r="J1730" s="847"/>
      <c r="K1730" s="848"/>
      <c r="L1730" s="162" t="s">
        <v>430</v>
      </c>
      <c r="M1730" s="106" t="s">
        <v>431</v>
      </c>
    </row>
    <row r="1731" spans="4:13" x14ac:dyDescent="0.2">
      <c r="D1731" s="89"/>
      <c r="E1731" s="714" t="s">
        <v>432</v>
      </c>
      <c r="F1731" s="840"/>
      <c r="G1731" s="841"/>
      <c r="H1731" s="842"/>
      <c r="I1731" s="769" t="s">
        <v>1161</v>
      </c>
      <c r="J1731" s="770"/>
      <c r="K1731" s="771"/>
      <c r="L1731" s="100"/>
      <c r="M1731" s="101"/>
    </row>
    <row r="1732" spans="4:13" x14ac:dyDescent="0.2">
      <c r="D1732" s="89"/>
      <c r="E1732" s="715" t="s">
        <v>433</v>
      </c>
      <c r="F1732" s="824">
        <v>1E-3</v>
      </c>
      <c r="G1732" s="825"/>
      <c r="H1732" s="826"/>
      <c r="I1732" s="769"/>
      <c r="J1732" s="770"/>
      <c r="K1732" s="771"/>
      <c r="L1732" s="100"/>
      <c r="M1732" s="101"/>
    </row>
    <row r="1733" spans="4:13" ht="20" thickBot="1" x14ac:dyDescent="0.25">
      <c r="D1733" s="89"/>
      <c r="E1733" s="715" t="s">
        <v>434</v>
      </c>
      <c r="F1733" s="824">
        <v>-1E-3</v>
      </c>
      <c r="G1733" s="825"/>
      <c r="H1733" s="826"/>
      <c r="I1733" s="769"/>
      <c r="J1733" s="770"/>
      <c r="K1733" s="771"/>
      <c r="L1733" s="100"/>
      <c r="M1733" s="101"/>
    </row>
    <row r="1734" spans="4:13" ht="20" thickBot="1" x14ac:dyDescent="0.25">
      <c r="D1734" s="89"/>
      <c r="E1734" s="716" t="s">
        <v>435</v>
      </c>
      <c r="F1734" s="811">
        <v>0.29166666666666674</v>
      </c>
      <c r="G1734" s="812"/>
      <c r="H1734" s="813"/>
      <c r="I1734" s="769"/>
      <c r="J1734" s="770"/>
      <c r="K1734" s="771"/>
      <c r="L1734" s="107">
        <v>0.52083333333333337</v>
      </c>
      <c r="M1734" s="108">
        <v>0.375</v>
      </c>
    </row>
    <row r="1735" spans="4:13" ht="20" thickBot="1" x14ac:dyDescent="0.25">
      <c r="D1735" s="89"/>
      <c r="E1735" s="717" t="s">
        <v>436</v>
      </c>
      <c r="F1735" s="278" t="s">
        <v>29</v>
      </c>
      <c r="G1735" s="278" t="s">
        <v>28</v>
      </c>
      <c r="H1735" s="279" t="s">
        <v>27</v>
      </c>
      <c r="I1735" s="769"/>
      <c r="J1735" s="770"/>
      <c r="K1735" s="771"/>
      <c r="L1735" s="100"/>
      <c r="M1735" s="101"/>
    </row>
    <row r="1736" spans="4:13" x14ac:dyDescent="0.2">
      <c r="D1736" s="89"/>
      <c r="E1736" s="718">
        <v>45597</v>
      </c>
      <c r="F1736" s="380" t="s">
        <v>1233</v>
      </c>
      <c r="G1736" s="380" t="s">
        <v>1234</v>
      </c>
      <c r="H1736" s="380" t="s">
        <v>973</v>
      </c>
      <c r="I1736" s="769"/>
      <c r="J1736" s="770"/>
      <c r="K1736" s="771"/>
      <c r="L1736" s="100"/>
      <c r="M1736" s="101"/>
    </row>
    <row r="1737" spans="4:13" x14ac:dyDescent="0.2">
      <c r="D1737" s="89"/>
      <c r="E1737" s="718">
        <v>45569</v>
      </c>
      <c r="F1737" s="380" t="s">
        <v>1235</v>
      </c>
      <c r="G1737" s="380" t="s">
        <v>1202</v>
      </c>
      <c r="H1737" s="380" t="s">
        <v>1194</v>
      </c>
      <c r="I1737" s="769"/>
      <c r="J1737" s="770"/>
      <c r="K1737" s="771"/>
      <c r="L1737" s="100"/>
      <c r="M1737" s="101"/>
    </row>
    <row r="1738" spans="4:13" x14ac:dyDescent="0.2">
      <c r="D1738" s="89"/>
      <c r="E1738" s="718">
        <v>45541</v>
      </c>
      <c r="F1738" s="380" t="s">
        <v>1236</v>
      </c>
      <c r="G1738" s="380" t="s">
        <v>1237</v>
      </c>
      <c r="H1738" s="380" t="s">
        <v>615</v>
      </c>
      <c r="I1738" s="769"/>
      <c r="J1738" s="770"/>
      <c r="K1738" s="771"/>
      <c r="L1738" s="102"/>
      <c r="M1738" s="101"/>
    </row>
    <row r="1739" spans="4:13" x14ac:dyDescent="0.2">
      <c r="D1739" s="89"/>
      <c r="E1739" s="718">
        <v>45506</v>
      </c>
      <c r="F1739" s="380" t="s">
        <v>1238</v>
      </c>
      <c r="G1739" s="380" t="s">
        <v>1239</v>
      </c>
      <c r="H1739" s="380" t="s">
        <v>1240</v>
      </c>
      <c r="I1739" s="769"/>
      <c r="J1739" s="770"/>
      <c r="K1739" s="771"/>
      <c r="L1739" s="100"/>
      <c r="M1739" s="101"/>
    </row>
    <row r="1740" spans="4:13" x14ac:dyDescent="0.2">
      <c r="D1740" s="89"/>
      <c r="E1740" s="718">
        <v>45478</v>
      </c>
      <c r="F1740" s="380" t="s">
        <v>1241</v>
      </c>
      <c r="G1740" s="380" t="s">
        <v>1242</v>
      </c>
      <c r="H1740" s="380" t="s">
        <v>974</v>
      </c>
      <c r="I1740" s="769"/>
      <c r="J1740" s="770"/>
      <c r="K1740" s="771"/>
      <c r="L1740" s="100"/>
      <c r="M1740" s="101"/>
    </row>
    <row r="1741" spans="4:13" ht="20" thickBot="1" x14ac:dyDescent="0.25">
      <c r="D1741" s="89"/>
      <c r="E1741" s="718">
        <v>45450</v>
      </c>
      <c r="F1741" s="380" t="s">
        <v>1243</v>
      </c>
      <c r="G1741" s="380" t="s">
        <v>1244</v>
      </c>
      <c r="H1741" s="380" t="s">
        <v>1245</v>
      </c>
      <c r="I1741" s="772"/>
      <c r="J1741" s="773"/>
      <c r="K1741" s="774"/>
      <c r="L1741" s="103"/>
      <c r="M1741" s="104"/>
    </row>
    <row r="1742" spans="4:13" ht="25" thickBot="1" x14ac:dyDescent="0.25">
      <c r="D1742">
        <v>12</v>
      </c>
      <c r="E1742" s="713" t="s">
        <v>30</v>
      </c>
      <c r="F1742" s="814" t="s">
        <v>127</v>
      </c>
      <c r="G1742" s="815"/>
      <c r="H1742" s="816"/>
      <c r="I1742" s="849" t="s">
        <v>633</v>
      </c>
      <c r="J1742" s="847"/>
      <c r="K1742" s="848"/>
      <c r="L1742" s="162" t="s">
        <v>430</v>
      </c>
      <c r="M1742" s="106" t="s">
        <v>431</v>
      </c>
    </row>
    <row r="1743" spans="4:13" x14ac:dyDescent="0.2">
      <c r="D1743" s="89"/>
      <c r="E1743" s="714" t="s">
        <v>432</v>
      </c>
      <c r="F1743" s="840"/>
      <c r="G1743" s="841"/>
      <c r="H1743" s="842"/>
      <c r="I1743" s="769" t="s">
        <v>369</v>
      </c>
      <c r="J1743" s="770"/>
      <c r="K1743" s="771"/>
      <c r="L1743" s="100"/>
      <c r="M1743" s="101"/>
    </row>
    <row r="1744" spans="4:13" x14ac:dyDescent="0.2">
      <c r="D1744" s="89"/>
      <c r="E1744" s="715" t="s">
        <v>433</v>
      </c>
      <c r="F1744" s="824">
        <v>4.4600000000000001E-2</v>
      </c>
      <c r="G1744" s="825"/>
      <c r="H1744" s="826"/>
      <c r="I1744" s="769"/>
      <c r="J1744" s="770"/>
      <c r="K1744" s="771"/>
      <c r="L1744" s="100"/>
      <c r="M1744" s="101"/>
    </row>
    <row r="1745" spans="3:13" ht="20" thickBot="1" x14ac:dyDescent="0.25">
      <c r="D1745" s="89"/>
      <c r="E1745" s="715" t="s">
        <v>434</v>
      </c>
      <c r="F1745" s="824">
        <v>0</v>
      </c>
      <c r="G1745" s="825"/>
      <c r="H1745" s="826"/>
      <c r="I1745" s="769"/>
      <c r="J1745" s="770"/>
      <c r="K1745" s="771"/>
      <c r="L1745" s="100"/>
      <c r="M1745" s="101"/>
    </row>
    <row r="1746" spans="3:13" ht="20" thickBot="1" x14ac:dyDescent="0.25">
      <c r="D1746" s="89"/>
      <c r="E1746" s="716" t="s">
        <v>435</v>
      </c>
      <c r="F1746" s="811">
        <v>-0.20833333333333331</v>
      </c>
      <c r="G1746" s="812"/>
      <c r="H1746" s="813"/>
      <c r="I1746" s="769"/>
      <c r="J1746" s="770"/>
      <c r="K1746" s="771"/>
      <c r="L1746" s="107">
        <v>2.0833333333333332E-2</v>
      </c>
      <c r="M1746" s="108">
        <v>-0.125</v>
      </c>
    </row>
    <row r="1747" spans="3:13" ht="20" thickBot="1" x14ac:dyDescent="0.25">
      <c r="D1747" s="89"/>
      <c r="E1747" s="717" t="s">
        <v>436</v>
      </c>
      <c r="F1747" s="278" t="s">
        <v>29</v>
      </c>
      <c r="G1747" s="278" t="s">
        <v>28</v>
      </c>
      <c r="H1747" s="279" t="s">
        <v>27</v>
      </c>
      <c r="I1747" s="769"/>
      <c r="J1747" s="770"/>
      <c r="K1747" s="771"/>
      <c r="L1747" s="100"/>
      <c r="M1747" s="101"/>
    </row>
    <row r="1748" spans="3:13" x14ac:dyDescent="0.2">
      <c r="D1748" s="89"/>
      <c r="E1748" s="718">
        <v>45597</v>
      </c>
      <c r="F1748" s="380">
        <v>4.1000000000000002E-2</v>
      </c>
      <c r="G1748" s="380" t="s">
        <v>629</v>
      </c>
      <c r="H1748" s="380">
        <v>4.1000000000000002E-2</v>
      </c>
      <c r="I1748" s="769"/>
      <c r="J1748" s="770"/>
      <c r="K1748" s="771"/>
      <c r="L1748" s="100"/>
      <c r="M1748" s="101"/>
    </row>
    <row r="1749" spans="3:13" x14ac:dyDescent="0.2">
      <c r="D1749" s="89"/>
      <c r="E1749" s="718">
        <v>45569</v>
      </c>
      <c r="F1749" s="380">
        <v>4.1000000000000002E-2</v>
      </c>
      <c r="G1749" s="380" t="s">
        <v>628</v>
      </c>
      <c r="H1749" s="380">
        <v>4.2000000000000003E-2</v>
      </c>
      <c r="I1749" s="769"/>
      <c r="J1749" s="770"/>
      <c r="K1749" s="771"/>
      <c r="L1749" s="100"/>
      <c r="M1749" s="101"/>
    </row>
    <row r="1750" spans="3:13" x14ac:dyDescent="0.2">
      <c r="D1750" s="89"/>
      <c r="E1750" s="718">
        <v>45541</v>
      </c>
      <c r="F1750" s="380">
        <v>4.2000000000000003E-2</v>
      </c>
      <c r="G1750" s="380" t="s">
        <v>628</v>
      </c>
      <c r="H1750" s="380">
        <v>4.2999999999999997E-2</v>
      </c>
      <c r="I1750" s="769"/>
      <c r="J1750" s="770"/>
      <c r="K1750" s="771"/>
      <c r="L1750" s="102"/>
      <c r="M1750" s="101"/>
    </row>
    <row r="1751" spans="3:13" x14ac:dyDescent="0.2">
      <c r="D1751" s="89"/>
      <c r="E1751" s="718">
        <v>45506</v>
      </c>
      <c r="F1751" s="380">
        <v>4.2999999999999997E-2</v>
      </c>
      <c r="G1751" s="380" t="s">
        <v>629</v>
      </c>
      <c r="H1751" s="380">
        <v>4.1000000000000002E-2</v>
      </c>
      <c r="I1751" s="769"/>
      <c r="J1751" s="770"/>
      <c r="K1751" s="771"/>
      <c r="L1751" s="100"/>
      <c r="M1751" s="101"/>
    </row>
    <row r="1752" spans="3:13" x14ac:dyDescent="0.2">
      <c r="D1752" s="89"/>
      <c r="E1752" s="718">
        <v>45478</v>
      </c>
      <c r="F1752" s="380">
        <v>4.1000000000000002E-2</v>
      </c>
      <c r="G1752" s="380" t="s">
        <v>630</v>
      </c>
      <c r="H1752" s="380">
        <v>0.04</v>
      </c>
      <c r="I1752" s="769"/>
      <c r="J1752" s="770"/>
      <c r="K1752" s="771"/>
      <c r="L1752" s="100"/>
      <c r="M1752" s="101"/>
    </row>
    <row r="1753" spans="3:13" ht="20" thickBot="1" x14ac:dyDescent="0.25">
      <c r="D1753" s="89"/>
      <c r="E1753" s="718">
        <v>45450</v>
      </c>
      <c r="F1753" s="380">
        <v>0.04</v>
      </c>
      <c r="G1753" s="380" t="s">
        <v>631</v>
      </c>
      <c r="H1753" s="380">
        <v>3.9E-2</v>
      </c>
      <c r="I1753" s="772"/>
      <c r="J1753" s="773"/>
      <c r="K1753" s="774"/>
      <c r="L1753" s="103"/>
      <c r="M1753" s="104"/>
    </row>
    <row r="1754" spans="3:13" ht="25" thickBot="1" x14ac:dyDescent="0.25">
      <c r="C1754" t="s">
        <v>105</v>
      </c>
      <c r="D1754">
        <v>1</v>
      </c>
      <c r="E1754" s="713" t="s">
        <v>30</v>
      </c>
      <c r="F1754" s="814" t="s">
        <v>1250</v>
      </c>
      <c r="G1754" s="815"/>
      <c r="H1754" s="816"/>
      <c r="I1754" s="846" t="s">
        <v>633</v>
      </c>
      <c r="J1754" s="847"/>
      <c r="K1754" s="848"/>
      <c r="L1754" s="162" t="s">
        <v>430</v>
      </c>
      <c r="M1754" s="106" t="s">
        <v>431</v>
      </c>
    </row>
    <row r="1755" spans="3:13" x14ac:dyDescent="0.2">
      <c r="E1755" s="714" t="s">
        <v>432</v>
      </c>
      <c r="F1755" s="805"/>
      <c r="G1755" s="806"/>
      <c r="H1755" s="807"/>
      <c r="I1755" s="769" t="s">
        <v>1251</v>
      </c>
      <c r="J1755" s="770"/>
      <c r="K1755" s="771"/>
      <c r="L1755" s="100"/>
      <c r="M1755" s="101"/>
    </row>
    <row r="1756" spans="3:13" x14ac:dyDescent="0.2">
      <c r="E1756" s="715" t="s">
        <v>433</v>
      </c>
      <c r="F1756" s="817">
        <v>49.4</v>
      </c>
      <c r="G1756" s="818"/>
      <c r="H1756" s="819"/>
      <c r="I1756" s="769"/>
      <c r="J1756" s="770"/>
      <c r="K1756" s="771"/>
      <c r="L1756" s="100"/>
      <c r="M1756" s="101"/>
    </row>
    <row r="1757" spans="3:13" ht="20" thickBot="1" x14ac:dyDescent="0.25">
      <c r="E1757" s="715" t="s">
        <v>434</v>
      </c>
      <c r="F1757" s="817">
        <v>49.7</v>
      </c>
      <c r="G1757" s="818"/>
      <c r="H1757" s="819"/>
      <c r="I1757" s="769"/>
      <c r="J1757" s="770"/>
      <c r="K1757" s="771"/>
      <c r="L1757" s="100"/>
      <c r="M1757" s="101"/>
    </row>
    <row r="1758" spans="3:13" ht="20" thickBot="1" x14ac:dyDescent="0.25">
      <c r="E1758" s="716" t="s">
        <v>435</v>
      </c>
      <c r="F1758" s="811">
        <v>0.61458333333333337</v>
      </c>
      <c r="G1758" s="812"/>
      <c r="H1758" s="813"/>
      <c r="I1758" s="769"/>
      <c r="J1758" s="770"/>
      <c r="K1758" s="771"/>
      <c r="L1758" s="107">
        <v>0.84375</v>
      </c>
      <c r="M1758" s="108">
        <v>0.69791666666666663</v>
      </c>
    </row>
    <row r="1759" spans="3:13" ht="20" thickBot="1" x14ac:dyDescent="0.25">
      <c r="E1759" s="717" t="s">
        <v>436</v>
      </c>
      <c r="F1759" s="278" t="s">
        <v>29</v>
      </c>
      <c r="G1759" s="278" t="s">
        <v>28</v>
      </c>
      <c r="H1759" s="279" t="s">
        <v>27</v>
      </c>
      <c r="I1759" s="769"/>
      <c r="J1759" s="770"/>
      <c r="K1759" s="771"/>
      <c r="L1759" s="100"/>
      <c r="M1759" s="101"/>
    </row>
    <row r="1760" spans="3:13" x14ac:dyDescent="0.2">
      <c r="E1760" s="718">
        <v>45628</v>
      </c>
      <c r="F1760" s="389">
        <v>49.7</v>
      </c>
      <c r="G1760" s="389" t="s">
        <v>510</v>
      </c>
      <c r="H1760" s="389">
        <v>48.5</v>
      </c>
      <c r="I1760" s="769"/>
      <c r="J1760" s="770"/>
      <c r="K1760" s="771"/>
      <c r="L1760" s="100"/>
      <c r="M1760" s="101"/>
    </row>
    <row r="1761" spans="4:13" x14ac:dyDescent="0.2">
      <c r="E1761" s="718">
        <v>45618</v>
      </c>
      <c r="F1761" s="389">
        <v>48.8</v>
      </c>
      <c r="G1761" s="389" t="s">
        <v>510</v>
      </c>
      <c r="H1761" s="389">
        <v>48.5</v>
      </c>
      <c r="I1761" s="769"/>
      <c r="J1761" s="770"/>
      <c r="K1761" s="771"/>
      <c r="L1761" s="100"/>
      <c r="M1761" s="101"/>
    </row>
    <row r="1762" spans="4:13" x14ac:dyDescent="0.2">
      <c r="E1762" s="718">
        <v>45597</v>
      </c>
      <c r="F1762" s="389">
        <v>48.5</v>
      </c>
      <c r="G1762" s="389" t="s">
        <v>1054</v>
      </c>
      <c r="H1762" s="389">
        <v>47.8</v>
      </c>
      <c r="I1762" s="769"/>
      <c r="J1762" s="770"/>
      <c r="K1762" s="771"/>
      <c r="L1762" s="102"/>
      <c r="M1762" s="101"/>
    </row>
    <row r="1763" spans="4:13" x14ac:dyDescent="0.2">
      <c r="E1763" s="718">
        <v>45589</v>
      </c>
      <c r="F1763" s="389">
        <v>47.8</v>
      </c>
      <c r="G1763" s="389" t="s">
        <v>509</v>
      </c>
      <c r="H1763" s="389">
        <v>47.3</v>
      </c>
      <c r="I1763" s="769"/>
      <c r="J1763" s="770"/>
      <c r="K1763" s="771"/>
      <c r="L1763" s="100"/>
      <c r="M1763" s="101"/>
    </row>
    <row r="1764" spans="4:13" x14ac:dyDescent="0.2">
      <c r="E1764" s="718">
        <v>45566</v>
      </c>
      <c r="F1764" s="389">
        <v>47.3</v>
      </c>
      <c r="G1764" s="389" t="s">
        <v>758</v>
      </c>
      <c r="H1764" s="389">
        <v>47.9</v>
      </c>
      <c r="I1764" s="769"/>
      <c r="J1764" s="770"/>
      <c r="K1764" s="771"/>
      <c r="L1764" s="100"/>
      <c r="M1764" s="101"/>
    </row>
    <row r="1765" spans="4:13" ht="20" thickBot="1" x14ac:dyDescent="0.25">
      <c r="E1765" s="718">
        <v>45558</v>
      </c>
      <c r="F1765" s="389">
        <v>47</v>
      </c>
      <c r="G1765" s="389" t="s">
        <v>500</v>
      </c>
      <c r="H1765" s="389">
        <v>47.9</v>
      </c>
      <c r="I1765" s="772"/>
      <c r="J1765" s="773"/>
      <c r="K1765" s="774"/>
      <c r="L1765" s="103"/>
      <c r="M1765" s="104"/>
    </row>
    <row r="1766" spans="4:13" ht="25" thickBot="1" x14ac:dyDescent="0.25">
      <c r="D1766">
        <v>1</v>
      </c>
      <c r="E1766" s="713" t="s">
        <v>30</v>
      </c>
      <c r="F1766" s="814" t="s">
        <v>1252</v>
      </c>
      <c r="G1766" s="815"/>
      <c r="H1766" s="816"/>
      <c r="I1766" s="846" t="s">
        <v>633</v>
      </c>
      <c r="J1766" s="847"/>
      <c r="K1766" s="848"/>
      <c r="L1766" s="162" t="s">
        <v>430</v>
      </c>
      <c r="M1766" s="106" t="s">
        <v>431</v>
      </c>
    </row>
    <row r="1767" spans="4:13" x14ac:dyDescent="0.2">
      <c r="E1767" s="714" t="s">
        <v>432</v>
      </c>
      <c r="F1767" s="805"/>
      <c r="G1767" s="806"/>
      <c r="H1767" s="807"/>
      <c r="I1767" s="769" t="s">
        <v>1253</v>
      </c>
      <c r="J1767" s="770"/>
      <c r="K1767" s="771"/>
      <c r="L1767" s="100"/>
      <c r="M1767" s="101"/>
    </row>
    <row r="1768" spans="4:13" x14ac:dyDescent="0.2">
      <c r="E1768" s="715" t="s">
        <v>433</v>
      </c>
      <c r="F1768" s="817">
        <v>55.7</v>
      </c>
      <c r="G1768" s="818"/>
      <c r="H1768" s="819"/>
      <c r="I1768" s="769"/>
      <c r="J1768" s="770"/>
      <c r="K1768" s="771"/>
      <c r="L1768" s="100"/>
      <c r="M1768" s="101"/>
    </row>
    <row r="1769" spans="4:13" ht="20" thickBot="1" x14ac:dyDescent="0.25">
      <c r="E1769" s="715" t="s">
        <v>434</v>
      </c>
      <c r="F1769" s="817">
        <v>56.1</v>
      </c>
      <c r="G1769" s="818"/>
      <c r="H1769" s="819"/>
      <c r="I1769" s="769"/>
      <c r="J1769" s="770"/>
      <c r="K1769" s="771"/>
      <c r="L1769" s="100"/>
      <c r="M1769" s="101"/>
    </row>
    <row r="1770" spans="4:13" ht="20" thickBot="1" x14ac:dyDescent="0.25">
      <c r="E1770" s="716" t="s">
        <v>435</v>
      </c>
      <c r="F1770" s="811">
        <v>0.61458333333333337</v>
      </c>
      <c r="G1770" s="812"/>
      <c r="H1770" s="813"/>
      <c r="I1770" s="769"/>
      <c r="J1770" s="770"/>
      <c r="K1770" s="771"/>
      <c r="L1770" s="107">
        <v>0.84375</v>
      </c>
      <c r="M1770" s="108">
        <v>0.69791666666666663</v>
      </c>
    </row>
    <row r="1771" spans="4:13" ht="20" thickBot="1" x14ac:dyDescent="0.25">
      <c r="E1771" s="717" t="s">
        <v>436</v>
      </c>
      <c r="F1771" s="278" t="s">
        <v>29</v>
      </c>
      <c r="G1771" s="278" t="s">
        <v>28</v>
      </c>
      <c r="H1771" s="279" t="s">
        <v>27</v>
      </c>
      <c r="I1771" s="769"/>
      <c r="J1771" s="770"/>
      <c r="K1771" s="771"/>
      <c r="L1771" s="100"/>
      <c r="M1771" s="101"/>
    </row>
    <row r="1772" spans="4:13" x14ac:dyDescent="0.2">
      <c r="E1772" s="718">
        <v>45630</v>
      </c>
      <c r="F1772" s="283">
        <v>56.1</v>
      </c>
      <c r="G1772" s="283" t="s">
        <v>1285</v>
      </c>
      <c r="H1772" s="283">
        <v>55</v>
      </c>
      <c r="I1772" s="769"/>
      <c r="J1772" s="770"/>
      <c r="K1772" s="771"/>
      <c r="L1772" s="100"/>
      <c r="M1772" s="101"/>
    </row>
    <row r="1773" spans="4:13" x14ac:dyDescent="0.2">
      <c r="E1773" s="718">
        <v>45618</v>
      </c>
      <c r="F1773" s="283">
        <v>57</v>
      </c>
      <c r="G1773" s="283" t="s">
        <v>586</v>
      </c>
      <c r="H1773" s="283">
        <v>55</v>
      </c>
      <c r="I1773" s="769"/>
      <c r="J1773" s="770"/>
      <c r="K1773" s="771"/>
      <c r="L1773" s="100"/>
      <c r="M1773" s="101"/>
    </row>
    <row r="1774" spans="4:13" x14ac:dyDescent="0.2">
      <c r="E1774" s="718">
        <v>45601</v>
      </c>
      <c r="F1774" s="283">
        <v>55</v>
      </c>
      <c r="G1774" s="283" t="s">
        <v>585</v>
      </c>
      <c r="H1774" s="283">
        <v>55.2</v>
      </c>
      <c r="I1774" s="769"/>
      <c r="J1774" s="770"/>
      <c r="K1774" s="771"/>
      <c r="L1774" s="102"/>
      <c r="M1774" s="101"/>
    </row>
    <row r="1775" spans="4:13" x14ac:dyDescent="0.2">
      <c r="E1775" s="718">
        <v>45589</v>
      </c>
      <c r="F1775" s="283">
        <v>55.3</v>
      </c>
      <c r="G1775" s="283" t="s">
        <v>604</v>
      </c>
      <c r="H1775" s="283">
        <v>55.2</v>
      </c>
      <c r="I1775" s="769"/>
      <c r="J1775" s="770"/>
      <c r="K1775" s="771"/>
      <c r="L1775" s="100"/>
      <c r="M1775" s="101"/>
    </row>
    <row r="1776" spans="4:13" x14ac:dyDescent="0.2">
      <c r="E1776" s="718">
        <v>45568</v>
      </c>
      <c r="F1776" s="283">
        <v>55.2</v>
      </c>
      <c r="G1776" s="283" t="s">
        <v>759</v>
      </c>
      <c r="H1776" s="283">
        <v>55.7</v>
      </c>
      <c r="I1776" s="769"/>
      <c r="J1776" s="770"/>
      <c r="K1776" s="771"/>
      <c r="L1776" s="100"/>
      <c r="M1776" s="101"/>
    </row>
    <row r="1777" spans="4:13" ht="20" thickBot="1" x14ac:dyDescent="0.25">
      <c r="E1777" s="718">
        <v>45558</v>
      </c>
      <c r="F1777" s="283">
        <v>55.4</v>
      </c>
      <c r="G1777" s="283" t="s">
        <v>585</v>
      </c>
      <c r="H1777" s="283">
        <v>55.7</v>
      </c>
      <c r="I1777" s="772"/>
      <c r="J1777" s="773"/>
      <c r="K1777" s="774"/>
      <c r="L1777" s="103"/>
      <c r="M1777" s="104"/>
    </row>
    <row r="1778" spans="4:13" ht="25" thickBot="1" x14ac:dyDescent="0.25">
      <c r="D1778" t="e">
        <v>#REF!</v>
      </c>
      <c r="E1778" s="713" t="s">
        <v>30</v>
      </c>
      <c r="F1778" s="814" t="s">
        <v>1254</v>
      </c>
      <c r="G1778" s="815"/>
      <c r="H1778" s="816"/>
      <c r="I1778" s="846" t="s">
        <v>633</v>
      </c>
      <c r="J1778" s="847"/>
      <c r="K1778" s="848"/>
      <c r="L1778" s="162" t="s">
        <v>430</v>
      </c>
      <c r="M1778" s="106" t="s">
        <v>431</v>
      </c>
    </row>
    <row r="1779" spans="4:13" x14ac:dyDescent="0.2">
      <c r="E1779" s="714" t="s">
        <v>432</v>
      </c>
      <c r="F1779" s="805"/>
      <c r="G1779" s="806"/>
      <c r="H1779" s="807"/>
      <c r="I1779" s="769" t="s">
        <v>1255</v>
      </c>
      <c r="J1779" s="770"/>
      <c r="K1779" s="771"/>
      <c r="L1779" s="100"/>
      <c r="M1779" s="101"/>
    </row>
    <row r="1780" spans="4:13" x14ac:dyDescent="0.2">
      <c r="E1780" s="715" t="s">
        <v>433</v>
      </c>
      <c r="F1780" s="808"/>
      <c r="G1780" s="809"/>
      <c r="H1780" s="810"/>
      <c r="I1780" s="769"/>
      <c r="J1780" s="770"/>
      <c r="K1780" s="771"/>
      <c r="L1780" s="100"/>
      <c r="M1780" s="101"/>
    </row>
    <row r="1781" spans="4:13" ht="20" thickBot="1" x14ac:dyDescent="0.25">
      <c r="E1781" s="715" t="s">
        <v>434</v>
      </c>
      <c r="F1781" s="808">
        <v>1.7000000000000001E-2</v>
      </c>
      <c r="G1781" s="809"/>
      <c r="H1781" s="810"/>
      <c r="I1781" s="769"/>
      <c r="J1781" s="770"/>
      <c r="K1781" s="771"/>
      <c r="L1781" s="100"/>
      <c r="M1781" s="101"/>
    </row>
    <row r="1782" spans="4:13" ht="20" thickBot="1" x14ac:dyDescent="0.25">
      <c r="E1782" s="716" t="s">
        <v>435</v>
      </c>
      <c r="F1782" s="811">
        <v>0.5625</v>
      </c>
      <c r="G1782" s="812"/>
      <c r="H1782" s="813"/>
      <c r="I1782" s="769"/>
      <c r="J1782" s="770"/>
      <c r="K1782" s="771"/>
      <c r="L1782" s="107">
        <v>0.79166666666666663</v>
      </c>
      <c r="M1782" s="108">
        <v>0.64583333333333326</v>
      </c>
    </row>
    <row r="1783" spans="4:13" ht="20" thickBot="1" x14ac:dyDescent="0.25">
      <c r="E1783" s="717" t="s">
        <v>436</v>
      </c>
      <c r="F1783" s="278" t="s">
        <v>29</v>
      </c>
      <c r="G1783" s="278" t="s">
        <v>28</v>
      </c>
      <c r="H1783" s="279" t="s">
        <v>27</v>
      </c>
      <c r="I1783" s="769"/>
      <c r="J1783" s="770"/>
      <c r="K1783" s="771"/>
      <c r="L1783" s="369"/>
      <c r="M1783" s="370"/>
    </row>
    <row r="1784" spans="4:13" ht="18" x14ac:dyDescent="0.2">
      <c r="E1784" s="718">
        <v>45615</v>
      </c>
      <c r="F1784" s="380">
        <v>1.7000000000000001E-2</v>
      </c>
      <c r="G1784" s="380"/>
      <c r="H1784" s="380">
        <v>1.6E-2</v>
      </c>
      <c r="I1784" s="769"/>
      <c r="J1784" s="770"/>
      <c r="K1784" s="771"/>
      <c r="L1784" s="100"/>
      <c r="M1784" s="101"/>
    </row>
    <row r="1785" spans="4:13" ht="18" x14ac:dyDescent="0.2">
      <c r="E1785" s="718">
        <v>45580</v>
      </c>
      <c r="F1785" s="380">
        <v>1.6E-2</v>
      </c>
      <c r="G1785" s="380"/>
      <c r="H1785" s="380">
        <v>1.4999999999999999E-2</v>
      </c>
      <c r="I1785" s="769"/>
      <c r="J1785" s="770"/>
      <c r="K1785" s="771"/>
      <c r="L1785" s="100"/>
      <c r="M1785" s="101"/>
    </row>
    <row r="1786" spans="4:13" ht="18" x14ac:dyDescent="0.2">
      <c r="E1786" s="718">
        <v>45552</v>
      </c>
      <c r="F1786" s="380">
        <v>1.4999999999999999E-2</v>
      </c>
      <c r="G1786" s="380"/>
      <c r="H1786" s="380">
        <v>1.7000000000000001E-2</v>
      </c>
      <c r="I1786" s="769"/>
      <c r="J1786" s="770"/>
      <c r="K1786" s="771"/>
      <c r="L1786" s="102"/>
      <c r="M1786" s="101"/>
    </row>
    <row r="1787" spans="4:13" ht="18" x14ac:dyDescent="0.2">
      <c r="E1787" s="718">
        <v>45524</v>
      </c>
      <c r="F1787" s="380">
        <v>1.7000000000000001E-2</v>
      </c>
      <c r="G1787" s="380"/>
      <c r="H1787" s="380">
        <v>1.9E-2</v>
      </c>
      <c r="I1787" s="769"/>
      <c r="J1787" s="770"/>
      <c r="K1787" s="771"/>
      <c r="L1787" s="100"/>
      <c r="M1787" s="101"/>
    </row>
    <row r="1788" spans="4:13" ht="18" x14ac:dyDescent="0.2">
      <c r="E1788" s="718">
        <v>45489</v>
      </c>
      <c r="F1788" s="380">
        <v>1.9E-2</v>
      </c>
      <c r="G1788" s="380"/>
      <c r="H1788" s="380">
        <v>1.7999999999999999E-2</v>
      </c>
      <c r="I1788" s="769"/>
      <c r="J1788" s="770"/>
      <c r="K1788" s="771"/>
      <c r="L1788" s="100"/>
      <c r="M1788" s="101"/>
    </row>
    <row r="1789" spans="4:13" thickBot="1" x14ac:dyDescent="0.25">
      <c r="E1789" s="718">
        <v>45468</v>
      </c>
      <c r="F1789" s="380">
        <v>1.7999999999999999E-2</v>
      </c>
      <c r="G1789" s="380"/>
      <c r="H1789" s="380">
        <v>1.6E-2</v>
      </c>
      <c r="I1789" s="772"/>
      <c r="J1789" s="773"/>
      <c r="K1789" s="774"/>
      <c r="L1789" s="103"/>
      <c r="M1789" s="104"/>
    </row>
    <row r="1790" spans="4:13" ht="25" thickBot="1" x14ac:dyDescent="0.25">
      <c r="D1790" t="s">
        <v>105</v>
      </c>
      <c r="E1790" s="713" t="s">
        <v>30</v>
      </c>
      <c r="F1790" s="814" t="s">
        <v>1256</v>
      </c>
      <c r="G1790" s="815"/>
      <c r="H1790" s="816"/>
      <c r="I1790" s="846" t="s">
        <v>633</v>
      </c>
      <c r="J1790" s="847"/>
      <c r="K1790" s="848"/>
      <c r="L1790" s="162" t="s">
        <v>430</v>
      </c>
      <c r="M1790" s="106" t="s">
        <v>431</v>
      </c>
    </row>
    <row r="1791" spans="4:13" x14ac:dyDescent="0.2">
      <c r="E1791" s="714" t="s">
        <v>432</v>
      </c>
      <c r="F1791" s="805"/>
      <c r="G1791" s="806"/>
      <c r="H1791" s="807"/>
      <c r="I1791" s="769" t="s">
        <v>1255</v>
      </c>
      <c r="J1791" s="770"/>
      <c r="K1791" s="771"/>
      <c r="L1791" s="100"/>
      <c r="M1791" s="101"/>
    </row>
    <row r="1792" spans="4:13" x14ac:dyDescent="0.2">
      <c r="E1792" s="715" t="s">
        <v>433</v>
      </c>
      <c r="F1792" s="808">
        <v>1E-3</v>
      </c>
      <c r="G1792" s="809"/>
      <c r="H1792" s="810"/>
      <c r="I1792" s="769"/>
      <c r="J1792" s="770"/>
      <c r="K1792" s="771"/>
      <c r="L1792" s="100"/>
      <c r="M1792" s="101"/>
    </row>
    <row r="1793" spans="4:13" ht="20" thickBot="1" x14ac:dyDescent="0.25">
      <c r="E1793" s="715" t="s">
        <v>434</v>
      </c>
      <c r="F1793" s="808">
        <v>4.0000000000000001E-3</v>
      </c>
      <c r="G1793" s="809"/>
      <c r="H1793" s="810"/>
      <c r="I1793" s="769"/>
      <c r="J1793" s="770"/>
      <c r="K1793" s="771"/>
      <c r="L1793" s="100"/>
      <c r="M1793" s="101"/>
    </row>
    <row r="1794" spans="4:13" ht="20" thickBot="1" x14ac:dyDescent="0.25">
      <c r="E1794" s="716" t="s">
        <v>435</v>
      </c>
      <c r="F1794" s="811">
        <v>0.5625</v>
      </c>
      <c r="G1794" s="812"/>
      <c r="H1794" s="813"/>
      <c r="I1794" s="769"/>
      <c r="J1794" s="770"/>
      <c r="K1794" s="771"/>
      <c r="L1794" s="107">
        <v>0.79166666666666663</v>
      </c>
      <c r="M1794" s="108">
        <v>0.69791666666666663</v>
      </c>
    </row>
    <row r="1795" spans="4:13" ht="20" thickBot="1" x14ac:dyDescent="0.25">
      <c r="E1795" s="717" t="s">
        <v>436</v>
      </c>
      <c r="F1795" s="278" t="s">
        <v>29</v>
      </c>
      <c r="G1795" s="278" t="s">
        <v>28</v>
      </c>
      <c r="H1795" s="279" t="s">
        <v>27</v>
      </c>
      <c r="I1795" s="769"/>
      <c r="J1795" s="770"/>
      <c r="K1795" s="771"/>
      <c r="L1795" s="100"/>
      <c r="M1795" s="101"/>
    </row>
    <row r="1796" spans="4:13" x14ac:dyDescent="0.2">
      <c r="E1796" s="718">
        <v>45615</v>
      </c>
      <c r="F1796" s="721">
        <v>4.0000000000000001E-3</v>
      </c>
      <c r="G1796" s="721" t="s">
        <v>467</v>
      </c>
      <c r="H1796" s="721">
        <v>-4.0000000000000001E-3</v>
      </c>
      <c r="I1796" s="769"/>
      <c r="J1796" s="770"/>
      <c r="K1796" s="771"/>
      <c r="L1796" s="100"/>
      <c r="M1796" s="101"/>
    </row>
    <row r="1797" spans="4:13" x14ac:dyDescent="0.2">
      <c r="E1797" s="718">
        <v>45580</v>
      </c>
      <c r="F1797" s="721">
        <v>-4.0000000000000001E-3</v>
      </c>
      <c r="G1797" s="721" t="s">
        <v>461</v>
      </c>
      <c r="H1797" s="721">
        <v>-2E-3</v>
      </c>
      <c r="I1797" s="769"/>
      <c r="J1797" s="770"/>
      <c r="K1797" s="771"/>
      <c r="L1797" s="100"/>
      <c r="M1797" s="101"/>
    </row>
    <row r="1798" spans="4:13" x14ac:dyDescent="0.2">
      <c r="E1798" s="718">
        <v>45552</v>
      </c>
      <c r="F1798" s="721">
        <v>-2E-3</v>
      </c>
      <c r="G1798" s="721" t="s">
        <v>458</v>
      </c>
      <c r="H1798" s="721">
        <v>4.0000000000000001E-3</v>
      </c>
      <c r="I1798" s="769"/>
      <c r="J1798" s="770"/>
      <c r="K1798" s="771"/>
      <c r="L1798" s="102"/>
      <c r="M1798" s="101"/>
    </row>
    <row r="1799" spans="4:13" x14ac:dyDescent="0.2">
      <c r="E1799" s="718">
        <v>45524</v>
      </c>
      <c r="F1799" s="721">
        <v>4.0000000000000001E-3</v>
      </c>
      <c r="G1799" s="721" t="s">
        <v>452</v>
      </c>
      <c r="H1799" s="721">
        <v>-1E-3</v>
      </c>
      <c r="I1799" s="769"/>
      <c r="J1799" s="770"/>
      <c r="K1799" s="771"/>
      <c r="L1799" s="100"/>
      <c r="M1799" s="101"/>
    </row>
    <row r="1800" spans="4:13" x14ac:dyDescent="0.2">
      <c r="E1800" s="718">
        <v>45489</v>
      </c>
      <c r="F1800" s="721">
        <v>-1E-3</v>
      </c>
      <c r="G1800" s="721" t="s">
        <v>462</v>
      </c>
      <c r="H1800" s="721">
        <v>6.0000000000000001E-3</v>
      </c>
      <c r="I1800" s="769"/>
      <c r="J1800" s="770"/>
      <c r="K1800" s="771"/>
      <c r="L1800" s="100"/>
      <c r="M1800" s="101"/>
    </row>
    <row r="1801" spans="4:13" ht="20" thickBot="1" x14ac:dyDescent="0.25">
      <c r="E1801" s="718">
        <v>45468</v>
      </c>
      <c r="F1801" s="721">
        <v>6.0000000000000001E-3</v>
      </c>
      <c r="G1801" s="721" t="s">
        <v>467</v>
      </c>
      <c r="H1801" s="721">
        <v>5.0000000000000001E-3</v>
      </c>
      <c r="I1801" s="772"/>
      <c r="J1801" s="773"/>
      <c r="K1801" s="774"/>
      <c r="L1801" s="103"/>
      <c r="M1801" s="104"/>
    </row>
    <row r="1802" spans="4:13" ht="25" thickBot="1" x14ac:dyDescent="0.25">
      <c r="D1802">
        <v>2</v>
      </c>
      <c r="E1802" s="713" t="s">
        <v>30</v>
      </c>
      <c r="F1802" s="814" t="s">
        <v>1257</v>
      </c>
      <c r="G1802" s="815"/>
      <c r="H1802" s="816"/>
      <c r="I1802" s="846" t="s">
        <v>633</v>
      </c>
      <c r="J1802" s="847"/>
      <c r="K1802" s="848"/>
      <c r="L1802" s="162" t="s">
        <v>430</v>
      </c>
      <c r="M1802" s="106" t="s">
        <v>431</v>
      </c>
    </row>
    <row r="1803" spans="4:13" x14ac:dyDescent="0.2">
      <c r="E1803" s="714" t="s">
        <v>432</v>
      </c>
      <c r="F1803" s="805"/>
      <c r="G1803" s="806"/>
      <c r="H1803" s="807"/>
      <c r="I1803" s="769" t="s">
        <v>1258</v>
      </c>
      <c r="J1803" s="770"/>
      <c r="K1803" s="771"/>
      <c r="L1803" s="100"/>
      <c r="M1803" s="101"/>
    </row>
    <row r="1804" spans="4:13" x14ac:dyDescent="0.2">
      <c r="E1804" s="715" t="s">
        <v>433</v>
      </c>
      <c r="F1804" s="808">
        <v>4.0000000000000001E-3</v>
      </c>
      <c r="G1804" s="809"/>
      <c r="H1804" s="810"/>
      <c r="I1804" s="769"/>
      <c r="J1804" s="770"/>
      <c r="K1804" s="771"/>
      <c r="L1804" s="100"/>
      <c r="M1804" s="101"/>
    </row>
    <row r="1805" spans="4:13" ht="20" thickBot="1" x14ac:dyDescent="0.25">
      <c r="E1805" s="715" t="s">
        <v>434</v>
      </c>
      <c r="F1805" s="808">
        <v>1E-3</v>
      </c>
      <c r="G1805" s="809"/>
      <c r="H1805" s="810"/>
      <c r="I1805" s="769"/>
      <c r="J1805" s="770"/>
      <c r="K1805" s="771"/>
      <c r="L1805" s="100"/>
      <c r="M1805" s="101"/>
    </row>
    <row r="1806" spans="4:13" ht="20" thickBot="1" x14ac:dyDescent="0.25">
      <c r="E1806" s="716" t="s">
        <v>435</v>
      </c>
      <c r="F1806" s="811">
        <v>0.5625</v>
      </c>
      <c r="G1806" s="812"/>
      <c r="H1806" s="813"/>
      <c r="I1806" s="769"/>
      <c r="J1806" s="770"/>
      <c r="K1806" s="771"/>
      <c r="L1806" s="107">
        <v>0.79166666666666663</v>
      </c>
      <c r="M1806" s="108">
        <v>0.64583333333333326</v>
      </c>
    </row>
    <row r="1807" spans="4:13" ht="20" thickBot="1" x14ac:dyDescent="0.25">
      <c r="E1807" s="717" t="s">
        <v>436</v>
      </c>
      <c r="F1807" s="278" t="s">
        <v>29</v>
      </c>
      <c r="G1807" s="278" t="s">
        <v>28</v>
      </c>
      <c r="H1807" s="279" t="s">
        <v>27</v>
      </c>
      <c r="I1807" s="769"/>
      <c r="J1807" s="770"/>
      <c r="K1807" s="771"/>
      <c r="L1807" s="369">
        <v>0.1875</v>
      </c>
      <c r="M1807" s="370">
        <v>4.1666666666666664E-2</v>
      </c>
    </row>
    <row r="1808" spans="4:13" x14ac:dyDescent="0.2">
      <c r="E1808" s="718">
        <v>45611</v>
      </c>
      <c r="F1808" s="721">
        <v>1E-3</v>
      </c>
      <c r="G1808" s="721" t="s">
        <v>467</v>
      </c>
      <c r="H1808" s="721">
        <v>0.01</v>
      </c>
      <c r="I1808" s="769"/>
      <c r="J1808" s="770"/>
      <c r="K1808" s="771"/>
      <c r="L1808" s="100"/>
      <c r="M1808" s="101"/>
    </row>
    <row r="1809" spans="4:13" x14ac:dyDescent="0.2">
      <c r="E1809" s="718">
        <v>45582</v>
      </c>
      <c r="F1809" s="721">
        <v>5.0000000000000001E-3</v>
      </c>
      <c r="G1809" s="721" t="s">
        <v>462</v>
      </c>
      <c r="H1809" s="721">
        <v>2E-3</v>
      </c>
      <c r="I1809" s="769"/>
      <c r="J1809" s="770"/>
      <c r="K1809" s="771"/>
      <c r="L1809" s="100"/>
      <c r="M1809" s="101"/>
    </row>
    <row r="1810" spans="4:13" x14ac:dyDescent="0.2">
      <c r="E1810" s="718">
        <v>45552</v>
      </c>
      <c r="F1810" s="721">
        <v>1E-3</v>
      </c>
      <c r="G1810" s="721" t="s">
        <v>460</v>
      </c>
      <c r="H1810" s="721">
        <v>4.0000000000000001E-3</v>
      </c>
      <c r="I1810" s="769"/>
      <c r="J1810" s="770"/>
      <c r="K1810" s="771"/>
      <c r="L1810" s="102"/>
      <c r="M1810" s="101"/>
    </row>
    <row r="1811" spans="4:13" x14ac:dyDescent="0.2">
      <c r="E1811" s="718">
        <v>45519</v>
      </c>
      <c r="F1811" s="721">
        <v>4.0000000000000001E-3</v>
      </c>
      <c r="G1811" s="721" t="s">
        <v>462</v>
      </c>
      <c r="H1811" s="721">
        <v>5.0000000000000001E-3</v>
      </c>
      <c r="I1811" s="769"/>
      <c r="J1811" s="770"/>
      <c r="K1811" s="771"/>
      <c r="L1811" s="100"/>
      <c r="M1811" s="101"/>
    </row>
    <row r="1812" spans="4:13" x14ac:dyDescent="0.2">
      <c r="E1812" s="718">
        <v>45489</v>
      </c>
      <c r="F1812" s="721">
        <v>4.0000000000000001E-3</v>
      </c>
      <c r="G1812" s="721" t="s">
        <v>462</v>
      </c>
      <c r="H1812" s="721">
        <v>1E-3</v>
      </c>
      <c r="I1812" s="769"/>
      <c r="J1812" s="770"/>
      <c r="K1812" s="771"/>
      <c r="L1812" s="100"/>
      <c r="M1812" s="101"/>
    </row>
    <row r="1813" spans="4:13" ht="20" thickBot="1" x14ac:dyDescent="0.25">
      <c r="E1813" s="718">
        <v>45461</v>
      </c>
      <c r="F1813" s="721">
        <v>-1E-3</v>
      </c>
      <c r="G1813" s="721" t="s">
        <v>460</v>
      </c>
      <c r="H1813" s="721">
        <v>-1E-3</v>
      </c>
      <c r="I1813" s="772"/>
      <c r="J1813" s="773"/>
      <c r="K1813" s="774"/>
      <c r="L1813" s="103"/>
      <c r="M1813" s="104"/>
    </row>
    <row r="1814" spans="4:13" ht="25" thickBot="1" x14ac:dyDescent="0.25">
      <c r="D1814" t="s">
        <v>105</v>
      </c>
      <c r="E1814" s="713" t="s">
        <v>30</v>
      </c>
      <c r="F1814" s="814" t="s">
        <v>1259</v>
      </c>
      <c r="G1814" s="815"/>
      <c r="H1814" s="816"/>
      <c r="I1814" s="846" t="s">
        <v>633</v>
      </c>
      <c r="J1814" s="847"/>
      <c r="K1814" s="848"/>
      <c r="L1814" s="162" t="s">
        <v>430</v>
      </c>
      <c r="M1814" s="106" t="s">
        <v>431</v>
      </c>
    </row>
    <row r="1815" spans="4:13" x14ac:dyDescent="0.2">
      <c r="E1815" s="714" t="s">
        <v>432</v>
      </c>
      <c r="F1815" s="805"/>
      <c r="G1815" s="806"/>
      <c r="H1815" s="807"/>
      <c r="I1815" s="769" t="s">
        <v>1260</v>
      </c>
      <c r="J1815" s="770"/>
      <c r="K1815" s="771"/>
      <c r="L1815" s="100"/>
      <c r="M1815" s="101"/>
    </row>
    <row r="1816" spans="4:13" x14ac:dyDescent="0.2">
      <c r="E1816" s="715" t="s">
        <v>433</v>
      </c>
      <c r="F1816" s="808">
        <v>6.0000000000000001E-3</v>
      </c>
      <c r="G1816" s="809"/>
      <c r="H1816" s="810"/>
      <c r="I1816" s="769"/>
      <c r="J1816" s="770"/>
      <c r="K1816" s="771"/>
      <c r="L1816" s="100"/>
      <c r="M1816" s="101"/>
    </row>
    <row r="1817" spans="4:13" ht="20" thickBot="1" x14ac:dyDescent="0.25">
      <c r="E1817" s="715" t="s">
        <v>434</v>
      </c>
      <c r="F1817" s="808">
        <v>4.0000000000000001E-3</v>
      </c>
      <c r="G1817" s="809"/>
      <c r="H1817" s="810"/>
      <c r="I1817" s="769"/>
      <c r="J1817" s="770"/>
      <c r="K1817" s="771"/>
      <c r="L1817" s="100"/>
      <c r="M1817" s="101"/>
    </row>
    <row r="1818" spans="4:13" ht="20" thickBot="1" x14ac:dyDescent="0.25">
      <c r="E1818" s="716" t="s">
        <v>435</v>
      </c>
      <c r="F1818" s="811">
        <v>0.5625</v>
      </c>
      <c r="G1818" s="812"/>
      <c r="H1818" s="813"/>
      <c r="I1818" s="769"/>
      <c r="J1818" s="770"/>
      <c r="K1818" s="771"/>
      <c r="L1818" s="107">
        <v>0.79166666666666663</v>
      </c>
      <c r="M1818" s="108">
        <v>0.64583333333333326</v>
      </c>
    </row>
    <row r="1819" spans="4:13" ht="20" thickBot="1" x14ac:dyDescent="0.25">
      <c r="E1819" s="717" t="s">
        <v>436</v>
      </c>
      <c r="F1819" s="278" t="s">
        <v>29</v>
      </c>
      <c r="G1819" s="278" t="s">
        <v>28</v>
      </c>
      <c r="H1819" s="279" t="s">
        <v>27</v>
      </c>
      <c r="I1819" s="769"/>
      <c r="J1819" s="770"/>
      <c r="K1819" s="771"/>
      <c r="L1819" s="100"/>
      <c r="M1819" s="101"/>
    </row>
    <row r="1820" spans="4:13" x14ac:dyDescent="0.2">
      <c r="E1820" s="718">
        <v>45611</v>
      </c>
      <c r="F1820" s="721">
        <v>4.0000000000000001E-3</v>
      </c>
      <c r="G1820" s="721" t="s">
        <v>467</v>
      </c>
      <c r="H1820" s="721">
        <v>8.0000000000000002E-3</v>
      </c>
      <c r="I1820" s="769"/>
      <c r="J1820" s="770"/>
      <c r="K1820" s="771"/>
      <c r="L1820" s="100"/>
      <c r="M1820" s="101"/>
    </row>
    <row r="1821" spans="4:13" x14ac:dyDescent="0.2">
      <c r="E1821" s="718">
        <v>45582</v>
      </c>
      <c r="F1821" s="721">
        <v>4.0000000000000001E-3</v>
      </c>
      <c r="G1821" s="721" t="s">
        <v>467</v>
      </c>
      <c r="H1821" s="721">
        <v>1E-3</v>
      </c>
      <c r="I1821" s="769"/>
      <c r="J1821" s="770"/>
      <c r="K1821" s="771"/>
      <c r="L1821" s="100"/>
      <c r="M1821" s="101"/>
    </row>
    <row r="1822" spans="4:13" x14ac:dyDescent="0.2">
      <c r="E1822" s="718">
        <v>45552</v>
      </c>
      <c r="F1822" s="721">
        <v>1E-3</v>
      </c>
      <c r="G1822" s="721" t="s">
        <v>461</v>
      </c>
      <c r="H1822" s="721">
        <v>1.0999999999999999E-2</v>
      </c>
      <c r="I1822" s="769"/>
      <c r="J1822" s="770"/>
      <c r="K1822" s="771"/>
      <c r="L1822" s="102"/>
      <c r="M1822" s="101"/>
    </row>
    <row r="1823" spans="4:13" x14ac:dyDescent="0.2">
      <c r="E1823" s="718">
        <v>45519</v>
      </c>
      <c r="F1823" s="721">
        <v>0.01</v>
      </c>
      <c r="G1823" s="721" t="s">
        <v>452</v>
      </c>
      <c r="H1823" s="721">
        <v>-2E-3</v>
      </c>
      <c r="I1823" s="769"/>
      <c r="J1823" s="770"/>
      <c r="K1823" s="771"/>
      <c r="L1823" s="100"/>
      <c r="M1823" s="101"/>
    </row>
    <row r="1824" spans="4:13" x14ac:dyDescent="0.2">
      <c r="E1824" s="718">
        <v>45489</v>
      </c>
      <c r="F1824" s="721">
        <v>0</v>
      </c>
      <c r="G1824" s="721" t="s">
        <v>454</v>
      </c>
      <c r="H1824" s="721">
        <v>3.0000000000000001E-3</v>
      </c>
      <c r="I1824" s="769"/>
      <c r="J1824" s="770"/>
      <c r="K1824" s="771"/>
      <c r="L1824" s="100"/>
      <c r="M1824" s="101"/>
    </row>
    <row r="1825" spans="4:13" ht="20" thickBot="1" x14ac:dyDescent="0.25">
      <c r="E1825" s="718">
        <v>45461</v>
      </c>
      <c r="F1825" s="721">
        <v>1E-3</v>
      </c>
      <c r="G1825" s="721" t="s">
        <v>467</v>
      </c>
      <c r="H1825" s="721">
        <v>-2E-3</v>
      </c>
      <c r="I1825" s="772"/>
      <c r="J1825" s="773"/>
      <c r="K1825" s="774"/>
      <c r="L1825" s="103"/>
      <c r="M1825" s="104"/>
    </row>
    <row r="1826" spans="4:13" ht="25" thickBot="1" x14ac:dyDescent="0.25">
      <c r="D1826">
        <v>3</v>
      </c>
      <c r="E1826" s="713" t="s">
        <v>30</v>
      </c>
      <c r="F1826" s="814" t="s">
        <v>1261</v>
      </c>
      <c r="G1826" s="815"/>
      <c r="H1826" s="816"/>
      <c r="I1826" s="846" t="s">
        <v>633</v>
      </c>
      <c r="J1826" s="847"/>
      <c r="K1826" s="848"/>
      <c r="L1826" s="162" t="s">
        <v>430</v>
      </c>
      <c r="M1826" s="106" t="s">
        <v>431</v>
      </c>
    </row>
    <row r="1827" spans="4:13" x14ac:dyDescent="0.2">
      <c r="E1827" s="714" t="s">
        <v>432</v>
      </c>
      <c r="F1827" s="805"/>
      <c r="G1827" s="806"/>
      <c r="H1827" s="807"/>
      <c r="I1827" s="769" t="s">
        <v>1262</v>
      </c>
      <c r="J1827" s="770"/>
      <c r="K1827" s="771"/>
      <c r="L1827" s="100"/>
      <c r="M1827" s="101"/>
    </row>
    <row r="1828" spans="4:13" x14ac:dyDescent="0.2">
      <c r="E1828" s="715" t="s">
        <v>433</v>
      </c>
      <c r="F1828" s="808">
        <v>2.5999999999999999E-2</v>
      </c>
      <c r="G1828" s="809"/>
      <c r="H1828" s="810"/>
      <c r="I1828" s="769"/>
      <c r="J1828" s="770"/>
      <c r="K1828" s="771"/>
      <c r="L1828" s="100"/>
      <c r="M1828" s="101"/>
    </row>
    <row r="1829" spans="4:13" ht="20" thickBot="1" x14ac:dyDescent="0.25">
      <c r="E1829" s="715" t="s">
        <v>434</v>
      </c>
      <c r="F1829" s="808">
        <v>2.3E-2</v>
      </c>
      <c r="G1829" s="809"/>
      <c r="H1829" s="810"/>
      <c r="I1829" s="769"/>
      <c r="J1829" s="770"/>
      <c r="K1829" s="771"/>
      <c r="L1829" s="100"/>
      <c r="M1829" s="101"/>
    </row>
    <row r="1830" spans="4:13" ht="20" thickBot="1" x14ac:dyDescent="0.25">
      <c r="E1830" s="716" t="s">
        <v>435</v>
      </c>
      <c r="F1830" s="811">
        <v>0.29166666666666674</v>
      </c>
      <c r="G1830" s="812"/>
      <c r="H1830" s="813"/>
      <c r="I1830" s="769"/>
      <c r="J1830" s="770"/>
      <c r="K1830" s="771"/>
      <c r="L1830" s="107">
        <v>0.52083333333333337</v>
      </c>
      <c r="M1830" s="108">
        <v>0.375</v>
      </c>
    </row>
    <row r="1831" spans="4:13" ht="20" thickBot="1" x14ac:dyDescent="0.25">
      <c r="E1831" s="717" t="s">
        <v>436</v>
      </c>
      <c r="F1831" s="278" t="s">
        <v>29</v>
      </c>
      <c r="G1831" s="278" t="s">
        <v>28</v>
      </c>
      <c r="H1831" s="279" t="s">
        <v>27</v>
      </c>
      <c r="I1831" s="769"/>
      <c r="J1831" s="770"/>
      <c r="K1831" s="771"/>
      <c r="L1831" s="100"/>
      <c r="M1831" s="101"/>
    </row>
    <row r="1832" spans="4:13" x14ac:dyDescent="0.2">
      <c r="E1832" s="718">
        <v>45616</v>
      </c>
      <c r="F1832" s="385">
        <v>2.3E-2</v>
      </c>
      <c r="G1832" s="385" t="s">
        <v>490</v>
      </c>
      <c r="H1832" s="385">
        <v>1.7000000000000001E-2</v>
      </c>
      <c r="I1832" s="769"/>
      <c r="J1832" s="770"/>
      <c r="K1832" s="771"/>
      <c r="L1832" s="100"/>
      <c r="M1832" s="101"/>
    </row>
    <row r="1833" spans="4:13" x14ac:dyDescent="0.2">
      <c r="E1833" s="718">
        <v>45581</v>
      </c>
      <c r="F1833" s="385">
        <v>1.7000000000000001E-2</v>
      </c>
      <c r="G1833" s="385" t="s">
        <v>789</v>
      </c>
      <c r="H1833" s="385">
        <v>2.1999999999999999E-2</v>
      </c>
      <c r="I1833" s="769"/>
      <c r="J1833" s="770"/>
      <c r="K1833" s="771"/>
      <c r="L1833" s="100"/>
      <c r="M1833" s="101"/>
    </row>
    <row r="1834" spans="4:13" x14ac:dyDescent="0.2">
      <c r="E1834" s="718">
        <v>45553</v>
      </c>
      <c r="F1834" s="385">
        <v>2.1999999999999999E-2</v>
      </c>
      <c r="G1834" s="385" t="s">
        <v>490</v>
      </c>
      <c r="H1834" s="385">
        <v>2.1999999999999999E-2</v>
      </c>
      <c r="I1834" s="769"/>
      <c r="J1834" s="770"/>
      <c r="K1834" s="771"/>
      <c r="L1834" s="102"/>
      <c r="M1834" s="101"/>
    </row>
    <row r="1835" spans="4:13" x14ac:dyDescent="0.2">
      <c r="E1835" s="718">
        <v>45518</v>
      </c>
      <c r="F1835" s="385">
        <v>2.1999999999999999E-2</v>
      </c>
      <c r="G1835" s="385" t="s">
        <v>971</v>
      </c>
      <c r="H1835" s="385">
        <v>0.02</v>
      </c>
      <c r="I1835" s="769"/>
      <c r="J1835" s="770"/>
      <c r="K1835" s="771"/>
      <c r="L1835" s="100"/>
      <c r="M1835" s="101"/>
    </row>
    <row r="1836" spans="4:13" x14ac:dyDescent="0.2">
      <c r="E1836" s="718">
        <v>45490</v>
      </c>
      <c r="F1836" s="385">
        <v>0.02</v>
      </c>
      <c r="G1836" s="385" t="s">
        <v>789</v>
      </c>
      <c r="H1836" s="385">
        <v>0.02</v>
      </c>
      <c r="I1836" s="769"/>
      <c r="J1836" s="770"/>
      <c r="K1836" s="771"/>
      <c r="L1836" s="100"/>
      <c r="M1836" s="101"/>
    </row>
    <row r="1837" spans="4:13" ht="20" thickBot="1" x14ac:dyDescent="0.25">
      <c r="E1837" s="718">
        <v>45462</v>
      </c>
      <c r="F1837" s="385">
        <v>0.02</v>
      </c>
      <c r="G1837" s="385" t="s">
        <v>788</v>
      </c>
      <c r="H1837" s="385">
        <v>2.3E-2</v>
      </c>
      <c r="I1837" s="772"/>
      <c r="J1837" s="773"/>
      <c r="K1837" s="774"/>
      <c r="L1837" s="103"/>
      <c r="M1837" s="104"/>
    </row>
    <row r="1838" spans="4:13" ht="25" thickBot="1" x14ac:dyDescent="0.25">
      <c r="D1838">
        <v>4</v>
      </c>
      <c r="E1838" s="713" t="s">
        <v>30</v>
      </c>
      <c r="F1838" s="814" t="s">
        <v>1263</v>
      </c>
      <c r="G1838" s="815"/>
      <c r="H1838" s="816"/>
      <c r="I1838" s="846" t="s">
        <v>633</v>
      </c>
      <c r="J1838" s="847"/>
      <c r="K1838" s="848"/>
      <c r="L1838" s="162" t="s">
        <v>430</v>
      </c>
      <c r="M1838" s="106" t="s">
        <v>431</v>
      </c>
    </row>
    <row r="1839" spans="4:13" x14ac:dyDescent="0.2">
      <c r="E1839" s="714" t="s">
        <v>432</v>
      </c>
      <c r="F1839" s="805"/>
      <c r="G1839" s="806"/>
      <c r="H1839" s="807"/>
      <c r="I1839" s="769" t="s">
        <v>1264</v>
      </c>
      <c r="J1839" s="770"/>
      <c r="K1839" s="771"/>
      <c r="L1839" s="100"/>
      <c r="M1839" s="101"/>
    </row>
    <row r="1840" spans="4:13" x14ac:dyDescent="0.2">
      <c r="E1840" s="715" t="s">
        <v>433</v>
      </c>
      <c r="F1840" s="808">
        <v>2.3E-2</v>
      </c>
      <c r="G1840" s="809"/>
      <c r="H1840" s="810"/>
      <c r="I1840" s="769"/>
      <c r="J1840" s="770"/>
      <c r="K1840" s="771"/>
      <c r="L1840" s="100"/>
      <c r="M1840" s="101"/>
    </row>
    <row r="1841" spans="4:13" ht="20" thickBot="1" x14ac:dyDescent="0.25">
      <c r="E1841" s="715" t="s">
        <v>434</v>
      </c>
      <c r="F1841" s="808">
        <v>2.3E-2</v>
      </c>
      <c r="G1841" s="809"/>
      <c r="H1841" s="810"/>
      <c r="I1841" s="769"/>
      <c r="J1841" s="770"/>
      <c r="K1841" s="771"/>
      <c r="L1841" s="100"/>
      <c r="M1841" s="101"/>
    </row>
    <row r="1842" spans="4:13" ht="20" thickBot="1" x14ac:dyDescent="0.25">
      <c r="E1842" s="716" t="s">
        <v>435</v>
      </c>
      <c r="F1842" s="811">
        <v>0.41666666666666674</v>
      </c>
      <c r="G1842" s="812"/>
      <c r="H1842" s="813"/>
      <c r="I1842" s="769"/>
      <c r="J1842" s="770"/>
      <c r="K1842" s="771"/>
      <c r="L1842" s="107">
        <v>0.64583333333333337</v>
      </c>
      <c r="M1842" s="108">
        <v>0.5</v>
      </c>
    </row>
    <row r="1843" spans="4:13" ht="20" thickBot="1" x14ac:dyDescent="0.25">
      <c r="E1843" s="717" t="s">
        <v>436</v>
      </c>
      <c r="F1843" s="278" t="s">
        <v>29</v>
      </c>
      <c r="G1843" s="278" t="s">
        <v>28</v>
      </c>
      <c r="H1843" s="279" t="s">
        <v>27</v>
      </c>
      <c r="I1843" s="769"/>
      <c r="J1843" s="770"/>
      <c r="K1843" s="771"/>
      <c r="L1843" s="100"/>
      <c r="M1843" s="101"/>
    </row>
    <row r="1844" spans="4:13" x14ac:dyDescent="0.2">
      <c r="E1844" s="718">
        <v>45625</v>
      </c>
      <c r="F1844" s="385">
        <v>2.3E-2</v>
      </c>
      <c r="G1844" s="385" t="s">
        <v>971</v>
      </c>
      <c r="H1844" s="385">
        <v>0.02</v>
      </c>
      <c r="I1844" s="769"/>
      <c r="J1844" s="770"/>
      <c r="K1844" s="771"/>
      <c r="L1844" s="100"/>
      <c r="M1844" s="101"/>
    </row>
    <row r="1845" spans="4:13" x14ac:dyDescent="0.2">
      <c r="E1845" s="718">
        <v>45615</v>
      </c>
      <c r="F1845" s="385">
        <v>0.02</v>
      </c>
      <c r="G1845" s="385" t="s">
        <v>788</v>
      </c>
      <c r="H1845" s="385">
        <v>0.02</v>
      </c>
      <c r="I1845" s="769"/>
      <c r="J1845" s="770"/>
      <c r="K1845" s="771"/>
      <c r="L1845" s="100"/>
      <c r="M1845" s="101"/>
    </row>
    <row r="1846" spans="4:13" x14ac:dyDescent="0.2">
      <c r="E1846" s="718">
        <v>45596</v>
      </c>
      <c r="F1846" s="385">
        <v>0.02</v>
      </c>
      <c r="G1846" s="385" t="s">
        <v>789</v>
      </c>
      <c r="H1846" s="385">
        <v>1.7000000000000001E-2</v>
      </c>
      <c r="I1846" s="769"/>
      <c r="J1846" s="770"/>
      <c r="K1846" s="771"/>
      <c r="L1846" s="102"/>
      <c r="M1846" s="101"/>
    </row>
    <row r="1847" spans="4:13" x14ac:dyDescent="0.2">
      <c r="E1847" s="718">
        <v>45582</v>
      </c>
      <c r="F1847" s="385">
        <v>1.7000000000000001E-2</v>
      </c>
      <c r="G1847" s="385" t="s">
        <v>895</v>
      </c>
      <c r="H1847" s="385">
        <v>2.1999999999999999E-2</v>
      </c>
      <c r="I1847" s="769"/>
      <c r="J1847" s="770"/>
      <c r="K1847" s="771"/>
      <c r="L1847" s="100"/>
      <c r="M1847" s="101"/>
    </row>
    <row r="1848" spans="4:13" x14ac:dyDescent="0.2">
      <c r="E1848" s="718">
        <v>45566</v>
      </c>
      <c r="F1848" s="385">
        <v>1.7999999999999999E-2</v>
      </c>
      <c r="G1848" s="385" t="s">
        <v>895</v>
      </c>
      <c r="H1848" s="385">
        <v>2.1999999999999999E-2</v>
      </c>
      <c r="I1848" s="769"/>
      <c r="J1848" s="770"/>
      <c r="K1848" s="771"/>
      <c r="L1848" s="100"/>
      <c r="M1848" s="101"/>
    </row>
    <row r="1849" spans="4:13" ht="20" thickBot="1" x14ac:dyDescent="0.25">
      <c r="E1849" s="718">
        <v>45553</v>
      </c>
      <c r="F1849" s="385">
        <v>2.1999999999999999E-2</v>
      </c>
      <c r="G1849" s="385" t="s">
        <v>490</v>
      </c>
      <c r="H1849" s="385">
        <v>2.5999999999999999E-2</v>
      </c>
      <c r="I1849" s="772"/>
      <c r="J1849" s="773"/>
      <c r="K1849" s="774"/>
      <c r="L1849" s="103"/>
      <c r="M1849" s="104"/>
    </row>
    <row r="1850" spans="4:13" ht="25" thickBot="1" x14ac:dyDescent="0.25">
      <c r="D1850">
        <v>4</v>
      </c>
      <c r="E1850" s="713" t="s">
        <v>30</v>
      </c>
      <c r="F1850" s="814" t="s">
        <v>9</v>
      </c>
      <c r="G1850" s="815"/>
      <c r="H1850" s="816"/>
      <c r="I1850" s="846" t="s">
        <v>633</v>
      </c>
      <c r="J1850" s="847"/>
      <c r="K1850" s="848"/>
      <c r="L1850" s="162" t="s">
        <v>430</v>
      </c>
      <c r="M1850" s="106" t="s">
        <v>431</v>
      </c>
    </row>
    <row r="1851" spans="4:13" x14ac:dyDescent="0.2">
      <c r="E1851" s="714" t="s">
        <v>432</v>
      </c>
      <c r="F1851" s="805"/>
      <c r="G1851" s="806"/>
      <c r="H1851" s="807"/>
      <c r="I1851" s="769" t="s">
        <v>1266</v>
      </c>
      <c r="J1851" s="770"/>
      <c r="K1851" s="771"/>
      <c r="L1851" s="100"/>
      <c r="M1851" s="101"/>
    </row>
    <row r="1852" spans="4:13" x14ac:dyDescent="0.2">
      <c r="E1852" s="715" t="s">
        <v>433</v>
      </c>
      <c r="F1852" s="824"/>
      <c r="G1852" s="825"/>
      <c r="H1852" s="826"/>
      <c r="I1852" s="769"/>
      <c r="J1852" s="770"/>
      <c r="K1852" s="771"/>
      <c r="L1852" s="100"/>
      <c r="M1852" s="101"/>
    </row>
    <row r="1853" spans="4:13" ht="20" thickBot="1" x14ac:dyDescent="0.25">
      <c r="E1853" s="715" t="s">
        <v>434</v>
      </c>
      <c r="F1853" s="823" t="s">
        <v>1265</v>
      </c>
      <c r="G1853" s="818"/>
      <c r="H1853" s="819"/>
      <c r="I1853" s="769"/>
      <c r="J1853" s="770"/>
      <c r="K1853" s="771"/>
      <c r="L1853" s="100"/>
      <c r="M1853" s="101"/>
    </row>
    <row r="1854" spans="4:13" ht="20" thickBot="1" x14ac:dyDescent="0.25">
      <c r="E1854" s="716" t="s">
        <v>435</v>
      </c>
      <c r="F1854" s="811">
        <v>0.64583333333333337</v>
      </c>
      <c r="G1854" s="812"/>
      <c r="H1854" s="813"/>
      <c r="I1854" s="769"/>
      <c r="J1854" s="770"/>
      <c r="K1854" s="771"/>
      <c r="L1854" s="107">
        <v>0.875</v>
      </c>
      <c r="M1854" s="108">
        <v>0.72916666666666663</v>
      </c>
    </row>
    <row r="1855" spans="4:13" ht="20" thickBot="1" x14ac:dyDescent="0.25">
      <c r="E1855" s="717" t="s">
        <v>436</v>
      </c>
      <c r="F1855" s="278" t="s">
        <v>29</v>
      </c>
      <c r="G1855" s="278" t="s">
        <v>28</v>
      </c>
      <c r="H1855" s="279" t="s">
        <v>27</v>
      </c>
      <c r="I1855" s="769"/>
      <c r="J1855" s="770"/>
      <c r="K1855" s="771"/>
      <c r="L1855" s="100"/>
      <c r="M1855" s="101"/>
    </row>
    <row r="1856" spans="4:13" x14ac:dyDescent="0.2">
      <c r="E1856" s="718">
        <v>45637</v>
      </c>
      <c r="F1856" s="283" t="s">
        <v>1286</v>
      </c>
      <c r="G1856" s="283" t="s">
        <v>1287</v>
      </c>
      <c r="H1856" s="283" t="s">
        <v>1288</v>
      </c>
      <c r="I1856" s="769"/>
      <c r="J1856" s="770"/>
      <c r="K1856" s="771"/>
      <c r="L1856" s="100"/>
      <c r="M1856" s="101"/>
    </row>
    <row r="1857" spans="4:13" x14ac:dyDescent="0.2">
      <c r="E1857" s="718">
        <v>45630</v>
      </c>
      <c r="F1857" s="283" t="s">
        <v>1288</v>
      </c>
      <c r="G1857" s="283" t="s">
        <v>1289</v>
      </c>
      <c r="H1857" s="283" t="s">
        <v>1290</v>
      </c>
      <c r="I1857" s="769"/>
      <c r="J1857" s="770"/>
      <c r="K1857" s="771"/>
      <c r="L1857" s="100"/>
      <c r="M1857" s="101"/>
    </row>
    <row r="1858" spans="4:13" x14ac:dyDescent="0.2">
      <c r="E1858" s="718">
        <v>45623</v>
      </c>
      <c r="F1858" s="283" t="s">
        <v>1290</v>
      </c>
      <c r="G1858" s="283" t="s">
        <v>1291</v>
      </c>
      <c r="H1858" s="283" t="s">
        <v>1125</v>
      </c>
      <c r="I1858" s="769"/>
      <c r="J1858" s="770"/>
      <c r="K1858" s="771"/>
      <c r="L1858" s="102"/>
      <c r="M1858" s="101"/>
    </row>
    <row r="1859" spans="4:13" x14ac:dyDescent="0.2">
      <c r="E1859" s="718">
        <v>45616</v>
      </c>
      <c r="F1859" s="283" t="s">
        <v>1125</v>
      </c>
      <c r="G1859" s="283" t="s">
        <v>1030</v>
      </c>
      <c r="H1859" s="283" t="s">
        <v>1029</v>
      </c>
      <c r="I1859" s="769"/>
      <c r="J1859" s="770"/>
      <c r="K1859" s="771"/>
      <c r="L1859" s="100"/>
      <c r="M1859" s="101"/>
    </row>
    <row r="1860" spans="4:13" x14ac:dyDescent="0.2">
      <c r="E1860" s="718">
        <v>45610</v>
      </c>
      <c r="F1860" s="283" t="s">
        <v>1029</v>
      </c>
      <c r="G1860" s="283" t="s">
        <v>1030</v>
      </c>
      <c r="H1860" s="283" t="s">
        <v>988</v>
      </c>
      <c r="I1860" s="769"/>
      <c r="J1860" s="770"/>
      <c r="K1860" s="771"/>
      <c r="L1860" s="100"/>
      <c r="M1860" s="101"/>
    </row>
    <row r="1861" spans="4:13" ht="20" thickBot="1" x14ac:dyDescent="0.25">
      <c r="E1861" s="718">
        <v>45602</v>
      </c>
      <c r="F1861" s="283" t="s">
        <v>988</v>
      </c>
      <c r="G1861" s="283" t="s">
        <v>989</v>
      </c>
      <c r="H1861" s="283" t="s">
        <v>990</v>
      </c>
      <c r="I1861" s="772"/>
      <c r="J1861" s="773"/>
      <c r="K1861" s="774"/>
      <c r="L1861" s="103"/>
      <c r="M1861" s="104"/>
    </row>
    <row r="1862" spans="4:13" ht="25" thickBot="1" x14ac:dyDescent="0.25">
      <c r="D1862">
        <v>5</v>
      </c>
      <c r="E1862" s="713" t="s">
        <v>30</v>
      </c>
      <c r="F1862" s="814" t="s">
        <v>341</v>
      </c>
      <c r="G1862" s="815"/>
      <c r="H1862" s="816"/>
      <c r="I1862" s="846" t="s">
        <v>633</v>
      </c>
      <c r="J1862" s="847"/>
      <c r="K1862" s="848"/>
      <c r="L1862" s="162" t="s">
        <v>430</v>
      </c>
      <c r="M1862" s="106" t="s">
        <v>431</v>
      </c>
    </row>
    <row r="1863" spans="4:13" x14ac:dyDescent="0.2">
      <c r="E1863" s="714" t="s">
        <v>432</v>
      </c>
      <c r="F1863" s="805"/>
      <c r="G1863" s="806"/>
      <c r="H1863" s="807"/>
      <c r="I1863" s="769" t="s">
        <v>1267</v>
      </c>
      <c r="J1863" s="770"/>
      <c r="K1863" s="771"/>
      <c r="L1863" s="100"/>
      <c r="M1863" s="101"/>
    </row>
    <row r="1864" spans="4:13" x14ac:dyDescent="0.2">
      <c r="E1864" s="715" t="s">
        <v>433</v>
      </c>
      <c r="F1864" s="824"/>
      <c r="G1864" s="825"/>
      <c r="H1864" s="826"/>
      <c r="I1864" s="769"/>
      <c r="J1864" s="770"/>
      <c r="K1864" s="771"/>
      <c r="L1864" s="100"/>
      <c r="M1864" s="101"/>
    </row>
    <row r="1865" spans="4:13" ht="20" thickBot="1" x14ac:dyDescent="0.25">
      <c r="E1865" s="715" t="s">
        <v>434</v>
      </c>
      <c r="F1865" s="823"/>
      <c r="G1865" s="818"/>
      <c r="H1865" s="819"/>
      <c r="I1865" s="769"/>
      <c r="J1865" s="770"/>
      <c r="K1865" s="771"/>
      <c r="L1865" s="100"/>
      <c r="M1865" s="101"/>
    </row>
    <row r="1866" spans="4:13" ht="20" thickBot="1" x14ac:dyDescent="0.25">
      <c r="E1866" s="716" t="s">
        <v>435</v>
      </c>
      <c r="F1866" s="828">
        <v>0.79166666666666663</v>
      </c>
      <c r="G1866" s="829"/>
      <c r="H1866" s="830"/>
      <c r="I1866" s="769"/>
      <c r="J1866" s="770"/>
      <c r="K1866" s="771"/>
      <c r="L1866" s="107">
        <v>2.0833333333333332E-2</v>
      </c>
      <c r="M1866" s="108">
        <v>-0.125</v>
      </c>
    </row>
    <row r="1867" spans="4:13" ht="20" thickBot="1" x14ac:dyDescent="0.25">
      <c r="E1867" s="717" t="s">
        <v>436</v>
      </c>
      <c r="F1867" s="278" t="s">
        <v>29</v>
      </c>
      <c r="G1867" s="278" t="s">
        <v>28</v>
      </c>
      <c r="H1867" s="279" t="s">
        <v>27</v>
      </c>
      <c r="I1867" s="769"/>
      <c r="J1867" s="770"/>
      <c r="K1867" s="771"/>
      <c r="L1867" s="100"/>
      <c r="M1867" s="101"/>
    </row>
    <row r="1868" spans="4:13" ht="18" x14ac:dyDescent="0.2">
      <c r="E1868" s="718">
        <v>45553</v>
      </c>
      <c r="F1868" s="283"/>
      <c r="G1868" s="283"/>
      <c r="H1868" s="283"/>
      <c r="I1868" s="769"/>
      <c r="J1868" s="770"/>
      <c r="K1868" s="771"/>
      <c r="L1868" s="100"/>
      <c r="M1868" s="101"/>
    </row>
    <row r="1869" spans="4:13" ht="18" x14ac:dyDescent="0.2">
      <c r="E1869" s="718">
        <v>45455</v>
      </c>
      <c r="F1869" s="283"/>
      <c r="G1869" s="283"/>
      <c r="H1869" s="283"/>
      <c r="I1869" s="769"/>
      <c r="J1869" s="770"/>
      <c r="K1869" s="771"/>
      <c r="L1869" s="100"/>
      <c r="M1869" s="101"/>
    </row>
    <row r="1870" spans="4:13" ht="18" x14ac:dyDescent="0.2">
      <c r="E1870" s="718">
        <v>45371</v>
      </c>
      <c r="F1870" s="283"/>
      <c r="G1870" s="283"/>
      <c r="H1870" s="283"/>
      <c r="I1870" s="769"/>
      <c r="J1870" s="770"/>
      <c r="K1870" s="771"/>
      <c r="L1870" s="102"/>
      <c r="M1870" s="101"/>
    </row>
    <row r="1871" spans="4:13" ht="18" x14ac:dyDescent="0.2">
      <c r="E1871" s="718">
        <v>45273</v>
      </c>
      <c r="F1871" s="283"/>
      <c r="G1871" s="283"/>
      <c r="H1871" s="283"/>
      <c r="I1871" s="769"/>
      <c r="J1871" s="770"/>
      <c r="K1871" s="771"/>
      <c r="L1871" s="100"/>
      <c r="M1871" s="101"/>
    </row>
    <row r="1872" spans="4:13" ht="18" x14ac:dyDescent="0.2">
      <c r="E1872" s="718">
        <v>45189</v>
      </c>
      <c r="F1872" s="283"/>
      <c r="G1872" s="283"/>
      <c r="H1872" s="283"/>
      <c r="I1872" s="769"/>
      <c r="J1872" s="770"/>
      <c r="K1872" s="771"/>
      <c r="L1872" s="100"/>
      <c r="M1872" s="101"/>
    </row>
    <row r="1873" spans="4:13" thickBot="1" x14ac:dyDescent="0.25">
      <c r="E1873" s="718">
        <v>45091</v>
      </c>
      <c r="F1873" s="283"/>
      <c r="G1873" s="283"/>
      <c r="H1873" s="283"/>
      <c r="I1873" s="772"/>
      <c r="J1873" s="773"/>
      <c r="K1873" s="774"/>
      <c r="L1873" s="103"/>
      <c r="M1873" s="104"/>
    </row>
    <row r="1874" spans="4:13" ht="25" thickBot="1" x14ac:dyDescent="0.25">
      <c r="D1874">
        <v>5</v>
      </c>
      <c r="E1874" s="713" t="s">
        <v>30</v>
      </c>
      <c r="F1874" s="814" t="s">
        <v>127</v>
      </c>
      <c r="G1874" s="815"/>
      <c r="H1874" s="816"/>
      <c r="I1874" s="846" t="s">
        <v>633</v>
      </c>
      <c r="J1874" s="847"/>
      <c r="K1874" s="848"/>
      <c r="L1874" s="162" t="s">
        <v>430</v>
      </c>
      <c r="M1874" s="106" t="s">
        <v>431</v>
      </c>
    </row>
    <row r="1875" spans="4:13" x14ac:dyDescent="0.2">
      <c r="E1875" s="714" t="s">
        <v>432</v>
      </c>
      <c r="F1875" s="805"/>
      <c r="G1875" s="806"/>
      <c r="H1875" s="807"/>
      <c r="I1875" s="769" t="s">
        <v>1267</v>
      </c>
      <c r="J1875" s="770"/>
      <c r="K1875" s="771"/>
      <c r="L1875" s="100"/>
      <c r="M1875" s="101"/>
    </row>
    <row r="1876" spans="4:13" x14ac:dyDescent="0.2">
      <c r="E1876" s="715" t="s">
        <v>433</v>
      </c>
      <c r="F1876" s="824">
        <v>4.3799999999999999E-2</v>
      </c>
      <c r="G1876" s="825"/>
      <c r="H1876" s="826"/>
      <c r="I1876" s="769"/>
      <c r="J1876" s="770"/>
      <c r="K1876" s="771"/>
      <c r="L1876" s="100"/>
      <c r="M1876" s="101"/>
    </row>
    <row r="1877" spans="4:13" ht="20" thickBot="1" x14ac:dyDescent="0.25">
      <c r="E1877" s="715" t="s">
        <v>434</v>
      </c>
      <c r="F1877" s="824">
        <v>4.6199999999999998E-2</v>
      </c>
      <c r="G1877" s="825"/>
      <c r="H1877" s="826"/>
      <c r="I1877" s="769"/>
      <c r="J1877" s="770"/>
      <c r="K1877" s="771"/>
      <c r="L1877" s="100"/>
      <c r="M1877" s="101"/>
    </row>
    <row r="1878" spans="4:13" ht="20" thickBot="1" x14ac:dyDescent="0.25">
      <c r="E1878" s="716" t="s">
        <v>435</v>
      </c>
      <c r="F1878" s="828">
        <v>0.79166666666666663</v>
      </c>
      <c r="G1878" s="829"/>
      <c r="H1878" s="830"/>
      <c r="I1878" s="769"/>
      <c r="J1878" s="770"/>
      <c r="K1878" s="771"/>
      <c r="L1878" s="107">
        <v>2.0833333333333332E-2</v>
      </c>
      <c r="M1878" s="108">
        <v>-0.125</v>
      </c>
    </row>
    <row r="1879" spans="4:13" ht="20" thickBot="1" x14ac:dyDescent="0.25">
      <c r="E1879" s="717" t="s">
        <v>436</v>
      </c>
      <c r="F1879" s="278" t="s">
        <v>29</v>
      </c>
      <c r="G1879" s="278" t="s">
        <v>28</v>
      </c>
      <c r="H1879" s="279" t="s">
        <v>27</v>
      </c>
      <c r="I1879" s="769"/>
      <c r="J1879" s="770"/>
      <c r="K1879" s="771"/>
      <c r="L1879" s="100"/>
      <c r="M1879" s="101"/>
    </row>
    <row r="1880" spans="4:13" x14ac:dyDescent="0.2">
      <c r="E1880" s="718">
        <v>45603</v>
      </c>
      <c r="F1880" s="385">
        <v>4.7500000000000001E-2</v>
      </c>
      <c r="G1880" s="385" t="s">
        <v>726</v>
      </c>
      <c r="H1880" s="385">
        <v>0.05</v>
      </c>
      <c r="I1880" s="769"/>
      <c r="J1880" s="770"/>
      <c r="K1880" s="771"/>
      <c r="L1880" s="100"/>
      <c r="M1880" s="101"/>
    </row>
    <row r="1881" spans="4:13" x14ac:dyDescent="0.2">
      <c r="E1881" s="718">
        <v>45553</v>
      </c>
      <c r="F1881" s="385">
        <v>0.05</v>
      </c>
      <c r="G1881" s="385" t="s">
        <v>940</v>
      </c>
      <c r="H1881" s="385">
        <v>5.5E-2</v>
      </c>
      <c r="I1881" s="769"/>
      <c r="J1881" s="770"/>
      <c r="K1881" s="771"/>
      <c r="L1881" s="100"/>
      <c r="M1881" s="101"/>
    </row>
    <row r="1882" spans="4:13" x14ac:dyDescent="0.2">
      <c r="E1882" s="718">
        <v>45504</v>
      </c>
      <c r="F1882" s="385">
        <v>5.5E-2</v>
      </c>
      <c r="G1882" s="385" t="s">
        <v>942</v>
      </c>
      <c r="H1882" s="385">
        <v>5.5E-2</v>
      </c>
      <c r="I1882" s="769"/>
      <c r="J1882" s="770"/>
      <c r="K1882" s="771"/>
      <c r="L1882" s="102"/>
      <c r="M1882" s="101"/>
    </row>
    <row r="1883" spans="4:13" x14ac:dyDescent="0.2">
      <c r="E1883" s="718">
        <v>45455</v>
      </c>
      <c r="F1883" s="385">
        <v>5.5E-2</v>
      </c>
      <c r="G1883" s="385" t="s">
        <v>942</v>
      </c>
      <c r="H1883" s="385">
        <v>5.5E-2</v>
      </c>
      <c r="I1883" s="769"/>
      <c r="J1883" s="770"/>
      <c r="K1883" s="771"/>
      <c r="L1883" s="100"/>
      <c r="M1883" s="101"/>
    </row>
    <row r="1884" spans="4:13" x14ac:dyDescent="0.2">
      <c r="E1884" s="718">
        <v>45413</v>
      </c>
      <c r="F1884" s="385">
        <v>5.5E-2</v>
      </c>
      <c r="G1884" s="385" t="s">
        <v>942</v>
      </c>
      <c r="H1884" s="385">
        <v>5.5E-2</v>
      </c>
      <c r="I1884" s="769"/>
      <c r="J1884" s="770"/>
      <c r="K1884" s="771"/>
      <c r="L1884" s="100"/>
      <c r="M1884" s="101"/>
    </row>
    <row r="1885" spans="4:13" ht="20" thickBot="1" x14ac:dyDescent="0.25">
      <c r="E1885" s="718">
        <v>45371</v>
      </c>
      <c r="F1885" s="385">
        <v>5.5E-2</v>
      </c>
      <c r="G1885" s="385" t="s">
        <v>942</v>
      </c>
      <c r="H1885" s="385">
        <v>5.5E-2</v>
      </c>
      <c r="I1885" s="772"/>
      <c r="J1885" s="773"/>
      <c r="K1885" s="774"/>
      <c r="L1885" s="103"/>
      <c r="M1885" s="104"/>
    </row>
    <row r="1886" spans="4:13" ht="25" thickBot="1" x14ac:dyDescent="0.25">
      <c r="D1886">
        <v>5</v>
      </c>
      <c r="E1886" s="713" t="s">
        <v>30</v>
      </c>
      <c r="F1886" s="814" t="s">
        <v>129</v>
      </c>
      <c r="G1886" s="815"/>
      <c r="H1886" s="816"/>
      <c r="I1886" s="846" t="s">
        <v>633</v>
      </c>
      <c r="J1886" s="847"/>
      <c r="K1886" s="848"/>
      <c r="L1886" s="162" t="s">
        <v>430</v>
      </c>
      <c r="M1886" s="106" t="s">
        <v>431</v>
      </c>
    </row>
    <row r="1887" spans="4:13" x14ac:dyDescent="0.2">
      <c r="E1887" s="714" t="s">
        <v>432</v>
      </c>
      <c r="F1887" s="805"/>
      <c r="G1887" s="806"/>
      <c r="H1887" s="807"/>
      <c r="I1887" s="769" t="s">
        <v>1267</v>
      </c>
      <c r="J1887" s="770"/>
      <c r="K1887" s="771"/>
      <c r="L1887" s="100"/>
      <c r="M1887" s="101"/>
    </row>
    <row r="1888" spans="4:13" x14ac:dyDescent="0.2">
      <c r="E1888" s="715" t="s">
        <v>433</v>
      </c>
      <c r="F1888" s="824"/>
      <c r="G1888" s="825"/>
      <c r="H1888" s="826"/>
      <c r="I1888" s="769"/>
      <c r="J1888" s="770"/>
      <c r="K1888" s="771"/>
      <c r="L1888" s="100"/>
      <c r="M1888" s="101"/>
    </row>
    <row r="1889" spans="4:13" ht="20" thickBot="1" x14ac:dyDescent="0.25">
      <c r="E1889" s="715" t="s">
        <v>434</v>
      </c>
      <c r="F1889" s="824"/>
      <c r="G1889" s="825"/>
      <c r="H1889" s="826"/>
      <c r="I1889" s="769"/>
      <c r="J1889" s="770"/>
      <c r="K1889" s="771"/>
      <c r="L1889" s="100"/>
      <c r="M1889" s="101"/>
    </row>
    <row r="1890" spans="4:13" ht="20" thickBot="1" x14ac:dyDescent="0.25">
      <c r="E1890" s="716" t="s">
        <v>435</v>
      </c>
      <c r="F1890" s="828">
        <v>0.8125</v>
      </c>
      <c r="G1890" s="829"/>
      <c r="H1890" s="830"/>
      <c r="I1890" s="769"/>
      <c r="J1890" s="770"/>
      <c r="K1890" s="771"/>
      <c r="L1890" s="107">
        <v>4.1666666666666664E-2</v>
      </c>
      <c r="M1890" s="108">
        <v>-0.10416666666666669</v>
      </c>
    </row>
    <row r="1891" spans="4:13" ht="20" thickBot="1" x14ac:dyDescent="0.25">
      <c r="E1891" s="717" t="s">
        <v>436</v>
      </c>
      <c r="F1891" s="278" t="s">
        <v>29</v>
      </c>
      <c r="G1891" s="278" t="s">
        <v>28</v>
      </c>
      <c r="H1891" s="279" t="s">
        <v>27</v>
      </c>
      <c r="I1891" s="769"/>
      <c r="J1891" s="770"/>
      <c r="K1891" s="771"/>
      <c r="L1891" s="100"/>
      <c r="M1891" s="101"/>
    </row>
    <row r="1892" spans="4:13" ht="18" x14ac:dyDescent="0.2">
      <c r="E1892" s="718">
        <v>45603</v>
      </c>
      <c r="F1892" s="385"/>
      <c r="G1892" s="385"/>
      <c r="H1892" s="385"/>
      <c r="I1892" s="769"/>
      <c r="J1892" s="770"/>
      <c r="K1892" s="771"/>
      <c r="L1892" s="100"/>
      <c r="M1892" s="101"/>
    </row>
    <row r="1893" spans="4:13" ht="18" x14ac:dyDescent="0.2">
      <c r="E1893" s="718">
        <v>45553</v>
      </c>
      <c r="F1893" s="385"/>
      <c r="G1893" s="385"/>
      <c r="H1893" s="385"/>
      <c r="I1893" s="769"/>
      <c r="J1893" s="770"/>
      <c r="K1893" s="771"/>
      <c r="L1893" s="100"/>
      <c r="M1893" s="101"/>
    </row>
    <row r="1894" spans="4:13" ht="18" x14ac:dyDescent="0.2">
      <c r="E1894" s="718">
        <v>45504</v>
      </c>
      <c r="F1894" s="385"/>
      <c r="G1894" s="385"/>
      <c r="H1894" s="385"/>
      <c r="I1894" s="769"/>
      <c r="J1894" s="770"/>
      <c r="K1894" s="771"/>
      <c r="L1894" s="102"/>
      <c r="M1894" s="101"/>
    </row>
    <row r="1895" spans="4:13" ht="18" x14ac:dyDescent="0.2">
      <c r="E1895" s="718">
        <v>45455</v>
      </c>
      <c r="F1895" s="385"/>
      <c r="G1895" s="385"/>
      <c r="H1895" s="385"/>
      <c r="I1895" s="769"/>
      <c r="J1895" s="770"/>
      <c r="K1895" s="771"/>
      <c r="L1895" s="100"/>
      <c r="M1895" s="101"/>
    </row>
    <row r="1896" spans="4:13" ht="18" x14ac:dyDescent="0.2">
      <c r="E1896" s="718">
        <v>45413</v>
      </c>
      <c r="F1896" s="385"/>
      <c r="G1896" s="385"/>
      <c r="H1896" s="385"/>
      <c r="I1896" s="769"/>
      <c r="J1896" s="770"/>
      <c r="K1896" s="771"/>
      <c r="L1896" s="100"/>
      <c r="M1896" s="101"/>
    </row>
    <row r="1897" spans="4:13" thickBot="1" x14ac:dyDescent="0.25">
      <c r="E1897" s="718">
        <v>45371</v>
      </c>
      <c r="F1897" s="385"/>
      <c r="G1897" s="385"/>
      <c r="H1897" s="385"/>
      <c r="I1897" s="772"/>
      <c r="J1897" s="773"/>
      <c r="K1897" s="774"/>
      <c r="L1897" s="103"/>
      <c r="M1897" s="104"/>
    </row>
    <row r="1898" spans="4:13" ht="25" thickBot="1" x14ac:dyDescent="0.25">
      <c r="D1898">
        <v>6</v>
      </c>
      <c r="E1898" s="713" t="s">
        <v>30</v>
      </c>
      <c r="F1898" s="814" t="s">
        <v>118</v>
      </c>
      <c r="G1898" s="815"/>
      <c r="H1898" s="816"/>
      <c r="I1898" s="846" t="s">
        <v>633</v>
      </c>
      <c r="J1898" s="847"/>
      <c r="K1898" s="848"/>
      <c r="L1898" s="162" t="s">
        <v>430</v>
      </c>
      <c r="M1898" s="106" t="s">
        <v>431</v>
      </c>
    </row>
    <row r="1899" spans="4:13" x14ac:dyDescent="0.2">
      <c r="E1899" s="714" t="s">
        <v>432</v>
      </c>
      <c r="F1899" s="805"/>
      <c r="G1899" s="806"/>
      <c r="H1899" s="807"/>
      <c r="I1899" s="769" t="s">
        <v>1268</v>
      </c>
      <c r="J1899" s="770"/>
      <c r="K1899" s="771"/>
      <c r="L1899" s="100"/>
      <c r="M1899" s="101"/>
    </row>
    <row r="1900" spans="4:13" x14ac:dyDescent="0.2">
      <c r="E1900" s="715" t="s">
        <v>433</v>
      </c>
      <c r="F1900" s="824">
        <v>2.5000000000000001E-3</v>
      </c>
      <c r="G1900" s="825"/>
      <c r="H1900" s="826"/>
      <c r="I1900" s="769"/>
      <c r="J1900" s="770"/>
      <c r="K1900" s="771"/>
      <c r="L1900" s="100"/>
      <c r="M1900" s="101"/>
    </row>
    <row r="1901" spans="4:13" ht="20" thickBot="1" x14ac:dyDescent="0.25">
      <c r="E1901" s="715" t="s">
        <v>434</v>
      </c>
      <c r="F1901" s="824">
        <v>2.5000000000000001E-3</v>
      </c>
      <c r="G1901" s="825"/>
      <c r="H1901" s="826"/>
      <c r="I1901" s="769"/>
      <c r="J1901" s="770"/>
      <c r="K1901" s="771"/>
      <c r="L1901" s="100"/>
      <c r="M1901" s="101"/>
    </row>
    <row r="1902" spans="4:13" ht="20" thickBot="1" x14ac:dyDescent="0.25">
      <c r="E1902" s="716" t="s">
        <v>435</v>
      </c>
      <c r="F1902" s="811">
        <v>0.12500000000000003</v>
      </c>
      <c r="G1902" s="812"/>
      <c r="H1902" s="813"/>
      <c r="I1902" s="769"/>
      <c r="J1902" s="770"/>
      <c r="K1902" s="771"/>
      <c r="L1902" s="107">
        <v>0.35416666666666669</v>
      </c>
      <c r="M1902" s="108">
        <v>0.20833333333333334</v>
      </c>
    </row>
    <row r="1903" spans="4:13" ht="20" thickBot="1" x14ac:dyDescent="0.25">
      <c r="E1903" s="717" t="s">
        <v>436</v>
      </c>
      <c r="F1903" s="278" t="s">
        <v>29</v>
      </c>
      <c r="G1903" s="278" t="s">
        <v>28</v>
      </c>
      <c r="H1903" s="279" t="s">
        <v>27</v>
      </c>
      <c r="I1903" s="769"/>
      <c r="J1903" s="770"/>
      <c r="K1903" s="771"/>
      <c r="L1903" s="100"/>
      <c r="M1903" s="101"/>
    </row>
    <row r="1904" spans="4:13" x14ac:dyDescent="0.2">
      <c r="E1904" s="718">
        <v>45596</v>
      </c>
      <c r="F1904" s="385">
        <v>2.5000000000000001E-3</v>
      </c>
      <c r="G1904" s="385" t="s">
        <v>892</v>
      </c>
      <c r="H1904" s="385">
        <v>2.5000000000000001E-3</v>
      </c>
      <c r="I1904" s="769"/>
      <c r="J1904" s="770"/>
      <c r="K1904" s="771"/>
      <c r="L1904" s="100"/>
      <c r="M1904" s="101"/>
    </row>
    <row r="1905" spans="4:13" x14ac:dyDescent="0.2">
      <c r="E1905" s="718">
        <v>45555</v>
      </c>
      <c r="F1905" s="385">
        <v>2.5000000000000001E-3</v>
      </c>
      <c r="G1905" s="385" t="s">
        <v>892</v>
      </c>
      <c r="H1905" s="385">
        <v>2.5000000000000001E-3</v>
      </c>
      <c r="I1905" s="769"/>
      <c r="J1905" s="770"/>
      <c r="K1905" s="771"/>
      <c r="L1905" s="100"/>
      <c r="M1905" s="101"/>
    </row>
    <row r="1906" spans="4:13" x14ac:dyDescent="0.2">
      <c r="E1906" s="718">
        <v>45504</v>
      </c>
      <c r="F1906" s="385">
        <v>2.5000000000000001E-3</v>
      </c>
      <c r="G1906" s="385" t="s">
        <v>893</v>
      </c>
      <c r="H1906" s="385">
        <v>1E-3</v>
      </c>
      <c r="I1906" s="769"/>
      <c r="J1906" s="770"/>
      <c r="K1906" s="771"/>
      <c r="L1906" s="102"/>
      <c r="M1906" s="101"/>
    </row>
    <row r="1907" spans="4:13" x14ac:dyDescent="0.2">
      <c r="E1907" s="718">
        <v>45457</v>
      </c>
      <c r="F1907" s="385">
        <v>1E-3</v>
      </c>
      <c r="G1907" s="385" t="s">
        <v>893</v>
      </c>
      <c r="H1907" s="385">
        <v>1E-3</v>
      </c>
      <c r="I1907" s="769"/>
      <c r="J1907" s="770"/>
      <c r="K1907" s="771"/>
      <c r="L1907" s="100"/>
      <c r="M1907" s="101"/>
    </row>
    <row r="1908" spans="4:13" x14ac:dyDescent="0.2">
      <c r="E1908" s="718">
        <v>45408</v>
      </c>
      <c r="F1908" s="385">
        <v>1E-3</v>
      </c>
      <c r="G1908" s="385" t="s">
        <v>893</v>
      </c>
      <c r="H1908" s="385">
        <v>1E-3</v>
      </c>
      <c r="I1908" s="769"/>
      <c r="J1908" s="770"/>
      <c r="K1908" s="771"/>
      <c r="L1908" s="100"/>
      <c r="M1908" s="101"/>
    </row>
    <row r="1909" spans="4:13" ht="20" thickBot="1" x14ac:dyDescent="0.25">
      <c r="E1909" s="718">
        <v>45370</v>
      </c>
      <c r="F1909" s="385">
        <v>1E-3</v>
      </c>
      <c r="G1909" s="385" t="s">
        <v>893</v>
      </c>
      <c r="H1909" s="385">
        <v>-1E-3</v>
      </c>
      <c r="I1909" s="772"/>
      <c r="J1909" s="773"/>
      <c r="K1909" s="774"/>
      <c r="L1909" s="103"/>
      <c r="M1909" s="104"/>
    </row>
    <row r="1910" spans="4:13" ht="25" thickBot="1" x14ac:dyDescent="0.25">
      <c r="D1910" s="88" t="s">
        <v>105</v>
      </c>
      <c r="E1910" s="713" t="s">
        <v>30</v>
      </c>
      <c r="F1910" s="814" t="s">
        <v>1269</v>
      </c>
      <c r="G1910" s="815"/>
      <c r="H1910" s="816"/>
      <c r="I1910" s="846" t="s">
        <v>633</v>
      </c>
      <c r="J1910" s="847"/>
      <c r="K1910" s="848"/>
      <c r="L1910" s="162" t="s">
        <v>430</v>
      </c>
      <c r="M1910" s="106" t="s">
        <v>431</v>
      </c>
    </row>
    <row r="1911" spans="4:13" x14ac:dyDescent="0.2">
      <c r="D1911" s="89"/>
      <c r="E1911" s="714" t="s">
        <v>432</v>
      </c>
      <c r="F1911" s="805"/>
      <c r="G1911" s="806"/>
      <c r="H1911" s="807"/>
      <c r="I1911" s="769" t="s">
        <v>1270</v>
      </c>
      <c r="J1911" s="770"/>
      <c r="K1911" s="771"/>
      <c r="L1911" s="100"/>
      <c r="M1911" s="101"/>
    </row>
    <row r="1912" spans="4:13" x14ac:dyDescent="0.2">
      <c r="D1912" s="89"/>
      <c r="E1912" s="715" t="s">
        <v>433</v>
      </c>
      <c r="F1912" s="824">
        <v>4.7500000000000001E-2</v>
      </c>
      <c r="G1912" s="825"/>
      <c r="H1912" s="826"/>
      <c r="I1912" s="769"/>
      <c r="J1912" s="770"/>
      <c r="K1912" s="771"/>
      <c r="L1912" s="100"/>
      <c r="M1912" s="101"/>
    </row>
    <row r="1913" spans="4:13" ht="20" thickBot="1" x14ac:dyDescent="0.25">
      <c r="D1913" s="89"/>
      <c r="E1913" s="715" t="s">
        <v>434</v>
      </c>
      <c r="F1913" s="824">
        <v>4.7500000000000001E-2</v>
      </c>
      <c r="G1913" s="825"/>
      <c r="H1913" s="826"/>
      <c r="I1913" s="769"/>
      <c r="J1913" s="770"/>
      <c r="K1913" s="771"/>
      <c r="L1913" s="100"/>
      <c r="M1913" s="101"/>
    </row>
    <row r="1914" spans="4:13" ht="20" thickBot="1" x14ac:dyDescent="0.25">
      <c r="D1914" s="89"/>
      <c r="E1914" s="716" t="s">
        <v>435</v>
      </c>
      <c r="F1914" s="811">
        <v>0.5</v>
      </c>
      <c r="G1914" s="812"/>
      <c r="H1914" s="813"/>
      <c r="I1914" s="769"/>
      <c r="J1914" s="770"/>
      <c r="K1914" s="771"/>
      <c r="L1914" s="107">
        <v>0.72916666666666663</v>
      </c>
      <c r="M1914" s="108">
        <v>0.58333333333333326</v>
      </c>
    </row>
    <row r="1915" spans="4:13" ht="20" thickBot="1" x14ac:dyDescent="0.25">
      <c r="D1915" s="89"/>
      <c r="E1915" s="717" t="s">
        <v>436</v>
      </c>
      <c r="F1915" s="278" t="s">
        <v>29</v>
      </c>
      <c r="G1915" s="278" t="s">
        <v>28</v>
      </c>
      <c r="H1915" s="279" t="s">
        <v>27</v>
      </c>
      <c r="I1915" s="769"/>
      <c r="J1915" s="770"/>
      <c r="K1915" s="771"/>
      <c r="L1915" s="100"/>
      <c r="M1915" s="101"/>
    </row>
    <row r="1916" spans="4:13" x14ac:dyDescent="0.2">
      <c r="D1916" s="89"/>
      <c r="E1916" s="718">
        <v>45603</v>
      </c>
      <c r="F1916" s="725">
        <v>4.7500000000000001E-2</v>
      </c>
      <c r="G1916" s="725" t="s">
        <v>726</v>
      </c>
      <c r="H1916" s="725">
        <v>0.05</v>
      </c>
      <c r="I1916" s="769"/>
      <c r="J1916" s="770"/>
      <c r="K1916" s="771"/>
      <c r="L1916" s="100"/>
      <c r="M1916" s="101"/>
    </row>
    <row r="1917" spans="4:13" x14ac:dyDescent="0.2">
      <c r="D1917" s="89"/>
      <c r="E1917" s="718">
        <v>45554</v>
      </c>
      <c r="F1917" s="725">
        <v>0.05</v>
      </c>
      <c r="G1917" s="725" t="s">
        <v>728</v>
      </c>
      <c r="H1917" s="725">
        <v>0.05</v>
      </c>
      <c r="I1917" s="769"/>
      <c r="J1917" s="770"/>
      <c r="K1917" s="771"/>
      <c r="L1917" s="100"/>
      <c r="M1917" s="101"/>
    </row>
    <row r="1918" spans="4:13" x14ac:dyDescent="0.2">
      <c r="D1918" s="89"/>
      <c r="E1918" s="718">
        <v>45505</v>
      </c>
      <c r="F1918" s="725">
        <v>0.05</v>
      </c>
      <c r="G1918" s="725" t="s">
        <v>728</v>
      </c>
      <c r="H1918" s="725">
        <v>5.2499999999999998E-2</v>
      </c>
      <c r="I1918" s="769"/>
      <c r="J1918" s="770"/>
      <c r="K1918" s="771"/>
      <c r="L1918" s="102"/>
      <c r="M1918" s="101"/>
    </row>
    <row r="1919" spans="4:13" x14ac:dyDescent="0.2">
      <c r="D1919" s="89"/>
      <c r="E1919" s="718">
        <v>45463</v>
      </c>
      <c r="F1919" s="725">
        <v>5.2499999999999998E-2</v>
      </c>
      <c r="G1919" s="725" t="s">
        <v>940</v>
      </c>
      <c r="H1919" s="725">
        <v>5.2499999999999998E-2</v>
      </c>
      <c r="I1919" s="769"/>
      <c r="J1919" s="770"/>
      <c r="K1919" s="771"/>
      <c r="L1919" s="100"/>
      <c r="M1919" s="101"/>
    </row>
    <row r="1920" spans="4:13" x14ac:dyDescent="0.2">
      <c r="D1920" s="89"/>
      <c r="E1920" s="718">
        <v>45421</v>
      </c>
      <c r="F1920" s="725">
        <v>5.2499999999999998E-2</v>
      </c>
      <c r="G1920" s="725" t="s">
        <v>940</v>
      </c>
      <c r="H1920" s="725">
        <v>5.2499999999999998E-2</v>
      </c>
      <c r="I1920" s="769"/>
      <c r="J1920" s="770"/>
      <c r="K1920" s="771"/>
      <c r="L1920" s="100"/>
      <c r="M1920" s="101"/>
    </row>
    <row r="1921" spans="4:13" ht="20" thickBot="1" x14ac:dyDescent="0.25">
      <c r="D1921" s="89"/>
      <c r="E1921" s="718">
        <v>45372</v>
      </c>
      <c r="F1921" s="725">
        <v>5.2499999999999998E-2</v>
      </c>
      <c r="G1921" s="725" t="s">
        <v>940</v>
      </c>
      <c r="H1921" s="725">
        <v>5.2499999999999998E-2</v>
      </c>
      <c r="I1921" s="772"/>
      <c r="J1921" s="773"/>
      <c r="K1921" s="774"/>
      <c r="L1921" s="103"/>
      <c r="M1921" s="104"/>
    </row>
    <row r="1922" spans="4:13" ht="25" thickBot="1" x14ac:dyDescent="0.25">
      <c r="D1922">
        <v>7</v>
      </c>
      <c r="E1922" s="713" t="s">
        <v>30</v>
      </c>
      <c r="F1922" s="814" t="s">
        <v>1271</v>
      </c>
      <c r="G1922" s="815"/>
      <c r="H1922" s="816"/>
      <c r="I1922" s="846" t="s">
        <v>633</v>
      </c>
      <c r="J1922" s="847"/>
      <c r="K1922" s="848"/>
      <c r="L1922" s="162" t="s">
        <v>430</v>
      </c>
      <c r="M1922" s="106" t="s">
        <v>431</v>
      </c>
    </row>
    <row r="1923" spans="4:13" x14ac:dyDescent="0.2">
      <c r="D1923" s="89"/>
      <c r="E1923" s="714" t="s">
        <v>432</v>
      </c>
      <c r="F1923" s="805"/>
      <c r="G1923" s="806"/>
      <c r="H1923" s="807"/>
      <c r="I1923" s="769" t="s">
        <v>1272</v>
      </c>
      <c r="J1923" s="770"/>
      <c r="K1923" s="771"/>
      <c r="L1923" s="100"/>
      <c r="M1923" s="101"/>
    </row>
    <row r="1924" spans="4:13" x14ac:dyDescent="0.2">
      <c r="D1924" s="89"/>
      <c r="E1924" s="715" t="s">
        <v>433</v>
      </c>
      <c r="F1924" s="824">
        <v>2.8000000000000001E-2</v>
      </c>
      <c r="G1924" s="825"/>
      <c r="H1924" s="826"/>
      <c r="I1924" s="769"/>
      <c r="J1924" s="770"/>
      <c r="K1924" s="771"/>
      <c r="L1924" s="100"/>
      <c r="M1924" s="101"/>
    </row>
    <row r="1925" spans="4:13" ht="20" thickBot="1" x14ac:dyDescent="0.25">
      <c r="D1925" s="89"/>
      <c r="E1925" s="715" t="s">
        <v>434</v>
      </c>
      <c r="F1925" s="824">
        <v>2.8000000000000001E-2</v>
      </c>
      <c r="G1925" s="825"/>
      <c r="H1925" s="826"/>
      <c r="I1925" s="769"/>
      <c r="J1925" s="770"/>
      <c r="K1925" s="771"/>
      <c r="L1925" s="100"/>
      <c r="M1925" s="101"/>
    </row>
    <row r="1926" spans="4:13" ht="20" thickBot="1" x14ac:dyDescent="0.25">
      <c r="D1926" s="89"/>
      <c r="E1926" s="716" t="s">
        <v>435</v>
      </c>
      <c r="F1926" s="811">
        <v>0.5625</v>
      </c>
      <c r="G1926" s="812"/>
      <c r="H1926" s="813"/>
      <c r="I1926" s="769"/>
      <c r="J1926" s="770"/>
      <c r="K1926" s="771"/>
      <c r="L1926" s="107">
        <v>0.79166666666666663</v>
      </c>
      <c r="M1926" s="108">
        <v>0.64583333333333326</v>
      </c>
    </row>
    <row r="1927" spans="4:13" ht="20" thickBot="1" x14ac:dyDescent="0.25">
      <c r="D1927" s="89"/>
      <c r="E1927" s="717" t="s">
        <v>436</v>
      </c>
      <c r="F1927" s="278" t="s">
        <v>29</v>
      </c>
      <c r="G1927" s="278" t="s">
        <v>28</v>
      </c>
      <c r="H1927" s="279" t="s">
        <v>27</v>
      </c>
      <c r="I1927" s="769"/>
      <c r="J1927" s="770"/>
      <c r="K1927" s="771"/>
      <c r="L1927" s="100"/>
      <c r="M1927" s="101"/>
    </row>
    <row r="1928" spans="4:13" x14ac:dyDescent="0.2">
      <c r="D1928" s="89"/>
      <c r="E1928" s="718">
        <v>45623</v>
      </c>
      <c r="F1928" s="725">
        <v>2.8000000000000001E-2</v>
      </c>
      <c r="G1928" s="725" t="s">
        <v>666</v>
      </c>
      <c r="H1928" s="725">
        <v>0.03</v>
      </c>
      <c r="I1928" s="769"/>
      <c r="J1928" s="770"/>
      <c r="K1928" s="771"/>
      <c r="L1928" s="100"/>
      <c r="M1928" s="101"/>
    </row>
    <row r="1929" spans="4:13" x14ac:dyDescent="0.2">
      <c r="D1929" s="89"/>
      <c r="E1929" s="718">
        <v>45595</v>
      </c>
      <c r="F1929" s="725">
        <v>2.8000000000000001E-2</v>
      </c>
      <c r="G1929" s="725" t="s">
        <v>669</v>
      </c>
      <c r="H1929" s="725">
        <v>0.03</v>
      </c>
      <c r="I1929" s="769"/>
      <c r="J1929" s="770"/>
      <c r="K1929" s="771"/>
      <c r="L1929" s="100"/>
      <c r="M1929" s="101"/>
    </row>
    <row r="1930" spans="4:13" x14ac:dyDescent="0.2">
      <c r="D1930" s="89"/>
      <c r="E1930" s="718">
        <v>45561</v>
      </c>
      <c r="F1930" s="725">
        <v>0.03</v>
      </c>
      <c r="G1930" s="725" t="s">
        <v>669</v>
      </c>
      <c r="H1930" s="725">
        <v>1.6E-2</v>
      </c>
      <c r="I1930" s="769"/>
      <c r="J1930" s="770"/>
      <c r="K1930" s="771"/>
      <c r="L1930" s="102"/>
      <c r="M1930" s="101"/>
    </row>
    <row r="1931" spans="4:13" x14ac:dyDescent="0.2">
      <c r="D1931" s="89"/>
      <c r="E1931" s="718">
        <v>45533</v>
      </c>
      <c r="F1931" s="725">
        <v>0.03</v>
      </c>
      <c r="G1931" s="725" t="s">
        <v>666</v>
      </c>
      <c r="H1931" s="725">
        <v>1.4E-2</v>
      </c>
      <c r="I1931" s="769"/>
      <c r="J1931" s="770"/>
      <c r="K1931" s="771"/>
      <c r="L1931" s="100"/>
      <c r="M1931" s="101"/>
    </row>
    <row r="1932" spans="4:13" x14ac:dyDescent="0.2">
      <c r="D1932" s="89"/>
      <c r="E1932" s="718">
        <v>45498</v>
      </c>
      <c r="F1932" s="725">
        <v>2.8000000000000001E-2</v>
      </c>
      <c r="G1932" s="725" t="s">
        <v>788</v>
      </c>
      <c r="H1932" s="725">
        <v>1.4E-2</v>
      </c>
      <c r="I1932" s="769"/>
      <c r="J1932" s="770"/>
      <c r="K1932" s="771"/>
      <c r="L1932" s="100"/>
      <c r="M1932" s="101"/>
    </row>
    <row r="1933" spans="4:13" ht="20" thickBot="1" x14ac:dyDescent="0.25">
      <c r="D1933" s="89"/>
      <c r="E1933" s="718">
        <v>45470</v>
      </c>
      <c r="F1933" s="725">
        <v>1.4E-2</v>
      </c>
      <c r="G1933" s="725" t="s">
        <v>889</v>
      </c>
      <c r="H1933" s="725">
        <v>3.4000000000000002E-2</v>
      </c>
      <c r="I1933" s="772"/>
      <c r="J1933" s="773"/>
      <c r="K1933" s="774"/>
      <c r="L1933" s="103"/>
      <c r="M1933" s="104"/>
    </row>
    <row r="1934" spans="4:13" ht="25" thickBot="1" x14ac:dyDescent="0.25">
      <c r="D1934">
        <v>8</v>
      </c>
      <c r="E1934" s="713" t="s">
        <v>30</v>
      </c>
      <c r="F1934" s="814" t="s">
        <v>1273</v>
      </c>
      <c r="G1934" s="815"/>
      <c r="H1934" s="816"/>
      <c r="I1934" s="846" t="s">
        <v>633</v>
      </c>
      <c r="J1934" s="847"/>
      <c r="K1934" s="848"/>
      <c r="L1934" s="162" t="s">
        <v>430</v>
      </c>
      <c r="M1934" s="106" t="s">
        <v>431</v>
      </c>
    </row>
    <row r="1935" spans="4:13" x14ac:dyDescent="0.2">
      <c r="D1935" s="89"/>
      <c r="E1935" s="714" t="s">
        <v>432</v>
      </c>
      <c r="F1935" s="805"/>
      <c r="G1935" s="806"/>
      <c r="H1935" s="807"/>
      <c r="I1935" s="769" t="s">
        <v>1275</v>
      </c>
      <c r="J1935" s="770"/>
      <c r="K1935" s="771"/>
      <c r="L1935" s="100"/>
      <c r="M1935" s="101"/>
    </row>
    <row r="1936" spans="4:13" x14ac:dyDescent="0.2">
      <c r="D1936" s="89"/>
      <c r="E1936" s="715" t="s">
        <v>433</v>
      </c>
      <c r="F1936" s="820" t="s">
        <v>1274</v>
      </c>
      <c r="G1936" s="821"/>
      <c r="H1936" s="822"/>
      <c r="I1936" s="769"/>
      <c r="J1936" s="770"/>
      <c r="K1936" s="771"/>
      <c r="L1936" s="100"/>
      <c r="M1936" s="101"/>
    </row>
    <row r="1937" spans="4:13" ht="20" thickBot="1" x14ac:dyDescent="0.25">
      <c r="D1937" s="89"/>
      <c r="E1937" s="715" t="s">
        <v>434</v>
      </c>
      <c r="F1937" s="824" t="s">
        <v>897</v>
      </c>
      <c r="G1937" s="825"/>
      <c r="H1937" s="826"/>
      <c r="I1937" s="769"/>
      <c r="J1937" s="770"/>
      <c r="K1937" s="771"/>
      <c r="L1937" s="100"/>
      <c r="M1937" s="101"/>
    </row>
    <row r="1938" spans="4:13" ht="20" thickBot="1" x14ac:dyDescent="0.25">
      <c r="D1938" s="89"/>
      <c r="E1938" s="716" t="s">
        <v>435</v>
      </c>
      <c r="F1938" s="811">
        <v>0.5625</v>
      </c>
      <c r="G1938" s="812"/>
      <c r="H1938" s="813"/>
      <c r="I1938" s="769"/>
      <c r="J1938" s="770"/>
      <c r="K1938" s="771"/>
      <c r="L1938" s="107">
        <v>0.79166666666666663</v>
      </c>
      <c r="M1938" s="108">
        <v>0.64583333333333326</v>
      </c>
    </row>
    <row r="1939" spans="4:13" ht="20" thickBot="1" x14ac:dyDescent="0.25">
      <c r="D1939" s="89"/>
      <c r="E1939" s="717" t="s">
        <v>436</v>
      </c>
      <c r="F1939" s="278" t="s">
        <v>29</v>
      </c>
      <c r="G1939" s="278" t="s">
        <v>28</v>
      </c>
      <c r="H1939" s="279" t="s">
        <v>27</v>
      </c>
      <c r="I1939" s="769"/>
      <c r="J1939" s="770"/>
      <c r="K1939" s="771"/>
      <c r="L1939" s="100"/>
      <c r="M1939" s="101"/>
    </row>
    <row r="1940" spans="4:13" x14ac:dyDescent="0.2">
      <c r="D1940" s="89"/>
      <c r="E1940" s="718">
        <v>45638</v>
      </c>
      <c r="F1940" s="380" t="s">
        <v>980</v>
      </c>
      <c r="G1940" s="380" t="s">
        <v>972</v>
      </c>
      <c r="H1940" s="380" t="s">
        <v>985</v>
      </c>
      <c r="I1940" s="769"/>
      <c r="J1940" s="770"/>
      <c r="K1940" s="771"/>
      <c r="L1940" s="100"/>
      <c r="M1940" s="101"/>
    </row>
    <row r="1941" spans="4:13" x14ac:dyDescent="0.2">
      <c r="D1941" s="89"/>
      <c r="E1941" s="718">
        <v>45631</v>
      </c>
      <c r="F1941" s="380" t="s">
        <v>1032</v>
      </c>
      <c r="G1941" s="380" t="s">
        <v>1232</v>
      </c>
      <c r="H1941" s="380" t="s">
        <v>1232</v>
      </c>
      <c r="I1941" s="769"/>
      <c r="J1941" s="770"/>
      <c r="K1941" s="771"/>
      <c r="L1941" s="100"/>
      <c r="M1941" s="101"/>
    </row>
    <row r="1942" spans="4:13" x14ac:dyDescent="0.2">
      <c r="D1942" s="89"/>
      <c r="E1942" s="718">
        <v>45623</v>
      </c>
      <c r="F1942" s="380" t="s">
        <v>1111</v>
      </c>
      <c r="G1942" s="380" t="s">
        <v>1232</v>
      </c>
      <c r="H1942" s="380" t="s">
        <v>1232</v>
      </c>
      <c r="I1942" s="769"/>
      <c r="J1942" s="770"/>
      <c r="K1942" s="771"/>
      <c r="L1942" s="102"/>
      <c r="M1942" s="101"/>
    </row>
    <row r="1943" spans="4:13" x14ac:dyDescent="0.2">
      <c r="D1943" s="89"/>
      <c r="E1943" s="718">
        <v>45617</v>
      </c>
      <c r="F1943" s="380" t="s">
        <v>1111</v>
      </c>
      <c r="G1943" s="380" t="s">
        <v>1112</v>
      </c>
      <c r="H1943" s="380" t="s">
        <v>987</v>
      </c>
      <c r="I1943" s="769"/>
      <c r="J1943" s="770"/>
      <c r="K1943" s="771"/>
      <c r="L1943" s="100"/>
      <c r="M1943" s="101"/>
    </row>
    <row r="1944" spans="4:13" x14ac:dyDescent="0.2">
      <c r="D1944" s="89"/>
      <c r="E1944" s="718">
        <v>45610</v>
      </c>
      <c r="F1944" s="380" t="s">
        <v>1031</v>
      </c>
      <c r="G1944" s="380" t="s">
        <v>1032</v>
      </c>
      <c r="H1944" s="380" t="s">
        <v>972</v>
      </c>
      <c r="I1944" s="769"/>
      <c r="J1944" s="770"/>
      <c r="K1944" s="771"/>
      <c r="L1944" s="100"/>
      <c r="M1944" s="101"/>
    </row>
    <row r="1945" spans="4:13" ht="20" thickBot="1" x14ac:dyDescent="0.25">
      <c r="D1945" s="89"/>
      <c r="E1945" s="718">
        <v>45603</v>
      </c>
      <c r="F1945" s="380" t="s">
        <v>972</v>
      </c>
      <c r="G1945" s="380" t="s">
        <v>973</v>
      </c>
      <c r="H1945" s="380" t="s">
        <v>974</v>
      </c>
      <c r="I1945" s="772"/>
      <c r="J1945" s="773"/>
      <c r="K1945" s="774"/>
      <c r="L1945" s="103"/>
      <c r="M1945" s="104"/>
    </row>
    <row r="1946" spans="4:13" ht="25" thickBot="1" x14ac:dyDescent="0.25">
      <c r="D1946">
        <v>9</v>
      </c>
      <c r="E1946" s="713" t="s">
        <v>30</v>
      </c>
      <c r="F1946" s="814" t="s">
        <v>1276</v>
      </c>
      <c r="G1946" s="815"/>
      <c r="H1946" s="816"/>
      <c r="I1946" s="849" t="s">
        <v>633</v>
      </c>
      <c r="J1946" s="847"/>
      <c r="K1946" s="848"/>
      <c r="L1946" s="162" t="s">
        <v>430</v>
      </c>
      <c r="M1946" s="106" t="s">
        <v>431</v>
      </c>
    </row>
    <row r="1947" spans="4:13" x14ac:dyDescent="0.2">
      <c r="D1947" s="89"/>
      <c r="E1947" s="714" t="s">
        <v>432</v>
      </c>
      <c r="F1947" s="805"/>
      <c r="G1947" s="806"/>
      <c r="H1947" s="807"/>
      <c r="I1947" s="769" t="s">
        <v>1277</v>
      </c>
      <c r="J1947" s="770"/>
      <c r="K1947" s="771"/>
      <c r="L1947" s="100"/>
      <c r="M1947" s="101"/>
    </row>
    <row r="1948" spans="4:13" x14ac:dyDescent="0.2">
      <c r="D1948" s="89"/>
      <c r="E1948" s="715" t="s">
        <v>433</v>
      </c>
      <c r="F1948" s="827">
        <v>2.5</v>
      </c>
      <c r="G1948" s="825"/>
      <c r="H1948" s="826"/>
      <c r="I1948" s="769"/>
      <c r="J1948" s="770"/>
      <c r="K1948" s="771"/>
      <c r="L1948" s="100"/>
      <c r="M1948" s="101"/>
    </row>
    <row r="1949" spans="4:13" ht="20" thickBot="1" x14ac:dyDescent="0.25">
      <c r="D1949" s="89"/>
      <c r="E1949" s="715" t="s">
        <v>434</v>
      </c>
      <c r="F1949" s="831">
        <v>-5.5</v>
      </c>
      <c r="G1949" s="832"/>
      <c r="H1949" s="833"/>
      <c r="I1949" s="769"/>
      <c r="J1949" s="770"/>
      <c r="K1949" s="771"/>
      <c r="L1949" s="100"/>
      <c r="M1949" s="101"/>
    </row>
    <row r="1950" spans="4:13" ht="20" thickBot="1" x14ac:dyDescent="0.25">
      <c r="D1950" s="89"/>
      <c r="E1950" s="716" t="s">
        <v>435</v>
      </c>
      <c r="F1950" s="811">
        <v>0.5625</v>
      </c>
      <c r="G1950" s="812"/>
      <c r="H1950" s="813"/>
      <c r="I1950" s="769"/>
      <c r="J1950" s="770"/>
      <c r="K1950" s="771"/>
      <c r="L1950" s="107">
        <v>0.79166666666666663</v>
      </c>
      <c r="M1950" s="108">
        <v>0.64583333333333326</v>
      </c>
    </row>
    <row r="1951" spans="4:13" ht="20" thickBot="1" x14ac:dyDescent="0.25">
      <c r="D1951" s="89"/>
      <c r="E1951" s="717" t="s">
        <v>436</v>
      </c>
      <c r="F1951" s="278" t="s">
        <v>29</v>
      </c>
      <c r="G1951" s="278" t="s">
        <v>28</v>
      </c>
      <c r="H1951" s="279" t="s">
        <v>27</v>
      </c>
      <c r="I1951" s="769"/>
      <c r="J1951" s="770"/>
      <c r="K1951" s="771"/>
      <c r="L1951" s="100"/>
      <c r="M1951" s="101"/>
    </row>
    <row r="1952" spans="4:13" x14ac:dyDescent="0.2">
      <c r="D1952" s="89"/>
      <c r="E1952" s="718">
        <v>45617</v>
      </c>
      <c r="F1952" s="389">
        <v>-5.5</v>
      </c>
      <c r="G1952" s="389" t="s">
        <v>1292</v>
      </c>
      <c r="H1952" s="389">
        <v>10.3</v>
      </c>
      <c r="I1952" s="769"/>
      <c r="J1952" s="770"/>
      <c r="K1952" s="771"/>
      <c r="L1952" s="100"/>
      <c r="M1952" s="215"/>
    </row>
    <row r="1953" spans="4:13" x14ac:dyDescent="0.2">
      <c r="D1953" s="89"/>
      <c r="E1953" s="718">
        <v>45582</v>
      </c>
      <c r="F1953" s="389">
        <v>10.3</v>
      </c>
      <c r="G1953" s="389" t="s">
        <v>1033</v>
      </c>
      <c r="H1953" s="389">
        <v>1.7</v>
      </c>
      <c r="I1953" s="769"/>
      <c r="J1953" s="770"/>
      <c r="K1953" s="771"/>
      <c r="L1953" s="100"/>
      <c r="M1953" s="101"/>
    </row>
    <row r="1954" spans="4:13" x14ac:dyDescent="0.2">
      <c r="D1954" s="89"/>
      <c r="E1954" s="718">
        <v>45554</v>
      </c>
      <c r="F1954" s="389">
        <v>1.7</v>
      </c>
      <c r="G1954" s="389" t="s">
        <v>1034</v>
      </c>
      <c r="H1954" s="389">
        <v>-7</v>
      </c>
      <c r="I1954" s="769"/>
      <c r="J1954" s="770"/>
      <c r="K1954" s="771"/>
      <c r="L1954" s="102"/>
      <c r="M1954" s="101"/>
    </row>
    <row r="1955" spans="4:13" x14ac:dyDescent="0.2">
      <c r="D1955" s="89"/>
      <c r="E1955" s="718">
        <v>45519</v>
      </c>
      <c r="F1955" s="389">
        <v>-7</v>
      </c>
      <c r="G1955" s="389" t="s">
        <v>1035</v>
      </c>
      <c r="H1955" s="389">
        <v>13.9</v>
      </c>
      <c r="I1955" s="769"/>
      <c r="J1955" s="770"/>
      <c r="K1955" s="771"/>
      <c r="L1955" s="100"/>
      <c r="M1955" s="101"/>
    </row>
    <row r="1956" spans="4:13" x14ac:dyDescent="0.2">
      <c r="D1956" s="89"/>
      <c r="E1956" s="718">
        <v>45491</v>
      </c>
      <c r="F1956" s="389">
        <v>13.9</v>
      </c>
      <c r="G1956" s="389" t="s">
        <v>1036</v>
      </c>
      <c r="H1956" s="389">
        <v>1.3</v>
      </c>
      <c r="I1956" s="769"/>
      <c r="J1956" s="770"/>
      <c r="K1956" s="771"/>
      <c r="L1956" s="100"/>
      <c r="M1956" s="101"/>
    </row>
    <row r="1957" spans="4:13" ht="20" thickBot="1" x14ac:dyDescent="0.25">
      <c r="D1957" s="89"/>
      <c r="E1957" s="718">
        <v>45463</v>
      </c>
      <c r="F1957" s="389">
        <v>1.3</v>
      </c>
      <c r="G1957" s="389" t="s">
        <v>1037</v>
      </c>
      <c r="H1957" s="389">
        <v>4.5</v>
      </c>
      <c r="I1957" s="772"/>
      <c r="J1957" s="773"/>
      <c r="K1957" s="774"/>
      <c r="L1957" s="103"/>
      <c r="M1957" s="104"/>
    </row>
    <row r="1958" spans="4:13" ht="25" thickBot="1" x14ac:dyDescent="0.25">
      <c r="D1958" s="89" t="s">
        <v>105</v>
      </c>
      <c r="E1958" s="713" t="s">
        <v>30</v>
      </c>
      <c r="F1958" s="814" t="s">
        <v>1278</v>
      </c>
      <c r="G1958" s="815"/>
      <c r="H1958" s="816"/>
      <c r="I1958" s="849" t="s">
        <v>633</v>
      </c>
      <c r="J1958" s="847"/>
      <c r="K1958" s="848"/>
      <c r="L1958" s="162" t="s">
        <v>430</v>
      </c>
      <c r="M1958" s="106" t="s">
        <v>431</v>
      </c>
    </row>
    <row r="1959" spans="4:13" x14ac:dyDescent="0.2">
      <c r="D1959" s="89"/>
      <c r="E1959" s="714" t="s">
        <v>432</v>
      </c>
      <c r="F1959" s="805"/>
      <c r="G1959" s="806"/>
      <c r="H1959" s="807"/>
      <c r="I1959" s="769" t="s">
        <v>1279</v>
      </c>
      <c r="J1959" s="770"/>
      <c r="K1959" s="771"/>
      <c r="L1959" s="100"/>
      <c r="M1959" s="101"/>
    </row>
    <row r="1960" spans="4:13" x14ac:dyDescent="0.2">
      <c r="D1960" s="89"/>
      <c r="E1960" s="715" t="s">
        <v>433</v>
      </c>
      <c r="F1960" s="824" t="s">
        <v>78</v>
      </c>
      <c r="G1960" s="825"/>
      <c r="H1960" s="826"/>
      <c r="I1960" s="769"/>
      <c r="J1960" s="770"/>
      <c r="K1960" s="771"/>
      <c r="L1960" s="100"/>
      <c r="M1960" s="101"/>
    </row>
    <row r="1961" spans="4:13" ht="20" thickBot="1" x14ac:dyDescent="0.25">
      <c r="D1961" s="89"/>
      <c r="E1961" s="715" t="s">
        <v>434</v>
      </c>
      <c r="F1961" s="824" t="s">
        <v>351</v>
      </c>
      <c r="G1961" s="825"/>
      <c r="H1961" s="826"/>
      <c r="I1961" s="769"/>
      <c r="J1961" s="770"/>
      <c r="K1961" s="771"/>
      <c r="L1961" s="100"/>
      <c r="M1961" s="101"/>
    </row>
    <row r="1962" spans="4:13" ht="20" thickBot="1" x14ac:dyDescent="0.25">
      <c r="D1962" s="89"/>
      <c r="E1962" s="716" t="s">
        <v>435</v>
      </c>
      <c r="F1962" s="811">
        <v>0.625</v>
      </c>
      <c r="G1962" s="812"/>
      <c r="H1962" s="813"/>
      <c r="I1962" s="769"/>
      <c r="J1962" s="770"/>
      <c r="K1962" s="771"/>
      <c r="L1962" s="107">
        <v>0.85416666666666663</v>
      </c>
      <c r="M1962" s="108">
        <v>0.70833333333333326</v>
      </c>
    </row>
    <row r="1963" spans="4:13" ht="20" thickBot="1" x14ac:dyDescent="0.25">
      <c r="D1963" s="89"/>
      <c r="E1963" s="717" t="s">
        <v>436</v>
      </c>
      <c r="F1963" s="278" t="s">
        <v>29</v>
      </c>
      <c r="G1963" s="278" t="s">
        <v>28</v>
      </c>
      <c r="H1963" s="279" t="s">
        <v>27</v>
      </c>
      <c r="I1963" s="769"/>
      <c r="J1963" s="770"/>
      <c r="K1963" s="771"/>
      <c r="L1963" s="100"/>
      <c r="M1963" s="101"/>
    </row>
    <row r="1964" spans="4:13" x14ac:dyDescent="0.2">
      <c r="D1964" s="89"/>
      <c r="E1964" s="718">
        <v>45617</v>
      </c>
      <c r="F1964" s="380" t="s">
        <v>1043</v>
      </c>
      <c r="G1964" s="380" t="s">
        <v>1044</v>
      </c>
      <c r="H1964" s="380" t="s">
        <v>1293</v>
      </c>
      <c r="I1964" s="769"/>
      <c r="J1964" s="770"/>
      <c r="K1964" s="771"/>
      <c r="L1964" s="100"/>
      <c r="M1964" s="215"/>
    </row>
    <row r="1965" spans="4:13" x14ac:dyDescent="0.2">
      <c r="D1965" s="89"/>
      <c r="E1965" s="718">
        <v>45588</v>
      </c>
      <c r="F1965" s="380" t="s">
        <v>1039</v>
      </c>
      <c r="G1965" s="380" t="s">
        <v>1040</v>
      </c>
      <c r="H1965" s="380" t="s">
        <v>1040</v>
      </c>
      <c r="I1965" s="769"/>
      <c r="J1965" s="770"/>
      <c r="K1965" s="771"/>
      <c r="L1965" s="100"/>
      <c r="M1965" s="101"/>
    </row>
    <row r="1966" spans="4:13" x14ac:dyDescent="0.2">
      <c r="D1966" s="89"/>
      <c r="E1966" s="718">
        <v>45554</v>
      </c>
      <c r="F1966" s="380" t="s">
        <v>1041</v>
      </c>
      <c r="G1966" s="380" t="s">
        <v>1042</v>
      </c>
      <c r="H1966" s="380" t="s">
        <v>1043</v>
      </c>
      <c r="I1966" s="769"/>
      <c r="J1966" s="770"/>
      <c r="K1966" s="771"/>
      <c r="L1966" s="102"/>
      <c r="M1966" s="101"/>
    </row>
    <row r="1967" spans="4:13" x14ac:dyDescent="0.2">
      <c r="D1967" s="89"/>
      <c r="E1967" s="718">
        <v>45526</v>
      </c>
      <c r="F1967" s="380" t="s">
        <v>1044</v>
      </c>
      <c r="G1967" s="380" t="s">
        <v>1045</v>
      </c>
      <c r="H1967" s="380" t="s">
        <v>1046</v>
      </c>
      <c r="I1967" s="769"/>
      <c r="J1967" s="770"/>
      <c r="K1967" s="771"/>
      <c r="L1967" s="100"/>
      <c r="M1967" s="101"/>
    </row>
    <row r="1968" spans="4:13" x14ac:dyDescent="0.2">
      <c r="D1968" s="89"/>
      <c r="E1968" s="718">
        <v>45496</v>
      </c>
      <c r="F1968" s="380" t="s">
        <v>1047</v>
      </c>
      <c r="G1968" s="380" t="s">
        <v>1048</v>
      </c>
      <c r="H1968" s="380" t="s">
        <v>1049</v>
      </c>
      <c r="I1968" s="769"/>
      <c r="J1968" s="770"/>
      <c r="K1968" s="771"/>
      <c r="L1968" s="100"/>
      <c r="M1968" s="101"/>
    </row>
    <row r="1969" spans="4:13" ht="20" thickBot="1" x14ac:dyDescent="0.25">
      <c r="D1969" s="89"/>
      <c r="E1969" s="718">
        <v>45464</v>
      </c>
      <c r="F1969" s="380" t="s">
        <v>1049</v>
      </c>
      <c r="G1969" s="380" t="s">
        <v>1050</v>
      </c>
      <c r="H1969" s="380" t="s">
        <v>1051</v>
      </c>
      <c r="I1969" s="772"/>
      <c r="J1969" s="773"/>
      <c r="K1969" s="774"/>
      <c r="L1969" s="103"/>
      <c r="M1969" s="104"/>
    </row>
    <row r="1970" spans="4:13" ht="25" thickBot="1" x14ac:dyDescent="0.25">
      <c r="D1970">
        <v>10</v>
      </c>
      <c r="E1970" s="713" t="s">
        <v>30</v>
      </c>
      <c r="F1970" s="814" t="s">
        <v>1280</v>
      </c>
      <c r="G1970" s="815"/>
      <c r="H1970" s="816"/>
      <c r="I1970" s="849" t="s">
        <v>633</v>
      </c>
      <c r="J1970" s="847"/>
      <c r="K1970" s="848"/>
      <c r="L1970" s="162" t="s">
        <v>430</v>
      </c>
      <c r="M1970" s="106" t="s">
        <v>431</v>
      </c>
    </row>
    <row r="1971" spans="4:13" x14ac:dyDescent="0.2">
      <c r="D1971" s="89"/>
      <c r="E1971" s="714" t="s">
        <v>432</v>
      </c>
      <c r="F1971" s="805"/>
      <c r="G1971" s="806"/>
      <c r="H1971" s="807"/>
      <c r="I1971" s="769" t="s">
        <v>1281</v>
      </c>
      <c r="J1971" s="770"/>
      <c r="K1971" s="771"/>
      <c r="L1971" s="100"/>
      <c r="M1971" s="101"/>
    </row>
    <row r="1972" spans="4:13" x14ac:dyDescent="0.2">
      <c r="D1972" s="89"/>
      <c r="E1972" s="715" t="s">
        <v>433</v>
      </c>
      <c r="F1972" s="824">
        <v>2E-3</v>
      </c>
      <c r="G1972" s="825"/>
      <c r="H1972" s="826"/>
      <c r="I1972" s="769"/>
      <c r="J1972" s="770"/>
      <c r="K1972" s="771"/>
      <c r="L1972" s="100"/>
      <c r="M1972" s="101"/>
    </row>
    <row r="1973" spans="4:13" ht="20" thickBot="1" x14ac:dyDescent="0.25">
      <c r="D1973" s="89"/>
      <c r="E1973" s="715" t="s">
        <v>434</v>
      </c>
      <c r="F1973" s="824">
        <v>3.0000000000000001E-3</v>
      </c>
      <c r="G1973" s="825"/>
      <c r="H1973" s="826"/>
      <c r="I1973" s="769"/>
      <c r="J1973" s="770"/>
      <c r="K1973" s="771"/>
      <c r="L1973" s="100"/>
      <c r="M1973" s="101"/>
    </row>
    <row r="1974" spans="4:13" ht="20" thickBot="1" x14ac:dyDescent="0.25">
      <c r="D1974" s="89"/>
      <c r="E1974" s="716" t="s">
        <v>435</v>
      </c>
      <c r="F1974" s="811">
        <v>0.5625</v>
      </c>
      <c r="G1974" s="812"/>
      <c r="H1974" s="813"/>
      <c r="I1974" s="769"/>
      <c r="J1974" s="770"/>
      <c r="K1974" s="771"/>
      <c r="L1974" s="107">
        <v>0.79166666666666663</v>
      </c>
      <c r="M1974" s="108">
        <v>0.64583333333333326</v>
      </c>
    </row>
    <row r="1975" spans="4:13" ht="20" thickBot="1" x14ac:dyDescent="0.25">
      <c r="D1975" s="89"/>
      <c r="E1975" s="717" t="s">
        <v>436</v>
      </c>
      <c r="F1975" s="278" t="s">
        <v>29</v>
      </c>
      <c r="G1975" s="278" t="s">
        <v>28</v>
      </c>
      <c r="H1975" s="279" t="s">
        <v>27</v>
      </c>
      <c r="I1975" s="769"/>
      <c r="J1975" s="770"/>
      <c r="K1975" s="771"/>
      <c r="L1975" s="100"/>
      <c r="M1975" s="101"/>
    </row>
    <row r="1976" spans="4:13" x14ac:dyDescent="0.2">
      <c r="D1976" s="89"/>
      <c r="E1976" s="718">
        <v>45623</v>
      </c>
      <c r="F1976" s="380">
        <v>3.0000000000000001E-3</v>
      </c>
      <c r="G1976" s="380" t="s">
        <v>467</v>
      </c>
      <c r="H1976" s="380">
        <v>3.0000000000000001E-3</v>
      </c>
      <c r="I1976" s="769"/>
      <c r="J1976" s="770"/>
      <c r="K1976" s="771"/>
      <c r="L1976" s="100"/>
      <c r="M1976" s="215"/>
    </row>
    <row r="1977" spans="4:13" x14ac:dyDescent="0.2">
      <c r="D1977" s="89"/>
      <c r="E1977" s="718">
        <v>45596</v>
      </c>
      <c r="F1977" s="380">
        <v>3.0000000000000001E-3</v>
      </c>
      <c r="G1977" s="380" t="s">
        <v>467</v>
      </c>
      <c r="H1977" s="380">
        <v>2E-3</v>
      </c>
      <c r="I1977" s="769"/>
      <c r="J1977" s="770"/>
      <c r="K1977" s="771"/>
      <c r="L1977" s="100"/>
      <c r="M1977" s="101"/>
    </row>
    <row r="1978" spans="4:13" x14ac:dyDescent="0.2">
      <c r="D1978" s="89"/>
      <c r="E1978" s="718">
        <v>45562</v>
      </c>
      <c r="F1978" s="380">
        <v>1E-3</v>
      </c>
      <c r="G1978" s="380" t="s">
        <v>460</v>
      </c>
      <c r="H1978" s="380">
        <v>2E-3</v>
      </c>
      <c r="I1978" s="769"/>
      <c r="J1978" s="770"/>
      <c r="K1978" s="771"/>
      <c r="L1978" s="102"/>
      <c r="M1978" s="101"/>
    </row>
    <row r="1979" spans="4:13" x14ac:dyDescent="0.2">
      <c r="D1979" s="89"/>
      <c r="E1979" s="718">
        <v>45534</v>
      </c>
      <c r="F1979" s="380">
        <v>2E-3</v>
      </c>
      <c r="G1979" s="380" t="s">
        <v>460</v>
      </c>
      <c r="H1979" s="380">
        <v>2E-3</v>
      </c>
      <c r="I1979" s="769"/>
      <c r="J1979" s="770"/>
      <c r="K1979" s="771"/>
      <c r="L1979" s="100"/>
      <c r="M1979" s="101"/>
    </row>
    <row r="1980" spans="4:13" x14ac:dyDescent="0.2">
      <c r="D1980" s="89"/>
      <c r="E1980" s="718">
        <v>45499</v>
      </c>
      <c r="F1980" s="380">
        <v>2E-3</v>
      </c>
      <c r="G1980" s="380" t="s">
        <v>460</v>
      </c>
      <c r="H1980" s="380">
        <v>1E-3</v>
      </c>
      <c r="I1980" s="769"/>
      <c r="J1980" s="770"/>
      <c r="K1980" s="771"/>
      <c r="L1980" s="100"/>
      <c r="M1980" s="101"/>
    </row>
    <row r="1981" spans="4:13" ht="20" thickBot="1" x14ac:dyDescent="0.25">
      <c r="D1981" s="89"/>
      <c r="E1981" s="718">
        <v>45471</v>
      </c>
      <c r="F1981" s="380">
        <v>1E-3</v>
      </c>
      <c r="G1981" s="380" t="s">
        <v>462</v>
      </c>
      <c r="H1981" s="380">
        <v>3.0000000000000001E-3</v>
      </c>
      <c r="I1981" s="772"/>
      <c r="J1981" s="773"/>
      <c r="K1981" s="774"/>
      <c r="L1981" s="103"/>
      <c r="M1981" s="104"/>
    </row>
    <row r="1982" spans="4:13" ht="25" thickBot="1" x14ac:dyDescent="0.25">
      <c r="D1982" t="e">
        <v>#VALUE!</v>
      </c>
      <c r="E1982" s="713" t="s">
        <v>30</v>
      </c>
      <c r="F1982" s="814" t="s">
        <v>1282</v>
      </c>
      <c r="G1982" s="815"/>
      <c r="H1982" s="816"/>
      <c r="I1982" s="849" t="s">
        <v>633</v>
      </c>
      <c r="J1982" s="847"/>
      <c r="K1982" s="848"/>
      <c r="L1982" s="162" t="s">
        <v>430</v>
      </c>
      <c r="M1982" s="106" t="s">
        <v>431</v>
      </c>
    </row>
    <row r="1983" spans="4:13" x14ac:dyDescent="0.2">
      <c r="D1983" s="89"/>
      <c r="E1983" s="714" t="s">
        <v>432</v>
      </c>
      <c r="F1983" s="805"/>
      <c r="G1983" s="806"/>
      <c r="H1983" s="807"/>
      <c r="I1983" s="769" t="s">
        <v>1283</v>
      </c>
      <c r="J1983" s="770"/>
      <c r="K1983" s="771"/>
      <c r="L1983" s="100"/>
      <c r="M1983" s="101"/>
    </row>
    <row r="1984" spans="4:13" x14ac:dyDescent="0.2">
      <c r="D1984" s="89"/>
      <c r="E1984" s="715" t="s">
        <v>433</v>
      </c>
      <c r="F1984" s="824"/>
      <c r="G1984" s="825"/>
      <c r="H1984" s="826"/>
      <c r="I1984" s="769"/>
      <c r="J1984" s="770"/>
      <c r="K1984" s="771"/>
      <c r="L1984" s="100"/>
      <c r="M1984" s="101"/>
    </row>
    <row r="1985" spans="4:13" ht="20" thickBot="1" x14ac:dyDescent="0.25">
      <c r="D1985" s="89"/>
      <c r="E1985" s="715" t="s">
        <v>434</v>
      </c>
      <c r="F1985" s="824">
        <v>2.8000000000000001E-2</v>
      </c>
      <c r="G1985" s="825"/>
      <c r="H1985" s="826"/>
      <c r="I1985" s="769"/>
      <c r="J1985" s="770"/>
      <c r="K1985" s="771"/>
      <c r="L1985" s="100"/>
      <c r="M1985" s="101"/>
    </row>
    <row r="1986" spans="4:13" ht="20" thickBot="1" x14ac:dyDescent="0.25">
      <c r="D1986" s="89"/>
      <c r="E1986" s="716" t="s">
        <v>435</v>
      </c>
      <c r="F1986" s="811">
        <v>0.5625</v>
      </c>
      <c r="G1986" s="812"/>
      <c r="H1986" s="813"/>
      <c r="I1986" s="769"/>
      <c r="J1986" s="770"/>
      <c r="K1986" s="771"/>
      <c r="L1986" s="107">
        <v>0.79166666666666663</v>
      </c>
      <c r="M1986" s="108">
        <v>0.64583333333333326</v>
      </c>
    </row>
    <row r="1987" spans="4:13" ht="20" thickBot="1" x14ac:dyDescent="0.25">
      <c r="D1987" s="89"/>
      <c r="E1987" s="717" t="s">
        <v>436</v>
      </c>
      <c r="F1987" s="278" t="s">
        <v>29</v>
      </c>
      <c r="G1987" s="278" t="s">
        <v>28</v>
      </c>
      <c r="H1987" s="279" t="s">
        <v>27</v>
      </c>
      <c r="I1987" s="769"/>
      <c r="J1987" s="770"/>
      <c r="K1987" s="771"/>
      <c r="L1987" s="100"/>
      <c r="M1987" s="101"/>
    </row>
    <row r="1988" spans="4:13" x14ac:dyDescent="0.2">
      <c r="D1988" s="89"/>
      <c r="E1988" s="718">
        <v>45623</v>
      </c>
      <c r="F1988" s="380">
        <v>2.8000000000000001E-2</v>
      </c>
      <c r="G1988" s="380" t="s">
        <v>666</v>
      </c>
      <c r="H1988" s="380">
        <v>2.7E-2</v>
      </c>
      <c r="I1988" s="769"/>
      <c r="J1988" s="770"/>
      <c r="K1988" s="771"/>
      <c r="L1988" s="100"/>
      <c r="M1988" s="215"/>
    </row>
    <row r="1989" spans="4:13" x14ac:dyDescent="0.2">
      <c r="D1989" s="89"/>
      <c r="E1989" s="718">
        <v>45596</v>
      </c>
      <c r="F1989" s="380">
        <v>2.7E-2</v>
      </c>
      <c r="G1989" s="380" t="s">
        <v>493</v>
      </c>
      <c r="H1989" s="380">
        <v>2.7E-2</v>
      </c>
      <c r="I1989" s="769"/>
      <c r="J1989" s="770"/>
      <c r="K1989" s="771"/>
      <c r="L1989" s="100"/>
      <c r="M1989" s="101"/>
    </row>
    <row r="1990" spans="4:13" x14ac:dyDescent="0.2">
      <c r="D1990" s="89"/>
      <c r="E1990" s="718">
        <v>45562</v>
      </c>
      <c r="F1990" s="380">
        <v>2.7E-2</v>
      </c>
      <c r="G1990" s="380" t="s">
        <v>665</v>
      </c>
      <c r="H1990" s="380">
        <v>2.5999999999999999E-2</v>
      </c>
      <c r="I1990" s="769"/>
      <c r="J1990" s="770"/>
      <c r="K1990" s="771"/>
      <c r="L1990" s="102"/>
      <c r="M1990" s="101"/>
    </row>
    <row r="1991" spans="4:13" x14ac:dyDescent="0.2">
      <c r="D1991" s="89"/>
      <c r="E1991" s="718">
        <v>45534</v>
      </c>
      <c r="F1991" s="380">
        <v>2.5999999999999999E-2</v>
      </c>
      <c r="G1991" s="380" t="s">
        <v>665</v>
      </c>
      <c r="H1991" s="380">
        <v>2.5999999999999999E-2</v>
      </c>
      <c r="I1991" s="769"/>
      <c r="J1991" s="770"/>
      <c r="K1991" s="771"/>
      <c r="L1991" s="100"/>
      <c r="M1991" s="101"/>
    </row>
    <row r="1992" spans="4:13" x14ac:dyDescent="0.2">
      <c r="D1992" s="89"/>
      <c r="E1992" s="718">
        <v>45499</v>
      </c>
      <c r="F1992" s="380">
        <v>2.5999999999999999E-2</v>
      </c>
      <c r="G1992" s="380" t="s">
        <v>495</v>
      </c>
      <c r="H1992" s="380">
        <v>2.5999999999999999E-2</v>
      </c>
      <c r="I1992" s="769"/>
      <c r="J1992" s="770"/>
      <c r="K1992" s="771"/>
      <c r="L1992" s="100"/>
      <c r="M1992" s="101"/>
    </row>
    <row r="1993" spans="4:13" ht="20" thickBot="1" x14ac:dyDescent="0.25">
      <c r="D1993" s="89"/>
      <c r="E1993" s="718">
        <v>45471</v>
      </c>
      <c r="F1993" s="380">
        <v>2.5999999999999999E-2</v>
      </c>
      <c r="G1993" s="380" t="s">
        <v>493</v>
      </c>
      <c r="H1993" s="380">
        <v>2.8000000000000001E-2</v>
      </c>
      <c r="I1993" s="772"/>
      <c r="J1993" s="773"/>
      <c r="K1993" s="774"/>
      <c r="L1993" s="103"/>
      <c r="M1993" s="104"/>
    </row>
    <row r="1994" spans="4:13" ht="25" thickBot="1" x14ac:dyDescent="0.25">
      <c r="D1994">
        <v>1</v>
      </c>
      <c r="E1994" s="713" t="s">
        <v>30</v>
      </c>
      <c r="F1994" s="814" t="s">
        <v>1295</v>
      </c>
      <c r="G1994" s="815"/>
      <c r="H1994" s="816"/>
      <c r="I1994" s="846" t="s">
        <v>633</v>
      </c>
      <c r="J1994" s="847"/>
      <c r="K1994" s="848"/>
      <c r="L1994" s="162" t="s">
        <v>430</v>
      </c>
      <c r="M1994" s="106" t="s">
        <v>431</v>
      </c>
    </row>
    <row r="1995" spans="4:13" x14ac:dyDescent="0.2">
      <c r="E1995" s="714" t="s">
        <v>432</v>
      </c>
      <c r="F1995" s="805"/>
      <c r="G1995" s="806"/>
      <c r="H1995" s="807"/>
      <c r="I1995" s="769" t="s">
        <v>1296</v>
      </c>
      <c r="J1995" s="770"/>
      <c r="K1995" s="771"/>
      <c r="L1995" s="100"/>
      <c r="M1995" s="101"/>
    </row>
    <row r="1996" spans="4:13" x14ac:dyDescent="0.2">
      <c r="E1996" s="715" t="s">
        <v>433</v>
      </c>
      <c r="F1996" s="808">
        <v>1E-3</v>
      </c>
      <c r="G1996" s="809"/>
      <c r="H1996" s="810"/>
      <c r="I1996" s="769"/>
      <c r="J1996" s="770"/>
      <c r="K1996" s="771"/>
      <c r="L1996" s="100"/>
      <c r="M1996" s="101"/>
    </row>
    <row r="1997" spans="4:13" ht="20" thickBot="1" x14ac:dyDescent="0.25">
      <c r="E1997" s="715" t="s">
        <v>434</v>
      </c>
      <c r="F1997" s="808">
        <v>5.0000000000000001E-3</v>
      </c>
      <c r="G1997" s="809"/>
      <c r="H1997" s="810"/>
      <c r="I1997" s="769"/>
      <c r="J1997" s="770"/>
      <c r="K1997" s="771"/>
      <c r="L1997" s="100"/>
      <c r="M1997" s="101"/>
    </row>
    <row r="1998" spans="4:13" ht="20" thickBot="1" x14ac:dyDescent="0.25">
      <c r="E1998" s="716" t="s">
        <v>435</v>
      </c>
      <c r="F1998" s="811">
        <v>0.29166666666666674</v>
      </c>
      <c r="G1998" s="812"/>
      <c r="H1998" s="813"/>
      <c r="I1998" s="769"/>
      <c r="J1998" s="770"/>
      <c r="K1998" s="771"/>
      <c r="L1998" s="107">
        <v>0.52083333333333337</v>
      </c>
      <c r="M1998" s="108">
        <v>0.375</v>
      </c>
    </row>
    <row r="1999" spans="4:13" ht="20" thickBot="1" x14ac:dyDescent="0.25">
      <c r="E1999" s="717" t="s">
        <v>436</v>
      </c>
      <c r="F1999" s="278" t="s">
        <v>29</v>
      </c>
      <c r="G1999" s="278" t="s">
        <v>28</v>
      </c>
      <c r="H1999" s="279" t="s">
        <v>27</v>
      </c>
      <c r="I1999" s="769"/>
      <c r="J1999" s="770"/>
      <c r="K1999" s="771"/>
      <c r="L1999" s="100"/>
      <c r="M1999" s="101"/>
    </row>
    <row r="2000" spans="4:13" x14ac:dyDescent="0.2">
      <c r="E2000" s="718">
        <v>45611</v>
      </c>
      <c r="F2000" s="380">
        <v>1E-3</v>
      </c>
      <c r="G2000" s="380" t="s">
        <v>460</v>
      </c>
      <c r="H2000" s="380">
        <v>5.0000000000000001E-3</v>
      </c>
      <c r="I2000" s="769"/>
      <c r="J2000" s="770"/>
      <c r="K2000" s="771"/>
      <c r="L2000" s="100"/>
      <c r="M2000" s="101"/>
    </row>
    <row r="2001" spans="4:13" x14ac:dyDescent="0.2">
      <c r="E2001" s="718">
        <v>45565</v>
      </c>
      <c r="F2001" s="380">
        <v>5.0000000000000001E-3</v>
      </c>
      <c r="G2001" s="380" t="s">
        <v>449</v>
      </c>
      <c r="H2001" s="380">
        <v>7.0000000000000001E-3</v>
      </c>
      <c r="I2001" s="769"/>
      <c r="J2001" s="770"/>
      <c r="K2001" s="771"/>
      <c r="L2001" s="100"/>
      <c r="M2001" s="101"/>
    </row>
    <row r="2002" spans="4:13" x14ac:dyDescent="0.2">
      <c r="E2002" s="718">
        <v>45519</v>
      </c>
      <c r="F2002" s="380">
        <v>6.0000000000000001E-3</v>
      </c>
      <c r="G2002" s="380" t="s">
        <v>449</v>
      </c>
      <c r="H2002" s="380">
        <v>7.0000000000000001E-3</v>
      </c>
      <c r="I2002" s="769"/>
      <c r="J2002" s="770"/>
      <c r="K2002" s="771"/>
      <c r="L2002" s="102"/>
      <c r="M2002" s="101"/>
    </row>
    <row r="2003" spans="4:13" x14ac:dyDescent="0.2">
      <c r="E2003" s="718">
        <v>45471</v>
      </c>
      <c r="F2003" s="380">
        <v>7.0000000000000001E-3</v>
      </c>
      <c r="G2003" s="380" t="s">
        <v>449</v>
      </c>
      <c r="H2003" s="380">
        <v>-3.0000000000000001E-3</v>
      </c>
      <c r="I2003" s="769"/>
      <c r="J2003" s="770"/>
      <c r="K2003" s="771"/>
      <c r="L2003" s="100"/>
      <c r="M2003" s="101"/>
    </row>
    <row r="2004" spans="4:13" x14ac:dyDescent="0.2">
      <c r="E2004" s="718">
        <v>45422</v>
      </c>
      <c r="F2004" s="380">
        <v>6.0000000000000001E-3</v>
      </c>
      <c r="G2004" s="380" t="s">
        <v>452</v>
      </c>
      <c r="H2004" s="380">
        <v>-3.0000000000000001E-3</v>
      </c>
      <c r="I2004" s="769"/>
      <c r="J2004" s="770"/>
      <c r="K2004" s="771"/>
      <c r="L2004" s="100"/>
      <c r="M2004" s="101"/>
    </row>
    <row r="2005" spans="4:13" ht="20" thickBot="1" x14ac:dyDescent="0.25">
      <c r="E2005" s="718">
        <v>45379</v>
      </c>
      <c r="F2005" s="380">
        <v>-3.0000000000000001E-3</v>
      </c>
      <c r="G2005" s="380" t="s">
        <v>454</v>
      </c>
      <c r="H2005" s="380">
        <v>-1E-3</v>
      </c>
      <c r="I2005" s="772"/>
      <c r="J2005" s="773"/>
      <c r="K2005" s="774"/>
      <c r="L2005" s="103"/>
      <c r="M2005" s="104"/>
    </row>
    <row r="2006" spans="4:13" ht="25" thickBot="1" x14ac:dyDescent="0.25">
      <c r="D2006">
        <v>1</v>
      </c>
      <c r="E2006" s="713" t="s">
        <v>30</v>
      </c>
      <c r="F2006" s="814" t="s">
        <v>1297</v>
      </c>
      <c r="G2006" s="815"/>
      <c r="H2006" s="816"/>
      <c r="I2006" s="846" t="s">
        <v>633</v>
      </c>
      <c r="J2006" s="847"/>
      <c r="K2006" s="848"/>
      <c r="L2006" s="162" t="s">
        <v>430</v>
      </c>
      <c r="M2006" s="106" t="s">
        <v>431</v>
      </c>
    </row>
    <row r="2007" spans="4:13" x14ac:dyDescent="0.2">
      <c r="E2007" s="714" t="s">
        <v>432</v>
      </c>
      <c r="F2007" s="805"/>
      <c r="G2007" s="806"/>
      <c r="H2007" s="807"/>
      <c r="I2007" s="769" t="s">
        <v>1296</v>
      </c>
      <c r="J2007" s="770"/>
      <c r="K2007" s="771"/>
      <c r="L2007" s="100"/>
      <c r="M2007" s="101"/>
    </row>
    <row r="2008" spans="4:13" x14ac:dyDescent="0.2">
      <c r="E2008" s="715" t="s">
        <v>433</v>
      </c>
      <c r="F2008" s="808">
        <v>0.01</v>
      </c>
      <c r="G2008" s="809"/>
      <c r="H2008" s="810"/>
      <c r="I2008" s="769"/>
      <c r="J2008" s="770"/>
      <c r="K2008" s="771"/>
      <c r="L2008" s="100"/>
      <c r="M2008" s="101"/>
    </row>
    <row r="2009" spans="4:13" ht="20" thickBot="1" x14ac:dyDescent="0.25">
      <c r="E2009" s="715" t="s">
        <v>434</v>
      </c>
      <c r="F2009" s="808">
        <v>7.0000000000000001E-3</v>
      </c>
      <c r="G2009" s="809"/>
      <c r="H2009" s="810"/>
      <c r="I2009" s="769"/>
      <c r="J2009" s="770"/>
      <c r="K2009" s="771"/>
      <c r="L2009" s="100"/>
      <c r="M2009" s="101"/>
    </row>
    <row r="2010" spans="4:13" ht="20" thickBot="1" x14ac:dyDescent="0.25">
      <c r="E2010" s="716" t="s">
        <v>435</v>
      </c>
      <c r="F2010" s="811">
        <v>0.29166666666666674</v>
      </c>
      <c r="G2010" s="812"/>
      <c r="H2010" s="813"/>
      <c r="I2010" s="769"/>
      <c r="J2010" s="770"/>
      <c r="K2010" s="771"/>
      <c r="L2010" s="107">
        <v>0.52083333333333337</v>
      </c>
      <c r="M2010" s="108">
        <v>0.375</v>
      </c>
    </row>
    <row r="2011" spans="4:13" ht="20" thickBot="1" x14ac:dyDescent="0.25">
      <c r="E2011" s="717" t="s">
        <v>436</v>
      </c>
      <c r="F2011" s="278" t="s">
        <v>29</v>
      </c>
      <c r="G2011" s="278" t="s">
        <v>28</v>
      </c>
      <c r="H2011" s="279" t="s">
        <v>27</v>
      </c>
      <c r="I2011" s="769"/>
      <c r="J2011" s="770"/>
      <c r="K2011" s="771"/>
      <c r="L2011" s="100"/>
      <c r="M2011" s="101"/>
    </row>
    <row r="2012" spans="4:13" x14ac:dyDescent="0.2">
      <c r="E2012" s="718">
        <v>45611</v>
      </c>
      <c r="F2012" s="380">
        <v>0.01</v>
      </c>
      <c r="G2012" s="380" t="s">
        <v>462</v>
      </c>
      <c r="H2012" s="380">
        <v>7.0000000000000001E-3</v>
      </c>
      <c r="I2012" s="769"/>
      <c r="J2012" s="770"/>
      <c r="K2012" s="771"/>
      <c r="L2012" s="100"/>
      <c r="M2012" s="101"/>
    </row>
    <row r="2013" spans="4:13" x14ac:dyDescent="0.2">
      <c r="E2013" s="718">
        <v>45565</v>
      </c>
      <c r="F2013" s="380">
        <v>7.0000000000000001E-3</v>
      </c>
      <c r="G2013" s="380" t="s">
        <v>459</v>
      </c>
      <c r="H2013" s="380">
        <v>3.0000000000000001E-3</v>
      </c>
      <c r="I2013" s="769"/>
      <c r="J2013" s="770"/>
      <c r="K2013" s="771"/>
      <c r="L2013" s="100"/>
      <c r="M2013" s="101"/>
    </row>
    <row r="2014" spans="4:13" x14ac:dyDescent="0.2">
      <c r="E2014" s="718">
        <v>45519</v>
      </c>
      <c r="F2014" s="380">
        <v>8.9999999999999993E-3</v>
      </c>
      <c r="G2014" s="380" t="s">
        <v>459</v>
      </c>
      <c r="H2014" s="380">
        <v>3.0000000000000001E-3</v>
      </c>
      <c r="I2014" s="769"/>
      <c r="J2014" s="770"/>
      <c r="K2014" s="771"/>
      <c r="L2014" s="102"/>
      <c r="M2014" s="101"/>
    </row>
    <row r="2015" spans="4:13" x14ac:dyDescent="0.2">
      <c r="E2015" s="718">
        <v>45471</v>
      </c>
      <c r="F2015" s="380">
        <v>3.0000000000000001E-3</v>
      </c>
      <c r="G2015" s="380" t="s">
        <v>460</v>
      </c>
      <c r="H2015" s="380">
        <v>-2E-3</v>
      </c>
      <c r="I2015" s="769"/>
      <c r="J2015" s="770"/>
      <c r="K2015" s="771"/>
      <c r="L2015" s="100"/>
      <c r="M2015" s="101"/>
    </row>
    <row r="2016" spans="4:13" x14ac:dyDescent="0.2">
      <c r="E2016" s="718">
        <v>45422</v>
      </c>
      <c r="F2016" s="380">
        <v>2E-3</v>
      </c>
      <c r="G2016" s="380" t="s">
        <v>458</v>
      </c>
      <c r="H2016" s="380">
        <v>-2E-3</v>
      </c>
      <c r="I2016" s="769"/>
      <c r="J2016" s="770"/>
      <c r="K2016" s="771"/>
      <c r="L2016" s="100"/>
      <c r="M2016" s="101"/>
    </row>
    <row r="2017" spans="4:13" ht="20" thickBot="1" x14ac:dyDescent="0.25">
      <c r="E2017" s="718">
        <v>45379</v>
      </c>
      <c r="F2017" s="380">
        <v>-2E-3</v>
      </c>
      <c r="G2017" s="380" t="s">
        <v>461</v>
      </c>
      <c r="H2017" s="380">
        <v>3.0000000000000001E-3</v>
      </c>
      <c r="I2017" s="772"/>
      <c r="J2017" s="773"/>
      <c r="K2017" s="774"/>
      <c r="L2017" s="103"/>
      <c r="M2017" s="104"/>
    </row>
    <row r="2018" spans="4:13" ht="25" thickBot="1" x14ac:dyDescent="0.25">
      <c r="D2018" t="e">
        <v>#REF!</v>
      </c>
      <c r="E2018" s="713" t="s">
        <v>30</v>
      </c>
      <c r="F2018" s="814" t="s">
        <v>1298</v>
      </c>
      <c r="G2018" s="815"/>
      <c r="H2018" s="816"/>
      <c r="I2018" s="846" t="s">
        <v>633</v>
      </c>
      <c r="J2018" s="847"/>
      <c r="K2018" s="848"/>
      <c r="L2018" s="162" t="s">
        <v>430</v>
      </c>
      <c r="M2018" s="106" t="s">
        <v>431</v>
      </c>
    </row>
    <row r="2019" spans="4:13" x14ac:dyDescent="0.2">
      <c r="E2019" s="714" t="s">
        <v>432</v>
      </c>
      <c r="F2019" s="805"/>
      <c r="G2019" s="806"/>
      <c r="H2019" s="807"/>
      <c r="I2019" s="769" t="s">
        <v>1299</v>
      </c>
      <c r="J2019" s="770"/>
      <c r="K2019" s="771"/>
      <c r="L2019" s="100"/>
      <c r="M2019" s="101"/>
    </row>
    <row r="2020" spans="4:13" x14ac:dyDescent="0.2">
      <c r="E2020" s="715" t="s">
        <v>433</v>
      </c>
      <c r="F2020" s="831">
        <v>113</v>
      </c>
      <c r="G2020" s="832"/>
      <c r="H2020" s="833"/>
      <c r="I2020" s="769"/>
      <c r="J2020" s="770"/>
      <c r="K2020" s="771"/>
      <c r="L2020" s="100"/>
      <c r="M2020" s="101"/>
    </row>
    <row r="2021" spans="4:13" ht="20" thickBot="1" x14ac:dyDescent="0.25">
      <c r="E2021" s="715" t="s">
        <v>434</v>
      </c>
      <c r="F2021" s="831">
        <v>111.7</v>
      </c>
      <c r="G2021" s="832"/>
      <c r="H2021" s="833"/>
      <c r="I2021" s="769"/>
      <c r="J2021" s="770"/>
      <c r="K2021" s="771"/>
      <c r="L2021" s="100"/>
      <c r="M2021" s="101"/>
    </row>
    <row r="2022" spans="4:13" ht="20" thickBot="1" x14ac:dyDescent="0.25">
      <c r="E2022" s="716" t="s">
        <v>435</v>
      </c>
      <c r="F2022" s="811">
        <v>0.625</v>
      </c>
      <c r="G2022" s="812"/>
      <c r="H2022" s="813"/>
      <c r="I2022" s="769"/>
      <c r="J2022" s="770"/>
      <c r="K2022" s="771"/>
      <c r="L2022" s="107">
        <v>0.85416666666666663</v>
      </c>
      <c r="M2022" s="108">
        <v>0.70833333333333326</v>
      </c>
    </row>
    <row r="2023" spans="4:13" ht="20" thickBot="1" x14ac:dyDescent="0.25">
      <c r="E2023" s="717" t="s">
        <v>436</v>
      </c>
      <c r="F2023" s="278" t="s">
        <v>29</v>
      </c>
      <c r="G2023" s="278" t="s">
        <v>28</v>
      </c>
      <c r="H2023" s="279" t="s">
        <v>27</v>
      </c>
      <c r="I2023" s="769"/>
      <c r="J2023" s="770"/>
      <c r="K2023" s="771"/>
      <c r="L2023" s="369"/>
      <c r="M2023" s="370"/>
    </row>
    <row r="2024" spans="4:13" x14ac:dyDescent="0.2">
      <c r="E2024" s="718">
        <v>45622</v>
      </c>
      <c r="F2024" s="283">
        <v>111.7</v>
      </c>
      <c r="G2024" s="283" t="s">
        <v>1314</v>
      </c>
      <c r="H2024" s="283">
        <v>109.6</v>
      </c>
      <c r="I2024" s="769"/>
      <c r="J2024" s="770"/>
      <c r="K2024" s="771"/>
      <c r="L2024" s="100"/>
      <c r="M2024" s="101"/>
    </row>
    <row r="2025" spans="4:13" x14ac:dyDescent="0.2">
      <c r="E2025" s="718">
        <v>45594</v>
      </c>
      <c r="F2025" s="283">
        <v>108.7</v>
      </c>
      <c r="G2025" s="283" t="s">
        <v>1091</v>
      </c>
      <c r="H2025" s="283">
        <v>99.2</v>
      </c>
      <c r="I2025" s="769"/>
      <c r="J2025" s="770"/>
      <c r="K2025" s="771"/>
      <c r="L2025" s="100"/>
      <c r="M2025" s="101"/>
    </row>
    <row r="2026" spans="4:13" x14ac:dyDescent="0.2">
      <c r="E2026" s="718">
        <v>45559</v>
      </c>
      <c r="F2026" s="283">
        <v>98.7</v>
      </c>
      <c r="G2026" s="283" t="s">
        <v>874</v>
      </c>
      <c r="H2026" s="283">
        <v>105.6</v>
      </c>
      <c r="I2026" s="769"/>
      <c r="J2026" s="770"/>
      <c r="K2026" s="771"/>
      <c r="L2026" s="102"/>
      <c r="M2026" s="101"/>
    </row>
    <row r="2027" spans="4:13" x14ac:dyDescent="0.2">
      <c r="E2027" s="718">
        <v>45531</v>
      </c>
      <c r="F2027" s="283">
        <v>103.3</v>
      </c>
      <c r="G2027" s="283" t="s">
        <v>875</v>
      </c>
      <c r="H2027" s="283">
        <v>101.9</v>
      </c>
      <c r="I2027" s="769"/>
      <c r="J2027" s="770"/>
      <c r="K2027" s="771"/>
      <c r="L2027" s="100"/>
      <c r="M2027" s="101"/>
    </row>
    <row r="2028" spans="4:13" x14ac:dyDescent="0.2">
      <c r="E2028" s="718">
        <v>45503</v>
      </c>
      <c r="F2028" s="283">
        <v>100.3</v>
      </c>
      <c r="G2028" s="283" t="s">
        <v>876</v>
      </c>
      <c r="H2028" s="283">
        <v>97.8</v>
      </c>
      <c r="I2028" s="769"/>
      <c r="J2028" s="770"/>
      <c r="K2028" s="771"/>
      <c r="L2028" s="100"/>
      <c r="M2028" s="101"/>
    </row>
    <row r="2029" spans="4:13" ht="20" thickBot="1" x14ac:dyDescent="0.25">
      <c r="E2029" s="718">
        <v>45468</v>
      </c>
      <c r="F2029" s="283">
        <v>100.4</v>
      </c>
      <c r="G2029" s="283" t="s">
        <v>877</v>
      </c>
      <c r="H2029" s="283">
        <v>101.3</v>
      </c>
      <c r="I2029" s="772"/>
      <c r="J2029" s="773"/>
      <c r="K2029" s="774"/>
      <c r="L2029" s="103"/>
      <c r="M2029" s="104"/>
    </row>
    <row r="2030" spans="4:13" ht="25" thickBot="1" x14ac:dyDescent="0.25">
      <c r="D2030" t="s">
        <v>105</v>
      </c>
      <c r="E2030" s="713" t="s">
        <v>30</v>
      </c>
      <c r="F2030" s="814" t="s">
        <v>1301</v>
      </c>
      <c r="G2030" s="815"/>
      <c r="H2030" s="816"/>
      <c r="I2030" s="846" t="s">
        <v>633</v>
      </c>
      <c r="J2030" s="847"/>
      <c r="K2030" s="848"/>
      <c r="L2030" s="162" t="s">
        <v>430</v>
      </c>
      <c r="M2030" s="106" t="s">
        <v>431</v>
      </c>
    </row>
    <row r="2031" spans="4:13" x14ac:dyDescent="0.2">
      <c r="E2031" s="714" t="s">
        <v>432</v>
      </c>
      <c r="F2031" s="805"/>
      <c r="G2031" s="806"/>
      <c r="H2031" s="807"/>
      <c r="I2031" s="769">
        <v>0</v>
      </c>
      <c r="J2031" s="770"/>
      <c r="K2031" s="771"/>
      <c r="L2031" s="100"/>
      <c r="M2031" s="101"/>
    </row>
    <row r="2032" spans="4:13" x14ac:dyDescent="0.2">
      <c r="E2032" s="715" t="s">
        <v>433</v>
      </c>
      <c r="F2032" s="808">
        <v>0</v>
      </c>
      <c r="G2032" s="809"/>
      <c r="H2032" s="810"/>
      <c r="I2032" s="769"/>
      <c r="J2032" s="770"/>
      <c r="K2032" s="771"/>
      <c r="L2032" s="100"/>
      <c r="M2032" s="101"/>
    </row>
    <row r="2033" spans="4:13" ht="20" thickBot="1" x14ac:dyDescent="0.25">
      <c r="E2033" s="715" t="s">
        <v>434</v>
      </c>
      <c r="F2033" s="808">
        <v>0</v>
      </c>
      <c r="G2033" s="809"/>
      <c r="H2033" s="810"/>
      <c r="I2033" s="769"/>
      <c r="J2033" s="770"/>
      <c r="K2033" s="771"/>
      <c r="L2033" s="100"/>
      <c r="M2033" s="101"/>
    </row>
    <row r="2034" spans="4:13" ht="20" thickBot="1" x14ac:dyDescent="0.25">
      <c r="E2034" s="716" t="s">
        <v>435</v>
      </c>
      <c r="F2034" s="811">
        <v>0</v>
      </c>
      <c r="G2034" s="812"/>
      <c r="H2034" s="813"/>
      <c r="I2034" s="769"/>
      <c r="J2034" s="770"/>
      <c r="K2034" s="771"/>
      <c r="L2034" s="107">
        <v>0.22916666666666666</v>
      </c>
      <c r="M2034" s="108">
        <v>0.375</v>
      </c>
    </row>
    <row r="2035" spans="4:13" ht="20" thickBot="1" x14ac:dyDescent="0.25">
      <c r="E2035" s="717" t="s">
        <v>436</v>
      </c>
      <c r="F2035" s="278" t="s">
        <v>29</v>
      </c>
      <c r="G2035" s="278" t="s">
        <v>28</v>
      </c>
      <c r="H2035" s="279" t="s">
        <v>27</v>
      </c>
      <c r="I2035" s="769"/>
      <c r="J2035" s="770"/>
      <c r="K2035" s="771"/>
      <c r="L2035" s="100"/>
      <c r="M2035" s="101"/>
    </row>
    <row r="2036" spans="4:13" x14ac:dyDescent="0.2">
      <c r="E2036" s="718">
        <v>45615</v>
      </c>
      <c r="F2036" s="721">
        <v>4.0000000000000001E-3</v>
      </c>
      <c r="G2036" s="721" t="s">
        <v>467</v>
      </c>
      <c r="H2036" s="721">
        <v>-4.0000000000000001E-3</v>
      </c>
      <c r="I2036" s="769"/>
      <c r="J2036" s="770"/>
      <c r="K2036" s="771"/>
      <c r="L2036" s="100"/>
      <c r="M2036" s="101"/>
    </row>
    <row r="2037" spans="4:13" x14ac:dyDescent="0.2">
      <c r="E2037" s="718">
        <v>45580</v>
      </c>
      <c r="F2037" s="721">
        <v>-4.0000000000000001E-3</v>
      </c>
      <c r="G2037" s="721" t="s">
        <v>461</v>
      </c>
      <c r="H2037" s="721">
        <v>-2E-3</v>
      </c>
      <c r="I2037" s="769"/>
      <c r="J2037" s="770"/>
      <c r="K2037" s="771"/>
      <c r="L2037" s="100"/>
      <c r="M2037" s="101"/>
    </row>
    <row r="2038" spans="4:13" x14ac:dyDescent="0.2">
      <c r="E2038" s="718">
        <v>45552</v>
      </c>
      <c r="F2038" s="721">
        <v>-2E-3</v>
      </c>
      <c r="G2038" s="721" t="s">
        <v>458</v>
      </c>
      <c r="H2038" s="721">
        <v>4.0000000000000001E-3</v>
      </c>
      <c r="I2038" s="769"/>
      <c r="J2038" s="770"/>
      <c r="K2038" s="771"/>
      <c r="L2038" s="102"/>
      <c r="M2038" s="101"/>
    </row>
    <row r="2039" spans="4:13" x14ac:dyDescent="0.2">
      <c r="E2039" s="718">
        <v>45524</v>
      </c>
      <c r="F2039" s="721">
        <v>4.0000000000000001E-3</v>
      </c>
      <c r="G2039" s="721" t="s">
        <v>452</v>
      </c>
      <c r="H2039" s="721">
        <v>-1E-3</v>
      </c>
      <c r="I2039" s="769"/>
      <c r="J2039" s="770"/>
      <c r="K2039" s="771"/>
      <c r="L2039" s="100"/>
      <c r="M2039" s="101"/>
    </row>
    <row r="2040" spans="4:13" x14ac:dyDescent="0.2">
      <c r="E2040" s="718">
        <v>45489</v>
      </c>
      <c r="F2040" s="721">
        <v>-1E-3</v>
      </c>
      <c r="G2040" s="721" t="s">
        <v>462</v>
      </c>
      <c r="H2040" s="721">
        <v>6.0000000000000001E-3</v>
      </c>
      <c r="I2040" s="769"/>
      <c r="J2040" s="770"/>
      <c r="K2040" s="771"/>
      <c r="L2040" s="100"/>
      <c r="M2040" s="101"/>
    </row>
    <row r="2041" spans="4:13" ht="20" thickBot="1" x14ac:dyDescent="0.25">
      <c r="E2041" s="718">
        <v>45468</v>
      </c>
      <c r="F2041" s="721">
        <v>6.0000000000000001E-3</v>
      </c>
      <c r="G2041" s="721" t="s">
        <v>467</v>
      </c>
      <c r="H2041" s="721">
        <v>5.0000000000000001E-3</v>
      </c>
      <c r="I2041" s="772"/>
      <c r="J2041" s="773"/>
      <c r="K2041" s="774"/>
      <c r="L2041" s="103"/>
      <c r="M2041" s="104"/>
    </row>
    <row r="2042" spans="4:13" ht="25" thickBot="1" x14ac:dyDescent="0.25">
      <c r="D2042">
        <v>2</v>
      </c>
      <c r="E2042" s="713" t="s">
        <v>30</v>
      </c>
      <c r="F2042" s="814" t="s">
        <v>1302</v>
      </c>
      <c r="G2042" s="815"/>
      <c r="H2042" s="816"/>
      <c r="I2042" s="846" t="s">
        <v>633</v>
      </c>
      <c r="J2042" s="847"/>
      <c r="K2042" s="848"/>
      <c r="L2042" s="162" t="s">
        <v>430</v>
      </c>
      <c r="M2042" s="106" t="s">
        <v>431</v>
      </c>
    </row>
    <row r="2043" spans="4:13" x14ac:dyDescent="0.2">
      <c r="E2043" s="714" t="s">
        <v>432</v>
      </c>
      <c r="F2043" s="805"/>
      <c r="G2043" s="806"/>
      <c r="H2043" s="807"/>
      <c r="I2043" s="769" t="s">
        <v>1303</v>
      </c>
      <c r="J2043" s="770"/>
      <c r="K2043" s="771"/>
      <c r="L2043" s="100"/>
      <c r="M2043" s="101"/>
    </row>
    <row r="2044" spans="4:13" x14ac:dyDescent="0.2">
      <c r="E2044" s="715" t="s">
        <v>433</v>
      </c>
      <c r="F2044" s="808">
        <v>-4.0000000000000001E-3</v>
      </c>
      <c r="G2044" s="809"/>
      <c r="H2044" s="810"/>
      <c r="I2044" s="769"/>
      <c r="J2044" s="770"/>
      <c r="K2044" s="771"/>
      <c r="L2044" s="100"/>
      <c r="M2044" s="101"/>
    </row>
    <row r="2045" spans="4:13" ht="20" thickBot="1" x14ac:dyDescent="0.25">
      <c r="E2045" s="715" t="s">
        <v>434</v>
      </c>
      <c r="F2045" s="808">
        <v>2E-3</v>
      </c>
      <c r="G2045" s="809"/>
      <c r="H2045" s="810"/>
      <c r="I2045" s="769"/>
      <c r="J2045" s="770"/>
      <c r="K2045" s="771"/>
      <c r="L2045" s="100"/>
      <c r="M2045" s="101"/>
    </row>
    <row r="2046" spans="4:13" ht="20" thickBot="1" x14ac:dyDescent="0.25">
      <c r="E2046" s="716" t="s">
        <v>435</v>
      </c>
      <c r="F2046" s="811">
        <v>0.5625</v>
      </c>
      <c r="G2046" s="812"/>
      <c r="H2046" s="813"/>
      <c r="I2046" s="769"/>
      <c r="J2046" s="770"/>
      <c r="K2046" s="771"/>
      <c r="L2046" s="107">
        <v>0.79166666666666663</v>
      </c>
      <c r="M2046" s="108">
        <v>0.64583333333333326</v>
      </c>
    </row>
    <row r="2047" spans="4:13" ht="20" thickBot="1" x14ac:dyDescent="0.25">
      <c r="E2047" s="717" t="s">
        <v>436</v>
      </c>
      <c r="F2047" s="278" t="s">
        <v>29</v>
      </c>
      <c r="G2047" s="278" t="s">
        <v>28</v>
      </c>
      <c r="H2047" s="279" t="s">
        <v>27</v>
      </c>
      <c r="I2047" s="769"/>
      <c r="J2047" s="770"/>
      <c r="K2047" s="771"/>
      <c r="L2047" s="369"/>
      <c r="M2047" s="370"/>
    </row>
    <row r="2048" spans="4:13" x14ac:dyDescent="0.2">
      <c r="E2048" s="718">
        <v>45623</v>
      </c>
      <c r="F2048" s="721">
        <v>2E-3</v>
      </c>
      <c r="G2048" s="721" t="s">
        <v>1315</v>
      </c>
      <c r="H2048" s="721">
        <v>-4.0000000000000001E-3</v>
      </c>
      <c r="I2048" s="769"/>
      <c r="J2048" s="770"/>
      <c r="K2048" s="771"/>
      <c r="L2048" s="100"/>
      <c r="M2048" s="101"/>
    </row>
    <row r="2049" spans="4:13" x14ac:dyDescent="0.2">
      <c r="E2049" s="718">
        <v>45590</v>
      </c>
      <c r="F2049" s="721">
        <v>-8.0000000000000002E-3</v>
      </c>
      <c r="G2049" s="721" t="s">
        <v>1110</v>
      </c>
      <c r="H2049" s="721">
        <v>-8.0000000000000002E-3</v>
      </c>
      <c r="I2049" s="769"/>
      <c r="J2049" s="770"/>
      <c r="K2049" s="771"/>
      <c r="L2049" s="100"/>
      <c r="M2049" s="101"/>
    </row>
    <row r="2050" spans="4:13" x14ac:dyDescent="0.2">
      <c r="E2050" s="718">
        <v>45561</v>
      </c>
      <c r="F2050" s="721">
        <v>0</v>
      </c>
      <c r="G2050" s="721" t="s">
        <v>778</v>
      </c>
      <c r="H2050" s="721">
        <v>9.9000000000000005E-2</v>
      </c>
      <c r="I2050" s="769"/>
      <c r="J2050" s="770"/>
      <c r="K2050" s="771"/>
      <c r="L2050" s="102"/>
      <c r="M2050" s="101"/>
    </row>
    <row r="2051" spans="4:13" x14ac:dyDescent="0.2">
      <c r="E2051" s="718">
        <v>45530</v>
      </c>
      <c r="F2051" s="721">
        <v>9.9000000000000005E-2</v>
      </c>
      <c r="G2051" s="721" t="s">
        <v>630</v>
      </c>
      <c r="H2051" s="721">
        <v>-6.9000000000000006E-2</v>
      </c>
      <c r="I2051" s="769"/>
      <c r="J2051" s="770"/>
      <c r="K2051" s="771"/>
      <c r="L2051" s="100"/>
      <c r="M2051" s="101"/>
    </row>
    <row r="2052" spans="4:13" x14ac:dyDescent="0.2">
      <c r="E2052" s="718">
        <v>45498</v>
      </c>
      <c r="F2052" s="721">
        <v>-6.6000000000000003E-2</v>
      </c>
      <c r="G2052" s="721" t="s">
        <v>467</v>
      </c>
      <c r="H2052" s="721">
        <v>1E-3</v>
      </c>
      <c r="I2052" s="769"/>
      <c r="J2052" s="770"/>
      <c r="K2052" s="771"/>
      <c r="L2052" s="100"/>
      <c r="M2052" s="101"/>
    </row>
    <row r="2053" spans="4:13" ht="20" thickBot="1" x14ac:dyDescent="0.25">
      <c r="E2053" s="718">
        <v>45470</v>
      </c>
      <c r="F2053" s="721">
        <v>1E-3</v>
      </c>
      <c r="G2053" s="721" t="s">
        <v>782</v>
      </c>
      <c r="H2053" s="721">
        <v>2E-3</v>
      </c>
      <c r="I2053" s="772"/>
      <c r="J2053" s="773"/>
      <c r="K2053" s="774"/>
      <c r="L2053" s="103"/>
      <c r="M2053" s="104"/>
    </row>
    <row r="2054" spans="4:13" ht="25" thickBot="1" x14ac:dyDescent="0.25">
      <c r="D2054" t="s">
        <v>105</v>
      </c>
      <c r="E2054" s="713" t="s">
        <v>30</v>
      </c>
      <c r="F2054" s="814" t="s">
        <v>1304</v>
      </c>
      <c r="G2054" s="815"/>
      <c r="H2054" s="816"/>
      <c r="I2054" s="846" t="s">
        <v>633</v>
      </c>
      <c r="J2054" s="847"/>
      <c r="K2054" s="848"/>
      <c r="L2054" s="162" t="s">
        <v>430</v>
      </c>
      <c r="M2054" s="106" t="s">
        <v>431</v>
      </c>
    </row>
    <row r="2055" spans="4:13" x14ac:dyDescent="0.2">
      <c r="E2055" s="714" t="s">
        <v>432</v>
      </c>
      <c r="F2055" s="805"/>
      <c r="G2055" s="806"/>
      <c r="H2055" s="807"/>
      <c r="I2055" s="769" t="s">
        <v>1307</v>
      </c>
      <c r="J2055" s="770"/>
      <c r="K2055" s="771"/>
      <c r="L2055" s="100"/>
      <c r="M2055" s="101"/>
    </row>
    <row r="2056" spans="4:13" x14ac:dyDescent="0.2">
      <c r="E2056" s="715" t="s">
        <v>433</v>
      </c>
      <c r="F2056" s="808" t="s">
        <v>1305</v>
      </c>
      <c r="G2056" s="809"/>
      <c r="H2056" s="810"/>
      <c r="I2056" s="769"/>
      <c r="J2056" s="770"/>
      <c r="K2056" s="771"/>
      <c r="L2056" s="100"/>
      <c r="M2056" s="101"/>
    </row>
    <row r="2057" spans="4:13" ht="20" thickBot="1" x14ac:dyDescent="0.25">
      <c r="E2057" s="715" t="s">
        <v>434</v>
      </c>
      <c r="F2057" s="808" t="s">
        <v>1306</v>
      </c>
      <c r="G2057" s="809"/>
      <c r="H2057" s="810"/>
      <c r="I2057" s="769"/>
      <c r="J2057" s="770"/>
      <c r="K2057" s="771"/>
      <c r="L2057" s="100"/>
      <c r="M2057" s="101"/>
    </row>
    <row r="2058" spans="4:13" ht="20" thickBot="1" x14ac:dyDescent="0.25">
      <c r="E2058" s="716" t="s">
        <v>435</v>
      </c>
      <c r="F2058" s="811">
        <v>0.625</v>
      </c>
      <c r="G2058" s="812"/>
      <c r="H2058" s="813"/>
      <c r="I2058" s="769"/>
      <c r="J2058" s="770"/>
      <c r="K2058" s="771"/>
      <c r="L2058" s="107">
        <v>0.85416666666666663</v>
      </c>
      <c r="M2058" s="108">
        <v>0.70833333333333326</v>
      </c>
    </row>
    <row r="2059" spans="4:13" ht="20" thickBot="1" x14ac:dyDescent="0.25">
      <c r="E2059" s="717" t="s">
        <v>436</v>
      </c>
      <c r="F2059" s="278" t="s">
        <v>29</v>
      </c>
      <c r="G2059" s="278" t="s">
        <v>28</v>
      </c>
      <c r="H2059" s="279" t="s">
        <v>27</v>
      </c>
      <c r="I2059" s="769"/>
      <c r="J2059" s="770"/>
      <c r="K2059" s="771"/>
      <c r="L2059" s="100"/>
      <c r="M2059" s="101"/>
    </row>
    <row r="2060" spans="4:13" x14ac:dyDescent="0.2">
      <c r="E2060" s="718">
        <v>45622</v>
      </c>
      <c r="F2060" s="721" t="s">
        <v>1316</v>
      </c>
      <c r="G2060" s="721" t="s">
        <v>1317</v>
      </c>
      <c r="H2060" s="721" t="s">
        <v>1092</v>
      </c>
      <c r="I2060" s="769"/>
      <c r="J2060" s="770"/>
      <c r="K2060" s="771"/>
      <c r="L2060" s="100"/>
      <c r="M2060" s="101"/>
    </row>
    <row r="2061" spans="4:13" x14ac:dyDescent="0.2">
      <c r="E2061" s="718">
        <v>45589</v>
      </c>
      <c r="F2061" s="721" t="s">
        <v>1092</v>
      </c>
      <c r="G2061" s="721" t="s">
        <v>1093</v>
      </c>
      <c r="H2061" s="721" t="s">
        <v>1094</v>
      </c>
      <c r="I2061" s="769"/>
      <c r="J2061" s="770"/>
      <c r="K2061" s="771"/>
      <c r="L2061" s="100"/>
      <c r="M2061" s="101"/>
    </row>
    <row r="2062" spans="4:13" x14ac:dyDescent="0.2">
      <c r="E2062" s="718">
        <v>45560</v>
      </c>
      <c r="F2062" s="721" t="s">
        <v>1095</v>
      </c>
      <c r="G2062" s="721" t="s">
        <v>1096</v>
      </c>
      <c r="H2062" s="721" t="s">
        <v>1097</v>
      </c>
      <c r="I2062" s="769"/>
      <c r="J2062" s="770"/>
      <c r="K2062" s="771"/>
      <c r="L2062" s="102"/>
      <c r="M2062" s="101"/>
    </row>
    <row r="2063" spans="4:13" x14ac:dyDescent="0.2">
      <c r="E2063" s="718">
        <v>45527</v>
      </c>
      <c r="F2063" s="721" t="s">
        <v>1098</v>
      </c>
      <c r="G2063" s="721" t="s">
        <v>1099</v>
      </c>
      <c r="H2063" s="721" t="s">
        <v>1100</v>
      </c>
      <c r="I2063" s="769"/>
      <c r="J2063" s="770"/>
      <c r="K2063" s="771"/>
      <c r="L2063" s="100"/>
      <c r="M2063" s="101"/>
    </row>
    <row r="2064" spans="4:13" x14ac:dyDescent="0.2">
      <c r="E2064" s="718">
        <v>45497</v>
      </c>
      <c r="F2064" s="721" t="s">
        <v>1101</v>
      </c>
      <c r="G2064" s="721" t="s">
        <v>1102</v>
      </c>
      <c r="H2064" s="721" t="s">
        <v>1103</v>
      </c>
      <c r="I2064" s="769"/>
      <c r="J2064" s="770"/>
      <c r="K2064" s="771"/>
      <c r="L2064" s="100"/>
      <c r="M2064" s="101"/>
    </row>
    <row r="2065" spans="4:13" ht="20" thickBot="1" x14ac:dyDescent="0.25">
      <c r="E2065" s="718">
        <v>45469</v>
      </c>
      <c r="F2065" s="721" t="s">
        <v>1104</v>
      </c>
      <c r="G2065" s="721" t="s">
        <v>1105</v>
      </c>
      <c r="H2065" s="721" t="s">
        <v>1106</v>
      </c>
      <c r="I2065" s="772"/>
      <c r="J2065" s="773"/>
      <c r="K2065" s="774"/>
      <c r="L2065" s="103"/>
      <c r="M2065" s="104"/>
    </row>
    <row r="2066" spans="4:13" ht="25" thickBot="1" x14ac:dyDescent="0.25">
      <c r="D2066">
        <v>3</v>
      </c>
      <c r="E2066" s="713" t="s">
        <v>30</v>
      </c>
      <c r="F2066" s="814" t="s">
        <v>1308</v>
      </c>
      <c r="G2066" s="815"/>
      <c r="H2066" s="816"/>
      <c r="I2066" s="846" t="s">
        <v>633</v>
      </c>
      <c r="J2066" s="847"/>
      <c r="K2066" s="848"/>
      <c r="L2066" s="162" t="s">
        <v>430</v>
      </c>
      <c r="M2066" s="106" t="s">
        <v>431</v>
      </c>
    </row>
    <row r="2067" spans="4:13" x14ac:dyDescent="0.2">
      <c r="E2067" s="714" t="s">
        <v>432</v>
      </c>
      <c r="F2067" s="805"/>
      <c r="G2067" s="806"/>
      <c r="H2067" s="807"/>
      <c r="I2067" s="769">
        <v>0</v>
      </c>
      <c r="J2067" s="770"/>
      <c r="K2067" s="771"/>
      <c r="L2067" s="100"/>
      <c r="M2067" s="101"/>
    </row>
    <row r="2068" spans="4:13" x14ac:dyDescent="0.2">
      <c r="E2068" s="715" t="s">
        <v>433</v>
      </c>
      <c r="F2068" s="808">
        <v>0</v>
      </c>
      <c r="G2068" s="809"/>
      <c r="H2068" s="810"/>
      <c r="I2068" s="769"/>
      <c r="J2068" s="770"/>
      <c r="K2068" s="771"/>
      <c r="L2068" s="100"/>
      <c r="M2068" s="101"/>
    </row>
    <row r="2069" spans="4:13" ht="20" thickBot="1" x14ac:dyDescent="0.25">
      <c r="E2069" s="715" t="s">
        <v>434</v>
      </c>
      <c r="F2069" s="808" t="s">
        <v>931</v>
      </c>
      <c r="G2069" s="809"/>
      <c r="H2069" s="810"/>
      <c r="I2069" s="769"/>
      <c r="J2069" s="770"/>
      <c r="K2069" s="771"/>
      <c r="L2069" s="100"/>
      <c r="M2069" s="101"/>
    </row>
    <row r="2070" spans="4:13" ht="20" thickBot="1" x14ac:dyDescent="0.25">
      <c r="E2070" s="716" t="s">
        <v>435</v>
      </c>
      <c r="F2070" s="811">
        <v>0</v>
      </c>
      <c r="G2070" s="812"/>
      <c r="H2070" s="813"/>
      <c r="I2070" s="769"/>
      <c r="J2070" s="770"/>
      <c r="K2070" s="771"/>
      <c r="L2070" s="107">
        <v>0.22916666666666666</v>
      </c>
      <c r="M2070" s="108">
        <v>8.3333333333333315E-2</v>
      </c>
    </row>
    <row r="2071" spans="4:13" ht="20" thickBot="1" x14ac:dyDescent="0.25">
      <c r="E2071" s="717" t="s">
        <v>436</v>
      </c>
      <c r="F2071" s="278" t="s">
        <v>29</v>
      </c>
      <c r="G2071" s="278" t="s">
        <v>28</v>
      </c>
      <c r="H2071" s="279" t="s">
        <v>27</v>
      </c>
      <c r="I2071" s="769"/>
      <c r="J2071" s="770"/>
      <c r="K2071" s="771"/>
      <c r="L2071" s="100"/>
      <c r="M2071" s="101"/>
    </row>
    <row r="2072" spans="4:13" x14ac:dyDescent="0.2">
      <c r="E2072" s="718">
        <v>45616</v>
      </c>
      <c r="F2072" s="385">
        <v>2.3E-2</v>
      </c>
      <c r="G2072" s="385" t="s">
        <v>490</v>
      </c>
      <c r="H2072" s="385">
        <v>1.7000000000000001E-2</v>
      </c>
      <c r="I2072" s="769"/>
      <c r="J2072" s="770"/>
      <c r="K2072" s="771"/>
      <c r="L2072" s="100"/>
      <c r="M2072" s="101"/>
    </row>
    <row r="2073" spans="4:13" x14ac:dyDescent="0.2">
      <c r="E2073" s="718">
        <v>45581</v>
      </c>
      <c r="F2073" s="385">
        <v>1.7000000000000001E-2</v>
      </c>
      <c r="G2073" s="385" t="s">
        <v>789</v>
      </c>
      <c r="H2073" s="385">
        <v>2.1999999999999999E-2</v>
      </c>
      <c r="I2073" s="769"/>
      <c r="J2073" s="770"/>
      <c r="K2073" s="771"/>
      <c r="L2073" s="100"/>
      <c r="M2073" s="101"/>
    </row>
    <row r="2074" spans="4:13" x14ac:dyDescent="0.2">
      <c r="E2074" s="718">
        <v>45553</v>
      </c>
      <c r="F2074" s="385">
        <v>2.1999999999999999E-2</v>
      </c>
      <c r="G2074" s="385" t="s">
        <v>490</v>
      </c>
      <c r="H2074" s="385">
        <v>2.1999999999999999E-2</v>
      </c>
      <c r="I2074" s="769"/>
      <c r="J2074" s="770"/>
      <c r="K2074" s="771"/>
      <c r="L2074" s="102"/>
      <c r="M2074" s="101"/>
    </row>
    <row r="2075" spans="4:13" x14ac:dyDescent="0.2">
      <c r="E2075" s="718">
        <v>45518</v>
      </c>
      <c r="F2075" s="385">
        <v>2.1999999999999999E-2</v>
      </c>
      <c r="G2075" s="385" t="s">
        <v>971</v>
      </c>
      <c r="H2075" s="385">
        <v>0.02</v>
      </c>
      <c r="I2075" s="769"/>
      <c r="J2075" s="770"/>
      <c r="K2075" s="771"/>
      <c r="L2075" s="100"/>
      <c r="M2075" s="101"/>
    </row>
    <row r="2076" spans="4:13" x14ac:dyDescent="0.2">
      <c r="E2076" s="718">
        <v>45490</v>
      </c>
      <c r="F2076" s="385">
        <v>0.02</v>
      </c>
      <c r="G2076" s="385" t="s">
        <v>789</v>
      </c>
      <c r="H2076" s="385">
        <v>0.02</v>
      </c>
      <c r="I2076" s="769"/>
      <c r="J2076" s="770"/>
      <c r="K2076" s="771"/>
      <c r="L2076" s="100"/>
      <c r="M2076" s="101"/>
    </row>
    <row r="2077" spans="4:13" ht="20" thickBot="1" x14ac:dyDescent="0.25">
      <c r="E2077" s="718">
        <v>45462</v>
      </c>
      <c r="F2077" s="385">
        <v>0.02</v>
      </c>
      <c r="G2077" s="385" t="s">
        <v>788</v>
      </c>
      <c r="H2077" s="385">
        <v>2.3E-2</v>
      </c>
      <c r="I2077" s="772"/>
      <c r="J2077" s="773"/>
      <c r="K2077" s="774"/>
      <c r="L2077" s="103"/>
      <c r="M2077" s="104"/>
    </row>
    <row r="2078" spans="4:13" ht="25" thickBot="1" x14ac:dyDescent="0.25">
      <c r="D2078">
        <v>4</v>
      </c>
      <c r="E2078" s="713" t="s">
        <v>30</v>
      </c>
      <c r="F2078" s="814" t="s">
        <v>1309</v>
      </c>
      <c r="G2078" s="815"/>
      <c r="H2078" s="816"/>
      <c r="I2078" s="846" t="s">
        <v>633</v>
      </c>
      <c r="J2078" s="847"/>
      <c r="K2078" s="848"/>
      <c r="L2078" s="162" t="s">
        <v>430</v>
      </c>
      <c r="M2078" s="106" t="s">
        <v>431</v>
      </c>
    </row>
    <row r="2079" spans="4:13" x14ac:dyDescent="0.2">
      <c r="E2079" s="714" t="s">
        <v>432</v>
      </c>
      <c r="F2079" s="805"/>
      <c r="G2079" s="806"/>
      <c r="H2079" s="807"/>
      <c r="I2079" s="769" t="s">
        <v>1310</v>
      </c>
      <c r="J2079" s="770"/>
      <c r="K2079" s="771"/>
      <c r="L2079" s="100"/>
      <c r="M2079" s="101"/>
    </row>
    <row r="2080" spans="4:13" x14ac:dyDescent="0.2">
      <c r="E2080" s="715" t="s">
        <v>433</v>
      </c>
      <c r="F2080" s="808"/>
      <c r="G2080" s="809"/>
      <c r="H2080" s="810"/>
      <c r="I2080" s="769"/>
      <c r="J2080" s="770"/>
      <c r="K2080" s="771"/>
      <c r="L2080" s="100"/>
      <c r="M2080" s="101"/>
    </row>
    <row r="2081" spans="4:13" ht="20" thickBot="1" x14ac:dyDescent="0.25">
      <c r="E2081" s="715" t="s">
        <v>434</v>
      </c>
      <c r="F2081" s="808" t="s">
        <v>931</v>
      </c>
      <c r="G2081" s="809"/>
      <c r="H2081" s="810"/>
      <c r="I2081" s="769"/>
      <c r="J2081" s="770"/>
      <c r="K2081" s="771"/>
      <c r="L2081" s="100"/>
      <c r="M2081" s="101"/>
    </row>
    <row r="2082" spans="4:13" ht="20" thickBot="1" x14ac:dyDescent="0.25">
      <c r="E2082" s="716" t="s">
        <v>435</v>
      </c>
      <c r="F2082" s="811">
        <v>0.5625</v>
      </c>
      <c r="G2082" s="812"/>
      <c r="H2082" s="813"/>
      <c r="I2082" s="769"/>
      <c r="J2082" s="770"/>
      <c r="K2082" s="771"/>
      <c r="L2082" s="107">
        <v>0.79166666666666663</v>
      </c>
      <c r="M2082" s="108">
        <v>0.64583333333333326</v>
      </c>
    </row>
    <row r="2083" spans="4:13" ht="20" thickBot="1" x14ac:dyDescent="0.25">
      <c r="E2083" s="717" t="s">
        <v>436</v>
      </c>
      <c r="F2083" s="278" t="s">
        <v>29</v>
      </c>
      <c r="G2083" s="278" t="s">
        <v>28</v>
      </c>
      <c r="H2083" s="279" t="s">
        <v>27</v>
      </c>
      <c r="I2083" s="769"/>
      <c r="J2083" s="770"/>
      <c r="K2083" s="771"/>
      <c r="L2083" s="100"/>
      <c r="M2083" s="101"/>
    </row>
    <row r="2084" spans="4:13" x14ac:dyDescent="0.2">
      <c r="E2084" s="718">
        <v>45645</v>
      </c>
      <c r="F2084" s="385" t="s">
        <v>1112</v>
      </c>
      <c r="G2084" s="385" t="s">
        <v>976</v>
      </c>
      <c r="H2084" s="385" t="s">
        <v>980</v>
      </c>
      <c r="I2084" s="769"/>
      <c r="J2084" s="770"/>
      <c r="K2084" s="771"/>
      <c r="L2084" s="100"/>
      <c r="M2084" s="101"/>
    </row>
    <row r="2085" spans="4:13" x14ac:dyDescent="0.2">
      <c r="E2085" s="718">
        <v>45638</v>
      </c>
      <c r="F2085" s="385" t="s">
        <v>980</v>
      </c>
      <c r="G2085" s="385" t="s">
        <v>972</v>
      </c>
      <c r="H2085" s="385" t="s">
        <v>985</v>
      </c>
      <c r="I2085" s="769"/>
      <c r="J2085" s="770"/>
      <c r="K2085" s="771"/>
      <c r="L2085" s="100"/>
      <c r="M2085" s="101"/>
    </row>
    <row r="2086" spans="4:13" x14ac:dyDescent="0.2">
      <c r="E2086" s="718">
        <v>45631</v>
      </c>
      <c r="F2086" s="385" t="s">
        <v>1032</v>
      </c>
      <c r="G2086" s="385" t="s">
        <v>1232</v>
      </c>
      <c r="H2086" s="385" t="s">
        <v>1232</v>
      </c>
      <c r="I2086" s="769"/>
      <c r="J2086" s="770"/>
      <c r="K2086" s="771"/>
      <c r="L2086" s="102"/>
      <c r="M2086" s="101"/>
    </row>
    <row r="2087" spans="4:13" x14ac:dyDescent="0.2">
      <c r="E2087" s="718">
        <v>45623</v>
      </c>
      <c r="F2087" s="385" t="s">
        <v>1111</v>
      </c>
      <c r="G2087" s="385" t="s">
        <v>1232</v>
      </c>
      <c r="H2087" s="385" t="s">
        <v>1232</v>
      </c>
      <c r="I2087" s="769"/>
      <c r="J2087" s="770"/>
      <c r="K2087" s="771"/>
      <c r="L2087" s="100"/>
      <c r="M2087" s="101"/>
    </row>
    <row r="2088" spans="4:13" x14ac:dyDescent="0.2">
      <c r="E2088" s="718">
        <v>45617</v>
      </c>
      <c r="F2088" s="385" t="s">
        <v>1111</v>
      </c>
      <c r="G2088" s="385" t="s">
        <v>1112</v>
      </c>
      <c r="H2088" s="385" t="s">
        <v>987</v>
      </c>
      <c r="I2088" s="769"/>
      <c r="J2088" s="770"/>
      <c r="K2088" s="771"/>
      <c r="L2088" s="100"/>
      <c r="M2088" s="101"/>
    </row>
    <row r="2089" spans="4:13" ht="20" thickBot="1" x14ac:dyDescent="0.25">
      <c r="E2089" s="718">
        <v>45610</v>
      </c>
      <c r="F2089" s="385" t="s">
        <v>1031</v>
      </c>
      <c r="G2089" s="385" t="s">
        <v>1032</v>
      </c>
      <c r="H2089" s="385" t="s">
        <v>972</v>
      </c>
      <c r="I2089" s="772"/>
      <c r="J2089" s="773"/>
      <c r="K2089" s="774"/>
      <c r="L2089" s="103"/>
      <c r="M2089" s="104"/>
    </row>
    <row r="2090" spans="4:13" ht="25" thickBot="1" x14ac:dyDescent="0.25">
      <c r="D2090">
        <v>4</v>
      </c>
      <c r="E2090" s="713" t="s">
        <v>30</v>
      </c>
      <c r="F2090" s="814" t="s">
        <v>9</v>
      </c>
      <c r="G2090" s="815"/>
      <c r="H2090" s="816"/>
      <c r="I2090" s="846" t="s">
        <v>633</v>
      </c>
      <c r="J2090" s="847"/>
      <c r="K2090" s="848"/>
      <c r="L2090" s="162" t="s">
        <v>430</v>
      </c>
      <c r="M2090" s="106" t="s">
        <v>431</v>
      </c>
    </row>
    <row r="2091" spans="4:13" x14ac:dyDescent="0.2">
      <c r="E2091" s="714" t="s">
        <v>432</v>
      </c>
      <c r="F2091" s="805"/>
      <c r="G2091" s="806"/>
      <c r="H2091" s="807"/>
      <c r="I2091" s="769" t="s">
        <v>1312</v>
      </c>
      <c r="J2091" s="770"/>
      <c r="K2091" s="771"/>
      <c r="L2091" s="100"/>
      <c r="M2091" s="101"/>
    </row>
    <row r="2092" spans="4:13" x14ac:dyDescent="0.2">
      <c r="E2092" s="715" t="s">
        <v>433</v>
      </c>
      <c r="F2092" s="824"/>
      <c r="G2092" s="825"/>
      <c r="H2092" s="826"/>
      <c r="I2092" s="769"/>
      <c r="J2092" s="770"/>
      <c r="K2092" s="771"/>
      <c r="L2092" s="100"/>
      <c r="M2092" s="101"/>
    </row>
    <row r="2093" spans="4:13" ht="20" thickBot="1" x14ac:dyDescent="0.25">
      <c r="E2093" s="715" t="s">
        <v>434</v>
      </c>
      <c r="F2093" s="823" t="s">
        <v>1311</v>
      </c>
      <c r="G2093" s="818"/>
      <c r="H2093" s="819"/>
      <c r="I2093" s="769"/>
      <c r="J2093" s="770"/>
      <c r="K2093" s="771"/>
      <c r="L2093" s="100"/>
      <c r="M2093" s="101"/>
    </row>
    <row r="2094" spans="4:13" ht="20" thickBot="1" x14ac:dyDescent="0.25">
      <c r="E2094" s="716" t="s">
        <v>435</v>
      </c>
      <c r="F2094" s="811">
        <v>0.66666666666666674</v>
      </c>
      <c r="G2094" s="812"/>
      <c r="H2094" s="813"/>
      <c r="I2094" s="769"/>
      <c r="J2094" s="770"/>
      <c r="K2094" s="771"/>
      <c r="L2094" s="107">
        <v>0.89583333333333337</v>
      </c>
      <c r="M2094" s="108">
        <v>0.75</v>
      </c>
    </row>
    <row r="2095" spans="4:13" ht="20" thickBot="1" x14ac:dyDescent="0.25">
      <c r="E2095" s="717" t="s">
        <v>436</v>
      </c>
      <c r="F2095" s="278" t="s">
        <v>29</v>
      </c>
      <c r="G2095" s="278" t="s">
        <v>28</v>
      </c>
      <c r="H2095" s="279" t="s">
        <v>27</v>
      </c>
      <c r="I2095" s="769"/>
      <c r="J2095" s="770"/>
      <c r="K2095" s="771"/>
      <c r="L2095" s="100"/>
      <c r="M2095" s="101"/>
    </row>
    <row r="2096" spans="4:13" x14ac:dyDescent="0.2">
      <c r="E2096" s="718">
        <v>45644</v>
      </c>
      <c r="F2096" s="283" t="s">
        <v>1318</v>
      </c>
      <c r="G2096" s="283" t="s">
        <v>1289</v>
      </c>
      <c r="H2096" s="283" t="s">
        <v>1286</v>
      </c>
      <c r="I2096" s="769"/>
      <c r="J2096" s="770"/>
      <c r="K2096" s="771"/>
      <c r="L2096" s="100"/>
      <c r="M2096" s="101"/>
    </row>
    <row r="2097" spans="3:13" x14ac:dyDescent="0.2">
      <c r="E2097" s="718">
        <v>45637</v>
      </c>
      <c r="F2097" s="283" t="s">
        <v>1286</v>
      </c>
      <c r="G2097" s="283" t="s">
        <v>1287</v>
      </c>
      <c r="H2097" s="283" t="s">
        <v>1288</v>
      </c>
      <c r="I2097" s="769"/>
      <c r="J2097" s="770"/>
      <c r="K2097" s="771"/>
      <c r="L2097" s="100"/>
      <c r="M2097" s="101"/>
    </row>
    <row r="2098" spans="3:13" x14ac:dyDescent="0.2">
      <c r="E2098" s="718">
        <v>45630</v>
      </c>
      <c r="F2098" s="283" t="s">
        <v>1288</v>
      </c>
      <c r="G2098" s="283" t="s">
        <v>1289</v>
      </c>
      <c r="H2098" s="283" t="s">
        <v>1230</v>
      </c>
      <c r="I2098" s="769"/>
      <c r="J2098" s="770"/>
      <c r="K2098" s="771"/>
      <c r="L2098" s="102"/>
      <c r="M2098" s="101"/>
    </row>
    <row r="2099" spans="3:13" x14ac:dyDescent="0.2">
      <c r="E2099" s="718">
        <v>45623</v>
      </c>
      <c r="F2099" s="283" t="s">
        <v>1230</v>
      </c>
      <c r="G2099" s="283" t="s">
        <v>1231</v>
      </c>
      <c r="H2099" s="283" t="s">
        <v>1125</v>
      </c>
      <c r="I2099" s="769"/>
      <c r="J2099" s="770"/>
      <c r="K2099" s="771"/>
      <c r="L2099" s="100"/>
      <c r="M2099" s="101"/>
    </row>
    <row r="2100" spans="3:13" x14ac:dyDescent="0.2">
      <c r="E2100" s="718">
        <v>45616</v>
      </c>
      <c r="F2100" s="283" t="s">
        <v>1125</v>
      </c>
      <c r="G2100" s="283" t="s">
        <v>1030</v>
      </c>
      <c r="H2100" s="283" t="s">
        <v>1029</v>
      </c>
      <c r="I2100" s="769"/>
      <c r="J2100" s="770"/>
      <c r="K2100" s="771"/>
      <c r="L2100" s="100"/>
      <c r="M2100" s="101"/>
    </row>
    <row r="2101" spans="3:13" ht="20" thickBot="1" x14ac:dyDescent="0.25">
      <c r="E2101" s="718">
        <v>45610</v>
      </c>
      <c r="F2101" s="283" t="s">
        <v>1029</v>
      </c>
      <c r="G2101" s="283" t="s">
        <v>1030</v>
      </c>
      <c r="H2101" s="283" t="s">
        <v>988</v>
      </c>
      <c r="I2101" s="772"/>
      <c r="J2101" s="773"/>
      <c r="K2101" s="774"/>
      <c r="L2101" s="103"/>
      <c r="M2101" s="104"/>
    </row>
    <row r="2102" spans="3:13" ht="25" thickBot="1" x14ac:dyDescent="0.25">
      <c r="C2102" t="s">
        <v>105</v>
      </c>
      <c r="D2102">
        <v>1</v>
      </c>
      <c r="E2102" s="713" t="s">
        <v>30</v>
      </c>
      <c r="F2102" s="814" t="s">
        <v>1319</v>
      </c>
      <c r="G2102" s="815"/>
      <c r="H2102" s="816"/>
      <c r="I2102" s="846" t="s">
        <v>633</v>
      </c>
      <c r="J2102" s="847"/>
      <c r="K2102" s="848"/>
      <c r="L2102" s="162" t="s">
        <v>430</v>
      </c>
      <c r="M2102" s="106" t="s">
        <v>431</v>
      </c>
    </row>
    <row r="2103" spans="3:13" x14ac:dyDescent="0.2">
      <c r="E2103" s="714" t="s">
        <v>432</v>
      </c>
      <c r="F2103" s="805"/>
      <c r="G2103" s="806"/>
      <c r="H2103" s="807"/>
      <c r="I2103" s="769" t="s">
        <v>1320</v>
      </c>
      <c r="J2103" s="770"/>
      <c r="K2103" s="771"/>
      <c r="L2103" s="100"/>
      <c r="M2103" s="101"/>
    </row>
    <row r="2104" spans="3:13" x14ac:dyDescent="0.2">
      <c r="E2104" s="715" t="s">
        <v>433</v>
      </c>
      <c r="F2104" s="831">
        <v>42.7</v>
      </c>
      <c r="G2104" s="832"/>
      <c r="H2104" s="833"/>
      <c r="I2104" s="769"/>
      <c r="J2104" s="770"/>
      <c r="K2104" s="771"/>
      <c r="L2104" s="100"/>
      <c r="M2104" s="101"/>
    </row>
    <row r="2105" spans="3:13" ht="20" thickBot="1" x14ac:dyDescent="0.25">
      <c r="E2105" s="715" t="s">
        <v>434</v>
      </c>
      <c r="F2105" s="831">
        <v>40.200000000000003</v>
      </c>
      <c r="G2105" s="832"/>
      <c r="H2105" s="833"/>
      <c r="I2105" s="769"/>
      <c r="J2105" s="770"/>
      <c r="K2105" s="771"/>
      <c r="L2105" s="100"/>
      <c r="M2105" s="101"/>
    </row>
    <row r="2106" spans="3:13" ht="20" thickBot="1" x14ac:dyDescent="0.25">
      <c r="E2106" s="716" t="s">
        <v>435</v>
      </c>
      <c r="F2106" s="811">
        <v>0.61458333333333337</v>
      </c>
      <c r="G2106" s="812"/>
      <c r="H2106" s="813"/>
      <c r="I2106" s="769"/>
      <c r="J2106" s="770"/>
      <c r="K2106" s="771"/>
      <c r="L2106" s="107">
        <v>0.84375</v>
      </c>
      <c r="M2106" s="108">
        <v>0.69791666666666663</v>
      </c>
    </row>
    <row r="2107" spans="3:13" ht="20" thickBot="1" x14ac:dyDescent="0.25">
      <c r="E2107" s="717" t="s">
        <v>436</v>
      </c>
      <c r="F2107" s="278" t="s">
        <v>29</v>
      </c>
      <c r="G2107" s="278" t="s">
        <v>28</v>
      </c>
      <c r="H2107" s="279" t="s">
        <v>27</v>
      </c>
      <c r="I2107" s="769"/>
      <c r="J2107" s="770"/>
      <c r="K2107" s="771"/>
      <c r="L2107" s="100"/>
      <c r="M2107" s="101"/>
    </row>
    <row r="2108" spans="3:13" x14ac:dyDescent="0.2">
      <c r="E2108" s="718">
        <v>45625</v>
      </c>
      <c r="F2108" s="283">
        <v>40.200000000000003</v>
      </c>
      <c r="G2108" s="283" t="s">
        <v>477</v>
      </c>
      <c r="H2108" s="283">
        <v>41.6</v>
      </c>
      <c r="I2108" s="769"/>
      <c r="J2108" s="770"/>
      <c r="K2108" s="771"/>
      <c r="L2108" s="100"/>
      <c r="M2108" s="101"/>
    </row>
    <row r="2109" spans="3:13" x14ac:dyDescent="0.2">
      <c r="E2109" s="718">
        <v>45596</v>
      </c>
      <c r="F2109" s="283">
        <v>41.6</v>
      </c>
      <c r="G2109" s="283" t="s">
        <v>1126</v>
      </c>
      <c r="H2109" s="283">
        <v>46.6</v>
      </c>
      <c r="I2109" s="769"/>
      <c r="J2109" s="770"/>
      <c r="K2109" s="771"/>
      <c r="L2109" s="100"/>
      <c r="M2109" s="101"/>
    </row>
    <row r="2110" spans="3:13" x14ac:dyDescent="0.2">
      <c r="E2110" s="718">
        <v>45565</v>
      </c>
      <c r="F2110" s="283">
        <v>46.6</v>
      </c>
      <c r="G2110" s="283" t="s">
        <v>899</v>
      </c>
      <c r="H2110" s="283">
        <v>46.1</v>
      </c>
      <c r="I2110" s="769"/>
      <c r="J2110" s="770"/>
      <c r="K2110" s="771"/>
      <c r="L2110" s="102"/>
      <c r="M2110" s="101"/>
    </row>
    <row r="2111" spans="3:13" x14ac:dyDescent="0.2">
      <c r="E2111" s="718">
        <v>45534</v>
      </c>
      <c r="F2111" s="283">
        <v>46.1</v>
      </c>
      <c r="G2111" s="283" t="s">
        <v>473</v>
      </c>
      <c r="H2111" s="283">
        <v>45.3</v>
      </c>
      <c r="I2111" s="769"/>
      <c r="J2111" s="770"/>
      <c r="K2111" s="771"/>
      <c r="L2111" s="100"/>
      <c r="M2111" s="101"/>
    </row>
    <row r="2112" spans="3:13" x14ac:dyDescent="0.2">
      <c r="E2112" s="718">
        <v>45504</v>
      </c>
      <c r="F2112" s="283">
        <v>45.3</v>
      </c>
      <c r="G2112" s="283" t="s">
        <v>474</v>
      </c>
      <c r="H2112" s="283">
        <v>47.4</v>
      </c>
      <c r="I2112" s="769"/>
      <c r="J2112" s="770"/>
      <c r="K2112" s="771"/>
      <c r="L2112" s="100"/>
      <c r="M2112" s="101"/>
    </row>
    <row r="2113" spans="4:13" ht="20" thickBot="1" x14ac:dyDescent="0.25">
      <c r="E2113" s="718">
        <v>45471</v>
      </c>
      <c r="F2113" s="283">
        <v>47.4</v>
      </c>
      <c r="G2113" s="283" t="s">
        <v>475</v>
      </c>
      <c r="H2113" s="283">
        <v>35.4</v>
      </c>
      <c r="I2113" s="772"/>
      <c r="J2113" s="773"/>
      <c r="K2113" s="774"/>
      <c r="L2113" s="103"/>
      <c r="M2113" s="104"/>
    </row>
    <row r="2114" spans="4:13" ht="25" thickBot="1" x14ac:dyDescent="0.25">
      <c r="D2114">
        <v>2</v>
      </c>
      <c r="E2114" s="713" t="s">
        <v>30</v>
      </c>
      <c r="F2114" s="814" t="s">
        <v>1321</v>
      </c>
      <c r="G2114" s="815"/>
      <c r="H2114" s="816"/>
      <c r="I2114" s="846" t="s">
        <v>633</v>
      </c>
      <c r="J2114" s="847"/>
      <c r="K2114" s="848"/>
      <c r="L2114" s="162" t="s">
        <v>430</v>
      </c>
      <c r="M2114" s="106" t="s">
        <v>431</v>
      </c>
    </row>
    <row r="2115" spans="4:13" x14ac:dyDescent="0.2">
      <c r="E2115" s="714" t="s">
        <v>432</v>
      </c>
      <c r="F2115" s="805"/>
      <c r="G2115" s="806"/>
      <c r="H2115" s="807"/>
      <c r="I2115" s="769">
        <v>0</v>
      </c>
      <c r="J2115" s="770"/>
      <c r="K2115" s="771"/>
      <c r="L2115" s="100"/>
      <c r="M2115" s="101"/>
    </row>
    <row r="2116" spans="4:13" x14ac:dyDescent="0.2">
      <c r="E2116" s="715" t="s">
        <v>433</v>
      </c>
      <c r="F2116" s="817" t="s">
        <v>1090</v>
      </c>
      <c r="G2116" s="818"/>
      <c r="H2116" s="819"/>
      <c r="I2116" s="769"/>
      <c r="J2116" s="770"/>
      <c r="K2116" s="771"/>
      <c r="L2116" s="100"/>
      <c r="M2116" s="101"/>
    </row>
    <row r="2117" spans="4:13" ht="20" thickBot="1" x14ac:dyDescent="0.25">
      <c r="E2117" s="715" t="s">
        <v>434</v>
      </c>
      <c r="F2117" s="817">
        <v>0</v>
      </c>
      <c r="G2117" s="818"/>
      <c r="H2117" s="819"/>
      <c r="I2117" s="769"/>
      <c r="J2117" s="770"/>
      <c r="K2117" s="771"/>
      <c r="L2117" s="100"/>
      <c r="M2117" s="101"/>
    </row>
    <row r="2118" spans="4:13" ht="20" thickBot="1" x14ac:dyDescent="0.25">
      <c r="E2118" s="716" t="s">
        <v>435</v>
      </c>
      <c r="F2118" s="811">
        <v>0</v>
      </c>
      <c r="G2118" s="812"/>
      <c r="H2118" s="813"/>
      <c r="I2118" s="769"/>
      <c r="J2118" s="770"/>
      <c r="K2118" s="771"/>
      <c r="L2118" s="107">
        <v>0.22916666666666666</v>
      </c>
      <c r="M2118" s="108">
        <v>8.3333333333333315E-2</v>
      </c>
    </row>
    <row r="2119" spans="4:13" ht="20" thickBot="1" x14ac:dyDescent="0.25">
      <c r="E2119" s="717" t="s">
        <v>436</v>
      </c>
      <c r="F2119" s="278" t="s">
        <v>29</v>
      </c>
      <c r="G2119" s="278" t="s">
        <v>28</v>
      </c>
      <c r="H2119" s="279" t="s">
        <v>27</v>
      </c>
      <c r="I2119" s="769"/>
      <c r="J2119" s="770"/>
      <c r="K2119" s="771"/>
      <c r="L2119" s="100"/>
      <c r="M2119" s="101"/>
    </row>
    <row r="2120" spans="4:13" x14ac:dyDescent="0.2">
      <c r="E2120" s="718">
        <v>45642</v>
      </c>
      <c r="F2120" s="283">
        <v>58.5</v>
      </c>
      <c r="G2120" s="283" t="s">
        <v>1339</v>
      </c>
      <c r="H2120" s="283">
        <v>56.1</v>
      </c>
      <c r="I2120" s="769"/>
      <c r="J2120" s="770"/>
      <c r="K2120" s="771"/>
      <c r="L2120" s="100"/>
      <c r="M2120" s="101"/>
    </row>
    <row r="2121" spans="4:13" x14ac:dyDescent="0.2">
      <c r="E2121" s="718">
        <v>45630</v>
      </c>
      <c r="F2121" s="283">
        <v>56.1</v>
      </c>
      <c r="G2121" s="283" t="s">
        <v>1285</v>
      </c>
      <c r="H2121" s="283">
        <v>55</v>
      </c>
      <c r="I2121" s="769"/>
      <c r="J2121" s="770"/>
      <c r="K2121" s="771"/>
      <c r="L2121" s="100"/>
      <c r="M2121" s="101"/>
    </row>
    <row r="2122" spans="4:13" x14ac:dyDescent="0.2">
      <c r="E2122" s="718">
        <v>45618</v>
      </c>
      <c r="F2122" s="283">
        <v>57</v>
      </c>
      <c r="G2122" s="283" t="s">
        <v>586</v>
      </c>
      <c r="H2122" s="283">
        <v>55</v>
      </c>
      <c r="I2122" s="769"/>
      <c r="J2122" s="770"/>
      <c r="K2122" s="771"/>
      <c r="L2122" s="102"/>
      <c r="M2122" s="101"/>
    </row>
    <row r="2123" spans="4:13" x14ac:dyDescent="0.2">
      <c r="E2123" s="718">
        <v>45601</v>
      </c>
      <c r="F2123" s="283">
        <v>55</v>
      </c>
      <c r="G2123" s="283" t="s">
        <v>585</v>
      </c>
      <c r="H2123" s="283">
        <v>55.2</v>
      </c>
      <c r="I2123" s="769"/>
      <c r="J2123" s="770"/>
      <c r="K2123" s="771"/>
      <c r="L2123" s="100"/>
      <c r="M2123" s="101"/>
    </row>
    <row r="2124" spans="4:13" x14ac:dyDescent="0.2">
      <c r="E2124" s="718">
        <v>45589</v>
      </c>
      <c r="F2124" s="283">
        <v>55.3</v>
      </c>
      <c r="G2124" s="283" t="s">
        <v>604</v>
      </c>
      <c r="H2124" s="283">
        <v>55.2</v>
      </c>
      <c r="I2124" s="769"/>
      <c r="J2124" s="770"/>
      <c r="K2124" s="771"/>
      <c r="L2124" s="100"/>
      <c r="M2124" s="101"/>
    </row>
    <row r="2125" spans="4:13" ht="20" thickBot="1" x14ac:dyDescent="0.25">
      <c r="E2125" s="718">
        <v>45568</v>
      </c>
      <c r="F2125" s="283">
        <v>55.2</v>
      </c>
      <c r="G2125" s="283" t="s">
        <v>759</v>
      </c>
      <c r="H2125" s="283">
        <v>55.7</v>
      </c>
      <c r="I2125" s="772"/>
      <c r="J2125" s="773"/>
      <c r="K2125" s="774"/>
      <c r="L2125" s="103"/>
      <c r="M2125" s="104"/>
    </row>
    <row r="2126" spans="4:13" ht="25" thickBot="1" x14ac:dyDescent="0.25">
      <c r="D2126">
        <v>3</v>
      </c>
      <c r="E2126" s="713" t="s">
        <v>30</v>
      </c>
      <c r="F2126" s="814" t="s">
        <v>1322</v>
      </c>
      <c r="G2126" s="815"/>
      <c r="H2126" s="816"/>
      <c r="I2126" s="846" t="s">
        <v>633</v>
      </c>
      <c r="J2126" s="847"/>
      <c r="K2126" s="848"/>
      <c r="L2126" s="162" t="s">
        <v>430</v>
      </c>
      <c r="M2126" s="106" t="s">
        <v>431</v>
      </c>
    </row>
    <row r="2127" spans="4:13" x14ac:dyDescent="0.2">
      <c r="E2127" s="714" t="s">
        <v>432</v>
      </c>
      <c r="F2127" s="805"/>
      <c r="G2127" s="806"/>
      <c r="H2127" s="807"/>
      <c r="I2127" s="769" t="s">
        <v>1323</v>
      </c>
      <c r="J2127" s="770"/>
      <c r="K2127" s="771"/>
      <c r="L2127" s="100"/>
      <c r="M2127" s="101"/>
    </row>
    <row r="2128" spans="4:13" x14ac:dyDescent="0.2">
      <c r="E2128" s="715" t="s">
        <v>433</v>
      </c>
      <c r="F2128" s="831">
        <v>50.3</v>
      </c>
      <c r="G2128" s="832"/>
      <c r="H2128" s="833"/>
      <c r="I2128" s="769"/>
      <c r="J2128" s="770"/>
      <c r="K2128" s="771"/>
      <c r="L2128" s="100"/>
      <c r="M2128" s="101"/>
    </row>
    <row r="2129" spans="4:13" ht="20" thickBot="1" x14ac:dyDescent="0.25">
      <c r="E2129" s="715" t="s">
        <v>434</v>
      </c>
      <c r="F2129" s="831">
        <v>50.3</v>
      </c>
      <c r="G2129" s="832"/>
      <c r="H2129" s="833"/>
      <c r="I2129" s="769"/>
      <c r="J2129" s="770"/>
      <c r="K2129" s="771"/>
      <c r="L2129" s="100"/>
      <c r="M2129" s="101"/>
    </row>
    <row r="2130" spans="4:13" ht="20" thickBot="1" x14ac:dyDescent="0.25">
      <c r="E2130" s="716" t="s">
        <v>435</v>
      </c>
      <c r="F2130" s="811">
        <v>6.2500000000000028E-2</v>
      </c>
      <c r="G2130" s="812"/>
      <c r="H2130" s="813"/>
      <c r="I2130" s="769"/>
      <c r="J2130" s="770"/>
      <c r="K2130" s="771"/>
      <c r="L2130" s="107">
        <v>0.29166666666666669</v>
      </c>
      <c r="M2130" s="108">
        <v>0.14583333333333334</v>
      </c>
    </row>
    <row r="2131" spans="4:13" ht="20" thickBot="1" x14ac:dyDescent="0.25">
      <c r="E2131" s="717" t="s">
        <v>436</v>
      </c>
      <c r="F2131" s="278" t="s">
        <v>29</v>
      </c>
      <c r="G2131" s="278" t="s">
        <v>28</v>
      </c>
      <c r="H2131" s="279" t="s">
        <v>27</v>
      </c>
      <c r="I2131" s="769"/>
      <c r="J2131" s="770"/>
      <c r="K2131" s="771"/>
      <c r="L2131" s="369">
        <v>0.1875</v>
      </c>
      <c r="M2131" s="370">
        <v>4.1666666666666664E-2</v>
      </c>
    </row>
    <row r="2132" spans="4:13" x14ac:dyDescent="0.2">
      <c r="E2132" s="718">
        <v>45626</v>
      </c>
      <c r="F2132" s="283">
        <v>50.3</v>
      </c>
      <c r="G2132" s="283" t="s">
        <v>1340</v>
      </c>
      <c r="H2132" s="283">
        <v>50.1</v>
      </c>
      <c r="I2132" s="769"/>
      <c r="J2132" s="770"/>
      <c r="K2132" s="771"/>
      <c r="L2132" s="100"/>
      <c r="M2132" s="101"/>
    </row>
    <row r="2133" spans="4:13" x14ac:dyDescent="0.2">
      <c r="E2133" s="718">
        <v>45596</v>
      </c>
      <c r="F2133" s="283">
        <v>50.1</v>
      </c>
      <c r="G2133" s="283" t="s">
        <v>513</v>
      </c>
      <c r="H2133" s="283">
        <v>49.8</v>
      </c>
      <c r="I2133" s="769"/>
      <c r="J2133" s="770"/>
      <c r="K2133" s="771"/>
      <c r="L2133" s="100"/>
      <c r="M2133" s="101"/>
    </row>
    <row r="2134" spans="4:13" x14ac:dyDescent="0.2">
      <c r="E2134" s="718">
        <v>45565</v>
      </c>
      <c r="F2134" s="283">
        <v>49.8</v>
      </c>
      <c r="G2134" s="283" t="s">
        <v>440</v>
      </c>
      <c r="H2134" s="283">
        <v>49.1</v>
      </c>
      <c r="I2134" s="769"/>
      <c r="J2134" s="770"/>
      <c r="K2134" s="771"/>
      <c r="L2134" s="102"/>
      <c r="M2134" s="101"/>
    </row>
    <row r="2135" spans="4:13" x14ac:dyDescent="0.2">
      <c r="E2135" s="718">
        <v>45535</v>
      </c>
      <c r="F2135" s="283">
        <v>49.1</v>
      </c>
      <c r="G2135" s="283" t="s">
        <v>438</v>
      </c>
      <c r="H2135" s="283">
        <v>49.4</v>
      </c>
      <c r="I2135" s="769"/>
      <c r="J2135" s="770"/>
      <c r="K2135" s="771"/>
      <c r="L2135" s="100"/>
      <c r="M2135" s="101"/>
    </row>
    <row r="2136" spans="4:13" x14ac:dyDescent="0.2">
      <c r="E2136" s="718">
        <v>45504</v>
      </c>
      <c r="F2136" s="283">
        <v>49.4</v>
      </c>
      <c r="G2136" s="283" t="s">
        <v>440</v>
      </c>
      <c r="H2136" s="283">
        <v>49.5</v>
      </c>
      <c r="I2136" s="769"/>
      <c r="J2136" s="770"/>
      <c r="K2136" s="771"/>
      <c r="L2136" s="100"/>
      <c r="M2136" s="101"/>
    </row>
    <row r="2137" spans="4:13" ht="20" thickBot="1" x14ac:dyDescent="0.25">
      <c r="E2137" s="718">
        <v>45473</v>
      </c>
      <c r="F2137" s="283">
        <v>49.5</v>
      </c>
      <c r="G2137" s="283" t="s">
        <v>438</v>
      </c>
      <c r="H2137" s="283">
        <v>49.5</v>
      </c>
      <c r="I2137" s="772"/>
      <c r="J2137" s="773"/>
      <c r="K2137" s="774"/>
      <c r="L2137" s="103"/>
      <c r="M2137" s="104"/>
    </row>
    <row r="2138" spans="4:13" ht="25" thickBot="1" x14ac:dyDescent="0.25">
      <c r="D2138">
        <v>7</v>
      </c>
      <c r="E2138" s="713" t="s">
        <v>30</v>
      </c>
      <c r="F2138" s="814" t="s">
        <v>1309</v>
      </c>
      <c r="G2138" s="815"/>
      <c r="H2138" s="816"/>
      <c r="I2138" s="846" t="s">
        <v>633</v>
      </c>
      <c r="J2138" s="847"/>
      <c r="K2138" s="848"/>
      <c r="L2138" s="162" t="s">
        <v>430</v>
      </c>
      <c r="M2138" s="106" t="s">
        <v>431</v>
      </c>
    </row>
    <row r="2139" spans="4:13" ht="20" thickBot="1" x14ac:dyDescent="0.25">
      <c r="E2139" s="714" t="s">
        <v>432</v>
      </c>
      <c r="F2139" s="805"/>
      <c r="G2139" s="806"/>
      <c r="H2139" s="807"/>
      <c r="I2139" s="769" t="s">
        <v>1327</v>
      </c>
      <c r="J2139" s="770"/>
      <c r="K2139" s="771"/>
      <c r="L2139" s="100"/>
      <c r="M2139" s="101"/>
    </row>
    <row r="2140" spans="4:13" x14ac:dyDescent="0.2">
      <c r="E2140" s="715" t="s">
        <v>433</v>
      </c>
      <c r="F2140" s="827" t="s">
        <v>931</v>
      </c>
      <c r="G2140" s="825"/>
      <c r="H2140" s="826"/>
      <c r="I2140" s="769"/>
      <c r="J2140" s="770"/>
      <c r="K2140" s="771"/>
      <c r="L2140" s="100"/>
      <c r="M2140" s="101"/>
    </row>
    <row r="2141" spans="4:13" ht="20" thickBot="1" x14ac:dyDescent="0.25">
      <c r="E2141" s="715" t="s">
        <v>434</v>
      </c>
      <c r="F2141" s="824" t="s">
        <v>345</v>
      </c>
      <c r="G2141" s="825"/>
      <c r="H2141" s="826"/>
      <c r="I2141" s="769"/>
      <c r="J2141" s="770"/>
      <c r="K2141" s="771"/>
      <c r="L2141" s="100"/>
      <c r="M2141" s="101"/>
    </row>
    <row r="2142" spans="4:13" ht="20" thickBot="1" x14ac:dyDescent="0.25">
      <c r="E2142" s="716" t="s">
        <v>435</v>
      </c>
      <c r="F2142" s="811">
        <v>0.5625</v>
      </c>
      <c r="G2142" s="812"/>
      <c r="H2142" s="813"/>
      <c r="I2142" s="769"/>
      <c r="J2142" s="770"/>
      <c r="K2142" s="771"/>
      <c r="L2142" s="107">
        <v>0.79166666666666663</v>
      </c>
      <c r="M2142" s="108">
        <v>0.64583333333333326</v>
      </c>
    </row>
    <row r="2143" spans="4:13" ht="20" thickBot="1" x14ac:dyDescent="0.25">
      <c r="E2143" s="717" t="s">
        <v>436</v>
      </c>
      <c r="F2143" s="278" t="s">
        <v>29</v>
      </c>
      <c r="G2143" s="278" t="s">
        <v>28</v>
      </c>
      <c r="H2143" s="279" t="s">
        <v>27</v>
      </c>
      <c r="I2143" s="769"/>
      <c r="J2143" s="770"/>
      <c r="K2143" s="771"/>
      <c r="L2143" s="100"/>
      <c r="M2143" s="101"/>
    </row>
    <row r="2144" spans="4:13" x14ac:dyDescent="0.2">
      <c r="E2144" s="718">
        <v>45652</v>
      </c>
      <c r="F2144" s="385" t="s">
        <v>987</v>
      </c>
      <c r="G2144" s="385" t="s">
        <v>973</v>
      </c>
      <c r="H2144" s="385" t="s">
        <v>1112</v>
      </c>
      <c r="I2144" s="769"/>
      <c r="J2144" s="770"/>
      <c r="K2144" s="771"/>
      <c r="L2144" s="100"/>
      <c r="M2144" s="101"/>
    </row>
    <row r="2145" spans="4:13" x14ac:dyDescent="0.2">
      <c r="E2145" s="718">
        <v>45645</v>
      </c>
      <c r="F2145" s="385" t="s">
        <v>1112</v>
      </c>
      <c r="G2145" s="385" t="s">
        <v>976</v>
      </c>
      <c r="H2145" s="385" t="s">
        <v>980</v>
      </c>
      <c r="I2145" s="769"/>
      <c r="J2145" s="770"/>
      <c r="K2145" s="771"/>
      <c r="L2145" s="100"/>
      <c r="M2145" s="101"/>
    </row>
    <row r="2146" spans="4:13" x14ac:dyDescent="0.2">
      <c r="E2146" s="718">
        <v>45638</v>
      </c>
      <c r="F2146" s="385" t="s">
        <v>980</v>
      </c>
      <c r="G2146" s="385" t="s">
        <v>972</v>
      </c>
      <c r="H2146" s="385" t="s">
        <v>985</v>
      </c>
      <c r="I2146" s="769"/>
      <c r="J2146" s="770"/>
      <c r="K2146" s="771"/>
      <c r="L2146" s="102"/>
      <c r="M2146" s="101"/>
    </row>
    <row r="2147" spans="4:13" x14ac:dyDescent="0.2">
      <c r="E2147" s="718">
        <v>45631</v>
      </c>
      <c r="F2147" s="385" t="s">
        <v>1032</v>
      </c>
      <c r="G2147" s="385" t="s">
        <v>1232</v>
      </c>
      <c r="H2147" s="385" t="s">
        <v>1232</v>
      </c>
      <c r="I2147" s="769"/>
      <c r="J2147" s="770"/>
      <c r="K2147" s="771"/>
      <c r="L2147" s="100"/>
      <c r="M2147" s="101"/>
    </row>
    <row r="2148" spans="4:13" x14ac:dyDescent="0.2">
      <c r="E2148" s="718">
        <v>45623</v>
      </c>
      <c r="F2148" s="385" t="s">
        <v>1111</v>
      </c>
      <c r="G2148" s="385" t="s">
        <v>1232</v>
      </c>
      <c r="H2148" s="385" t="s">
        <v>1232</v>
      </c>
      <c r="I2148" s="769"/>
      <c r="J2148" s="770"/>
      <c r="K2148" s="771"/>
      <c r="L2148" s="100"/>
      <c r="M2148" s="101"/>
    </row>
    <row r="2149" spans="4:13" ht="20" thickBot="1" x14ac:dyDescent="0.25">
      <c r="E2149" s="718">
        <v>45617</v>
      </c>
      <c r="F2149" s="385" t="s">
        <v>1111</v>
      </c>
      <c r="G2149" s="385" t="s">
        <v>1112</v>
      </c>
      <c r="H2149" s="385" t="s">
        <v>987</v>
      </c>
      <c r="I2149" s="772"/>
      <c r="J2149" s="773"/>
      <c r="K2149" s="774"/>
      <c r="L2149" s="103"/>
      <c r="M2149" s="104"/>
    </row>
    <row r="2150" spans="4:13" ht="25" thickBot="1" x14ac:dyDescent="0.25">
      <c r="D2150">
        <v>8</v>
      </c>
      <c r="E2150" s="713" t="s">
        <v>30</v>
      </c>
      <c r="F2150" s="814" t="s">
        <v>1328</v>
      </c>
      <c r="G2150" s="815"/>
      <c r="H2150" s="816"/>
      <c r="I2150" s="846" t="s">
        <v>633</v>
      </c>
      <c r="J2150" s="847"/>
      <c r="K2150" s="848"/>
      <c r="L2150" s="162" t="s">
        <v>430</v>
      </c>
      <c r="M2150" s="106" t="s">
        <v>431</v>
      </c>
    </row>
    <row r="2151" spans="4:13" x14ac:dyDescent="0.2">
      <c r="E2151" s="714" t="s">
        <v>432</v>
      </c>
      <c r="F2151" s="805"/>
      <c r="G2151" s="806"/>
      <c r="H2151" s="807"/>
      <c r="I2151" s="769" t="s">
        <v>1329</v>
      </c>
      <c r="J2151" s="770"/>
      <c r="K2151" s="771"/>
      <c r="L2151" s="100"/>
      <c r="M2151" s="101"/>
    </row>
    <row r="2152" spans="4:13" x14ac:dyDescent="0.2">
      <c r="E2152" s="715" t="s">
        <v>433</v>
      </c>
      <c r="F2152" s="817">
        <v>48.3</v>
      </c>
      <c r="G2152" s="818"/>
      <c r="H2152" s="819"/>
      <c r="I2152" s="769"/>
      <c r="J2152" s="770"/>
      <c r="K2152" s="771"/>
      <c r="L2152" s="100"/>
      <c r="M2152" s="101"/>
    </row>
    <row r="2153" spans="4:13" ht="20" thickBot="1" x14ac:dyDescent="0.25">
      <c r="E2153" s="715" t="s">
        <v>434</v>
      </c>
      <c r="F2153" s="817">
        <v>49.7</v>
      </c>
      <c r="G2153" s="818"/>
      <c r="H2153" s="819"/>
      <c r="I2153" s="769"/>
      <c r="J2153" s="770"/>
      <c r="K2153" s="771"/>
      <c r="L2153" s="100"/>
      <c r="M2153" s="101"/>
    </row>
    <row r="2154" spans="4:13" ht="20" thickBot="1" x14ac:dyDescent="0.25">
      <c r="E2154" s="716" t="s">
        <v>435</v>
      </c>
      <c r="F2154" s="811">
        <v>0.61458333333333337</v>
      </c>
      <c r="G2154" s="812"/>
      <c r="H2154" s="813"/>
      <c r="I2154" s="769"/>
      <c r="J2154" s="770"/>
      <c r="K2154" s="771"/>
      <c r="L2154" s="107">
        <v>0.84375</v>
      </c>
      <c r="M2154" s="108">
        <v>0.69791666666666663</v>
      </c>
    </row>
    <row r="2155" spans="4:13" ht="20" thickBot="1" x14ac:dyDescent="0.25">
      <c r="E2155" s="717" t="s">
        <v>436</v>
      </c>
      <c r="F2155" s="278" t="s">
        <v>29</v>
      </c>
      <c r="G2155" s="278" t="s">
        <v>28</v>
      </c>
      <c r="H2155" s="279" t="s">
        <v>27</v>
      </c>
      <c r="I2155" s="769"/>
      <c r="J2155" s="770"/>
      <c r="K2155" s="771"/>
      <c r="L2155" s="100"/>
      <c r="M2155" s="101"/>
    </row>
    <row r="2156" spans="4:13" x14ac:dyDescent="0.2">
      <c r="E2156" s="718">
        <v>45642</v>
      </c>
      <c r="F2156" s="283">
        <v>48.3</v>
      </c>
      <c r="G2156" s="283" t="s">
        <v>440</v>
      </c>
      <c r="H2156" s="283">
        <v>49.7</v>
      </c>
      <c r="I2156" s="769"/>
      <c r="J2156" s="770"/>
      <c r="K2156" s="771"/>
      <c r="L2156" s="100"/>
      <c r="M2156" s="101"/>
    </row>
    <row r="2157" spans="4:13" x14ac:dyDescent="0.2">
      <c r="E2157" s="718">
        <v>45628</v>
      </c>
      <c r="F2157" s="283">
        <v>49.7</v>
      </c>
      <c r="G2157" s="283" t="s">
        <v>510</v>
      </c>
      <c r="H2157" s="283">
        <v>48.5</v>
      </c>
      <c r="I2157" s="769"/>
      <c r="J2157" s="770"/>
      <c r="K2157" s="771"/>
      <c r="L2157" s="100"/>
      <c r="M2157" s="101"/>
    </row>
    <row r="2158" spans="4:13" x14ac:dyDescent="0.2">
      <c r="E2158" s="718">
        <v>45618</v>
      </c>
      <c r="F2158" s="283">
        <v>48.8</v>
      </c>
      <c r="G2158" s="283" t="s">
        <v>510</v>
      </c>
      <c r="H2158" s="283">
        <v>48.5</v>
      </c>
      <c r="I2158" s="769"/>
      <c r="J2158" s="770"/>
      <c r="K2158" s="771"/>
      <c r="L2158" s="102"/>
      <c r="M2158" s="101"/>
    </row>
    <row r="2159" spans="4:13" x14ac:dyDescent="0.2">
      <c r="E2159" s="718">
        <v>45597</v>
      </c>
      <c r="F2159" s="283">
        <v>48.5</v>
      </c>
      <c r="G2159" s="283" t="s">
        <v>1054</v>
      </c>
      <c r="H2159" s="283">
        <v>47.8</v>
      </c>
      <c r="I2159" s="769"/>
      <c r="J2159" s="770"/>
      <c r="K2159" s="771"/>
      <c r="L2159" s="100"/>
      <c r="M2159" s="101"/>
    </row>
    <row r="2160" spans="4:13" x14ac:dyDescent="0.2">
      <c r="E2160" s="718">
        <v>45589</v>
      </c>
      <c r="F2160" s="283">
        <v>47.8</v>
      </c>
      <c r="G2160" s="283" t="s">
        <v>509</v>
      </c>
      <c r="H2160" s="283">
        <v>47.3</v>
      </c>
      <c r="I2160" s="769"/>
      <c r="J2160" s="770"/>
      <c r="K2160" s="771"/>
      <c r="L2160" s="100"/>
      <c r="M2160" s="101"/>
    </row>
    <row r="2161" spans="4:13" ht="20" thickBot="1" x14ac:dyDescent="0.25">
      <c r="E2161" s="718">
        <v>45566</v>
      </c>
      <c r="F2161" s="283">
        <v>47.3</v>
      </c>
      <c r="G2161" s="283" t="s">
        <v>758</v>
      </c>
      <c r="H2161" s="283">
        <v>47.9</v>
      </c>
      <c r="I2161" s="772"/>
      <c r="J2161" s="773"/>
      <c r="K2161" s="774"/>
      <c r="L2161" s="103"/>
      <c r="M2161" s="104"/>
    </row>
    <row r="2162" spans="4:13" ht="25" thickBot="1" x14ac:dyDescent="0.25">
      <c r="D2162">
        <v>10</v>
      </c>
      <c r="E2162" s="713" t="s">
        <v>30</v>
      </c>
      <c r="F2162" s="814" t="s">
        <v>1330</v>
      </c>
      <c r="G2162" s="815"/>
      <c r="H2162" s="816"/>
      <c r="I2162" s="846" t="s">
        <v>633</v>
      </c>
      <c r="J2162" s="847"/>
      <c r="K2162" s="848"/>
      <c r="L2162" s="162" t="s">
        <v>430</v>
      </c>
      <c r="M2162" s="106" t="s">
        <v>431</v>
      </c>
    </row>
    <row r="2163" spans="4:13" x14ac:dyDescent="0.2">
      <c r="D2163" s="89"/>
      <c r="E2163" s="714" t="s">
        <v>432</v>
      </c>
      <c r="F2163" s="805"/>
      <c r="G2163" s="806"/>
      <c r="H2163" s="807"/>
      <c r="I2163" s="769" t="s">
        <v>1331</v>
      </c>
      <c r="J2163" s="770"/>
      <c r="K2163" s="771"/>
      <c r="L2163" s="100"/>
      <c r="M2163" s="101"/>
    </row>
    <row r="2164" spans="4:13" x14ac:dyDescent="0.2">
      <c r="D2164" s="89"/>
      <c r="E2164" s="715" t="s">
        <v>433</v>
      </c>
      <c r="F2164" s="817">
        <v>0</v>
      </c>
      <c r="G2164" s="818"/>
      <c r="H2164" s="819"/>
      <c r="I2164" s="769"/>
      <c r="J2164" s="770"/>
      <c r="K2164" s="771"/>
      <c r="L2164" s="100"/>
      <c r="M2164" s="101"/>
    </row>
    <row r="2165" spans="4:13" ht="20" thickBot="1" x14ac:dyDescent="0.25">
      <c r="D2165" s="89"/>
      <c r="E2165" s="715" t="s">
        <v>434</v>
      </c>
      <c r="F2165" s="817">
        <v>48.4</v>
      </c>
      <c r="G2165" s="818"/>
      <c r="H2165" s="819"/>
      <c r="I2165" s="769"/>
      <c r="J2165" s="770"/>
      <c r="K2165" s="771"/>
      <c r="L2165" s="100"/>
      <c r="M2165" s="101"/>
    </row>
    <row r="2166" spans="4:13" ht="20" thickBot="1" x14ac:dyDescent="0.25">
      <c r="D2166" s="89"/>
      <c r="E2166" s="716" t="s">
        <v>435</v>
      </c>
      <c r="F2166" s="811">
        <v>0.625</v>
      </c>
      <c r="G2166" s="812"/>
      <c r="H2166" s="813"/>
      <c r="I2166" s="769"/>
      <c r="J2166" s="770"/>
      <c r="K2166" s="771"/>
      <c r="L2166" s="107">
        <v>0.85416666666666663</v>
      </c>
      <c r="M2166" s="108">
        <v>0.70833333333333326</v>
      </c>
    </row>
    <row r="2167" spans="4:13" ht="20" thickBot="1" x14ac:dyDescent="0.25">
      <c r="D2167" s="89"/>
      <c r="E2167" s="717" t="s">
        <v>436</v>
      </c>
      <c r="F2167" s="278" t="s">
        <v>29</v>
      </c>
      <c r="G2167" s="278" t="s">
        <v>28</v>
      </c>
      <c r="H2167" s="279" t="s">
        <v>27</v>
      </c>
      <c r="I2167" s="769"/>
      <c r="J2167" s="770"/>
      <c r="K2167" s="771"/>
      <c r="L2167" s="100"/>
      <c r="M2167" s="101"/>
    </row>
    <row r="2168" spans="4:13" x14ac:dyDescent="0.2">
      <c r="D2168" s="89"/>
      <c r="E2168" s="718">
        <v>45628</v>
      </c>
      <c r="F2168" s="283">
        <v>48.4</v>
      </c>
      <c r="G2168" s="283" t="s">
        <v>1341</v>
      </c>
      <c r="H2168" s="283">
        <v>46.5</v>
      </c>
      <c r="I2168" s="769"/>
      <c r="J2168" s="770"/>
      <c r="K2168" s="771"/>
      <c r="L2168" s="100"/>
      <c r="M2168" s="101"/>
    </row>
    <row r="2169" spans="4:13" x14ac:dyDescent="0.2">
      <c r="D2169" s="89"/>
      <c r="E2169" s="718">
        <v>45597</v>
      </c>
      <c r="F2169" s="283">
        <v>46.5</v>
      </c>
      <c r="G2169" s="283" t="s">
        <v>901</v>
      </c>
      <c r="H2169" s="283">
        <v>47.2</v>
      </c>
      <c r="I2169" s="769"/>
      <c r="J2169" s="770"/>
      <c r="K2169" s="771"/>
      <c r="L2169" s="100"/>
      <c r="M2169" s="101"/>
    </row>
    <row r="2170" spans="4:13" x14ac:dyDescent="0.2">
      <c r="D2170" s="89"/>
      <c r="E2170" s="718">
        <v>45566</v>
      </c>
      <c r="F2170" s="283">
        <v>47.2</v>
      </c>
      <c r="G2170" s="283" t="s">
        <v>901</v>
      </c>
      <c r="H2170" s="283">
        <v>47.2</v>
      </c>
      <c r="I2170" s="769"/>
      <c r="J2170" s="770"/>
      <c r="K2170" s="771"/>
      <c r="L2170" s="102"/>
      <c r="M2170" s="101"/>
    </row>
    <row r="2171" spans="4:13" x14ac:dyDescent="0.2">
      <c r="D2171" s="89"/>
      <c r="E2171" s="718">
        <v>45538</v>
      </c>
      <c r="F2171" s="283">
        <v>47.2</v>
      </c>
      <c r="G2171" s="283" t="s">
        <v>509</v>
      </c>
      <c r="H2171" s="283">
        <v>46.8</v>
      </c>
      <c r="I2171" s="769"/>
      <c r="J2171" s="770"/>
      <c r="K2171" s="771"/>
      <c r="L2171" s="100"/>
      <c r="M2171" s="101"/>
    </row>
    <row r="2172" spans="4:13" x14ac:dyDescent="0.2">
      <c r="D2172" s="89"/>
      <c r="E2172" s="718">
        <v>45505</v>
      </c>
      <c r="F2172" s="283">
        <v>46.8</v>
      </c>
      <c r="G2172" s="283" t="s">
        <v>510</v>
      </c>
      <c r="H2172" s="283">
        <v>48.5</v>
      </c>
      <c r="I2172" s="769"/>
      <c r="J2172" s="770"/>
      <c r="K2172" s="771"/>
      <c r="L2172" s="100"/>
      <c r="M2172" s="101"/>
    </row>
    <row r="2173" spans="4:13" ht="20" thickBot="1" x14ac:dyDescent="0.25">
      <c r="D2173" s="89"/>
      <c r="E2173" s="718">
        <v>45474</v>
      </c>
      <c r="F2173" s="283">
        <v>48.5</v>
      </c>
      <c r="G2173" s="283" t="s">
        <v>511</v>
      </c>
      <c r="H2173" s="283">
        <v>48.7</v>
      </c>
      <c r="I2173" s="772"/>
      <c r="J2173" s="773"/>
      <c r="K2173" s="774"/>
      <c r="L2173" s="103"/>
      <c r="M2173" s="104"/>
    </row>
    <row r="2174" spans="4:13" ht="25" thickBot="1" x14ac:dyDescent="0.25">
      <c r="D2174">
        <v>11</v>
      </c>
      <c r="E2174" s="713" t="s">
        <v>30</v>
      </c>
      <c r="F2174" s="814" t="s">
        <v>1332</v>
      </c>
      <c r="G2174" s="815"/>
      <c r="H2174" s="816"/>
      <c r="I2174" s="846" t="s">
        <v>633</v>
      </c>
      <c r="J2174" s="847"/>
      <c r="K2174" s="848"/>
      <c r="L2174" s="162" t="s">
        <v>430</v>
      </c>
      <c r="M2174" s="106" t="s">
        <v>431</v>
      </c>
    </row>
    <row r="2175" spans="4:13" x14ac:dyDescent="0.2">
      <c r="D2175" s="89"/>
      <c r="E2175" s="714" t="s">
        <v>432</v>
      </c>
      <c r="F2175" s="805"/>
      <c r="G2175" s="806"/>
      <c r="H2175" s="807"/>
      <c r="I2175" s="908" t="s">
        <v>1333</v>
      </c>
      <c r="J2175" s="909"/>
      <c r="K2175" s="910"/>
      <c r="L2175" s="100"/>
      <c r="M2175" s="101"/>
    </row>
    <row r="2176" spans="4:13" x14ac:dyDescent="0.2">
      <c r="D2176" s="89"/>
      <c r="E2176" s="715" t="s">
        <v>433</v>
      </c>
      <c r="F2176" s="820"/>
      <c r="G2176" s="821"/>
      <c r="H2176" s="822"/>
      <c r="I2176" s="908"/>
      <c r="J2176" s="909"/>
      <c r="K2176" s="910"/>
      <c r="L2176" s="100"/>
      <c r="M2176" s="101"/>
    </row>
    <row r="2177" spans="4:13" ht="20" thickBot="1" x14ac:dyDescent="0.25">
      <c r="D2177" s="89"/>
      <c r="E2177" s="715" t="s">
        <v>434</v>
      </c>
      <c r="F2177" s="817">
        <v>50.3</v>
      </c>
      <c r="G2177" s="818"/>
      <c r="H2177" s="819"/>
      <c r="I2177" s="908"/>
      <c r="J2177" s="909"/>
      <c r="K2177" s="910"/>
      <c r="L2177" s="100"/>
      <c r="M2177" s="101"/>
    </row>
    <row r="2178" spans="4:13" ht="20" thickBot="1" x14ac:dyDescent="0.25">
      <c r="D2178" s="89"/>
      <c r="E2178" s="716" t="s">
        <v>435</v>
      </c>
      <c r="F2178" s="811">
        <v>0.625</v>
      </c>
      <c r="G2178" s="812"/>
      <c r="H2178" s="813"/>
      <c r="I2178" s="908"/>
      <c r="J2178" s="909"/>
      <c r="K2178" s="910"/>
      <c r="L2178" s="107">
        <v>0.85416666666666663</v>
      </c>
      <c r="M2178" s="108">
        <v>0.70833333333333326</v>
      </c>
    </row>
    <row r="2179" spans="4:13" ht="20" thickBot="1" x14ac:dyDescent="0.25">
      <c r="D2179" s="89"/>
      <c r="E2179" s="717" t="s">
        <v>436</v>
      </c>
      <c r="F2179" s="278" t="s">
        <v>29</v>
      </c>
      <c r="G2179" s="278" t="s">
        <v>28</v>
      </c>
      <c r="H2179" s="279" t="s">
        <v>27</v>
      </c>
      <c r="I2179" s="908"/>
      <c r="J2179" s="909"/>
      <c r="K2179" s="910"/>
      <c r="L2179" s="100"/>
      <c r="M2179" s="101"/>
    </row>
    <row r="2180" spans="4:13" x14ac:dyDescent="0.2">
      <c r="D2180" s="89"/>
      <c r="E2180" s="718">
        <v>45628</v>
      </c>
      <c r="F2180" s="283">
        <v>50.3</v>
      </c>
      <c r="G2180" s="283" t="s">
        <v>586</v>
      </c>
      <c r="H2180" s="283">
        <v>54.8</v>
      </c>
      <c r="I2180" s="908"/>
      <c r="J2180" s="909"/>
      <c r="K2180" s="910"/>
      <c r="L2180" s="100"/>
      <c r="M2180" s="101"/>
    </row>
    <row r="2181" spans="4:13" x14ac:dyDescent="0.2">
      <c r="D2181" s="89"/>
      <c r="E2181" s="718">
        <v>45597</v>
      </c>
      <c r="F2181" s="283">
        <v>54.8</v>
      </c>
      <c r="G2181" s="283" t="s">
        <v>1173</v>
      </c>
      <c r="H2181" s="283">
        <v>48.3</v>
      </c>
      <c r="I2181" s="908"/>
      <c r="J2181" s="909"/>
      <c r="K2181" s="910"/>
      <c r="L2181" s="100"/>
      <c r="M2181" s="101"/>
    </row>
    <row r="2182" spans="4:13" x14ac:dyDescent="0.2">
      <c r="D2182" s="89"/>
      <c r="E2182" s="718">
        <v>45566</v>
      </c>
      <c r="F2182" s="283">
        <v>48.3</v>
      </c>
      <c r="G2182" s="283" t="s">
        <v>902</v>
      </c>
      <c r="H2182" s="283">
        <v>54</v>
      </c>
      <c r="I2182" s="908"/>
      <c r="J2182" s="909"/>
      <c r="K2182" s="910"/>
      <c r="L2182" s="102"/>
      <c r="M2182" s="101"/>
    </row>
    <row r="2183" spans="4:13" x14ac:dyDescent="0.2">
      <c r="D2183" s="89"/>
      <c r="E2183" s="718">
        <v>45538</v>
      </c>
      <c r="F2183" s="283">
        <v>54</v>
      </c>
      <c r="G2183" s="283" t="s">
        <v>519</v>
      </c>
      <c r="H2183" s="283">
        <v>52.9</v>
      </c>
      <c r="I2183" s="908"/>
      <c r="J2183" s="909"/>
      <c r="K2183" s="910"/>
      <c r="L2183" s="100"/>
      <c r="M2183" s="101"/>
    </row>
    <row r="2184" spans="4:13" x14ac:dyDescent="0.2">
      <c r="D2184" s="89"/>
      <c r="E2184" s="718">
        <v>45505</v>
      </c>
      <c r="F2184" s="283">
        <v>52.9</v>
      </c>
      <c r="G2184" s="283" t="s">
        <v>520</v>
      </c>
      <c r="H2184" s="283">
        <v>52.1</v>
      </c>
      <c r="I2184" s="908"/>
      <c r="J2184" s="909"/>
      <c r="K2184" s="910"/>
      <c r="L2184" s="100"/>
      <c r="M2184" s="101"/>
    </row>
    <row r="2185" spans="4:13" ht="20" thickBot="1" x14ac:dyDescent="0.25">
      <c r="D2185" s="89"/>
      <c r="E2185" s="718">
        <v>45474</v>
      </c>
      <c r="F2185" s="283">
        <v>52.1</v>
      </c>
      <c r="G2185" s="283" t="s">
        <v>521</v>
      </c>
      <c r="H2185" s="283">
        <v>57</v>
      </c>
      <c r="I2185" s="911"/>
      <c r="J2185" s="912"/>
      <c r="K2185" s="913"/>
      <c r="L2185" s="103"/>
      <c r="M2185" s="104"/>
    </row>
    <row r="2186" spans="4:13" ht="25" thickBot="1" x14ac:dyDescent="0.25">
      <c r="D2186">
        <v>12</v>
      </c>
      <c r="E2186" s="713" t="s">
        <v>30</v>
      </c>
      <c r="F2186" s="814" t="s">
        <v>1334</v>
      </c>
      <c r="G2186" s="815"/>
      <c r="H2186" s="816"/>
      <c r="I2186" s="849" t="s">
        <v>633</v>
      </c>
      <c r="J2186" s="847"/>
      <c r="K2186" s="848"/>
      <c r="L2186" s="162" t="s">
        <v>430</v>
      </c>
      <c r="M2186" s="106" t="s">
        <v>431</v>
      </c>
    </row>
    <row r="2187" spans="4:13" x14ac:dyDescent="0.2">
      <c r="D2187" s="89"/>
      <c r="E2187" s="714" t="s">
        <v>432</v>
      </c>
      <c r="F2187" s="805"/>
      <c r="G2187" s="806"/>
      <c r="H2187" s="807"/>
      <c r="I2187" s="769" t="s">
        <v>1336</v>
      </c>
      <c r="J2187" s="770"/>
      <c r="K2187" s="771"/>
      <c r="L2187" s="100"/>
      <c r="M2187" s="101"/>
    </row>
    <row r="2188" spans="4:13" x14ac:dyDescent="0.2">
      <c r="D2188" s="89"/>
      <c r="E2188" s="715" t="s">
        <v>433</v>
      </c>
      <c r="F2188" s="827">
        <v>0</v>
      </c>
      <c r="G2188" s="825"/>
      <c r="H2188" s="826"/>
      <c r="I2188" s="769"/>
      <c r="J2188" s="770"/>
      <c r="K2188" s="771"/>
      <c r="L2188" s="100"/>
      <c r="M2188" s="101"/>
    </row>
    <row r="2189" spans="4:13" ht="20" thickBot="1" x14ac:dyDescent="0.25">
      <c r="D2189" s="89"/>
      <c r="E2189" s="715" t="s">
        <v>434</v>
      </c>
      <c r="F2189" s="808" t="s">
        <v>1335</v>
      </c>
      <c r="G2189" s="809"/>
      <c r="H2189" s="810"/>
      <c r="I2189" s="769"/>
      <c r="J2189" s="770"/>
      <c r="K2189" s="771"/>
      <c r="L2189" s="100"/>
      <c r="M2189" s="101"/>
    </row>
    <row r="2190" spans="4:13" ht="20" thickBot="1" x14ac:dyDescent="0.25">
      <c r="D2190" s="89"/>
      <c r="E2190" s="716" t="s">
        <v>435</v>
      </c>
      <c r="F2190" s="811">
        <v>0.66666666666666674</v>
      </c>
      <c r="G2190" s="812"/>
      <c r="H2190" s="813"/>
      <c r="I2190" s="769"/>
      <c r="J2190" s="770"/>
      <c r="K2190" s="771"/>
      <c r="L2190" s="107">
        <v>0.89583333333333337</v>
      </c>
      <c r="M2190" s="108">
        <v>0.75</v>
      </c>
    </row>
    <row r="2191" spans="4:13" ht="20" thickBot="1" x14ac:dyDescent="0.25">
      <c r="D2191" s="89"/>
      <c r="E2191" s="717" t="s">
        <v>436</v>
      </c>
      <c r="F2191" s="278" t="s">
        <v>29</v>
      </c>
      <c r="G2191" s="278" t="s">
        <v>28</v>
      </c>
      <c r="H2191" s="279" t="s">
        <v>27</v>
      </c>
      <c r="I2191" s="769"/>
      <c r="J2191" s="770"/>
      <c r="K2191" s="771"/>
      <c r="L2191" s="100"/>
      <c r="M2191" s="101"/>
    </row>
    <row r="2192" spans="4:13" x14ac:dyDescent="0.2">
      <c r="D2192" s="89"/>
      <c r="E2192" s="718">
        <v>45653</v>
      </c>
      <c r="F2192" s="726" t="s">
        <v>1342</v>
      </c>
      <c r="G2192" s="726" t="s">
        <v>1343</v>
      </c>
      <c r="H2192" s="726" t="s">
        <v>1318</v>
      </c>
      <c r="I2192" s="769"/>
      <c r="J2192" s="770"/>
      <c r="K2192" s="771"/>
      <c r="L2192" s="100"/>
      <c r="M2192" s="215"/>
    </row>
    <row r="2193" spans="4:13" x14ac:dyDescent="0.2">
      <c r="D2193" s="89"/>
      <c r="E2193" s="718">
        <v>45644</v>
      </c>
      <c r="F2193" s="726" t="s">
        <v>1318</v>
      </c>
      <c r="G2193" s="726" t="s">
        <v>1289</v>
      </c>
      <c r="H2193" s="726" t="s">
        <v>1286</v>
      </c>
      <c r="I2193" s="769"/>
      <c r="J2193" s="770"/>
      <c r="K2193" s="771"/>
      <c r="L2193" s="100"/>
      <c r="M2193" s="101"/>
    </row>
    <row r="2194" spans="4:13" x14ac:dyDescent="0.2">
      <c r="D2194" s="89"/>
      <c r="E2194" s="718">
        <v>45637</v>
      </c>
      <c r="F2194" s="726" t="s">
        <v>1286</v>
      </c>
      <c r="G2194" s="726" t="s">
        <v>1287</v>
      </c>
      <c r="H2194" s="726" t="s">
        <v>1288</v>
      </c>
      <c r="I2194" s="769"/>
      <c r="J2194" s="770"/>
      <c r="K2194" s="771"/>
      <c r="L2194" s="102"/>
      <c r="M2194" s="101"/>
    </row>
    <row r="2195" spans="4:13" x14ac:dyDescent="0.2">
      <c r="D2195" s="89"/>
      <c r="E2195" s="718">
        <v>45630</v>
      </c>
      <c r="F2195" s="726" t="s">
        <v>1288</v>
      </c>
      <c r="G2195" s="726" t="s">
        <v>1289</v>
      </c>
      <c r="H2195" s="726" t="s">
        <v>1290</v>
      </c>
      <c r="I2195" s="769"/>
      <c r="J2195" s="770"/>
      <c r="K2195" s="771"/>
      <c r="L2195" s="100"/>
      <c r="M2195" s="101"/>
    </row>
    <row r="2196" spans="4:13" x14ac:dyDescent="0.2">
      <c r="D2196" s="89"/>
      <c r="E2196" s="718">
        <v>45623</v>
      </c>
      <c r="F2196" s="726" t="s">
        <v>1290</v>
      </c>
      <c r="G2196" s="726" t="s">
        <v>1291</v>
      </c>
      <c r="H2196" s="726" t="s">
        <v>1125</v>
      </c>
      <c r="I2196" s="769"/>
      <c r="J2196" s="770"/>
      <c r="K2196" s="771"/>
      <c r="L2196" s="100"/>
      <c r="M2196" s="101"/>
    </row>
    <row r="2197" spans="4:13" ht="20" thickBot="1" x14ac:dyDescent="0.25">
      <c r="D2197" s="89"/>
      <c r="E2197" s="718">
        <v>45616</v>
      </c>
      <c r="F2197" s="726" t="s">
        <v>1125</v>
      </c>
      <c r="G2197" s="726" t="s">
        <v>1030</v>
      </c>
      <c r="H2197" s="726" t="s">
        <v>1029</v>
      </c>
      <c r="I2197" s="772"/>
      <c r="J2197" s="773"/>
      <c r="K2197" s="774"/>
      <c r="L2197" s="103"/>
      <c r="M2197" s="104"/>
    </row>
    <row r="2198" spans="4:13" ht="25" thickBot="1" x14ac:dyDescent="0.25">
      <c r="D2198">
        <v>14</v>
      </c>
      <c r="E2198" s="713" t="s">
        <v>30</v>
      </c>
      <c r="F2198" s="814" t="s">
        <v>1330</v>
      </c>
      <c r="G2198" s="815"/>
      <c r="H2198" s="816"/>
      <c r="I2198" s="849" t="s">
        <v>633</v>
      </c>
      <c r="J2198" s="847"/>
      <c r="K2198" s="848"/>
      <c r="L2198" s="162" t="s">
        <v>430</v>
      </c>
      <c r="M2198" s="106" t="s">
        <v>431</v>
      </c>
    </row>
    <row r="2199" spans="4:13" x14ac:dyDescent="0.2">
      <c r="D2199" s="89"/>
      <c r="E2199" s="714" t="s">
        <v>432</v>
      </c>
      <c r="F2199" s="805"/>
      <c r="G2199" s="806"/>
      <c r="H2199" s="807"/>
      <c r="I2199" s="769" t="s">
        <v>1331</v>
      </c>
      <c r="J2199" s="770"/>
      <c r="K2199" s="771"/>
      <c r="L2199" s="100"/>
      <c r="M2199" s="101"/>
    </row>
    <row r="2200" spans="4:13" x14ac:dyDescent="0.2">
      <c r="D2200" s="89"/>
      <c r="E2200" s="715" t="s">
        <v>433</v>
      </c>
      <c r="F2200" s="827">
        <v>48.3</v>
      </c>
      <c r="G2200" s="825"/>
      <c r="H2200" s="826"/>
      <c r="I2200" s="769"/>
      <c r="J2200" s="770"/>
      <c r="K2200" s="771"/>
      <c r="L2200" s="100"/>
      <c r="M2200" s="101"/>
    </row>
    <row r="2201" spans="4:13" ht="20" thickBot="1" x14ac:dyDescent="0.25">
      <c r="D2201" s="89"/>
      <c r="E2201" s="715" t="s">
        <v>434</v>
      </c>
      <c r="F2201" s="831">
        <v>48.4</v>
      </c>
      <c r="G2201" s="832"/>
      <c r="H2201" s="833"/>
      <c r="I2201" s="769"/>
      <c r="J2201" s="770"/>
      <c r="K2201" s="771"/>
      <c r="L2201" s="100"/>
      <c r="M2201" s="101"/>
    </row>
    <row r="2202" spans="4:13" ht="20" thickBot="1" x14ac:dyDescent="0.25">
      <c r="D2202" s="89"/>
      <c r="E2202" s="716" t="s">
        <v>435</v>
      </c>
      <c r="F2202" s="811">
        <v>0.625</v>
      </c>
      <c r="G2202" s="812"/>
      <c r="H2202" s="813"/>
      <c r="I2202" s="769"/>
      <c r="J2202" s="770"/>
      <c r="K2202" s="771"/>
      <c r="L2202" s="107">
        <v>0.85416666666666663</v>
      </c>
      <c r="M2202" s="108">
        <v>0.70833333333333326</v>
      </c>
    </row>
    <row r="2203" spans="4:13" ht="20" thickBot="1" x14ac:dyDescent="0.25">
      <c r="D2203" s="89"/>
      <c r="E2203" s="717" t="s">
        <v>436</v>
      </c>
      <c r="F2203" s="278" t="s">
        <v>29</v>
      </c>
      <c r="G2203" s="278" t="s">
        <v>28</v>
      </c>
      <c r="H2203" s="279" t="s">
        <v>27</v>
      </c>
      <c r="I2203" s="769"/>
      <c r="J2203" s="770"/>
      <c r="K2203" s="771"/>
      <c r="L2203" s="100"/>
      <c r="M2203" s="101"/>
    </row>
    <row r="2204" spans="4:13" x14ac:dyDescent="0.2">
      <c r="D2204" s="89"/>
      <c r="E2204" s="718">
        <v>45659</v>
      </c>
      <c r="F2204" s="283">
        <v>0</v>
      </c>
      <c r="G2204" s="283" t="s">
        <v>754</v>
      </c>
      <c r="H2204" s="283">
        <v>48.4</v>
      </c>
      <c r="I2204" s="769"/>
      <c r="J2204" s="770"/>
      <c r="K2204" s="771"/>
      <c r="L2204" s="100"/>
      <c r="M2204" s="215"/>
    </row>
    <row r="2205" spans="4:13" x14ac:dyDescent="0.2">
      <c r="D2205" s="89"/>
      <c r="E2205" s="718">
        <v>45628</v>
      </c>
      <c r="F2205" s="283">
        <v>48.4</v>
      </c>
      <c r="G2205" s="283" t="s">
        <v>1341</v>
      </c>
      <c r="H2205" s="283">
        <v>46.5</v>
      </c>
      <c r="I2205" s="769"/>
      <c r="J2205" s="770"/>
      <c r="K2205" s="771"/>
      <c r="L2205" s="100"/>
      <c r="M2205" s="101"/>
    </row>
    <row r="2206" spans="4:13" x14ac:dyDescent="0.2">
      <c r="D2206" s="89"/>
      <c r="E2206" s="718">
        <v>45597</v>
      </c>
      <c r="F2206" s="283">
        <v>46.5</v>
      </c>
      <c r="G2206" s="283" t="s">
        <v>901</v>
      </c>
      <c r="H2206" s="283">
        <v>47.2</v>
      </c>
      <c r="I2206" s="769"/>
      <c r="J2206" s="770"/>
      <c r="K2206" s="771"/>
      <c r="L2206" s="102"/>
      <c r="M2206" s="101"/>
    </row>
    <row r="2207" spans="4:13" x14ac:dyDescent="0.2">
      <c r="D2207" s="89"/>
      <c r="E2207" s="718">
        <v>45566</v>
      </c>
      <c r="F2207" s="283">
        <v>47.2</v>
      </c>
      <c r="G2207" s="283" t="s">
        <v>901</v>
      </c>
      <c r="H2207" s="283">
        <v>47.2</v>
      </c>
      <c r="I2207" s="769"/>
      <c r="J2207" s="770"/>
      <c r="K2207" s="771"/>
      <c r="L2207" s="100"/>
      <c r="M2207" s="101"/>
    </row>
    <row r="2208" spans="4:13" x14ac:dyDescent="0.2">
      <c r="D2208" s="89"/>
      <c r="E2208" s="718">
        <v>45538</v>
      </c>
      <c r="F2208" s="283">
        <v>47.2</v>
      </c>
      <c r="G2208" s="283" t="s">
        <v>509</v>
      </c>
      <c r="H2208" s="283">
        <v>46.8</v>
      </c>
      <c r="I2208" s="769"/>
      <c r="J2208" s="770"/>
      <c r="K2208" s="771"/>
      <c r="L2208" s="100"/>
      <c r="M2208" s="101"/>
    </row>
    <row r="2209" spans="2:13" ht="20" thickBot="1" x14ac:dyDescent="0.25">
      <c r="D2209" s="89"/>
      <c r="E2209" s="718">
        <v>45505</v>
      </c>
      <c r="F2209" s="283">
        <v>46.8</v>
      </c>
      <c r="G2209" s="283" t="s">
        <v>510</v>
      </c>
      <c r="H2209" s="283">
        <v>48.5</v>
      </c>
      <c r="I2209" s="772"/>
      <c r="J2209" s="773"/>
      <c r="K2209" s="774"/>
      <c r="L2209" s="103"/>
      <c r="M2209" s="104"/>
    </row>
    <row r="2210" spans="2:13" ht="25" thickBot="1" x14ac:dyDescent="0.25">
      <c r="D2210">
        <v>15</v>
      </c>
      <c r="E2210" s="713" t="s">
        <v>30</v>
      </c>
      <c r="F2210" s="814" t="s">
        <v>1332</v>
      </c>
      <c r="G2210" s="815"/>
      <c r="H2210" s="816"/>
      <c r="I2210" s="849" t="s">
        <v>633</v>
      </c>
      <c r="J2210" s="847"/>
      <c r="K2210" s="848"/>
      <c r="L2210" s="162" t="s">
        <v>430</v>
      </c>
      <c r="M2210" s="106" t="s">
        <v>431</v>
      </c>
    </row>
    <row r="2211" spans="2:13" x14ac:dyDescent="0.2">
      <c r="D2211" s="89"/>
      <c r="E2211" s="714" t="s">
        <v>432</v>
      </c>
      <c r="F2211" s="840"/>
      <c r="G2211" s="841"/>
      <c r="H2211" s="842"/>
      <c r="I2211" s="908" t="s">
        <v>1333</v>
      </c>
      <c r="J2211" s="909"/>
      <c r="K2211" s="910"/>
      <c r="L2211" s="100"/>
      <c r="M2211" s="101"/>
    </row>
    <row r="2212" spans="2:13" x14ac:dyDescent="0.2">
      <c r="D2212" s="89"/>
      <c r="E2212" s="715" t="s">
        <v>433</v>
      </c>
      <c r="F2212" s="827">
        <v>52.2</v>
      </c>
      <c r="G2212" s="825"/>
      <c r="H2212" s="826"/>
      <c r="I2212" s="908"/>
      <c r="J2212" s="909"/>
      <c r="K2212" s="910"/>
      <c r="L2212" s="100"/>
      <c r="M2212" s="101"/>
    </row>
    <row r="2213" spans="2:13" ht="20" thickBot="1" x14ac:dyDescent="0.25">
      <c r="D2213" s="89"/>
      <c r="E2213" s="715" t="s">
        <v>434</v>
      </c>
      <c r="F2213" s="827">
        <v>50.3</v>
      </c>
      <c r="G2213" s="825"/>
      <c r="H2213" s="826"/>
      <c r="I2213" s="908"/>
      <c r="J2213" s="909"/>
      <c r="K2213" s="910"/>
      <c r="L2213" s="100"/>
      <c r="M2213" s="101"/>
    </row>
    <row r="2214" spans="2:13" ht="20" thickBot="1" x14ac:dyDescent="0.25">
      <c r="D2214" s="89"/>
      <c r="E2214" s="716" t="s">
        <v>435</v>
      </c>
      <c r="F2214" s="811">
        <v>0.625</v>
      </c>
      <c r="G2214" s="812"/>
      <c r="H2214" s="813"/>
      <c r="I2214" s="908"/>
      <c r="J2214" s="909"/>
      <c r="K2214" s="910"/>
      <c r="L2214" s="107">
        <v>0.85416666666666663</v>
      </c>
      <c r="M2214" s="108">
        <v>0.70833333333333326</v>
      </c>
    </row>
    <row r="2215" spans="2:13" ht="20" thickBot="1" x14ac:dyDescent="0.25">
      <c r="D2215" s="89"/>
      <c r="E2215" s="717" t="s">
        <v>436</v>
      </c>
      <c r="F2215" s="278" t="s">
        <v>29</v>
      </c>
      <c r="G2215" s="278" t="s">
        <v>28</v>
      </c>
      <c r="H2215" s="279" t="s">
        <v>27</v>
      </c>
      <c r="I2215" s="908"/>
      <c r="J2215" s="909"/>
      <c r="K2215" s="910"/>
      <c r="L2215" s="100"/>
      <c r="M2215" s="101"/>
    </row>
    <row r="2216" spans="2:13" x14ac:dyDescent="0.2">
      <c r="D2216" s="89"/>
      <c r="E2216" s="718">
        <v>45659</v>
      </c>
      <c r="F2216" s="283">
        <v>0</v>
      </c>
      <c r="G2216" s="283" t="s">
        <v>754</v>
      </c>
      <c r="H2216" s="283">
        <v>50.3</v>
      </c>
      <c r="I2216" s="908"/>
      <c r="J2216" s="909"/>
      <c r="K2216" s="910"/>
      <c r="L2216" s="100"/>
      <c r="M2216" s="101"/>
    </row>
    <row r="2217" spans="2:13" x14ac:dyDescent="0.2">
      <c r="D2217" s="89"/>
      <c r="E2217" s="718">
        <v>45628</v>
      </c>
      <c r="F2217" s="283">
        <v>50.3</v>
      </c>
      <c r="G2217" s="283" t="s">
        <v>586</v>
      </c>
      <c r="H2217" s="283">
        <v>54.8</v>
      </c>
      <c r="I2217" s="908"/>
      <c r="J2217" s="909"/>
      <c r="K2217" s="910"/>
      <c r="L2217" s="100"/>
      <c r="M2217" s="101"/>
    </row>
    <row r="2218" spans="2:13" x14ac:dyDescent="0.2">
      <c r="D2218" s="89"/>
      <c r="E2218" s="718">
        <v>45597</v>
      </c>
      <c r="F2218" s="283">
        <v>54.8</v>
      </c>
      <c r="G2218" s="283" t="s">
        <v>1173</v>
      </c>
      <c r="H2218" s="283">
        <v>48.3</v>
      </c>
      <c r="I2218" s="908"/>
      <c r="J2218" s="909"/>
      <c r="K2218" s="910"/>
      <c r="L2218" s="102"/>
      <c r="M2218" s="101"/>
    </row>
    <row r="2219" spans="2:13" x14ac:dyDescent="0.2">
      <c r="D2219" s="89"/>
      <c r="E2219" s="718">
        <v>45566</v>
      </c>
      <c r="F2219" s="283">
        <v>48.3</v>
      </c>
      <c r="G2219" s="283" t="s">
        <v>902</v>
      </c>
      <c r="H2219" s="283">
        <v>54</v>
      </c>
      <c r="I2219" s="908"/>
      <c r="J2219" s="909"/>
      <c r="K2219" s="910"/>
      <c r="L2219" s="100"/>
      <c r="M2219" s="101"/>
    </row>
    <row r="2220" spans="2:13" x14ac:dyDescent="0.2">
      <c r="D2220" s="89"/>
      <c r="E2220" s="718">
        <v>45538</v>
      </c>
      <c r="F2220" s="283">
        <v>54</v>
      </c>
      <c r="G2220" s="283" t="s">
        <v>519</v>
      </c>
      <c r="H2220" s="283">
        <v>52.9</v>
      </c>
      <c r="I2220" s="908"/>
      <c r="J2220" s="909"/>
      <c r="K2220" s="910"/>
      <c r="L2220" s="100"/>
      <c r="M2220" s="101"/>
    </row>
    <row r="2221" spans="2:13" ht="20" thickBot="1" x14ac:dyDescent="0.25">
      <c r="D2221" s="89"/>
      <c r="E2221" s="722">
        <v>45505</v>
      </c>
      <c r="F2221" s="723">
        <v>52.9</v>
      </c>
      <c r="G2221" s="723" t="s">
        <v>520</v>
      </c>
      <c r="H2221" s="723">
        <v>52.1</v>
      </c>
      <c r="I2221" s="911"/>
      <c r="J2221" s="912"/>
      <c r="K2221" s="913"/>
      <c r="L2221" s="103"/>
      <c r="M2221" s="104"/>
    </row>
    <row r="2222" spans="2:13" ht="25" thickBot="1" x14ac:dyDescent="0.25">
      <c r="B2222" t="s">
        <v>105</v>
      </c>
      <c r="D2222">
        <v>1</v>
      </c>
      <c r="E2222" s="713" t="s">
        <v>30</v>
      </c>
      <c r="F2222" s="814" t="s">
        <v>1319</v>
      </c>
      <c r="G2222" s="815"/>
      <c r="H2222" s="816"/>
      <c r="I2222" s="781" t="s">
        <v>633</v>
      </c>
      <c r="J2222" s="764"/>
      <c r="K2222" s="765"/>
      <c r="L2222" s="162" t="s">
        <v>430</v>
      </c>
      <c r="M2222" s="106" t="s">
        <v>431</v>
      </c>
    </row>
    <row r="2223" spans="2:13" x14ac:dyDescent="0.2">
      <c r="E2223" s="714" t="s">
        <v>432</v>
      </c>
      <c r="F2223" s="805"/>
      <c r="G2223" s="806"/>
      <c r="H2223" s="807"/>
      <c r="I2223" s="769" t="s">
        <v>1320</v>
      </c>
      <c r="J2223" s="770"/>
      <c r="K2223" s="771"/>
      <c r="L2223" s="100"/>
      <c r="M2223" s="101"/>
    </row>
    <row r="2224" spans="2:13" x14ac:dyDescent="0.2">
      <c r="E2224" s="715" t="s">
        <v>433</v>
      </c>
      <c r="F2224" s="831">
        <v>42.7</v>
      </c>
      <c r="G2224" s="832"/>
      <c r="H2224" s="833"/>
      <c r="I2224" s="769"/>
      <c r="J2224" s="770"/>
      <c r="K2224" s="771"/>
      <c r="L2224" s="100"/>
      <c r="M2224" s="101"/>
    </row>
    <row r="2225" spans="4:13" ht="20" thickBot="1" x14ac:dyDescent="0.25">
      <c r="E2225" s="715" t="s">
        <v>434</v>
      </c>
      <c r="F2225" s="831">
        <v>40.200000000000003</v>
      </c>
      <c r="G2225" s="832"/>
      <c r="H2225" s="833"/>
      <c r="I2225" s="769"/>
      <c r="J2225" s="770"/>
      <c r="K2225" s="771"/>
      <c r="L2225" s="100"/>
      <c r="M2225" s="101"/>
    </row>
    <row r="2226" spans="4:13" ht="20" thickBot="1" x14ac:dyDescent="0.25">
      <c r="E2226" s="716" t="s">
        <v>435</v>
      </c>
      <c r="F2226" s="811">
        <v>0.61458333333333337</v>
      </c>
      <c r="G2226" s="812"/>
      <c r="H2226" s="813"/>
      <c r="I2226" s="769"/>
      <c r="J2226" s="770"/>
      <c r="K2226" s="771"/>
      <c r="L2226" s="107">
        <v>0.84375</v>
      </c>
      <c r="M2226" s="108">
        <v>0.69791666666666663</v>
      </c>
    </row>
    <row r="2227" spans="4:13" ht="20" thickBot="1" x14ac:dyDescent="0.25">
      <c r="E2227" s="717" t="s">
        <v>436</v>
      </c>
      <c r="F2227" s="278" t="s">
        <v>29</v>
      </c>
      <c r="G2227" s="278" t="s">
        <v>28</v>
      </c>
      <c r="H2227" s="279" t="s">
        <v>27</v>
      </c>
      <c r="I2227" s="769"/>
      <c r="J2227" s="770"/>
      <c r="K2227" s="771"/>
      <c r="L2227" s="100"/>
      <c r="M2227" s="101"/>
    </row>
    <row r="2228" spans="4:13" x14ac:dyDescent="0.2">
      <c r="E2228" s="718">
        <v>45625</v>
      </c>
      <c r="F2228" s="283">
        <v>40.200000000000003</v>
      </c>
      <c r="G2228" s="283" t="s">
        <v>477</v>
      </c>
      <c r="H2228" s="283">
        <v>41.6</v>
      </c>
      <c r="I2228" s="769"/>
      <c r="J2228" s="770"/>
      <c r="K2228" s="771"/>
      <c r="L2228" s="100"/>
      <c r="M2228" s="101"/>
    </row>
    <row r="2229" spans="4:13" x14ac:dyDescent="0.2">
      <c r="E2229" s="718">
        <v>45596</v>
      </c>
      <c r="F2229" s="283">
        <v>41.6</v>
      </c>
      <c r="G2229" s="283" t="s">
        <v>1126</v>
      </c>
      <c r="H2229" s="283">
        <v>46.6</v>
      </c>
      <c r="I2229" s="769"/>
      <c r="J2229" s="770"/>
      <c r="K2229" s="771"/>
      <c r="L2229" s="100"/>
      <c r="M2229" s="101"/>
    </row>
    <row r="2230" spans="4:13" x14ac:dyDescent="0.2">
      <c r="E2230" s="718">
        <v>45565</v>
      </c>
      <c r="F2230" s="283">
        <v>46.6</v>
      </c>
      <c r="G2230" s="283" t="s">
        <v>899</v>
      </c>
      <c r="H2230" s="283">
        <v>46.1</v>
      </c>
      <c r="I2230" s="769"/>
      <c r="J2230" s="770"/>
      <c r="K2230" s="771"/>
      <c r="L2230" s="102"/>
      <c r="M2230" s="101"/>
    </row>
    <row r="2231" spans="4:13" x14ac:dyDescent="0.2">
      <c r="E2231" s="718">
        <v>45534</v>
      </c>
      <c r="F2231" s="283">
        <v>46.1</v>
      </c>
      <c r="G2231" s="283" t="s">
        <v>473</v>
      </c>
      <c r="H2231" s="283">
        <v>45.3</v>
      </c>
      <c r="I2231" s="769"/>
      <c r="J2231" s="770"/>
      <c r="K2231" s="771"/>
      <c r="L2231" s="100"/>
      <c r="M2231" s="101"/>
    </row>
    <row r="2232" spans="4:13" x14ac:dyDescent="0.2">
      <c r="E2232" s="718">
        <v>45504</v>
      </c>
      <c r="F2232" s="283">
        <v>45.3</v>
      </c>
      <c r="G2232" s="283" t="s">
        <v>474</v>
      </c>
      <c r="H2232" s="283">
        <v>47.4</v>
      </c>
      <c r="I2232" s="769"/>
      <c r="J2232" s="770"/>
      <c r="K2232" s="771"/>
      <c r="L2232" s="100"/>
      <c r="M2232" s="101"/>
    </row>
    <row r="2233" spans="4:13" ht="20" thickBot="1" x14ac:dyDescent="0.25">
      <c r="E2233" s="718">
        <v>45471</v>
      </c>
      <c r="F2233" s="283">
        <v>47.4</v>
      </c>
      <c r="G2233" s="283" t="s">
        <v>475</v>
      </c>
      <c r="H2233" s="283">
        <v>35.4</v>
      </c>
      <c r="I2233" s="772"/>
      <c r="J2233" s="773"/>
      <c r="K2233" s="774"/>
      <c r="L2233" s="103"/>
      <c r="M2233" s="104"/>
    </row>
    <row r="2234" spans="4:13" ht="25" thickBot="1" x14ac:dyDescent="0.25">
      <c r="D2234">
        <v>2</v>
      </c>
      <c r="E2234" s="713" t="s">
        <v>30</v>
      </c>
      <c r="F2234" s="814" t="s">
        <v>1321</v>
      </c>
      <c r="G2234" s="815"/>
      <c r="H2234" s="816"/>
      <c r="I2234" s="781" t="s">
        <v>633</v>
      </c>
      <c r="J2234" s="764"/>
      <c r="K2234" s="765"/>
      <c r="L2234" s="162" t="s">
        <v>430</v>
      </c>
      <c r="M2234" s="106" t="s">
        <v>431</v>
      </c>
    </row>
    <row r="2235" spans="4:13" x14ac:dyDescent="0.2">
      <c r="E2235" s="714" t="s">
        <v>432</v>
      </c>
      <c r="F2235" s="805"/>
      <c r="G2235" s="806"/>
      <c r="H2235" s="807"/>
      <c r="I2235" s="769">
        <v>0</v>
      </c>
      <c r="J2235" s="770"/>
      <c r="K2235" s="771"/>
      <c r="L2235" s="100"/>
      <c r="M2235" s="101"/>
    </row>
    <row r="2236" spans="4:13" x14ac:dyDescent="0.2">
      <c r="E2236" s="715" t="s">
        <v>433</v>
      </c>
      <c r="F2236" s="817" t="s">
        <v>1090</v>
      </c>
      <c r="G2236" s="818"/>
      <c r="H2236" s="819"/>
      <c r="I2236" s="769"/>
      <c r="J2236" s="770"/>
      <c r="K2236" s="771"/>
      <c r="L2236" s="100"/>
      <c r="M2236" s="101"/>
    </row>
    <row r="2237" spans="4:13" ht="20" thickBot="1" x14ac:dyDescent="0.25">
      <c r="E2237" s="715" t="s">
        <v>434</v>
      </c>
      <c r="F2237" s="817">
        <v>0</v>
      </c>
      <c r="G2237" s="818"/>
      <c r="H2237" s="819"/>
      <c r="I2237" s="769"/>
      <c r="J2237" s="770"/>
      <c r="K2237" s="771"/>
      <c r="L2237" s="100"/>
      <c r="M2237" s="101"/>
    </row>
    <row r="2238" spans="4:13" ht="20" thickBot="1" x14ac:dyDescent="0.25">
      <c r="E2238" s="716" t="s">
        <v>435</v>
      </c>
      <c r="F2238" s="811">
        <v>0</v>
      </c>
      <c r="G2238" s="812"/>
      <c r="H2238" s="813"/>
      <c r="I2238" s="769"/>
      <c r="J2238" s="770"/>
      <c r="K2238" s="771"/>
      <c r="L2238" s="107">
        <v>0.22916666666666666</v>
      </c>
      <c r="M2238" s="108">
        <v>8.3333333333333315E-2</v>
      </c>
    </row>
    <row r="2239" spans="4:13" ht="20" thickBot="1" x14ac:dyDescent="0.25">
      <c r="E2239" s="717" t="s">
        <v>436</v>
      </c>
      <c r="F2239" s="278" t="s">
        <v>29</v>
      </c>
      <c r="G2239" s="278" t="s">
        <v>28</v>
      </c>
      <c r="H2239" s="279" t="s">
        <v>27</v>
      </c>
      <c r="I2239" s="769"/>
      <c r="J2239" s="770"/>
      <c r="K2239" s="771"/>
      <c r="L2239" s="100"/>
      <c r="M2239" s="101"/>
    </row>
    <row r="2240" spans="4:13" x14ac:dyDescent="0.2">
      <c r="E2240" s="718">
        <v>45642</v>
      </c>
      <c r="F2240" s="283">
        <v>58.5</v>
      </c>
      <c r="G2240" s="283" t="s">
        <v>1339</v>
      </c>
      <c r="H2240" s="283">
        <v>56.1</v>
      </c>
      <c r="I2240" s="769"/>
      <c r="J2240" s="770"/>
      <c r="K2240" s="771"/>
      <c r="L2240" s="100"/>
      <c r="M2240" s="101"/>
    </row>
    <row r="2241" spans="4:13" x14ac:dyDescent="0.2">
      <c r="E2241" s="718">
        <v>45630</v>
      </c>
      <c r="F2241" s="283">
        <v>56.1</v>
      </c>
      <c r="G2241" s="283" t="s">
        <v>1285</v>
      </c>
      <c r="H2241" s="283">
        <v>55</v>
      </c>
      <c r="I2241" s="769"/>
      <c r="J2241" s="770"/>
      <c r="K2241" s="771"/>
      <c r="L2241" s="100"/>
      <c r="M2241" s="101"/>
    </row>
    <row r="2242" spans="4:13" x14ac:dyDescent="0.2">
      <c r="E2242" s="718">
        <v>45618</v>
      </c>
      <c r="F2242" s="283">
        <v>57</v>
      </c>
      <c r="G2242" s="283" t="s">
        <v>586</v>
      </c>
      <c r="H2242" s="283">
        <v>55</v>
      </c>
      <c r="I2242" s="769"/>
      <c r="J2242" s="770"/>
      <c r="K2242" s="771"/>
      <c r="L2242" s="102"/>
      <c r="M2242" s="101"/>
    </row>
    <row r="2243" spans="4:13" x14ac:dyDescent="0.2">
      <c r="E2243" s="718">
        <v>45601</v>
      </c>
      <c r="F2243" s="283">
        <v>55</v>
      </c>
      <c r="G2243" s="283" t="s">
        <v>585</v>
      </c>
      <c r="H2243" s="283">
        <v>55.2</v>
      </c>
      <c r="I2243" s="769"/>
      <c r="J2243" s="770"/>
      <c r="K2243" s="771"/>
      <c r="L2243" s="100"/>
      <c r="M2243" s="101"/>
    </row>
    <row r="2244" spans="4:13" x14ac:dyDescent="0.2">
      <c r="E2244" s="718">
        <v>45589</v>
      </c>
      <c r="F2244" s="283">
        <v>55.3</v>
      </c>
      <c r="G2244" s="283" t="s">
        <v>604</v>
      </c>
      <c r="H2244" s="283">
        <v>55.2</v>
      </c>
      <c r="I2244" s="769"/>
      <c r="J2244" s="770"/>
      <c r="K2244" s="771"/>
      <c r="L2244" s="100"/>
      <c r="M2244" s="101"/>
    </row>
    <row r="2245" spans="4:13" ht="20" thickBot="1" x14ac:dyDescent="0.25">
      <c r="E2245" s="718">
        <v>45568</v>
      </c>
      <c r="F2245" s="283">
        <v>55.2</v>
      </c>
      <c r="G2245" s="283" t="s">
        <v>759</v>
      </c>
      <c r="H2245" s="283">
        <v>55.7</v>
      </c>
      <c r="I2245" s="772"/>
      <c r="J2245" s="773"/>
      <c r="K2245" s="774"/>
      <c r="L2245" s="103"/>
      <c r="M2245" s="104"/>
    </row>
    <row r="2246" spans="4:13" ht="25" thickBot="1" x14ac:dyDescent="0.25">
      <c r="D2246">
        <v>3</v>
      </c>
      <c r="E2246" s="713" t="s">
        <v>30</v>
      </c>
      <c r="F2246" s="814" t="s">
        <v>1322</v>
      </c>
      <c r="G2246" s="815"/>
      <c r="H2246" s="816"/>
      <c r="I2246" s="781" t="s">
        <v>633</v>
      </c>
      <c r="J2246" s="764"/>
      <c r="K2246" s="765"/>
      <c r="L2246" s="162" t="s">
        <v>430</v>
      </c>
      <c r="M2246" s="106" t="s">
        <v>431</v>
      </c>
    </row>
    <row r="2247" spans="4:13" x14ac:dyDescent="0.2">
      <c r="E2247" s="714" t="s">
        <v>432</v>
      </c>
      <c r="F2247" s="805"/>
      <c r="G2247" s="806"/>
      <c r="H2247" s="807"/>
      <c r="I2247" s="769" t="s">
        <v>1323</v>
      </c>
      <c r="J2247" s="770"/>
      <c r="K2247" s="771"/>
      <c r="L2247" s="100"/>
      <c r="M2247" s="101"/>
    </row>
    <row r="2248" spans="4:13" x14ac:dyDescent="0.2">
      <c r="E2248" s="715" t="s">
        <v>433</v>
      </c>
      <c r="F2248" s="831">
        <v>50.3</v>
      </c>
      <c r="G2248" s="832"/>
      <c r="H2248" s="833"/>
      <c r="I2248" s="769"/>
      <c r="J2248" s="770"/>
      <c r="K2248" s="771"/>
      <c r="L2248" s="100"/>
      <c r="M2248" s="101"/>
    </row>
    <row r="2249" spans="4:13" ht="20" thickBot="1" x14ac:dyDescent="0.25">
      <c r="E2249" s="715" t="s">
        <v>434</v>
      </c>
      <c r="F2249" s="831">
        <v>50.3</v>
      </c>
      <c r="G2249" s="832"/>
      <c r="H2249" s="833"/>
      <c r="I2249" s="769"/>
      <c r="J2249" s="770"/>
      <c r="K2249" s="771"/>
      <c r="L2249" s="100"/>
      <c r="M2249" s="101"/>
    </row>
    <row r="2250" spans="4:13" ht="20" thickBot="1" x14ac:dyDescent="0.25">
      <c r="E2250" s="716" t="s">
        <v>435</v>
      </c>
      <c r="F2250" s="811">
        <v>6.2500000000000028E-2</v>
      </c>
      <c r="G2250" s="812"/>
      <c r="H2250" s="813"/>
      <c r="I2250" s="769"/>
      <c r="J2250" s="770"/>
      <c r="K2250" s="771"/>
      <c r="L2250" s="107">
        <v>0.29166666666666669</v>
      </c>
      <c r="M2250" s="108">
        <v>0.14583333333333334</v>
      </c>
    </row>
    <row r="2251" spans="4:13" ht="20" thickBot="1" x14ac:dyDescent="0.25">
      <c r="E2251" s="717" t="s">
        <v>436</v>
      </c>
      <c r="F2251" s="278" t="s">
        <v>29</v>
      </c>
      <c r="G2251" s="278" t="s">
        <v>28</v>
      </c>
      <c r="H2251" s="279" t="s">
        <v>27</v>
      </c>
      <c r="I2251" s="769"/>
      <c r="J2251" s="770"/>
      <c r="K2251" s="771"/>
      <c r="L2251" s="369">
        <v>0.1875</v>
      </c>
      <c r="M2251" s="370">
        <v>4.1666666666666664E-2</v>
      </c>
    </row>
    <row r="2252" spans="4:13" x14ac:dyDescent="0.2">
      <c r="E2252" s="718">
        <v>45626</v>
      </c>
      <c r="F2252" s="283">
        <v>50.3</v>
      </c>
      <c r="G2252" s="283" t="s">
        <v>1340</v>
      </c>
      <c r="H2252" s="283">
        <v>50.1</v>
      </c>
      <c r="I2252" s="769"/>
      <c r="J2252" s="770"/>
      <c r="K2252" s="771"/>
      <c r="L2252" s="100"/>
      <c r="M2252" s="101"/>
    </row>
    <row r="2253" spans="4:13" x14ac:dyDescent="0.2">
      <c r="E2253" s="718">
        <v>45596</v>
      </c>
      <c r="F2253" s="283">
        <v>50.1</v>
      </c>
      <c r="G2253" s="283" t="s">
        <v>513</v>
      </c>
      <c r="H2253" s="283">
        <v>49.8</v>
      </c>
      <c r="I2253" s="769"/>
      <c r="J2253" s="770"/>
      <c r="K2253" s="771"/>
      <c r="L2253" s="100"/>
      <c r="M2253" s="101"/>
    </row>
    <row r="2254" spans="4:13" x14ac:dyDescent="0.2">
      <c r="E2254" s="718">
        <v>45565</v>
      </c>
      <c r="F2254" s="283">
        <v>49.8</v>
      </c>
      <c r="G2254" s="283" t="s">
        <v>440</v>
      </c>
      <c r="H2254" s="283">
        <v>49.1</v>
      </c>
      <c r="I2254" s="769"/>
      <c r="J2254" s="770"/>
      <c r="K2254" s="771"/>
      <c r="L2254" s="102"/>
      <c r="M2254" s="101"/>
    </row>
    <row r="2255" spans="4:13" x14ac:dyDescent="0.2">
      <c r="E2255" s="718">
        <v>45535</v>
      </c>
      <c r="F2255" s="283">
        <v>49.1</v>
      </c>
      <c r="G2255" s="283" t="s">
        <v>438</v>
      </c>
      <c r="H2255" s="283">
        <v>49.4</v>
      </c>
      <c r="I2255" s="769"/>
      <c r="J2255" s="770"/>
      <c r="K2255" s="771"/>
      <c r="L2255" s="100"/>
      <c r="M2255" s="101"/>
    </row>
    <row r="2256" spans="4:13" x14ac:dyDescent="0.2">
      <c r="E2256" s="718">
        <v>45504</v>
      </c>
      <c r="F2256" s="283">
        <v>49.4</v>
      </c>
      <c r="G2256" s="283" t="s">
        <v>440</v>
      </c>
      <c r="H2256" s="283">
        <v>49.5</v>
      </c>
      <c r="I2256" s="769"/>
      <c r="J2256" s="770"/>
      <c r="K2256" s="771"/>
      <c r="L2256" s="100"/>
      <c r="M2256" s="101"/>
    </row>
    <row r="2257" spans="4:13" ht="20" thickBot="1" x14ac:dyDescent="0.25">
      <c r="E2257" s="718">
        <v>45473</v>
      </c>
      <c r="F2257" s="283">
        <v>49.5</v>
      </c>
      <c r="G2257" s="283" t="s">
        <v>438</v>
      </c>
      <c r="H2257" s="283">
        <v>49.5</v>
      </c>
      <c r="I2257" s="772"/>
      <c r="J2257" s="773"/>
      <c r="K2257" s="774"/>
      <c r="L2257" s="103"/>
      <c r="M2257" s="104"/>
    </row>
    <row r="2258" spans="4:13" ht="25" thickBot="1" x14ac:dyDescent="0.25">
      <c r="D2258">
        <v>4</v>
      </c>
      <c r="E2258" s="713" t="s">
        <v>30</v>
      </c>
      <c r="F2258" s="814" t="s">
        <v>1324</v>
      </c>
      <c r="G2258" s="815"/>
      <c r="H2258" s="816"/>
      <c r="I2258" s="781" t="s">
        <v>633</v>
      </c>
      <c r="J2258" s="764"/>
      <c r="K2258" s="765"/>
      <c r="L2258" s="162" t="s">
        <v>430</v>
      </c>
      <c r="M2258" s="106" t="s">
        <v>431</v>
      </c>
    </row>
    <row r="2259" spans="4:13" x14ac:dyDescent="0.2">
      <c r="E2259" s="714" t="s">
        <v>432</v>
      </c>
      <c r="F2259" s="805"/>
      <c r="G2259" s="806"/>
      <c r="H2259" s="807"/>
      <c r="I2259" s="769">
        <v>0</v>
      </c>
      <c r="J2259" s="770"/>
      <c r="K2259" s="771"/>
      <c r="L2259" s="100"/>
      <c r="M2259" s="101"/>
    </row>
    <row r="2260" spans="4:13" x14ac:dyDescent="0.2">
      <c r="E2260" s="715" t="s">
        <v>433</v>
      </c>
      <c r="F2260" s="827">
        <v>0</v>
      </c>
      <c r="G2260" s="825"/>
      <c r="H2260" s="826"/>
      <c r="I2260" s="769"/>
      <c r="J2260" s="770"/>
      <c r="K2260" s="771"/>
      <c r="L2260" s="100"/>
      <c r="M2260" s="101"/>
    </row>
    <row r="2261" spans="4:13" ht="20" thickBot="1" x14ac:dyDescent="0.25">
      <c r="E2261" s="715" t="s">
        <v>434</v>
      </c>
      <c r="F2261" s="808">
        <v>0</v>
      </c>
      <c r="G2261" s="809"/>
      <c r="H2261" s="810"/>
      <c r="I2261" s="769"/>
      <c r="J2261" s="770"/>
      <c r="K2261" s="771"/>
      <c r="L2261" s="100"/>
      <c r="M2261" s="101"/>
    </row>
    <row r="2262" spans="4:13" ht="20" thickBot="1" x14ac:dyDescent="0.25">
      <c r="E2262" s="716" t="s">
        <v>435</v>
      </c>
      <c r="F2262" s="811">
        <v>0</v>
      </c>
      <c r="G2262" s="812"/>
      <c r="H2262" s="813"/>
      <c r="I2262" s="769"/>
      <c r="J2262" s="770"/>
      <c r="K2262" s="771"/>
      <c r="L2262" s="107">
        <v>0.22916666666666666</v>
      </c>
      <c r="M2262" s="108">
        <v>0.70833333333333326</v>
      </c>
    </row>
    <row r="2263" spans="4:13" ht="20" thickBot="1" x14ac:dyDescent="0.25">
      <c r="E2263" s="717" t="s">
        <v>436</v>
      </c>
      <c r="F2263" s="278" t="s">
        <v>29</v>
      </c>
      <c r="G2263" s="278" t="s">
        <v>28</v>
      </c>
      <c r="H2263" s="279" t="s">
        <v>27</v>
      </c>
      <c r="I2263" s="769"/>
      <c r="J2263" s="770"/>
      <c r="K2263" s="771"/>
      <c r="L2263" s="100"/>
      <c r="M2263" s="101"/>
    </row>
    <row r="2264" spans="4:13" x14ac:dyDescent="0.2">
      <c r="E2264" s="718">
        <v>45630</v>
      </c>
      <c r="F2264" s="719">
        <v>52.1</v>
      </c>
      <c r="G2264" s="719" t="s">
        <v>523</v>
      </c>
      <c r="H2264" s="719">
        <v>56</v>
      </c>
      <c r="I2264" s="769"/>
      <c r="J2264" s="770"/>
      <c r="K2264" s="771"/>
      <c r="L2264" s="100"/>
      <c r="M2264" s="101"/>
    </row>
    <row r="2265" spans="4:13" x14ac:dyDescent="0.2">
      <c r="E2265" s="718">
        <v>45601</v>
      </c>
      <c r="F2265" s="719">
        <v>56</v>
      </c>
      <c r="G2265" s="719" t="s">
        <v>1344</v>
      </c>
      <c r="H2265" s="719">
        <v>54.9</v>
      </c>
      <c r="I2265" s="769"/>
      <c r="J2265" s="770"/>
      <c r="K2265" s="771"/>
      <c r="L2265" s="100"/>
      <c r="M2265" s="101"/>
    </row>
    <row r="2266" spans="4:13" x14ac:dyDescent="0.2">
      <c r="E2266" s="718">
        <v>45568</v>
      </c>
      <c r="F2266" s="719">
        <v>54.9</v>
      </c>
      <c r="G2266" s="719" t="s">
        <v>506</v>
      </c>
      <c r="H2266" s="719">
        <v>51.5</v>
      </c>
      <c r="I2266" s="769"/>
      <c r="J2266" s="770"/>
      <c r="K2266" s="771"/>
      <c r="L2266" s="102"/>
      <c r="M2266" s="101"/>
    </row>
    <row r="2267" spans="4:13" x14ac:dyDescent="0.2">
      <c r="E2267" s="718">
        <v>45540</v>
      </c>
      <c r="F2267" s="719">
        <v>51.5</v>
      </c>
      <c r="G2267" s="719" t="s">
        <v>594</v>
      </c>
      <c r="H2267" s="719">
        <v>51.4</v>
      </c>
      <c r="I2267" s="769"/>
      <c r="J2267" s="770"/>
      <c r="K2267" s="771"/>
      <c r="L2267" s="100"/>
      <c r="M2267" s="101"/>
    </row>
    <row r="2268" spans="4:13" x14ac:dyDescent="0.2">
      <c r="E2268" s="718">
        <v>45509</v>
      </c>
      <c r="F2268" s="719">
        <v>51.4</v>
      </c>
      <c r="G2268" s="719" t="s">
        <v>595</v>
      </c>
      <c r="H2268" s="719">
        <v>48.8</v>
      </c>
      <c r="I2268" s="769"/>
      <c r="J2268" s="770"/>
      <c r="K2268" s="771"/>
      <c r="L2268" s="100"/>
      <c r="M2268" s="101"/>
    </row>
    <row r="2269" spans="4:13" ht="20" thickBot="1" x14ac:dyDescent="0.25">
      <c r="E2269" s="718">
        <v>45476</v>
      </c>
      <c r="F2269" s="719">
        <v>48.8</v>
      </c>
      <c r="G2269" s="719" t="s">
        <v>596</v>
      </c>
      <c r="H2269" s="719">
        <v>53.8</v>
      </c>
      <c r="I2269" s="772"/>
      <c r="J2269" s="773"/>
      <c r="K2269" s="774"/>
      <c r="L2269" s="103"/>
      <c r="M2269" s="104"/>
    </row>
    <row r="2270" spans="4:13" ht="25" thickBot="1" x14ac:dyDescent="0.25">
      <c r="D2270">
        <v>5</v>
      </c>
      <c r="E2270" s="713" t="s">
        <v>30</v>
      </c>
      <c r="F2270" s="814" t="e">
        <v>#REF!</v>
      </c>
      <c r="G2270" s="815"/>
      <c r="H2270" s="816"/>
      <c r="I2270" s="781" t="s">
        <v>633</v>
      </c>
      <c r="J2270" s="764"/>
      <c r="K2270" s="765"/>
      <c r="L2270" s="162" t="s">
        <v>430</v>
      </c>
      <c r="M2270" s="106" t="s">
        <v>431</v>
      </c>
    </row>
    <row r="2271" spans="4:13" x14ac:dyDescent="0.2">
      <c r="E2271" s="714" t="s">
        <v>432</v>
      </c>
      <c r="F2271" s="805"/>
      <c r="G2271" s="806"/>
      <c r="H2271" s="807"/>
      <c r="I2271" s="769" t="e">
        <v>#REF!</v>
      </c>
      <c r="J2271" s="770"/>
      <c r="K2271" s="771"/>
      <c r="L2271" s="100"/>
      <c r="M2271" s="101"/>
    </row>
    <row r="2272" spans="4:13" x14ac:dyDescent="0.2">
      <c r="E2272" s="715" t="s">
        <v>433</v>
      </c>
      <c r="F2272" s="827" t="e">
        <v>#REF!</v>
      </c>
      <c r="G2272" s="825"/>
      <c r="H2272" s="826"/>
      <c r="I2272" s="769"/>
      <c r="J2272" s="770"/>
      <c r="K2272" s="771"/>
      <c r="L2272" s="100"/>
      <c r="M2272" s="101"/>
    </row>
    <row r="2273" spans="4:13" ht="20" thickBot="1" x14ac:dyDescent="0.25">
      <c r="E2273" s="715" t="s">
        <v>434</v>
      </c>
      <c r="F2273" s="824" t="e">
        <v>#REF!</v>
      </c>
      <c r="G2273" s="825"/>
      <c r="H2273" s="826"/>
      <c r="I2273" s="769"/>
      <c r="J2273" s="770"/>
      <c r="K2273" s="771"/>
      <c r="L2273" s="100"/>
      <c r="M2273" s="101"/>
    </row>
    <row r="2274" spans="4:13" ht="20" thickBot="1" x14ac:dyDescent="0.25">
      <c r="E2274" s="716" t="s">
        <v>435</v>
      </c>
      <c r="F2274" s="811" t="e">
        <v>#REF!</v>
      </c>
      <c r="G2274" s="812"/>
      <c r="H2274" s="813"/>
      <c r="I2274" s="769"/>
      <c r="J2274" s="770"/>
      <c r="K2274" s="771"/>
      <c r="L2274" s="107" t="e">
        <v>#REF!</v>
      </c>
      <c r="M2274" s="108" t="e">
        <v>#REF!</v>
      </c>
    </row>
    <row r="2275" spans="4:13" ht="20" thickBot="1" x14ac:dyDescent="0.25">
      <c r="E2275" s="717" t="s">
        <v>436</v>
      </c>
      <c r="F2275" s="278" t="s">
        <v>29</v>
      </c>
      <c r="G2275" s="278" t="s">
        <v>28</v>
      </c>
      <c r="H2275" s="279" t="s">
        <v>27</v>
      </c>
      <c r="I2275" s="769"/>
      <c r="J2275" s="770"/>
      <c r="K2275" s="771"/>
      <c r="L2275" s="100"/>
      <c r="M2275" s="101"/>
    </row>
    <row r="2276" spans="4:13" x14ac:dyDescent="0.2">
      <c r="E2276" s="718">
        <v>45609</v>
      </c>
      <c r="F2276" s="385">
        <v>2E-3</v>
      </c>
      <c r="G2276" s="385" t="s">
        <v>460</v>
      </c>
      <c r="H2276" s="385">
        <v>2E-3</v>
      </c>
      <c r="I2276" s="769"/>
      <c r="J2276" s="770"/>
      <c r="K2276" s="771"/>
      <c r="L2276" s="100"/>
      <c r="M2276" s="101"/>
    </row>
    <row r="2277" spans="4:13" x14ac:dyDescent="0.2">
      <c r="E2277" s="718">
        <v>45575</v>
      </c>
      <c r="F2277" s="385">
        <v>2E-3</v>
      </c>
      <c r="G2277" s="385" t="s">
        <v>462</v>
      </c>
      <c r="H2277" s="385">
        <v>2E-3</v>
      </c>
      <c r="I2277" s="769"/>
      <c r="J2277" s="770"/>
      <c r="K2277" s="771"/>
      <c r="L2277" s="100"/>
      <c r="M2277" s="101"/>
    </row>
    <row r="2278" spans="4:13" x14ac:dyDescent="0.2">
      <c r="E2278" s="718">
        <v>45546</v>
      </c>
      <c r="F2278" s="385">
        <v>2E-3</v>
      </c>
      <c r="G2278" s="385" t="s">
        <v>460</v>
      </c>
      <c r="H2278" s="385">
        <v>2E-3</v>
      </c>
      <c r="I2278" s="769"/>
      <c r="J2278" s="770"/>
      <c r="K2278" s="771"/>
      <c r="L2278" s="102"/>
      <c r="M2278" s="101"/>
    </row>
    <row r="2279" spans="4:13" x14ac:dyDescent="0.2">
      <c r="E2279" s="718">
        <v>45518</v>
      </c>
      <c r="F2279" s="385">
        <v>2E-3</v>
      </c>
      <c r="G2279" s="385" t="s">
        <v>460</v>
      </c>
      <c r="H2279" s="385">
        <v>-1E-3</v>
      </c>
      <c r="I2279" s="769"/>
      <c r="J2279" s="770"/>
      <c r="K2279" s="771"/>
      <c r="L2279" s="100"/>
      <c r="M2279" s="101"/>
    </row>
    <row r="2280" spans="4:13" x14ac:dyDescent="0.2">
      <c r="E2280" s="718">
        <v>45484</v>
      </c>
      <c r="F2280" s="385">
        <v>-1E-3</v>
      </c>
      <c r="G2280" s="385" t="s">
        <v>462</v>
      </c>
      <c r="H2280" s="385">
        <v>0</v>
      </c>
      <c r="I2280" s="769"/>
      <c r="J2280" s="770"/>
      <c r="K2280" s="771"/>
      <c r="L2280" s="100"/>
      <c r="M2280" s="101"/>
    </row>
    <row r="2281" spans="4:13" ht="20" thickBot="1" x14ac:dyDescent="0.25">
      <c r="E2281" s="718">
        <v>45455</v>
      </c>
      <c r="F2281" s="385">
        <v>0</v>
      </c>
      <c r="G2281" s="385" t="s">
        <v>462</v>
      </c>
      <c r="H2281" s="385">
        <v>3.0000000000000001E-3</v>
      </c>
      <c r="I2281" s="772"/>
      <c r="J2281" s="773"/>
      <c r="K2281" s="774"/>
      <c r="L2281" s="103"/>
      <c r="M2281" s="104"/>
    </row>
    <row r="2282" spans="4:13" ht="25" thickBot="1" x14ac:dyDescent="0.25">
      <c r="D2282">
        <v>6</v>
      </c>
      <c r="E2282" s="713" t="s">
        <v>30</v>
      </c>
      <c r="F2282" s="814" t="s">
        <v>1326</v>
      </c>
      <c r="G2282" s="815"/>
      <c r="H2282" s="816"/>
      <c r="I2282" s="781" t="s">
        <v>633</v>
      </c>
      <c r="J2282" s="764"/>
      <c r="K2282" s="765"/>
      <c r="L2282" s="162" t="s">
        <v>430</v>
      </c>
      <c r="M2282" s="106" t="s">
        <v>431</v>
      </c>
    </row>
    <row r="2283" spans="4:13" x14ac:dyDescent="0.2">
      <c r="E2283" s="714" t="s">
        <v>432</v>
      </c>
      <c r="F2283" s="805"/>
      <c r="G2283" s="806"/>
      <c r="H2283" s="807"/>
      <c r="I2283" s="769">
        <v>0</v>
      </c>
      <c r="J2283" s="770"/>
      <c r="K2283" s="771"/>
      <c r="L2283" s="100"/>
      <c r="M2283" s="101"/>
    </row>
    <row r="2284" spans="4:13" x14ac:dyDescent="0.2">
      <c r="E2284" s="715" t="s">
        <v>433</v>
      </c>
      <c r="F2284" s="827">
        <v>0</v>
      </c>
      <c r="G2284" s="825"/>
      <c r="H2284" s="826"/>
      <c r="I2284" s="769"/>
      <c r="J2284" s="770"/>
      <c r="K2284" s="771"/>
      <c r="L2284" s="100"/>
      <c r="M2284" s="101"/>
    </row>
    <row r="2285" spans="4:13" ht="20" thickBot="1" x14ac:dyDescent="0.25">
      <c r="E2285" s="715" t="s">
        <v>434</v>
      </c>
      <c r="F2285" s="817">
        <v>0</v>
      </c>
      <c r="G2285" s="818"/>
      <c r="H2285" s="819"/>
      <c r="I2285" s="769"/>
      <c r="J2285" s="770"/>
      <c r="K2285" s="771"/>
      <c r="L2285" s="100"/>
      <c r="M2285" s="101"/>
    </row>
    <row r="2286" spans="4:13" ht="20" thickBot="1" x14ac:dyDescent="0.25">
      <c r="E2286" s="716" t="s">
        <v>435</v>
      </c>
      <c r="F2286" s="811">
        <v>0</v>
      </c>
      <c r="G2286" s="812"/>
      <c r="H2286" s="813"/>
      <c r="I2286" s="769"/>
      <c r="J2286" s="770"/>
      <c r="K2286" s="771"/>
      <c r="L2286" s="107">
        <v>0.22916666666666666</v>
      </c>
      <c r="M2286" s="108">
        <v>0.125</v>
      </c>
    </row>
    <row r="2287" spans="4:13" ht="20" thickBot="1" x14ac:dyDescent="0.25">
      <c r="E2287" s="717" t="s">
        <v>436</v>
      </c>
      <c r="F2287" s="278" t="s">
        <v>29</v>
      </c>
      <c r="G2287" s="278" t="s">
        <v>28</v>
      </c>
      <c r="H2287" s="279" t="s">
        <v>27</v>
      </c>
      <c r="I2287" s="769"/>
      <c r="J2287" s="770"/>
      <c r="K2287" s="771"/>
      <c r="L2287" s="100"/>
      <c r="M2287" s="101"/>
    </row>
    <row r="2288" spans="4:13" x14ac:dyDescent="0.2">
      <c r="E2288" s="718">
        <v>45630</v>
      </c>
      <c r="F2288" s="389">
        <v>58.2</v>
      </c>
      <c r="G2288" s="389" t="s">
        <v>1345</v>
      </c>
      <c r="H2288" s="389">
        <v>58.1</v>
      </c>
      <c r="I2288" s="769"/>
      <c r="J2288" s="770"/>
      <c r="K2288" s="771"/>
      <c r="L2288" s="100"/>
      <c r="M2288" s="101"/>
    </row>
    <row r="2289" spans="4:13" x14ac:dyDescent="0.2">
      <c r="E2289" s="718">
        <v>45601</v>
      </c>
      <c r="F2289" s="389">
        <v>58.1</v>
      </c>
      <c r="G2289" s="389" t="s">
        <v>1346</v>
      </c>
      <c r="H2289" s="389">
        <v>59.4</v>
      </c>
      <c r="I2289" s="769"/>
      <c r="J2289" s="770"/>
      <c r="K2289" s="771"/>
      <c r="L2289" s="100"/>
      <c r="M2289" s="101"/>
    </row>
    <row r="2290" spans="4:13" x14ac:dyDescent="0.2">
      <c r="E2290" s="718">
        <v>45568</v>
      </c>
      <c r="F2290" s="389">
        <v>59.4</v>
      </c>
      <c r="G2290" s="389" t="s">
        <v>943</v>
      </c>
      <c r="H2290" s="389">
        <v>57.3</v>
      </c>
      <c r="I2290" s="769"/>
      <c r="J2290" s="770"/>
      <c r="K2290" s="771"/>
      <c r="L2290" s="102"/>
      <c r="M2290" s="101"/>
    </row>
    <row r="2291" spans="4:13" x14ac:dyDescent="0.2">
      <c r="E2291" s="718">
        <v>45540</v>
      </c>
      <c r="F2291" s="389">
        <v>57.3</v>
      </c>
      <c r="G2291" s="389" t="s">
        <v>589</v>
      </c>
      <c r="H2291" s="389">
        <v>57</v>
      </c>
      <c r="I2291" s="769"/>
      <c r="J2291" s="770"/>
      <c r="K2291" s="771"/>
      <c r="L2291" s="100"/>
      <c r="M2291" s="101"/>
    </row>
    <row r="2292" spans="4:13" x14ac:dyDescent="0.2">
      <c r="E2292" s="718">
        <v>45509</v>
      </c>
      <c r="F2292" s="389">
        <v>57</v>
      </c>
      <c r="G2292" s="389" t="s">
        <v>589</v>
      </c>
      <c r="H2292" s="389">
        <v>56.3</v>
      </c>
      <c r="I2292" s="769"/>
      <c r="J2292" s="770"/>
      <c r="K2292" s="771"/>
      <c r="L2292" s="100"/>
      <c r="M2292" s="101"/>
    </row>
    <row r="2293" spans="4:13" ht="20" thickBot="1" x14ac:dyDescent="0.25">
      <c r="E2293" s="718">
        <v>45476</v>
      </c>
      <c r="F2293" s="389">
        <v>56.3</v>
      </c>
      <c r="G2293" s="389" t="s">
        <v>602</v>
      </c>
      <c r="H2293" s="389">
        <v>58.1</v>
      </c>
      <c r="I2293" s="772"/>
      <c r="J2293" s="773"/>
      <c r="K2293" s="774"/>
      <c r="L2293" s="103"/>
      <c r="M2293" s="104"/>
    </row>
    <row r="2294" spans="4:13" ht="25" thickBot="1" x14ac:dyDescent="0.25">
      <c r="D2294">
        <v>7</v>
      </c>
      <c r="E2294" s="713" t="s">
        <v>30</v>
      </c>
      <c r="F2294" s="814" t="s">
        <v>1309</v>
      </c>
      <c r="G2294" s="815"/>
      <c r="H2294" s="816"/>
      <c r="I2294" s="781" t="s">
        <v>633</v>
      </c>
      <c r="J2294" s="764"/>
      <c r="K2294" s="765"/>
      <c r="L2294" s="162" t="s">
        <v>430</v>
      </c>
      <c r="M2294" s="106" t="s">
        <v>431</v>
      </c>
    </row>
    <row r="2295" spans="4:13" x14ac:dyDescent="0.2">
      <c r="E2295" s="714" t="s">
        <v>432</v>
      </c>
      <c r="F2295" s="805"/>
      <c r="G2295" s="806"/>
      <c r="H2295" s="807"/>
      <c r="I2295" s="769" t="s">
        <v>1327</v>
      </c>
      <c r="J2295" s="770"/>
      <c r="K2295" s="771"/>
      <c r="L2295" s="100"/>
      <c r="M2295" s="101"/>
    </row>
    <row r="2296" spans="4:13" x14ac:dyDescent="0.2">
      <c r="E2296" s="715" t="s">
        <v>433</v>
      </c>
      <c r="F2296" s="827" t="s">
        <v>931</v>
      </c>
      <c r="G2296" s="825"/>
      <c r="H2296" s="826"/>
      <c r="I2296" s="769"/>
      <c r="J2296" s="770"/>
      <c r="K2296" s="771"/>
      <c r="L2296" s="100"/>
      <c r="M2296" s="101"/>
    </row>
    <row r="2297" spans="4:13" ht="20" thickBot="1" x14ac:dyDescent="0.25">
      <c r="E2297" s="715" t="s">
        <v>434</v>
      </c>
      <c r="F2297" s="824" t="s">
        <v>345</v>
      </c>
      <c r="G2297" s="825"/>
      <c r="H2297" s="826"/>
      <c r="I2297" s="769"/>
      <c r="J2297" s="770"/>
      <c r="K2297" s="771"/>
      <c r="L2297" s="100"/>
      <c r="M2297" s="101"/>
    </row>
    <row r="2298" spans="4:13" ht="20" thickBot="1" x14ac:dyDescent="0.25">
      <c r="E2298" s="716" t="s">
        <v>435</v>
      </c>
      <c r="F2298" s="811">
        <v>0.5625</v>
      </c>
      <c r="G2298" s="812"/>
      <c r="H2298" s="813"/>
      <c r="I2298" s="769"/>
      <c r="J2298" s="770"/>
      <c r="K2298" s="771"/>
      <c r="L2298" s="107">
        <v>0.79166666666666663</v>
      </c>
      <c r="M2298" s="108">
        <v>0.64583333333333326</v>
      </c>
    </row>
    <row r="2299" spans="4:13" ht="20" thickBot="1" x14ac:dyDescent="0.25">
      <c r="E2299" s="717" t="s">
        <v>436</v>
      </c>
      <c r="F2299" s="278" t="s">
        <v>29</v>
      </c>
      <c r="G2299" s="278" t="s">
        <v>28</v>
      </c>
      <c r="H2299" s="279" t="s">
        <v>27</v>
      </c>
      <c r="I2299" s="769"/>
      <c r="J2299" s="770"/>
      <c r="K2299" s="771"/>
      <c r="L2299" s="100"/>
      <c r="M2299" s="101"/>
    </row>
    <row r="2300" spans="4:13" x14ac:dyDescent="0.2">
      <c r="E2300" s="718">
        <v>45652</v>
      </c>
      <c r="F2300" s="385" t="s">
        <v>987</v>
      </c>
      <c r="G2300" s="385" t="s">
        <v>973</v>
      </c>
      <c r="H2300" s="385" t="s">
        <v>1112</v>
      </c>
      <c r="I2300" s="769"/>
      <c r="J2300" s="770"/>
      <c r="K2300" s="771"/>
      <c r="L2300" s="100"/>
      <c r="M2300" s="101"/>
    </row>
    <row r="2301" spans="4:13" x14ac:dyDescent="0.2">
      <c r="E2301" s="718">
        <v>45645</v>
      </c>
      <c r="F2301" s="385" t="s">
        <v>1112</v>
      </c>
      <c r="G2301" s="385" t="s">
        <v>976</v>
      </c>
      <c r="H2301" s="385" t="s">
        <v>980</v>
      </c>
      <c r="I2301" s="769"/>
      <c r="J2301" s="770"/>
      <c r="K2301" s="771"/>
      <c r="L2301" s="100"/>
      <c r="M2301" s="101"/>
    </row>
    <row r="2302" spans="4:13" x14ac:dyDescent="0.2">
      <c r="E2302" s="718">
        <v>45638</v>
      </c>
      <c r="F2302" s="385" t="s">
        <v>980</v>
      </c>
      <c r="G2302" s="385" t="s">
        <v>972</v>
      </c>
      <c r="H2302" s="385" t="s">
        <v>985</v>
      </c>
      <c r="I2302" s="769"/>
      <c r="J2302" s="770"/>
      <c r="K2302" s="771"/>
      <c r="L2302" s="102"/>
      <c r="M2302" s="101"/>
    </row>
    <row r="2303" spans="4:13" x14ac:dyDescent="0.2">
      <c r="E2303" s="718">
        <v>45631</v>
      </c>
      <c r="F2303" s="385" t="s">
        <v>1032</v>
      </c>
      <c r="G2303" s="385" t="s">
        <v>1232</v>
      </c>
      <c r="H2303" s="385" t="s">
        <v>1232</v>
      </c>
      <c r="I2303" s="769"/>
      <c r="J2303" s="770"/>
      <c r="K2303" s="771"/>
      <c r="L2303" s="100"/>
      <c r="M2303" s="101"/>
    </row>
    <row r="2304" spans="4:13" x14ac:dyDescent="0.2">
      <c r="E2304" s="718">
        <v>45623</v>
      </c>
      <c r="F2304" s="385" t="s">
        <v>1111</v>
      </c>
      <c r="G2304" s="385" t="s">
        <v>1232</v>
      </c>
      <c r="H2304" s="385" t="s">
        <v>1232</v>
      </c>
      <c r="I2304" s="769"/>
      <c r="J2304" s="770"/>
      <c r="K2304" s="771"/>
      <c r="L2304" s="100"/>
      <c r="M2304" s="101"/>
    </row>
    <row r="2305" spans="4:13" ht="20" thickBot="1" x14ac:dyDescent="0.25">
      <c r="E2305" s="718">
        <v>45617</v>
      </c>
      <c r="F2305" s="385" t="s">
        <v>1111</v>
      </c>
      <c r="G2305" s="385" t="s">
        <v>1112</v>
      </c>
      <c r="H2305" s="385" t="s">
        <v>987</v>
      </c>
      <c r="I2305" s="772"/>
      <c r="J2305" s="773"/>
      <c r="K2305" s="774"/>
      <c r="L2305" s="103"/>
      <c r="M2305" s="104"/>
    </row>
    <row r="2306" spans="4:13" ht="25" thickBot="1" x14ac:dyDescent="0.25">
      <c r="D2306">
        <v>8</v>
      </c>
      <c r="E2306" s="713" t="s">
        <v>30</v>
      </c>
      <c r="F2306" s="814" t="s">
        <v>1328</v>
      </c>
      <c r="G2306" s="815"/>
      <c r="H2306" s="816"/>
      <c r="I2306" s="781" t="s">
        <v>633</v>
      </c>
      <c r="J2306" s="764"/>
      <c r="K2306" s="765"/>
      <c r="L2306" s="162" t="s">
        <v>430</v>
      </c>
      <c r="M2306" s="106" t="s">
        <v>431</v>
      </c>
    </row>
    <row r="2307" spans="4:13" x14ac:dyDescent="0.2">
      <c r="E2307" s="714" t="s">
        <v>432</v>
      </c>
      <c r="F2307" s="805"/>
      <c r="G2307" s="806"/>
      <c r="H2307" s="807"/>
      <c r="I2307" s="769" t="s">
        <v>1329</v>
      </c>
      <c r="J2307" s="770"/>
      <c r="K2307" s="771"/>
      <c r="L2307" s="100"/>
      <c r="M2307" s="101"/>
    </row>
    <row r="2308" spans="4:13" x14ac:dyDescent="0.2">
      <c r="E2308" s="715" t="s">
        <v>433</v>
      </c>
      <c r="F2308" s="817">
        <v>48.3</v>
      </c>
      <c r="G2308" s="818"/>
      <c r="H2308" s="819"/>
      <c r="I2308" s="769"/>
      <c r="J2308" s="770"/>
      <c r="K2308" s="771"/>
      <c r="L2308" s="100"/>
      <c r="M2308" s="101"/>
    </row>
    <row r="2309" spans="4:13" ht="20" thickBot="1" x14ac:dyDescent="0.25">
      <c r="E2309" s="715" t="s">
        <v>434</v>
      </c>
      <c r="F2309" s="817">
        <v>49.7</v>
      </c>
      <c r="G2309" s="818"/>
      <c r="H2309" s="819"/>
      <c r="I2309" s="769"/>
      <c r="J2309" s="770"/>
      <c r="K2309" s="771"/>
      <c r="L2309" s="100"/>
      <c r="M2309" s="101"/>
    </row>
    <row r="2310" spans="4:13" ht="20" thickBot="1" x14ac:dyDescent="0.25">
      <c r="E2310" s="716" t="s">
        <v>435</v>
      </c>
      <c r="F2310" s="811">
        <v>0.61458333333333337</v>
      </c>
      <c r="G2310" s="812"/>
      <c r="H2310" s="813"/>
      <c r="I2310" s="769"/>
      <c r="J2310" s="770"/>
      <c r="K2310" s="771"/>
      <c r="L2310" s="107">
        <v>0.84375</v>
      </c>
      <c r="M2310" s="108">
        <v>0.69791666666666663</v>
      </c>
    </row>
    <row r="2311" spans="4:13" ht="20" thickBot="1" x14ac:dyDescent="0.25">
      <c r="E2311" s="717" t="s">
        <v>436</v>
      </c>
      <c r="F2311" s="278" t="s">
        <v>29</v>
      </c>
      <c r="G2311" s="278" t="s">
        <v>28</v>
      </c>
      <c r="H2311" s="279" t="s">
        <v>27</v>
      </c>
      <c r="I2311" s="769"/>
      <c r="J2311" s="770"/>
      <c r="K2311" s="771"/>
      <c r="L2311" s="100"/>
      <c r="M2311" s="101"/>
    </row>
    <row r="2312" spans="4:13" x14ac:dyDescent="0.2">
      <c r="E2312" s="718">
        <v>45642</v>
      </c>
      <c r="F2312" s="283">
        <v>48.3</v>
      </c>
      <c r="G2312" s="283" t="s">
        <v>440</v>
      </c>
      <c r="H2312" s="283">
        <v>49.7</v>
      </c>
      <c r="I2312" s="769"/>
      <c r="J2312" s="770"/>
      <c r="K2312" s="771"/>
      <c r="L2312" s="100"/>
      <c r="M2312" s="101"/>
    </row>
    <row r="2313" spans="4:13" x14ac:dyDescent="0.2">
      <c r="E2313" s="718">
        <v>45628</v>
      </c>
      <c r="F2313" s="283">
        <v>49.7</v>
      </c>
      <c r="G2313" s="283" t="s">
        <v>510</v>
      </c>
      <c r="H2313" s="283">
        <v>48.5</v>
      </c>
      <c r="I2313" s="769"/>
      <c r="J2313" s="770"/>
      <c r="K2313" s="771"/>
      <c r="L2313" s="100"/>
      <c r="M2313" s="101"/>
    </row>
    <row r="2314" spans="4:13" x14ac:dyDescent="0.2">
      <c r="E2314" s="718">
        <v>45618</v>
      </c>
      <c r="F2314" s="283">
        <v>48.8</v>
      </c>
      <c r="G2314" s="283" t="s">
        <v>510</v>
      </c>
      <c r="H2314" s="283">
        <v>48.5</v>
      </c>
      <c r="I2314" s="769"/>
      <c r="J2314" s="770"/>
      <c r="K2314" s="771"/>
      <c r="L2314" s="102"/>
      <c r="M2314" s="101"/>
    </row>
    <row r="2315" spans="4:13" x14ac:dyDescent="0.2">
      <c r="E2315" s="718">
        <v>45597</v>
      </c>
      <c r="F2315" s="283">
        <v>48.5</v>
      </c>
      <c r="G2315" s="283" t="s">
        <v>1054</v>
      </c>
      <c r="H2315" s="283">
        <v>47.8</v>
      </c>
      <c r="I2315" s="769"/>
      <c r="J2315" s="770"/>
      <c r="K2315" s="771"/>
      <c r="L2315" s="100"/>
      <c r="M2315" s="101"/>
    </row>
    <row r="2316" spans="4:13" x14ac:dyDescent="0.2">
      <c r="E2316" s="718">
        <v>45589</v>
      </c>
      <c r="F2316" s="283">
        <v>47.8</v>
      </c>
      <c r="G2316" s="283" t="s">
        <v>509</v>
      </c>
      <c r="H2316" s="283">
        <v>47.3</v>
      </c>
      <c r="I2316" s="769"/>
      <c r="J2316" s="770"/>
      <c r="K2316" s="771"/>
      <c r="L2316" s="100"/>
      <c r="M2316" s="101"/>
    </row>
    <row r="2317" spans="4:13" ht="20" thickBot="1" x14ac:dyDescent="0.25">
      <c r="E2317" s="718">
        <v>45566</v>
      </c>
      <c r="F2317" s="283">
        <v>47.3</v>
      </c>
      <c r="G2317" s="283" t="s">
        <v>758</v>
      </c>
      <c r="H2317" s="283">
        <v>47.9</v>
      </c>
      <c r="I2317" s="772"/>
      <c r="J2317" s="773"/>
      <c r="K2317" s="774"/>
      <c r="L2317" s="103"/>
      <c r="M2317" s="104"/>
    </row>
    <row r="2318" spans="4:13" ht="25" thickBot="1" x14ac:dyDescent="0.25">
      <c r="D2318">
        <v>9</v>
      </c>
      <c r="E2318" s="713" t="s">
        <v>30</v>
      </c>
      <c r="F2318" s="814" t="e">
        <v>#REF!</v>
      </c>
      <c r="G2318" s="815"/>
      <c r="H2318" s="816"/>
      <c r="I2318" s="781" t="s">
        <v>633</v>
      </c>
      <c r="J2318" s="764"/>
      <c r="K2318" s="765"/>
      <c r="L2318" s="162" t="s">
        <v>430</v>
      </c>
      <c r="M2318" s="106" t="s">
        <v>431</v>
      </c>
    </row>
    <row r="2319" spans="4:13" x14ac:dyDescent="0.2">
      <c r="D2319" s="89"/>
      <c r="E2319" s="714" t="s">
        <v>432</v>
      </c>
      <c r="F2319" s="805"/>
      <c r="G2319" s="806"/>
      <c r="H2319" s="807"/>
      <c r="I2319" s="769" t="e">
        <v>#REF!</v>
      </c>
      <c r="J2319" s="770"/>
      <c r="K2319" s="771"/>
      <c r="L2319" s="100"/>
      <c r="M2319" s="101"/>
    </row>
    <row r="2320" spans="4:13" x14ac:dyDescent="0.2">
      <c r="D2320" s="89"/>
      <c r="E2320" s="715" t="s">
        <v>433</v>
      </c>
      <c r="F2320" s="817" t="e">
        <v>#REF!</v>
      </c>
      <c r="G2320" s="818"/>
      <c r="H2320" s="819"/>
      <c r="I2320" s="769"/>
      <c r="J2320" s="770"/>
      <c r="K2320" s="771"/>
      <c r="L2320" s="100"/>
      <c r="M2320" s="101"/>
    </row>
    <row r="2321" spans="4:13" ht="20" thickBot="1" x14ac:dyDescent="0.25">
      <c r="D2321" s="89"/>
      <c r="E2321" s="715" t="s">
        <v>434</v>
      </c>
      <c r="F2321" s="817" t="e">
        <v>#REF!</v>
      </c>
      <c r="G2321" s="818"/>
      <c r="H2321" s="819"/>
      <c r="I2321" s="769"/>
      <c r="J2321" s="770"/>
      <c r="K2321" s="771"/>
      <c r="L2321" s="100"/>
      <c r="M2321" s="101"/>
    </row>
    <row r="2322" spans="4:13" ht="20" thickBot="1" x14ac:dyDescent="0.25">
      <c r="D2322" s="89"/>
      <c r="E2322" s="716" t="s">
        <v>435</v>
      </c>
      <c r="F2322" s="811" t="e">
        <v>#REF!</v>
      </c>
      <c r="G2322" s="812"/>
      <c r="H2322" s="813"/>
      <c r="I2322" s="769"/>
      <c r="J2322" s="770"/>
      <c r="K2322" s="771"/>
      <c r="L2322" s="107" t="e">
        <v>#REF!</v>
      </c>
      <c r="M2322" s="108" t="e">
        <v>#REF!</v>
      </c>
    </row>
    <row r="2323" spans="4:13" ht="20" thickBot="1" x14ac:dyDescent="0.25">
      <c r="D2323" s="89"/>
      <c r="E2323" s="717" t="s">
        <v>436</v>
      </c>
      <c r="F2323" s="278" t="s">
        <v>29</v>
      </c>
      <c r="G2323" s="278" t="s">
        <v>28</v>
      </c>
      <c r="H2323" s="279" t="s">
        <v>27</v>
      </c>
      <c r="I2323" s="769"/>
      <c r="J2323" s="770"/>
      <c r="K2323" s="771"/>
      <c r="L2323" s="100"/>
      <c r="M2323" s="101"/>
    </row>
    <row r="2324" spans="4:13" x14ac:dyDescent="0.2">
      <c r="D2324" s="89"/>
      <c r="E2324" s="718">
        <v>45601</v>
      </c>
      <c r="F2324" s="727">
        <v>4.3470000000000002E-2</v>
      </c>
      <c r="G2324" s="727" t="s">
        <v>754</v>
      </c>
      <c r="H2324" s="727">
        <v>4.0660000000000002E-2</v>
      </c>
      <c r="I2324" s="769"/>
      <c r="J2324" s="770"/>
      <c r="K2324" s="771"/>
      <c r="L2324" s="100"/>
      <c r="M2324" s="101"/>
    </row>
    <row r="2325" spans="4:13" x14ac:dyDescent="0.2">
      <c r="D2325" s="89"/>
      <c r="E2325" s="718">
        <v>45574</v>
      </c>
      <c r="F2325" s="727">
        <v>4.0660000000000002E-2</v>
      </c>
      <c r="G2325" s="727" t="s">
        <v>754</v>
      </c>
      <c r="H2325" s="727">
        <v>3.6479999999999999E-2</v>
      </c>
      <c r="I2325" s="769"/>
      <c r="J2325" s="770"/>
      <c r="K2325" s="771"/>
      <c r="L2325" s="100"/>
      <c r="M2325" s="101"/>
    </row>
    <row r="2326" spans="4:13" x14ac:dyDescent="0.2">
      <c r="D2326" s="89"/>
      <c r="E2326" s="718">
        <v>45546</v>
      </c>
      <c r="F2326" s="727">
        <v>3.6479999999999999E-2</v>
      </c>
      <c r="G2326" s="727" t="s">
        <v>754</v>
      </c>
      <c r="H2326" s="727">
        <v>3.9600000000000003E-2</v>
      </c>
      <c r="I2326" s="769"/>
      <c r="J2326" s="770"/>
      <c r="K2326" s="771"/>
      <c r="L2326" s="102"/>
      <c r="M2326" s="101"/>
    </row>
    <row r="2327" spans="4:13" x14ac:dyDescent="0.2">
      <c r="D2327" s="89"/>
      <c r="E2327" s="718">
        <v>45511</v>
      </c>
      <c r="F2327" s="727">
        <v>3.9600000000000003E-2</v>
      </c>
      <c r="G2327" s="727" t="s">
        <v>754</v>
      </c>
      <c r="H2327" s="727">
        <v>4.2759999999999999E-2</v>
      </c>
      <c r="I2327" s="769"/>
      <c r="J2327" s="770"/>
      <c r="K2327" s="771"/>
      <c r="L2327" s="100"/>
      <c r="M2327" s="101"/>
    </row>
    <row r="2328" spans="4:13" x14ac:dyDescent="0.2">
      <c r="D2328" s="89"/>
      <c r="E2328" s="718">
        <v>45483</v>
      </c>
      <c r="F2328" s="727">
        <v>4.2759999999999999E-2</v>
      </c>
      <c r="G2328" s="727" t="s">
        <v>754</v>
      </c>
      <c r="H2328" s="727">
        <v>4.4380000000000003E-2</v>
      </c>
      <c r="I2328" s="769"/>
      <c r="J2328" s="770"/>
      <c r="K2328" s="771"/>
      <c r="L2328" s="100"/>
      <c r="M2328" s="101"/>
    </row>
    <row r="2329" spans="4:13" ht="20" thickBot="1" x14ac:dyDescent="0.25">
      <c r="D2329" s="89"/>
      <c r="E2329" s="718">
        <v>45454</v>
      </c>
      <c r="F2329" s="727">
        <v>4.4380000000000003E-2</v>
      </c>
      <c r="G2329" s="727" t="s">
        <v>754</v>
      </c>
      <c r="H2329" s="727">
        <v>4.4830000000000002E-2</v>
      </c>
      <c r="I2329" s="772"/>
      <c r="J2329" s="773"/>
      <c r="K2329" s="774"/>
      <c r="L2329" s="103"/>
      <c r="M2329" s="104"/>
    </row>
    <row r="2330" spans="4:13" ht="25" thickBot="1" x14ac:dyDescent="0.25">
      <c r="D2330">
        <v>10</v>
      </c>
      <c r="E2330" s="713" t="s">
        <v>30</v>
      </c>
      <c r="F2330" s="814" t="s">
        <v>1330</v>
      </c>
      <c r="G2330" s="815"/>
      <c r="H2330" s="816"/>
      <c r="I2330" s="781" t="s">
        <v>633</v>
      </c>
      <c r="J2330" s="764"/>
      <c r="K2330" s="765"/>
      <c r="L2330" s="162" t="s">
        <v>430</v>
      </c>
      <c r="M2330" s="106" t="s">
        <v>431</v>
      </c>
    </row>
    <row r="2331" spans="4:13" x14ac:dyDescent="0.2">
      <c r="D2331" s="89"/>
      <c r="E2331" s="714" t="s">
        <v>432</v>
      </c>
      <c r="F2331" s="805"/>
      <c r="G2331" s="806"/>
      <c r="H2331" s="807"/>
      <c r="I2331" s="769" t="s">
        <v>1331</v>
      </c>
      <c r="J2331" s="770"/>
      <c r="K2331" s="771"/>
      <c r="L2331" s="100"/>
      <c r="M2331" s="101"/>
    </row>
    <row r="2332" spans="4:13" x14ac:dyDescent="0.2">
      <c r="D2332" s="89"/>
      <c r="E2332" s="715" t="s">
        <v>433</v>
      </c>
      <c r="F2332" s="817">
        <v>0</v>
      </c>
      <c r="G2332" s="818"/>
      <c r="H2332" s="819"/>
      <c r="I2332" s="769"/>
      <c r="J2332" s="770"/>
      <c r="K2332" s="771"/>
      <c r="L2332" s="100"/>
      <c r="M2332" s="101"/>
    </row>
    <row r="2333" spans="4:13" ht="20" thickBot="1" x14ac:dyDescent="0.25">
      <c r="D2333" s="89"/>
      <c r="E2333" s="715" t="s">
        <v>434</v>
      </c>
      <c r="F2333" s="817">
        <v>48.4</v>
      </c>
      <c r="G2333" s="818"/>
      <c r="H2333" s="819"/>
      <c r="I2333" s="769"/>
      <c r="J2333" s="770"/>
      <c r="K2333" s="771"/>
      <c r="L2333" s="100"/>
      <c r="M2333" s="101"/>
    </row>
    <row r="2334" spans="4:13" ht="20" thickBot="1" x14ac:dyDescent="0.25">
      <c r="D2334" s="89"/>
      <c r="E2334" s="716" t="s">
        <v>435</v>
      </c>
      <c r="F2334" s="811">
        <v>0.625</v>
      </c>
      <c r="G2334" s="812"/>
      <c r="H2334" s="813"/>
      <c r="I2334" s="769"/>
      <c r="J2334" s="770"/>
      <c r="K2334" s="771"/>
      <c r="L2334" s="107">
        <v>0.85416666666666663</v>
      </c>
      <c r="M2334" s="108">
        <v>0.70833333333333326</v>
      </c>
    </row>
    <row r="2335" spans="4:13" ht="20" thickBot="1" x14ac:dyDescent="0.25">
      <c r="D2335" s="89"/>
      <c r="E2335" s="717" t="s">
        <v>436</v>
      </c>
      <c r="F2335" s="278" t="s">
        <v>29</v>
      </c>
      <c r="G2335" s="278" t="s">
        <v>28</v>
      </c>
      <c r="H2335" s="279" t="s">
        <v>27</v>
      </c>
      <c r="I2335" s="769"/>
      <c r="J2335" s="770"/>
      <c r="K2335" s="771"/>
      <c r="L2335" s="100"/>
      <c r="M2335" s="101"/>
    </row>
    <row r="2336" spans="4:13" x14ac:dyDescent="0.2">
      <c r="D2336" s="89"/>
      <c r="E2336" s="718">
        <v>45628</v>
      </c>
      <c r="F2336" s="283">
        <v>48.4</v>
      </c>
      <c r="G2336" s="283" t="s">
        <v>1341</v>
      </c>
      <c r="H2336" s="283">
        <v>46.5</v>
      </c>
      <c r="I2336" s="769"/>
      <c r="J2336" s="770"/>
      <c r="K2336" s="771"/>
      <c r="L2336" s="100"/>
      <c r="M2336" s="101"/>
    </row>
    <row r="2337" spans="4:13" x14ac:dyDescent="0.2">
      <c r="D2337" s="89"/>
      <c r="E2337" s="718">
        <v>45597</v>
      </c>
      <c r="F2337" s="283">
        <v>46.5</v>
      </c>
      <c r="G2337" s="283" t="s">
        <v>901</v>
      </c>
      <c r="H2337" s="283">
        <v>47.2</v>
      </c>
      <c r="I2337" s="769"/>
      <c r="J2337" s="770"/>
      <c r="K2337" s="771"/>
      <c r="L2337" s="100"/>
      <c r="M2337" s="101"/>
    </row>
    <row r="2338" spans="4:13" x14ac:dyDescent="0.2">
      <c r="D2338" s="89"/>
      <c r="E2338" s="718">
        <v>45566</v>
      </c>
      <c r="F2338" s="283">
        <v>47.2</v>
      </c>
      <c r="G2338" s="283" t="s">
        <v>901</v>
      </c>
      <c r="H2338" s="283">
        <v>47.2</v>
      </c>
      <c r="I2338" s="769"/>
      <c r="J2338" s="770"/>
      <c r="K2338" s="771"/>
      <c r="L2338" s="102"/>
      <c r="M2338" s="101"/>
    </row>
    <row r="2339" spans="4:13" x14ac:dyDescent="0.2">
      <c r="D2339" s="89"/>
      <c r="E2339" s="718">
        <v>45538</v>
      </c>
      <c r="F2339" s="283">
        <v>47.2</v>
      </c>
      <c r="G2339" s="283" t="s">
        <v>509</v>
      </c>
      <c r="H2339" s="283">
        <v>46.8</v>
      </c>
      <c r="I2339" s="769"/>
      <c r="J2339" s="770"/>
      <c r="K2339" s="771"/>
      <c r="L2339" s="100"/>
      <c r="M2339" s="101"/>
    </row>
    <row r="2340" spans="4:13" x14ac:dyDescent="0.2">
      <c r="D2340" s="89"/>
      <c r="E2340" s="718">
        <v>45505</v>
      </c>
      <c r="F2340" s="283">
        <v>46.8</v>
      </c>
      <c r="G2340" s="283" t="s">
        <v>510</v>
      </c>
      <c r="H2340" s="283">
        <v>48.5</v>
      </c>
      <c r="I2340" s="769"/>
      <c r="J2340" s="770"/>
      <c r="K2340" s="771"/>
      <c r="L2340" s="100"/>
      <c r="M2340" s="101"/>
    </row>
    <row r="2341" spans="4:13" ht="20" thickBot="1" x14ac:dyDescent="0.25">
      <c r="D2341" s="89"/>
      <c r="E2341" s="718">
        <v>45474</v>
      </c>
      <c r="F2341" s="283">
        <v>48.5</v>
      </c>
      <c r="G2341" s="283" t="s">
        <v>511</v>
      </c>
      <c r="H2341" s="283">
        <v>48.7</v>
      </c>
      <c r="I2341" s="772"/>
      <c r="J2341" s="773"/>
      <c r="K2341" s="774"/>
      <c r="L2341" s="103"/>
      <c r="M2341" s="104"/>
    </row>
    <row r="2342" spans="4:13" ht="25" thickBot="1" x14ac:dyDescent="0.25">
      <c r="D2342">
        <v>11</v>
      </c>
      <c r="E2342" s="713" t="s">
        <v>30</v>
      </c>
      <c r="F2342" s="814" t="s">
        <v>1332</v>
      </c>
      <c r="G2342" s="815"/>
      <c r="H2342" s="816"/>
      <c r="I2342" s="781" t="s">
        <v>633</v>
      </c>
      <c r="J2342" s="764"/>
      <c r="K2342" s="765"/>
      <c r="L2342" s="162" t="s">
        <v>430</v>
      </c>
      <c r="M2342" s="106" t="s">
        <v>431</v>
      </c>
    </row>
    <row r="2343" spans="4:13" x14ac:dyDescent="0.2">
      <c r="D2343" s="89"/>
      <c r="E2343" s="714" t="s">
        <v>432</v>
      </c>
      <c r="F2343" s="805"/>
      <c r="G2343" s="806"/>
      <c r="H2343" s="807"/>
      <c r="I2343" s="769" t="s">
        <v>1333</v>
      </c>
      <c r="J2343" s="770"/>
      <c r="K2343" s="771"/>
      <c r="L2343" s="100"/>
      <c r="M2343" s="101"/>
    </row>
    <row r="2344" spans="4:13" x14ac:dyDescent="0.2">
      <c r="D2344" s="89"/>
      <c r="E2344" s="715" t="s">
        <v>433</v>
      </c>
      <c r="F2344" s="820"/>
      <c r="G2344" s="821"/>
      <c r="H2344" s="822"/>
      <c r="I2344" s="769"/>
      <c r="J2344" s="770"/>
      <c r="K2344" s="771"/>
      <c r="L2344" s="100"/>
      <c r="M2344" s="101"/>
    </row>
    <row r="2345" spans="4:13" ht="20" thickBot="1" x14ac:dyDescent="0.25">
      <c r="D2345" s="89"/>
      <c r="E2345" s="715" t="s">
        <v>434</v>
      </c>
      <c r="F2345" s="817">
        <v>50.3</v>
      </c>
      <c r="G2345" s="818"/>
      <c r="H2345" s="819"/>
      <c r="I2345" s="769"/>
      <c r="J2345" s="770"/>
      <c r="K2345" s="771"/>
      <c r="L2345" s="100"/>
      <c r="M2345" s="101"/>
    </row>
    <row r="2346" spans="4:13" ht="20" thickBot="1" x14ac:dyDescent="0.25">
      <c r="D2346" s="89"/>
      <c r="E2346" s="716" t="s">
        <v>435</v>
      </c>
      <c r="F2346" s="811">
        <v>0.625</v>
      </c>
      <c r="G2346" s="812"/>
      <c r="H2346" s="813"/>
      <c r="I2346" s="769"/>
      <c r="J2346" s="770"/>
      <c r="K2346" s="771"/>
      <c r="L2346" s="107">
        <v>0.85416666666666663</v>
      </c>
      <c r="M2346" s="108">
        <v>0.70833333333333326</v>
      </c>
    </row>
    <row r="2347" spans="4:13" ht="20" thickBot="1" x14ac:dyDescent="0.25">
      <c r="D2347" s="89"/>
      <c r="E2347" s="717" t="s">
        <v>436</v>
      </c>
      <c r="F2347" s="278" t="s">
        <v>29</v>
      </c>
      <c r="G2347" s="278" t="s">
        <v>28</v>
      </c>
      <c r="H2347" s="279" t="s">
        <v>27</v>
      </c>
      <c r="I2347" s="769"/>
      <c r="J2347" s="770"/>
      <c r="K2347" s="771"/>
      <c r="L2347" s="100"/>
      <c r="M2347" s="101"/>
    </row>
    <row r="2348" spans="4:13" x14ac:dyDescent="0.2">
      <c r="D2348" s="89"/>
      <c r="E2348" s="718">
        <v>45628</v>
      </c>
      <c r="F2348" s="283">
        <v>50.3</v>
      </c>
      <c r="G2348" s="283" t="s">
        <v>586</v>
      </c>
      <c r="H2348" s="283">
        <v>54.8</v>
      </c>
      <c r="I2348" s="769"/>
      <c r="J2348" s="770"/>
      <c r="K2348" s="771"/>
      <c r="L2348" s="100"/>
      <c r="M2348" s="101"/>
    </row>
    <row r="2349" spans="4:13" x14ac:dyDescent="0.2">
      <c r="D2349" s="89"/>
      <c r="E2349" s="718">
        <v>45597</v>
      </c>
      <c r="F2349" s="283">
        <v>54.8</v>
      </c>
      <c r="G2349" s="283" t="s">
        <v>1173</v>
      </c>
      <c r="H2349" s="283">
        <v>48.3</v>
      </c>
      <c r="I2349" s="769"/>
      <c r="J2349" s="770"/>
      <c r="K2349" s="771"/>
      <c r="L2349" s="100"/>
      <c r="M2349" s="101"/>
    </row>
    <row r="2350" spans="4:13" x14ac:dyDescent="0.2">
      <c r="D2350" s="89"/>
      <c r="E2350" s="718">
        <v>45566</v>
      </c>
      <c r="F2350" s="283">
        <v>48.3</v>
      </c>
      <c r="G2350" s="283" t="s">
        <v>902</v>
      </c>
      <c r="H2350" s="283">
        <v>54</v>
      </c>
      <c r="I2350" s="769"/>
      <c r="J2350" s="770"/>
      <c r="K2350" s="771"/>
      <c r="L2350" s="102"/>
      <c r="M2350" s="101"/>
    </row>
    <row r="2351" spans="4:13" x14ac:dyDescent="0.2">
      <c r="D2351" s="89"/>
      <c r="E2351" s="718">
        <v>45538</v>
      </c>
      <c r="F2351" s="283">
        <v>54</v>
      </c>
      <c r="G2351" s="283" t="s">
        <v>519</v>
      </c>
      <c r="H2351" s="283">
        <v>52.9</v>
      </c>
      <c r="I2351" s="769"/>
      <c r="J2351" s="770"/>
      <c r="K2351" s="771"/>
      <c r="L2351" s="100"/>
      <c r="M2351" s="101"/>
    </row>
    <row r="2352" spans="4:13" x14ac:dyDescent="0.2">
      <c r="D2352" s="89"/>
      <c r="E2352" s="718">
        <v>45505</v>
      </c>
      <c r="F2352" s="283">
        <v>52.9</v>
      </c>
      <c r="G2352" s="283" t="s">
        <v>520</v>
      </c>
      <c r="H2352" s="283">
        <v>52.1</v>
      </c>
      <c r="I2352" s="769"/>
      <c r="J2352" s="770"/>
      <c r="K2352" s="771"/>
      <c r="L2352" s="100"/>
      <c r="M2352" s="101"/>
    </row>
    <row r="2353" spans="4:13" ht="20" thickBot="1" x14ac:dyDescent="0.25">
      <c r="D2353" s="89"/>
      <c r="E2353" s="718">
        <v>45474</v>
      </c>
      <c r="F2353" s="283">
        <v>52.1</v>
      </c>
      <c r="G2353" s="283" t="s">
        <v>521</v>
      </c>
      <c r="H2353" s="283">
        <v>57</v>
      </c>
      <c r="I2353" s="772"/>
      <c r="J2353" s="773"/>
      <c r="K2353" s="774"/>
      <c r="L2353" s="103"/>
      <c r="M2353" s="104"/>
    </row>
    <row r="2354" spans="4:13" ht="25" thickBot="1" x14ac:dyDescent="0.25">
      <c r="D2354">
        <v>12</v>
      </c>
      <c r="E2354" s="713" t="s">
        <v>30</v>
      </c>
      <c r="F2354" s="814" t="s">
        <v>1334</v>
      </c>
      <c r="G2354" s="815"/>
      <c r="H2354" s="816"/>
      <c r="I2354" s="763" t="s">
        <v>633</v>
      </c>
      <c r="J2354" s="764"/>
      <c r="K2354" s="765"/>
      <c r="L2354" s="162" t="s">
        <v>430</v>
      </c>
      <c r="M2354" s="106" t="s">
        <v>431</v>
      </c>
    </row>
    <row r="2355" spans="4:13" x14ac:dyDescent="0.2">
      <c r="D2355" s="89"/>
      <c r="E2355" s="714" t="s">
        <v>432</v>
      </c>
      <c r="F2355" s="805"/>
      <c r="G2355" s="806"/>
      <c r="H2355" s="807"/>
      <c r="I2355" s="769" t="s">
        <v>1336</v>
      </c>
      <c r="J2355" s="770"/>
      <c r="K2355" s="771"/>
      <c r="L2355" s="100"/>
      <c r="M2355" s="101"/>
    </row>
    <row r="2356" spans="4:13" x14ac:dyDescent="0.2">
      <c r="D2356" s="89"/>
      <c r="E2356" s="715" t="s">
        <v>433</v>
      </c>
      <c r="F2356" s="827">
        <v>0</v>
      </c>
      <c r="G2356" s="825"/>
      <c r="H2356" s="826"/>
      <c r="I2356" s="769"/>
      <c r="J2356" s="770"/>
      <c r="K2356" s="771"/>
      <c r="L2356" s="100"/>
      <c r="M2356" s="101"/>
    </row>
    <row r="2357" spans="4:13" ht="20" thickBot="1" x14ac:dyDescent="0.25">
      <c r="D2357" s="89"/>
      <c r="E2357" s="715" t="s">
        <v>434</v>
      </c>
      <c r="F2357" s="808" t="s">
        <v>1335</v>
      </c>
      <c r="G2357" s="809"/>
      <c r="H2357" s="810"/>
      <c r="I2357" s="769"/>
      <c r="J2357" s="770"/>
      <c r="K2357" s="771"/>
      <c r="L2357" s="100"/>
      <c r="M2357" s="101"/>
    </row>
    <row r="2358" spans="4:13" ht="20" thickBot="1" x14ac:dyDescent="0.25">
      <c r="D2358" s="89"/>
      <c r="E2358" s="716" t="s">
        <v>435</v>
      </c>
      <c r="F2358" s="811">
        <v>0.66666666666666674</v>
      </c>
      <c r="G2358" s="812"/>
      <c r="H2358" s="813"/>
      <c r="I2358" s="769"/>
      <c r="J2358" s="770"/>
      <c r="K2358" s="771"/>
      <c r="L2358" s="107">
        <v>0.89583333333333337</v>
      </c>
      <c r="M2358" s="108">
        <v>0.75</v>
      </c>
    </row>
    <row r="2359" spans="4:13" ht="20" thickBot="1" x14ac:dyDescent="0.25">
      <c r="D2359" s="89"/>
      <c r="E2359" s="717" t="s">
        <v>436</v>
      </c>
      <c r="F2359" s="278" t="s">
        <v>29</v>
      </c>
      <c r="G2359" s="278" t="s">
        <v>28</v>
      </c>
      <c r="H2359" s="279" t="s">
        <v>27</v>
      </c>
      <c r="I2359" s="769"/>
      <c r="J2359" s="770"/>
      <c r="K2359" s="771"/>
      <c r="L2359" s="100"/>
      <c r="M2359" s="101"/>
    </row>
    <row r="2360" spans="4:13" x14ac:dyDescent="0.2">
      <c r="D2360" s="89"/>
      <c r="E2360" s="718">
        <v>45653</v>
      </c>
      <c r="F2360" s="726" t="s">
        <v>1342</v>
      </c>
      <c r="G2360" s="726" t="s">
        <v>1343</v>
      </c>
      <c r="H2360" s="726" t="s">
        <v>1318</v>
      </c>
      <c r="I2360" s="769"/>
      <c r="J2360" s="770"/>
      <c r="K2360" s="771"/>
      <c r="L2360" s="100"/>
      <c r="M2360" s="215"/>
    </row>
    <row r="2361" spans="4:13" x14ac:dyDescent="0.2">
      <c r="D2361" s="89"/>
      <c r="E2361" s="718">
        <v>45644</v>
      </c>
      <c r="F2361" s="726" t="s">
        <v>1318</v>
      </c>
      <c r="G2361" s="726" t="s">
        <v>1289</v>
      </c>
      <c r="H2361" s="726" t="s">
        <v>1286</v>
      </c>
      <c r="I2361" s="769"/>
      <c r="J2361" s="770"/>
      <c r="K2361" s="771"/>
      <c r="L2361" s="100"/>
      <c r="M2361" s="101"/>
    </row>
    <row r="2362" spans="4:13" x14ac:dyDescent="0.2">
      <c r="D2362" s="89"/>
      <c r="E2362" s="718">
        <v>45637</v>
      </c>
      <c r="F2362" s="726" t="s">
        <v>1286</v>
      </c>
      <c r="G2362" s="726" t="s">
        <v>1287</v>
      </c>
      <c r="H2362" s="726" t="s">
        <v>1288</v>
      </c>
      <c r="I2362" s="769"/>
      <c r="J2362" s="770"/>
      <c r="K2362" s="771"/>
      <c r="L2362" s="102"/>
      <c r="M2362" s="101"/>
    </row>
    <row r="2363" spans="4:13" x14ac:dyDescent="0.2">
      <c r="D2363" s="89"/>
      <c r="E2363" s="718">
        <v>45630</v>
      </c>
      <c r="F2363" s="726" t="s">
        <v>1288</v>
      </c>
      <c r="G2363" s="726" t="s">
        <v>1289</v>
      </c>
      <c r="H2363" s="726" t="s">
        <v>1290</v>
      </c>
      <c r="I2363" s="769"/>
      <c r="J2363" s="770"/>
      <c r="K2363" s="771"/>
      <c r="L2363" s="100"/>
      <c r="M2363" s="101"/>
    </row>
    <row r="2364" spans="4:13" x14ac:dyDescent="0.2">
      <c r="D2364" s="89"/>
      <c r="E2364" s="718">
        <v>45623</v>
      </c>
      <c r="F2364" s="726" t="s">
        <v>1290</v>
      </c>
      <c r="G2364" s="726" t="s">
        <v>1291</v>
      </c>
      <c r="H2364" s="726" t="s">
        <v>1125</v>
      </c>
      <c r="I2364" s="769"/>
      <c r="J2364" s="770"/>
      <c r="K2364" s="771"/>
      <c r="L2364" s="100"/>
      <c r="M2364" s="101"/>
    </row>
    <row r="2365" spans="4:13" ht="20" thickBot="1" x14ac:dyDescent="0.25">
      <c r="D2365" s="89"/>
      <c r="E2365" s="718">
        <v>45616</v>
      </c>
      <c r="F2365" s="726" t="s">
        <v>1125</v>
      </c>
      <c r="G2365" s="726" t="s">
        <v>1030</v>
      </c>
      <c r="H2365" s="726" t="s">
        <v>1029</v>
      </c>
      <c r="I2365" s="772"/>
      <c r="J2365" s="773"/>
      <c r="K2365" s="774"/>
      <c r="L2365" s="103"/>
      <c r="M2365" s="104"/>
    </row>
    <row r="2366" spans="4:13" ht="25" thickBot="1" x14ac:dyDescent="0.25">
      <c r="D2366">
        <v>13</v>
      </c>
      <c r="E2366" s="713" t="s">
        <v>30</v>
      </c>
      <c r="F2366" s="814" t="s">
        <v>1334</v>
      </c>
      <c r="G2366" s="815"/>
      <c r="H2366" s="816"/>
      <c r="I2366" s="763" t="s">
        <v>633</v>
      </c>
      <c r="J2366" s="764"/>
      <c r="K2366" s="765"/>
      <c r="L2366" s="162" t="s">
        <v>430</v>
      </c>
      <c r="M2366" s="106" t="s">
        <v>431</v>
      </c>
    </row>
    <row r="2367" spans="4:13" x14ac:dyDescent="0.2">
      <c r="D2367" s="89"/>
      <c r="E2367" s="714" t="s">
        <v>432</v>
      </c>
      <c r="F2367" s="805"/>
      <c r="G2367" s="806"/>
      <c r="H2367" s="807"/>
      <c r="I2367" s="769">
        <v>0</v>
      </c>
      <c r="J2367" s="770"/>
      <c r="K2367" s="771"/>
      <c r="L2367" s="100"/>
      <c r="M2367" s="101"/>
    </row>
    <row r="2368" spans="4:13" x14ac:dyDescent="0.2">
      <c r="D2368" s="89"/>
      <c r="E2368" s="715" t="s">
        <v>433</v>
      </c>
      <c r="F2368" s="824"/>
      <c r="G2368" s="825"/>
      <c r="H2368" s="826"/>
      <c r="I2368" s="769"/>
      <c r="J2368" s="770"/>
      <c r="K2368" s="771"/>
      <c r="L2368" s="100"/>
      <c r="M2368" s="101"/>
    </row>
    <row r="2369" spans="4:13" ht="20" thickBot="1" x14ac:dyDescent="0.25">
      <c r="D2369" s="89"/>
      <c r="E2369" s="715" t="s">
        <v>434</v>
      </c>
      <c r="F2369" s="824">
        <v>0</v>
      </c>
      <c r="G2369" s="825"/>
      <c r="H2369" s="826"/>
      <c r="I2369" s="769"/>
      <c r="J2369" s="770"/>
      <c r="K2369" s="771"/>
      <c r="L2369" s="100"/>
      <c r="M2369" s="101"/>
    </row>
    <row r="2370" spans="4:13" ht="20" thickBot="1" x14ac:dyDescent="0.25">
      <c r="D2370" s="89"/>
      <c r="E2370" s="716" t="s">
        <v>435</v>
      </c>
      <c r="F2370" s="811">
        <v>0</v>
      </c>
      <c r="G2370" s="812"/>
      <c r="H2370" s="813"/>
      <c r="I2370" s="769"/>
      <c r="J2370" s="770"/>
      <c r="K2370" s="771"/>
      <c r="L2370" s="107">
        <v>0.22916666666666666</v>
      </c>
      <c r="M2370" s="108">
        <v>8.3333333333333315E-2</v>
      </c>
    </row>
    <row r="2371" spans="4:13" ht="20" thickBot="1" x14ac:dyDescent="0.25">
      <c r="D2371" s="89"/>
      <c r="E2371" s="717" t="s">
        <v>436</v>
      </c>
      <c r="F2371" s="278" t="s">
        <v>29</v>
      </c>
      <c r="G2371" s="278" t="s">
        <v>28</v>
      </c>
      <c r="H2371" s="279" t="s">
        <v>27</v>
      </c>
      <c r="I2371" s="769"/>
      <c r="J2371" s="770"/>
      <c r="K2371" s="771"/>
      <c r="L2371" s="100"/>
      <c r="M2371" s="101"/>
    </row>
    <row r="2372" spans="4:13" x14ac:dyDescent="0.2">
      <c r="D2372" s="89"/>
      <c r="E2372" s="718">
        <v>45631</v>
      </c>
      <c r="F2372" s="380" t="s">
        <v>381</v>
      </c>
      <c r="G2372" s="380" t="s">
        <v>1014</v>
      </c>
      <c r="H2372" s="380" t="s">
        <v>1014</v>
      </c>
      <c r="I2372" s="769"/>
      <c r="J2372" s="770"/>
      <c r="K2372" s="771"/>
      <c r="L2372" s="100"/>
      <c r="M2372" s="215"/>
    </row>
    <row r="2373" spans="4:13" x14ac:dyDescent="0.2">
      <c r="D2373" s="89"/>
      <c r="E2373" s="718">
        <v>45623</v>
      </c>
      <c r="F2373" s="380" t="s">
        <v>1071</v>
      </c>
      <c r="G2373" s="380" t="s">
        <v>1014</v>
      </c>
      <c r="H2373" s="380" t="s">
        <v>1014</v>
      </c>
      <c r="I2373" s="769"/>
      <c r="J2373" s="770"/>
      <c r="K2373" s="771"/>
      <c r="L2373" s="100"/>
      <c r="M2373" s="101"/>
    </row>
    <row r="2374" spans="4:13" x14ac:dyDescent="0.2">
      <c r="D2374" s="89"/>
      <c r="E2374" s="718">
        <v>45617</v>
      </c>
      <c r="F2374" s="380" t="s">
        <v>1071</v>
      </c>
      <c r="G2374" s="380" t="s">
        <v>931</v>
      </c>
      <c r="H2374" s="380" t="s">
        <v>345</v>
      </c>
      <c r="I2374" s="769"/>
      <c r="J2374" s="770"/>
      <c r="K2374" s="771"/>
      <c r="L2374" s="102"/>
      <c r="M2374" s="101"/>
    </row>
    <row r="2375" spans="4:13" x14ac:dyDescent="0.2">
      <c r="D2375" s="89"/>
      <c r="E2375" s="718">
        <v>45610</v>
      </c>
      <c r="F2375" s="380" t="s">
        <v>1015</v>
      </c>
      <c r="G2375" s="380" t="s">
        <v>381</v>
      </c>
      <c r="H2375" s="380" t="s">
        <v>413</v>
      </c>
      <c r="I2375" s="769"/>
      <c r="J2375" s="770"/>
      <c r="K2375" s="771"/>
      <c r="L2375" s="100"/>
      <c r="M2375" s="101"/>
    </row>
    <row r="2376" spans="4:13" x14ac:dyDescent="0.2">
      <c r="D2376" s="89"/>
      <c r="E2376" s="718">
        <v>45603</v>
      </c>
      <c r="F2376" s="380" t="s">
        <v>413</v>
      </c>
      <c r="G2376" s="380" t="s">
        <v>1347</v>
      </c>
      <c r="H2376" s="380" t="s">
        <v>382</v>
      </c>
      <c r="I2376" s="769"/>
      <c r="J2376" s="770"/>
      <c r="K2376" s="771"/>
      <c r="L2376" s="100"/>
      <c r="M2376" s="101"/>
    </row>
    <row r="2377" spans="4:13" ht="20" thickBot="1" x14ac:dyDescent="0.25">
      <c r="D2377" s="89"/>
      <c r="E2377" s="718">
        <v>45596</v>
      </c>
      <c r="F2377" s="380" t="s">
        <v>932</v>
      </c>
      <c r="G2377" s="380" t="s">
        <v>321</v>
      </c>
      <c r="H2377" s="380" t="s">
        <v>579</v>
      </c>
      <c r="I2377" s="772"/>
      <c r="J2377" s="773"/>
      <c r="K2377" s="774"/>
      <c r="L2377" s="103"/>
      <c r="M2377" s="104"/>
    </row>
    <row r="2378" spans="4:13" ht="25" thickBot="1" x14ac:dyDescent="0.25">
      <c r="D2378">
        <v>14</v>
      </c>
      <c r="E2378" s="713" t="s">
        <v>30</v>
      </c>
      <c r="F2378" s="814" t="s">
        <v>1330</v>
      </c>
      <c r="G2378" s="815"/>
      <c r="H2378" s="816"/>
      <c r="I2378" s="763" t="s">
        <v>633</v>
      </c>
      <c r="J2378" s="764"/>
      <c r="K2378" s="765"/>
      <c r="L2378" s="162" t="s">
        <v>430</v>
      </c>
      <c r="M2378" s="106" t="s">
        <v>431</v>
      </c>
    </row>
    <row r="2379" spans="4:13" x14ac:dyDescent="0.2">
      <c r="D2379" s="89"/>
      <c r="E2379" s="714" t="s">
        <v>432</v>
      </c>
      <c r="F2379" s="805"/>
      <c r="G2379" s="806"/>
      <c r="H2379" s="807"/>
      <c r="I2379" s="769" t="s">
        <v>1331</v>
      </c>
      <c r="J2379" s="770"/>
      <c r="K2379" s="771"/>
      <c r="L2379" s="100"/>
      <c r="M2379" s="101"/>
    </row>
    <row r="2380" spans="4:13" x14ac:dyDescent="0.2">
      <c r="D2380" s="89"/>
      <c r="E2380" s="715" t="s">
        <v>433</v>
      </c>
      <c r="F2380" s="827">
        <v>48.3</v>
      </c>
      <c r="G2380" s="825"/>
      <c r="H2380" s="826"/>
      <c r="I2380" s="769"/>
      <c r="J2380" s="770"/>
      <c r="K2380" s="771"/>
      <c r="L2380" s="100"/>
      <c r="M2380" s="101"/>
    </row>
    <row r="2381" spans="4:13" ht="20" thickBot="1" x14ac:dyDescent="0.25">
      <c r="D2381" s="89"/>
      <c r="E2381" s="715" t="s">
        <v>434</v>
      </c>
      <c r="F2381" s="831">
        <v>48.4</v>
      </c>
      <c r="G2381" s="832"/>
      <c r="H2381" s="833"/>
      <c r="I2381" s="769"/>
      <c r="J2381" s="770"/>
      <c r="K2381" s="771"/>
      <c r="L2381" s="100"/>
      <c r="M2381" s="101"/>
    </row>
    <row r="2382" spans="4:13" ht="20" thickBot="1" x14ac:dyDescent="0.25">
      <c r="D2382" s="89"/>
      <c r="E2382" s="716" t="s">
        <v>435</v>
      </c>
      <c r="F2382" s="811">
        <v>0.625</v>
      </c>
      <c r="G2382" s="812"/>
      <c r="H2382" s="813"/>
      <c r="I2382" s="769"/>
      <c r="J2382" s="770"/>
      <c r="K2382" s="771"/>
      <c r="L2382" s="107">
        <v>0.85416666666666663</v>
      </c>
      <c r="M2382" s="108">
        <v>0.70833333333333326</v>
      </c>
    </row>
    <row r="2383" spans="4:13" ht="20" thickBot="1" x14ac:dyDescent="0.25">
      <c r="D2383" s="89"/>
      <c r="E2383" s="717" t="s">
        <v>436</v>
      </c>
      <c r="F2383" s="278" t="s">
        <v>29</v>
      </c>
      <c r="G2383" s="278" t="s">
        <v>28</v>
      </c>
      <c r="H2383" s="279" t="s">
        <v>27</v>
      </c>
      <c r="I2383" s="769"/>
      <c r="J2383" s="770"/>
      <c r="K2383" s="771"/>
      <c r="L2383" s="100"/>
      <c r="M2383" s="101"/>
    </row>
    <row r="2384" spans="4:13" x14ac:dyDescent="0.2">
      <c r="D2384" s="89"/>
      <c r="E2384" s="718">
        <v>45659</v>
      </c>
      <c r="F2384" s="283">
        <v>0</v>
      </c>
      <c r="G2384" s="283" t="s">
        <v>754</v>
      </c>
      <c r="H2384" s="283">
        <v>48.4</v>
      </c>
      <c r="I2384" s="769"/>
      <c r="J2384" s="770"/>
      <c r="K2384" s="771"/>
      <c r="L2384" s="100"/>
      <c r="M2384" s="215"/>
    </row>
    <row r="2385" spans="4:13" x14ac:dyDescent="0.2">
      <c r="D2385" s="89"/>
      <c r="E2385" s="718">
        <v>45628</v>
      </c>
      <c r="F2385" s="283">
        <v>48.4</v>
      </c>
      <c r="G2385" s="283" t="s">
        <v>1341</v>
      </c>
      <c r="H2385" s="283">
        <v>46.5</v>
      </c>
      <c r="I2385" s="769"/>
      <c r="J2385" s="770"/>
      <c r="K2385" s="771"/>
      <c r="L2385" s="100"/>
      <c r="M2385" s="101"/>
    </row>
    <row r="2386" spans="4:13" x14ac:dyDescent="0.2">
      <c r="D2386" s="89"/>
      <c r="E2386" s="718">
        <v>45597</v>
      </c>
      <c r="F2386" s="283">
        <v>46.5</v>
      </c>
      <c r="G2386" s="283" t="s">
        <v>901</v>
      </c>
      <c r="H2386" s="283">
        <v>47.2</v>
      </c>
      <c r="I2386" s="769"/>
      <c r="J2386" s="770"/>
      <c r="K2386" s="771"/>
      <c r="L2386" s="102"/>
      <c r="M2386" s="101"/>
    </row>
    <row r="2387" spans="4:13" x14ac:dyDescent="0.2">
      <c r="D2387" s="89"/>
      <c r="E2387" s="718">
        <v>45566</v>
      </c>
      <c r="F2387" s="283">
        <v>47.2</v>
      </c>
      <c r="G2387" s="283" t="s">
        <v>901</v>
      </c>
      <c r="H2387" s="283">
        <v>47.2</v>
      </c>
      <c r="I2387" s="769"/>
      <c r="J2387" s="770"/>
      <c r="K2387" s="771"/>
      <c r="L2387" s="100"/>
      <c r="M2387" s="101"/>
    </row>
    <row r="2388" spans="4:13" x14ac:dyDescent="0.2">
      <c r="D2388" s="89"/>
      <c r="E2388" s="718">
        <v>45538</v>
      </c>
      <c r="F2388" s="283">
        <v>47.2</v>
      </c>
      <c r="G2388" s="283" t="s">
        <v>509</v>
      </c>
      <c r="H2388" s="283">
        <v>46.8</v>
      </c>
      <c r="I2388" s="769"/>
      <c r="J2388" s="770"/>
      <c r="K2388" s="771"/>
      <c r="L2388" s="100"/>
      <c r="M2388" s="101"/>
    </row>
    <row r="2389" spans="4:13" ht="20" thickBot="1" x14ac:dyDescent="0.25">
      <c r="D2389" s="89"/>
      <c r="E2389" s="728">
        <v>45505</v>
      </c>
      <c r="F2389" s="729">
        <v>46.8</v>
      </c>
      <c r="G2389" s="729" t="s">
        <v>510</v>
      </c>
      <c r="H2389" s="729">
        <v>48.5</v>
      </c>
      <c r="I2389" s="769"/>
      <c r="J2389" s="770"/>
      <c r="K2389" s="771"/>
      <c r="L2389" s="100"/>
      <c r="M2389" s="101"/>
    </row>
    <row r="2390" spans="4:13" ht="25" thickBot="1" x14ac:dyDescent="0.25">
      <c r="D2390">
        <v>15</v>
      </c>
      <c r="E2390" s="730" t="s">
        <v>30</v>
      </c>
      <c r="F2390" s="834" t="s">
        <v>1332</v>
      </c>
      <c r="G2390" s="835"/>
      <c r="H2390" s="836"/>
      <c r="I2390" s="837" t="s">
        <v>633</v>
      </c>
      <c r="J2390" s="838"/>
      <c r="K2390" s="839"/>
      <c r="L2390" s="656" t="s">
        <v>430</v>
      </c>
      <c r="M2390" s="657" t="s">
        <v>431</v>
      </c>
    </row>
    <row r="2391" spans="4:13" x14ac:dyDescent="0.2">
      <c r="D2391" s="89"/>
      <c r="E2391" s="578" t="s">
        <v>432</v>
      </c>
      <c r="F2391" s="840"/>
      <c r="G2391" s="841"/>
      <c r="H2391" s="842"/>
      <c r="I2391" s="769" t="s">
        <v>1333</v>
      </c>
      <c r="J2391" s="770"/>
      <c r="K2391" s="771"/>
      <c r="L2391" s="100"/>
      <c r="M2391" s="658"/>
    </row>
    <row r="2392" spans="4:13" x14ac:dyDescent="0.2">
      <c r="D2392" s="89"/>
      <c r="E2392" s="580" t="s">
        <v>433</v>
      </c>
      <c r="F2392" s="827">
        <v>52.2</v>
      </c>
      <c r="G2392" s="825"/>
      <c r="H2392" s="826"/>
      <c r="I2392" s="769"/>
      <c r="J2392" s="770"/>
      <c r="K2392" s="771"/>
      <c r="L2392" s="100"/>
      <c r="M2392" s="658"/>
    </row>
    <row r="2393" spans="4:13" ht="20" thickBot="1" x14ac:dyDescent="0.25">
      <c r="D2393" s="89"/>
      <c r="E2393" s="580" t="s">
        <v>434</v>
      </c>
      <c r="F2393" s="827">
        <v>50.3</v>
      </c>
      <c r="G2393" s="825"/>
      <c r="H2393" s="826"/>
      <c r="I2393" s="769"/>
      <c r="J2393" s="770"/>
      <c r="K2393" s="771"/>
      <c r="L2393" s="100"/>
      <c r="M2393" s="658"/>
    </row>
    <row r="2394" spans="4:13" ht="20" thickBot="1" x14ac:dyDescent="0.25">
      <c r="D2394" s="89"/>
      <c r="E2394" s="581" t="s">
        <v>435</v>
      </c>
      <c r="F2394" s="811">
        <v>0.625</v>
      </c>
      <c r="G2394" s="812"/>
      <c r="H2394" s="813"/>
      <c r="I2394" s="769"/>
      <c r="J2394" s="770"/>
      <c r="K2394" s="771"/>
      <c r="L2394" s="107">
        <v>0.85416666666666663</v>
      </c>
      <c r="M2394" s="659">
        <v>0.70833333333333326</v>
      </c>
    </row>
    <row r="2395" spans="4:13" ht="20" thickBot="1" x14ac:dyDescent="0.25">
      <c r="D2395" s="89"/>
      <c r="E2395" s="583" t="s">
        <v>436</v>
      </c>
      <c r="F2395" s="278" t="s">
        <v>29</v>
      </c>
      <c r="G2395" s="278" t="s">
        <v>28</v>
      </c>
      <c r="H2395" s="279" t="s">
        <v>27</v>
      </c>
      <c r="I2395" s="769"/>
      <c r="J2395" s="770"/>
      <c r="K2395" s="771"/>
      <c r="L2395" s="100"/>
      <c r="M2395" s="658"/>
    </row>
    <row r="2396" spans="4:13" x14ac:dyDescent="0.2">
      <c r="D2396" s="89"/>
      <c r="E2396" s="585">
        <v>45659</v>
      </c>
      <c r="F2396" s="283">
        <v>0</v>
      </c>
      <c r="G2396" s="283" t="s">
        <v>754</v>
      </c>
      <c r="H2396" s="283">
        <v>50.3</v>
      </c>
      <c r="I2396" s="769"/>
      <c r="J2396" s="770"/>
      <c r="K2396" s="771"/>
      <c r="L2396" s="100"/>
      <c r="M2396" s="658"/>
    </row>
    <row r="2397" spans="4:13" x14ac:dyDescent="0.2">
      <c r="D2397" s="89"/>
      <c r="E2397" s="585">
        <v>45628</v>
      </c>
      <c r="F2397" s="283">
        <v>50.3</v>
      </c>
      <c r="G2397" s="283" t="s">
        <v>586</v>
      </c>
      <c r="H2397" s="283">
        <v>54.8</v>
      </c>
      <c r="I2397" s="769"/>
      <c r="J2397" s="770"/>
      <c r="K2397" s="771"/>
      <c r="L2397" s="100"/>
      <c r="M2397" s="658"/>
    </row>
    <row r="2398" spans="4:13" x14ac:dyDescent="0.2">
      <c r="D2398" s="89"/>
      <c r="E2398" s="585">
        <v>45597</v>
      </c>
      <c r="F2398" s="283">
        <v>54.8</v>
      </c>
      <c r="G2398" s="283" t="s">
        <v>1173</v>
      </c>
      <c r="H2398" s="283">
        <v>48.3</v>
      </c>
      <c r="I2398" s="769"/>
      <c r="J2398" s="770"/>
      <c r="K2398" s="771"/>
      <c r="L2398" s="102"/>
      <c r="M2398" s="658"/>
    </row>
    <row r="2399" spans="4:13" x14ac:dyDescent="0.2">
      <c r="D2399" s="89"/>
      <c r="E2399" s="585">
        <v>45566</v>
      </c>
      <c r="F2399" s="283">
        <v>48.3</v>
      </c>
      <c r="G2399" s="283" t="s">
        <v>902</v>
      </c>
      <c r="H2399" s="283">
        <v>54</v>
      </c>
      <c r="I2399" s="769"/>
      <c r="J2399" s="770"/>
      <c r="K2399" s="771"/>
      <c r="L2399" s="100"/>
      <c r="M2399" s="658"/>
    </row>
    <row r="2400" spans="4:13" x14ac:dyDescent="0.2">
      <c r="D2400" s="89"/>
      <c r="E2400" s="585">
        <v>45538</v>
      </c>
      <c r="F2400" s="283">
        <v>54</v>
      </c>
      <c r="G2400" s="283" t="s">
        <v>519</v>
      </c>
      <c r="H2400" s="283">
        <v>52.9</v>
      </c>
      <c r="I2400" s="769"/>
      <c r="J2400" s="770"/>
      <c r="K2400" s="771"/>
      <c r="L2400" s="100"/>
      <c r="M2400" s="658"/>
    </row>
    <row r="2401" spans="3:13" ht="20" thickBot="1" x14ac:dyDescent="0.25">
      <c r="D2401" s="89"/>
      <c r="E2401" s="731">
        <v>45505</v>
      </c>
      <c r="F2401" s="732">
        <v>52.9</v>
      </c>
      <c r="G2401" s="732" t="s">
        <v>520</v>
      </c>
      <c r="H2401" s="732">
        <v>52.1</v>
      </c>
      <c r="I2401" s="843"/>
      <c r="J2401" s="844"/>
      <c r="K2401" s="845"/>
      <c r="L2401" s="660"/>
      <c r="M2401" s="661"/>
    </row>
    <row r="2402" spans="3:13" ht="25" thickBot="1" x14ac:dyDescent="0.25">
      <c r="C2402" t="s">
        <v>105</v>
      </c>
      <c r="D2402">
        <v>1</v>
      </c>
      <c r="E2402" s="713" t="s">
        <v>30</v>
      </c>
      <c r="F2402" s="814" t="s">
        <v>1348</v>
      </c>
      <c r="G2402" s="815"/>
      <c r="H2402" s="816"/>
      <c r="I2402" s="781" t="s">
        <v>633</v>
      </c>
      <c r="J2402" s="764"/>
      <c r="K2402" s="765"/>
      <c r="L2402" s="162" t="s">
        <v>430</v>
      </c>
      <c r="M2402" s="106" t="s">
        <v>431</v>
      </c>
    </row>
    <row r="2403" spans="3:13" x14ac:dyDescent="0.2">
      <c r="E2403" s="714" t="s">
        <v>432</v>
      </c>
      <c r="F2403" s="805"/>
      <c r="G2403" s="806"/>
      <c r="H2403" s="807"/>
      <c r="I2403" s="769" t="s">
        <v>1349</v>
      </c>
      <c r="J2403" s="770"/>
      <c r="K2403" s="771"/>
      <c r="L2403" s="100"/>
      <c r="M2403" s="101"/>
    </row>
    <row r="2404" spans="3:13" x14ac:dyDescent="0.2">
      <c r="E2404" s="715" t="s">
        <v>433</v>
      </c>
      <c r="F2404" s="823" t="s">
        <v>1090</v>
      </c>
      <c r="G2404" s="818"/>
      <c r="H2404" s="819"/>
      <c r="I2404" s="769"/>
      <c r="J2404" s="770"/>
      <c r="K2404" s="771"/>
      <c r="L2404" s="100"/>
      <c r="M2404" s="101"/>
    </row>
    <row r="2405" spans="3:13" ht="20" thickBot="1" x14ac:dyDescent="0.25">
      <c r="E2405" s="715" t="s">
        <v>434</v>
      </c>
      <c r="F2405" s="823">
        <v>-2E-3</v>
      </c>
      <c r="G2405" s="818"/>
      <c r="H2405" s="819"/>
      <c r="I2405" s="769"/>
      <c r="J2405" s="770"/>
      <c r="K2405" s="771"/>
      <c r="L2405" s="100"/>
      <c r="M2405" s="101"/>
    </row>
    <row r="2406" spans="3:13" ht="20" thickBot="1" x14ac:dyDescent="0.25">
      <c r="E2406" s="716" t="s">
        <v>435</v>
      </c>
      <c r="F2406" s="811">
        <v>0.54166666666666674</v>
      </c>
      <c r="G2406" s="812"/>
      <c r="H2406" s="813"/>
      <c r="I2406" s="769"/>
      <c r="J2406" s="770"/>
      <c r="K2406" s="771"/>
      <c r="L2406" s="107">
        <v>0.77083333333333337</v>
      </c>
      <c r="M2406" s="108">
        <v>0.625</v>
      </c>
    </row>
    <row r="2407" spans="3:13" ht="20" thickBot="1" x14ac:dyDescent="0.25">
      <c r="E2407" s="717" t="s">
        <v>436</v>
      </c>
      <c r="F2407" s="278" t="s">
        <v>29</v>
      </c>
      <c r="G2407" s="278" t="s">
        <v>28</v>
      </c>
      <c r="H2407" s="279" t="s">
        <v>27</v>
      </c>
      <c r="I2407" s="769"/>
      <c r="J2407" s="770"/>
      <c r="K2407" s="771"/>
      <c r="L2407" s="100"/>
      <c r="M2407" s="101"/>
    </row>
    <row r="2408" spans="3:13" x14ac:dyDescent="0.2">
      <c r="E2408" s="718">
        <v>45636</v>
      </c>
      <c r="F2408" s="380">
        <v>-2E-3</v>
      </c>
      <c r="G2408" s="380" t="s">
        <v>461</v>
      </c>
      <c r="H2408" s="380">
        <v>4.0000000000000001E-3</v>
      </c>
      <c r="I2408" s="769"/>
      <c r="J2408" s="770"/>
      <c r="K2408" s="771"/>
      <c r="L2408" s="100"/>
      <c r="M2408" s="101"/>
    </row>
    <row r="2409" spans="3:13" x14ac:dyDescent="0.2">
      <c r="E2409" s="718">
        <v>45624</v>
      </c>
      <c r="F2409" s="380">
        <v>-2E-3</v>
      </c>
      <c r="G2409" s="380" t="s">
        <v>461</v>
      </c>
      <c r="H2409" s="380">
        <v>4.0000000000000001E-3</v>
      </c>
      <c r="I2409" s="769"/>
      <c r="J2409" s="770"/>
      <c r="K2409" s="771"/>
      <c r="L2409" s="100"/>
      <c r="M2409" s="101"/>
    </row>
    <row r="2410" spans="3:13" x14ac:dyDescent="0.2">
      <c r="E2410" s="718">
        <v>45608</v>
      </c>
      <c r="F2410" s="380">
        <v>4.0000000000000001E-3</v>
      </c>
      <c r="G2410" s="380" t="s">
        <v>452</v>
      </c>
      <c r="H2410" s="380">
        <v>0</v>
      </c>
      <c r="I2410" s="769"/>
      <c r="J2410" s="770"/>
      <c r="K2410" s="771"/>
      <c r="L2410" s="102"/>
      <c r="M2410" s="101"/>
    </row>
    <row r="2411" spans="3:13" x14ac:dyDescent="0.2">
      <c r="E2411" s="718">
        <v>45595</v>
      </c>
      <c r="F2411" s="380">
        <v>4.0000000000000001E-3</v>
      </c>
      <c r="G2411" s="380" t="s">
        <v>460</v>
      </c>
      <c r="H2411" s="380">
        <v>0</v>
      </c>
      <c r="I2411" s="769"/>
      <c r="J2411" s="770"/>
      <c r="K2411" s="771"/>
      <c r="L2411" s="100"/>
      <c r="M2411" s="101"/>
    </row>
    <row r="2412" spans="3:13" x14ac:dyDescent="0.2">
      <c r="E2412" s="718">
        <v>45576</v>
      </c>
      <c r="F2412" s="380">
        <v>0</v>
      </c>
      <c r="G2412" s="380" t="s">
        <v>458</v>
      </c>
      <c r="H2412" s="380">
        <v>-1E-3</v>
      </c>
      <c r="I2412" s="769"/>
      <c r="J2412" s="770"/>
      <c r="K2412" s="771"/>
      <c r="L2412" s="100"/>
      <c r="M2412" s="101"/>
    </row>
    <row r="2413" spans="3:13" ht="20" thickBot="1" x14ac:dyDescent="0.25">
      <c r="E2413" s="718">
        <v>45565</v>
      </c>
      <c r="F2413" s="380">
        <v>0</v>
      </c>
      <c r="G2413" s="380" t="s">
        <v>462</v>
      </c>
      <c r="H2413" s="380">
        <v>-1E-3</v>
      </c>
      <c r="I2413" s="772"/>
      <c r="J2413" s="773"/>
      <c r="K2413" s="774"/>
      <c r="L2413" s="103"/>
      <c r="M2413" s="104"/>
    </row>
    <row r="2414" spans="3:13" ht="25" thickBot="1" x14ac:dyDescent="0.25">
      <c r="D2414">
        <v>2</v>
      </c>
      <c r="E2414" s="713" t="s">
        <v>30</v>
      </c>
      <c r="F2414" s="814" t="s">
        <v>1350</v>
      </c>
      <c r="G2414" s="815"/>
      <c r="H2414" s="816"/>
      <c r="I2414" s="781" t="s">
        <v>633</v>
      </c>
      <c r="J2414" s="764"/>
      <c r="K2414" s="765"/>
      <c r="L2414" s="162" t="s">
        <v>430</v>
      </c>
      <c r="M2414" s="106" t="s">
        <v>431</v>
      </c>
    </row>
    <row r="2415" spans="3:13" x14ac:dyDescent="0.2">
      <c r="E2415" s="714" t="s">
        <v>432</v>
      </c>
      <c r="F2415" s="805"/>
      <c r="G2415" s="806"/>
      <c r="H2415" s="807"/>
      <c r="I2415" s="769" t="s">
        <v>1351</v>
      </c>
      <c r="J2415" s="770"/>
      <c r="K2415" s="771"/>
      <c r="L2415" s="100"/>
      <c r="M2415" s="101"/>
    </row>
    <row r="2416" spans="3:13" x14ac:dyDescent="0.2">
      <c r="E2416" s="715" t="s">
        <v>433</v>
      </c>
      <c r="F2416" s="817">
        <v>58.5</v>
      </c>
      <c r="G2416" s="818"/>
      <c r="H2416" s="819"/>
      <c r="I2416" s="769"/>
      <c r="J2416" s="770"/>
      <c r="K2416" s="771"/>
      <c r="L2416" s="100"/>
      <c r="M2416" s="101"/>
    </row>
    <row r="2417" spans="4:13" ht="20" thickBot="1" x14ac:dyDescent="0.25">
      <c r="E2417" s="715" t="s">
        <v>434</v>
      </c>
      <c r="F2417" s="817">
        <v>56.1</v>
      </c>
      <c r="G2417" s="818"/>
      <c r="H2417" s="819"/>
      <c r="I2417" s="769"/>
      <c r="J2417" s="770"/>
      <c r="K2417" s="771"/>
      <c r="L2417" s="100"/>
      <c r="M2417" s="101"/>
    </row>
    <row r="2418" spans="4:13" ht="20" thickBot="1" x14ac:dyDescent="0.25">
      <c r="E2418" s="716" t="s">
        <v>435</v>
      </c>
      <c r="F2418" s="811">
        <v>0.61458333333333337</v>
      </c>
      <c r="G2418" s="812"/>
      <c r="H2418" s="813"/>
      <c r="I2418" s="769"/>
      <c r="J2418" s="770"/>
      <c r="K2418" s="771"/>
      <c r="L2418" s="107">
        <v>0.84375</v>
      </c>
      <c r="M2418" s="108">
        <v>0.69791666666666663</v>
      </c>
    </row>
    <row r="2419" spans="4:13" ht="20" thickBot="1" x14ac:dyDescent="0.25">
      <c r="E2419" s="717" t="s">
        <v>436</v>
      </c>
      <c r="F2419" s="278" t="s">
        <v>29</v>
      </c>
      <c r="G2419" s="278" t="s">
        <v>28</v>
      </c>
      <c r="H2419" s="279" t="s">
        <v>27</v>
      </c>
      <c r="I2419" s="769"/>
      <c r="J2419" s="770"/>
      <c r="K2419" s="771"/>
      <c r="L2419" s="100"/>
      <c r="M2419" s="101"/>
    </row>
    <row r="2420" spans="4:13" x14ac:dyDescent="0.2">
      <c r="E2420" s="718">
        <v>45642</v>
      </c>
      <c r="F2420" s="283">
        <v>58.5</v>
      </c>
      <c r="G2420" s="283" t="s">
        <v>1339</v>
      </c>
      <c r="H2420" s="283">
        <v>56.1</v>
      </c>
      <c r="I2420" s="769"/>
      <c r="J2420" s="770"/>
      <c r="K2420" s="771"/>
      <c r="L2420" s="100"/>
      <c r="M2420" s="101"/>
    </row>
    <row r="2421" spans="4:13" x14ac:dyDescent="0.2">
      <c r="E2421" s="718">
        <v>45630</v>
      </c>
      <c r="F2421" s="283">
        <v>56.1</v>
      </c>
      <c r="G2421" s="283" t="s">
        <v>1285</v>
      </c>
      <c r="H2421" s="283">
        <v>55</v>
      </c>
      <c r="I2421" s="769"/>
      <c r="J2421" s="770"/>
      <c r="K2421" s="771"/>
      <c r="L2421" s="100"/>
      <c r="M2421" s="101"/>
    </row>
    <row r="2422" spans="4:13" x14ac:dyDescent="0.2">
      <c r="E2422" s="718">
        <v>45618</v>
      </c>
      <c r="F2422" s="283">
        <v>57</v>
      </c>
      <c r="G2422" s="283" t="s">
        <v>586</v>
      </c>
      <c r="H2422" s="283">
        <v>55</v>
      </c>
      <c r="I2422" s="769"/>
      <c r="J2422" s="770"/>
      <c r="K2422" s="771"/>
      <c r="L2422" s="102"/>
      <c r="M2422" s="101"/>
    </row>
    <row r="2423" spans="4:13" x14ac:dyDescent="0.2">
      <c r="E2423" s="718">
        <v>45601</v>
      </c>
      <c r="F2423" s="283">
        <v>55</v>
      </c>
      <c r="G2423" s="283" t="s">
        <v>585</v>
      </c>
      <c r="H2423" s="283">
        <v>55.2</v>
      </c>
      <c r="I2423" s="769"/>
      <c r="J2423" s="770"/>
      <c r="K2423" s="771"/>
      <c r="L2423" s="100"/>
      <c r="M2423" s="101"/>
    </row>
    <row r="2424" spans="4:13" x14ac:dyDescent="0.2">
      <c r="E2424" s="718">
        <v>45589</v>
      </c>
      <c r="F2424" s="283">
        <v>55.3</v>
      </c>
      <c r="G2424" s="283" t="s">
        <v>604</v>
      </c>
      <c r="H2424" s="283">
        <v>55.2</v>
      </c>
      <c r="I2424" s="769"/>
      <c r="J2424" s="770"/>
      <c r="K2424" s="771"/>
      <c r="L2424" s="100"/>
      <c r="M2424" s="101"/>
    </row>
    <row r="2425" spans="4:13" ht="20" thickBot="1" x14ac:dyDescent="0.25">
      <c r="E2425" s="718">
        <v>45568</v>
      </c>
      <c r="F2425" s="283">
        <v>55.2</v>
      </c>
      <c r="G2425" s="283" t="s">
        <v>759</v>
      </c>
      <c r="H2425" s="283">
        <v>55.7</v>
      </c>
      <c r="I2425" s="772"/>
      <c r="J2425" s="773"/>
      <c r="K2425" s="774"/>
      <c r="L2425" s="103"/>
      <c r="M2425" s="104"/>
    </row>
    <row r="2426" spans="4:13" ht="25" thickBot="1" x14ac:dyDescent="0.25">
      <c r="D2426">
        <v>1</v>
      </c>
      <c r="E2426" s="713" t="s">
        <v>30</v>
      </c>
      <c r="F2426" s="814" t="s">
        <v>1352</v>
      </c>
      <c r="G2426" s="815"/>
      <c r="H2426" s="816"/>
      <c r="I2426" s="781" t="s">
        <v>633</v>
      </c>
      <c r="J2426" s="764"/>
      <c r="K2426" s="765"/>
      <c r="L2426" s="162" t="s">
        <v>430</v>
      </c>
      <c r="M2426" s="106" t="s">
        <v>431</v>
      </c>
    </row>
    <row r="2427" spans="4:13" x14ac:dyDescent="0.2">
      <c r="E2427" s="714" t="s">
        <v>432</v>
      </c>
      <c r="F2427" s="805"/>
      <c r="G2427" s="806"/>
      <c r="H2427" s="807"/>
      <c r="I2427" s="769" t="s">
        <v>1353</v>
      </c>
      <c r="J2427" s="770"/>
      <c r="K2427" s="771"/>
      <c r="L2427" s="100"/>
      <c r="M2427" s="101"/>
    </row>
    <row r="2428" spans="4:13" x14ac:dyDescent="0.2">
      <c r="E2428" s="715" t="s">
        <v>433</v>
      </c>
      <c r="F2428" s="823" t="s">
        <v>1090</v>
      </c>
      <c r="G2428" s="818"/>
      <c r="H2428" s="819"/>
      <c r="I2428" s="769"/>
      <c r="J2428" s="770"/>
      <c r="K2428" s="771"/>
      <c r="L2428" s="100"/>
      <c r="M2428" s="101"/>
    </row>
    <row r="2429" spans="4:13" ht="20" thickBot="1" x14ac:dyDescent="0.25">
      <c r="E2429" s="715" t="s">
        <v>434</v>
      </c>
      <c r="F2429" s="823">
        <v>7.0000000000000001E-3</v>
      </c>
      <c r="G2429" s="818"/>
      <c r="H2429" s="819"/>
      <c r="I2429" s="769"/>
      <c r="J2429" s="770"/>
      <c r="K2429" s="771"/>
      <c r="L2429" s="100"/>
      <c r="M2429" s="101"/>
    </row>
    <row r="2430" spans="4:13" ht="20" thickBot="1" x14ac:dyDescent="0.25">
      <c r="E2430" s="716" t="s">
        <v>435</v>
      </c>
      <c r="F2430" s="811">
        <v>0.3125</v>
      </c>
      <c r="G2430" s="812"/>
      <c r="H2430" s="813"/>
      <c r="I2430" s="769"/>
      <c r="J2430" s="770"/>
      <c r="K2430" s="771"/>
      <c r="L2430" s="107">
        <v>0.54166666666666663</v>
      </c>
      <c r="M2430" s="108">
        <v>0.39583333333333326</v>
      </c>
    </row>
    <row r="2431" spans="4:13" ht="20" thickBot="1" x14ac:dyDescent="0.25">
      <c r="E2431" s="717" t="s">
        <v>436</v>
      </c>
      <c r="F2431" s="278" t="s">
        <v>29</v>
      </c>
      <c r="G2431" s="278" t="s">
        <v>28</v>
      </c>
      <c r="H2431" s="279" t="s">
        <v>27</v>
      </c>
      <c r="I2431" s="769"/>
      <c r="J2431" s="770"/>
      <c r="K2431" s="771"/>
      <c r="L2431" s="100"/>
      <c r="M2431" s="101"/>
    </row>
    <row r="2432" spans="4:13" x14ac:dyDescent="0.2">
      <c r="E2432" s="718">
        <v>45629</v>
      </c>
      <c r="F2432" s="380">
        <v>7.0000000000000001E-3</v>
      </c>
      <c r="G2432" s="380" t="s">
        <v>1001</v>
      </c>
      <c r="H2432" s="380">
        <v>6.0000000000000001E-3</v>
      </c>
      <c r="I2432" s="769"/>
      <c r="J2432" s="770"/>
      <c r="K2432" s="771"/>
      <c r="L2432" s="100"/>
      <c r="M2432" s="101"/>
    </row>
    <row r="2433" spans="4:13" x14ac:dyDescent="0.2">
      <c r="E2433" s="718">
        <v>45597</v>
      </c>
      <c r="F2433" s="380">
        <v>6.0000000000000001E-3</v>
      </c>
      <c r="G2433" s="380" t="s">
        <v>1001</v>
      </c>
      <c r="H2433" s="380">
        <v>8.0000000000000002E-3</v>
      </c>
      <c r="I2433" s="769"/>
      <c r="J2433" s="770"/>
      <c r="K2433" s="771"/>
      <c r="L2433" s="100"/>
      <c r="M2433" s="101"/>
    </row>
    <row r="2434" spans="4:13" x14ac:dyDescent="0.2">
      <c r="E2434" s="718">
        <v>45568</v>
      </c>
      <c r="F2434" s="380">
        <v>8.0000000000000002E-3</v>
      </c>
      <c r="G2434" s="380" t="s">
        <v>1382</v>
      </c>
      <c r="H2434" s="380">
        <v>1.0999999999999999E-2</v>
      </c>
      <c r="I2434" s="769"/>
      <c r="J2434" s="770"/>
      <c r="K2434" s="771"/>
      <c r="L2434" s="102"/>
      <c r="M2434" s="101"/>
    </row>
    <row r="2435" spans="4:13" x14ac:dyDescent="0.2">
      <c r="E2435" s="718">
        <v>45538</v>
      </c>
      <c r="F2435" s="380">
        <v>1.0999999999999999E-2</v>
      </c>
      <c r="G2435" s="380" t="s">
        <v>1383</v>
      </c>
      <c r="H2435" s="380">
        <v>1.2999999999999999E-2</v>
      </c>
      <c r="I2435" s="769"/>
      <c r="J2435" s="770"/>
      <c r="K2435" s="771"/>
      <c r="L2435" s="100"/>
      <c r="M2435" s="101"/>
    </row>
    <row r="2436" spans="4:13" x14ac:dyDescent="0.2">
      <c r="E2436" s="718">
        <v>45506</v>
      </c>
      <c r="F2436" s="380">
        <v>1.2999999999999999E-2</v>
      </c>
      <c r="G2436" s="380" t="s">
        <v>889</v>
      </c>
      <c r="H2436" s="380">
        <v>1.2999999999999999E-2</v>
      </c>
      <c r="I2436" s="769"/>
      <c r="J2436" s="770"/>
      <c r="K2436" s="771"/>
      <c r="L2436" s="100"/>
      <c r="M2436" s="101"/>
    </row>
    <row r="2437" spans="4:13" ht="20" thickBot="1" x14ac:dyDescent="0.25">
      <c r="E2437" s="718">
        <v>45477</v>
      </c>
      <c r="F2437" s="380">
        <v>1.2999999999999999E-2</v>
      </c>
      <c r="G2437" s="380" t="s">
        <v>1384</v>
      </c>
      <c r="H2437" s="380">
        <v>1.4E-2</v>
      </c>
      <c r="I2437" s="772"/>
      <c r="J2437" s="773"/>
      <c r="K2437" s="774"/>
      <c r="L2437" s="103"/>
      <c r="M2437" s="104"/>
    </row>
    <row r="2438" spans="4:13" ht="25" thickBot="1" x14ac:dyDescent="0.25">
      <c r="D2438">
        <v>3</v>
      </c>
      <c r="E2438" s="713" t="s">
        <v>30</v>
      </c>
      <c r="F2438" s="814" t="s">
        <v>1354</v>
      </c>
      <c r="G2438" s="815"/>
      <c r="H2438" s="816"/>
      <c r="I2438" s="781" t="s">
        <v>633</v>
      </c>
      <c r="J2438" s="764"/>
      <c r="K2438" s="765"/>
      <c r="L2438" s="162" t="s">
        <v>430</v>
      </c>
      <c r="M2438" s="106" t="s">
        <v>431</v>
      </c>
    </row>
    <row r="2439" spans="4:13" x14ac:dyDescent="0.2">
      <c r="E2439" s="714" t="s">
        <v>432</v>
      </c>
      <c r="F2439" s="805"/>
      <c r="G2439" s="806"/>
      <c r="H2439" s="807"/>
      <c r="I2439" s="769" t="s">
        <v>1353</v>
      </c>
      <c r="J2439" s="770"/>
      <c r="K2439" s="771"/>
      <c r="L2439" s="100"/>
      <c r="M2439" s="101"/>
    </row>
    <row r="2440" spans="4:13" x14ac:dyDescent="0.2">
      <c r="E2440" s="715" t="s">
        <v>433</v>
      </c>
      <c r="F2440" s="824">
        <v>0</v>
      </c>
      <c r="G2440" s="825"/>
      <c r="H2440" s="826"/>
      <c r="I2440" s="769"/>
      <c r="J2440" s="770"/>
      <c r="K2440" s="771"/>
      <c r="L2440" s="100"/>
      <c r="M2440" s="101"/>
    </row>
    <row r="2441" spans="4:13" ht="20" thickBot="1" x14ac:dyDescent="0.25">
      <c r="E2441" s="715" t="s">
        <v>434</v>
      </c>
      <c r="F2441" s="824">
        <v>2.1999999999999999E-2</v>
      </c>
      <c r="G2441" s="825"/>
      <c r="H2441" s="826"/>
      <c r="I2441" s="769"/>
      <c r="J2441" s="770"/>
      <c r="K2441" s="771"/>
      <c r="L2441" s="100"/>
      <c r="M2441" s="101"/>
    </row>
    <row r="2442" spans="4:13" ht="20" thickBot="1" x14ac:dyDescent="0.25">
      <c r="E2442" s="716" t="s">
        <v>435</v>
      </c>
      <c r="F2442" s="811">
        <v>0.41666666666666674</v>
      </c>
      <c r="G2442" s="812"/>
      <c r="H2442" s="813"/>
      <c r="I2442" s="769"/>
      <c r="J2442" s="770"/>
      <c r="K2442" s="771"/>
      <c r="L2442" s="107">
        <v>0.64583333333333337</v>
      </c>
      <c r="M2442" s="108">
        <v>0.5</v>
      </c>
    </row>
    <row r="2443" spans="4:13" ht="20" thickBot="1" x14ac:dyDescent="0.25">
      <c r="E2443" s="717" t="s">
        <v>436</v>
      </c>
      <c r="F2443" s="278" t="s">
        <v>29</v>
      </c>
      <c r="G2443" s="278" t="s">
        <v>28</v>
      </c>
      <c r="H2443" s="279" t="s">
        <v>27</v>
      </c>
      <c r="I2443" s="769"/>
      <c r="J2443" s="770"/>
      <c r="K2443" s="771"/>
      <c r="L2443" s="369"/>
      <c r="M2443" s="370"/>
    </row>
    <row r="2444" spans="4:13" x14ac:dyDescent="0.2">
      <c r="E2444" s="718">
        <v>45644</v>
      </c>
      <c r="F2444" s="721">
        <v>2.1999999999999999E-2</v>
      </c>
      <c r="G2444" s="721" t="s">
        <v>971</v>
      </c>
      <c r="H2444" s="721">
        <v>0.02</v>
      </c>
      <c r="I2444" s="769"/>
      <c r="J2444" s="770"/>
      <c r="K2444" s="771"/>
      <c r="L2444" s="100"/>
      <c r="M2444" s="101"/>
    </row>
    <row r="2445" spans="4:13" x14ac:dyDescent="0.2">
      <c r="E2445" s="718">
        <v>45625</v>
      </c>
      <c r="F2445" s="721">
        <v>2.3E-2</v>
      </c>
      <c r="G2445" s="721" t="s">
        <v>971</v>
      </c>
      <c r="H2445" s="721">
        <v>0.02</v>
      </c>
      <c r="I2445" s="769"/>
      <c r="J2445" s="770"/>
      <c r="K2445" s="771"/>
      <c r="L2445" s="100"/>
      <c r="M2445" s="101"/>
    </row>
    <row r="2446" spans="4:13" x14ac:dyDescent="0.2">
      <c r="E2446" s="718">
        <v>45615</v>
      </c>
      <c r="F2446" s="721">
        <v>0.02</v>
      </c>
      <c r="G2446" s="721" t="s">
        <v>788</v>
      </c>
      <c r="H2446" s="721">
        <v>0.02</v>
      </c>
      <c r="I2446" s="769"/>
      <c r="J2446" s="770"/>
      <c r="K2446" s="771"/>
      <c r="L2446" s="102"/>
      <c r="M2446" s="101"/>
    </row>
    <row r="2447" spans="4:13" x14ac:dyDescent="0.2">
      <c r="E2447" s="718">
        <v>45596</v>
      </c>
      <c r="F2447" s="721">
        <v>0.02</v>
      </c>
      <c r="G2447" s="721" t="s">
        <v>789</v>
      </c>
      <c r="H2447" s="721">
        <v>1.7000000000000001E-2</v>
      </c>
      <c r="I2447" s="769"/>
      <c r="J2447" s="770"/>
      <c r="K2447" s="771"/>
      <c r="L2447" s="100"/>
      <c r="M2447" s="101"/>
    </row>
    <row r="2448" spans="4:13" x14ac:dyDescent="0.2">
      <c r="E2448" s="718">
        <v>45582</v>
      </c>
      <c r="F2448" s="721">
        <v>1.7000000000000001E-2</v>
      </c>
      <c r="G2448" s="721" t="s">
        <v>895</v>
      </c>
      <c r="H2448" s="721">
        <v>2.1999999999999999E-2</v>
      </c>
      <c r="I2448" s="769"/>
      <c r="J2448" s="770"/>
      <c r="K2448" s="771"/>
      <c r="L2448" s="100"/>
      <c r="M2448" s="101"/>
    </row>
    <row r="2449" spans="4:13" ht="20" thickBot="1" x14ac:dyDescent="0.25">
      <c r="E2449" s="718">
        <v>45566</v>
      </c>
      <c r="F2449" s="721">
        <v>1.7999999999999999E-2</v>
      </c>
      <c r="G2449" s="721" t="s">
        <v>895</v>
      </c>
      <c r="H2449" s="721">
        <v>2.1999999999999999E-2</v>
      </c>
      <c r="I2449" s="772"/>
      <c r="J2449" s="773"/>
      <c r="K2449" s="774"/>
      <c r="L2449" s="103"/>
      <c r="M2449" s="104"/>
    </row>
    <row r="2450" spans="4:13" ht="25" thickBot="1" x14ac:dyDescent="0.25">
      <c r="D2450">
        <v>4</v>
      </c>
      <c r="E2450" s="713" t="s">
        <v>30</v>
      </c>
      <c r="F2450" s="814" t="s">
        <v>1355</v>
      </c>
      <c r="G2450" s="815"/>
      <c r="H2450" s="816"/>
      <c r="I2450" s="781" t="s">
        <v>633</v>
      </c>
      <c r="J2450" s="764"/>
      <c r="K2450" s="765"/>
      <c r="L2450" s="162" t="s">
        <v>430</v>
      </c>
      <c r="M2450" s="106" t="s">
        <v>431</v>
      </c>
    </row>
    <row r="2451" spans="4:13" x14ac:dyDescent="0.2">
      <c r="E2451" s="714" t="s">
        <v>432</v>
      </c>
      <c r="F2451" s="805"/>
      <c r="G2451" s="806"/>
      <c r="H2451" s="807"/>
      <c r="I2451" s="769" t="s">
        <v>1356</v>
      </c>
      <c r="J2451" s="770"/>
      <c r="K2451" s="771"/>
      <c r="L2451" s="100"/>
      <c r="M2451" s="101"/>
    </row>
    <row r="2452" spans="4:13" x14ac:dyDescent="0.2">
      <c r="E2452" s="715" t="s">
        <v>433</v>
      </c>
      <c r="F2452" s="827">
        <v>53.5</v>
      </c>
      <c r="G2452" s="825"/>
      <c r="H2452" s="826"/>
      <c r="I2452" s="769"/>
      <c r="J2452" s="770"/>
      <c r="K2452" s="771"/>
      <c r="L2452" s="100"/>
      <c r="M2452" s="101"/>
    </row>
    <row r="2453" spans="4:13" ht="20" thickBot="1" x14ac:dyDescent="0.25">
      <c r="E2453" s="715" t="s">
        <v>434</v>
      </c>
      <c r="F2453" s="827">
        <v>52.1</v>
      </c>
      <c r="G2453" s="825"/>
      <c r="H2453" s="826"/>
      <c r="I2453" s="769"/>
      <c r="J2453" s="770"/>
      <c r="K2453" s="771"/>
      <c r="L2453" s="100"/>
      <c r="M2453" s="101"/>
    </row>
    <row r="2454" spans="4:13" ht="20" thickBot="1" x14ac:dyDescent="0.25">
      <c r="E2454" s="716" t="s">
        <v>435</v>
      </c>
      <c r="F2454" s="811">
        <v>0.625</v>
      </c>
      <c r="G2454" s="812"/>
      <c r="H2454" s="813"/>
      <c r="I2454" s="769"/>
      <c r="J2454" s="770"/>
      <c r="K2454" s="771"/>
      <c r="L2454" s="107">
        <v>0.85416666666666663</v>
      </c>
      <c r="M2454" s="108">
        <v>0.70833333333333326</v>
      </c>
    </row>
    <row r="2455" spans="4:13" ht="20" thickBot="1" x14ac:dyDescent="0.25">
      <c r="E2455" s="717" t="s">
        <v>436</v>
      </c>
      <c r="F2455" s="278" t="s">
        <v>29</v>
      </c>
      <c r="G2455" s="278" t="s">
        <v>28</v>
      </c>
      <c r="H2455" s="279" t="s">
        <v>27</v>
      </c>
      <c r="I2455" s="769"/>
      <c r="J2455" s="770"/>
      <c r="K2455" s="771"/>
      <c r="L2455" s="100"/>
      <c r="M2455" s="101"/>
    </row>
    <row r="2456" spans="4:13" x14ac:dyDescent="0.2">
      <c r="E2456" s="718">
        <v>45630</v>
      </c>
      <c r="F2456" s="719">
        <v>52.1</v>
      </c>
      <c r="G2456" s="719" t="s">
        <v>523</v>
      </c>
      <c r="H2456" s="719">
        <v>56</v>
      </c>
      <c r="I2456" s="769"/>
      <c r="J2456" s="770"/>
      <c r="K2456" s="771"/>
      <c r="L2456" s="100"/>
      <c r="M2456" s="101"/>
    </row>
    <row r="2457" spans="4:13" x14ac:dyDescent="0.2">
      <c r="E2457" s="718">
        <v>45601</v>
      </c>
      <c r="F2457" s="719">
        <v>56</v>
      </c>
      <c r="G2457" s="719" t="s">
        <v>1344</v>
      </c>
      <c r="H2457" s="719">
        <v>54.9</v>
      </c>
      <c r="I2457" s="769"/>
      <c r="J2457" s="770"/>
      <c r="K2457" s="771"/>
      <c r="L2457" s="100"/>
      <c r="M2457" s="101"/>
    </row>
    <row r="2458" spans="4:13" x14ac:dyDescent="0.2">
      <c r="E2458" s="718">
        <v>45568</v>
      </c>
      <c r="F2458" s="719">
        <v>54.9</v>
      </c>
      <c r="G2458" s="719" t="s">
        <v>506</v>
      </c>
      <c r="H2458" s="719">
        <v>51.5</v>
      </c>
      <c r="I2458" s="769"/>
      <c r="J2458" s="770"/>
      <c r="K2458" s="771"/>
      <c r="L2458" s="102"/>
      <c r="M2458" s="101"/>
    </row>
    <row r="2459" spans="4:13" x14ac:dyDescent="0.2">
      <c r="E2459" s="718">
        <v>45540</v>
      </c>
      <c r="F2459" s="719">
        <v>51.5</v>
      </c>
      <c r="G2459" s="719" t="s">
        <v>594</v>
      </c>
      <c r="H2459" s="719">
        <v>51.4</v>
      </c>
      <c r="I2459" s="769"/>
      <c r="J2459" s="770"/>
      <c r="K2459" s="771"/>
      <c r="L2459" s="100"/>
      <c r="M2459" s="101"/>
    </row>
    <row r="2460" spans="4:13" x14ac:dyDescent="0.2">
      <c r="E2460" s="718">
        <v>45509</v>
      </c>
      <c r="F2460" s="719">
        <v>51.4</v>
      </c>
      <c r="G2460" s="719" t="s">
        <v>595</v>
      </c>
      <c r="H2460" s="719">
        <v>48.8</v>
      </c>
      <c r="I2460" s="769"/>
      <c r="J2460" s="770"/>
      <c r="K2460" s="771"/>
      <c r="L2460" s="100"/>
      <c r="M2460" s="101"/>
    </row>
    <row r="2461" spans="4:13" ht="20" thickBot="1" x14ac:dyDescent="0.25">
      <c r="E2461" s="718">
        <v>45476</v>
      </c>
      <c r="F2461" s="719">
        <v>48.8</v>
      </c>
      <c r="G2461" s="719" t="s">
        <v>596</v>
      </c>
      <c r="H2461" s="719">
        <v>53.8</v>
      </c>
      <c r="I2461" s="772"/>
      <c r="J2461" s="773"/>
      <c r="K2461" s="774"/>
      <c r="L2461" s="103"/>
      <c r="M2461" s="104"/>
    </row>
    <row r="2462" spans="4:13" ht="25" thickBot="1" x14ac:dyDescent="0.25">
      <c r="D2462">
        <v>6</v>
      </c>
      <c r="E2462" s="713" t="s">
        <v>30</v>
      </c>
      <c r="F2462" s="814" t="s">
        <v>1357</v>
      </c>
      <c r="G2462" s="815"/>
      <c r="H2462" s="816"/>
      <c r="I2462" s="781" t="s">
        <v>633</v>
      </c>
      <c r="J2462" s="764"/>
      <c r="K2462" s="765"/>
      <c r="L2462" s="162" t="s">
        <v>430</v>
      </c>
      <c r="M2462" s="106" t="s">
        <v>431</v>
      </c>
    </row>
    <row r="2463" spans="4:13" x14ac:dyDescent="0.2">
      <c r="E2463" s="714" t="s">
        <v>432</v>
      </c>
      <c r="F2463" s="805"/>
      <c r="G2463" s="806"/>
      <c r="H2463" s="807"/>
      <c r="I2463" s="769" t="s">
        <v>1358</v>
      </c>
      <c r="J2463" s="770"/>
      <c r="K2463" s="771"/>
      <c r="L2463" s="100"/>
      <c r="M2463" s="101"/>
    </row>
    <row r="2464" spans="4:13" x14ac:dyDescent="0.2">
      <c r="E2464" s="715" t="s">
        <v>433</v>
      </c>
      <c r="F2464" s="824">
        <v>0</v>
      </c>
      <c r="G2464" s="825"/>
      <c r="H2464" s="826"/>
      <c r="I2464" s="769"/>
      <c r="J2464" s="770"/>
      <c r="K2464" s="771"/>
      <c r="L2464" s="100"/>
      <c r="M2464" s="101"/>
    </row>
    <row r="2465" spans="4:13" ht="20" thickBot="1" x14ac:dyDescent="0.25">
      <c r="E2465" s="715" t="s">
        <v>434</v>
      </c>
      <c r="F2465" s="817">
        <v>58.2</v>
      </c>
      <c r="G2465" s="818"/>
      <c r="H2465" s="819"/>
      <c r="I2465" s="769"/>
      <c r="J2465" s="770"/>
      <c r="K2465" s="771"/>
      <c r="L2465" s="100"/>
      <c r="M2465" s="101"/>
    </row>
    <row r="2466" spans="4:13" ht="20" thickBot="1" x14ac:dyDescent="0.25">
      <c r="E2466" s="716" t="s">
        <v>435</v>
      </c>
      <c r="F2466" s="811">
        <v>0.625</v>
      </c>
      <c r="G2466" s="812"/>
      <c r="H2466" s="813"/>
      <c r="I2466" s="769"/>
      <c r="J2466" s="770"/>
      <c r="K2466" s="771"/>
      <c r="L2466" s="107">
        <v>0.85416666666666663</v>
      </c>
      <c r="M2466" s="108">
        <v>0.75</v>
      </c>
    </row>
    <row r="2467" spans="4:13" ht="20" thickBot="1" x14ac:dyDescent="0.25">
      <c r="E2467" s="717" t="s">
        <v>436</v>
      </c>
      <c r="F2467" s="278" t="s">
        <v>29</v>
      </c>
      <c r="G2467" s="278" t="s">
        <v>28</v>
      </c>
      <c r="H2467" s="279" t="s">
        <v>27</v>
      </c>
      <c r="I2467" s="769"/>
      <c r="J2467" s="770"/>
      <c r="K2467" s="771"/>
      <c r="L2467" s="100"/>
      <c r="M2467" s="101"/>
    </row>
    <row r="2468" spans="4:13" x14ac:dyDescent="0.2">
      <c r="E2468" s="718">
        <v>45630</v>
      </c>
      <c r="F2468" s="389">
        <v>58.2</v>
      </c>
      <c r="G2468" s="389" t="s">
        <v>1345</v>
      </c>
      <c r="H2468" s="389">
        <v>58.1</v>
      </c>
      <c r="I2468" s="769"/>
      <c r="J2468" s="770"/>
      <c r="K2468" s="771"/>
      <c r="L2468" s="100"/>
      <c r="M2468" s="101"/>
    </row>
    <row r="2469" spans="4:13" ht="20" thickBot="1" x14ac:dyDescent="0.25">
      <c r="E2469" s="718">
        <v>45601</v>
      </c>
      <c r="F2469" s="389">
        <v>58.1</v>
      </c>
      <c r="G2469" s="389" t="s">
        <v>1346</v>
      </c>
      <c r="H2469" s="389">
        <v>59.4</v>
      </c>
      <c r="I2469" s="769"/>
      <c r="J2469" s="770"/>
      <c r="K2469" s="771"/>
      <c r="L2469" s="100"/>
      <c r="M2469" s="101"/>
    </row>
    <row r="2470" spans="4:13" x14ac:dyDescent="0.2">
      <c r="E2470" s="718">
        <v>45568</v>
      </c>
      <c r="F2470" s="389">
        <v>59.4</v>
      </c>
      <c r="G2470" s="389" t="s">
        <v>943</v>
      </c>
      <c r="H2470" s="389">
        <v>57.3</v>
      </c>
      <c r="I2470" s="769"/>
      <c r="J2470" s="770"/>
      <c r="K2470" s="771"/>
      <c r="L2470" s="102"/>
      <c r="M2470" s="101"/>
    </row>
    <row r="2471" spans="4:13" x14ac:dyDescent="0.2">
      <c r="E2471" s="718">
        <v>45540</v>
      </c>
      <c r="F2471" s="389">
        <v>57.3</v>
      </c>
      <c r="G2471" s="389" t="s">
        <v>589</v>
      </c>
      <c r="H2471" s="389">
        <v>57</v>
      </c>
      <c r="I2471" s="769"/>
      <c r="J2471" s="770"/>
      <c r="K2471" s="771"/>
      <c r="L2471" s="100"/>
      <c r="M2471" s="101"/>
    </row>
    <row r="2472" spans="4:13" x14ac:dyDescent="0.2">
      <c r="E2472" s="718">
        <v>45509</v>
      </c>
      <c r="F2472" s="389">
        <v>57</v>
      </c>
      <c r="G2472" s="389" t="s">
        <v>589</v>
      </c>
      <c r="H2472" s="389">
        <v>56.3</v>
      </c>
      <c r="I2472" s="769"/>
      <c r="J2472" s="770"/>
      <c r="K2472" s="771"/>
      <c r="L2472" s="100"/>
      <c r="M2472" s="101"/>
    </row>
    <row r="2473" spans="4:13" ht="20" thickBot="1" x14ac:dyDescent="0.25">
      <c r="E2473" s="718">
        <v>45476</v>
      </c>
      <c r="F2473" s="389">
        <v>56.3</v>
      </c>
      <c r="G2473" s="389" t="s">
        <v>602</v>
      </c>
      <c r="H2473" s="389">
        <v>58.1</v>
      </c>
      <c r="I2473" s="772"/>
      <c r="J2473" s="773"/>
      <c r="K2473" s="774"/>
      <c r="L2473" s="103"/>
      <c r="M2473" s="104"/>
    </row>
    <row r="2474" spans="4:13" ht="25" thickBot="1" x14ac:dyDescent="0.25">
      <c r="D2474">
        <v>7</v>
      </c>
      <c r="E2474" s="713" t="s">
        <v>30</v>
      </c>
      <c r="F2474" s="814" t="s">
        <v>1359</v>
      </c>
      <c r="G2474" s="815"/>
      <c r="H2474" s="816"/>
      <c r="I2474" s="781" t="s">
        <v>633</v>
      </c>
      <c r="J2474" s="764"/>
      <c r="K2474" s="765"/>
      <c r="L2474" s="162" t="s">
        <v>430</v>
      </c>
      <c r="M2474" s="106" t="s">
        <v>431</v>
      </c>
    </row>
    <row r="2475" spans="4:13" x14ac:dyDescent="0.2">
      <c r="E2475" s="714" t="s">
        <v>432</v>
      </c>
      <c r="F2475" s="805"/>
      <c r="G2475" s="806"/>
      <c r="H2475" s="807"/>
      <c r="I2475" s="769" t="s">
        <v>1362</v>
      </c>
      <c r="J2475" s="770"/>
      <c r="K2475" s="771"/>
      <c r="L2475" s="100"/>
      <c r="M2475" s="101"/>
    </row>
    <row r="2476" spans="4:13" x14ac:dyDescent="0.2">
      <c r="E2476" s="715" t="s">
        <v>433</v>
      </c>
      <c r="F2476" s="827" t="s">
        <v>1360</v>
      </c>
      <c r="G2476" s="825"/>
      <c r="H2476" s="826"/>
      <c r="I2476" s="769"/>
      <c r="J2476" s="770"/>
      <c r="K2476" s="771"/>
      <c r="L2476" s="100"/>
      <c r="M2476" s="101"/>
    </row>
    <row r="2477" spans="4:13" ht="20" thickBot="1" x14ac:dyDescent="0.25">
      <c r="E2477" s="715" t="s">
        <v>434</v>
      </c>
      <c r="F2477" s="827" t="s">
        <v>1361</v>
      </c>
      <c r="G2477" s="825"/>
      <c r="H2477" s="826"/>
      <c r="I2477" s="769"/>
      <c r="J2477" s="770"/>
      <c r="K2477" s="771"/>
      <c r="L2477" s="100"/>
      <c r="M2477" s="101"/>
    </row>
    <row r="2478" spans="4:13" ht="20" thickBot="1" x14ac:dyDescent="0.25">
      <c r="E2478" s="716" t="s">
        <v>435</v>
      </c>
      <c r="F2478" s="811">
        <v>0.625</v>
      </c>
      <c r="G2478" s="812"/>
      <c r="H2478" s="813"/>
      <c r="I2478" s="769"/>
      <c r="J2478" s="770"/>
      <c r="K2478" s="771"/>
      <c r="L2478" s="107">
        <v>0.85416666666666663</v>
      </c>
      <c r="M2478" s="108">
        <v>0.70833333333333326</v>
      </c>
    </row>
    <row r="2479" spans="4:13" ht="20" thickBot="1" x14ac:dyDescent="0.25">
      <c r="E2479" s="717" t="s">
        <v>436</v>
      </c>
      <c r="F2479" s="278" t="s">
        <v>29</v>
      </c>
      <c r="G2479" s="278" t="s">
        <v>28</v>
      </c>
      <c r="H2479" s="279" t="s">
        <v>27</v>
      </c>
      <c r="I2479" s="769"/>
      <c r="J2479" s="770"/>
      <c r="K2479" s="771"/>
      <c r="L2479" s="100"/>
      <c r="M2479" s="101"/>
    </row>
    <row r="2480" spans="4:13" x14ac:dyDescent="0.2">
      <c r="E2480" s="718">
        <v>45629</v>
      </c>
      <c r="F2480" s="385" t="s">
        <v>1385</v>
      </c>
      <c r="G2480" s="385" t="s">
        <v>1386</v>
      </c>
      <c r="H2480" s="385" t="s">
        <v>1387</v>
      </c>
      <c r="I2480" s="769"/>
      <c r="J2480" s="770"/>
      <c r="K2480" s="771"/>
      <c r="L2480" s="100"/>
      <c r="M2480" s="101"/>
    </row>
    <row r="2481" spans="4:13" x14ac:dyDescent="0.2">
      <c r="E2481" s="718">
        <v>45594</v>
      </c>
      <c r="F2481" s="385" t="s">
        <v>1174</v>
      </c>
      <c r="G2481" s="385" t="s">
        <v>1175</v>
      </c>
      <c r="H2481" s="385" t="s">
        <v>1176</v>
      </c>
      <c r="I2481" s="769"/>
      <c r="J2481" s="770"/>
      <c r="K2481" s="771"/>
      <c r="L2481" s="100"/>
      <c r="M2481" s="101"/>
    </row>
    <row r="2482" spans="4:13" x14ac:dyDescent="0.2">
      <c r="E2482" s="718">
        <v>45566</v>
      </c>
      <c r="F2482" s="385" t="s">
        <v>1177</v>
      </c>
      <c r="G2482" s="385" t="s">
        <v>1178</v>
      </c>
      <c r="H2482" s="385" t="s">
        <v>1179</v>
      </c>
      <c r="I2482" s="769"/>
      <c r="J2482" s="770"/>
      <c r="K2482" s="771"/>
      <c r="L2482" s="102"/>
      <c r="M2482" s="101"/>
    </row>
    <row r="2483" spans="4:13" x14ac:dyDescent="0.2">
      <c r="E2483" s="718">
        <v>45539</v>
      </c>
      <c r="F2483" s="385" t="s">
        <v>1180</v>
      </c>
      <c r="G2483" s="385" t="s">
        <v>1181</v>
      </c>
      <c r="H2483" s="385" t="s">
        <v>1182</v>
      </c>
      <c r="I2483" s="769"/>
      <c r="J2483" s="770"/>
      <c r="K2483" s="771"/>
      <c r="L2483" s="100"/>
      <c r="M2483" s="101"/>
    </row>
    <row r="2484" spans="4:13" x14ac:dyDescent="0.2">
      <c r="E2484" s="718">
        <v>45503</v>
      </c>
      <c r="F2484" s="385" t="s">
        <v>1183</v>
      </c>
      <c r="G2484" s="385" t="s">
        <v>1184</v>
      </c>
      <c r="H2484" s="385" t="s">
        <v>1185</v>
      </c>
      <c r="I2484" s="769"/>
      <c r="J2484" s="770"/>
      <c r="K2484" s="771"/>
      <c r="L2484" s="100"/>
      <c r="M2484" s="101"/>
    </row>
    <row r="2485" spans="4:13" ht="20" thickBot="1" x14ac:dyDescent="0.25">
      <c r="E2485" s="718">
        <v>45475</v>
      </c>
      <c r="F2485" s="385" t="s">
        <v>1186</v>
      </c>
      <c r="G2485" s="385" t="s">
        <v>1187</v>
      </c>
      <c r="H2485" s="385" t="s">
        <v>1188</v>
      </c>
      <c r="I2485" s="772"/>
      <c r="J2485" s="773"/>
      <c r="K2485" s="774"/>
      <c r="L2485" s="103"/>
      <c r="M2485" s="104"/>
    </row>
    <row r="2486" spans="4:13" ht="25" thickBot="1" x14ac:dyDescent="0.25">
      <c r="D2486">
        <v>8</v>
      </c>
      <c r="E2486" s="713" t="s">
        <v>30</v>
      </c>
      <c r="F2486" s="814" t="s">
        <v>1364</v>
      </c>
      <c r="G2486" s="815"/>
      <c r="H2486" s="816"/>
      <c r="I2486" s="781" t="s">
        <v>633</v>
      </c>
      <c r="J2486" s="764"/>
      <c r="K2486" s="765"/>
      <c r="L2486" s="162" t="s">
        <v>430</v>
      </c>
      <c r="M2486" s="106" t="s">
        <v>431</v>
      </c>
    </row>
    <row r="2487" spans="4:13" x14ac:dyDescent="0.2">
      <c r="E2487" s="714" t="s">
        <v>432</v>
      </c>
      <c r="F2487" s="805"/>
      <c r="G2487" s="806"/>
      <c r="H2487" s="807"/>
      <c r="I2487" s="769" t="s">
        <v>1366</v>
      </c>
      <c r="J2487" s="770"/>
      <c r="K2487" s="771"/>
      <c r="L2487" s="100"/>
      <c r="M2487" s="101"/>
    </row>
    <row r="2488" spans="4:13" x14ac:dyDescent="0.2">
      <c r="E2488" s="715" t="s">
        <v>433</v>
      </c>
      <c r="F2488" s="817" t="s">
        <v>635</v>
      </c>
      <c r="G2488" s="818"/>
      <c r="H2488" s="819"/>
      <c r="I2488" s="769"/>
      <c r="J2488" s="770"/>
      <c r="K2488" s="771"/>
      <c r="L2488" s="100"/>
      <c r="M2488" s="101"/>
    </row>
    <row r="2489" spans="4:13" ht="20" thickBot="1" x14ac:dyDescent="0.25">
      <c r="E2489" s="715" t="s">
        <v>434</v>
      </c>
      <c r="F2489" s="817" t="s">
        <v>1365</v>
      </c>
      <c r="G2489" s="818"/>
      <c r="H2489" s="819"/>
      <c r="I2489" s="769"/>
      <c r="J2489" s="770"/>
      <c r="K2489" s="771"/>
      <c r="L2489" s="100"/>
      <c r="M2489" s="101"/>
    </row>
    <row r="2490" spans="4:13" ht="20" thickBot="1" x14ac:dyDescent="0.25">
      <c r="E2490" s="716" t="s">
        <v>435</v>
      </c>
      <c r="F2490" s="811">
        <v>0.75</v>
      </c>
      <c r="G2490" s="812"/>
      <c r="H2490" s="813"/>
      <c r="I2490" s="769"/>
      <c r="J2490" s="770"/>
      <c r="K2490" s="771"/>
      <c r="L2490" s="107">
        <v>0.97916666666666663</v>
      </c>
      <c r="M2490" s="108">
        <v>0.83333333333333326</v>
      </c>
    </row>
    <row r="2491" spans="4:13" ht="20" thickBot="1" x14ac:dyDescent="0.25">
      <c r="E2491" s="717" t="s">
        <v>436</v>
      </c>
      <c r="F2491" s="278" t="s">
        <v>29</v>
      </c>
      <c r="G2491" s="278" t="s">
        <v>28</v>
      </c>
      <c r="H2491" s="279" t="s">
        <v>27</v>
      </c>
      <c r="I2491" s="769"/>
      <c r="J2491" s="770"/>
      <c r="K2491" s="771"/>
      <c r="L2491" s="100"/>
      <c r="M2491" s="101"/>
    </row>
    <row r="2492" spans="4:13" x14ac:dyDescent="0.2">
      <c r="E2492" s="718">
        <v>45630</v>
      </c>
      <c r="F2492" s="283" t="s">
        <v>1388</v>
      </c>
      <c r="G2492" s="283" t="s">
        <v>1389</v>
      </c>
      <c r="H2492" s="283" t="s">
        <v>1390</v>
      </c>
      <c r="I2492" s="769"/>
      <c r="J2492" s="770"/>
      <c r="K2492" s="771"/>
      <c r="L2492" s="100"/>
      <c r="M2492" s="101"/>
    </row>
    <row r="2493" spans="4:13" x14ac:dyDescent="0.2">
      <c r="E2493" s="718">
        <v>45595</v>
      </c>
      <c r="F2493" s="283" t="s">
        <v>1192</v>
      </c>
      <c r="G2493" s="283" t="s">
        <v>1193</v>
      </c>
      <c r="H2493" s="283" t="s">
        <v>1194</v>
      </c>
      <c r="I2493" s="769"/>
      <c r="J2493" s="770"/>
      <c r="K2493" s="771"/>
      <c r="L2493" s="100"/>
      <c r="M2493" s="101"/>
    </row>
    <row r="2494" spans="4:13" x14ac:dyDescent="0.2">
      <c r="E2494" s="718">
        <v>45567</v>
      </c>
      <c r="F2494" s="283" t="s">
        <v>1195</v>
      </c>
      <c r="G2494" s="283" t="s">
        <v>1196</v>
      </c>
      <c r="H2494" s="283" t="s">
        <v>1197</v>
      </c>
      <c r="I2494" s="769"/>
      <c r="J2494" s="770"/>
      <c r="K2494" s="771"/>
      <c r="L2494" s="102"/>
      <c r="M2494" s="101"/>
    </row>
    <row r="2495" spans="4:13" x14ac:dyDescent="0.2">
      <c r="E2495" s="718">
        <v>45540</v>
      </c>
      <c r="F2495" s="283" t="s">
        <v>407</v>
      </c>
      <c r="G2495" s="283" t="s">
        <v>1199</v>
      </c>
      <c r="H2495" s="283" t="s">
        <v>1200</v>
      </c>
      <c r="I2495" s="769"/>
      <c r="J2495" s="770"/>
      <c r="K2495" s="771"/>
      <c r="L2495" s="100"/>
      <c r="M2495" s="101"/>
    </row>
    <row r="2496" spans="4:13" x14ac:dyDescent="0.2">
      <c r="E2496" s="718">
        <v>45504</v>
      </c>
      <c r="F2496" s="283" t="s">
        <v>1201</v>
      </c>
      <c r="G2496" s="283" t="s">
        <v>1202</v>
      </c>
      <c r="H2496" s="283" t="s">
        <v>1203</v>
      </c>
      <c r="I2496" s="769"/>
      <c r="J2496" s="770"/>
      <c r="K2496" s="771"/>
      <c r="L2496" s="100"/>
      <c r="M2496" s="101"/>
    </row>
    <row r="2497" spans="4:13" ht="20" thickBot="1" x14ac:dyDescent="0.25">
      <c r="E2497" s="718">
        <v>45476</v>
      </c>
      <c r="F2497" s="283" t="s">
        <v>1204</v>
      </c>
      <c r="G2497" s="283" t="s">
        <v>1205</v>
      </c>
      <c r="H2497" s="283" t="s">
        <v>1206</v>
      </c>
      <c r="I2497" s="772"/>
      <c r="J2497" s="773"/>
      <c r="K2497" s="774"/>
      <c r="L2497" s="103"/>
      <c r="M2497" s="104"/>
    </row>
    <row r="2498" spans="4:13" ht="25" thickBot="1" x14ac:dyDescent="0.25">
      <c r="D2498">
        <v>9</v>
      </c>
      <c r="E2498" s="713" t="s">
        <v>30</v>
      </c>
      <c r="F2498" s="814" t="s">
        <v>9</v>
      </c>
      <c r="G2498" s="815"/>
      <c r="H2498" s="816"/>
      <c r="I2498" s="781" t="s">
        <v>633</v>
      </c>
      <c r="J2498" s="764"/>
      <c r="K2498" s="765"/>
      <c r="L2498" s="162" t="s">
        <v>430</v>
      </c>
      <c r="M2498" s="106" t="s">
        <v>431</v>
      </c>
    </row>
    <row r="2499" spans="4:13" x14ac:dyDescent="0.2">
      <c r="D2499" s="89"/>
      <c r="E2499" s="714" t="s">
        <v>432</v>
      </c>
      <c r="F2499" s="805"/>
      <c r="G2499" s="806"/>
      <c r="H2499" s="807"/>
      <c r="I2499" s="769" t="s">
        <v>1370</v>
      </c>
      <c r="J2499" s="770"/>
      <c r="K2499" s="771"/>
      <c r="L2499" s="100"/>
      <c r="M2499" s="101"/>
    </row>
    <row r="2500" spans="4:13" x14ac:dyDescent="0.2">
      <c r="D2500" s="89"/>
      <c r="E2500" s="715" t="s">
        <v>433</v>
      </c>
      <c r="F2500" s="817"/>
      <c r="G2500" s="818"/>
      <c r="H2500" s="819"/>
      <c r="I2500" s="769"/>
      <c r="J2500" s="770"/>
      <c r="K2500" s="771"/>
      <c r="L2500" s="100"/>
      <c r="M2500" s="101"/>
    </row>
    <row r="2501" spans="4:13" ht="20" thickBot="1" x14ac:dyDescent="0.25">
      <c r="D2501" s="89"/>
      <c r="E2501" s="715" t="s">
        <v>434</v>
      </c>
      <c r="F2501" s="817" t="s">
        <v>1369</v>
      </c>
      <c r="G2501" s="818"/>
      <c r="H2501" s="819"/>
      <c r="I2501" s="769"/>
      <c r="J2501" s="770"/>
      <c r="K2501" s="771"/>
      <c r="L2501" s="100"/>
      <c r="M2501" s="101"/>
    </row>
    <row r="2502" spans="4:13" ht="20" thickBot="1" x14ac:dyDescent="0.25">
      <c r="D2502" s="89"/>
      <c r="E2502" s="716" t="s">
        <v>435</v>
      </c>
      <c r="F2502" s="811">
        <v>0.55208333333333337</v>
      </c>
      <c r="G2502" s="812"/>
      <c r="H2502" s="813"/>
      <c r="I2502" s="769"/>
      <c r="J2502" s="770"/>
      <c r="K2502" s="771"/>
      <c r="L2502" s="107">
        <v>0.78125</v>
      </c>
      <c r="M2502" s="108">
        <v>0.63541666666666663</v>
      </c>
    </row>
    <row r="2503" spans="4:13" ht="20" thickBot="1" x14ac:dyDescent="0.25">
      <c r="D2503" s="89"/>
      <c r="E2503" s="717" t="s">
        <v>436</v>
      </c>
      <c r="F2503" s="278" t="s">
        <v>29</v>
      </c>
      <c r="G2503" s="278" t="s">
        <v>28</v>
      </c>
      <c r="H2503" s="279" t="s">
        <v>27</v>
      </c>
      <c r="I2503" s="769"/>
      <c r="J2503" s="770"/>
      <c r="K2503" s="771"/>
      <c r="L2503" s="100"/>
      <c r="M2503" s="101"/>
    </row>
    <row r="2504" spans="4:13" x14ac:dyDescent="0.2">
      <c r="D2504" s="89"/>
      <c r="E2504" s="718">
        <v>45659</v>
      </c>
      <c r="F2504" s="727" t="s">
        <v>1391</v>
      </c>
      <c r="G2504" s="727" t="s">
        <v>1392</v>
      </c>
      <c r="H2504" s="727" t="s">
        <v>1342</v>
      </c>
      <c r="I2504" s="769"/>
      <c r="J2504" s="770"/>
      <c r="K2504" s="771"/>
      <c r="L2504" s="100"/>
      <c r="M2504" s="101"/>
    </row>
    <row r="2505" spans="4:13" x14ac:dyDescent="0.2">
      <c r="D2505" s="89"/>
      <c r="E2505" s="718">
        <v>45653</v>
      </c>
      <c r="F2505" s="727" t="s">
        <v>1342</v>
      </c>
      <c r="G2505" s="727" t="s">
        <v>1343</v>
      </c>
      <c r="H2505" s="727" t="s">
        <v>1318</v>
      </c>
      <c r="I2505" s="769"/>
      <c r="J2505" s="770"/>
      <c r="K2505" s="771"/>
      <c r="L2505" s="100"/>
      <c r="M2505" s="101"/>
    </row>
    <row r="2506" spans="4:13" x14ac:dyDescent="0.2">
      <c r="D2506" s="89"/>
      <c r="E2506" s="718">
        <v>45644</v>
      </c>
      <c r="F2506" s="727" t="s">
        <v>1318</v>
      </c>
      <c r="G2506" s="727" t="s">
        <v>1289</v>
      </c>
      <c r="H2506" s="727" t="s">
        <v>1393</v>
      </c>
      <c r="I2506" s="769"/>
      <c r="J2506" s="770"/>
      <c r="K2506" s="771"/>
      <c r="L2506" s="102"/>
      <c r="M2506" s="101"/>
    </row>
    <row r="2507" spans="4:13" x14ac:dyDescent="0.2">
      <c r="D2507" s="89"/>
      <c r="E2507" s="718">
        <v>45637</v>
      </c>
      <c r="F2507" s="727" t="s">
        <v>1393</v>
      </c>
      <c r="G2507" s="727" t="s">
        <v>1394</v>
      </c>
      <c r="H2507" s="727" t="s">
        <v>1395</v>
      </c>
      <c r="I2507" s="769"/>
      <c r="J2507" s="770"/>
      <c r="K2507" s="771"/>
      <c r="L2507" s="100"/>
      <c r="M2507" s="101"/>
    </row>
    <row r="2508" spans="4:13" x14ac:dyDescent="0.2">
      <c r="D2508" s="89"/>
      <c r="E2508" s="718">
        <v>45630</v>
      </c>
      <c r="F2508" s="727" t="s">
        <v>1395</v>
      </c>
      <c r="G2508" s="727" t="s">
        <v>1396</v>
      </c>
      <c r="H2508" s="727" t="s">
        <v>1230</v>
      </c>
      <c r="I2508" s="769"/>
      <c r="J2508" s="770"/>
      <c r="K2508" s="771"/>
      <c r="L2508" s="100"/>
      <c r="M2508" s="101"/>
    </row>
    <row r="2509" spans="4:13" ht="20" thickBot="1" x14ac:dyDescent="0.25">
      <c r="D2509" s="89"/>
      <c r="E2509" s="718">
        <v>45623</v>
      </c>
      <c r="F2509" s="727" t="s">
        <v>1230</v>
      </c>
      <c r="G2509" s="727" t="s">
        <v>1231</v>
      </c>
      <c r="H2509" s="727" t="s">
        <v>1125</v>
      </c>
      <c r="I2509" s="772"/>
      <c r="J2509" s="773"/>
      <c r="K2509" s="774"/>
      <c r="L2509" s="103"/>
      <c r="M2509" s="104"/>
    </row>
    <row r="2510" spans="4:13" ht="25" thickBot="1" x14ac:dyDescent="0.25">
      <c r="D2510">
        <v>10</v>
      </c>
      <c r="E2510" s="713" t="s">
        <v>30</v>
      </c>
      <c r="F2510" s="814" t="s">
        <v>927</v>
      </c>
      <c r="G2510" s="815"/>
      <c r="H2510" s="816"/>
      <c r="I2510" s="781" t="s">
        <v>633</v>
      </c>
      <c r="J2510" s="764"/>
      <c r="K2510" s="765"/>
      <c r="L2510" s="162" t="s">
        <v>430</v>
      </c>
      <c r="M2510" s="106" t="s">
        <v>431</v>
      </c>
    </row>
    <row r="2511" spans="4:13" x14ac:dyDescent="0.2">
      <c r="D2511" s="89"/>
      <c r="E2511" s="714" t="s">
        <v>432</v>
      </c>
      <c r="F2511" s="805"/>
      <c r="G2511" s="806"/>
      <c r="H2511" s="807"/>
      <c r="I2511" s="769" t="s">
        <v>1371</v>
      </c>
      <c r="J2511" s="770"/>
      <c r="K2511" s="771"/>
      <c r="L2511" s="100"/>
      <c r="M2511" s="101"/>
    </row>
    <row r="2512" spans="4:13" x14ac:dyDescent="0.2">
      <c r="D2512" s="89"/>
      <c r="E2512" s="715" t="s">
        <v>433</v>
      </c>
      <c r="F2512" s="817">
        <v>0</v>
      </c>
      <c r="G2512" s="818"/>
      <c r="H2512" s="819"/>
      <c r="I2512" s="769"/>
      <c r="J2512" s="770"/>
      <c r="K2512" s="771"/>
      <c r="L2512" s="100"/>
      <c r="M2512" s="101"/>
    </row>
    <row r="2513" spans="4:13" ht="20" thickBot="1" x14ac:dyDescent="0.25">
      <c r="D2513" s="89"/>
      <c r="E2513" s="715" t="s">
        <v>434</v>
      </c>
      <c r="F2513" s="820">
        <v>4.5350000000000001E-2</v>
      </c>
      <c r="G2513" s="821"/>
      <c r="H2513" s="822"/>
      <c r="I2513" s="769"/>
      <c r="J2513" s="770"/>
      <c r="K2513" s="771"/>
      <c r="L2513" s="100"/>
      <c r="M2513" s="101"/>
    </row>
    <row r="2514" spans="4:13" ht="20" thickBot="1" x14ac:dyDescent="0.25">
      <c r="D2514" s="89"/>
      <c r="E2514" s="716" t="s">
        <v>435</v>
      </c>
      <c r="F2514" s="811">
        <v>0.5625</v>
      </c>
      <c r="G2514" s="812"/>
      <c r="H2514" s="813"/>
      <c r="I2514" s="769"/>
      <c r="J2514" s="770"/>
      <c r="K2514" s="771"/>
      <c r="L2514" s="107">
        <v>0.79166666666666663</v>
      </c>
      <c r="M2514" s="108">
        <v>0.64583333333333326</v>
      </c>
    </row>
    <row r="2515" spans="4:13" ht="20" thickBot="1" x14ac:dyDescent="0.25">
      <c r="D2515" s="89"/>
      <c r="E2515" s="717" t="s">
        <v>436</v>
      </c>
      <c r="F2515" s="278" t="s">
        <v>29</v>
      </c>
      <c r="G2515" s="278" t="s">
        <v>28</v>
      </c>
      <c r="H2515" s="279" t="s">
        <v>27</v>
      </c>
      <c r="I2515" s="769"/>
      <c r="J2515" s="770"/>
      <c r="K2515" s="771"/>
      <c r="L2515" s="100"/>
      <c r="M2515" s="101"/>
    </row>
    <row r="2516" spans="4:13" x14ac:dyDescent="0.2">
      <c r="D2516" s="89"/>
      <c r="E2516" s="718">
        <v>45637</v>
      </c>
      <c r="F2516" s="733">
        <v>4.2349999999999999E-2</v>
      </c>
      <c r="G2516" s="733" t="s">
        <v>754</v>
      </c>
      <c r="H2516" s="733">
        <v>4.3470000000000002E-2</v>
      </c>
      <c r="I2516" s="769"/>
      <c r="J2516" s="770"/>
      <c r="K2516" s="771"/>
      <c r="L2516" s="100"/>
      <c r="M2516" s="101"/>
    </row>
    <row r="2517" spans="4:13" x14ac:dyDescent="0.2">
      <c r="D2517" s="89"/>
      <c r="E2517" s="718">
        <v>45601</v>
      </c>
      <c r="F2517" s="733">
        <v>4.3470000000000002E-2</v>
      </c>
      <c r="G2517" s="733" t="s">
        <v>754</v>
      </c>
      <c r="H2517" s="733">
        <v>4.0660000000000002E-2</v>
      </c>
      <c r="I2517" s="769"/>
      <c r="J2517" s="770"/>
      <c r="K2517" s="771"/>
      <c r="L2517" s="100"/>
      <c r="M2517" s="101"/>
    </row>
    <row r="2518" spans="4:13" x14ac:dyDescent="0.2">
      <c r="D2518" s="89"/>
      <c r="E2518" s="718">
        <v>45574</v>
      </c>
      <c r="F2518" s="733">
        <v>4.0660000000000002E-2</v>
      </c>
      <c r="G2518" s="733" t="s">
        <v>754</v>
      </c>
      <c r="H2518" s="733">
        <v>3.6479999999999999E-2</v>
      </c>
      <c r="I2518" s="769"/>
      <c r="J2518" s="770"/>
      <c r="K2518" s="771"/>
      <c r="L2518" s="102"/>
      <c r="M2518" s="101"/>
    </row>
    <row r="2519" spans="4:13" x14ac:dyDescent="0.2">
      <c r="D2519" s="89"/>
      <c r="E2519" s="718">
        <v>45546</v>
      </c>
      <c r="F2519" s="733">
        <v>3.6479999999999999E-2</v>
      </c>
      <c r="G2519" s="733" t="s">
        <v>754</v>
      </c>
      <c r="H2519" s="733">
        <v>3.9600000000000003E-2</v>
      </c>
      <c r="I2519" s="769"/>
      <c r="J2519" s="770"/>
      <c r="K2519" s="771"/>
      <c r="L2519" s="100"/>
      <c r="M2519" s="101"/>
    </row>
    <row r="2520" spans="4:13" x14ac:dyDescent="0.2">
      <c r="D2520" s="89"/>
      <c r="E2520" s="718">
        <v>45511</v>
      </c>
      <c r="F2520" s="733">
        <v>3.9600000000000003E-2</v>
      </c>
      <c r="G2520" s="733" t="s">
        <v>754</v>
      </c>
      <c r="H2520" s="733">
        <v>4.2759999999999999E-2</v>
      </c>
      <c r="I2520" s="769"/>
      <c r="J2520" s="770"/>
      <c r="K2520" s="771"/>
      <c r="L2520" s="100"/>
      <c r="M2520" s="101"/>
    </row>
    <row r="2521" spans="4:13" ht="20" thickBot="1" x14ac:dyDescent="0.25">
      <c r="D2521" s="89"/>
      <c r="E2521" s="718">
        <v>45483</v>
      </c>
      <c r="F2521" s="733">
        <v>4.2759999999999999E-2</v>
      </c>
      <c r="G2521" s="733" t="s">
        <v>754</v>
      </c>
      <c r="H2521" s="733">
        <v>4.4380000000000003E-2</v>
      </c>
      <c r="I2521" s="772"/>
      <c r="J2521" s="773"/>
      <c r="K2521" s="774"/>
      <c r="L2521" s="103"/>
      <c r="M2521" s="104"/>
    </row>
    <row r="2522" spans="4:13" ht="25" thickBot="1" x14ac:dyDescent="0.25">
      <c r="D2522">
        <v>11</v>
      </c>
      <c r="E2522" s="713" t="s">
        <v>30</v>
      </c>
      <c r="F2522" s="814" t="s">
        <v>7</v>
      </c>
      <c r="G2522" s="815"/>
      <c r="H2522" s="816"/>
      <c r="I2522" s="781" t="s">
        <v>633</v>
      </c>
      <c r="J2522" s="764"/>
      <c r="K2522" s="765"/>
      <c r="L2522" s="162" t="s">
        <v>430</v>
      </c>
      <c r="M2522" s="106" t="s">
        <v>431</v>
      </c>
    </row>
    <row r="2523" spans="4:13" x14ac:dyDescent="0.2">
      <c r="D2523" s="89"/>
      <c r="E2523" s="714" t="s">
        <v>432</v>
      </c>
      <c r="F2523" s="805"/>
      <c r="G2523" s="806"/>
      <c r="H2523" s="807"/>
      <c r="I2523" s="769" t="s">
        <v>1374</v>
      </c>
      <c r="J2523" s="770"/>
      <c r="K2523" s="771"/>
      <c r="L2523" s="100"/>
      <c r="M2523" s="101"/>
    </row>
    <row r="2524" spans="4:13" x14ac:dyDescent="0.2">
      <c r="D2524" s="89"/>
      <c r="E2524" s="715" t="s">
        <v>433</v>
      </c>
      <c r="F2524" s="817">
        <v>0</v>
      </c>
      <c r="G2524" s="818"/>
      <c r="H2524" s="819"/>
      <c r="I2524" s="769"/>
      <c r="J2524" s="770"/>
      <c r="K2524" s="771"/>
      <c r="L2524" s="100"/>
      <c r="M2524" s="101"/>
    </row>
    <row r="2525" spans="4:13" ht="20" thickBot="1" x14ac:dyDescent="0.25">
      <c r="D2525" s="89"/>
      <c r="E2525" s="715" t="s">
        <v>434</v>
      </c>
      <c r="F2525" s="817"/>
      <c r="G2525" s="818"/>
      <c r="H2525" s="819"/>
      <c r="I2525" s="769"/>
      <c r="J2525" s="770"/>
      <c r="K2525" s="771"/>
      <c r="L2525" s="100"/>
      <c r="M2525" s="101"/>
    </row>
    <row r="2526" spans="4:13" ht="20" thickBot="1" x14ac:dyDescent="0.25">
      <c r="D2526" s="89"/>
      <c r="E2526" s="716" t="s">
        <v>435</v>
      </c>
      <c r="F2526" s="828">
        <v>0.79166666666666663</v>
      </c>
      <c r="G2526" s="829"/>
      <c r="H2526" s="830"/>
      <c r="I2526" s="769"/>
      <c r="J2526" s="770"/>
      <c r="K2526" s="771"/>
      <c r="L2526" s="107">
        <v>2.0833333333333332E-2</v>
      </c>
      <c r="M2526" s="662">
        <v>0.875</v>
      </c>
    </row>
    <row r="2527" spans="4:13" ht="20" thickBot="1" x14ac:dyDescent="0.25">
      <c r="D2527" s="89"/>
      <c r="E2527" s="717" t="s">
        <v>436</v>
      </c>
      <c r="F2527" s="278" t="s">
        <v>29</v>
      </c>
      <c r="G2527" s="278" t="s">
        <v>28</v>
      </c>
      <c r="H2527" s="279" t="s">
        <v>27</v>
      </c>
      <c r="I2527" s="769"/>
      <c r="J2527" s="770"/>
      <c r="K2527" s="771"/>
      <c r="L2527" s="100"/>
      <c r="M2527" s="101"/>
    </row>
    <row r="2528" spans="4:13" x14ac:dyDescent="0.2">
      <c r="D2528" s="89"/>
      <c r="E2528" s="734">
        <v>45622</v>
      </c>
      <c r="F2528" s="727" t="s">
        <v>1090</v>
      </c>
      <c r="G2528" s="727" t="s">
        <v>754</v>
      </c>
      <c r="H2528" s="727" t="s">
        <v>1090</v>
      </c>
      <c r="I2528" s="769"/>
      <c r="J2528" s="770"/>
      <c r="K2528" s="771"/>
      <c r="L2528" s="100"/>
      <c r="M2528" s="101"/>
    </row>
    <row r="2529" spans="4:13" x14ac:dyDescent="0.2">
      <c r="D2529" s="89"/>
      <c r="E2529" s="734">
        <v>45574</v>
      </c>
      <c r="F2529" s="727" t="s">
        <v>1090</v>
      </c>
      <c r="G2529" s="727" t="s">
        <v>754</v>
      </c>
      <c r="H2529" s="727" t="s">
        <v>1090</v>
      </c>
      <c r="I2529" s="769"/>
      <c r="J2529" s="770"/>
      <c r="K2529" s="771"/>
      <c r="L2529" s="100"/>
      <c r="M2529" s="101"/>
    </row>
    <row r="2530" spans="4:13" x14ac:dyDescent="0.2">
      <c r="D2530" s="89"/>
      <c r="E2530" s="734">
        <v>45525</v>
      </c>
      <c r="F2530" s="727" t="s">
        <v>1090</v>
      </c>
      <c r="G2530" s="727" t="s">
        <v>754</v>
      </c>
      <c r="H2530" s="727" t="s">
        <v>1090</v>
      </c>
      <c r="I2530" s="769"/>
      <c r="J2530" s="770"/>
      <c r="K2530" s="771"/>
      <c r="L2530" s="102"/>
      <c r="M2530" s="101"/>
    </row>
    <row r="2531" spans="4:13" x14ac:dyDescent="0.2">
      <c r="D2531" s="89"/>
      <c r="E2531" s="734">
        <v>45476</v>
      </c>
      <c r="F2531" s="727" t="s">
        <v>1090</v>
      </c>
      <c r="G2531" s="727" t="s">
        <v>754</v>
      </c>
      <c r="H2531" s="727" t="s">
        <v>1090</v>
      </c>
      <c r="I2531" s="769"/>
      <c r="J2531" s="770"/>
      <c r="K2531" s="771"/>
      <c r="L2531" s="100"/>
      <c r="M2531" s="101"/>
    </row>
    <row r="2532" spans="4:13" x14ac:dyDescent="0.2">
      <c r="D2532" s="89"/>
      <c r="E2532" s="734">
        <v>45434</v>
      </c>
      <c r="F2532" s="727" t="s">
        <v>1090</v>
      </c>
      <c r="G2532" s="727" t="s">
        <v>754</v>
      </c>
      <c r="H2532" s="727" t="s">
        <v>1090</v>
      </c>
      <c r="I2532" s="769"/>
      <c r="J2532" s="770"/>
      <c r="K2532" s="771"/>
      <c r="L2532" s="100"/>
      <c r="M2532" s="101"/>
    </row>
    <row r="2533" spans="4:13" ht="20" thickBot="1" x14ac:dyDescent="0.25">
      <c r="D2533" s="89"/>
      <c r="E2533" s="734">
        <v>45392</v>
      </c>
      <c r="F2533" s="727" t="s">
        <v>1090</v>
      </c>
      <c r="G2533" s="727" t="s">
        <v>754</v>
      </c>
      <c r="H2533" s="727" t="s">
        <v>1090</v>
      </c>
      <c r="I2533" s="772"/>
      <c r="J2533" s="773"/>
      <c r="K2533" s="774"/>
      <c r="L2533" s="103"/>
      <c r="M2533" s="104"/>
    </row>
    <row r="2534" spans="4:13" ht="25" thickBot="1" x14ac:dyDescent="0.25">
      <c r="D2534">
        <v>10</v>
      </c>
      <c r="E2534" s="713" t="s">
        <v>30</v>
      </c>
      <c r="F2534" s="814" t="s">
        <v>1376</v>
      </c>
      <c r="G2534" s="815"/>
      <c r="H2534" s="816"/>
      <c r="I2534" s="781" t="s">
        <v>633</v>
      </c>
      <c r="J2534" s="764"/>
      <c r="K2534" s="765"/>
      <c r="L2534" s="162" t="s">
        <v>430</v>
      </c>
      <c r="M2534" s="106" t="s">
        <v>431</v>
      </c>
    </row>
    <row r="2535" spans="4:13" ht="20" thickBot="1" x14ac:dyDescent="0.25">
      <c r="D2535" s="89"/>
      <c r="E2535" s="714" t="s">
        <v>432</v>
      </c>
      <c r="F2535" s="805"/>
      <c r="G2535" s="806"/>
      <c r="H2535" s="807"/>
      <c r="I2535" s="769" t="s">
        <v>1375</v>
      </c>
      <c r="J2535" s="770"/>
      <c r="K2535" s="771"/>
      <c r="L2535" s="100"/>
      <c r="M2535" s="101"/>
    </row>
    <row r="2536" spans="4:13" x14ac:dyDescent="0.2">
      <c r="D2536" s="89"/>
      <c r="E2536" s="715" t="s">
        <v>433</v>
      </c>
      <c r="F2536" s="823">
        <v>3.0000000000000001E-3</v>
      </c>
      <c r="G2536" s="818"/>
      <c r="H2536" s="819"/>
      <c r="I2536" s="769"/>
      <c r="J2536" s="770"/>
      <c r="K2536" s="771"/>
      <c r="L2536" s="100"/>
      <c r="M2536" s="101"/>
    </row>
    <row r="2537" spans="4:13" ht="20" thickBot="1" x14ac:dyDescent="0.25">
      <c r="D2537" s="89"/>
      <c r="E2537" s="715" t="s">
        <v>434</v>
      </c>
      <c r="F2537" s="824">
        <v>4.0000000000000001E-3</v>
      </c>
      <c r="G2537" s="825"/>
      <c r="H2537" s="826"/>
      <c r="I2537" s="769"/>
      <c r="J2537" s="770"/>
      <c r="K2537" s="771"/>
      <c r="L2537" s="100"/>
      <c r="M2537" s="101"/>
    </row>
    <row r="2538" spans="4:13" ht="20" thickBot="1" x14ac:dyDescent="0.25">
      <c r="D2538" s="89"/>
      <c r="E2538" s="716" t="s">
        <v>435</v>
      </c>
      <c r="F2538" s="811">
        <v>0.5625</v>
      </c>
      <c r="G2538" s="812"/>
      <c r="H2538" s="813"/>
      <c r="I2538" s="769"/>
      <c r="J2538" s="770"/>
      <c r="K2538" s="771"/>
      <c r="L2538" s="107">
        <v>0.79166666666666663</v>
      </c>
      <c r="M2538" s="108">
        <v>0.64583333333333326</v>
      </c>
    </row>
    <row r="2539" spans="4:13" ht="20" thickBot="1" x14ac:dyDescent="0.25">
      <c r="D2539" s="89"/>
      <c r="E2539" s="717" t="s">
        <v>436</v>
      </c>
      <c r="F2539" s="278" t="s">
        <v>29</v>
      </c>
      <c r="G2539" s="278" t="s">
        <v>28</v>
      </c>
      <c r="H2539" s="279" t="s">
        <v>27</v>
      </c>
      <c r="I2539" s="769"/>
      <c r="J2539" s="770"/>
      <c r="K2539" s="771"/>
      <c r="L2539" s="100"/>
      <c r="M2539" s="101"/>
    </row>
    <row r="2540" spans="4:13" x14ac:dyDescent="0.2">
      <c r="D2540" s="89"/>
      <c r="E2540" s="718">
        <v>45632</v>
      </c>
      <c r="F2540" s="380">
        <v>4.0000000000000001E-3</v>
      </c>
      <c r="G2540" s="380" t="s">
        <v>467</v>
      </c>
      <c r="H2540" s="380">
        <v>4.0000000000000001E-3</v>
      </c>
      <c r="I2540" s="769"/>
      <c r="J2540" s="770"/>
      <c r="K2540" s="771"/>
      <c r="L2540" s="100"/>
      <c r="M2540" s="101"/>
    </row>
    <row r="2541" spans="4:13" x14ac:dyDescent="0.2">
      <c r="D2541" s="89"/>
      <c r="E2541" s="718">
        <v>45597</v>
      </c>
      <c r="F2541" s="380">
        <v>4.0000000000000001E-3</v>
      </c>
      <c r="G2541" s="380" t="s">
        <v>467</v>
      </c>
      <c r="H2541" s="380">
        <v>3.0000000000000001E-3</v>
      </c>
      <c r="I2541" s="769"/>
      <c r="J2541" s="770"/>
      <c r="K2541" s="771"/>
      <c r="L2541" s="100"/>
      <c r="M2541" s="101"/>
    </row>
    <row r="2542" spans="4:13" x14ac:dyDescent="0.2">
      <c r="D2542" s="89"/>
      <c r="E2542" s="718">
        <v>45569</v>
      </c>
      <c r="F2542" s="380">
        <v>4.0000000000000001E-3</v>
      </c>
      <c r="G2542" s="380" t="s">
        <v>467</v>
      </c>
      <c r="H2542" s="380">
        <v>5.0000000000000001E-3</v>
      </c>
      <c r="I2542" s="769"/>
      <c r="J2542" s="770"/>
      <c r="K2542" s="771"/>
      <c r="L2542" s="102"/>
      <c r="M2542" s="101"/>
    </row>
    <row r="2543" spans="4:13" x14ac:dyDescent="0.2">
      <c r="D2543" s="89"/>
      <c r="E2543" s="718">
        <v>45541</v>
      </c>
      <c r="F2543" s="380">
        <v>4.0000000000000001E-3</v>
      </c>
      <c r="G2543" s="380" t="s">
        <v>467</v>
      </c>
      <c r="H2543" s="380">
        <v>-1E-3</v>
      </c>
      <c r="I2543" s="769"/>
      <c r="J2543" s="770"/>
      <c r="K2543" s="771"/>
      <c r="L2543" s="100"/>
      <c r="M2543" s="101"/>
    </row>
    <row r="2544" spans="4:13" x14ac:dyDescent="0.2">
      <c r="D2544" s="89"/>
      <c r="E2544" s="718">
        <v>45506</v>
      </c>
      <c r="F2544" s="380">
        <v>2E-3</v>
      </c>
      <c r="G2544" s="380" t="s">
        <v>467</v>
      </c>
      <c r="H2544" s="380">
        <v>3.0000000000000001E-3</v>
      </c>
      <c r="I2544" s="769"/>
      <c r="J2544" s="770"/>
      <c r="K2544" s="771"/>
      <c r="L2544" s="100"/>
      <c r="M2544" s="101"/>
    </row>
    <row r="2545" spans="4:13" ht="20" thickBot="1" x14ac:dyDescent="0.25">
      <c r="D2545" s="89"/>
      <c r="E2545" s="718">
        <v>45478</v>
      </c>
      <c r="F2545" s="380">
        <v>3.0000000000000001E-3</v>
      </c>
      <c r="G2545" s="380" t="s">
        <v>467</v>
      </c>
      <c r="H2545" s="380">
        <v>4.0000000000000001E-3</v>
      </c>
      <c r="I2545" s="772"/>
      <c r="J2545" s="773"/>
      <c r="K2545" s="774"/>
      <c r="L2545" s="103"/>
      <c r="M2545" s="104"/>
    </row>
    <row r="2546" spans="4:13" ht="25" thickBot="1" x14ac:dyDescent="0.25">
      <c r="D2546">
        <v>11</v>
      </c>
      <c r="E2546" s="713" t="s">
        <v>30</v>
      </c>
      <c r="F2546" s="814" t="s">
        <v>1378</v>
      </c>
      <c r="G2546" s="815"/>
      <c r="H2546" s="816"/>
      <c r="I2546" s="781" t="s">
        <v>633</v>
      </c>
      <c r="J2546" s="764"/>
      <c r="K2546" s="765"/>
      <c r="L2546" s="162" t="s">
        <v>430</v>
      </c>
      <c r="M2546" s="106" t="s">
        <v>431</v>
      </c>
    </row>
    <row r="2547" spans="4:13" x14ac:dyDescent="0.2">
      <c r="D2547" s="89"/>
      <c r="E2547" s="714" t="s">
        <v>432</v>
      </c>
      <c r="F2547" s="805"/>
      <c r="G2547" s="806"/>
      <c r="H2547" s="807"/>
      <c r="I2547" s="769" t="s">
        <v>1375</v>
      </c>
      <c r="J2547" s="770"/>
      <c r="K2547" s="771"/>
      <c r="L2547" s="100"/>
      <c r="M2547" s="101"/>
    </row>
    <row r="2548" spans="4:13" x14ac:dyDescent="0.2">
      <c r="D2548" s="89"/>
      <c r="E2548" s="715" t="s">
        <v>433</v>
      </c>
      <c r="F2548" s="820" t="s">
        <v>1377</v>
      </c>
      <c r="G2548" s="821"/>
      <c r="H2548" s="822"/>
      <c r="I2548" s="769"/>
      <c r="J2548" s="770"/>
      <c r="K2548" s="771"/>
      <c r="L2548" s="100"/>
      <c r="M2548" s="101"/>
    </row>
    <row r="2549" spans="4:13" ht="20" thickBot="1" x14ac:dyDescent="0.25">
      <c r="D2549" s="89"/>
      <c r="E2549" s="715" t="s">
        <v>434</v>
      </c>
      <c r="F2549" s="827" t="s">
        <v>209</v>
      </c>
      <c r="G2549" s="825"/>
      <c r="H2549" s="826"/>
      <c r="I2549" s="769"/>
      <c r="J2549" s="770"/>
      <c r="K2549" s="771"/>
      <c r="L2549" s="100"/>
      <c r="M2549" s="101"/>
    </row>
    <row r="2550" spans="4:13" ht="20" thickBot="1" x14ac:dyDescent="0.25">
      <c r="D2550" s="89"/>
      <c r="E2550" s="716" t="s">
        <v>435</v>
      </c>
      <c r="F2550" s="811">
        <v>0.5625</v>
      </c>
      <c r="G2550" s="812"/>
      <c r="H2550" s="813"/>
      <c r="I2550" s="769"/>
      <c r="J2550" s="770"/>
      <c r="K2550" s="771"/>
      <c r="L2550" s="107">
        <v>0.79166666666666663</v>
      </c>
      <c r="M2550" s="108">
        <v>0.64583333333333326</v>
      </c>
    </row>
    <row r="2551" spans="4:13" ht="20" thickBot="1" x14ac:dyDescent="0.25">
      <c r="D2551" s="89"/>
      <c r="E2551" s="717" t="s">
        <v>436</v>
      </c>
      <c r="F2551" s="278" t="s">
        <v>29</v>
      </c>
      <c r="G2551" s="278" t="s">
        <v>28</v>
      </c>
      <c r="H2551" s="279" t="s">
        <v>27</v>
      </c>
      <c r="I2551" s="769"/>
      <c r="J2551" s="770"/>
      <c r="K2551" s="771"/>
      <c r="L2551" s="100"/>
      <c r="M2551" s="101"/>
    </row>
    <row r="2552" spans="4:13" x14ac:dyDescent="0.2">
      <c r="D2552" s="89"/>
      <c r="E2552" s="718">
        <v>45632</v>
      </c>
      <c r="F2552" s="385" t="s">
        <v>978</v>
      </c>
      <c r="G2552" s="385" t="s">
        <v>1397</v>
      </c>
      <c r="H2552" s="385" t="s">
        <v>1398</v>
      </c>
      <c r="I2552" s="769"/>
      <c r="J2552" s="770"/>
      <c r="K2552" s="771"/>
      <c r="L2552" s="100"/>
      <c r="M2552" s="101"/>
    </row>
    <row r="2553" spans="4:13" x14ac:dyDescent="0.2">
      <c r="D2553" s="89"/>
      <c r="E2553" s="718">
        <v>45597</v>
      </c>
      <c r="F2553" s="385" t="s">
        <v>1233</v>
      </c>
      <c r="G2553" s="385" t="s">
        <v>1234</v>
      </c>
      <c r="H2553" s="385" t="s">
        <v>973</v>
      </c>
      <c r="I2553" s="769"/>
      <c r="J2553" s="770"/>
      <c r="K2553" s="771"/>
      <c r="L2553" s="100"/>
      <c r="M2553" s="101"/>
    </row>
    <row r="2554" spans="4:13" x14ac:dyDescent="0.2">
      <c r="D2554" s="89"/>
      <c r="E2554" s="718">
        <v>45569</v>
      </c>
      <c r="F2554" s="385" t="s">
        <v>1235</v>
      </c>
      <c r="G2554" s="385" t="s">
        <v>1202</v>
      </c>
      <c r="H2554" s="385" t="s">
        <v>1194</v>
      </c>
      <c r="I2554" s="769"/>
      <c r="J2554" s="770"/>
      <c r="K2554" s="771"/>
      <c r="L2554" s="102"/>
      <c r="M2554" s="101"/>
    </row>
    <row r="2555" spans="4:13" x14ac:dyDescent="0.2">
      <c r="D2555" s="89"/>
      <c r="E2555" s="718">
        <v>45541</v>
      </c>
      <c r="F2555" s="385" t="s">
        <v>1236</v>
      </c>
      <c r="G2555" s="385" t="s">
        <v>1237</v>
      </c>
      <c r="H2555" s="385" t="s">
        <v>1399</v>
      </c>
      <c r="I2555" s="769"/>
      <c r="J2555" s="770"/>
      <c r="K2555" s="771"/>
      <c r="L2555" s="100"/>
      <c r="M2555" s="101"/>
    </row>
    <row r="2556" spans="4:13" x14ac:dyDescent="0.2">
      <c r="D2556" s="89"/>
      <c r="E2556" s="718">
        <v>45506</v>
      </c>
      <c r="F2556" s="385" t="s">
        <v>1238</v>
      </c>
      <c r="G2556" s="385" t="s">
        <v>1239</v>
      </c>
      <c r="H2556" s="385" t="s">
        <v>1240</v>
      </c>
      <c r="I2556" s="769"/>
      <c r="J2556" s="770"/>
      <c r="K2556" s="771"/>
      <c r="L2556" s="100"/>
      <c r="M2556" s="101"/>
    </row>
    <row r="2557" spans="4:13" ht="20" thickBot="1" x14ac:dyDescent="0.25">
      <c r="D2557" s="89"/>
      <c r="E2557" s="718">
        <v>45478</v>
      </c>
      <c r="F2557" s="385" t="s">
        <v>1241</v>
      </c>
      <c r="G2557" s="385" t="s">
        <v>1242</v>
      </c>
      <c r="H2557" s="385" t="s">
        <v>974</v>
      </c>
      <c r="I2557" s="772"/>
      <c r="J2557" s="773"/>
      <c r="K2557" s="774"/>
      <c r="L2557" s="103"/>
      <c r="M2557" s="104"/>
    </row>
    <row r="2558" spans="4:13" ht="25" thickBot="1" x14ac:dyDescent="0.25">
      <c r="D2558">
        <v>12</v>
      </c>
      <c r="E2558" s="713" t="s">
        <v>30</v>
      </c>
      <c r="F2558" s="814" t="s">
        <v>1379</v>
      </c>
      <c r="G2558" s="815"/>
      <c r="H2558" s="816"/>
      <c r="I2558" s="763" t="s">
        <v>633</v>
      </c>
      <c r="J2558" s="764"/>
      <c r="K2558" s="765"/>
      <c r="L2558" s="162" t="s">
        <v>430</v>
      </c>
      <c r="M2558" s="106" t="s">
        <v>431</v>
      </c>
    </row>
    <row r="2559" spans="4:13" x14ac:dyDescent="0.2">
      <c r="D2559" s="89"/>
      <c r="E2559" s="714" t="s">
        <v>432</v>
      </c>
      <c r="F2559" s="805"/>
      <c r="G2559" s="806"/>
      <c r="H2559" s="807"/>
      <c r="I2559" s="769" t="s">
        <v>1375</v>
      </c>
      <c r="J2559" s="770"/>
      <c r="K2559" s="771"/>
      <c r="L2559" s="100"/>
      <c r="M2559" s="101"/>
    </row>
    <row r="2560" spans="4:13" x14ac:dyDescent="0.2">
      <c r="D2560" s="89"/>
      <c r="E2560" s="715" t="s">
        <v>433</v>
      </c>
      <c r="F2560" s="808">
        <v>4.2000000000000003E-2</v>
      </c>
      <c r="G2560" s="809"/>
      <c r="H2560" s="810"/>
      <c r="I2560" s="769"/>
      <c r="J2560" s="770"/>
      <c r="K2560" s="771"/>
      <c r="L2560" s="100"/>
      <c r="M2560" s="101"/>
    </row>
    <row r="2561" spans="3:13" ht="20" thickBot="1" x14ac:dyDescent="0.25">
      <c r="D2561" s="89"/>
      <c r="E2561" s="715" t="s">
        <v>434</v>
      </c>
      <c r="F2561" s="808">
        <v>4.2000000000000003E-2</v>
      </c>
      <c r="G2561" s="809"/>
      <c r="H2561" s="810"/>
      <c r="I2561" s="769"/>
      <c r="J2561" s="770"/>
      <c r="K2561" s="771"/>
      <c r="L2561" s="100"/>
      <c r="M2561" s="101"/>
    </row>
    <row r="2562" spans="3:13" ht="20" thickBot="1" x14ac:dyDescent="0.25">
      <c r="D2562" s="89"/>
      <c r="E2562" s="716" t="s">
        <v>435</v>
      </c>
      <c r="F2562" s="811">
        <v>0.5625</v>
      </c>
      <c r="G2562" s="812"/>
      <c r="H2562" s="813"/>
      <c r="I2562" s="769"/>
      <c r="J2562" s="770"/>
      <c r="K2562" s="771"/>
      <c r="L2562" s="107">
        <v>0.79166666666666663</v>
      </c>
      <c r="M2562" s="108">
        <v>0.64583333333333326</v>
      </c>
    </row>
    <row r="2563" spans="3:13" ht="20" thickBot="1" x14ac:dyDescent="0.25">
      <c r="D2563" s="89"/>
      <c r="E2563" s="717" t="s">
        <v>436</v>
      </c>
      <c r="F2563" s="278" t="s">
        <v>29</v>
      </c>
      <c r="G2563" s="278" t="s">
        <v>28</v>
      </c>
      <c r="H2563" s="279" t="s">
        <v>27</v>
      </c>
      <c r="I2563" s="769"/>
      <c r="J2563" s="770"/>
      <c r="K2563" s="771"/>
      <c r="L2563" s="100"/>
      <c r="M2563" s="101"/>
    </row>
    <row r="2564" spans="3:13" x14ac:dyDescent="0.2">
      <c r="D2564" s="89"/>
      <c r="E2564" s="718">
        <v>45632</v>
      </c>
      <c r="F2564" s="726">
        <v>4.2000000000000003E-2</v>
      </c>
      <c r="G2564" s="726" t="s">
        <v>628</v>
      </c>
      <c r="H2564" s="726">
        <v>4.1000000000000002E-2</v>
      </c>
      <c r="I2564" s="769"/>
      <c r="J2564" s="770"/>
      <c r="K2564" s="771"/>
      <c r="L2564" s="100"/>
      <c r="M2564" s="215"/>
    </row>
    <row r="2565" spans="3:13" x14ac:dyDescent="0.2">
      <c r="D2565" s="89"/>
      <c r="E2565" s="718">
        <v>45597</v>
      </c>
      <c r="F2565" s="726">
        <v>4.1000000000000002E-2</v>
      </c>
      <c r="G2565" s="726" t="s">
        <v>629</v>
      </c>
      <c r="H2565" s="726">
        <v>4.1000000000000002E-2</v>
      </c>
      <c r="I2565" s="769"/>
      <c r="J2565" s="770"/>
      <c r="K2565" s="771"/>
      <c r="L2565" s="100"/>
      <c r="M2565" s="101"/>
    </row>
    <row r="2566" spans="3:13" x14ac:dyDescent="0.2">
      <c r="D2566" s="89"/>
      <c r="E2566" s="718">
        <v>45569</v>
      </c>
      <c r="F2566" s="726">
        <v>4.1000000000000002E-2</v>
      </c>
      <c r="G2566" s="726" t="s">
        <v>628</v>
      </c>
      <c r="H2566" s="726">
        <v>4.2000000000000003E-2</v>
      </c>
      <c r="I2566" s="769"/>
      <c r="J2566" s="770"/>
      <c r="K2566" s="771"/>
      <c r="L2566" s="102"/>
      <c r="M2566" s="101"/>
    </row>
    <row r="2567" spans="3:13" x14ac:dyDescent="0.2">
      <c r="D2567" s="89"/>
      <c r="E2567" s="718">
        <v>45541</v>
      </c>
      <c r="F2567" s="726">
        <v>4.2000000000000003E-2</v>
      </c>
      <c r="G2567" s="726" t="s">
        <v>628</v>
      </c>
      <c r="H2567" s="726">
        <v>4.2999999999999997E-2</v>
      </c>
      <c r="I2567" s="769"/>
      <c r="J2567" s="770"/>
      <c r="K2567" s="771"/>
      <c r="L2567" s="100"/>
      <c r="M2567" s="101"/>
    </row>
    <row r="2568" spans="3:13" x14ac:dyDescent="0.2">
      <c r="D2568" s="89"/>
      <c r="E2568" s="718">
        <v>45506</v>
      </c>
      <c r="F2568" s="726">
        <v>4.2999999999999997E-2</v>
      </c>
      <c r="G2568" s="726" t="s">
        <v>629</v>
      </c>
      <c r="H2568" s="726">
        <v>4.1000000000000002E-2</v>
      </c>
      <c r="I2568" s="769"/>
      <c r="J2568" s="770"/>
      <c r="K2568" s="771"/>
      <c r="L2568" s="100"/>
      <c r="M2568" s="101"/>
    </row>
    <row r="2569" spans="3:13" ht="20" thickBot="1" x14ac:dyDescent="0.25">
      <c r="D2569" s="89"/>
      <c r="E2569" s="722">
        <v>45478</v>
      </c>
      <c r="F2569" s="735">
        <v>4.1000000000000002E-2</v>
      </c>
      <c r="G2569" s="735" t="s">
        <v>630</v>
      </c>
      <c r="H2569" s="735">
        <v>0.04</v>
      </c>
      <c r="I2569" s="772"/>
      <c r="J2569" s="773"/>
      <c r="K2569" s="774"/>
      <c r="L2569" s="103"/>
      <c r="M2569" s="104"/>
    </row>
    <row r="2570" spans="3:13" ht="25" thickBot="1" x14ac:dyDescent="0.25">
      <c r="C2570" t="s">
        <v>105</v>
      </c>
      <c r="D2570">
        <v>1</v>
      </c>
      <c r="E2570" s="713" t="s">
        <v>30</v>
      </c>
      <c r="F2570" s="814" t="s">
        <v>1402</v>
      </c>
      <c r="G2570" s="815"/>
      <c r="H2570" s="816"/>
      <c r="I2570" s="781" t="s">
        <v>633</v>
      </c>
      <c r="J2570" s="764"/>
      <c r="K2570" s="765"/>
      <c r="L2570" s="162" t="s">
        <v>430</v>
      </c>
      <c r="M2570" s="106" t="s">
        <v>431</v>
      </c>
    </row>
    <row r="2571" spans="3:13" x14ac:dyDescent="0.2">
      <c r="E2571" s="714" t="s">
        <v>432</v>
      </c>
      <c r="F2571" s="805"/>
      <c r="G2571" s="806"/>
      <c r="H2571" s="807"/>
      <c r="I2571" s="769" t="s">
        <v>1403</v>
      </c>
      <c r="J2571" s="770"/>
      <c r="K2571" s="771"/>
      <c r="L2571" s="100"/>
      <c r="M2571" s="101"/>
    </row>
    <row r="2572" spans="3:13" x14ac:dyDescent="0.2">
      <c r="E2572" s="715" t="s">
        <v>433</v>
      </c>
      <c r="F2572" s="823"/>
      <c r="G2572" s="818"/>
      <c r="H2572" s="819"/>
      <c r="I2572" s="769"/>
      <c r="J2572" s="770"/>
      <c r="K2572" s="771"/>
      <c r="L2572" s="100"/>
      <c r="M2572" s="101"/>
    </row>
    <row r="2573" spans="3:13" ht="20" thickBot="1" x14ac:dyDescent="0.25">
      <c r="E2573" s="715" t="s">
        <v>434</v>
      </c>
      <c r="F2573" s="823"/>
      <c r="G2573" s="818"/>
      <c r="H2573" s="819"/>
      <c r="I2573" s="769"/>
      <c r="J2573" s="770"/>
      <c r="K2573" s="771"/>
      <c r="L2573" s="100"/>
      <c r="M2573" s="101"/>
    </row>
    <row r="2574" spans="3:13" ht="20" thickBot="1" x14ac:dyDescent="0.25">
      <c r="E2574" s="716" t="s">
        <v>435</v>
      </c>
      <c r="F2574" s="811"/>
      <c r="G2574" s="812"/>
      <c r="H2574" s="813"/>
      <c r="I2574" s="769"/>
      <c r="J2574" s="770"/>
      <c r="K2574" s="771"/>
      <c r="L2574" s="107">
        <v>0</v>
      </c>
      <c r="M2574" s="108">
        <v>-0.14583333333333334</v>
      </c>
    </row>
    <row r="2575" spans="3:13" ht="20" thickBot="1" x14ac:dyDescent="0.25">
      <c r="E2575" s="717" t="s">
        <v>436</v>
      </c>
      <c r="F2575" s="278" t="s">
        <v>29</v>
      </c>
      <c r="G2575" s="278" t="s">
        <v>28</v>
      </c>
      <c r="H2575" s="279" t="s">
        <v>27</v>
      </c>
      <c r="I2575" s="769"/>
      <c r="J2575" s="770"/>
      <c r="K2575" s="771"/>
      <c r="L2575" s="100"/>
      <c r="M2575" s="101"/>
    </row>
    <row r="2576" spans="3:13" ht="18" x14ac:dyDescent="0.2">
      <c r="E2576" s="718"/>
      <c r="F2576" s="380"/>
      <c r="G2576" s="380"/>
      <c r="H2576" s="380"/>
      <c r="I2576" s="769"/>
      <c r="J2576" s="770"/>
      <c r="K2576" s="771"/>
      <c r="L2576" s="100"/>
      <c r="M2576" s="101"/>
    </row>
    <row r="2577" spans="4:13" ht="18" x14ac:dyDescent="0.2">
      <c r="E2577" s="718"/>
      <c r="F2577" s="380"/>
      <c r="G2577" s="380"/>
      <c r="H2577" s="380"/>
      <c r="I2577" s="769"/>
      <c r="J2577" s="770"/>
      <c r="K2577" s="771"/>
      <c r="L2577" s="100"/>
      <c r="M2577" s="101"/>
    </row>
    <row r="2578" spans="4:13" ht="18" x14ac:dyDescent="0.2">
      <c r="E2578" s="718"/>
      <c r="F2578" s="380"/>
      <c r="G2578" s="380"/>
      <c r="H2578" s="380"/>
      <c r="I2578" s="769"/>
      <c r="J2578" s="770"/>
      <c r="K2578" s="771"/>
      <c r="L2578" s="102"/>
      <c r="M2578" s="101"/>
    </row>
    <row r="2579" spans="4:13" ht="18" x14ac:dyDescent="0.2">
      <c r="E2579" s="718"/>
      <c r="F2579" s="380"/>
      <c r="G2579" s="380"/>
      <c r="H2579" s="380"/>
      <c r="I2579" s="769"/>
      <c r="J2579" s="770"/>
      <c r="K2579" s="771"/>
      <c r="L2579" s="100"/>
      <c r="M2579" s="101"/>
    </row>
    <row r="2580" spans="4:13" ht="18" x14ac:dyDescent="0.2">
      <c r="E2580" s="718"/>
      <c r="F2580" s="380"/>
      <c r="G2580" s="380"/>
      <c r="H2580" s="380"/>
      <c r="I2580" s="769"/>
      <c r="J2580" s="770"/>
      <c r="K2580" s="771"/>
      <c r="L2580" s="100"/>
      <c r="M2580" s="101"/>
    </row>
    <row r="2581" spans="4:13" thickBot="1" x14ac:dyDescent="0.25">
      <c r="E2581" s="718"/>
      <c r="F2581" s="380"/>
      <c r="G2581" s="380"/>
      <c r="H2581" s="380"/>
      <c r="I2581" s="772"/>
      <c r="J2581" s="773"/>
      <c r="K2581" s="774"/>
      <c r="L2581" s="103"/>
      <c r="M2581" s="104"/>
    </row>
    <row r="2582" spans="4:13" ht="25" thickBot="1" x14ac:dyDescent="0.25">
      <c r="D2582">
        <v>2</v>
      </c>
      <c r="E2582" s="713" t="s">
        <v>30</v>
      </c>
      <c r="F2582" s="814" t="s">
        <v>1404</v>
      </c>
      <c r="G2582" s="815"/>
      <c r="H2582" s="816"/>
      <c r="I2582" s="781" t="s">
        <v>633</v>
      </c>
      <c r="J2582" s="764"/>
      <c r="K2582" s="765"/>
      <c r="L2582" s="162" t="s">
        <v>430</v>
      </c>
      <c r="M2582" s="106" t="s">
        <v>431</v>
      </c>
    </row>
    <row r="2583" spans="4:13" x14ac:dyDescent="0.2">
      <c r="E2583" s="714" t="s">
        <v>432</v>
      </c>
      <c r="F2583" s="805"/>
      <c r="G2583" s="806"/>
      <c r="H2583" s="807"/>
      <c r="I2583" s="769" t="s">
        <v>1405</v>
      </c>
      <c r="J2583" s="770"/>
      <c r="K2583" s="771"/>
      <c r="L2583" s="100"/>
      <c r="M2583" s="101"/>
    </row>
    <row r="2584" spans="4:13" x14ac:dyDescent="0.2">
      <c r="E2584" s="715" t="s">
        <v>433</v>
      </c>
      <c r="F2584" s="824">
        <v>4.0000000000000001E-3</v>
      </c>
      <c r="G2584" s="825"/>
      <c r="H2584" s="826"/>
      <c r="I2584" s="769"/>
      <c r="J2584" s="770"/>
      <c r="K2584" s="771"/>
      <c r="L2584" s="100"/>
      <c r="M2584" s="101"/>
    </row>
    <row r="2585" spans="4:13" ht="20" thickBot="1" x14ac:dyDescent="0.25">
      <c r="E2585" s="715" t="s">
        <v>434</v>
      </c>
      <c r="F2585" s="824">
        <v>4.0000000000000001E-3</v>
      </c>
      <c r="G2585" s="825"/>
      <c r="H2585" s="826"/>
      <c r="I2585" s="769"/>
      <c r="J2585" s="770"/>
      <c r="K2585" s="771"/>
      <c r="L2585" s="100"/>
      <c r="M2585" s="101"/>
    </row>
    <row r="2586" spans="4:13" ht="20" thickBot="1" x14ac:dyDescent="0.25">
      <c r="E2586" s="716" t="s">
        <v>435</v>
      </c>
      <c r="F2586" s="811">
        <v>0.5625</v>
      </c>
      <c r="G2586" s="812"/>
      <c r="H2586" s="813"/>
      <c r="I2586" s="769"/>
      <c r="J2586" s="770"/>
      <c r="K2586" s="771"/>
      <c r="L2586" s="107">
        <v>0.79166666666666663</v>
      </c>
      <c r="M2586" s="108">
        <v>0.64583333333333326</v>
      </c>
    </row>
    <row r="2587" spans="4:13" ht="20" thickBot="1" x14ac:dyDescent="0.25">
      <c r="E2587" s="717" t="s">
        <v>436</v>
      </c>
      <c r="F2587" s="278" t="s">
        <v>29</v>
      </c>
      <c r="G2587" s="278" t="s">
        <v>28</v>
      </c>
      <c r="H2587" s="279" t="s">
        <v>27</v>
      </c>
      <c r="I2587" s="769"/>
      <c r="J2587" s="770"/>
      <c r="K2587" s="771"/>
      <c r="L2587" s="100"/>
      <c r="M2587" s="101"/>
    </row>
    <row r="2588" spans="4:13" x14ac:dyDescent="0.2">
      <c r="E2588" s="718">
        <v>45638</v>
      </c>
      <c r="F2588" s="380">
        <v>4.0000000000000001E-3</v>
      </c>
      <c r="G2588" s="380" t="s">
        <v>460</v>
      </c>
      <c r="H2588" s="380">
        <v>3.0000000000000001E-3</v>
      </c>
      <c r="I2588" s="769"/>
      <c r="J2588" s="770"/>
      <c r="K2588" s="771"/>
      <c r="L2588" s="100"/>
      <c r="M2588" s="101"/>
    </row>
    <row r="2589" spans="4:13" x14ac:dyDescent="0.2">
      <c r="E2589" s="718">
        <v>45610</v>
      </c>
      <c r="F2589" s="380">
        <v>2E-3</v>
      </c>
      <c r="G2589" s="380" t="s">
        <v>460</v>
      </c>
      <c r="H2589" s="380">
        <v>1E-3</v>
      </c>
      <c r="I2589" s="769"/>
      <c r="J2589" s="770"/>
      <c r="K2589" s="771"/>
      <c r="L2589" s="100"/>
      <c r="M2589" s="101"/>
    </row>
    <row r="2590" spans="4:13" x14ac:dyDescent="0.2">
      <c r="E2590" s="718">
        <v>45576</v>
      </c>
      <c r="F2590" s="380">
        <v>0</v>
      </c>
      <c r="G2590" s="380" t="s">
        <v>462</v>
      </c>
      <c r="H2590" s="380">
        <v>2E-3</v>
      </c>
      <c r="I2590" s="769"/>
      <c r="J2590" s="770"/>
      <c r="K2590" s="771"/>
      <c r="L2590" s="102"/>
      <c r="M2590" s="101"/>
    </row>
    <row r="2591" spans="4:13" x14ac:dyDescent="0.2">
      <c r="E2591" s="718">
        <v>45547</v>
      </c>
      <c r="F2591" s="380">
        <v>2E-3</v>
      </c>
      <c r="G2591" s="380" t="s">
        <v>462</v>
      </c>
      <c r="H2591" s="380">
        <v>0</v>
      </c>
      <c r="I2591" s="769"/>
      <c r="J2591" s="770"/>
      <c r="K2591" s="771"/>
      <c r="L2591" s="100"/>
      <c r="M2591" s="101"/>
    </row>
    <row r="2592" spans="4:13" x14ac:dyDescent="0.2">
      <c r="E2592" s="718">
        <v>45517</v>
      </c>
      <c r="F2592" s="380">
        <v>1E-3</v>
      </c>
      <c r="G2592" s="380" t="s">
        <v>460</v>
      </c>
      <c r="H2592" s="380">
        <v>2E-3</v>
      </c>
      <c r="I2592" s="769"/>
      <c r="J2592" s="770"/>
      <c r="K2592" s="771"/>
      <c r="L2592" s="100"/>
      <c r="M2592" s="101"/>
    </row>
    <row r="2593" spans="4:13" ht="20" thickBot="1" x14ac:dyDescent="0.25">
      <c r="E2593" s="718">
        <v>45485</v>
      </c>
      <c r="F2593" s="380">
        <v>2E-3</v>
      </c>
      <c r="G2593" s="380" t="s">
        <v>462</v>
      </c>
      <c r="H2593" s="380">
        <v>0</v>
      </c>
      <c r="I2593" s="772"/>
      <c r="J2593" s="773"/>
      <c r="K2593" s="774"/>
      <c r="L2593" s="103"/>
      <c r="M2593" s="104"/>
    </row>
    <row r="2594" spans="4:13" ht="25" thickBot="1" x14ac:dyDescent="0.25">
      <c r="D2594">
        <v>1</v>
      </c>
      <c r="E2594" s="713" t="s">
        <v>30</v>
      </c>
      <c r="F2594" s="814" t="s">
        <v>1406</v>
      </c>
      <c r="G2594" s="815"/>
      <c r="H2594" s="816"/>
      <c r="I2594" s="781" t="s">
        <v>633</v>
      </c>
      <c r="J2594" s="764"/>
      <c r="K2594" s="765"/>
      <c r="L2594" s="162" t="s">
        <v>430</v>
      </c>
      <c r="M2594" s="106" t="s">
        <v>431</v>
      </c>
    </row>
    <row r="2595" spans="4:13" x14ac:dyDescent="0.2">
      <c r="E2595" s="714" t="s">
        <v>432</v>
      </c>
      <c r="F2595" s="805"/>
      <c r="G2595" s="806"/>
      <c r="H2595" s="807"/>
      <c r="I2595" s="769" t="s">
        <v>1407</v>
      </c>
      <c r="J2595" s="770"/>
      <c r="K2595" s="771"/>
      <c r="L2595" s="100"/>
      <c r="M2595" s="101"/>
    </row>
    <row r="2596" spans="4:13" x14ac:dyDescent="0.2">
      <c r="E2596" s="715" t="s">
        <v>433</v>
      </c>
      <c r="F2596" s="823">
        <v>2.5999999999999999E-2</v>
      </c>
      <c r="G2596" s="818"/>
      <c r="H2596" s="819"/>
      <c r="I2596" s="769"/>
      <c r="J2596" s="770"/>
      <c r="K2596" s="771"/>
      <c r="L2596" s="100"/>
      <c r="M2596" s="101"/>
    </row>
    <row r="2597" spans="4:13" ht="20" thickBot="1" x14ac:dyDescent="0.25">
      <c r="E2597" s="715" t="s">
        <v>434</v>
      </c>
      <c r="F2597" s="823">
        <v>2.5999999999999999E-2</v>
      </c>
      <c r="G2597" s="818"/>
      <c r="H2597" s="819"/>
      <c r="I2597" s="769"/>
      <c r="J2597" s="770"/>
      <c r="K2597" s="771"/>
      <c r="L2597" s="100"/>
      <c r="M2597" s="101"/>
    </row>
    <row r="2598" spans="4:13" ht="20" thickBot="1" x14ac:dyDescent="0.25">
      <c r="E2598" s="716" t="s">
        <v>435</v>
      </c>
      <c r="F2598" s="811">
        <v>0.29166666666666674</v>
      </c>
      <c r="G2598" s="812"/>
      <c r="H2598" s="813"/>
      <c r="I2598" s="769"/>
      <c r="J2598" s="770"/>
      <c r="K2598" s="771"/>
      <c r="L2598" s="107">
        <v>0.52083333333333337</v>
      </c>
      <c r="M2598" s="108">
        <v>0.375</v>
      </c>
    </row>
    <row r="2599" spans="4:13" ht="20" thickBot="1" x14ac:dyDescent="0.25">
      <c r="E2599" s="717" t="s">
        <v>436</v>
      </c>
      <c r="F2599" s="278" t="s">
        <v>29</v>
      </c>
      <c r="G2599" s="278" t="s">
        <v>28</v>
      </c>
      <c r="H2599" s="279" t="s">
        <v>27</v>
      </c>
      <c r="I2599" s="769"/>
      <c r="J2599" s="770"/>
      <c r="K2599" s="771"/>
      <c r="L2599" s="100"/>
      <c r="M2599" s="101"/>
    </row>
    <row r="2600" spans="4:13" x14ac:dyDescent="0.2">
      <c r="E2600" s="718">
        <v>45644</v>
      </c>
      <c r="F2600" s="380">
        <v>2.5999999999999999E-2</v>
      </c>
      <c r="G2600" s="380" t="s">
        <v>493</v>
      </c>
      <c r="H2600" s="380">
        <v>2.3E-2</v>
      </c>
      <c r="I2600" s="769"/>
      <c r="J2600" s="770"/>
      <c r="K2600" s="771"/>
      <c r="L2600" s="100"/>
      <c r="M2600" s="101"/>
    </row>
    <row r="2601" spans="4:13" x14ac:dyDescent="0.2">
      <c r="E2601" s="718">
        <v>45616</v>
      </c>
      <c r="F2601" s="380">
        <v>2.3E-2</v>
      </c>
      <c r="G2601" s="380" t="s">
        <v>490</v>
      </c>
      <c r="H2601" s="380">
        <v>1.7000000000000001E-2</v>
      </c>
      <c r="I2601" s="769"/>
      <c r="J2601" s="770"/>
      <c r="K2601" s="771"/>
      <c r="L2601" s="100"/>
      <c r="M2601" s="101"/>
    </row>
    <row r="2602" spans="4:13" x14ac:dyDescent="0.2">
      <c r="E2602" s="718">
        <v>45581</v>
      </c>
      <c r="F2602" s="380">
        <v>1.7000000000000001E-2</v>
      </c>
      <c r="G2602" s="380" t="s">
        <v>789</v>
      </c>
      <c r="H2602" s="380">
        <v>2.1999999999999999E-2</v>
      </c>
      <c r="I2602" s="769"/>
      <c r="J2602" s="770"/>
      <c r="K2602" s="771"/>
      <c r="L2602" s="102"/>
      <c r="M2602" s="101"/>
    </row>
    <row r="2603" spans="4:13" x14ac:dyDescent="0.2">
      <c r="E2603" s="718">
        <v>45553</v>
      </c>
      <c r="F2603" s="380">
        <v>2.1999999999999999E-2</v>
      </c>
      <c r="G2603" s="380" t="s">
        <v>490</v>
      </c>
      <c r="H2603" s="380">
        <v>2.1999999999999999E-2</v>
      </c>
      <c r="I2603" s="769"/>
      <c r="J2603" s="770"/>
      <c r="K2603" s="771"/>
      <c r="L2603" s="100"/>
      <c r="M2603" s="101"/>
    </row>
    <row r="2604" spans="4:13" x14ac:dyDescent="0.2">
      <c r="E2604" s="718">
        <v>45518</v>
      </c>
      <c r="F2604" s="380">
        <v>2.1999999999999999E-2</v>
      </c>
      <c r="G2604" s="380" t="s">
        <v>971</v>
      </c>
      <c r="H2604" s="380">
        <v>0.02</v>
      </c>
      <c r="I2604" s="769"/>
      <c r="J2604" s="770"/>
      <c r="K2604" s="771"/>
      <c r="L2604" s="100"/>
      <c r="M2604" s="101"/>
    </row>
    <row r="2605" spans="4:13" ht="20" thickBot="1" x14ac:dyDescent="0.25">
      <c r="E2605" s="718">
        <v>45490</v>
      </c>
      <c r="F2605" s="380">
        <v>0.02</v>
      </c>
      <c r="G2605" s="380" t="s">
        <v>789</v>
      </c>
      <c r="H2605" s="380">
        <v>0.02</v>
      </c>
      <c r="I2605" s="772"/>
      <c r="J2605" s="773"/>
      <c r="K2605" s="774"/>
      <c r="L2605" s="103"/>
      <c r="M2605" s="104"/>
    </row>
    <row r="2606" spans="4:13" ht="25" thickBot="1" x14ac:dyDescent="0.25">
      <c r="D2606">
        <v>3</v>
      </c>
      <c r="E2606" s="713" t="s">
        <v>30</v>
      </c>
      <c r="F2606" s="814" t="s">
        <v>1408</v>
      </c>
      <c r="G2606" s="815"/>
      <c r="H2606" s="816"/>
      <c r="I2606" s="914" t="s">
        <v>633</v>
      </c>
      <c r="J2606" s="915"/>
      <c r="K2606" s="916"/>
      <c r="L2606" s="162" t="s">
        <v>430</v>
      </c>
      <c r="M2606" s="106" t="s">
        <v>431</v>
      </c>
    </row>
    <row r="2607" spans="4:13" x14ac:dyDescent="0.2">
      <c r="E2607" s="714" t="s">
        <v>432</v>
      </c>
      <c r="F2607" s="805"/>
      <c r="G2607" s="806"/>
      <c r="H2607" s="807"/>
      <c r="I2607" s="769" t="s">
        <v>1409</v>
      </c>
      <c r="J2607" s="770"/>
      <c r="K2607" s="771"/>
      <c r="L2607" s="100"/>
      <c r="M2607" s="101"/>
    </row>
    <row r="2608" spans="4:13" x14ac:dyDescent="0.2">
      <c r="E2608" s="715" t="s">
        <v>433</v>
      </c>
      <c r="F2608" s="824">
        <v>2E-3</v>
      </c>
      <c r="G2608" s="825"/>
      <c r="H2608" s="826"/>
      <c r="I2608" s="769"/>
      <c r="J2608" s="770"/>
      <c r="K2608" s="771"/>
      <c r="L2608" s="100"/>
      <c r="M2608" s="101"/>
    </row>
    <row r="2609" spans="4:13" ht="20" thickBot="1" x14ac:dyDescent="0.25">
      <c r="E2609" s="715" t="s">
        <v>434</v>
      </c>
      <c r="F2609" s="824">
        <v>3.0000000000000001E-3</v>
      </c>
      <c r="G2609" s="825"/>
      <c r="H2609" s="826"/>
      <c r="I2609" s="769"/>
      <c r="J2609" s="770"/>
      <c r="K2609" s="771"/>
      <c r="L2609" s="100"/>
      <c r="M2609" s="101"/>
    </row>
    <row r="2610" spans="4:13" ht="20" thickBot="1" x14ac:dyDescent="0.25">
      <c r="E2610" s="716" t="s">
        <v>435</v>
      </c>
      <c r="F2610" s="811">
        <v>0.5625</v>
      </c>
      <c r="G2610" s="812"/>
      <c r="H2610" s="813"/>
      <c r="I2610" s="769"/>
      <c r="J2610" s="770"/>
      <c r="K2610" s="771"/>
      <c r="L2610" s="107">
        <v>0.79166666666666663</v>
      </c>
      <c r="M2610" s="108">
        <v>0.64583333333333326</v>
      </c>
    </row>
    <row r="2611" spans="4:13" ht="20" thickBot="1" x14ac:dyDescent="0.25">
      <c r="E2611" s="717" t="s">
        <v>436</v>
      </c>
      <c r="F2611" s="278" t="s">
        <v>29</v>
      </c>
      <c r="G2611" s="278" t="s">
        <v>28</v>
      </c>
      <c r="H2611" s="279" t="s">
        <v>27</v>
      </c>
      <c r="I2611" s="769"/>
      <c r="J2611" s="770"/>
      <c r="K2611" s="771"/>
      <c r="L2611" s="369"/>
      <c r="M2611" s="370"/>
    </row>
    <row r="2612" spans="4:13" x14ac:dyDescent="0.2">
      <c r="E2612" s="718">
        <v>45637</v>
      </c>
      <c r="F2612" s="721">
        <v>3.0000000000000001E-3</v>
      </c>
      <c r="G2612" s="721" t="s">
        <v>467</v>
      </c>
      <c r="H2612" s="721">
        <v>3.0000000000000001E-3</v>
      </c>
      <c r="I2612" s="769"/>
      <c r="J2612" s="770"/>
      <c r="K2612" s="771"/>
      <c r="L2612" s="100"/>
      <c r="M2612" s="101"/>
    </row>
    <row r="2613" spans="4:13" x14ac:dyDescent="0.2">
      <c r="E2613" s="718">
        <v>45609</v>
      </c>
      <c r="F2613" s="721">
        <v>3.0000000000000001E-3</v>
      </c>
      <c r="G2613" s="721" t="s">
        <v>467</v>
      </c>
      <c r="H2613" s="721">
        <v>3.0000000000000001E-3</v>
      </c>
      <c r="I2613" s="769"/>
      <c r="J2613" s="770"/>
      <c r="K2613" s="771"/>
      <c r="L2613" s="100"/>
      <c r="M2613" s="101"/>
    </row>
    <row r="2614" spans="4:13" x14ac:dyDescent="0.2">
      <c r="E2614" s="718">
        <v>45575</v>
      </c>
      <c r="F2614" s="721">
        <v>3.0000000000000001E-3</v>
      </c>
      <c r="G2614" s="721" t="s">
        <v>460</v>
      </c>
      <c r="H2614" s="721">
        <v>3.0000000000000001E-3</v>
      </c>
      <c r="I2614" s="769"/>
      <c r="J2614" s="770"/>
      <c r="K2614" s="771"/>
      <c r="L2614" s="102"/>
      <c r="M2614" s="101"/>
    </row>
    <row r="2615" spans="4:13" x14ac:dyDescent="0.2">
      <c r="E2615" s="718">
        <v>45546</v>
      </c>
      <c r="F2615" s="721">
        <v>3.0000000000000001E-3</v>
      </c>
      <c r="G2615" s="721" t="s">
        <v>460</v>
      </c>
      <c r="H2615" s="721">
        <v>2E-3</v>
      </c>
      <c r="I2615" s="769"/>
      <c r="J2615" s="770"/>
      <c r="K2615" s="771"/>
      <c r="L2615" s="100"/>
      <c r="M2615" s="101"/>
    </row>
    <row r="2616" spans="4:13" x14ac:dyDescent="0.2">
      <c r="E2616" s="718">
        <v>45518</v>
      </c>
      <c r="F2616" s="721">
        <v>2E-3</v>
      </c>
      <c r="G2616" s="721" t="s">
        <v>460</v>
      </c>
      <c r="H2616" s="721">
        <v>1E-3</v>
      </c>
      <c r="I2616" s="769"/>
      <c r="J2616" s="770"/>
      <c r="K2616" s="771"/>
      <c r="L2616" s="100"/>
      <c r="M2616" s="101"/>
    </row>
    <row r="2617" spans="4:13" ht="20" thickBot="1" x14ac:dyDescent="0.25">
      <c r="E2617" s="718">
        <v>45484</v>
      </c>
      <c r="F2617" s="721">
        <v>1E-3</v>
      </c>
      <c r="G2617" s="721" t="s">
        <v>460</v>
      </c>
      <c r="H2617" s="721">
        <v>2E-3</v>
      </c>
      <c r="I2617" s="772"/>
      <c r="J2617" s="773"/>
      <c r="K2617" s="774"/>
      <c r="L2617" s="103"/>
      <c r="M2617" s="104"/>
    </row>
    <row r="2618" spans="4:13" ht="25" thickBot="1" x14ac:dyDescent="0.25">
      <c r="D2618">
        <v>4</v>
      </c>
      <c r="E2618" s="713" t="s">
        <v>30</v>
      </c>
      <c r="F2618" s="814" t="s">
        <v>1410</v>
      </c>
      <c r="G2618" s="815"/>
      <c r="H2618" s="816"/>
      <c r="I2618" s="914" t="s">
        <v>633</v>
      </c>
      <c r="J2618" s="915"/>
      <c r="K2618" s="916"/>
      <c r="L2618" s="162" t="s">
        <v>430</v>
      </c>
      <c r="M2618" s="106" t="s">
        <v>431</v>
      </c>
    </row>
    <row r="2619" spans="4:13" x14ac:dyDescent="0.2">
      <c r="E2619" s="714" t="s">
        <v>432</v>
      </c>
      <c r="F2619" s="805"/>
      <c r="G2619" s="806"/>
      <c r="H2619" s="807"/>
      <c r="I2619" s="769" t="s">
        <v>1409</v>
      </c>
      <c r="J2619" s="770"/>
      <c r="K2619" s="771"/>
      <c r="L2619" s="100"/>
      <c r="M2619" s="101"/>
    </row>
    <row r="2620" spans="4:13" x14ac:dyDescent="0.2">
      <c r="E2620" s="715" t="s">
        <v>433</v>
      </c>
      <c r="F2620" s="824">
        <v>2.9000000000000001E-2</v>
      </c>
      <c r="G2620" s="825"/>
      <c r="H2620" s="826"/>
      <c r="I2620" s="769"/>
      <c r="J2620" s="770"/>
      <c r="K2620" s="771"/>
      <c r="L2620" s="100"/>
      <c r="M2620" s="101"/>
    </row>
    <row r="2621" spans="4:13" ht="20" thickBot="1" x14ac:dyDescent="0.25">
      <c r="E2621" s="715" t="s">
        <v>434</v>
      </c>
      <c r="F2621" s="824">
        <v>2.7E-2</v>
      </c>
      <c r="G2621" s="825"/>
      <c r="H2621" s="826"/>
      <c r="I2621" s="769"/>
      <c r="J2621" s="770"/>
      <c r="K2621" s="771"/>
      <c r="L2621" s="100"/>
      <c r="M2621" s="101"/>
    </row>
    <row r="2622" spans="4:13" ht="20" thickBot="1" x14ac:dyDescent="0.25">
      <c r="E2622" s="716" t="s">
        <v>435</v>
      </c>
      <c r="F2622" s="811">
        <v>0.5625</v>
      </c>
      <c r="G2622" s="812"/>
      <c r="H2622" s="813"/>
      <c r="I2622" s="769"/>
      <c r="J2622" s="770"/>
      <c r="K2622" s="771"/>
      <c r="L2622" s="107">
        <v>0.79166666666666663</v>
      </c>
      <c r="M2622" s="108">
        <v>0.64583333333333326</v>
      </c>
    </row>
    <row r="2623" spans="4:13" ht="20" thickBot="1" x14ac:dyDescent="0.25">
      <c r="E2623" s="717" t="s">
        <v>436</v>
      </c>
      <c r="F2623" s="278" t="s">
        <v>29</v>
      </c>
      <c r="G2623" s="278" t="s">
        <v>28</v>
      </c>
      <c r="H2623" s="279" t="s">
        <v>27</v>
      </c>
      <c r="I2623" s="769"/>
      <c r="J2623" s="770"/>
      <c r="K2623" s="771"/>
      <c r="L2623" s="100"/>
      <c r="M2623" s="101"/>
    </row>
    <row r="2624" spans="4:13" x14ac:dyDescent="0.2">
      <c r="E2624" s="718">
        <v>45637</v>
      </c>
      <c r="F2624" s="721">
        <v>2.7E-2</v>
      </c>
      <c r="G2624" s="721" t="s">
        <v>665</v>
      </c>
      <c r="H2624" s="721">
        <v>2.5999999999999999E-2</v>
      </c>
      <c r="I2624" s="769"/>
      <c r="J2624" s="770"/>
      <c r="K2624" s="771"/>
      <c r="L2624" s="100"/>
      <c r="M2624" s="101"/>
    </row>
    <row r="2625" spans="4:13" x14ac:dyDescent="0.2">
      <c r="E2625" s="718">
        <v>45609</v>
      </c>
      <c r="F2625" s="721">
        <v>2.5999999999999999E-2</v>
      </c>
      <c r="G2625" s="721" t="s">
        <v>493</v>
      </c>
      <c r="H2625" s="721">
        <v>2.4E-2</v>
      </c>
      <c r="I2625" s="769"/>
      <c r="J2625" s="770"/>
      <c r="K2625" s="771"/>
      <c r="L2625" s="100"/>
      <c r="M2625" s="101"/>
    </row>
    <row r="2626" spans="4:13" x14ac:dyDescent="0.2">
      <c r="E2626" s="718">
        <v>45575</v>
      </c>
      <c r="F2626" s="721">
        <v>2.4E-2</v>
      </c>
      <c r="G2626" s="721" t="s">
        <v>971</v>
      </c>
      <c r="H2626" s="721">
        <v>2.5000000000000001E-2</v>
      </c>
      <c r="I2626" s="769"/>
      <c r="J2626" s="770"/>
      <c r="K2626" s="771"/>
      <c r="L2626" s="102"/>
      <c r="M2626" s="101"/>
    </row>
    <row r="2627" spans="4:13" x14ac:dyDescent="0.2">
      <c r="E2627" s="718">
        <v>45546</v>
      </c>
      <c r="F2627" s="721">
        <v>2.5000000000000001E-2</v>
      </c>
      <c r="G2627" s="721" t="s">
        <v>495</v>
      </c>
      <c r="H2627" s="721">
        <v>2.9000000000000001E-2</v>
      </c>
      <c r="I2627" s="769"/>
      <c r="J2627" s="770"/>
      <c r="K2627" s="771"/>
      <c r="L2627" s="100"/>
      <c r="M2627" s="101"/>
    </row>
    <row r="2628" spans="4:13" x14ac:dyDescent="0.2">
      <c r="E2628" s="718">
        <v>45518</v>
      </c>
      <c r="F2628" s="721">
        <v>2.9000000000000001E-2</v>
      </c>
      <c r="G2628" s="721" t="s">
        <v>669</v>
      </c>
      <c r="H2628" s="721">
        <v>0.03</v>
      </c>
      <c r="I2628" s="769"/>
      <c r="J2628" s="770"/>
      <c r="K2628" s="771"/>
      <c r="L2628" s="100"/>
      <c r="M2628" s="101"/>
    </row>
    <row r="2629" spans="4:13" ht="20" thickBot="1" x14ac:dyDescent="0.25">
      <c r="E2629" s="718">
        <v>45484</v>
      </c>
      <c r="F2629" s="721">
        <v>0.03</v>
      </c>
      <c r="G2629" s="721" t="s">
        <v>668</v>
      </c>
      <c r="H2629" s="721">
        <v>3.3000000000000002E-2</v>
      </c>
      <c r="I2629" s="772"/>
      <c r="J2629" s="773"/>
      <c r="K2629" s="774"/>
      <c r="L2629" s="103"/>
      <c r="M2629" s="104"/>
    </row>
    <row r="2630" spans="4:13" ht="25" thickBot="1" x14ac:dyDescent="0.25">
      <c r="D2630">
        <v>6</v>
      </c>
      <c r="E2630" s="713" t="s">
        <v>30</v>
      </c>
      <c r="F2630" s="814" t="s">
        <v>1411</v>
      </c>
      <c r="G2630" s="815"/>
      <c r="H2630" s="816"/>
      <c r="I2630" s="914" t="s">
        <v>633</v>
      </c>
      <c r="J2630" s="915"/>
      <c r="K2630" s="916"/>
      <c r="L2630" s="162" t="s">
        <v>430</v>
      </c>
      <c r="M2630" s="106" t="s">
        <v>431</v>
      </c>
    </row>
    <row r="2631" spans="4:13" x14ac:dyDescent="0.2">
      <c r="E2631" s="714" t="s">
        <v>432</v>
      </c>
      <c r="F2631" s="805"/>
      <c r="G2631" s="806"/>
      <c r="H2631" s="807"/>
      <c r="I2631" s="769" t="s">
        <v>1409</v>
      </c>
      <c r="J2631" s="770"/>
      <c r="K2631" s="771"/>
      <c r="L2631" s="100"/>
      <c r="M2631" s="101"/>
    </row>
    <row r="2632" spans="4:13" x14ac:dyDescent="0.2">
      <c r="E2632" s="715" t="s">
        <v>433</v>
      </c>
      <c r="F2632" s="824">
        <v>3.0000000000000001E-3</v>
      </c>
      <c r="G2632" s="825"/>
      <c r="H2632" s="826"/>
      <c r="I2632" s="769"/>
      <c r="J2632" s="770"/>
      <c r="K2632" s="771"/>
      <c r="L2632" s="100"/>
      <c r="M2632" s="101"/>
    </row>
    <row r="2633" spans="4:13" ht="20" thickBot="1" x14ac:dyDescent="0.25">
      <c r="E2633" s="715" t="s">
        <v>434</v>
      </c>
      <c r="F2633" s="824">
        <v>3.0000000000000001E-3</v>
      </c>
      <c r="G2633" s="825"/>
      <c r="H2633" s="826"/>
      <c r="I2633" s="769"/>
      <c r="J2633" s="770"/>
      <c r="K2633" s="771"/>
      <c r="L2633" s="100"/>
      <c r="M2633" s="101"/>
    </row>
    <row r="2634" spans="4:13" ht="20" thickBot="1" x14ac:dyDescent="0.25">
      <c r="E2634" s="716" t="s">
        <v>435</v>
      </c>
      <c r="F2634" s="811">
        <v>0.5625</v>
      </c>
      <c r="G2634" s="812"/>
      <c r="H2634" s="813"/>
      <c r="I2634" s="769"/>
      <c r="J2634" s="770"/>
      <c r="K2634" s="771"/>
      <c r="L2634" s="107">
        <v>0.79166666666666663</v>
      </c>
      <c r="M2634" s="108">
        <v>0.6875</v>
      </c>
    </row>
    <row r="2635" spans="4:13" ht="20" thickBot="1" x14ac:dyDescent="0.25">
      <c r="E2635" s="717" t="s">
        <v>436</v>
      </c>
      <c r="F2635" s="278" t="s">
        <v>29</v>
      </c>
      <c r="G2635" s="278" t="s">
        <v>28</v>
      </c>
      <c r="H2635" s="279" t="s">
        <v>27</v>
      </c>
      <c r="I2635" s="769"/>
      <c r="J2635" s="770"/>
      <c r="K2635" s="771"/>
      <c r="L2635" s="100"/>
      <c r="M2635" s="101"/>
    </row>
    <row r="2636" spans="4:13" x14ac:dyDescent="0.2">
      <c r="E2636" s="718">
        <v>45637</v>
      </c>
      <c r="F2636" s="721">
        <v>3.0000000000000001E-3</v>
      </c>
      <c r="G2636" s="721" t="s">
        <v>467</v>
      </c>
      <c r="H2636" s="721">
        <v>2E-3</v>
      </c>
      <c r="I2636" s="769"/>
      <c r="J2636" s="770"/>
      <c r="K2636" s="771"/>
      <c r="L2636" s="100"/>
      <c r="M2636" s="101"/>
    </row>
    <row r="2637" spans="4:13" x14ac:dyDescent="0.2">
      <c r="E2637" s="718">
        <v>45609</v>
      </c>
      <c r="F2637" s="721">
        <v>2E-3</v>
      </c>
      <c r="G2637" s="721" t="s">
        <v>460</v>
      </c>
      <c r="H2637" s="721">
        <v>2E-3</v>
      </c>
      <c r="I2637" s="769"/>
      <c r="J2637" s="770"/>
      <c r="K2637" s="771"/>
      <c r="L2637" s="100"/>
      <c r="M2637" s="101"/>
    </row>
    <row r="2638" spans="4:13" x14ac:dyDescent="0.2">
      <c r="E2638" s="718">
        <v>45575</v>
      </c>
      <c r="F2638" s="721">
        <v>2E-3</v>
      </c>
      <c r="G2638" s="721" t="s">
        <v>462</v>
      </c>
      <c r="H2638" s="721">
        <v>2E-3</v>
      </c>
      <c r="I2638" s="769"/>
      <c r="J2638" s="770"/>
      <c r="K2638" s="771"/>
      <c r="L2638" s="102"/>
      <c r="M2638" s="101"/>
    </row>
    <row r="2639" spans="4:13" x14ac:dyDescent="0.2">
      <c r="E2639" s="718">
        <v>45546</v>
      </c>
      <c r="F2639" s="721">
        <v>2E-3</v>
      </c>
      <c r="G2639" s="721" t="s">
        <v>460</v>
      </c>
      <c r="H2639" s="721">
        <v>2E-3</v>
      </c>
      <c r="I2639" s="769"/>
      <c r="J2639" s="770"/>
      <c r="K2639" s="771"/>
      <c r="L2639" s="100"/>
      <c r="M2639" s="101"/>
    </row>
    <row r="2640" spans="4:13" x14ac:dyDescent="0.2">
      <c r="E2640" s="718">
        <v>45518</v>
      </c>
      <c r="F2640" s="721">
        <v>2E-3</v>
      </c>
      <c r="G2640" s="721" t="s">
        <v>460</v>
      </c>
      <c r="H2640" s="721">
        <v>-1E-3</v>
      </c>
      <c r="I2640" s="769"/>
      <c r="J2640" s="770"/>
      <c r="K2640" s="771"/>
      <c r="L2640" s="100"/>
      <c r="M2640" s="101"/>
    </row>
    <row r="2641" spans="4:13" ht="20" thickBot="1" x14ac:dyDescent="0.25">
      <c r="E2641" s="718">
        <v>45484</v>
      </c>
      <c r="F2641" s="721">
        <v>-1E-3</v>
      </c>
      <c r="G2641" s="721" t="s">
        <v>462</v>
      </c>
      <c r="H2641" s="721">
        <v>0</v>
      </c>
      <c r="I2641" s="772"/>
      <c r="J2641" s="773"/>
      <c r="K2641" s="774"/>
      <c r="L2641" s="103"/>
      <c r="M2641" s="104"/>
    </row>
    <row r="2642" spans="4:13" ht="25" thickBot="1" x14ac:dyDescent="0.25">
      <c r="D2642">
        <v>7</v>
      </c>
      <c r="E2642" s="713" t="s">
        <v>30</v>
      </c>
      <c r="F2642" s="814" t="s">
        <v>1412</v>
      </c>
      <c r="G2642" s="815"/>
      <c r="H2642" s="816"/>
      <c r="I2642" s="914" t="s">
        <v>633</v>
      </c>
      <c r="J2642" s="915"/>
      <c r="K2642" s="916"/>
      <c r="L2642" s="162" t="s">
        <v>430</v>
      </c>
      <c r="M2642" s="106" t="s">
        <v>431</v>
      </c>
    </row>
    <row r="2643" spans="4:13" x14ac:dyDescent="0.2">
      <c r="E2643" s="714" t="s">
        <v>432</v>
      </c>
      <c r="F2643" s="805"/>
      <c r="G2643" s="806"/>
      <c r="H2643" s="807"/>
      <c r="I2643" s="769" t="s">
        <v>1414</v>
      </c>
      <c r="J2643" s="770"/>
      <c r="K2643" s="771"/>
      <c r="L2643" s="100"/>
      <c r="M2643" s="101"/>
    </row>
    <row r="2644" spans="4:13" x14ac:dyDescent="0.2">
      <c r="E2644" s="715" t="s">
        <v>433</v>
      </c>
      <c r="F2644" s="827">
        <v>0</v>
      </c>
      <c r="G2644" s="825"/>
      <c r="H2644" s="826"/>
      <c r="I2644" s="769"/>
      <c r="J2644" s="770"/>
      <c r="K2644" s="771"/>
      <c r="L2644" s="100"/>
      <c r="M2644" s="101"/>
    </row>
    <row r="2645" spans="4:13" ht="20" thickBot="1" x14ac:dyDescent="0.25">
      <c r="E2645" s="715" t="s">
        <v>434</v>
      </c>
      <c r="F2645" s="824" t="s">
        <v>1413</v>
      </c>
      <c r="G2645" s="825"/>
      <c r="H2645" s="826"/>
      <c r="I2645" s="769"/>
      <c r="J2645" s="770"/>
      <c r="K2645" s="771"/>
      <c r="L2645" s="100"/>
      <c r="M2645" s="101"/>
    </row>
    <row r="2646" spans="4:13" ht="20" thickBot="1" x14ac:dyDescent="0.25">
      <c r="E2646" s="716" t="s">
        <v>435</v>
      </c>
      <c r="F2646" s="811">
        <v>0.64583333333333337</v>
      </c>
      <c r="G2646" s="812"/>
      <c r="H2646" s="813"/>
      <c r="I2646" s="769"/>
      <c r="J2646" s="770"/>
      <c r="K2646" s="771"/>
      <c r="L2646" s="107">
        <v>0.875</v>
      </c>
      <c r="M2646" s="108">
        <v>0.72916666666666663</v>
      </c>
    </row>
    <row r="2647" spans="4:13" ht="20" thickBot="1" x14ac:dyDescent="0.25">
      <c r="E2647" s="717" t="s">
        <v>436</v>
      </c>
      <c r="F2647" s="278" t="s">
        <v>29</v>
      </c>
      <c r="G2647" s="278" t="s">
        <v>28</v>
      </c>
      <c r="H2647" s="279" t="s">
        <v>27</v>
      </c>
      <c r="I2647" s="769"/>
      <c r="J2647" s="770"/>
      <c r="K2647" s="771"/>
      <c r="L2647" s="100"/>
      <c r="M2647" s="101"/>
    </row>
    <row r="2648" spans="4:13" x14ac:dyDescent="0.2">
      <c r="E2648" s="718">
        <v>45665</v>
      </c>
      <c r="F2648" s="385" t="s">
        <v>1436</v>
      </c>
      <c r="G2648" s="385" t="s">
        <v>1437</v>
      </c>
      <c r="H2648" s="385" t="s">
        <v>1391</v>
      </c>
      <c r="I2648" s="769"/>
      <c r="J2648" s="770"/>
      <c r="K2648" s="771"/>
      <c r="L2648" s="100"/>
      <c r="M2648" s="101"/>
    </row>
    <row r="2649" spans="4:13" x14ac:dyDescent="0.2">
      <c r="E2649" s="718">
        <v>45659</v>
      </c>
      <c r="F2649" s="385" t="s">
        <v>1391</v>
      </c>
      <c r="G2649" s="385" t="s">
        <v>1392</v>
      </c>
      <c r="H2649" s="385" t="s">
        <v>1342</v>
      </c>
      <c r="I2649" s="769"/>
      <c r="J2649" s="770"/>
      <c r="K2649" s="771"/>
      <c r="L2649" s="100"/>
      <c r="M2649" s="101"/>
    </row>
    <row r="2650" spans="4:13" x14ac:dyDescent="0.2">
      <c r="E2650" s="718">
        <v>45653</v>
      </c>
      <c r="F2650" s="385" t="s">
        <v>1342</v>
      </c>
      <c r="G2650" s="385" t="s">
        <v>1343</v>
      </c>
      <c r="H2650" s="385" t="s">
        <v>1318</v>
      </c>
      <c r="I2650" s="769"/>
      <c r="J2650" s="770"/>
      <c r="K2650" s="771"/>
      <c r="L2650" s="102"/>
      <c r="M2650" s="101"/>
    </row>
    <row r="2651" spans="4:13" x14ac:dyDescent="0.2">
      <c r="E2651" s="718">
        <v>45644</v>
      </c>
      <c r="F2651" s="385" t="s">
        <v>1318</v>
      </c>
      <c r="G2651" s="385" t="s">
        <v>1289</v>
      </c>
      <c r="H2651" s="385" t="s">
        <v>1286</v>
      </c>
      <c r="I2651" s="769"/>
      <c r="J2651" s="770"/>
      <c r="K2651" s="771"/>
      <c r="L2651" s="100"/>
      <c r="M2651" s="101"/>
    </row>
    <row r="2652" spans="4:13" x14ac:dyDescent="0.2">
      <c r="E2652" s="718">
        <v>45637</v>
      </c>
      <c r="F2652" s="385" t="s">
        <v>1286</v>
      </c>
      <c r="G2652" s="385" t="s">
        <v>1287</v>
      </c>
      <c r="H2652" s="385" t="s">
        <v>1288</v>
      </c>
      <c r="I2652" s="769"/>
      <c r="J2652" s="770"/>
      <c r="K2652" s="771"/>
      <c r="L2652" s="100"/>
      <c r="M2652" s="101"/>
    </row>
    <row r="2653" spans="4:13" ht="20" thickBot="1" x14ac:dyDescent="0.25">
      <c r="E2653" s="718">
        <v>45630</v>
      </c>
      <c r="F2653" s="385" t="s">
        <v>1288</v>
      </c>
      <c r="G2653" s="385" t="s">
        <v>1289</v>
      </c>
      <c r="H2653" s="385" t="s">
        <v>1290</v>
      </c>
      <c r="I2653" s="772"/>
      <c r="J2653" s="773"/>
      <c r="K2653" s="774"/>
      <c r="L2653" s="103"/>
      <c r="M2653" s="104"/>
    </row>
    <row r="2654" spans="4:13" ht="25" thickBot="1" x14ac:dyDescent="0.25">
      <c r="D2654">
        <v>8</v>
      </c>
      <c r="E2654" s="713" t="s">
        <v>30</v>
      </c>
      <c r="F2654" s="814" t="s">
        <v>1415</v>
      </c>
      <c r="G2654" s="815"/>
      <c r="H2654" s="816"/>
      <c r="I2654" s="781" t="s">
        <v>633</v>
      </c>
      <c r="J2654" s="764"/>
      <c r="K2654" s="765"/>
      <c r="L2654" s="162" t="s">
        <v>430</v>
      </c>
      <c r="M2654" s="106" t="s">
        <v>431</v>
      </c>
    </row>
    <row r="2655" spans="4:13" x14ac:dyDescent="0.2">
      <c r="E2655" s="714" t="s">
        <v>432</v>
      </c>
      <c r="F2655" s="805"/>
      <c r="G2655" s="806"/>
      <c r="H2655" s="807"/>
      <c r="I2655" s="769" t="s">
        <v>1416</v>
      </c>
      <c r="J2655" s="770"/>
      <c r="K2655" s="771"/>
      <c r="L2655" s="100"/>
      <c r="M2655" s="101"/>
    </row>
    <row r="2656" spans="4:13" x14ac:dyDescent="0.2">
      <c r="E2656" s="715" t="s">
        <v>433</v>
      </c>
      <c r="F2656" s="817">
        <v>2E-3</v>
      </c>
      <c r="G2656" s="818"/>
      <c r="H2656" s="819"/>
      <c r="I2656" s="769"/>
      <c r="J2656" s="770"/>
      <c r="K2656" s="771"/>
      <c r="L2656" s="100"/>
      <c r="M2656" s="101"/>
    </row>
    <row r="2657" spans="4:13" ht="20" thickBot="1" x14ac:dyDescent="0.25">
      <c r="E2657" s="715" t="s">
        <v>434</v>
      </c>
      <c r="F2657" s="824">
        <v>-1E-3</v>
      </c>
      <c r="G2657" s="825"/>
      <c r="H2657" s="826"/>
      <c r="I2657" s="769"/>
      <c r="J2657" s="770"/>
      <c r="K2657" s="771"/>
      <c r="L2657" s="100"/>
      <c r="M2657" s="101"/>
    </row>
    <row r="2658" spans="4:13" ht="20" thickBot="1" x14ac:dyDescent="0.25">
      <c r="E2658" s="716" t="s">
        <v>435</v>
      </c>
      <c r="F2658" s="811">
        <v>0.29166666666666674</v>
      </c>
      <c r="G2658" s="812"/>
      <c r="H2658" s="813"/>
      <c r="I2658" s="769"/>
      <c r="J2658" s="770"/>
      <c r="K2658" s="771"/>
      <c r="L2658" s="107">
        <v>0.52083333333333337</v>
      </c>
      <c r="M2658" s="108">
        <v>0.375</v>
      </c>
    </row>
    <row r="2659" spans="4:13" ht="20" thickBot="1" x14ac:dyDescent="0.25">
      <c r="E2659" s="717" t="s">
        <v>436</v>
      </c>
      <c r="F2659" s="278" t="s">
        <v>29</v>
      </c>
      <c r="G2659" s="278" t="s">
        <v>28</v>
      </c>
      <c r="H2659" s="279" t="s">
        <v>27</v>
      </c>
      <c r="I2659" s="769"/>
      <c r="J2659" s="770"/>
      <c r="K2659" s="771"/>
      <c r="L2659" s="100"/>
      <c r="M2659" s="101"/>
    </row>
    <row r="2660" spans="4:13" x14ac:dyDescent="0.2">
      <c r="E2660" s="718">
        <v>45639</v>
      </c>
      <c r="F2660" s="721">
        <v>-1E-3</v>
      </c>
      <c r="G2660" s="721" t="s">
        <v>462</v>
      </c>
      <c r="H2660" s="721">
        <v>-1E-3</v>
      </c>
      <c r="I2660" s="769"/>
      <c r="J2660" s="770"/>
      <c r="K2660" s="771"/>
      <c r="L2660" s="100"/>
      <c r="M2660" s="101"/>
    </row>
    <row r="2661" spans="4:13" x14ac:dyDescent="0.2">
      <c r="E2661" s="718">
        <v>45611</v>
      </c>
      <c r="F2661" s="721">
        <v>-1E-3</v>
      </c>
      <c r="G2661" s="721" t="s">
        <v>460</v>
      </c>
      <c r="H2661" s="721">
        <v>2E-3</v>
      </c>
      <c r="I2661" s="769"/>
      <c r="J2661" s="770"/>
      <c r="K2661" s="771"/>
      <c r="L2661" s="100"/>
      <c r="M2661" s="101"/>
    </row>
    <row r="2662" spans="4:13" x14ac:dyDescent="0.2">
      <c r="E2662" s="718">
        <v>45576</v>
      </c>
      <c r="F2662" s="721">
        <v>2E-3</v>
      </c>
      <c r="G2662" s="721" t="s">
        <v>460</v>
      </c>
      <c r="H2662" s="721">
        <v>0</v>
      </c>
      <c r="I2662" s="769"/>
      <c r="J2662" s="770"/>
      <c r="K2662" s="771"/>
      <c r="L2662" s="102"/>
      <c r="M2662" s="101"/>
    </row>
    <row r="2663" spans="4:13" x14ac:dyDescent="0.2">
      <c r="E2663" s="718">
        <v>45546</v>
      </c>
      <c r="F2663" s="721">
        <v>0</v>
      </c>
      <c r="G2663" s="721" t="s">
        <v>460</v>
      </c>
      <c r="H2663" s="721">
        <v>0</v>
      </c>
      <c r="I2663" s="769"/>
      <c r="J2663" s="770"/>
      <c r="K2663" s="771"/>
      <c r="L2663" s="100"/>
      <c r="M2663" s="101"/>
    </row>
    <row r="2664" spans="4:13" x14ac:dyDescent="0.2">
      <c r="E2664" s="718">
        <v>45519</v>
      </c>
      <c r="F2664" s="721">
        <v>0</v>
      </c>
      <c r="G2664" s="721" t="s">
        <v>458</v>
      </c>
      <c r="H2664" s="721">
        <v>4.0000000000000001E-3</v>
      </c>
      <c r="I2664" s="769"/>
      <c r="J2664" s="770"/>
      <c r="K2664" s="771"/>
      <c r="L2664" s="100"/>
      <c r="M2664" s="101"/>
    </row>
    <row r="2665" spans="4:13" ht="20" thickBot="1" x14ac:dyDescent="0.25">
      <c r="E2665" s="718">
        <v>45484</v>
      </c>
      <c r="F2665" s="721">
        <v>4.0000000000000001E-3</v>
      </c>
      <c r="G2665" s="721" t="s">
        <v>460</v>
      </c>
      <c r="H2665" s="721">
        <v>0</v>
      </c>
      <c r="I2665" s="772"/>
      <c r="J2665" s="773"/>
      <c r="K2665" s="774"/>
      <c r="L2665" s="103"/>
      <c r="M2665" s="104"/>
    </row>
    <row r="2666" spans="4:13" ht="25" thickBot="1" x14ac:dyDescent="0.25">
      <c r="D2666">
        <v>9</v>
      </c>
      <c r="E2666" s="713" t="s">
        <v>30</v>
      </c>
      <c r="F2666" s="814" t="s">
        <v>1417</v>
      </c>
      <c r="G2666" s="815"/>
      <c r="H2666" s="816"/>
      <c r="I2666" s="781" t="s">
        <v>633</v>
      </c>
      <c r="J2666" s="764"/>
      <c r="K2666" s="765"/>
      <c r="L2666" s="162" t="s">
        <v>430</v>
      </c>
      <c r="M2666" s="106" t="s">
        <v>431</v>
      </c>
    </row>
    <row r="2667" spans="4:13" x14ac:dyDescent="0.2">
      <c r="D2667" s="89"/>
      <c r="E2667" s="714" t="s">
        <v>432</v>
      </c>
      <c r="F2667" s="805"/>
      <c r="G2667" s="806"/>
      <c r="H2667" s="807"/>
      <c r="I2667" s="769" t="s">
        <v>1418</v>
      </c>
      <c r="J2667" s="770"/>
      <c r="K2667" s="771"/>
      <c r="L2667" s="100"/>
      <c r="M2667" s="101"/>
    </row>
    <row r="2668" spans="4:13" x14ac:dyDescent="0.2">
      <c r="D2668" s="89"/>
      <c r="E2668" s="715" t="s">
        <v>433</v>
      </c>
      <c r="F2668" s="824">
        <v>4.0000000000000001E-3</v>
      </c>
      <c r="G2668" s="825"/>
      <c r="H2668" s="826"/>
      <c r="I2668" s="769"/>
      <c r="J2668" s="770"/>
      <c r="K2668" s="771"/>
      <c r="L2668" s="100"/>
      <c r="M2668" s="101"/>
    </row>
    <row r="2669" spans="4:13" ht="20" thickBot="1" x14ac:dyDescent="0.25">
      <c r="D2669" s="89"/>
      <c r="E2669" s="715" t="s">
        <v>434</v>
      </c>
      <c r="F2669" s="824">
        <v>4.0000000000000001E-3</v>
      </c>
      <c r="G2669" s="825"/>
      <c r="H2669" s="826"/>
      <c r="I2669" s="769"/>
      <c r="J2669" s="770"/>
      <c r="K2669" s="771"/>
      <c r="L2669" s="100"/>
      <c r="M2669" s="101"/>
    </row>
    <row r="2670" spans="4:13" ht="20" thickBot="1" x14ac:dyDescent="0.25">
      <c r="D2670" s="89"/>
      <c r="E2670" s="716" t="s">
        <v>435</v>
      </c>
      <c r="F2670" s="811">
        <v>0.29166666666666674</v>
      </c>
      <c r="G2670" s="812"/>
      <c r="H2670" s="813"/>
      <c r="I2670" s="769"/>
      <c r="J2670" s="770"/>
      <c r="K2670" s="771"/>
      <c r="L2670" s="107">
        <v>0.52083333333333337</v>
      </c>
      <c r="M2670" s="108">
        <v>0.375</v>
      </c>
    </row>
    <row r="2671" spans="4:13" ht="20" thickBot="1" x14ac:dyDescent="0.25">
      <c r="D2671" s="89"/>
      <c r="E2671" s="717" t="s">
        <v>436</v>
      </c>
      <c r="F2671" s="278" t="s">
        <v>29</v>
      </c>
      <c r="G2671" s="278" t="s">
        <v>28</v>
      </c>
      <c r="H2671" s="279" t="s">
        <v>27</v>
      </c>
      <c r="I2671" s="769"/>
      <c r="J2671" s="770"/>
      <c r="K2671" s="771"/>
      <c r="L2671" s="100"/>
      <c r="M2671" s="101"/>
    </row>
    <row r="2672" spans="4:13" x14ac:dyDescent="0.2">
      <c r="D2672" s="89"/>
      <c r="E2672" s="718">
        <v>45663</v>
      </c>
      <c r="F2672" s="721">
        <v>4.0000000000000001E-3</v>
      </c>
      <c r="G2672" s="721" t="s">
        <v>467</v>
      </c>
      <c r="H2672" s="721">
        <v>-2E-3</v>
      </c>
      <c r="I2672" s="769"/>
      <c r="J2672" s="770"/>
      <c r="K2672" s="771"/>
      <c r="L2672" s="100"/>
      <c r="M2672" s="101"/>
    </row>
    <row r="2673" spans="4:13" x14ac:dyDescent="0.2">
      <c r="D2673" s="89"/>
      <c r="E2673" s="718">
        <v>45636</v>
      </c>
      <c r="F2673" s="721">
        <v>-2E-3</v>
      </c>
      <c r="G2673" s="721" t="s">
        <v>461</v>
      </c>
      <c r="H2673" s="721">
        <v>4.0000000000000001E-3</v>
      </c>
      <c r="I2673" s="769"/>
      <c r="J2673" s="770"/>
      <c r="K2673" s="771"/>
      <c r="L2673" s="100"/>
      <c r="M2673" s="101"/>
    </row>
    <row r="2674" spans="4:13" x14ac:dyDescent="0.2">
      <c r="D2674" s="89"/>
      <c r="E2674" s="718">
        <v>45624</v>
      </c>
      <c r="F2674" s="721">
        <v>-2E-3</v>
      </c>
      <c r="G2674" s="721" t="s">
        <v>461</v>
      </c>
      <c r="H2674" s="721">
        <v>4.0000000000000001E-3</v>
      </c>
      <c r="I2674" s="769"/>
      <c r="J2674" s="770"/>
      <c r="K2674" s="771"/>
      <c r="L2674" s="102"/>
      <c r="M2674" s="101"/>
    </row>
    <row r="2675" spans="4:13" x14ac:dyDescent="0.2">
      <c r="D2675" s="89"/>
      <c r="E2675" s="718">
        <v>45608</v>
      </c>
      <c r="F2675" s="721">
        <v>4.0000000000000001E-3</v>
      </c>
      <c r="G2675" s="721" t="s">
        <v>452</v>
      </c>
      <c r="H2675" s="721">
        <v>0</v>
      </c>
      <c r="I2675" s="769"/>
      <c r="J2675" s="770"/>
      <c r="K2675" s="771"/>
      <c r="L2675" s="100"/>
      <c r="M2675" s="101"/>
    </row>
    <row r="2676" spans="4:13" x14ac:dyDescent="0.2">
      <c r="D2676" s="89"/>
      <c r="E2676" s="718">
        <v>45595</v>
      </c>
      <c r="F2676" s="721">
        <v>4.0000000000000001E-3</v>
      </c>
      <c r="G2676" s="721" t="s">
        <v>460</v>
      </c>
      <c r="H2676" s="721">
        <v>0</v>
      </c>
      <c r="I2676" s="769"/>
      <c r="J2676" s="770"/>
      <c r="K2676" s="771"/>
      <c r="L2676" s="100"/>
      <c r="M2676" s="101"/>
    </row>
    <row r="2677" spans="4:13" ht="20" thickBot="1" x14ac:dyDescent="0.25">
      <c r="D2677" s="89"/>
      <c r="E2677" s="718">
        <v>45576</v>
      </c>
      <c r="F2677" s="721">
        <v>0</v>
      </c>
      <c r="G2677" s="721" t="s">
        <v>458</v>
      </c>
      <c r="H2677" s="721">
        <v>-1E-3</v>
      </c>
      <c r="I2677" s="772"/>
      <c r="J2677" s="773"/>
      <c r="K2677" s="774"/>
      <c r="L2677" s="103"/>
      <c r="M2677" s="104"/>
    </row>
    <row r="2678" spans="4:13" ht="25" thickBot="1" x14ac:dyDescent="0.25">
      <c r="D2678">
        <v>10</v>
      </c>
      <c r="E2678" s="713" t="s">
        <v>30</v>
      </c>
      <c r="F2678" s="814" t="s">
        <v>1419</v>
      </c>
      <c r="G2678" s="815"/>
      <c r="H2678" s="816"/>
      <c r="I2678" s="781" t="s">
        <v>633</v>
      </c>
      <c r="J2678" s="764"/>
      <c r="K2678" s="765"/>
      <c r="L2678" s="162" t="s">
        <v>430</v>
      </c>
      <c r="M2678" s="106" t="s">
        <v>431</v>
      </c>
    </row>
    <row r="2679" spans="4:13" x14ac:dyDescent="0.2">
      <c r="D2679" s="89"/>
      <c r="E2679" s="714" t="s">
        <v>432</v>
      </c>
      <c r="F2679" s="805"/>
      <c r="G2679" s="806"/>
      <c r="H2679" s="807"/>
      <c r="I2679" s="769" t="s">
        <v>1420</v>
      </c>
      <c r="J2679" s="770"/>
      <c r="K2679" s="771"/>
      <c r="L2679" s="100"/>
      <c r="M2679" s="101"/>
    </row>
    <row r="2680" spans="4:13" x14ac:dyDescent="0.2">
      <c r="D2680" s="89"/>
      <c r="E2680" s="715" t="s">
        <v>433</v>
      </c>
      <c r="F2680" s="824">
        <v>4.0000000000000001E-3</v>
      </c>
      <c r="G2680" s="825"/>
      <c r="H2680" s="826"/>
      <c r="I2680" s="769"/>
      <c r="J2680" s="770"/>
      <c r="K2680" s="771"/>
      <c r="L2680" s="100"/>
      <c r="M2680" s="101"/>
    </row>
    <row r="2681" spans="4:13" ht="20" thickBot="1" x14ac:dyDescent="0.25">
      <c r="D2681" s="89"/>
      <c r="E2681" s="715" t="s">
        <v>434</v>
      </c>
      <c r="F2681" s="824">
        <v>2E-3</v>
      </c>
      <c r="G2681" s="825"/>
      <c r="H2681" s="826"/>
      <c r="I2681" s="769"/>
      <c r="J2681" s="770"/>
      <c r="K2681" s="771"/>
      <c r="L2681" s="100"/>
      <c r="M2681" s="101"/>
    </row>
    <row r="2682" spans="4:13" ht="20" thickBot="1" x14ac:dyDescent="0.25">
      <c r="D2682" s="89"/>
      <c r="E2682" s="716" t="s">
        <v>435</v>
      </c>
      <c r="F2682" s="811">
        <v>0.5625</v>
      </c>
      <c r="G2682" s="812"/>
      <c r="H2682" s="813"/>
      <c r="I2682" s="769"/>
      <c r="J2682" s="770"/>
      <c r="K2682" s="771"/>
      <c r="L2682" s="107">
        <v>0.79166666666666663</v>
      </c>
      <c r="M2682" s="108">
        <v>0.64583333333333326</v>
      </c>
    </row>
    <row r="2683" spans="4:13" ht="20" thickBot="1" x14ac:dyDescent="0.25">
      <c r="D2683" s="89"/>
      <c r="E2683" s="717" t="s">
        <v>436</v>
      </c>
      <c r="F2683" s="278" t="s">
        <v>29</v>
      </c>
      <c r="G2683" s="278" t="s">
        <v>28</v>
      </c>
      <c r="H2683" s="279" t="s">
        <v>27</v>
      </c>
      <c r="I2683" s="769"/>
      <c r="J2683" s="770"/>
      <c r="K2683" s="771"/>
      <c r="L2683" s="100"/>
      <c r="M2683" s="101"/>
    </row>
    <row r="2684" spans="4:13" x14ac:dyDescent="0.2">
      <c r="D2684" s="89"/>
      <c r="E2684" s="718">
        <v>45643</v>
      </c>
      <c r="F2684" s="721">
        <v>2E-3</v>
      </c>
      <c r="G2684" s="721" t="s">
        <v>452</v>
      </c>
      <c r="H2684" s="721">
        <v>2E-3</v>
      </c>
      <c r="I2684" s="769"/>
      <c r="J2684" s="770"/>
      <c r="K2684" s="771"/>
      <c r="L2684" s="100"/>
      <c r="M2684" s="101"/>
    </row>
    <row r="2685" spans="4:13" x14ac:dyDescent="0.2">
      <c r="D2685" s="89"/>
      <c r="E2685" s="718">
        <v>45611</v>
      </c>
      <c r="F2685" s="721">
        <v>1E-3</v>
      </c>
      <c r="G2685" s="721" t="s">
        <v>467</v>
      </c>
      <c r="H2685" s="721">
        <v>0.01</v>
      </c>
      <c r="I2685" s="769"/>
      <c r="J2685" s="770"/>
      <c r="K2685" s="771"/>
      <c r="L2685" s="100"/>
      <c r="M2685" s="101"/>
    </row>
    <row r="2686" spans="4:13" x14ac:dyDescent="0.2">
      <c r="D2686" s="89"/>
      <c r="E2686" s="718">
        <v>45582</v>
      </c>
      <c r="F2686" s="721">
        <v>5.0000000000000001E-3</v>
      </c>
      <c r="G2686" s="721" t="s">
        <v>462</v>
      </c>
      <c r="H2686" s="721">
        <v>2E-3</v>
      </c>
      <c r="I2686" s="769"/>
      <c r="J2686" s="770"/>
      <c r="K2686" s="771"/>
      <c r="L2686" s="102"/>
      <c r="M2686" s="101"/>
    </row>
    <row r="2687" spans="4:13" x14ac:dyDescent="0.2">
      <c r="D2687" s="89"/>
      <c r="E2687" s="718">
        <v>45552</v>
      </c>
      <c r="F2687" s="721">
        <v>1E-3</v>
      </c>
      <c r="G2687" s="721" t="s">
        <v>460</v>
      </c>
      <c r="H2687" s="721">
        <v>4.0000000000000001E-3</v>
      </c>
      <c r="I2687" s="769"/>
      <c r="J2687" s="770"/>
      <c r="K2687" s="771"/>
      <c r="L2687" s="100"/>
      <c r="M2687" s="101"/>
    </row>
    <row r="2688" spans="4:13" x14ac:dyDescent="0.2">
      <c r="D2688" s="89"/>
      <c r="E2688" s="718">
        <v>45519</v>
      </c>
      <c r="F2688" s="721">
        <v>4.0000000000000001E-3</v>
      </c>
      <c r="G2688" s="721" t="s">
        <v>462</v>
      </c>
      <c r="H2688" s="721">
        <v>5.0000000000000001E-3</v>
      </c>
      <c r="I2688" s="769"/>
      <c r="J2688" s="770"/>
      <c r="K2688" s="771"/>
      <c r="L2688" s="100"/>
      <c r="M2688" s="101"/>
    </row>
    <row r="2689" spans="4:13" ht="20" thickBot="1" x14ac:dyDescent="0.25">
      <c r="D2689" s="89"/>
      <c r="E2689" s="718">
        <v>45489</v>
      </c>
      <c r="F2689" s="721">
        <v>4.0000000000000001E-3</v>
      </c>
      <c r="G2689" s="721" t="s">
        <v>462</v>
      </c>
      <c r="H2689" s="721">
        <v>1E-3</v>
      </c>
      <c r="I2689" s="772"/>
      <c r="J2689" s="773"/>
      <c r="K2689" s="774"/>
      <c r="L2689" s="103"/>
      <c r="M2689" s="104"/>
    </row>
    <row r="2690" spans="4:13" ht="25" thickBot="1" x14ac:dyDescent="0.25">
      <c r="D2690">
        <v>11</v>
      </c>
      <c r="E2690" s="713" t="s">
        <v>30</v>
      </c>
      <c r="F2690" s="814" t="s">
        <v>1421</v>
      </c>
      <c r="G2690" s="815"/>
      <c r="H2690" s="816"/>
      <c r="I2690" s="781" t="s">
        <v>633</v>
      </c>
      <c r="J2690" s="764"/>
      <c r="K2690" s="765"/>
      <c r="L2690" s="162" t="s">
        <v>430</v>
      </c>
      <c r="M2690" s="106" t="s">
        <v>431</v>
      </c>
    </row>
    <row r="2691" spans="4:13" x14ac:dyDescent="0.2">
      <c r="D2691" s="89"/>
      <c r="E2691" s="714" t="s">
        <v>432</v>
      </c>
      <c r="F2691" s="805"/>
      <c r="G2691" s="806"/>
      <c r="H2691" s="807"/>
      <c r="I2691" s="769" t="s">
        <v>1424</v>
      </c>
      <c r="J2691" s="770"/>
      <c r="K2691" s="771"/>
      <c r="L2691" s="100"/>
      <c r="M2691" s="101"/>
    </row>
    <row r="2692" spans="4:13" x14ac:dyDescent="0.2">
      <c r="D2692" s="89"/>
      <c r="E2692" s="715" t="s">
        <v>433</v>
      </c>
      <c r="F2692" s="824" t="s">
        <v>1422</v>
      </c>
      <c r="G2692" s="825"/>
      <c r="H2692" s="826"/>
      <c r="I2692" s="769"/>
      <c r="J2692" s="770"/>
      <c r="K2692" s="771"/>
      <c r="L2692" s="100"/>
      <c r="M2692" s="101"/>
    </row>
    <row r="2693" spans="4:13" ht="20" thickBot="1" x14ac:dyDescent="0.25">
      <c r="D2693" s="89"/>
      <c r="E2693" s="715" t="s">
        <v>434</v>
      </c>
      <c r="F2693" s="824" t="s">
        <v>1423</v>
      </c>
      <c r="G2693" s="825"/>
      <c r="H2693" s="826"/>
      <c r="I2693" s="769"/>
      <c r="J2693" s="770"/>
      <c r="K2693" s="771"/>
      <c r="L2693" s="100"/>
      <c r="M2693" s="101"/>
    </row>
    <row r="2694" spans="4:13" ht="20" thickBot="1" x14ac:dyDescent="0.25">
      <c r="D2694" s="89"/>
      <c r="E2694" s="716" t="s">
        <v>435</v>
      </c>
      <c r="F2694" s="811">
        <v>0.5625</v>
      </c>
      <c r="G2694" s="812"/>
      <c r="H2694" s="813"/>
      <c r="I2694" s="769"/>
      <c r="J2694" s="770"/>
      <c r="K2694" s="771"/>
      <c r="L2694" s="107">
        <v>0.79166666666666663</v>
      </c>
      <c r="M2694" s="108">
        <v>0.64583333333333326</v>
      </c>
    </row>
    <row r="2695" spans="4:13" ht="20" thickBot="1" x14ac:dyDescent="0.25">
      <c r="D2695" s="89"/>
      <c r="E2695" s="717" t="s">
        <v>436</v>
      </c>
      <c r="F2695" s="278" t="s">
        <v>29</v>
      </c>
      <c r="G2695" s="278" t="s">
        <v>28</v>
      </c>
      <c r="H2695" s="279" t="s">
        <v>27</v>
      </c>
      <c r="I2695" s="769"/>
      <c r="J2695" s="770"/>
      <c r="K2695" s="771"/>
      <c r="L2695" s="100"/>
      <c r="M2695" s="101"/>
    </row>
    <row r="2696" spans="4:13" x14ac:dyDescent="0.2">
      <c r="D2696" s="89"/>
      <c r="E2696" s="718">
        <v>45665</v>
      </c>
      <c r="F2696" s="721" t="s">
        <v>1438</v>
      </c>
      <c r="G2696" s="721" t="s">
        <v>1439</v>
      </c>
      <c r="H2696" s="721" t="s">
        <v>1440</v>
      </c>
      <c r="I2696" s="769"/>
      <c r="J2696" s="770"/>
      <c r="K2696" s="771"/>
      <c r="L2696" s="100"/>
      <c r="M2696" s="101"/>
    </row>
    <row r="2697" spans="4:13" x14ac:dyDescent="0.2">
      <c r="D2697" s="89"/>
      <c r="E2697" s="718">
        <v>45659</v>
      </c>
      <c r="F2697" s="721" t="s">
        <v>1440</v>
      </c>
      <c r="G2697" s="721" t="s">
        <v>986</v>
      </c>
      <c r="H2697" s="721" t="s">
        <v>1112</v>
      </c>
      <c r="I2697" s="769"/>
      <c r="J2697" s="770"/>
      <c r="K2697" s="771"/>
      <c r="L2697" s="100"/>
      <c r="M2697" s="101"/>
    </row>
    <row r="2698" spans="4:13" x14ac:dyDescent="0.2">
      <c r="D2698" s="89"/>
      <c r="E2698" s="718">
        <v>45652</v>
      </c>
      <c r="F2698" s="721" t="s">
        <v>987</v>
      </c>
      <c r="G2698" s="721" t="s">
        <v>973</v>
      </c>
      <c r="H2698" s="721" t="s">
        <v>1112</v>
      </c>
      <c r="I2698" s="769"/>
      <c r="J2698" s="770"/>
      <c r="K2698" s="771"/>
      <c r="L2698" s="102"/>
      <c r="M2698" s="101"/>
    </row>
    <row r="2699" spans="4:13" x14ac:dyDescent="0.2">
      <c r="D2699" s="89"/>
      <c r="E2699" s="718">
        <v>45645</v>
      </c>
      <c r="F2699" s="721" t="s">
        <v>1112</v>
      </c>
      <c r="G2699" s="721" t="s">
        <v>976</v>
      </c>
      <c r="H2699" s="721" t="s">
        <v>980</v>
      </c>
      <c r="I2699" s="769"/>
      <c r="J2699" s="770"/>
      <c r="K2699" s="771"/>
      <c r="L2699" s="100"/>
      <c r="M2699" s="101"/>
    </row>
    <row r="2700" spans="4:13" x14ac:dyDescent="0.2">
      <c r="D2700" s="89"/>
      <c r="E2700" s="718">
        <v>45638</v>
      </c>
      <c r="F2700" s="721" t="s">
        <v>980</v>
      </c>
      <c r="G2700" s="721" t="s">
        <v>972</v>
      </c>
      <c r="H2700" s="721" t="s">
        <v>985</v>
      </c>
      <c r="I2700" s="769"/>
      <c r="J2700" s="770"/>
      <c r="K2700" s="771"/>
      <c r="L2700" s="100"/>
      <c r="M2700" s="101"/>
    </row>
    <row r="2701" spans="4:13" ht="20" thickBot="1" x14ac:dyDescent="0.25">
      <c r="D2701" s="89"/>
      <c r="E2701" s="718">
        <v>45631</v>
      </c>
      <c r="F2701" s="721" t="s">
        <v>1032</v>
      </c>
      <c r="G2701" s="721" t="s">
        <v>1232</v>
      </c>
      <c r="H2701" s="721" t="s">
        <v>1232</v>
      </c>
      <c r="I2701" s="772"/>
      <c r="J2701" s="773"/>
      <c r="K2701" s="774"/>
      <c r="L2701" s="103"/>
      <c r="M2701" s="104"/>
    </row>
    <row r="2702" spans="4:13" ht="25" thickBot="1" x14ac:dyDescent="0.25">
      <c r="D2702">
        <v>11</v>
      </c>
      <c r="E2702" s="713" t="s">
        <v>30</v>
      </c>
      <c r="F2702" s="814" t="s">
        <v>1425</v>
      </c>
      <c r="G2702" s="815"/>
      <c r="H2702" s="816"/>
      <c r="I2702" s="781" t="s">
        <v>633</v>
      </c>
      <c r="J2702" s="764"/>
      <c r="K2702" s="765"/>
      <c r="L2702" s="162" t="s">
        <v>430</v>
      </c>
      <c r="M2702" s="106" t="s">
        <v>431</v>
      </c>
    </row>
    <row r="2703" spans="4:13" x14ac:dyDescent="0.2">
      <c r="D2703" s="89"/>
      <c r="E2703" s="714" t="s">
        <v>432</v>
      </c>
      <c r="F2703" s="805"/>
      <c r="G2703" s="806"/>
      <c r="H2703" s="807"/>
      <c r="I2703" s="769" t="s">
        <v>1428</v>
      </c>
      <c r="J2703" s="770"/>
      <c r="K2703" s="771"/>
      <c r="L2703" s="100"/>
      <c r="M2703" s="101"/>
    </row>
    <row r="2704" spans="4:13" x14ac:dyDescent="0.2">
      <c r="D2704" s="89"/>
      <c r="E2704" s="715" t="s">
        <v>433</v>
      </c>
      <c r="F2704" s="817" t="s">
        <v>1426</v>
      </c>
      <c r="G2704" s="818"/>
      <c r="H2704" s="819"/>
      <c r="I2704" s="769"/>
      <c r="J2704" s="770"/>
      <c r="K2704" s="771"/>
      <c r="L2704" s="100"/>
      <c r="M2704" s="101"/>
    </row>
    <row r="2705" spans="4:13" ht="20" thickBot="1" x14ac:dyDescent="0.25">
      <c r="D2705" s="89"/>
      <c r="E2705" s="715" t="s">
        <v>434</v>
      </c>
      <c r="F2705" s="817" t="s">
        <v>1427</v>
      </c>
      <c r="G2705" s="818"/>
      <c r="H2705" s="819"/>
      <c r="I2705" s="769"/>
      <c r="J2705" s="770"/>
      <c r="K2705" s="771"/>
      <c r="L2705" s="100"/>
      <c r="M2705" s="101"/>
    </row>
    <row r="2706" spans="4:13" ht="20" thickBot="1" x14ac:dyDescent="0.25">
      <c r="D2706" s="89"/>
      <c r="E2706" s="716" t="s">
        <v>435</v>
      </c>
      <c r="F2706" s="811">
        <v>0.5625</v>
      </c>
      <c r="G2706" s="812"/>
      <c r="H2706" s="813"/>
      <c r="I2706" s="769"/>
      <c r="J2706" s="770"/>
      <c r="K2706" s="771"/>
      <c r="L2706" s="107">
        <v>0.79166666666666663</v>
      </c>
      <c r="M2706" s="662">
        <v>0.875</v>
      </c>
    </row>
    <row r="2707" spans="4:13" ht="20" thickBot="1" x14ac:dyDescent="0.25">
      <c r="D2707" s="89"/>
      <c r="E2707" s="717" t="s">
        <v>436</v>
      </c>
      <c r="F2707" s="278" t="s">
        <v>29</v>
      </c>
      <c r="G2707" s="278" t="s">
        <v>28</v>
      </c>
      <c r="H2707" s="279" t="s">
        <v>27</v>
      </c>
      <c r="I2707" s="769"/>
      <c r="J2707" s="770"/>
      <c r="K2707" s="771"/>
      <c r="L2707" s="100"/>
      <c r="M2707" s="101"/>
    </row>
    <row r="2708" spans="4:13" x14ac:dyDescent="0.2">
      <c r="D2708" s="89"/>
      <c r="E2708" s="718">
        <v>45645</v>
      </c>
      <c r="F2708" s="736">
        <v>-16.399999999999999</v>
      </c>
      <c r="G2708" s="736" t="s">
        <v>1441</v>
      </c>
      <c r="H2708" s="736">
        <v>-5.5</v>
      </c>
      <c r="I2708" s="769"/>
      <c r="J2708" s="770"/>
      <c r="K2708" s="771"/>
      <c r="L2708" s="100"/>
      <c r="M2708" s="101"/>
    </row>
    <row r="2709" spans="4:13" x14ac:dyDescent="0.2">
      <c r="D2709" s="89"/>
      <c r="E2709" s="718">
        <v>45617</v>
      </c>
      <c r="F2709" s="736">
        <v>-5.5</v>
      </c>
      <c r="G2709" s="736" t="s">
        <v>1292</v>
      </c>
      <c r="H2709" s="736">
        <v>10.3</v>
      </c>
      <c r="I2709" s="769"/>
      <c r="J2709" s="770"/>
      <c r="K2709" s="771"/>
      <c r="L2709" s="100"/>
      <c r="M2709" s="101"/>
    </row>
    <row r="2710" spans="4:13" x14ac:dyDescent="0.2">
      <c r="D2710" s="89"/>
      <c r="E2710" s="718">
        <v>45582</v>
      </c>
      <c r="F2710" s="736">
        <v>10.3</v>
      </c>
      <c r="G2710" s="736" t="s">
        <v>1033</v>
      </c>
      <c r="H2710" s="736">
        <v>1.7</v>
      </c>
      <c r="I2710" s="769"/>
      <c r="J2710" s="770"/>
      <c r="K2710" s="771"/>
      <c r="L2710" s="102"/>
      <c r="M2710" s="101"/>
    </row>
    <row r="2711" spans="4:13" x14ac:dyDescent="0.2">
      <c r="D2711" s="89"/>
      <c r="E2711" s="718">
        <v>45554</v>
      </c>
      <c r="F2711" s="736">
        <v>1.7</v>
      </c>
      <c r="G2711" s="736" t="s">
        <v>1034</v>
      </c>
      <c r="H2711" s="736">
        <v>-7</v>
      </c>
      <c r="I2711" s="769"/>
      <c r="J2711" s="770"/>
      <c r="K2711" s="771"/>
      <c r="L2711" s="100"/>
      <c r="M2711" s="101"/>
    </row>
    <row r="2712" spans="4:13" x14ac:dyDescent="0.2">
      <c r="D2712" s="89"/>
      <c r="E2712" s="718">
        <v>45519</v>
      </c>
      <c r="F2712" s="736">
        <v>-7</v>
      </c>
      <c r="G2712" s="736" t="s">
        <v>1035</v>
      </c>
      <c r="H2712" s="736">
        <v>13.9</v>
      </c>
      <c r="I2712" s="769"/>
      <c r="J2712" s="770"/>
      <c r="K2712" s="771"/>
      <c r="L2712" s="100"/>
      <c r="M2712" s="101"/>
    </row>
    <row r="2713" spans="4:13" ht="20" thickBot="1" x14ac:dyDescent="0.25">
      <c r="D2713" s="89"/>
      <c r="E2713" s="718">
        <v>45491</v>
      </c>
      <c r="F2713" s="736">
        <v>13.9</v>
      </c>
      <c r="G2713" s="736" t="s">
        <v>1036</v>
      </c>
      <c r="H2713" s="736">
        <v>1.3</v>
      </c>
      <c r="I2713" s="772"/>
      <c r="J2713" s="773"/>
      <c r="K2713" s="774"/>
      <c r="L2713" s="103"/>
      <c r="M2713" s="104"/>
    </row>
    <row r="2714" spans="4:13" ht="25" thickBot="1" x14ac:dyDescent="0.25">
      <c r="D2714">
        <v>12</v>
      </c>
      <c r="E2714" s="713" t="s">
        <v>30</v>
      </c>
      <c r="F2714" s="814" t="s">
        <v>1429</v>
      </c>
      <c r="G2714" s="815"/>
      <c r="H2714" s="816"/>
      <c r="I2714" s="781" t="s">
        <v>633</v>
      </c>
      <c r="J2714" s="764"/>
      <c r="K2714" s="765"/>
      <c r="L2714" s="162" t="s">
        <v>430</v>
      </c>
      <c r="M2714" s="106" t="s">
        <v>431</v>
      </c>
    </row>
    <row r="2715" spans="4:13" x14ac:dyDescent="0.2">
      <c r="D2715" s="89"/>
      <c r="E2715" s="714" t="s">
        <v>432</v>
      </c>
      <c r="F2715" s="805"/>
      <c r="G2715" s="806"/>
      <c r="H2715" s="807"/>
      <c r="I2715" s="769" t="s">
        <v>1430</v>
      </c>
      <c r="J2715" s="770"/>
      <c r="K2715" s="771"/>
      <c r="L2715" s="100"/>
      <c r="M2715" s="101"/>
    </row>
    <row r="2716" spans="4:13" x14ac:dyDescent="0.2">
      <c r="D2716" s="89"/>
      <c r="E2716" s="715" t="s">
        <v>433</v>
      </c>
      <c r="F2716" s="824">
        <v>5.0000000000000001E-3</v>
      </c>
      <c r="G2716" s="825"/>
      <c r="H2716" s="826"/>
      <c r="I2716" s="769"/>
      <c r="J2716" s="770"/>
      <c r="K2716" s="771"/>
      <c r="L2716" s="100"/>
      <c r="M2716" s="101"/>
    </row>
    <row r="2717" spans="4:13" ht="20" thickBot="1" x14ac:dyDescent="0.25">
      <c r="D2717" s="89"/>
      <c r="E2717" s="715" t="s">
        <v>434</v>
      </c>
      <c r="F2717" s="824">
        <v>7.0000000000000001E-3</v>
      </c>
      <c r="G2717" s="825"/>
      <c r="H2717" s="826"/>
      <c r="I2717" s="769"/>
      <c r="J2717" s="770"/>
      <c r="K2717" s="771"/>
      <c r="L2717" s="100"/>
      <c r="M2717" s="101"/>
    </row>
    <row r="2718" spans="4:13" ht="20" thickBot="1" x14ac:dyDescent="0.25">
      <c r="D2718" s="89"/>
      <c r="E2718" s="716" t="s">
        <v>435</v>
      </c>
      <c r="F2718" s="811">
        <v>0.5625</v>
      </c>
      <c r="G2718" s="812"/>
      <c r="H2718" s="813"/>
      <c r="I2718" s="769"/>
      <c r="J2718" s="770"/>
      <c r="K2718" s="771"/>
      <c r="L2718" s="107">
        <v>0.79166666666666663</v>
      </c>
      <c r="M2718" s="108">
        <v>0.64583333333333326</v>
      </c>
    </row>
    <row r="2719" spans="4:13" ht="20" thickBot="1" x14ac:dyDescent="0.25">
      <c r="D2719" s="89"/>
      <c r="E2719" s="717" t="s">
        <v>436</v>
      </c>
      <c r="F2719" s="278" t="s">
        <v>29</v>
      </c>
      <c r="G2719" s="278" t="s">
        <v>28</v>
      </c>
      <c r="H2719" s="279" t="s">
        <v>27</v>
      </c>
      <c r="I2719" s="769"/>
      <c r="J2719" s="770"/>
      <c r="K2719" s="771"/>
      <c r="L2719" s="100"/>
      <c r="M2719" s="101"/>
    </row>
    <row r="2720" spans="4:13" x14ac:dyDescent="0.2">
      <c r="D2720" s="89"/>
      <c r="E2720" s="718">
        <v>45643</v>
      </c>
      <c r="F2720" s="721">
        <v>7.0000000000000001E-3</v>
      </c>
      <c r="G2720" s="721" t="s">
        <v>449</v>
      </c>
      <c r="H2720" s="721">
        <v>5.0000000000000001E-3</v>
      </c>
      <c r="I2720" s="769"/>
      <c r="J2720" s="770"/>
      <c r="K2720" s="771"/>
      <c r="L2720" s="100"/>
      <c r="M2720" s="101"/>
    </row>
    <row r="2721" spans="4:13" x14ac:dyDescent="0.2">
      <c r="D2721" s="89"/>
      <c r="E2721" s="718">
        <v>45611</v>
      </c>
      <c r="F2721" s="721">
        <v>4.0000000000000001E-3</v>
      </c>
      <c r="G2721" s="721" t="s">
        <v>467</v>
      </c>
      <c r="H2721" s="721">
        <v>8.0000000000000002E-3</v>
      </c>
      <c r="I2721" s="769"/>
      <c r="J2721" s="770"/>
      <c r="K2721" s="771"/>
      <c r="L2721" s="100"/>
      <c r="M2721" s="101"/>
    </row>
    <row r="2722" spans="4:13" x14ac:dyDescent="0.2">
      <c r="D2722" s="89"/>
      <c r="E2722" s="718">
        <v>45582</v>
      </c>
      <c r="F2722" s="721">
        <v>4.0000000000000001E-3</v>
      </c>
      <c r="G2722" s="721" t="s">
        <v>467</v>
      </c>
      <c r="H2722" s="721">
        <v>1E-3</v>
      </c>
      <c r="I2722" s="769"/>
      <c r="J2722" s="770"/>
      <c r="K2722" s="771"/>
      <c r="L2722" s="102"/>
      <c r="M2722" s="101"/>
    </row>
    <row r="2723" spans="4:13" x14ac:dyDescent="0.2">
      <c r="D2723" s="89"/>
      <c r="E2723" s="718">
        <v>45552</v>
      </c>
      <c r="F2723" s="721">
        <v>1E-3</v>
      </c>
      <c r="G2723" s="721" t="s">
        <v>461</v>
      </c>
      <c r="H2723" s="721">
        <v>1.0999999999999999E-2</v>
      </c>
      <c r="I2723" s="769"/>
      <c r="J2723" s="770"/>
      <c r="K2723" s="771"/>
      <c r="L2723" s="100"/>
      <c r="M2723" s="101"/>
    </row>
    <row r="2724" spans="4:13" x14ac:dyDescent="0.2">
      <c r="D2724" s="89"/>
      <c r="E2724" s="718">
        <v>45519</v>
      </c>
      <c r="F2724" s="721">
        <v>0.01</v>
      </c>
      <c r="G2724" s="721" t="s">
        <v>452</v>
      </c>
      <c r="H2724" s="721">
        <v>-2E-3</v>
      </c>
      <c r="I2724" s="769"/>
      <c r="J2724" s="770"/>
      <c r="K2724" s="771"/>
      <c r="L2724" s="100"/>
      <c r="M2724" s="101"/>
    </row>
    <row r="2725" spans="4:13" ht="20" thickBot="1" x14ac:dyDescent="0.25">
      <c r="D2725" s="89"/>
      <c r="E2725" s="718">
        <v>45489</v>
      </c>
      <c r="F2725" s="721">
        <v>0</v>
      </c>
      <c r="G2725" s="721" t="s">
        <v>454</v>
      </c>
      <c r="H2725" s="721">
        <v>3.0000000000000001E-3</v>
      </c>
      <c r="I2725" s="772"/>
      <c r="J2725" s="773"/>
      <c r="K2725" s="774"/>
      <c r="L2725" s="103"/>
      <c r="M2725" s="104"/>
    </row>
    <row r="2726" spans="4:13" ht="25" thickBot="1" x14ac:dyDescent="0.25">
      <c r="D2726">
        <v>13</v>
      </c>
      <c r="E2726" s="713" t="s">
        <v>30</v>
      </c>
      <c r="F2726" s="814" t="s">
        <v>1431</v>
      </c>
      <c r="G2726" s="815"/>
      <c r="H2726" s="816"/>
      <c r="I2726" s="781" t="s">
        <v>633</v>
      </c>
      <c r="J2726" s="764"/>
      <c r="K2726" s="765"/>
      <c r="L2726" s="162" t="s">
        <v>430</v>
      </c>
      <c r="M2726" s="106" t="s">
        <v>431</v>
      </c>
    </row>
    <row r="2727" spans="4:13" x14ac:dyDescent="0.2">
      <c r="D2727" s="89"/>
      <c r="E2727" s="714" t="s">
        <v>432</v>
      </c>
      <c r="F2727" s="805"/>
      <c r="G2727" s="806"/>
      <c r="H2727" s="807"/>
      <c r="I2727" s="769" t="s">
        <v>1432</v>
      </c>
      <c r="J2727" s="770"/>
      <c r="K2727" s="771"/>
      <c r="L2727" s="100"/>
      <c r="M2727" s="101"/>
    </row>
    <row r="2728" spans="4:13" x14ac:dyDescent="0.2">
      <c r="D2728" s="89"/>
      <c r="E2728" s="715" t="s">
        <v>433</v>
      </c>
      <c r="F2728" s="808">
        <v>5.0999999999999997E-2</v>
      </c>
      <c r="G2728" s="809"/>
      <c r="H2728" s="810"/>
      <c r="I2728" s="769"/>
      <c r="J2728" s="770"/>
      <c r="K2728" s="771"/>
      <c r="L2728" s="100"/>
      <c r="M2728" s="101"/>
    </row>
    <row r="2729" spans="4:13" ht="20" thickBot="1" x14ac:dyDescent="0.25">
      <c r="D2729" s="89"/>
      <c r="E2729" s="715" t="s">
        <v>434</v>
      </c>
      <c r="F2729" s="808">
        <v>4.5999999999999999E-2</v>
      </c>
      <c r="G2729" s="809"/>
      <c r="H2729" s="810"/>
      <c r="I2729" s="769"/>
      <c r="J2729" s="770"/>
      <c r="K2729" s="771"/>
      <c r="L2729" s="100"/>
      <c r="M2729" s="101"/>
    </row>
    <row r="2730" spans="4:13" ht="20" thickBot="1" x14ac:dyDescent="0.25">
      <c r="D2730" s="89"/>
      <c r="E2730" s="716" t="s">
        <v>435</v>
      </c>
      <c r="F2730" s="811">
        <v>8.3333333333333343E-2</v>
      </c>
      <c r="G2730" s="812"/>
      <c r="H2730" s="813"/>
      <c r="I2730" s="769"/>
      <c r="J2730" s="770"/>
      <c r="K2730" s="771"/>
      <c r="L2730" s="107">
        <v>0.3125</v>
      </c>
      <c r="M2730" s="108">
        <v>0.16666666666666666</v>
      </c>
    </row>
    <row r="2731" spans="4:13" ht="20" thickBot="1" x14ac:dyDescent="0.25">
      <c r="D2731" s="89"/>
      <c r="E2731" s="717" t="s">
        <v>436</v>
      </c>
      <c r="F2731" s="278" t="s">
        <v>29</v>
      </c>
      <c r="G2731" s="278" t="s">
        <v>28</v>
      </c>
      <c r="H2731" s="279" t="s">
        <v>27</v>
      </c>
      <c r="I2731" s="769"/>
      <c r="J2731" s="770"/>
      <c r="K2731" s="771"/>
      <c r="L2731" s="100"/>
      <c r="M2731" s="101"/>
    </row>
    <row r="2732" spans="4:13" x14ac:dyDescent="0.2">
      <c r="D2732" s="89"/>
      <c r="E2732" s="718">
        <v>45583</v>
      </c>
      <c r="F2732" s="721">
        <v>4.5999999999999999E-2</v>
      </c>
      <c r="G2732" s="721" t="s">
        <v>1442</v>
      </c>
      <c r="H2732" s="721">
        <v>4.7E-2</v>
      </c>
      <c r="I2732" s="769"/>
      <c r="J2732" s="770"/>
      <c r="K2732" s="771"/>
      <c r="L2732" s="100"/>
      <c r="M2732" s="101"/>
    </row>
    <row r="2733" spans="4:13" x14ac:dyDescent="0.2">
      <c r="D2733" s="89"/>
      <c r="E2733" s="718">
        <v>45488</v>
      </c>
      <c r="F2733" s="721">
        <v>4.7E-2</v>
      </c>
      <c r="G2733" s="721" t="s">
        <v>1443</v>
      </c>
      <c r="H2733" s="721">
        <v>5.2999999999999999E-2</v>
      </c>
      <c r="I2733" s="769"/>
      <c r="J2733" s="770"/>
      <c r="K2733" s="771"/>
      <c r="L2733" s="100"/>
      <c r="M2733" s="101"/>
    </row>
    <row r="2734" spans="4:13" x14ac:dyDescent="0.2">
      <c r="D2734" s="89"/>
      <c r="E2734" s="718">
        <v>45398</v>
      </c>
      <c r="F2734" s="721">
        <v>5.2999999999999999E-2</v>
      </c>
      <c r="G2734" s="721" t="s">
        <v>1444</v>
      </c>
      <c r="H2734" s="721">
        <v>5.1999999999999998E-2</v>
      </c>
      <c r="I2734" s="769"/>
      <c r="J2734" s="770"/>
      <c r="K2734" s="771"/>
      <c r="L2734" s="102"/>
      <c r="M2734" s="101"/>
    </row>
    <row r="2735" spans="4:13" x14ac:dyDescent="0.2">
      <c r="D2735" s="89"/>
      <c r="E2735" s="718">
        <v>45308</v>
      </c>
      <c r="F2735" s="721">
        <v>5.1999999999999998E-2</v>
      </c>
      <c r="G2735" s="721" t="s">
        <v>884</v>
      </c>
      <c r="H2735" s="721">
        <v>4.9000000000000002E-2</v>
      </c>
      <c r="I2735" s="769"/>
      <c r="J2735" s="770"/>
      <c r="K2735" s="771"/>
      <c r="L2735" s="100"/>
      <c r="M2735" s="101"/>
    </row>
    <row r="2736" spans="4:13" x14ac:dyDescent="0.2">
      <c r="D2736" s="89"/>
      <c r="E2736" s="718">
        <v>45217</v>
      </c>
      <c r="F2736" s="721">
        <v>4.9000000000000002E-2</v>
      </c>
      <c r="G2736" s="721" t="s">
        <v>1445</v>
      </c>
      <c r="H2736" s="721">
        <v>6.3E-2</v>
      </c>
      <c r="I2736" s="769"/>
      <c r="J2736" s="770"/>
      <c r="K2736" s="771"/>
      <c r="L2736" s="100"/>
      <c r="M2736" s="101"/>
    </row>
    <row r="2737" spans="4:13" ht="20" thickBot="1" x14ac:dyDescent="0.25">
      <c r="D2737" s="89"/>
      <c r="E2737" s="718">
        <v>45124</v>
      </c>
      <c r="F2737" s="721">
        <v>6.3E-2</v>
      </c>
      <c r="G2737" s="721" t="s">
        <v>1446</v>
      </c>
      <c r="H2737" s="721">
        <v>4.4999999999999998E-2</v>
      </c>
      <c r="I2737" s="772"/>
      <c r="J2737" s="773"/>
      <c r="K2737" s="774"/>
      <c r="L2737" s="103"/>
      <c r="M2737" s="104"/>
    </row>
    <row r="2738" spans="4:13" ht="25" thickBot="1" x14ac:dyDescent="0.25">
      <c r="D2738">
        <v>10</v>
      </c>
      <c r="E2738" s="713" t="s">
        <v>30</v>
      </c>
      <c r="F2738" s="814" t="s">
        <v>1433</v>
      </c>
      <c r="G2738" s="815"/>
      <c r="H2738" s="816"/>
      <c r="I2738" s="781" t="s">
        <v>633</v>
      </c>
      <c r="J2738" s="764"/>
      <c r="K2738" s="765"/>
      <c r="L2738" s="162" t="s">
        <v>430</v>
      </c>
      <c r="M2738" s="106" t="s">
        <v>431</v>
      </c>
    </row>
    <row r="2739" spans="4:13" x14ac:dyDescent="0.2">
      <c r="D2739" s="89"/>
      <c r="E2739" s="714" t="s">
        <v>432</v>
      </c>
      <c r="F2739" s="805"/>
      <c r="G2739" s="806"/>
      <c r="H2739" s="807"/>
      <c r="I2739" s="769" t="s">
        <v>1434</v>
      </c>
      <c r="J2739" s="770"/>
      <c r="K2739" s="771"/>
      <c r="L2739" s="100"/>
      <c r="M2739" s="101"/>
    </row>
    <row r="2740" spans="4:13" x14ac:dyDescent="0.2">
      <c r="D2740" s="89"/>
      <c r="E2740" s="715" t="s">
        <v>433</v>
      </c>
      <c r="F2740" s="823">
        <v>2.4E-2</v>
      </c>
      <c r="G2740" s="818"/>
      <c r="H2740" s="819"/>
      <c r="I2740" s="769"/>
      <c r="J2740" s="770"/>
      <c r="K2740" s="771"/>
      <c r="L2740" s="100"/>
      <c r="M2740" s="101"/>
    </row>
    <row r="2741" spans="4:13" ht="20" thickBot="1" x14ac:dyDescent="0.25">
      <c r="D2741" s="89"/>
      <c r="E2741" s="715" t="s">
        <v>434</v>
      </c>
      <c r="F2741" s="824">
        <v>2.4E-2</v>
      </c>
      <c r="G2741" s="825"/>
      <c r="H2741" s="826"/>
      <c r="I2741" s="769"/>
      <c r="J2741" s="770"/>
      <c r="K2741" s="771"/>
      <c r="L2741" s="100"/>
      <c r="M2741" s="101"/>
    </row>
    <row r="2742" spans="4:13" ht="20" thickBot="1" x14ac:dyDescent="0.25">
      <c r="D2742" s="89"/>
      <c r="E2742" s="716" t="s">
        <v>435</v>
      </c>
      <c r="F2742" s="811">
        <v>0.41666666666666674</v>
      </c>
      <c r="G2742" s="812"/>
      <c r="H2742" s="813"/>
      <c r="I2742" s="769"/>
      <c r="J2742" s="770"/>
      <c r="K2742" s="771"/>
      <c r="L2742" s="107">
        <v>0.64583333333333337</v>
      </c>
      <c r="M2742" s="108">
        <v>0.5</v>
      </c>
    </row>
    <row r="2743" spans="4:13" ht="20" thickBot="1" x14ac:dyDescent="0.25">
      <c r="D2743" s="89"/>
      <c r="E2743" s="717" t="s">
        <v>436</v>
      </c>
      <c r="F2743" s="278" t="s">
        <v>29</v>
      </c>
      <c r="G2743" s="278" t="s">
        <v>28</v>
      </c>
      <c r="H2743" s="279" t="s">
        <v>27</v>
      </c>
      <c r="I2743" s="769"/>
      <c r="J2743" s="770"/>
      <c r="K2743" s="771"/>
      <c r="L2743" s="100"/>
      <c r="M2743" s="101"/>
    </row>
    <row r="2744" spans="4:13" x14ac:dyDescent="0.2">
      <c r="D2744" s="89"/>
      <c r="E2744" s="718">
        <v>45664</v>
      </c>
      <c r="F2744" s="380">
        <v>2.4E-2</v>
      </c>
      <c r="G2744" s="380" t="s">
        <v>1447</v>
      </c>
      <c r="H2744" s="380">
        <v>2.1999999999999999E-2</v>
      </c>
      <c r="I2744" s="769"/>
      <c r="J2744" s="770"/>
      <c r="K2744" s="771"/>
      <c r="L2744" s="100"/>
      <c r="M2744" s="101"/>
    </row>
    <row r="2745" spans="4:13" x14ac:dyDescent="0.2">
      <c r="D2745" s="89"/>
      <c r="E2745" s="718">
        <v>45644</v>
      </c>
      <c r="F2745" s="380">
        <v>2.1999999999999999E-2</v>
      </c>
      <c r="G2745" s="380" t="s">
        <v>971</v>
      </c>
      <c r="H2745" s="380">
        <v>0.02</v>
      </c>
      <c r="I2745" s="769"/>
      <c r="J2745" s="770"/>
      <c r="K2745" s="771"/>
      <c r="L2745" s="100"/>
      <c r="M2745" s="101"/>
    </row>
    <row r="2746" spans="4:13" x14ac:dyDescent="0.2">
      <c r="D2746" s="89"/>
      <c r="E2746" s="718">
        <v>45625</v>
      </c>
      <c r="F2746" s="380">
        <v>2.3E-2</v>
      </c>
      <c r="G2746" s="380" t="s">
        <v>971</v>
      </c>
      <c r="H2746" s="380">
        <v>0.02</v>
      </c>
      <c r="I2746" s="769"/>
      <c r="J2746" s="770"/>
      <c r="K2746" s="771"/>
      <c r="L2746" s="102"/>
      <c r="M2746" s="101"/>
    </row>
    <row r="2747" spans="4:13" x14ac:dyDescent="0.2">
      <c r="D2747" s="89"/>
      <c r="E2747" s="718">
        <v>45615</v>
      </c>
      <c r="F2747" s="380">
        <v>0.02</v>
      </c>
      <c r="G2747" s="380" t="s">
        <v>788</v>
      </c>
      <c r="H2747" s="380">
        <v>0.02</v>
      </c>
      <c r="I2747" s="769"/>
      <c r="J2747" s="770"/>
      <c r="K2747" s="771"/>
      <c r="L2747" s="100"/>
      <c r="M2747" s="101"/>
    </row>
    <row r="2748" spans="4:13" x14ac:dyDescent="0.2">
      <c r="D2748" s="89"/>
      <c r="E2748" s="718">
        <v>45596</v>
      </c>
      <c r="F2748" s="380">
        <v>0.02</v>
      </c>
      <c r="G2748" s="380" t="s">
        <v>789</v>
      </c>
      <c r="H2748" s="380">
        <v>1.7000000000000001E-2</v>
      </c>
      <c r="I2748" s="769"/>
      <c r="J2748" s="770"/>
      <c r="K2748" s="771"/>
      <c r="L2748" s="100"/>
      <c r="M2748" s="101"/>
    </row>
    <row r="2749" spans="4:13" ht="20" thickBot="1" x14ac:dyDescent="0.25">
      <c r="D2749" s="89"/>
      <c r="E2749" s="718">
        <v>45582</v>
      </c>
      <c r="F2749" s="380">
        <v>1.7000000000000001E-2</v>
      </c>
      <c r="G2749" s="380" t="s">
        <v>895</v>
      </c>
      <c r="H2749" s="380">
        <v>2.1999999999999999E-2</v>
      </c>
      <c r="I2749" s="772"/>
      <c r="J2749" s="773"/>
      <c r="K2749" s="774"/>
      <c r="L2749" s="103"/>
      <c r="M2749" s="104"/>
    </row>
    <row r="2750" spans="4:13" ht="25" thickBot="1" x14ac:dyDescent="0.25">
      <c r="D2750">
        <v>2</v>
      </c>
      <c r="E2750" s="741" t="s">
        <v>30</v>
      </c>
      <c r="F2750" s="760" t="s">
        <v>1477</v>
      </c>
      <c r="G2750" s="761"/>
      <c r="H2750" s="762"/>
      <c r="I2750" s="781" t="s">
        <v>633</v>
      </c>
      <c r="J2750" s="764"/>
      <c r="K2750" s="765"/>
      <c r="L2750" s="162" t="s">
        <v>430</v>
      </c>
      <c r="M2750" s="106" t="s">
        <v>431</v>
      </c>
    </row>
    <row r="2751" spans="4:13" ht="24" x14ac:dyDescent="0.2">
      <c r="E2751" s="742" t="s">
        <v>432</v>
      </c>
      <c r="F2751" s="782"/>
      <c r="G2751" s="783"/>
      <c r="H2751" s="784"/>
      <c r="I2751" s="769" t="s">
        <v>1478</v>
      </c>
      <c r="J2751" s="770"/>
      <c r="K2751" s="771"/>
      <c r="L2751" s="100"/>
      <c r="M2751" s="101"/>
    </row>
    <row r="2752" spans="4:13" ht="24" x14ac:dyDescent="0.2">
      <c r="E2752" s="743" t="s">
        <v>433</v>
      </c>
      <c r="F2752" s="785">
        <v>50.1</v>
      </c>
      <c r="G2752" s="786"/>
      <c r="H2752" s="787"/>
      <c r="I2752" s="769"/>
      <c r="J2752" s="770"/>
      <c r="K2752" s="771"/>
      <c r="L2752" s="100"/>
      <c r="M2752" s="101"/>
    </row>
    <row r="2753" spans="4:13" ht="25" thickBot="1" x14ac:dyDescent="0.25">
      <c r="E2753" s="743" t="s">
        <v>434</v>
      </c>
      <c r="F2753" s="785">
        <v>50.1</v>
      </c>
      <c r="G2753" s="786"/>
      <c r="H2753" s="787"/>
      <c r="I2753" s="769"/>
      <c r="J2753" s="770"/>
      <c r="K2753" s="771"/>
      <c r="L2753" s="100"/>
      <c r="M2753" s="101"/>
    </row>
    <row r="2754" spans="4:13" ht="25" thickBot="1" x14ac:dyDescent="0.25">
      <c r="E2754" s="744" t="s">
        <v>435</v>
      </c>
      <c r="F2754" s="778">
        <v>6.2500000000000028E-2</v>
      </c>
      <c r="G2754" s="779"/>
      <c r="H2754" s="780"/>
      <c r="I2754" s="769"/>
      <c r="J2754" s="770"/>
      <c r="K2754" s="771"/>
      <c r="L2754" s="107">
        <v>0.29166666666666669</v>
      </c>
      <c r="M2754" s="108">
        <v>0.14583333333333334</v>
      </c>
    </row>
    <row r="2755" spans="4:13" ht="25" thickBot="1" x14ac:dyDescent="0.25">
      <c r="E2755" s="745" t="s">
        <v>436</v>
      </c>
      <c r="F2755" s="212" t="s">
        <v>29</v>
      </c>
      <c r="G2755" s="212" t="s">
        <v>28</v>
      </c>
      <c r="H2755" s="213" t="s">
        <v>27</v>
      </c>
      <c r="I2755" s="769"/>
      <c r="J2755" s="770"/>
      <c r="K2755" s="771"/>
      <c r="L2755" s="100"/>
      <c r="M2755" s="101"/>
    </row>
    <row r="2756" spans="4:13" ht="24" x14ac:dyDescent="0.2">
      <c r="E2756" s="746">
        <v>45657</v>
      </c>
      <c r="F2756" s="240">
        <v>50.1</v>
      </c>
      <c r="G2756" s="240" t="s">
        <v>445</v>
      </c>
      <c r="H2756" s="240">
        <v>50.3</v>
      </c>
      <c r="I2756" s="769"/>
      <c r="J2756" s="770"/>
      <c r="K2756" s="771"/>
      <c r="L2756" s="100"/>
      <c r="M2756" s="101"/>
    </row>
    <row r="2757" spans="4:13" ht="24" x14ac:dyDescent="0.2">
      <c r="E2757" s="746">
        <v>45626</v>
      </c>
      <c r="F2757" s="240">
        <v>50.3</v>
      </c>
      <c r="G2757" s="240" t="s">
        <v>1340</v>
      </c>
      <c r="H2757" s="240">
        <v>50.1</v>
      </c>
      <c r="I2757" s="769"/>
      <c r="J2757" s="770"/>
      <c r="K2757" s="771"/>
      <c r="L2757" s="100"/>
      <c r="M2757" s="101"/>
    </row>
    <row r="2758" spans="4:13" ht="24" x14ac:dyDescent="0.2">
      <c r="E2758" s="746">
        <v>45596</v>
      </c>
      <c r="F2758" s="240">
        <v>50.1</v>
      </c>
      <c r="G2758" s="240" t="s">
        <v>513</v>
      </c>
      <c r="H2758" s="240">
        <v>49.8</v>
      </c>
      <c r="I2758" s="769"/>
      <c r="J2758" s="770"/>
      <c r="K2758" s="771"/>
      <c r="L2758" s="102"/>
      <c r="M2758" s="101"/>
    </row>
    <row r="2759" spans="4:13" ht="24" x14ac:dyDescent="0.2">
      <c r="E2759" s="746">
        <v>45565</v>
      </c>
      <c r="F2759" s="240">
        <v>49.8</v>
      </c>
      <c r="G2759" s="240" t="s">
        <v>440</v>
      </c>
      <c r="H2759" s="240">
        <v>49.1</v>
      </c>
      <c r="I2759" s="769"/>
      <c r="J2759" s="770"/>
      <c r="K2759" s="771"/>
      <c r="L2759" s="100"/>
      <c r="M2759" s="101"/>
    </row>
    <row r="2760" spans="4:13" ht="24" x14ac:dyDescent="0.2">
      <c r="E2760" s="746">
        <v>45535</v>
      </c>
      <c r="F2760" s="240">
        <v>49.1</v>
      </c>
      <c r="G2760" s="240" t="s">
        <v>438</v>
      </c>
      <c r="H2760" s="240">
        <v>49.4</v>
      </c>
      <c r="I2760" s="769"/>
      <c r="J2760" s="770"/>
      <c r="K2760" s="771"/>
      <c r="L2760" s="100"/>
      <c r="M2760" s="101"/>
    </row>
    <row r="2761" spans="4:13" ht="25" thickBot="1" x14ac:dyDescent="0.25">
      <c r="E2761" s="746">
        <v>45504</v>
      </c>
      <c r="F2761" s="240">
        <v>49.4</v>
      </c>
      <c r="G2761" s="240" t="s">
        <v>440</v>
      </c>
      <c r="H2761" s="240">
        <v>49.5</v>
      </c>
      <c r="I2761" s="772"/>
      <c r="J2761" s="773"/>
      <c r="K2761" s="774"/>
      <c r="L2761" s="103"/>
      <c r="M2761" s="104"/>
    </row>
    <row r="2762" spans="4:13" ht="25" thickBot="1" x14ac:dyDescent="0.25">
      <c r="D2762">
        <v>3</v>
      </c>
      <c r="E2762" s="741" t="s">
        <v>30</v>
      </c>
      <c r="F2762" s="760" t="s">
        <v>1479</v>
      </c>
      <c r="G2762" s="761"/>
      <c r="H2762" s="762"/>
      <c r="I2762" s="781" t="s">
        <v>633</v>
      </c>
      <c r="J2762" s="764"/>
      <c r="K2762" s="765"/>
      <c r="L2762" s="162" t="s">
        <v>430</v>
      </c>
      <c r="M2762" s="106" t="s">
        <v>431</v>
      </c>
    </row>
    <row r="2763" spans="4:13" ht="24" x14ac:dyDescent="0.2">
      <c r="E2763" s="742" t="s">
        <v>432</v>
      </c>
      <c r="F2763" s="782"/>
      <c r="G2763" s="783"/>
      <c r="H2763" s="784"/>
      <c r="I2763" s="769" t="s">
        <v>1482</v>
      </c>
      <c r="J2763" s="770"/>
      <c r="K2763" s="771"/>
      <c r="L2763" s="100"/>
      <c r="M2763" s="101"/>
    </row>
    <row r="2764" spans="4:13" ht="24" x14ac:dyDescent="0.2">
      <c r="E2764" s="743" t="s">
        <v>433</v>
      </c>
      <c r="F2764" s="775"/>
      <c r="G2764" s="776"/>
      <c r="H2764" s="777"/>
      <c r="I2764" s="769"/>
      <c r="J2764" s="770"/>
      <c r="K2764" s="771"/>
      <c r="L2764" s="100"/>
      <c r="M2764" s="101"/>
    </row>
    <row r="2765" spans="4:13" ht="25" thickBot="1" x14ac:dyDescent="0.25">
      <c r="E2765" s="743" t="s">
        <v>434</v>
      </c>
      <c r="F2765" s="775" t="s">
        <v>1481</v>
      </c>
      <c r="G2765" s="776"/>
      <c r="H2765" s="777"/>
      <c r="I2765" s="769"/>
      <c r="J2765" s="770"/>
      <c r="K2765" s="771"/>
      <c r="L2765" s="100"/>
      <c r="M2765" s="101"/>
    </row>
    <row r="2766" spans="4:13" ht="25" thickBot="1" x14ac:dyDescent="0.25">
      <c r="E2766" s="744" t="s">
        <v>435</v>
      </c>
      <c r="F2766" s="778">
        <v>0.625</v>
      </c>
      <c r="G2766" s="779"/>
      <c r="H2766" s="780"/>
      <c r="I2766" s="769"/>
      <c r="J2766" s="770"/>
      <c r="K2766" s="771"/>
      <c r="L2766" s="107">
        <v>0.85416666666666663</v>
      </c>
      <c r="M2766" s="108">
        <v>0.70833333333333326</v>
      </c>
    </row>
    <row r="2767" spans="4:13" ht="25" thickBot="1" x14ac:dyDescent="0.25">
      <c r="E2767" s="745" t="s">
        <v>436</v>
      </c>
      <c r="F2767" s="212" t="s">
        <v>29</v>
      </c>
      <c r="G2767" s="212" t="s">
        <v>28</v>
      </c>
      <c r="H2767" s="213" t="s">
        <v>27</v>
      </c>
      <c r="I2767" s="769"/>
      <c r="J2767" s="770"/>
      <c r="K2767" s="771"/>
      <c r="L2767" s="100"/>
      <c r="M2767" s="101"/>
    </row>
    <row r="2768" spans="4:13" ht="24" x14ac:dyDescent="0.2">
      <c r="E2768" s="746">
        <v>45649</v>
      </c>
      <c r="F2768" s="214" t="s">
        <v>1532</v>
      </c>
      <c r="G2768" s="214" t="s">
        <v>1533</v>
      </c>
      <c r="H2768" s="214" t="s">
        <v>1534</v>
      </c>
      <c r="I2768" s="769"/>
      <c r="J2768" s="770"/>
      <c r="K2768" s="771"/>
      <c r="L2768" s="100"/>
      <c r="M2768" s="101"/>
    </row>
    <row r="2769" spans="4:13" ht="24" x14ac:dyDescent="0.2">
      <c r="E2769" s="746">
        <v>45622</v>
      </c>
      <c r="F2769" s="214" t="s">
        <v>1316</v>
      </c>
      <c r="G2769" s="214" t="s">
        <v>1317</v>
      </c>
      <c r="H2769" s="214" t="s">
        <v>1092</v>
      </c>
      <c r="I2769" s="769"/>
      <c r="J2769" s="770"/>
      <c r="K2769" s="771"/>
      <c r="L2769" s="100"/>
      <c r="M2769" s="101"/>
    </row>
    <row r="2770" spans="4:13" ht="24" x14ac:dyDescent="0.2">
      <c r="E2770" s="746">
        <v>45589</v>
      </c>
      <c r="F2770" s="214" t="s">
        <v>1092</v>
      </c>
      <c r="G2770" s="214" t="s">
        <v>1093</v>
      </c>
      <c r="H2770" s="214" t="s">
        <v>1094</v>
      </c>
      <c r="I2770" s="769"/>
      <c r="J2770" s="770"/>
      <c r="K2770" s="771"/>
      <c r="L2770" s="102"/>
      <c r="M2770" s="101"/>
    </row>
    <row r="2771" spans="4:13" ht="24" x14ac:dyDescent="0.2">
      <c r="E2771" s="746">
        <v>45560</v>
      </c>
      <c r="F2771" s="214" t="s">
        <v>1095</v>
      </c>
      <c r="G2771" s="214" t="s">
        <v>1096</v>
      </c>
      <c r="H2771" s="214" t="s">
        <v>1097</v>
      </c>
      <c r="I2771" s="769"/>
      <c r="J2771" s="770"/>
      <c r="K2771" s="771"/>
      <c r="L2771" s="100"/>
      <c r="M2771" s="101"/>
    </row>
    <row r="2772" spans="4:13" ht="24" x14ac:dyDescent="0.2">
      <c r="E2772" s="746">
        <v>45527</v>
      </c>
      <c r="F2772" s="214" t="s">
        <v>1098</v>
      </c>
      <c r="G2772" s="214" t="s">
        <v>1099</v>
      </c>
      <c r="H2772" s="214" t="s">
        <v>1100</v>
      </c>
      <c r="I2772" s="769"/>
      <c r="J2772" s="770"/>
      <c r="K2772" s="771"/>
      <c r="L2772" s="100"/>
      <c r="M2772" s="101"/>
    </row>
    <row r="2773" spans="4:13" ht="25" thickBot="1" x14ac:dyDescent="0.25">
      <c r="E2773" s="746">
        <v>45497</v>
      </c>
      <c r="F2773" s="214" t="s">
        <v>1101</v>
      </c>
      <c r="G2773" s="214" t="s">
        <v>1102</v>
      </c>
      <c r="H2773" s="214" t="s">
        <v>1103</v>
      </c>
      <c r="I2773" s="772"/>
      <c r="J2773" s="773"/>
      <c r="K2773" s="774"/>
      <c r="L2773" s="103"/>
      <c r="M2773" s="104"/>
    </row>
    <row r="2774" spans="4:13" ht="25" thickBot="1" x14ac:dyDescent="0.25">
      <c r="D2774">
        <v>5</v>
      </c>
      <c r="E2774" s="741" t="s">
        <v>30</v>
      </c>
      <c r="F2774" s="760" t="s">
        <v>1483</v>
      </c>
      <c r="G2774" s="761"/>
      <c r="H2774" s="762"/>
      <c r="I2774" s="781" t="s">
        <v>633</v>
      </c>
      <c r="J2774" s="764"/>
      <c r="K2774" s="765"/>
      <c r="L2774" s="162" t="s">
        <v>430</v>
      </c>
      <c r="M2774" s="106" t="s">
        <v>431</v>
      </c>
    </row>
    <row r="2775" spans="4:13" ht="24" x14ac:dyDescent="0.2">
      <c r="E2775" s="742" t="s">
        <v>432</v>
      </c>
      <c r="F2775" s="782"/>
      <c r="G2775" s="783"/>
      <c r="H2775" s="784"/>
      <c r="I2775" s="769" t="s">
        <v>1484</v>
      </c>
      <c r="J2775" s="770"/>
      <c r="K2775" s="771"/>
      <c r="L2775" s="100"/>
      <c r="M2775" s="101"/>
    </row>
    <row r="2776" spans="4:13" ht="24" x14ac:dyDescent="0.2">
      <c r="E2776" s="743" t="s">
        <v>433</v>
      </c>
      <c r="F2776" s="775">
        <v>0</v>
      </c>
      <c r="G2776" s="776"/>
      <c r="H2776" s="777"/>
      <c r="I2776" s="769"/>
      <c r="J2776" s="770"/>
      <c r="K2776" s="771"/>
      <c r="L2776" s="100"/>
      <c r="M2776" s="101"/>
    </row>
    <row r="2777" spans="4:13" ht="25" thickBot="1" x14ac:dyDescent="0.25">
      <c r="E2777" s="743" t="s">
        <v>434</v>
      </c>
      <c r="F2777" s="775">
        <v>0</v>
      </c>
      <c r="G2777" s="776"/>
      <c r="H2777" s="777"/>
      <c r="I2777" s="769"/>
      <c r="J2777" s="770"/>
      <c r="K2777" s="771"/>
      <c r="L2777" s="100"/>
      <c r="M2777" s="101"/>
    </row>
    <row r="2778" spans="4:13" ht="25" thickBot="1" x14ac:dyDescent="0.25">
      <c r="E2778" s="744" t="s">
        <v>435</v>
      </c>
      <c r="F2778" s="778" t="e">
        <v>#VALUE!</v>
      </c>
      <c r="G2778" s="779"/>
      <c r="H2778" s="780"/>
      <c r="I2778" s="769"/>
      <c r="J2778" s="770"/>
      <c r="K2778" s="771"/>
      <c r="L2778" s="107" t="s">
        <v>1449</v>
      </c>
      <c r="M2778" s="108" t="e">
        <v>#VALUE!</v>
      </c>
    </row>
    <row r="2779" spans="4:13" ht="25" thickBot="1" x14ac:dyDescent="0.25">
      <c r="E2779" s="745" t="s">
        <v>436</v>
      </c>
      <c r="F2779" s="212" t="s">
        <v>29</v>
      </c>
      <c r="G2779" s="212" t="s">
        <v>28</v>
      </c>
      <c r="H2779" s="213" t="s">
        <v>27</v>
      </c>
      <c r="I2779" s="769"/>
      <c r="J2779" s="770"/>
      <c r="K2779" s="771"/>
      <c r="L2779" s="100"/>
      <c r="M2779" s="101"/>
    </row>
    <row r="2780" spans="4:13" ht="24" x14ac:dyDescent="0.2">
      <c r="E2780" s="746">
        <v>45643</v>
      </c>
      <c r="F2780" s="214">
        <v>0.02</v>
      </c>
      <c r="G2780" s="214" t="s">
        <v>1028</v>
      </c>
      <c r="H2780" s="214">
        <v>2.1999999999999999E-2</v>
      </c>
      <c r="I2780" s="769"/>
      <c r="J2780" s="770"/>
      <c r="K2780" s="771"/>
      <c r="L2780" s="100"/>
      <c r="M2780" s="101"/>
    </row>
    <row r="2781" spans="4:13" ht="24" x14ac:dyDescent="0.2">
      <c r="E2781" s="746">
        <v>45615</v>
      </c>
      <c r="F2781" s="214">
        <v>2.1999999999999999E-2</v>
      </c>
      <c r="G2781" s="214" t="s">
        <v>1028</v>
      </c>
      <c r="H2781" s="214">
        <v>2.1000000000000001E-2</v>
      </c>
      <c r="I2781" s="769"/>
      <c r="J2781" s="770"/>
      <c r="K2781" s="771"/>
      <c r="L2781" s="100"/>
      <c r="M2781" s="101"/>
    </row>
    <row r="2782" spans="4:13" ht="24" x14ac:dyDescent="0.2">
      <c r="E2782" s="746">
        <v>45580</v>
      </c>
      <c r="F2782" s="214">
        <v>2.1000000000000001E-2</v>
      </c>
      <c r="G2782" s="214" t="s">
        <v>1028</v>
      </c>
      <c r="H2782" s="214">
        <v>1.9E-2</v>
      </c>
      <c r="I2782" s="769"/>
      <c r="J2782" s="770"/>
      <c r="K2782" s="771"/>
      <c r="L2782" s="102"/>
      <c r="M2782" s="101"/>
    </row>
    <row r="2783" spans="4:13" ht="24" x14ac:dyDescent="0.2">
      <c r="E2783" s="746">
        <v>45552</v>
      </c>
      <c r="F2783" s="214">
        <v>0.02</v>
      </c>
      <c r="G2783" s="214" t="s">
        <v>490</v>
      </c>
      <c r="H2783" s="214">
        <v>2.1999999999999999E-2</v>
      </c>
      <c r="I2783" s="769"/>
      <c r="J2783" s="770"/>
      <c r="K2783" s="771"/>
      <c r="L2783" s="100"/>
      <c r="M2783" s="101"/>
    </row>
    <row r="2784" spans="4:13" ht="24" x14ac:dyDescent="0.2">
      <c r="E2784" s="746">
        <v>45524</v>
      </c>
      <c r="F2784" s="214">
        <v>2.1999999999999999E-2</v>
      </c>
      <c r="G2784" s="214" t="s">
        <v>490</v>
      </c>
      <c r="H2784" s="214">
        <v>2.3E-2</v>
      </c>
      <c r="I2784" s="769"/>
      <c r="J2784" s="770"/>
      <c r="K2784" s="771"/>
      <c r="L2784" s="100"/>
      <c r="M2784" s="101"/>
    </row>
    <row r="2785" spans="4:13" ht="25" thickBot="1" x14ac:dyDescent="0.25">
      <c r="E2785" s="746">
        <v>45489</v>
      </c>
      <c r="F2785" s="214">
        <v>2.3E-2</v>
      </c>
      <c r="G2785" s="214" t="s">
        <v>1447</v>
      </c>
      <c r="H2785" s="214">
        <v>2.4E-2</v>
      </c>
      <c r="I2785" s="772"/>
      <c r="J2785" s="773"/>
      <c r="K2785" s="774"/>
      <c r="L2785" s="103"/>
      <c r="M2785" s="104"/>
    </row>
    <row r="2786" spans="4:13" ht="25" thickBot="1" x14ac:dyDescent="0.25">
      <c r="D2786">
        <v>4</v>
      </c>
      <c r="E2786" s="741" t="s">
        <v>30</v>
      </c>
      <c r="F2786" s="760" t="s">
        <v>1486</v>
      </c>
      <c r="G2786" s="761"/>
      <c r="H2786" s="762"/>
      <c r="I2786" s="781" t="s">
        <v>633</v>
      </c>
      <c r="J2786" s="764"/>
      <c r="K2786" s="765"/>
      <c r="L2786" s="162" t="s">
        <v>430</v>
      </c>
      <c r="M2786" s="106" t="s">
        <v>431</v>
      </c>
    </row>
    <row r="2787" spans="4:13" ht="24" x14ac:dyDescent="0.2">
      <c r="E2787" s="742" t="s">
        <v>432</v>
      </c>
      <c r="F2787" s="782"/>
      <c r="G2787" s="783"/>
      <c r="H2787" s="784"/>
      <c r="I2787" s="769" t="s">
        <v>1487</v>
      </c>
      <c r="J2787" s="770"/>
      <c r="K2787" s="771"/>
      <c r="L2787" s="100"/>
      <c r="M2787" s="101"/>
    </row>
    <row r="2788" spans="4:13" ht="24" x14ac:dyDescent="0.2">
      <c r="E2788" s="743" t="s">
        <v>433</v>
      </c>
      <c r="F2788" s="775">
        <v>0</v>
      </c>
      <c r="G2788" s="776"/>
      <c r="H2788" s="777"/>
      <c r="I2788" s="769"/>
      <c r="J2788" s="770"/>
      <c r="K2788" s="771"/>
      <c r="L2788" s="100"/>
      <c r="M2788" s="101"/>
    </row>
    <row r="2789" spans="4:13" ht="25" thickBot="1" x14ac:dyDescent="0.25">
      <c r="E2789" s="743" t="s">
        <v>434</v>
      </c>
      <c r="F2789" s="775">
        <v>0</v>
      </c>
      <c r="G2789" s="776"/>
      <c r="H2789" s="777"/>
      <c r="I2789" s="769"/>
      <c r="J2789" s="770"/>
      <c r="K2789" s="771"/>
      <c r="L2789" s="100"/>
      <c r="M2789" s="101"/>
    </row>
    <row r="2790" spans="4:13" ht="25" thickBot="1" x14ac:dyDescent="0.25">
      <c r="E2790" s="744" t="s">
        <v>435</v>
      </c>
      <c r="F2790" s="802">
        <v>0.90625</v>
      </c>
      <c r="G2790" s="803"/>
      <c r="H2790" s="804"/>
      <c r="I2790" s="769"/>
      <c r="J2790" s="770"/>
      <c r="K2790" s="771"/>
      <c r="L2790" s="107" t="s">
        <v>1449</v>
      </c>
      <c r="M2790" s="747">
        <v>0.98958333333333337</v>
      </c>
    </row>
    <row r="2791" spans="4:13" ht="25" thickBot="1" x14ac:dyDescent="0.25">
      <c r="E2791" s="745" t="s">
        <v>436</v>
      </c>
      <c r="F2791" s="212" t="s">
        <v>29</v>
      </c>
      <c r="G2791" s="212" t="s">
        <v>28</v>
      </c>
      <c r="H2791" s="213" t="s">
        <v>27</v>
      </c>
      <c r="I2791" s="769"/>
      <c r="J2791" s="770"/>
      <c r="K2791" s="771"/>
      <c r="L2791" s="100"/>
      <c r="M2791" s="101"/>
    </row>
    <row r="2792" spans="4:13" ht="24" x14ac:dyDescent="0.2">
      <c r="E2792" s="748">
        <v>45580</v>
      </c>
      <c r="F2792" s="214">
        <v>6.0000000000000001E-3</v>
      </c>
      <c r="G2792" s="214" t="s">
        <v>1535</v>
      </c>
      <c r="H2792" s="214">
        <v>4.0000000000000001E-3</v>
      </c>
      <c r="I2792" s="769"/>
      <c r="J2792" s="770"/>
      <c r="K2792" s="771"/>
      <c r="L2792" s="100"/>
      <c r="M2792" s="101"/>
    </row>
    <row r="2793" spans="4:13" ht="24" x14ac:dyDescent="0.2">
      <c r="E2793" s="748">
        <v>45489</v>
      </c>
      <c r="F2793" s="214">
        <v>4.0000000000000001E-3</v>
      </c>
      <c r="G2793" s="214" t="s">
        <v>903</v>
      </c>
      <c r="H2793" s="214">
        <v>6.0000000000000001E-3</v>
      </c>
      <c r="I2793" s="769"/>
      <c r="J2793" s="770"/>
      <c r="K2793" s="771"/>
      <c r="L2793" s="100"/>
      <c r="M2793" s="101"/>
    </row>
    <row r="2794" spans="4:13" ht="24" x14ac:dyDescent="0.2">
      <c r="E2794" s="748">
        <v>45398</v>
      </c>
      <c r="F2794" s="214">
        <v>6.0000000000000001E-3</v>
      </c>
      <c r="G2794" s="214" t="s">
        <v>449</v>
      </c>
      <c r="H2794" s="214">
        <v>5.0000000000000001E-3</v>
      </c>
      <c r="I2794" s="769"/>
      <c r="J2794" s="770"/>
      <c r="K2794" s="771"/>
      <c r="L2794" s="102"/>
      <c r="M2794" s="101"/>
    </row>
    <row r="2795" spans="4:13" ht="24" x14ac:dyDescent="0.2">
      <c r="E2795" s="748">
        <v>45314</v>
      </c>
      <c r="F2795" s="214">
        <v>5.0000000000000001E-3</v>
      </c>
      <c r="G2795" s="214" t="s">
        <v>903</v>
      </c>
      <c r="H2795" s="214">
        <v>1.7999999999999999E-2</v>
      </c>
      <c r="I2795" s="769"/>
      <c r="J2795" s="770"/>
      <c r="K2795" s="771"/>
      <c r="L2795" s="100"/>
      <c r="M2795" s="101"/>
    </row>
    <row r="2796" spans="4:13" ht="24" x14ac:dyDescent="0.2">
      <c r="E2796" s="748">
        <v>45215</v>
      </c>
      <c r="F2796" s="214">
        <v>1.7999999999999999E-2</v>
      </c>
      <c r="G2796" s="214" t="s">
        <v>788</v>
      </c>
      <c r="H2796" s="214">
        <v>1.0999999999999999E-2</v>
      </c>
      <c r="I2796" s="769"/>
      <c r="J2796" s="770"/>
      <c r="K2796" s="771"/>
      <c r="L2796" s="100"/>
      <c r="M2796" s="101"/>
    </row>
    <row r="2797" spans="4:13" ht="25" thickBot="1" x14ac:dyDescent="0.25">
      <c r="E2797" s="748">
        <v>45125</v>
      </c>
      <c r="F2797" s="214">
        <v>1.0999999999999999E-2</v>
      </c>
      <c r="G2797" s="214" t="s">
        <v>1536</v>
      </c>
      <c r="H2797" s="214">
        <v>1.2E-2</v>
      </c>
      <c r="I2797" s="772"/>
      <c r="J2797" s="773"/>
      <c r="K2797" s="774"/>
      <c r="L2797" s="103"/>
      <c r="M2797" s="104"/>
    </row>
    <row r="2798" spans="4:13" ht="25" thickBot="1" x14ac:dyDescent="0.25">
      <c r="D2798">
        <v>2</v>
      </c>
      <c r="E2798" s="741" t="s">
        <v>30</v>
      </c>
      <c r="F2798" s="760" t="s">
        <v>1488</v>
      </c>
      <c r="G2798" s="761"/>
      <c r="H2798" s="762"/>
      <c r="I2798" s="781" t="s">
        <v>633</v>
      </c>
      <c r="J2798" s="764"/>
      <c r="K2798" s="765"/>
      <c r="L2798" s="162" t="s">
        <v>430</v>
      </c>
      <c r="M2798" s="106" t="s">
        <v>431</v>
      </c>
    </row>
    <row r="2799" spans="4:13" ht="24" x14ac:dyDescent="0.2">
      <c r="E2799" s="742" t="s">
        <v>432</v>
      </c>
      <c r="F2799" s="782"/>
      <c r="G2799" s="783"/>
      <c r="H2799" s="784"/>
      <c r="I2799" s="769" t="s">
        <v>1489</v>
      </c>
      <c r="J2799" s="770"/>
      <c r="K2799" s="771"/>
      <c r="L2799" s="100"/>
      <c r="M2799" s="101"/>
    </row>
    <row r="2800" spans="4:13" ht="24" x14ac:dyDescent="0.2">
      <c r="E2800" s="743" t="s">
        <v>433</v>
      </c>
      <c r="F2800" s="775">
        <v>8.0000000000000002E-3</v>
      </c>
      <c r="G2800" s="776"/>
      <c r="H2800" s="777"/>
      <c r="I2800" s="769"/>
      <c r="J2800" s="770"/>
      <c r="K2800" s="771"/>
      <c r="L2800" s="100"/>
      <c r="M2800" s="101"/>
    </row>
    <row r="2801" spans="4:13" ht="25" thickBot="1" x14ac:dyDescent="0.25">
      <c r="E2801" s="743" t="s">
        <v>434</v>
      </c>
      <c r="F2801" s="775">
        <v>-1.2E-2</v>
      </c>
      <c r="G2801" s="776"/>
      <c r="H2801" s="777"/>
      <c r="I2801" s="769"/>
      <c r="J2801" s="770"/>
      <c r="K2801" s="771"/>
      <c r="L2801" s="100"/>
      <c r="M2801" s="101"/>
    </row>
    <row r="2802" spans="4:13" ht="25" thickBot="1" x14ac:dyDescent="0.25">
      <c r="E2802" s="744" t="s">
        <v>435</v>
      </c>
      <c r="F2802" s="778">
        <v>0.5625</v>
      </c>
      <c r="G2802" s="779"/>
      <c r="H2802" s="780"/>
      <c r="I2802" s="769"/>
      <c r="J2802" s="770"/>
      <c r="K2802" s="771"/>
      <c r="L2802" s="107">
        <v>0.79166666666666663</v>
      </c>
      <c r="M2802" s="108">
        <v>0.64583333333333326</v>
      </c>
    </row>
    <row r="2803" spans="4:13" ht="25" thickBot="1" x14ac:dyDescent="0.25">
      <c r="E2803" s="745" t="s">
        <v>436</v>
      </c>
      <c r="F2803" s="212" t="s">
        <v>29</v>
      </c>
      <c r="G2803" s="212" t="s">
        <v>28</v>
      </c>
      <c r="H2803" s="213" t="s">
        <v>27</v>
      </c>
      <c r="I2803" s="769"/>
      <c r="J2803" s="770"/>
      <c r="K2803" s="771"/>
      <c r="L2803" s="100"/>
      <c r="M2803" s="101"/>
    </row>
    <row r="2804" spans="4:13" ht="24" x14ac:dyDescent="0.2">
      <c r="E2804" s="746">
        <v>45649</v>
      </c>
      <c r="F2804" s="214">
        <v>-1.0999999999999999E-2</v>
      </c>
      <c r="G2804" s="214" t="s">
        <v>454</v>
      </c>
      <c r="H2804" s="214">
        <v>8.0000000000000002E-3</v>
      </c>
      <c r="I2804" s="769"/>
      <c r="J2804" s="770"/>
      <c r="K2804" s="771"/>
      <c r="L2804" s="100"/>
      <c r="M2804" s="101"/>
    </row>
    <row r="2805" spans="4:13" ht="24" x14ac:dyDescent="0.2">
      <c r="E2805" s="746">
        <v>45623</v>
      </c>
      <c r="F2805" s="214">
        <v>2E-3</v>
      </c>
      <c r="G2805" s="214" t="s">
        <v>1315</v>
      </c>
      <c r="H2805" s="214">
        <v>-4.0000000000000001E-3</v>
      </c>
      <c r="I2805" s="769"/>
      <c r="J2805" s="770"/>
      <c r="K2805" s="771"/>
      <c r="L2805" s="100"/>
      <c r="M2805" s="101"/>
    </row>
    <row r="2806" spans="4:13" ht="24" x14ac:dyDescent="0.2">
      <c r="E2806" s="746">
        <v>45590</v>
      </c>
      <c r="F2806" s="214">
        <v>-8.0000000000000002E-3</v>
      </c>
      <c r="G2806" s="214" t="s">
        <v>1110</v>
      </c>
      <c r="H2806" s="214">
        <v>-8.0000000000000002E-3</v>
      </c>
      <c r="I2806" s="769"/>
      <c r="J2806" s="770"/>
      <c r="K2806" s="771"/>
      <c r="L2806" s="102"/>
      <c r="M2806" s="101"/>
    </row>
    <row r="2807" spans="4:13" ht="24" x14ac:dyDescent="0.2">
      <c r="E2807" s="746">
        <v>45561</v>
      </c>
      <c r="F2807" s="214">
        <v>0</v>
      </c>
      <c r="G2807" s="214" t="s">
        <v>778</v>
      </c>
      <c r="H2807" s="214">
        <v>9.9000000000000005E-2</v>
      </c>
      <c r="I2807" s="769"/>
      <c r="J2807" s="770"/>
      <c r="K2807" s="771"/>
      <c r="L2807" s="100"/>
      <c r="M2807" s="101"/>
    </row>
    <row r="2808" spans="4:13" ht="24" x14ac:dyDescent="0.2">
      <c r="E2808" s="746">
        <v>45530</v>
      </c>
      <c r="F2808" s="214">
        <v>9.9000000000000005E-2</v>
      </c>
      <c r="G2808" s="214" t="s">
        <v>630</v>
      </c>
      <c r="H2808" s="214">
        <v>-6.9000000000000006E-2</v>
      </c>
      <c r="I2808" s="769"/>
      <c r="J2808" s="770"/>
      <c r="K2808" s="771"/>
      <c r="L2808" s="100"/>
      <c r="M2808" s="101"/>
    </row>
    <row r="2809" spans="4:13" ht="25" thickBot="1" x14ac:dyDescent="0.25">
      <c r="E2809" s="746">
        <v>45498</v>
      </c>
      <c r="F2809" s="214">
        <v>-6.6000000000000003E-2</v>
      </c>
      <c r="G2809" s="214" t="s">
        <v>467</v>
      </c>
      <c r="H2809" s="214">
        <v>1E-3</v>
      </c>
      <c r="I2809" s="772"/>
      <c r="J2809" s="773"/>
      <c r="K2809" s="774"/>
      <c r="L2809" s="103"/>
      <c r="M2809" s="104"/>
    </row>
    <row r="2810" spans="4:13" ht="25" thickBot="1" x14ac:dyDescent="0.25">
      <c r="D2810">
        <v>1</v>
      </c>
      <c r="E2810" s="741" t="s">
        <v>30</v>
      </c>
      <c r="F2810" s="760" t="s">
        <v>1490</v>
      </c>
      <c r="G2810" s="761"/>
      <c r="H2810" s="762"/>
      <c r="I2810" s="781" t="s">
        <v>633</v>
      </c>
      <c r="J2810" s="764"/>
      <c r="K2810" s="765"/>
      <c r="L2810" s="162" t="s">
        <v>430</v>
      </c>
      <c r="M2810" s="106" t="s">
        <v>431</v>
      </c>
    </row>
    <row r="2811" spans="4:13" ht="24" x14ac:dyDescent="0.2">
      <c r="E2811" s="742" t="s">
        <v>432</v>
      </c>
      <c r="F2811" s="782"/>
      <c r="G2811" s="783"/>
      <c r="H2811" s="784"/>
      <c r="I2811" s="769" t="s">
        <v>1491</v>
      </c>
      <c r="J2811" s="770"/>
      <c r="K2811" s="771"/>
      <c r="L2811" s="100"/>
      <c r="M2811" s="101"/>
    </row>
    <row r="2812" spans="4:13" ht="24" x14ac:dyDescent="0.2">
      <c r="E2812" s="743" t="s">
        <v>433</v>
      </c>
      <c r="F2812" s="801">
        <v>106</v>
      </c>
      <c r="G2812" s="786"/>
      <c r="H2812" s="787"/>
      <c r="I2812" s="769"/>
      <c r="J2812" s="770"/>
      <c r="K2812" s="771"/>
      <c r="L2812" s="100"/>
      <c r="M2812" s="101"/>
    </row>
    <row r="2813" spans="4:13" ht="25" thickBot="1" x14ac:dyDescent="0.25">
      <c r="E2813" s="743" t="s">
        <v>434</v>
      </c>
      <c r="F2813" s="801">
        <v>104.7</v>
      </c>
      <c r="G2813" s="786"/>
      <c r="H2813" s="787"/>
      <c r="I2813" s="769"/>
      <c r="J2813" s="770"/>
      <c r="K2813" s="771"/>
      <c r="L2813" s="100"/>
      <c r="M2813" s="101"/>
    </row>
    <row r="2814" spans="4:13" ht="25" thickBot="1" x14ac:dyDescent="0.25">
      <c r="E2814" s="744" t="s">
        <v>435</v>
      </c>
      <c r="F2814" s="778">
        <v>0.625</v>
      </c>
      <c r="G2814" s="779"/>
      <c r="H2814" s="780"/>
      <c r="I2814" s="769"/>
      <c r="J2814" s="770"/>
      <c r="K2814" s="771"/>
      <c r="L2814" s="107">
        <v>0.85416666666666663</v>
      </c>
      <c r="M2814" s="108">
        <v>0.70833333333333326</v>
      </c>
    </row>
    <row r="2815" spans="4:13" ht="25" thickBot="1" x14ac:dyDescent="0.25">
      <c r="E2815" s="745" t="s">
        <v>436</v>
      </c>
      <c r="F2815" s="212" t="s">
        <v>29</v>
      </c>
      <c r="G2815" s="212" t="s">
        <v>28</v>
      </c>
      <c r="H2815" s="213" t="s">
        <v>27</v>
      </c>
      <c r="I2815" s="769"/>
      <c r="J2815" s="770"/>
      <c r="K2815" s="771"/>
      <c r="L2815" s="100"/>
      <c r="M2815" s="101"/>
    </row>
    <row r="2816" spans="4:13" ht="24" x14ac:dyDescent="0.2">
      <c r="E2816" s="746">
        <v>45649</v>
      </c>
      <c r="F2816" s="216">
        <v>104.7</v>
      </c>
      <c r="G2816" s="216" t="s">
        <v>1537</v>
      </c>
      <c r="H2816" s="216">
        <v>112.8</v>
      </c>
      <c r="I2816" s="769"/>
      <c r="J2816" s="770"/>
      <c r="K2816" s="771"/>
      <c r="L2816" s="100"/>
      <c r="M2816" s="101"/>
    </row>
    <row r="2817" spans="4:13" ht="24" x14ac:dyDescent="0.2">
      <c r="E2817" s="746">
        <v>45622</v>
      </c>
      <c r="F2817" s="216">
        <v>111.7</v>
      </c>
      <c r="G2817" s="216" t="s">
        <v>1314</v>
      </c>
      <c r="H2817" s="216">
        <v>109.6</v>
      </c>
      <c r="I2817" s="769"/>
      <c r="J2817" s="770"/>
      <c r="K2817" s="771"/>
      <c r="L2817" s="100"/>
      <c r="M2817" s="101"/>
    </row>
    <row r="2818" spans="4:13" ht="24" x14ac:dyDescent="0.2">
      <c r="E2818" s="746">
        <v>45594</v>
      </c>
      <c r="F2818" s="216">
        <v>108.7</v>
      </c>
      <c r="G2818" s="216" t="s">
        <v>1091</v>
      </c>
      <c r="H2818" s="216">
        <v>99.2</v>
      </c>
      <c r="I2818" s="769"/>
      <c r="J2818" s="770"/>
      <c r="K2818" s="771"/>
      <c r="L2818" s="102"/>
      <c r="M2818" s="101"/>
    </row>
    <row r="2819" spans="4:13" ht="24" x14ac:dyDescent="0.2">
      <c r="E2819" s="746">
        <v>45559</v>
      </c>
      <c r="F2819" s="216">
        <v>98.7</v>
      </c>
      <c r="G2819" s="216" t="s">
        <v>874</v>
      </c>
      <c r="H2819" s="216">
        <v>105.6</v>
      </c>
      <c r="I2819" s="769"/>
      <c r="J2819" s="770"/>
      <c r="K2819" s="771"/>
      <c r="L2819" s="100"/>
      <c r="M2819" s="101"/>
    </row>
    <row r="2820" spans="4:13" ht="24" x14ac:dyDescent="0.2">
      <c r="E2820" s="746">
        <v>45531</v>
      </c>
      <c r="F2820" s="216">
        <v>103.3</v>
      </c>
      <c r="G2820" s="216" t="s">
        <v>875</v>
      </c>
      <c r="H2820" s="216">
        <v>101.9</v>
      </c>
      <c r="I2820" s="769"/>
      <c r="J2820" s="770"/>
      <c r="K2820" s="771"/>
      <c r="L2820" s="100"/>
      <c r="M2820" s="101"/>
    </row>
    <row r="2821" spans="4:13" ht="25" thickBot="1" x14ac:dyDescent="0.25">
      <c r="E2821" s="746">
        <v>45503</v>
      </c>
      <c r="F2821" s="216">
        <v>100.3</v>
      </c>
      <c r="G2821" s="216" t="s">
        <v>876</v>
      </c>
      <c r="H2821" s="216">
        <v>97.8</v>
      </c>
      <c r="I2821" s="772"/>
      <c r="J2821" s="773"/>
      <c r="K2821" s="774"/>
      <c r="L2821" s="103"/>
      <c r="M2821" s="104"/>
    </row>
    <row r="2822" spans="4:13" ht="25" thickBot="1" x14ac:dyDescent="0.25">
      <c r="D2822">
        <v>3</v>
      </c>
      <c r="E2822" s="741" t="s">
        <v>30</v>
      </c>
      <c r="F2822" s="760" t="s">
        <v>1483</v>
      </c>
      <c r="G2822" s="761"/>
      <c r="H2822" s="762"/>
      <c r="I2822" s="781" t="s">
        <v>633</v>
      </c>
      <c r="J2822" s="764"/>
      <c r="K2822" s="765"/>
      <c r="L2822" s="162" t="s">
        <v>430</v>
      </c>
      <c r="M2822" s="106" t="s">
        <v>431</v>
      </c>
    </row>
    <row r="2823" spans="4:13" ht="24" x14ac:dyDescent="0.2">
      <c r="E2823" s="742" t="s">
        <v>432</v>
      </c>
      <c r="F2823" s="782"/>
      <c r="G2823" s="783"/>
      <c r="H2823" s="784"/>
      <c r="I2823" s="769" t="s">
        <v>1484</v>
      </c>
      <c r="J2823" s="770"/>
      <c r="K2823" s="771"/>
      <c r="L2823" s="100"/>
      <c r="M2823" s="101"/>
    </row>
    <row r="2824" spans="4:13" ht="24" x14ac:dyDescent="0.2">
      <c r="E2824" s="743" t="s">
        <v>433</v>
      </c>
      <c r="F2824" s="775">
        <v>0</v>
      </c>
      <c r="G2824" s="776"/>
      <c r="H2824" s="777"/>
      <c r="I2824" s="769"/>
      <c r="J2824" s="770"/>
      <c r="K2824" s="771"/>
      <c r="L2824" s="100"/>
      <c r="M2824" s="101"/>
    </row>
    <row r="2825" spans="4:13" ht="25" thickBot="1" x14ac:dyDescent="0.25">
      <c r="E2825" s="743" t="s">
        <v>434</v>
      </c>
      <c r="F2825" s="775">
        <v>0</v>
      </c>
      <c r="G2825" s="776"/>
      <c r="H2825" s="777"/>
      <c r="I2825" s="769"/>
      <c r="J2825" s="770"/>
      <c r="K2825" s="771"/>
      <c r="L2825" s="100"/>
      <c r="M2825" s="101"/>
    </row>
    <row r="2826" spans="4:13" ht="25" thickBot="1" x14ac:dyDescent="0.25">
      <c r="E2826" s="744" t="s">
        <v>435</v>
      </c>
      <c r="F2826" s="778" t="e">
        <v>#VALUE!</v>
      </c>
      <c r="G2826" s="779"/>
      <c r="H2826" s="780"/>
      <c r="I2826" s="769"/>
      <c r="J2826" s="770"/>
      <c r="K2826" s="771"/>
      <c r="L2826" s="107" t="s">
        <v>1449</v>
      </c>
      <c r="M2826" s="108" t="e">
        <v>#VALUE!</v>
      </c>
    </row>
    <row r="2827" spans="4:13" ht="25" thickBot="1" x14ac:dyDescent="0.25">
      <c r="E2827" s="745" t="s">
        <v>436</v>
      </c>
      <c r="F2827" s="212" t="s">
        <v>29</v>
      </c>
      <c r="G2827" s="212" t="s">
        <v>28</v>
      </c>
      <c r="H2827" s="213" t="s">
        <v>27</v>
      </c>
      <c r="I2827" s="769"/>
      <c r="J2827" s="770"/>
      <c r="K2827" s="771"/>
      <c r="L2827" s="369"/>
      <c r="M2827" s="370"/>
    </row>
    <row r="2828" spans="4:13" ht="24" x14ac:dyDescent="0.2">
      <c r="E2828" s="746">
        <v>45645</v>
      </c>
      <c r="F2828" s="749">
        <v>2.5000000000000001E-3</v>
      </c>
      <c r="G2828" s="749" t="s">
        <v>892</v>
      </c>
      <c r="H2828" s="749">
        <v>2.5000000000000001E-3</v>
      </c>
      <c r="I2828" s="769"/>
      <c r="J2828" s="770"/>
      <c r="K2828" s="771"/>
      <c r="L2828" s="100"/>
      <c r="M2828" s="101"/>
    </row>
    <row r="2829" spans="4:13" ht="24" x14ac:dyDescent="0.2">
      <c r="E2829" s="746">
        <v>45596</v>
      </c>
      <c r="F2829" s="749">
        <v>2.5000000000000001E-3</v>
      </c>
      <c r="G2829" s="749" t="s">
        <v>892</v>
      </c>
      <c r="H2829" s="749">
        <v>2.5000000000000001E-3</v>
      </c>
      <c r="I2829" s="769"/>
      <c r="J2829" s="770"/>
      <c r="K2829" s="771"/>
      <c r="L2829" s="100"/>
      <c r="M2829" s="101"/>
    </row>
    <row r="2830" spans="4:13" ht="24" x14ac:dyDescent="0.2">
      <c r="E2830" s="746">
        <v>45555</v>
      </c>
      <c r="F2830" s="749">
        <v>2.5000000000000001E-3</v>
      </c>
      <c r="G2830" s="749" t="s">
        <v>892</v>
      </c>
      <c r="H2830" s="749">
        <v>2.5000000000000001E-3</v>
      </c>
      <c r="I2830" s="769"/>
      <c r="J2830" s="770"/>
      <c r="K2830" s="771"/>
      <c r="L2830" s="102"/>
      <c r="M2830" s="101"/>
    </row>
    <row r="2831" spans="4:13" ht="24" x14ac:dyDescent="0.2">
      <c r="E2831" s="746">
        <v>45504</v>
      </c>
      <c r="F2831" s="749">
        <v>2.5000000000000001E-3</v>
      </c>
      <c r="G2831" s="749" t="s">
        <v>893</v>
      </c>
      <c r="H2831" s="749">
        <v>1E-3</v>
      </c>
      <c r="I2831" s="769"/>
      <c r="J2831" s="770"/>
      <c r="K2831" s="771"/>
      <c r="L2831" s="100"/>
      <c r="M2831" s="101"/>
    </row>
    <row r="2832" spans="4:13" ht="24" x14ac:dyDescent="0.2">
      <c r="E2832" s="746">
        <v>45457</v>
      </c>
      <c r="F2832" s="749">
        <v>1E-3</v>
      </c>
      <c r="G2832" s="749" t="s">
        <v>893</v>
      </c>
      <c r="H2832" s="749">
        <v>1E-3</v>
      </c>
      <c r="I2832" s="769"/>
      <c r="J2832" s="770"/>
      <c r="K2832" s="771"/>
      <c r="L2832" s="100"/>
      <c r="M2832" s="101"/>
    </row>
    <row r="2833" spans="4:13" ht="25" thickBot="1" x14ac:dyDescent="0.25">
      <c r="E2833" s="746">
        <v>45408</v>
      </c>
      <c r="F2833" s="749">
        <v>1E-3</v>
      </c>
      <c r="G2833" s="749" t="s">
        <v>893</v>
      </c>
      <c r="H2833" s="749">
        <v>1E-3</v>
      </c>
      <c r="I2833" s="772"/>
      <c r="J2833" s="773"/>
      <c r="K2833" s="774"/>
      <c r="L2833" s="103"/>
      <c r="M2833" s="104"/>
    </row>
    <row r="2834" spans="4:13" ht="25" thickBot="1" x14ac:dyDescent="0.25">
      <c r="D2834">
        <v>4</v>
      </c>
      <c r="E2834" s="741" t="s">
        <v>30</v>
      </c>
      <c r="F2834" s="760" t="s">
        <v>1486</v>
      </c>
      <c r="G2834" s="761"/>
      <c r="H2834" s="762"/>
      <c r="I2834" s="781" t="s">
        <v>633</v>
      </c>
      <c r="J2834" s="764"/>
      <c r="K2834" s="765"/>
      <c r="L2834" s="162" t="s">
        <v>430</v>
      </c>
      <c r="M2834" s="106" t="s">
        <v>431</v>
      </c>
    </row>
    <row r="2835" spans="4:13" ht="24" x14ac:dyDescent="0.2">
      <c r="E2835" s="742" t="s">
        <v>432</v>
      </c>
      <c r="F2835" s="782"/>
      <c r="G2835" s="783"/>
      <c r="H2835" s="784"/>
      <c r="I2835" s="769" t="s">
        <v>1487</v>
      </c>
      <c r="J2835" s="770"/>
      <c r="K2835" s="771"/>
      <c r="L2835" s="100"/>
      <c r="M2835" s="101"/>
    </row>
    <row r="2836" spans="4:13" ht="24" x14ac:dyDescent="0.2">
      <c r="E2836" s="743" t="s">
        <v>433</v>
      </c>
      <c r="F2836" s="785">
        <v>0</v>
      </c>
      <c r="G2836" s="786"/>
      <c r="H2836" s="787"/>
      <c r="I2836" s="769"/>
      <c r="J2836" s="770"/>
      <c r="K2836" s="771"/>
      <c r="L2836" s="100"/>
      <c r="M2836" s="101"/>
    </row>
    <row r="2837" spans="4:13" ht="25" thickBot="1" x14ac:dyDescent="0.25">
      <c r="E2837" s="743" t="s">
        <v>434</v>
      </c>
      <c r="F2837" s="785">
        <v>0</v>
      </c>
      <c r="G2837" s="786"/>
      <c r="H2837" s="787"/>
      <c r="I2837" s="769"/>
      <c r="J2837" s="770"/>
      <c r="K2837" s="771"/>
      <c r="L2837" s="100"/>
      <c r="M2837" s="101"/>
    </row>
    <row r="2838" spans="4:13" ht="25" thickBot="1" x14ac:dyDescent="0.25">
      <c r="E2838" s="744" t="s">
        <v>435</v>
      </c>
      <c r="F2838" s="778" t="e">
        <v>#VALUE!</v>
      </c>
      <c r="G2838" s="779"/>
      <c r="H2838" s="780"/>
      <c r="I2838" s="769"/>
      <c r="J2838" s="770"/>
      <c r="K2838" s="771"/>
      <c r="L2838" s="107" t="s">
        <v>1449</v>
      </c>
      <c r="M2838" s="108" t="e">
        <v>#VALUE!</v>
      </c>
    </row>
    <row r="2839" spans="4:13" ht="25" thickBot="1" x14ac:dyDescent="0.25">
      <c r="E2839" s="745" t="s">
        <v>436</v>
      </c>
      <c r="F2839" s="212" t="s">
        <v>29</v>
      </c>
      <c r="G2839" s="212" t="s">
        <v>28</v>
      </c>
      <c r="H2839" s="213" t="s">
        <v>27</v>
      </c>
      <c r="I2839" s="769"/>
      <c r="J2839" s="770"/>
      <c r="K2839" s="771"/>
      <c r="L2839" s="100"/>
      <c r="M2839" s="101"/>
    </row>
    <row r="2840" spans="4:13" ht="24" x14ac:dyDescent="0.2">
      <c r="E2840" s="746">
        <v>45659</v>
      </c>
      <c r="F2840" s="750">
        <v>49.4</v>
      </c>
      <c r="G2840" s="750" t="s">
        <v>1538</v>
      </c>
      <c r="H2840" s="750">
        <v>49.7</v>
      </c>
      <c r="I2840" s="769"/>
      <c r="J2840" s="770"/>
      <c r="K2840" s="771"/>
      <c r="L2840" s="100"/>
      <c r="M2840" s="101"/>
    </row>
    <row r="2841" spans="4:13" ht="24" x14ac:dyDescent="0.2">
      <c r="E2841" s="746">
        <v>45642</v>
      </c>
      <c r="F2841" s="750">
        <v>48.3</v>
      </c>
      <c r="G2841" s="750" t="s">
        <v>440</v>
      </c>
      <c r="H2841" s="750">
        <v>49.7</v>
      </c>
      <c r="I2841" s="769"/>
      <c r="J2841" s="770"/>
      <c r="K2841" s="771"/>
      <c r="L2841" s="100"/>
      <c r="M2841" s="101"/>
    </row>
    <row r="2842" spans="4:13" ht="24" x14ac:dyDescent="0.2">
      <c r="E2842" s="746">
        <v>45628</v>
      </c>
      <c r="F2842" s="750">
        <v>49.7</v>
      </c>
      <c r="G2842" s="750" t="s">
        <v>510</v>
      </c>
      <c r="H2842" s="750">
        <v>48.5</v>
      </c>
      <c r="I2842" s="769"/>
      <c r="J2842" s="770"/>
      <c r="K2842" s="771"/>
      <c r="L2842" s="102"/>
      <c r="M2842" s="101"/>
    </row>
    <row r="2843" spans="4:13" ht="24" x14ac:dyDescent="0.2">
      <c r="E2843" s="746">
        <v>45618</v>
      </c>
      <c r="F2843" s="750">
        <v>48.8</v>
      </c>
      <c r="G2843" s="750" t="s">
        <v>510</v>
      </c>
      <c r="H2843" s="750">
        <v>48.5</v>
      </c>
      <c r="I2843" s="769"/>
      <c r="J2843" s="770"/>
      <c r="K2843" s="771"/>
      <c r="L2843" s="100"/>
      <c r="M2843" s="101"/>
    </row>
    <row r="2844" spans="4:13" ht="24" x14ac:dyDescent="0.2">
      <c r="E2844" s="746">
        <v>45597</v>
      </c>
      <c r="F2844" s="750">
        <v>48.5</v>
      </c>
      <c r="G2844" s="750" t="s">
        <v>1054</v>
      </c>
      <c r="H2844" s="750">
        <v>47.8</v>
      </c>
      <c r="I2844" s="769"/>
      <c r="J2844" s="770"/>
      <c r="K2844" s="771"/>
      <c r="L2844" s="100"/>
      <c r="M2844" s="101"/>
    </row>
    <row r="2845" spans="4:13" ht="25" thickBot="1" x14ac:dyDescent="0.25">
      <c r="E2845" s="746">
        <v>45589</v>
      </c>
      <c r="F2845" s="750">
        <v>47.8</v>
      </c>
      <c r="G2845" s="750" t="s">
        <v>509</v>
      </c>
      <c r="H2845" s="750">
        <v>47.3</v>
      </c>
      <c r="I2845" s="772"/>
      <c r="J2845" s="773"/>
      <c r="K2845" s="774"/>
      <c r="L2845" s="103"/>
      <c r="M2845" s="104"/>
    </row>
    <row r="2846" spans="4:13" ht="25" thickBot="1" x14ac:dyDescent="0.25">
      <c r="D2846">
        <v>5</v>
      </c>
      <c r="E2846" s="741" t="s">
        <v>30</v>
      </c>
      <c r="F2846" s="760" t="e">
        <v>#REF!</v>
      </c>
      <c r="G2846" s="761"/>
      <c r="H2846" s="762"/>
      <c r="I2846" s="781" t="s">
        <v>633</v>
      </c>
      <c r="J2846" s="764"/>
      <c r="K2846" s="765"/>
      <c r="L2846" s="162" t="s">
        <v>430</v>
      </c>
      <c r="M2846" s="106" t="s">
        <v>431</v>
      </c>
    </row>
    <row r="2847" spans="4:13" ht="24" x14ac:dyDescent="0.2">
      <c r="E2847" s="742" t="s">
        <v>432</v>
      </c>
      <c r="F2847" s="782"/>
      <c r="G2847" s="783"/>
      <c r="H2847" s="784"/>
      <c r="I2847" s="769" t="e">
        <v>#REF!</v>
      </c>
      <c r="J2847" s="770"/>
      <c r="K2847" s="771"/>
      <c r="L2847" s="100"/>
      <c r="M2847" s="101"/>
    </row>
    <row r="2848" spans="4:13" ht="24" x14ac:dyDescent="0.2">
      <c r="E2848" s="743" t="s">
        <v>433</v>
      </c>
      <c r="F2848" s="797" t="e">
        <v>#REF!</v>
      </c>
      <c r="G2848" s="776"/>
      <c r="H2848" s="777"/>
      <c r="I2848" s="769"/>
      <c r="J2848" s="770"/>
      <c r="K2848" s="771"/>
      <c r="L2848" s="100"/>
      <c r="M2848" s="101"/>
    </row>
    <row r="2849" spans="4:13" ht="25" thickBot="1" x14ac:dyDescent="0.25">
      <c r="E2849" s="743" t="s">
        <v>434</v>
      </c>
      <c r="F2849" s="775" t="e">
        <v>#REF!</v>
      </c>
      <c r="G2849" s="776"/>
      <c r="H2849" s="777"/>
      <c r="I2849" s="769"/>
      <c r="J2849" s="770"/>
      <c r="K2849" s="771"/>
      <c r="L2849" s="100"/>
      <c r="M2849" s="101"/>
    </row>
    <row r="2850" spans="4:13" ht="25" thickBot="1" x14ac:dyDescent="0.25">
      <c r="E2850" s="744" t="s">
        <v>435</v>
      </c>
      <c r="F2850" s="778" t="e">
        <v>#REF!</v>
      </c>
      <c r="G2850" s="779"/>
      <c r="H2850" s="780"/>
      <c r="I2850" s="769"/>
      <c r="J2850" s="770"/>
      <c r="K2850" s="771"/>
      <c r="L2850" s="107" t="e">
        <v>#REF!</v>
      </c>
      <c r="M2850" s="108" t="e">
        <v>#REF!</v>
      </c>
    </row>
    <row r="2851" spans="4:13" ht="25" thickBot="1" x14ac:dyDescent="0.25">
      <c r="E2851" s="745" t="s">
        <v>436</v>
      </c>
      <c r="F2851" s="212" t="s">
        <v>29</v>
      </c>
      <c r="G2851" s="212" t="s">
        <v>28</v>
      </c>
      <c r="H2851" s="213" t="s">
        <v>27</v>
      </c>
      <c r="I2851" s="769"/>
      <c r="J2851" s="770"/>
      <c r="K2851" s="771"/>
      <c r="L2851" s="100"/>
      <c r="M2851" s="101"/>
    </row>
    <row r="2852" spans="4:13" ht="24" x14ac:dyDescent="0.2">
      <c r="E2852" s="746">
        <v>45609</v>
      </c>
      <c r="F2852" s="751">
        <v>2E-3</v>
      </c>
      <c r="G2852" s="751" t="s">
        <v>460</v>
      </c>
      <c r="H2852" s="751">
        <v>2E-3</v>
      </c>
      <c r="I2852" s="769"/>
      <c r="J2852" s="770"/>
      <c r="K2852" s="771"/>
      <c r="L2852" s="100"/>
      <c r="M2852" s="101"/>
    </row>
    <row r="2853" spans="4:13" ht="24" x14ac:dyDescent="0.2">
      <c r="E2853" s="746">
        <v>45575</v>
      </c>
      <c r="F2853" s="751">
        <v>2E-3</v>
      </c>
      <c r="G2853" s="751" t="s">
        <v>462</v>
      </c>
      <c r="H2853" s="751">
        <v>2E-3</v>
      </c>
      <c r="I2853" s="769"/>
      <c r="J2853" s="770"/>
      <c r="K2853" s="771"/>
      <c r="L2853" s="100"/>
      <c r="M2853" s="101"/>
    </row>
    <row r="2854" spans="4:13" ht="24" x14ac:dyDescent="0.2">
      <c r="E2854" s="746">
        <v>45546</v>
      </c>
      <c r="F2854" s="751">
        <v>2E-3</v>
      </c>
      <c r="G2854" s="751" t="s">
        <v>460</v>
      </c>
      <c r="H2854" s="751">
        <v>2E-3</v>
      </c>
      <c r="I2854" s="769"/>
      <c r="J2854" s="770"/>
      <c r="K2854" s="771"/>
      <c r="L2854" s="102"/>
      <c r="M2854" s="101"/>
    </row>
    <row r="2855" spans="4:13" ht="24" x14ac:dyDescent="0.2">
      <c r="E2855" s="746">
        <v>45518</v>
      </c>
      <c r="F2855" s="751">
        <v>2E-3</v>
      </c>
      <c r="G2855" s="751" t="s">
        <v>460</v>
      </c>
      <c r="H2855" s="751">
        <v>-1E-3</v>
      </c>
      <c r="I2855" s="769"/>
      <c r="J2855" s="770"/>
      <c r="K2855" s="771"/>
      <c r="L2855" s="100"/>
      <c r="M2855" s="101"/>
    </row>
    <row r="2856" spans="4:13" ht="24" x14ac:dyDescent="0.2">
      <c r="E2856" s="746">
        <v>45484</v>
      </c>
      <c r="F2856" s="751">
        <v>-1E-3</v>
      </c>
      <c r="G2856" s="751" t="s">
        <v>462</v>
      </c>
      <c r="H2856" s="751">
        <v>0</v>
      </c>
      <c r="I2856" s="769"/>
      <c r="J2856" s="770"/>
      <c r="K2856" s="771"/>
      <c r="L2856" s="100"/>
      <c r="M2856" s="101"/>
    </row>
    <row r="2857" spans="4:13" ht="25" thickBot="1" x14ac:dyDescent="0.25">
      <c r="E2857" s="746">
        <v>45455</v>
      </c>
      <c r="F2857" s="751">
        <v>0</v>
      </c>
      <c r="G2857" s="751" t="s">
        <v>462</v>
      </c>
      <c r="H2857" s="751">
        <v>3.0000000000000001E-3</v>
      </c>
      <c r="I2857" s="772"/>
      <c r="J2857" s="773"/>
      <c r="K2857" s="774"/>
      <c r="L2857" s="103"/>
      <c r="M2857" s="104"/>
    </row>
    <row r="2858" spans="4:13" ht="25" thickBot="1" x14ac:dyDescent="0.25">
      <c r="D2858">
        <v>6</v>
      </c>
      <c r="E2858" s="741" t="s">
        <v>30</v>
      </c>
      <c r="F2858" s="760" t="s">
        <v>1493</v>
      </c>
      <c r="G2858" s="761"/>
      <c r="H2858" s="762"/>
      <c r="I2858" s="781" t="s">
        <v>633</v>
      </c>
      <c r="J2858" s="764"/>
      <c r="K2858" s="765"/>
      <c r="L2858" s="162" t="s">
        <v>430</v>
      </c>
      <c r="M2858" s="106" t="s">
        <v>431</v>
      </c>
    </row>
    <row r="2859" spans="4:13" ht="24" x14ac:dyDescent="0.2">
      <c r="E2859" s="742" t="s">
        <v>432</v>
      </c>
      <c r="F2859" s="782"/>
      <c r="G2859" s="783"/>
      <c r="H2859" s="784"/>
      <c r="I2859" s="769" t="s">
        <v>1494</v>
      </c>
      <c r="J2859" s="770"/>
      <c r="K2859" s="771"/>
      <c r="L2859" s="100"/>
      <c r="M2859" s="101"/>
    </row>
    <row r="2860" spans="4:13" ht="24" x14ac:dyDescent="0.2">
      <c r="E2860" s="743" t="s">
        <v>433</v>
      </c>
      <c r="F2860" s="785">
        <v>0</v>
      </c>
      <c r="G2860" s="786"/>
      <c r="H2860" s="787"/>
      <c r="I2860" s="769"/>
      <c r="J2860" s="770"/>
      <c r="K2860" s="771"/>
      <c r="L2860" s="100"/>
      <c r="M2860" s="101"/>
    </row>
    <row r="2861" spans="4:13" ht="25" thickBot="1" x14ac:dyDescent="0.25">
      <c r="E2861" s="743" t="s">
        <v>434</v>
      </c>
      <c r="F2861" s="785">
        <v>0</v>
      </c>
      <c r="G2861" s="786"/>
      <c r="H2861" s="787"/>
      <c r="I2861" s="769"/>
      <c r="J2861" s="770"/>
      <c r="K2861" s="771"/>
      <c r="L2861" s="100"/>
      <c r="M2861" s="101"/>
    </row>
    <row r="2862" spans="4:13" ht="25" thickBot="1" x14ac:dyDescent="0.25">
      <c r="E2862" s="744" t="s">
        <v>435</v>
      </c>
      <c r="F2862" s="778" t="e">
        <v>#VALUE!</v>
      </c>
      <c r="G2862" s="779"/>
      <c r="H2862" s="780"/>
      <c r="I2862" s="769"/>
      <c r="J2862" s="770"/>
      <c r="K2862" s="771"/>
      <c r="L2862" s="107" t="s">
        <v>1449</v>
      </c>
      <c r="M2862" s="108" t="e">
        <v>#VALUE!</v>
      </c>
    </row>
    <row r="2863" spans="4:13" ht="25" thickBot="1" x14ac:dyDescent="0.25">
      <c r="E2863" s="745" t="s">
        <v>436</v>
      </c>
      <c r="F2863" s="212" t="s">
        <v>29</v>
      </c>
      <c r="G2863" s="212" t="s">
        <v>28</v>
      </c>
      <c r="H2863" s="213" t="s">
        <v>27</v>
      </c>
      <c r="I2863" s="769"/>
      <c r="J2863" s="770"/>
      <c r="K2863" s="771"/>
      <c r="L2863" s="100"/>
      <c r="M2863" s="101"/>
    </row>
    <row r="2864" spans="4:13" ht="24" x14ac:dyDescent="0.2">
      <c r="E2864" s="746">
        <v>45663</v>
      </c>
      <c r="F2864" s="750">
        <v>56.8</v>
      </c>
      <c r="G2864" s="750" t="s">
        <v>1539</v>
      </c>
      <c r="H2864" s="750">
        <v>56.1</v>
      </c>
      <c r="I2864" s="769"/>
      <c r="J2864" s="770"/>
      <c r="K2864" s="771"/>
      <c r="L2864" s="100"/>
      <c r="M2864" s="101"/>
    </row>
    <row r="2865" spans="4:13" ht="24" x14ac:dyDescent="0.2">
      <c r="E2865" s="746">
        <v>45642</v>
      </c>
      <c r="F2865" s="750">
        <v>58.5</v>
      </c>
      <c r="G2865" s="750" t="s">
        <v>1339</v>
      </c>
      <c r="H2865" s="750">
        <v>56.1</v>
      </c>
      <c r="I2865" s="769"/>
      <c r="J2865" s="770"/>
      <c r="K2865" s="771"/>
      <c r="L2865" s="100"/>
      <c r="M2865" s="101"/>
    </row>
    <row r="2866" spans="4:13" ht="24" x14ac:dyDescent="0.2">
      <c r="E2866" s="746">
        <v>45630</v>
      </c>
      <c r="F2866" s="750">
        <v>56.1</v>
      </c>
      <c r="G2866" s="750" t="s">
        <v>1285</v>
      </c>
      <c r="H2866" s="750">
        <v>55</v>
      </c>
      <c r="I2866" s="769"/>
      <c r="J2866" s="770"/>
      <c r="K2866" s="771"/>
      <c r="L2866" s="102"/>
      <c r="M2866" s="101"/>
    </row>
    <row r="2867" spans="4:13" ht="24" x14ac:dyDescent="0.2">
      <c r="E2867" s="746">
        <v>45618</v>
      </c>
      <c r="F2867" s="750">
        <v>57</v>
      </c>
      <c r="G2867" s="750" t="s">
        <v>586</v>
      </c>
      <c r="H2867" s="750">
        <v>55</v>
      </c>
      <c r="I2867" s="769"/>
      <c r="J2867" s="770"/>
      <c r="K2867" s="771"/>
      <c r="L2867" s="100"/>
      <c r="M2867" s="101"/>
    </row>
    <row r="2868" spans="4:13" ht="24" x14ac:dyDescent="0.2">
      <c r="E2868" s="746">
        <v>45601</v>
      </c>
      <c r="F2868" s="750">
        <v>55</v>
      </c>
      <c r="G2868" s="750" t="s">
        <v>585</v>
      </c>
      <c r="H2868" s="750">
        <v>55.2</v>
      </c>
      <c r="I2868" s="769"/>
      <c r="J2868" s="770"/>
      <c r="K2868" s="771"/>
      <c r="L2868" s="100"/>
      <c r="M2868" s="101"/>
    </row>
    <row r="2869" spans="4:13" ht="25" thickBot="1" x14ac:dyDescent="0.25">
      <c r="E2869" s="746">
        <v>45589</v>
      </c>
      <c r="F2869" s="750">
        <v>55.3</v>
      </c>
      <c r="G2869" s="750" t="s">
        <v>604</v>
      </c>
      <c r="H2869" s="750">
        <v>55.2</v>
      </c>
      <c r="I2869" s="772"/>
      <c r="J2869" s="773"/>
      <c r="K2869" s="774"/>
      <c r="L2869" s="103"/>
      <c r="M2869" s="104"/>
    </row>
    <row r="2870" spans="4:13" ht="25" thickBot="1" x14ac:dyDescent="0.25">
      <c r="D2870">
        <v>7</v>
      </c>
      <c r="E2870" s="741" t="s">
        <v>30</v>
      </c>
      <c r="F2870" s="760" t="s">
        <v>1496</v>
      </c>
      <c r="G2870" s="761"/>
      <c r="H2870" s="762"/>
      <c r="I2870" s="781" t="s">
        <v>633</v>
      </c>
      <c r="J2870" s="764"/>
      <c r="K2870" s="765"/>
      <c r="L2870" s="162" t="s">
        <v>430</v>
      </c>
      <c r="M2870" s="106" t="s">
        <v>431</v>
      </c>
    </row>
    <row r="2871" spans="4:13" ht="24" x14ac:dyDescent="0.2">
      <c r="E2871" s="742" t="s">
        <v>432</v>
      </c>
      <c r="F2871" s="782"/>
      <c r="G2871" s="783"/>
      <c r="H2871" s="784"/>
      <c r="I2871" s="769" t="s">
        <v>1497</v>
      </c>
      <c r="J2871" s="770"/>
      <c r="K2871" s="771"/>
      <c r="L2871" s="100"/>
      <c r="M2871" s="101"/>
    </row>
    <row r="2872" spans="4:13" ht="24" x14ac:dyDescent="0.2">
      <c r="E2872" s="743" t="s">
        <v>433</v>
      </c>
      <c r="F2872" s="797">
        <v>0</v>
      </c>
      <c r="G2872" s="776"/>
      <c r="H2872" s="777"/>
      <c r="I2872" s="769"/>
      <c r="J2872" s="770"/>
      <c r="K2872" s="771"/>
      <c r="L2872" s="100"/>
      <c r="M2872" s="101"/>
    </row>
    <row r="2873" spans="4:13" ht="25" thickBot="1" x14ac:dyDescent="0.25">
      <c r="E2873" s="743" t="s">
        <v>434</v>
      </c>
      <c r="F2873" s="775">
        <v>0</v>
      </c>
      <c r="G2873" s="776"/>
      <c r="H2873" s="777"/>
      <c r="I2873" s="769"/>
      <c r="J2873" s="770"/>
      <c r="K2873" s="771"/>
      <c r="L2873" s="100"/>
      <c r="M2873" s="101"/>
    </row>
    <row r="2874" spans="4:13" ht="25" thickBot="1" x14ac:dyDescent="0.25">
      <c r="E2874" s="744" t="s">
        <v>435</v>
      </c>
      <c r="F2874" s="778" t="e">
        <v>#VALUE!</v>
      </c>
      <c r="G2874" s="779"/>
      <c r="H2874" s="780"/>
      <c r="I2874" s="769"/>
      <c r="J2874" s="770"/>
      <c r="K2874" s="771"/>
      <c r="L2874" s="107" t="s">
        <v>1449</v>
      </c>
      <c r="M2874" s="108" t="e">
        <v>#VALUE!</v>
      </c>
    </row>
    <row r="2875" spans="4:13" ht="25" thickBot="1" x14ac:dyDescent="0.25">
      <c r="E2875" s="745" t="s">
        <v>436</v>
      </c>
      <c r="F2875" s="212" t="s">
        <v>29</v>
      </c>
      <c r="G2875" s="212" t="s">
        <v>28</v>
      </c>
      <c r="H2875" s="213" t="s">
        <v>27</v>
      </c>
      <c r="I2875" s="769"/>
      <c r="J2875" s="770"/>
      <c r="K2875" s="771"/>
      <c r="L2875" s="100"/>
      <c r="M2875" s="101"/>
    </row>
    <row r="2876" spans="4:13" ht="24" x14ac:dyDescent="0.2">
      <c r="E2876" s="746">
        <v>45645</v>
      </c>
      <c r="F2876" s="751" t="s">
        <v>1540</v>
      </c>
      <c r="G2876" s="751" t="s">
        <v>1541</v>
      </c>
      <c r="H2876" s="751" t="s">
        <v>1043</v>
      </c>
      <c r="I2876" s="769"/>
      <c r="J2876" s="770"/>
      <c r="K2876" s="771"/>
      <c r="L2876" s="100"/>
      <c r="M2876" s="101"/>
    </row>
    <row r="2877" spans="4:13" ht="24" x14ac:dyDescent="0.2">
      <c r="E2877" s="746">
        <v>45617</v>
      </c>
      <c r="F2877" s="751" t="s">
        <v>1043</v>
      </c>
      <c r="G2877" s="751" t="s">
        <v>1044</v>
      </c>
      <c r="H2877" s="751" t="s">
        <v>1293</v>
      </c>
      <c r="I2877" s="769"/>
      <c r="J2877" s="770"/>
      <c r="K2877" s="771"/>
      <c r="L2877" s="100"/>
      <c r="M2877" s="101"/>
    </row>
    <row r="2878" spans="4:13" ht="24" x14ac:dyDescent="0.2">
      <c r="E2878" s="746">
        <v>45588</v>
      </c>
      <c r="F2878" s="751" t="s">
        <v>1039</v>
      </c>
      <c r="G2878" s="751" t="s">
        <v>1040</v>
      </c>
      <c r="H2878" s="751" t="s">
        <v>1040</v>
      </c>
      <c r="I2878" s="769"/>
      <c r="J2878" s="770"/>
      <c r="K2878" s="771"/>
      <c r="L2878" s="102"/>
      <c r="M2878" s="101"/>
    </row>
    <row r="2879" spans="4:13" ht="24" x14ac:dyDescent="0.2">
      <c r="E2879" s="746">
        <v>45554</v>
      </c>
      <c r="F2879" s="751" t="s">
        <v>1041</v>
      </c>
      <c r="G2879" s="751" t="s">
        <v>1042</v>
      </c>
      <c r="H2879" s="751" t="s">
        <v>1043</v>
      </c>
      <c r="I2879" s="769"/>
      <c r="J2879" s="770"/>
      <c r="K2879" s="771"/>
      <c r="L2879" s="100"/>
      <c r="M2879" s="101"/>
    </row>
    <row r="2880" spans="4:13" ht="24" x14ac:dyDescent="0.2">
      <c r="E2880" s="746">
        <v>45526</v>
      </c>
      <c r="F2880" s="751" t="s">
        <v>1044</v>
      </c>
      <c r="G2880" s="751" t="s">
        <v>1045</v>
      </c>
      <c r="H2880" s="751" t="s">
        <v>1046</v>
      </c>
      <c r="I2880" s="769"/>
      <c r="J2880" s="770"/>
      <c r="K2880" s="771"/>
      <c r="L2880" s="100"/>
      <c r="M2880" s="101"/>
    </row>
    <row r="2881" spans="4:13" ht="25" thickBot="1" x14ac:dyDescent="0.25">
      <c r="E2881" s="746">
        <v>45496</v>
      </c>
      <c r="F2881" s="751" t="s">
        <v>1047</v>
      </c>
      <c r="G2881" s="751" t="s">
        <v>1048</v>
      </c>
      <c r="H2881" s="751" t="s">
        <v>1049</v>
      </c>
      <c r="I2881" s="772"/>
      <c r="J2881" s="773"/>
      <c r="K2881" s="774"/>
      <c r="L2881" s="103"/>
      <c r="M2881" s="104"/>
    </row>
    <row r="2882" spans="4:13" ht="25" thickBot="1" x14ac:dyDescent="0.25">
      <c r="D2882">
        <v>1</v>
      </c>
      <c r="E2882" s="741" t="s">
        <v>30</v>
      </c>
      <c r="F2882" s="760" t="s">
        <v>1498</v>
      </c>
      <c r="G2882" s="761"/>
      <c r="H2882" s="762"/>
      <c r="I2882" s="781" t="s">
        <v>633</v>
      </c>
      <c r="J2882" s="764"/>
      <c r="K2882" s="765"/>
      <c r="L2882" s="162" t="s">
        <v>430</v>
      </c>
      <c r="M2882" s="106" t="s">
        <v>431</v>
      </c>
    </row>
    <row r="2883" spans="4:13" ht="24" x14ac:dyDescent="0.2">
      <c r="E2883" s="742" t="s">
        <v>432</v>
      </c>
      <c r="F2883" s="782"/>
      <c r="G2883" s="783"/>
      <c r="H2883" s="784"/>
      <c r="I2883" s="769" t="s">
        <v>1499</v>
      </c>
      <c r="J2883" s="770"/>
      <c r="K2883" s="771"/>
      <c r="L2883" s="100"/>
      <c r="M2883" s="101"/>
    </row>
    <row r="2884" spans="4:13" ht="24" x14ac:dyDescent="0.2">
      <c r="E2884" s="743" t="s">
        <v>433</v>
      </c>
      <c r="F2884" s="785">
        <v>3.13</v>
      </c>
      <c r="G2884" s="786"/>
      <c r="H2884" s="787"/>
      <c r="I2884" s="769"/>
      <c r="J2884" s="770"/>
      <c r="K2884" s="771"/>
      <c r="L2884" s="100"/>
      <c r="M2884" s="101"/>
    </row>
    <row r="2885" spans="4:13" ht="25" thickBot="1" x14ac:dyDescent="0.25">
      <c r="E2885" s="743" t="s">
        <v>434</v>
      </c>
      <c r="F2885" s="785">
        <v>2.93</v>
      </c>
      <c r="G2885" s="786"/>
      <c r="H2885" s="787"/>
      <c r="I2885" s="769"/>
      <c r="J2885" s="770"/>
      <c r="K2885" s="771"/>
      <c r="L2885" s="100"/>
      <c r="M2885" s="101"/>
    </row>
    <row r="2886" spans="4:13" ht="25" thickBot="1" x14ac:dyDescent="0.25">
      <c r="E2886" s="744" t="s">
        <v>435</v>
      </c>
      <c r="F2886" s="788">
        <v>0.875</v>
      </c>
      <c r="G2886" s="789"/>
      <c r="H2886" s="790"/>
      <c r="I2886" s="769"/>
      <c r="J2886" s="770"/>
      <c r="K2886" s="771"/>
      <c r="L2886" s="107">
        <v>0.10416666666666667</v>
      </c>
      <c r="M2886" s="662">
        <v>0.95833333333333337</v>
      </c>
    </row>
    <row r="2887" spans="4:13" ht="25" thickBot="1" x14ac:dyDescent="0.25">
      <c r="E2887" s="745" t="s">
        <v>436</v>
      </c>
      <c r="F2887" s="212" t="s">
        <v>29</v>
      </c>
      <c r="G2887" s="212" t="s">
        <v>28</v>
      </c>
      <c r="H2887" s="213" t="s">
        <v>27</v>
      </c>
      <c r="I2887" s="769"/>
      <c r="J2887" s="770"/>
      <c r="K2887" s="771"/>
      <c r="L2887" s="100"/>
      <c r="M2887" s="101"/>
    </row>
    <row r="2888" spans="4:13" ht="23" x14ac:dyDescent="0.2">
      <c r="E2888" s="746">
        <v>45595</v>
      </c>
      <c r="F2888" s="240">
        <v>3.3</v>
      </c>
      <c r="G2888" s="240">
        <v>3.08</v>
      </c>
      <c r="H2888" s="240">
        <v>2.99</v>
      </c>
      <c r="I2888" s="769"/>
      <c r="J2888" s="770"/>
      <c r="K2888" s="771"/>
      <c r="L2888" s="100"/>
      <c r="M2888" s="101"/>
    </row>
    <row r="2889" spans="4:13" ht="23" x14ac:dyDescent="0.2">
      <c r="E2889" s="746">
        <v>45503</v>
      </c>
      <c r="F2889" s="240">
        <v>2.95</v>
      </c>
      <c r="G2889" s="240">
        <v>2.9</v>
      </c>
      <c r="H2889" s="240">
        <v>2.94</v>
      </c>
      <c r="I2889" s="769"/>
      <c r="J2889" s="770"/>
      <c r="K2889" s="771"/>
      <c r="L2889" s="100"/>
      <c r="M2889" s="101"/>
    </row>
    <row r="2890" spans="4:13" ht="23" x14ac:dyDescent="0.2">
      <c r="E2890" s="746">
        <v>45407</v>
      </c>
      <c r="F2890" s="240">
        <v>2.94</v>
      </c>
      <c r="G2890" s="240">
        <v>2.81</v>
      </c>
      <c r="H2890" s="240">
        <v>2.93</v>
      </c>
      <c r="I2890" s="769"/>
      <c r="J2890" s="770"/>
      <c r="K2890" s="771"/>
      <c r="L2890" s="102"/>
      <c r="M2890" s="101"/>
    </row>
    <row r="2891" spans="4:13" ht="23" x14ac:dyDescent="0.2">
      <c r="E2891" s="746">
        <v>45321</v>
      </c>
      <c r="F2891" s="240">
        <v>2.93</v>
      </c>
      <c r="G2891" s="240">
        <v>2.76</v>
      </c>
      <c r="H2891" s="240">
        <v>2.69</v>
      </c>
      <c r="I2891" s="769"/>
      <c r="J2891" s="770"/>
      <c r="K2891" s="771"/>
      <c r="L2891" s="100"/>
      <c r="M2891" s="101"/>
    </row>
    <row r="2892" spans="4:13" ht="23" x14ac:dyDescent="0.2">
      <c r="E2892" s="746">
        <v>45223</v>
      </c>
      <c r="F2892" s="240">
        <v>2.99</v>
      </c>
      <c r="G2892" s="240">
        <v>2.65</v>
      </c>
      <c r="H2892" s="240">
        <v>2.35</v>
      </c>
      <c r="I2892" s="769"/>
      <c r="J2892" s="770"/>
      <c r="K2892" s="771"/>
      <c r="L2892" s="100"/>
      <c r="M2892" s="101"/>
    </row>
    <row r="2893" spans="4:13" ht="24" thickBot="1" x14ac:dyDescent="0.25">
      <c r="E2893" s="746">
        <v>45132</v>
      </c>
      <c r="F2893" s="240">
        <v>2.69</v>
      </c>
      <c r="G2893" s="240">
        <v>2.5499999999999998</v>
      </c>
      <c r="H2893" s="240">
        <v>2.23</v>
      </c>
      <c r="I2893" s="772"/>
      <c r="J2893" s="773"/>
      <c r="K2893" s="774"/>
      <c r="L2893" s="103"/>
      <c r="M2893" s="104"/>
    </row>
    <row r="2894" spans="4:13" ht="25" thickBot="1" x14ac:dyDescent="0.25">
      <c r="D2894">
        <v>1</v>
      </c>
      <c r="E2894" s="741" t="s">
        <v>30</v>
      </c>
      <c r="F2894" s="760" t="s">
        <v>1500</v>
      </c>
      <c r="G2894" s="761"/>
      <c r="H2894" s="762"/>
      <c r="I2894" s="781" t="s">
        <v>633</v>
      </c>
      <c r="J2894" s="764"/>
      <c r="K2894" s="765"/>
      <c r="L2894" s="162" t="s">
        <v>430</v>
      </c>
      <c r="M2894" s="106" t="s">
        <v>431</v>
      </c>
    </row>
    <row r="2895" spans="4:13" ht="24" x14ac:dyDescent="0.2">
      <c r="E2895" s="742" t="s">
        <v>432</v>
      </c>
      <c r="F2895" s="782"/>
      <c r="G2895" s="783"/>
      <c r="H2895" s="784"/>
      <c r="I2895" s="769" t="s">
        <v>1499</v>
      </c>
      <c r="J2895" s="770"/>
      <c r="K2895" s="771"/>
      <c r="L2895" s="100"/>
      <c r="M2895" s="101"/>
    </row>
    <row r="2896" spans="4:13" ht="24" x14ac:dyDescent="0.2">
      <c r="E2896" s="743" t="s">
        <v>433</v>
      </c>
      <c r="F2896" s="785">
        <v>0.64</v>
      </c>
      <c r="G2896" s="786"/>
      <c r="H2896" s="787"/>
      <c r="I2896" s="769"/>
      <c r="J2896" s="770"/>
      <c r="K2896" s="771"/>
      <c r="L2896" s="100"/>
      <c r="M2896" s="101"/>
    </row>
    <row r="2897" spans="4:13" ht="25" thickBot="1" x14ac:dyDescent="0.25">
      <c r="E2897" s="743" t="s">
        <v>434</v>
      </c>
      <c r="F2897" s="785">
        <v>0.56999999999999995</v>
      </c>
      <c r="G2897" s="786"/>
      <c r="H2897" s="787"/>
      <c r="I2897" s="769"/>
      <c r="J2897" s="770"/>
      <c r="K2897" s="771"/>
      <c r="L2897" s="100"/>
      <c r="M2897" s="101"/>
    </row>
    <row r="2898" spans="4:13" ht="25" thickBot="1" x14ac:dyDescent="0.25">
      <c r="E2898" s="744" t="s">
        <v>435</v>
      </c>
      <c r="F2898" s="788">
        <v>0.875</v>
      </c>
      <c r="G2898" s="789"/>
      <c r="H2898" s="790"/>
      <c r="I2898" s="769"/>
      <c r="J2898" s="770"/>
      <c r="K2898" s="771"/>
      <c r="L2898" s="107">
        <v>0.10416666666666667</v>
      </c>
      <c r="M2898" s="662">
        <v>0.95833333333333337</v>
      </c>
    </row>
    <row r="2899" spans="4:13" ht="25" thickBot="1" x14ac:dyDescent="0.25">
      <c r="E2899" s="745" t="s">
        <v>436</v>
      </c>
      <c r="F2899" s="212" t="s">
        <v>29</v>
      </c>
      <c r="G2899" s="212" t="s">
        <v>28</v>
      </c>
      <c r="H2899" s="213" t="s">
        <v>27</v>
      </c>
      <c r="I2899" s="769"/>
      <c r="J2899" s="770"/>
      <c r="K2899" s="771"/>
      <c r="L2899" s="100"/>
      <c r="M2899" s="101"/>
    </row>
    <row r="2900" spans="4:13" ht="23" x14ac:dyDescent="0.2">
      <c r="E2900" s="746">
        <v>45588</v>
      </c>
      <c r="F2900" s="240">
        <v>0.62</v>
      </c>
      <c r="G2900" s="240">
        <v>0.46</v>
      </c>
      <c r="H2900" s="240">
        <v>0.53</v>
      </c>
      <c r="I2900" s="769"/>
      <c r="J2900" s="770"/>
      <c r="K2900" s="771"/>
      <c r="L2900" s="100"/>
      <c r="M2900" s="101"/>
    </row>
    <row r="2901" spans="4:13" ht="23" x14ac:dyDescent="0.2">
      <c r="E2901" s="746">
        <v>45496</v>
      </c>
      <c r="F2901" s="240">
        <v>0.42</v>
      </c>
      <c r="G2901" s="240">
        <v>0.46</v>
      </c>
      <c r="H2901" s="240">
        <v>0.35</v>
      </c>
      <c r="I2901" s="769"/>
      <c r="J2901" s="770"/>
      <c r="K2901" s="771"/>
      <c r="L2901" s="100"/>
      <c r="M2901" s="101"/>
    </row>
    <row r="2902" spans="4:13" ht="23" x14ac:dyDescent="0.2">
      <c r="E2902" s="746">
        <v>45405</v>
      </c>
      <c r="F2902" s="240">
        <v>0.35</v>
      </c>
      <c r="G2902" s="240">
        <v>0.35</v>
      </c>
      <c r="H2902" s="240">
        <v>0.56999999999999995</v>
      </c>
      <c r="I2902" s="769"/>
      <c r="J2902" s="770"/>
      <c r="K2902" s="771"/>
      <c r="L2902" s="102"/>
      <c r="M2902" s="101"/>
    </row>
    <row r="2903" spans="4:13" ht="23" x14ac:dyDescent="0.2">
      <c r="E2903" s="746">
        <v>45293</v>
      </c>
      <c r="F2903" s="240">
        <v>0.56999999999999995</v>
      </c>
      <c r="G2903" s="240">
        <v>0.6</v>
      </c>
      <c r="H2903" s="240">
        <v>0.78</v>
      </c>
      <c r="I2903" s="769"/>
      <c r="J2903" s="770"/>
      <c r="K2903" s="771"/>
      <c r="L2903" s="100"/>
      <c r="M2903" s="101"/>
    </row>
    <row r="2904" spans="4:13" ht="23" x14ac:dyDescent="0.2">
      <c r="E2904" s="746">
        <v>45583</v>
      </c>
      <c r="F2904" s="240">
        <v>0.53</v>
      </c>
      <c r="G2904" s="240">
        <v>0.64</v>
      </c>
      <c r="H2904" s="240">
        <v>0.95</v>
      </c>
      <c r="I2904" s="769"/>
      <c r="J2904" s="770"/>
      <c r="K2904" s="771"/>
      <c r="L2904" s="100"/>
      <c r="M2904" s="101"/>
    </row>
    <row r="2905" spans="4:13" ht="24" thickBot="1" x14ac:dyDescent="0.25">
      <c r="E2905" s="746">
        <v>374210</v>
      </c>
      <c r="F2905" s="240">
        <v>0.78</v>
      </c>
      <c r="G2905" s="240">
        <v>0.8</v>
      </c>
      <c r="H2905" s="240">
        <v>0.65</v>
      </c>
      <c r="I2905" s="772"/>
      <c r="J2905" s="773"/>
      <c r="K2905" s="774"/>
      <c r="L2905" s="103"/>
      <c r="M2905" s="104"/>
    </row>
    <row r="2906" spans="4:13" ht="25" thickBot="1" x14ac:dyDescent="0.25">
      <c r="D2906">
        <v>8</v>
      </c>
      <c r="E2906" s="741" t="s">
        <v>30</v>
      </c>
      <c r="F2906" s="760" t="s">
        <v>1501</v>
      </c>
      <c r="G2906" s="761"/>
      <c r="H2906" s="762"/>
      <c r="I2906" s="781" t="s">
        <v>633</v>
      </c>
      <c r="J2906" s="764"/>
      <c r="K2906" s="765"/>
      <c r="L2906" s="162" t="s">
        <v>430</v>
      </c>
      <c r="M2906" s="106" t="s">
        <v>431</v>
      </c>
    </row>
    <row r="2907" spans="4:13" ht="24" x14ac:dyDescent="0.2">
      <c r="E2907" s="742" t="s">
        <v>432</v>
      </c>
      <c r="F2907" s="782"/>
      <c r="G2907" s="783"/>
      <c r="H2907" s="784"/>
      <c r="I2907" s="769" t="s">
        <v>1502</v>
      </c>
      <c r="J2907" s="770"/>
      <c r="K2907" s="771"/>
      <c r="L2907" s="100"/>
      <c r="M2907" s="101"/>
    </row>
    <row r="2908" spans="4:13" ht="24" x14ac:dyDescent="0.2">
      <c r="E2908" s="743" t="s">
        <v>433</v>
      </c>
      <c r="F2908" s="775">
        <v>0.03</v>
      </c>
      <c r="G2908" s="776"/>
      <c r="H2908" s="777"/>
      <c r="I2908" s="769"/>
      <c r="J2908" s="770"/>
      <c r="K2908" s="771"/>
      <c r="L2908" s="100"/>
      <c r="M2908" s="101"/>
    </row>
    <row r="2909" spans="4:13" ht="25" thickBot="1" x14ac:dyDescent="0.25">
      <c r="E2909" s="743" t="s">
        <v>434</v>
      </c>
      <c r="F2909" s="775">
        <v>3.2500000000000001E-2</v>
      </c>
      <c r="G2909" s="776"/>
      <c r="H2909" s="777"/>
      <c r="I2909" s="769"/>
      <c r="J2909" s="770"/>
      <c r="K2909" s="771"/>
      <c r="L2909" s="100"/>
      <c r="M2909" s="101"/>
    </row>
    <row r="2910" spans="4:13" ht="25" thickBot="1" x14ac:dyDescent="0.25">
      <c r="E2910" s="744" t="s">
        <v>435</v>
      </c>
      <c r="F2910" s="778">
        <v>0.61458333333333337</v>
      </c>
      <c r="G2910" s="779"/>
      <c r="H2910" s="780"/>
      <c r="I2910" s="769"/>
      <c r="J2910" s="770"/>
      <c r="K2910" s="771"/>
      <c r="L2910" s="107">
        <v>0.84375</v>
      </c>
      <c r="M2910" s="108">
        <v>0.69791666666666663</v>
      </c>
    </row>
    <row r="2911" spans="4:13" ht="25" thickBot="1" x14ac:dyDescent="0.25">
      <c r="E2911" s="745" t="s">
        <v>436</v>
      </c>
      <c r="F2911" s="212" t="s">
        <v>29</v>
      </c>
      <c r="G2911" s="212" t="s">
        <v>28</v>
      </c>
      <c r="H2911" s="213" t="s">
        <v>27</v>
      </c>
      <c r="I2911" s="769"/>
      <c r="J2911" s="770"/>
      <c r="K2911" s="771"/>
      <c r="L2911" s="100"/>
      <c r="M2911" s="101"/>
    </row>
    <row r="2912" spans="4:13" ht="24" x14ac:dyDescent="0.2">
      <c r="E2912" s="746">
        <v>45637</v>
      </c>
      <c r="F2912" s="749">
        <v>3.2500000000000001E-2</v>
      </c>
      <c r="G2912" s="749" t="s">
        <v>1542</v>
      </c>
      <c r="H2912" s="749">
        <v>3.7499999999999999E-2</v>
      </c>
      <c r="I2912" s="769"/>
      <c r="J2912" s="770"/>
      <c r="K2912" s="771"/>
      <c r="L2912" s="100"/>
      <c r="M2912" s="101"/>
    </row>
    <row r="2913" spans="4:13" ht="24" x14ac:dyDescent="0.2">
      <c r="E2913" s="746">
        <v>45588</v>
      </c>
      <c r="F2913" s="749">
        <v>3.7499999999999999E-2</v>
      </c>
      <c r="G2913" s="749" t="s">
        <v>1543</v>
      </c>
      <c r="H2913" s="749">
        <v>4.2500000000000003E-2</v>
      </c>
      <c r="I2913" s="769"/>
      <c r="J2913" s="770"/>
      <c r="K2913" s="771"/>
      <c r="L2913" s="100"/>
      <c r="M2913" s="101"/>
    </row>
    <row r="2914" spans="4:13" ht="24" x14ac:dyDescent="0.2">
      <c r="E2914" s="746">
        <v>45539</v>
      </c>
      <c r="F2914" s="749">
        <v>4.2500000000000003E-2</v>
      </c>
      <c r="G2914" s="749" t="s">
        <v>723</v>
      </c>
      <c r="H2914" s="749">
        <v>4.4999999999999998E-2</v>
      </c>
      <c r="I2914" s="769"/>
      <c r="J2914" s="770"/>
      <c r="K2914" s="771"/>
      <c r="L2914" s="102"/>
      <c r="M2914" s="101"/>
    </row>
    <row r="2915" spans="4:13" ht="24" x14ac:dyDescent="0.2">
      <c r="E2915" s="746">
        <v>45497</v>
      </c>
      <c r="F2915" s="749">
        <v>4.4999999999999998E-2</v>
      </c>
      <c r="G2915" s="749" t="s">
        <v>725</v>
      </c>
      <c r="H2915" s="749">
        <v>4.7500000000000001E-2</v>
      </c>
      <c r="I2915" s="769"/>
      <c r="J2915" s="770"/>
      <c r="K2915" s="771"/>
      <c r="L2915" s="100"/>
      <c r="M2915" s="101"/>
    </row>
    <row r="2916" spans="4:13" ht="24" x14ac:dyDescent="0.2">
      <c r="E2916" s="746">
        <v>45448</v>
      </c>
      <c r="F2916" s="749">
        <v>4.7500000000000001E-2</v>
      </c>
      <c r="G2916" s="749" t="s">
        <v>726</v>
      </c>
      <c r="H2916" s="749">
        <v>0.05</v>
      </c>
      <c r="I2916" s="769"/>
      <c r="J2916" s="770"/>
      <c r="K2916" s="771"/>
      <c r="L2916" s="100"/>
      <c r="M2916" s="101"/>
    </row>
    <row r="2917" spans="4:13" ht="25" thickBot="1" x14ac:dyDescent="0.25">
      <c r="E2917" s="746">
        <v>45392</v>
      </c>
      <c r="F2917" s="749">
        <v>0.05</v>
      </c>
      <c r="G2917" s="749" t="s">
        <v>728</v>
      </c>
      <c r="H2917" s="749">
        <v>0.05</v>
      </c>
      <c r="I2917" s="772"/>
      <c r="J2917" s="773"/>
      <c r="K2917" s="774"/>
      <c r="L2917" s="103"/>
      <c r="M2917" s="104"/>
    </row>
    <row r="2918" spans="4:13" ht="25" thickBot="1" x14ac:dyDescent="0.25">
      <c r="D2918">
        <v>9</v>
      </c>
      <c r="E2918" s="741" t="s">
        <v>30</v>
      </c>
      <c r="F2918" s="760" t="s">
        <v>1503</v>
      </c>
      <c r="G2918" s="761"/>
      <c r="H2918" s="762"/>
      <c r="I2918" s="781" t="s">
        <v>633</v>
      </c>
      <c r="J2918" s="764"/>
      <c r="K2918" s="765"/>
      <c r="L2918" s="162" t="s">
        <v>430</v>
      </c>
      <c r="M2918" s="106" t="s">
        <v>431</v>
      </c>
    </row>
    <row r="2919" spans="4:13" ht="24" x14ac:dyDescent="0.2">
      <c r="D2919" s="89"/>
      <c r="E2919" s="742" t="s">
        <v>432</v>
      </c>
      <c r="F2919" s="782"/>
      <c r="G2919" s="783"/>
      <c r="H2919" s="784"/>
      <c r="I2919" s="769" t="s">
        <v>1505</v>
      </c>
      <c r="J2919" s="770"/>
      <c r="K2919" s="771"/>
      <c r="L2919" s="100"/>
      <c r="M2919" s="101"/>
    </row>
    <row r="2920" spans="4:13" ht="24" x14ac:dyDescent="0.2">
      <c r="D2920" s="89"/>
      <c r="E2920" s="743" t="s">
        <v>433</v>
      </c>
      <c r="F2920" s="775"/>
      <c r="G2920" s="776"/>
      <c r="H2920" s="777"/>
      <c r="I2920" s="769"/>
      <c r="J2920" s="770"/>
      <c r="K2920" s="771"/>
      <c r="L2920" s="100"/>
      <c r="M2920" s="101"/>
    </row>
    <row r="2921" spans="4:13" ht="25" thickBot="1" x14ac:dyDescent="0.25">
      <c r="D2921" s="89"/>
      <c r="E2921" s="743" t="s">
        <v>434</v>
      </c>
      <c r="F2921" s="775" t="s">
        <v>1504</v>
      </c>
      <c r="G2921" s="776"/>
      <c r="H2921" s="777"/>
      <c r="I2921" s="769"/>
      <c r="J2921" s="770"/>
      <c r="K2921" s="771"/>
      <c r="L2921" s="100"/>
      <c r="M2921" s="101"/>
    </row>
    <row r="2922" spans="4:13" ht="25" thickBot="1" x14ac:dyDescent="0.25">
      <c r="D2922" s="89"/>
      <c r="E2922" s="744" t="s">
        <v>435</v>
      </c>
      <c r="F2922" s="778">
        <v>0.64583333333333337</v>
      </c>
      <c r="G2922" s="779"/>
      <c r="H2922" s="780"/>
      <c r="I2922" s="769"/>
      <c r="J2922" s="770"/>
      <c r="K2922" s="771"/>
      <c r="L2922" s="107">
        <v>0.875</v>
      </c>
      <c r="M2922" s="108">
        <v>0.72916666666666663</v>
      </c>
    </row>
    <row r="2923" spans="4:13" ht="25" thickBot="1" x14ac:dyDescent="0.25">
      <c r="D2923" s="89"/>
      <c r="E2923" s="745" t="s">
        <v>436</v>
      </c>
      <c r="F2923" s="212" t="s">
        <v>29</v>
      </c>
      <c r="G2923" s="212" t="s">
        <v>28</v>
      </c>
      <c r="H2923" s="213" t="s">
        <v>27</v>
      </c>
      <c r="I2923" s="769"/>
      <c r="J2923" s="770"/>
      <c r="K2923" s="771"/>
      <c r="L2923" s="100"/>
      <c r="M2923" s="101"/>
    </row>
    <row r="2924" spans="4:13" ht="24" x14ac:dyDescent="0.2">
      <c r="D2924" s="89"/>
      <c r="E2924" s="746">
        <v>45680</v>
      </c>
      <c r="F2924" s="752" t="s">
        <v>1544</v>
      </c>
      <c r="G2924" s="752" t="s">
        <v>1545</v>
      </c>
      <c r="H2924" s="752" t="s">
        <v>1546</v>
      </c>
      <c r="I2924" s="769"/>
      <c r="J2924" s="770"/>
      <c r="K2924" s="771"/>
      <c r="L2924" s="100"/>
      <c r="M2924" s="101"/>
    </row>
    <row r="2925" spans="4:13" ht="24" x14ac:dyDescent="0.2">
      <c r="D2925" s="89"/>
      <c r="E2925" s="746">
        <v>45672</v>
      </c>
      <c r="F2925" s="752" t="s">
        <v>1546</v>
      </c>
      <c r="G2925" s="752" t="s">
        <v>1547</v>
      </c>
      <c r="H2925" s="752" t="s">
        <v>1436</v>
      </c>
      <c r="I2925" s="769"/>
      <c r="J2925" s="770"/>
      <c r="K2925" s="771"/>
      <c r="L2925" s="100"/>
      <c r="M2925" s="101"/>
    </row>
    <row r="2926" spans="4:13" ht="24" x14ac:dyDescent="0.2">
      <c r="D2926" s="89"/>
      <c r="E2926" s="746">
        <v>45665</v>
      </c>
      <c r="F2926" s="752" t="s">
        <v>1436</v>
      </c>
      <c r="G2926" s="752" t="s">
        <v>1437</v>
      </c>
      <c r="H2926" s="752" t="s">
        <v>1391</v>
      </c>
      <c r="I2926" s="769"/>
      <c r="J2926" s="770"/>
      <c r="K2926" s="771"/>
      <c r="L2926" s="102"/>
      <c r="M2926" s="101"/>
    </row>
    <row r="2927" spans="4:13" ht="24" x14ac:dyDescent="0.2">
      <c r="D2927" s="89"/>
      <c r="E2927" s="746">
        <v>45659</v>
      </c>
      <c r="F2927" s="752" t="s">
        <v>1391</v>
      </c>
      <c r="G2927" s="752" t="s">
        <v>1392</v>
      </c>
      <c r="H2927" s="752" t="s">
        <v>1342</v>
      </c>
      <c r="I2927" s="769"/>
      <c r="J2927" s="770"/>
      <c r="K2927" s="771"/>
      <c r="L2927" s="100"/>
      <c r="M2927" s="101"/>
    </row>
    <row r="2928" spans="4:13" ht="24" x14ac:dyDescent="0.2">
      <c r="D2928" s="89"/>
      <c r="E2928" s="746">
        <v>45653</v>
      </c>
      <c r="F2928" s="752" t="s">
        <v>1342</v>
      </c>
      <c r="G2928" s="752" t="s">
        <v>1343</v>
      </c>
      <c r="H2928" s="752" t="s">
        <v>1318</v>
      </c>
      <c r="I2928" s="769"/>
      <c r="J2928" s="770"/>
      <c r="K2928" s="771"/>
      <c r="L2928" s="100"/>
      <c r="M2928" s="101"/>
    </row>
    <row r="2929" spans="4:13" ht="25" thickBot="1" x14ac:dyDescent="0.25">
      <c r="D2929" s="89"/>
      <c r="E2929" s="746">
        <v>45644</v>
      </c>
      <c r="F2929" s="752" t="s">
        <v>1318</v>
      </c>
      <c r="G2929" s="752" t="s">
        <v>1289</v>
      </c>
      <c r="H2929" s="752" t="s">
        <v>1286</v>
      </c>
      <c r="I2929" s="772"/>
      <c r="J2929" s="773"/>
      <c r="K2929" s="774"/>
      <c r="L2929" s="103"/>
      <c r="M2929" s="104"/>
    </row>
    <row r="2930" spans="4:13" ht="25" thickBot="1" x14ac:dyDescent="0.25">
      <c r="D2930">
        <v>10</v>
      </c>
      <c r="E2930" s="741" t="s">
        <v>30</v>
      </c>
      <c r="F2930" s="760" t="s">
        <v>1483</v>
      </c>
      <c r="G2930" s="761"/>
      <c r="H2930" s="762"/>
      <c r="I2930" s="781" t="s">
        <v>633</v>
      </c>
      <c r="J2930" s="764"/>
      <c r="K2930" s="765"/>
      <c r="L2930" s="162" t="s">
        <v>430</v>
      </c>
      <c r="M2930" s="106" t="s">
        <v>431</v>
      </c>
    </row>
    <row r="2931" spans="4:13" ht="24" x14ac:dyDescent="0.2">
      <c r="D2931" s="89"/>
      <c r="E2931" s="742" t="s">
        <v>432</v>
      </c>
      <c r="F2931" s="782"/>
      <c r="G2931" s="783"/>
      <c r="H2931" s="784"/>
      <c r="I2931" s="769" t="s">
        <v>1484</v>
      </c>
      <c r="J2931" s="770"/>
      <c r="K2931" s="771"/>
      <c r="L2931" s="100"/>
      <c r="M2931" s="101"/>
    </row>
    <row r="2932" spans="4:13" ht="24" x14ac:dyDescent="0.2">
      <c r="D2932" s="89"/>
      <c r="E2932" s="743" t="s">
        <v>433</v>
      </c>
      <c r="F2932" s="775">
        <v>0</v>
      </c>
      <c r="G2932" s="776"/>
      <c r="H2932" s="777"/>
      <c r="I2932" s="769"/>
      <c r="J2932" s="770"/>
      <c r="K2932" s="771"/>
      <c r="L2932" s="100"/>
      <c r="M2932" s="101"/>
    </row>
    <row r="2933" spans="4:13" ht="25" thickBot="1" x14ac:dyDescent="0.25">
      <c r="D2933" s="89"/>
      <c r="E2933" s="743" t="s">
        <v>434</v>
      </c>
      <c r="F2933" s="775">
        <v>0</v>
      </c>
      <c r="G2933" s="776"/>
      <c r="H2933" s="777"/>
      <c r="I2933" s="769"/>
      <c r="J2933" s="770"/>
      <c r="K2933" s="771"/>
      <c r="L2933" s="100"/>
      <c r="M2933" s="101"/>
    </row>
    <row r="2934" spans="4:13" ht="25" thickBot="1" x14ac:dyDescent="0.25">
      <c r="D2934" s="89"/>
      <c r="E2934" s="744" t="s">
        <v>435</v>
      </c>
      <c r="F2934" s="778" t="e">
        <v>#VALUE!</v>
      </c>
      <c r="G2934" s="779"/>
      <c r="H2934" s="780"/>
      <c r="I2934" s="769"/>
      <c r="J2934" s="770"/>
      <c r="K2934" s="771"/>
      <c r="L2934" s="107" t="s">
        <v>1449</v>
      </c>
      <c r="M2934" s="108" t="e">
        <v>#VALUE!</v>
      </c>
    </row>
    <row r="2935" spans="4:13" ht="25" thickBot="1" x14ac:dyDescent="0.25">
      <c r="D2935" s="89"/>
      <c r="E2935" s="745" t="s">
        <v>436</v>
      </c>
      <c r="F2935" s="212" t="s">
        <v>29</v>
      </c>
      <c r="G2935" s="212" t="s">
        <v>28</v>
      </c>
      <c r="H2935" s="213" t="s">
        <v>27</v>
      </c>
      <c r="I2935" s="769"/>
      <c r="J2935" s="770"/>
      <c r="K2935" s="771"/>
      <c r="L2935" s="100"/>
      <c r="M2935" s="101"/>
    </row>
    <row r="2936" spans="4:13" ht="24" x14ac:dyDescent="0.2">
      <c r="D2936" s="89"/>
      <c r="E2936" s="746">
        <v>45643</v>
      </c>
      <c r="F2936" s="752">
        <v>2E-3</v>
      </c>
      <c r="G2936" s="752" t="s">
        <v>452</v>
      </c>
      <c r="H2936" s="752">
        <v>2E-3</v>
      </c>
      <c r="I2936" s="769"/>
      <c r="J2936" s="770"/>
      <c r="K2936" s="771"/>
      <c r="L2936" s="100"/>
      <c r="M2936" s="101"/>
    </row>
    <row r="2937" spans="4:13" ht="24" x14ac:dyDescent="0.2">
      <c r="D2937" s="89"/>
      <c r="E2937" s="746">
        <v>45611</v>
      </c>
      <c r="F2937" s="752">
        <v>1E-3</v>
      </c>
      <c r="G2937" s="752" t="s">
        <v>467</v>
      </c>
      <c r="H2937" s="752">
        <v>0.01</v>
      </c>
      <c r="I2937" s="769"/>
      <c r="J2937" s="770"/>
      <c r="K2937" s="771"/>
      <c r="L2937" s="100"/>
      <c r="M2937" s="101"/>
    </row>
    <row r="2938" spans="4:13" ht="24" x14ac:dyDescent="0.2">
      <c r="D2938" s="89"/>
      <c r="E2938" s="746">
        <v>45582</v>
      </c>
      <c r="F2938" s="752">
        <v>5.0000000000000001E-3</v>
      </c>
      <c r="G2938" s="752" t="s">
        <v>462</v>
      </c>
      <c r="H2938" s="752">
        <v>2E-3</v>
      </c>
      <c r="I2938" s="769"/>
      <c r="J2938" s="770"/>
      <c r="K2938" s="771"/>
      <c r="L2938" s="102"/>
      <c r="M2938" s="101"/>
    </row>
    <row r="2939" spans="4:13" ht="24" x14ac:dyDescent="0.2">
      <c r="D2939" s="89"/>
      <c r="E2939" s="746">
        <v>45552</v>
      </c>
      <c r="F2939" s="752">
        <v>1E-3</v>
      </c>
      <c r="G2939" s="752" t="s">
        <v>460</v>
      </c>
      <c r="H2939" s="752">
        <v>4.0000000000000001E-3</v>
      </c>
      <c r="I2939" s="769"/>
      <c r="J2939" s="770"/>
      <c r="K2939" s="771"/>
      <c r="L2939" s="100"/>
      <c r="M2939" s="101"/>
    </row>
    <row r="2940" spans="4:13" ht="24" x14ac:dyDescent="0.2">
      <c r="D2940" s="89"/>
      <c r="E2940" s="746">
        <v>45519</v>
      </c>
      <c r="F2940" s="752">
        <v>4.0000000000000001E-3</v>
      </c>
      <c r="G2940" s="752" t="s">
        <v>462</v>
      </c>
      <c r="H2940" s="752">
        <v>5.0000000000000001E-3</v>
      </c>
      <c r="I2940" s="769"/>
      <c r="J2940" s="770"/>
      <c r="K2940" s="771"/>
      <c r="L2940" s="100"/>
      <c r="M2940" s="101"/>
    </row>
    <row r="2941" spans="4:13" ht="25" thickBot="1" x14ac:dyDescent="0.25">
      <c r="D2941" s="89"/>
      <c r="E2941" s="746">
        <v>45489</v>
      </c>
      <c r="F2941" s="752">
        <v>4.0000000000000001E-3</v>
      </c>
      <c r="G2941" s="752" t="s">
        <v>462</v>
      </c>
      <c r="H2941" s="752">
        <v>1E-3</v>
      </c>
      <c r="I2941" s="772"/>
      <c r="J2941" s="773"/>
      <c r="K2941" s="774"/>
      <c r="L2941" s="103"/>
      <c r="M2941" s="104"/>
    </row>
    <row r="2942" spans="4:13" ht="25" thickBot="1" x14ac:dyDescent="0.25">
      <c r="D2942">
        <v>11</v>
      </c>
      <c r="E2942" s="741" t="s">
        <v>30</v>
      </c>
      <c r="F2942" s="760" t="s">
        <v>1486</v>
      </c>
      <c r="G2942" s="761"/>
      <c r="H2942" s="762"/>
      <c r="I2942" s="781" t="s">
        <v>633</v>
      </c>
      <c r="J2942" s="764"/>
      <c r="K2942" s="765"/>
      <c r="L2942" s="162" t="s">
        <v>430</v>
      </c>
      <c r="M2942" s="106" t="s">
        <v>431</v>
      </c>
    </row>
    <row r="2943" spans="4:13" ht="24" x14ac:dyDescent="0.2">
      <c r="D2943" s="89"/>
      <c r="E2943" s="742" t="s">
        <v>432</v>
      </c>
      <c r="F2943" s="782"/>
      <c r="G2943" s="783"/>
      <c r="H2943" s="784"/>
      <c r="I2943" s="769" t="s">
        <v>1487</v>
      </c>
      <c r="J2943" s="770"/>
      <c r="K2943" s="771"/>
      <c r="L2943" s="100"/>
      <c r="M2943" s="101"/>
    </row>
    <row r="2944" spans="4:13" ht="24" x14ac:dyDescent="0.2">
      <c r="D2944" s="89"/>
      <c r="E2944" s="743" t="s">
        <v>433</v>
      </c>
      <c r="F2944" s="775">
        <v>0</v>
      </c>
      <c r="G2944" s="776"/>
      <c r="H2944" s="777"/>
      <c r="I2944" s="769"/>
      <c r="J2944" s="770"/>
      <c r="K2944" s="771"/>
      <c r="L2944" s="100"/>
      <c r="M2944" s="101"/>
    </row>
    <row r="2945" spans="4:13" ht="25" thickBot="1" x14ac:dyDescent="0.25">
      <c r="D2945" s="89"/>
      <c r="E2945" s="743" t="s">
        <v>434</v>
      </c>
      <c r="F2945" s="775">
        <v>0</v>
      </c>
      <c r="G2945" s="776"/>
      <c r="H2945" s="777"/>
      <c r="I2945" s="769"/>
      <c r="J2945" s="770"/>
      <c r="K2945" s="771"/>
      <c r="L2945" s="100"/>
      <c r="M2945" s="101"/>
    </row>
    <row r="2946" spans="4:13" ht="25" thickBot="1" x14ac:dyDescent="0.25">
      <c r="D2946" s="89"/>
      <c r="E2946" s="744" t="s">
        <v>435</v>
      </c>
      <c r="F2946" s="778" t="e">
        <v>#VALUE!</v>
      </c>
      <c r="G2946" s="779"/>
      <c r="H2946" s="780"/>
      <c r="I2946" s="769"/>
      <c r="J2946" s="770"/>
      <c r="K2946" s="771"/>
      <c r="L2946" s="107" t="s">
        <v>1449</v>
      </c>
      <c r="M2946" s="108" t="e">
        <v>#VALUE!</v>
      </c>
    </row>
    <row r="2947" spans="4:13" ht="25" thickBot="1" x14ac:dyDescent="0.25">
      <c r="D2947" s="89"/>
      <c r="E2947" s="745" t="s">
        <v>436</v>
      </c>
      <c r="F2947" s="212" t="s">
        <v>29</v>
      </c>
      <c r="G2947" s="212" t="s">
        <v>28</v>
      </c>
      <c r="H2947" s="213" t="s">
        <v>27</v>
      </c>
      <c r="I2947" s="769"/>
      <c r="J2947" s="770"/>
      <c r="K2947" s="771"/>
      <c r="L2947" s="100"/>
      <c r="M2947" s="101"/>
    </row>
    <row r="2948" spans="4:13" ht="24" x14ac:dyDescent="0.2">
      <c r="D2948" s="89"/>
      <c r="E2948" s="746">
        <v>45665</v>
      </c>
      <c r="F2948" s="752" t="s">
        <v>1438</v>
      </c>
      <c r="G2948" s="752" t="s">
        <v>1439</v>
      </c>
      <c r="H2948" s="752" t="s">
        <v>1440</v>
      </c>
      <c r="I2948" s="769"/>
      <c r="J2948" s="770"/>
      <c r="K2948" s="771"/>
      <c r="L2948" s="100"/>
      <c r="M2948" s="101"/>
    </row>
    <row r="2949" spans="4:13" ht="24" x14ac:dyDescent="0.2">
      <c r="D2949" s="89"/>
      <c r="E2949" s="746">
        <v>45659</v>
      </c>
      <c r="F2949" s="752" t="s">
        <v>1440</v>
      </c>
      <c r="G2949" s="752" t="s">
        <v>986</v>
      </c>
      <c r="H2949" s="752" t="s">
        <v>1112</v>
      </c>
      <c r="I2949" s="769"/>
      <c r="J2949" s="770"/>
      <c r="K2949" s="771"/>
      <c r="L2949" s="100"/>
      <c r="M2949" s="101"/>
    </row>
    <row r="2950" spans="4:13" ht="24" x14ac:dyDescent="0.2">
      <c r="D2950" s="89"/>
      <c r="E2950" s="746">
        <v>45652</v>
      </c>
      <c r="F2950" s="752" t="s">
        <v>987</v>
      </c>
      <c r="G2950" s="752" t="s">
        <v>973</v>
      </c>
      <c r="H2950" s="752" t="s">
        <v>1112</v>
      </c>
      <c r="I2950" s="769"/>
      <c r="J2950" s="770"/>
      <c r="K2950" s="771"/>
      <c r="L2950" s="102"/>
      <c r="M2950" s="101"/>
    </row>
    <row r="2951" spans="4:13" ht="24" x14ac:dyDescent="0.2">
      <c r="D2951" s="89"/>
      <c r="E2951" s="746">
        <v>45645</v>
      </c>
      <c r="F2951" s="752" t="s">
        <v>1112</v>
      </c>
      <c r="G2951" s="752" t="s">
        <v>976</v>
      </c>
      <c r="H2951" s="752" t="s">
        <v>980</v>
      </c>
      <c r="I2951" s="769"/>
      <c r="J2951" s="770"/>
      <c r="K2951" s="771"/>
      <c r="L2951" s="100"/>
      <c r="M2951" s="101"/>
    </row>
    <row r="2952" spans="4:13" ht="24" x14ac:dyDescent="0.2">
      <c r="D2952" s="89"/>
      <c r="E2952" s="746">
        <v>45638</v>
      </c>
      <c r="F2952" s="752" t="s">
        <v>980</v>
      </c>
      <c r="G2952" s="752" t="s">
        <v>972</v>
      </c>
      <c r="H2952" s="752" t="s">
        <v>985</v>
      </c>
      <c r="I2952" s="769"/>
      <c r="J2952" s="770"/>
      <c r="K2952" s="771"/>
      <c r="L2952" s="100"/>
      <c r="M2952" s="101"/>
    </row>
    <row r="2953" spans="4:13" ht="25" thickBot="1" x14ac:dyDescent="0.25">
      <c r="D2953" s="89"/>
      <c r="E2953" s="746">
        <v>45631</v>
      </c>
      <c r="F2953" s="752" t="s">
        <v>1032</v>
      </c>
      <c r="G2953" s="752" t="s">
        <v>1232</v>
      </c>
      <c r="H2953" s="752" t="s">
        <v>1232</v>
      </c>
      <c r="I2953" s="772"/>
      <c r="J2953" s="773"/>
      <c r="K2953" s="774"/>
      <c r="L2953" s="103"/>
      <c r="M2953" s="104"/>
    </row>
    <row r="2954" spans="4:13" ht="25" thickBot="1" x14ac:dyDescent="0.25">
      <c r="D2954">
        <v>11</v>
      </c>
      <c r="E2954" s="741" t="s">
        <v>30</v>
      </c>
      <c r="F2954" s="760" t="s">
        <v>1493</v>
      </c>
      <c r="G2954" s="761"/>
      <c r="H2954" s="762"/>
      <c r="I2954" s="781" t="s">
        <v>633</v>
      </c>
      <c r="J2954" s="764"/>
      <c r="K2954" s="765"/>
      <c r="L2954" s="162" t="s">
        <v>430</v>
      </c>
      <c r="M2954" s="106" t="s">
        <v>431</v>
      </c>
    </row>
    <row r="2955" spans="4:13" ht="24" x14ac:dyDescent="0.2">
      <c r="D2955" s="89"/>
      <c r="E2955" s="742" t="s">
        <v>432</v>
      </c>
      <c r="F2955" s="782"/>
      <c r="G2955" s="783"/>
      <c r="H2955" s="784"/>
      <c r="I2955" s="769" t="s">
        <v>1494</v>
      </c>
      <c r="J2955" s="770"/>
      <c r="K2955" s="771"/>
      <c r="L2955" s="100"/>
      <c r="M2955" s="101"/>
    </row>
    <row r="2956" spans="4:13" ht="24" x14ac:dyDescent="0.2">
      <c r="D2956" s="89"/>
      <c r="E2956" s="743" t="s">
        <v>433</v>
      </c>
      <c r="F2956" s="785">
        <v>0</v>
      </c>
      <c r="G2956" s="786"/>
      <c r="H2956" s="787"/>
      <c r="I2956" s="769"/>
      <c r="J2956" s="770"/>
      <c r="K2956" s="771"/>
      <c r="L2956" s="100"/>
      <c r="M2956" s="101"/>
    </row>
    <row r="2957" spans="4:13" ht="25" thickBot="1" x14ac:dyDescent="0.25">
      <c r="D2957" s="89"/>
      <c r="E2957" s="743" t="s">
        <v>434</v>
      </c>
      <c r="F2957" s="785">
        <v>0</v>
      </c>
      <c r="G2957" s="786"/>
      <c r="H2957" s="787"/>
      <c r="I2957" s="769"/>
      <c r="J2957" s="770"/>
      <c r="K2957" s="771"/>
      <c r="L2957" s="100"/>
      <c r="M2957" s="101"/>
    </row>
    <row r="2958" spans="4:13" ht="25" thickBot="1" x14ac:dyDescent="0.25">
      <c r="D2958" s="89"/>
      <c r="E2958" s="744" t="s">
        <v>435</v>
      </c>
      <c r="F2958" s="778" t="e">
        <v>#VALUE!</v>
      </c>
      <c r="G2958" s="779"/>
      <c r="H2958" s="780"/>
      <c r="I2958" s="769"/>
      <c r="J2958" s="770"/>
      <c r="K2958" s="771"/>
      <c r="L2958" s="107" t="s">
        <v>1449</v>
      </c>
      <c r="M2958" s="662">
        <v>0.875</v>
      </c>
    </row>
    <row r="2959" spans="4:13" ht="25" thickBot="1" x14ac:dyDescent="0.25">
      <c r="D2959" s="89"/>
      <c r="E2959" s="745" t="s">
        <v>436</v>
      </c>
      <c r="F2959" s="212" t="s">
        <v>29</v>
      </c>
      <c r="G2959" s="212" t="s">
        <v>28</v>
      </c>
      <c r="H2959" s="213" t="s">
        <v>27</v>
      </c>
      <c r="I2959" s="769"/>
      <c r="J2959" s="770"/>
      <c r="K2959" s="771"/>
      <c r="L2959" s="100"/>
      <c r="M2959" s="101"/>
    </row>
    <row r="2960" spans="4:13" ht="24" x14ac:dyDescent="0.2">
      <c r="D2960" s="89"/>
      <c r="E2960" s="746">
        <v>45645</v>
      </c>
      <c r="F2960" s="750">
        <v>-16.399999999999999</v>
      </c>
      <c r="G2960" s="750" t="s">
        <v>1441</v>
      </c>
      <c r="H2960" s="750">
        <v>-5.5</v>
      </c>
      <c r="I2960" s="769"/>
      <c r="J2960" s="770"/>
      <c r="K2960" s="771"/>
      <c r="L2960" s="100"/>
      <c r="M2960" s="101"/>
    </row>
    <row r="2961" spans="4:13" ht="24" x14ac:dyDescent="0.2">
      <c r="D2961" s="89"/>
      <c r="E2961" s="746">
        <v>45617</v>
      </c>
      <c r="F2961" s="750">
        <v>-5.5</v>
      </c>
      <c r="G2961" s="750" t="s">
        <v>1292</v>
      </c>
      <c r="H2961" s="750">
        <v>10.3</v>
      </c>
      <c r="I2961" s="769"/>
      <c r="J2961" s="770"/>
      <c r="K2961" s="771"/>
      <c r="L2961" s="100"/>
      <c r="M2961" s="101"/>
    </row>
    <row r="2962" spans="4:13" ht="24" x14ac:dyDescent="0.2">
      <c r="D2962" s="89"/>
      <c r="E2962" s="746">
        <v>45582</v>
      </c>
      <c r="F2962" s="750">
        <v>10.3</v>
      </c>
      <c r="G2962" s="750" t="s">
        <v>1033</v>
      </c>
      <c r="H2962" s="750">
        <v>1.7</v>
      </c>
      <c r="I2962" s="769"/>
      <c r="J2962" s="770"/>
      <c r="K2962" s="771"/>
      <c r="L2962" s="102"/>
      <c r="M2962" s="101"/>
    </row>
    <row r="2963" spans="4:13" ht="24" x14ac:dyDescent="0.2">
      <c r="D2963" s="89"/>
      <c r="E2963" s="746">
        <v>45554</v>
      </c>
      <c r="F2963" s="750">
        <v>1.7</v>
      </c>
      <c r="G2963" s="750" t="s">
        <v>1034</v>
      </c>
      <c r="H2963" s="750">
        <v>-7</v>
      </c>
      <c r="I2963" s="769"/>
      <c r="J2963" s="770"/>
      <c r="K2963" s="771"/>
      <c r="L2963" s="100"/>
      <c r="M2963" s="101"/>
    </row>
    <row r="2964" spans="4:13" ht="24" x14ac:dyDescent="0.2">
      <c r="D2964" s="89"/>
      <c r="E2964" s="746">
        <v>45519</v>
      </c>
      <c r="F2964" s="750">
        <v>-7</v>
      </c>
      <c r="G2964" s="750" t="s">
        <v>1035</v>
      </c>
      <c r="H2964" s="750">
        <v>13.9</v>
      </c>
      <c r="I2964" s="769"/>
      <c r="J2964" s="770"/>
      <c r="K2964" s="771"/>
      <c r="L2964" s="100"/>
      <c r="M2964" s="101"/>
    </row>
    <row r="2965" spans="4:13" ht="25" thickBot="1" x14ac:dyDescent="0.25">
      <c r="D2965" s="89"/>
      <c r="E2965" s="746">
        <v>45491</v>
      </c>
      <c r="F2965" s="750">
        <v>13.9</v>
      </c>
      <c r="G2965" s="750" t="s">
        <v>1036</v>
      </c>
      <c r="H2965" s="750">
        <v>1.3</v>
      </c>
      <c r="I2965" s="772"/>
      <c r="J2965" s="773"/>
      <c r="K2965" s="774"/>
      <c r="L2965" s="103"/>
      <c r="M2965" s="104"/>
    </row>
    <row r="2966" spans="4:13" ht="25" thickBot="1" x14ac:dyDescent="0.25">
      <c r="D2966">
        <v>12</v>
      </c>
      <c r="E2966" s="741" t="s">
        <v>30</v>
      </c>
      <c r="F2966" s="760" t="s">
        <v>1496</v>
      </c>
      <c r="G2966" s="761"/>
      <c r="H2966" s="762"/>
      <c r="I2966" s="781" t="s">
        <v>633</v>
      </c>
      <c r="J2966" s="764"/>
      <c r="K2966" s="765"/>
      <c r="L2966" s="162" t="s">
        <v>430</v>
      </c>
      <c r="M2966" s="106" t="s">
        <v>431</v>
      </c>
    </row>
    <row r="2967" spans="4:13" ht="24" x14ac:dyDescent="0.2">
      <c r="D2967" s="89"/>
      <c r="E2967" s="742" t="s">
        <v>432</v>
      </c>
      <c r="F2967" s="782"/>
      <c r="G2967" s="783"/>
      <c r="H2967" s="784"/>
      <c r="I2967" s="769" t="s">
        <v>1497</v>
      </c>
      <c r="J2967" s="770"/>
      <c r="K2967" s="771"/>
      <c r="L2967" s="100"/>
      <c r="M2967" s="101"/>
    </row>
    <row r="2968" spans="4:13" ht="24" x14ac:dyDescent="0.2">
      <c r="D2968" s="89"/>
      <c r="E2968" s="743" t="s">
        <v>433</v>
      </c>
      <c r="F2968" s="775">
        <v>0</v>
      </c>
      <c r="G2968" s="776"/>
      <c r="H2968" s="777"/>
      <c r="I2968" s="769"/>
      <c r="J2968" s="770"/>
      <c r="K2968" s="771"/>
      <c r="L2968" s="100"/>
      <c r="M2968" s="101"/>
    </row>
    <row r="2969" spans="4:13" ht="25" thickBot="1" x14ac:dyDescent="0.25">
      <c r="D2969" s="89"/>
      <c r="E2969" s="743" t="s">
        <v>434</v>
      </c>
      <c r="F2969" s="775">
        <v>0</v>
      </c>
      <c r="G2969" s="776"/>
      <c r="H2969" s="777"/>
      <c r="I2969" s="769"/>
      <c r="J2969" s="770"/>
      <c r="K2969" s="771"/>
      <c r="L2969" s="100"/>
      <c r="M2969" s="101"/>
    </row>
    <row r="2970" spans="4:13" ht="25" thickBot="1" x14ac:dyDescent="0.25">
      <c r="D2970" s="89"/>
      <c r="E2970" s="744" t="s">
        <v>435</v>
      </c>
      <c r="F2970" s="778" t="e">
        <v>#VALUE!</v>
      </c>
      <c r="G2970" s="779"/>
      <c r="H2970" s="780"/>
      <c r="I2970" s="769"/>
      <c r="J2970" s="770"/>
      <c r="K2970" s="771"/>
      <c r="L2970" s="107" t="s">
        <v>1449</v>
      </c>
      <c r="M2970" s="108" t="e">
        <v>#VALUE!</v>
      </c>
    </row>
    <row r="2971" spans="4:13" ht="25" thickBot="1" x14ac:dyDescent="0.25">
      <c r="D2971" s="89"/>
      <c r="E2971" s="745" t="s">
        <v>436</v>
      </c>
      <c r="F2971" s="212" t="s">
        <v>29</v>
      </c>
      <c r="G2971" s="212" t="s">
        <v>28</v>
      </c>
      <c r="H2971" s="213" t="s">
        <v>27</v>
      </c>
      <c r="I2971" s="769"/>
      <c r="J2971" s="770"/>
      <c r="K2971" s="771"/>
      <c r="L2971" s="100"/>
      <c r="M2971" s="101"/>
    </row>
    <row r="2972" spans="4:13" ht="24" x14ac:dyDescent="0.2">
      <c r="D2972" s="89"/>
      <c r="E2972" s="746">
        <v>45643</v>
      </c>
      <c r="F2972" s="752">
        <v>7.0000000000000001E-3</v>
      </c>
      <c r="G2972" s="752" t="s">
        <v>449</v>
      </c>
      <c r="H2972" s="752">
        <v>5.0000000000000001E-3</v>
      </c>
      <c r="I2972" s="769"/>
      <c r="J2972" s="770"/>
      <c r="K2972" s="771"/>
      <c r="L2972" s="100"/>
      <c r="M2972" s="101"/>
    </row>
    <row r="2973" spans="4:13" ht="24" x14ac:dyDescent="0.2">
      <c r="D2973" s="89"/>
      <c r="E2973" s="746">
        <v>45611</v>
      </c>
      <c r="F2973" s="752">
        <v>4.0000000000000001E-3</v>
      </c>
      <c r="G2973" s="752" t="s">
        <v>467</v>
      </c>
      <c r="H2973" s="752">
        <v>8.0000000000000002E-3</v>
      </c>
      <c r="I2973" s="769"/>
      <c r="J2973" s="770"/>
      <c r="K2973" s="771"/>
      <c r="L2973" s="100"/>
      <c r="M2973" s="101"/>
    </row>
    <row r="2974" spans="4:13" ht="24" x14ac:dyDescent="0.2">
      <c r="D2974" s="89"/>
      <c r="E2974" s="746">
        <v>45582</v>
      </c>
      <c r="F2974" s="752">
        <v>4.0000000000000001E-3</v>
      </c>
      <c r="G2974" s="752" t="s">
        <v>467</v>
      </c>
      <c r="H2974" s="752">
        <v>1E-3</v>
      </c>
      <c r="I2974" s="769"/>
      <c r="J2974" s="770"/>
      <c r="K2974" s="771"/>
      <c r="L2974" s="102"/>
      <c r="M2974" s="101"/>
    </row>
    <row r="2975" spans="4:13" ht="24" x14ac:dyDescent="0.2">
      <c r="D2975" s="89"/>
      <c r="E2975" s="746">
        <v>45552</v>
      </c>
      <c r="F2975" s="752">
        <v>1E-3</v>
      </c>
      <c r="G2975" s="752" t="s">
        <v>461</v>
      </c>
      <c r="H2975" s="752">
        <v>1.0999999999999999E-2</v>
      </c>
      <c r="I2975" s="769"/>
      <c r="J2975" s="770"/>
      <c r="K2975" s="771"/>
      <c r="L2975" s="100"/>
      <c r="M2975" s="101"/>
    </row>
    <row r="2976" spans="4:13" ht="24" x14ac:dyDescent="0.2">
      <c r="D2976" s="89"/>
      <c r="E2976" s="746">
        <v>45519</v>
      </c>
      <c r="F2976" s="752">
        <v>0.01</v>
      </c>
      <c r="G2976" s="752" t="s">
        <v>452</v>
      </c>
      <c r="H2976" s="752">
        <v>-2E-3</v>
      </c>
      <c r="I2976" s="769"/>
      <c r="J2976" s="770"/>
      <c r="K2976" s="771"/>
      <c r="L2976" s="100"/>
      <c r="M2976" s="101"/>
    </row>
    <row r="2977" spans="4:13" ht="25" thickBot="1" x14ac:dyDescent="0.25">
      <c r="D2977" s="89"/>
      <c r="E2977" s="746">
        <v>45489</v>
      </c>
      <c r="F2977" s="752">
        <v>0</v>
      </c>
      <c r="G2977" s="752" t="s">
        <v>454</v>
      </c>
      <c r="H2977" s="752">
        <v>3.0000000000000001E-3</v>
      </c>
      <c r="I2977" s="772"/>
      <c r="J2977" s="773"/>
      <c r="K2977" s="774"/>
      <c r="L2977" s="103"/>
      <c r="M2977" s="104"/>
    </row>
    <row r="2978" spans="4:13" ht="25" thickBot="1" x14ac:dyDescent="0.25">
      <c r="D2978">
        <v>13</v>
      </c>
      <c r="E2978" s="741" t="s">
        <v>30</v>
      </c>
      <c r="F2978" s="760" t="s">
        <v>1506</v>
      </c>
      <c r="G2978" s="761"/>
      <c r="H2978" s="762"/>
      <c r="I2978" s="781" t="s">
        <v>633</v>
      </c>
      <c r="J2978" s="764"/>
      <c r="K2978" s="765"/>
      <c r="L2978" s="162" t="s">
        <v>430</v>
      </c>
      <c r="M2978" s="106" t="s">
        <v>431</v>
      </c>
    </row>
    <row r="2979" spans="4:13" ht="24" x14ac:dyDescent="0.2">
      <c r="D2979" s="89"/>
      <c r="E2979" s="742" t="s">
        <v>432</v>
      </c>
      <c r="F2979" s="782"/>
      <c r="G2979" s="783"/>
      <c r="H2979" s="784"/>
      <c r="I2979" s="769" t="s">
        <v>1507</v>
      </c>
      <c r="J2979" s="770"/>
      <c r="K2979" s="771"/>
      <c r="L2979" s="100"/>
      <c r="M2979" s="101"/>
    </row>
    <row r="2980" spans="4:13" ht="24" x14ac:dyDescent="0.2">
      <c r="D2980" s="89"/>
      <c r="E2980" s="743" t="s">
        <v>433</v>
      </c>
      <c r="F2980" s="798"/>
      <c r="G2980" s="799"/>
      <c r="H2980" s="800"/>
      <c r="I2980" s="769"/>
      <c r="J2980" s="770"/>
      <c r="K2980" s="771"/>
      <c r="L2980" s="100"/>
      <c r="M2980" s="101"/>
    </row>
    <row r="2981" spans="4:13" ht="25" thickBot="1" x14ac:dyDescent="0.25">
      <c r="D2981" s="89"/>
      <c r="E2981" s="743" t="s">
        <v>434</v>
      </c>
      <c r="F2981" s="798"/>
      <c r="G2981" s="799"/>
      <c r="H2981" s="800"/>
      <c r="I2981" s="769"/>
      <c r="J2981" s="770"/>
      <c r="K2981" s="771"/>
      <c r="L2981" s="100"/>
      <c r="M2981" s="101"/>
    </row>
    <row r="2982" spans="4:13" ht="25" thickBot="1" x14ac:dyDescent="0.25">
      <c r="D2982" s="89"/>
      <c r="E2982" s="744" t="s">
        <v>435</v>
      </c>
      <c r="F2982" s="794">
        <v>0.79166666666666663</v>
      </c>
      <c r="G2982" s="795"/>
      <c r="H2982" s="796"/>
      <c r="I2982" s="769"/>
      <c r="J2982" s="770"/>
      <c r="K2982" s="771"/>
      <c r="L2982" s="107">
        <v>2.0833333333333332E-2</v>
      </c>
      <c r="M2982" s="747">
        <v>0.875</v>
      </c>
    </row>
    <row r="2983" spans="4:13" ht="25" thickBot="1" x14ac:dyDescent="0.25">
      <c r="D2983" s="89"/>
      <c r="E2983" s="745" t="s">
        <v>436</v>
      </c>
      <c r="F2983" s="212" t="s">
        <v>29</v>
      </c>
      <c r="G2983" s="212" t="s">
        <v>28</v>
      </c>
      <c r="H2983" s="213" t="s">
        <v>27</v>
      </c>
      <c r="I2983" s="769"/>
      <c r="J2983" s="770"/>
      <c r="K2983" s="771"/>
      <c r="L2983" s="100"/>
      <c r="M2983" s="101"/>
    </row>
    <row r="2984" spans="4:13" ht="24" x14ac:dyDescent="0.2">
      <c r="D2984" s="89"/>
      <c r="E2984" s="746">
        <v>45583</v>
      </c>
      <c r="F2984" s="753">
        <v>0</v>
      </c>
      <c r="G2984" s="753" t="s">
        <v>754</v>
      </c>
      <c r="H2984" s="753">
        <v>0</v>
      </c>
      <c r="I2984" s="769"/>
      <c r="J2984" s="770"/>
      <c r="K2984" s="771"/>
      <c r="L2984" s="100"/>
      <c r="M2984" s="101"/>
    </row>
    <row r="2985" spans="4:13" ht="24" x14ac:dyDescent="0.2">
      <c r="D2985" s="89"/>
      <c r="E2985" s="746">
        <v>45488</v>
      </c>
      <c r="F2985" s="753">
        <v>0</v>
      </c>
      <c r="G2985" s="753" t="s">
        <v>754</v>
      </c>
      <c r="H2985" s="753">
        <v>0</v>
      </c>
      <c r="I2985" s="769"/>
      <c r="J2985" s="770"/>
      <c r="K2985" s="771"/>
      <c r="L2985" s="100"/>
      <c r="M2985" s="101"/>
    </row>
    <row r="2986" spans="4:13" ht="24" x14ac:dyDescent="0.2">
      <c r="D2986" s="89"/>
      <c r="E2986" s="746">
        <v>45398</v>
      </c>
      <c r="F2986" s="753">
        <v>0</v>
      </c>
      <c r="G2986" s="753" t="s">
        <v>754</v>
      </c>
      <c r="H2986" s="753">
        <v>0</v>
      </c>
      <c r="I2986" s="769"/>
      <c r="J2986" s="770"/>
      <c r="K2986" s="771"/>
      <c r="L2986" s="102"/>
      <c r="M2986" s="101"/>
    </row>
    <row r="2987" spans="4:13" ht="24" x14ac:dyDescent="0.2">
      <c r="D2987" s="89"/>
      <c r="E2987" s="746">
        <v>45308</v>
      </c>
      <c r="F2987" s="753">
        <v>0</v>
      </c>
      <c r="G2987" s="753" t="s">
        <v>754</v>
      </c>
      <c r="H2987" s="753">
        <v>0</v>
      </c>
      <c r="I2987" s="769"/>
      <c r="J2987" s="770"/>
      <c r="K2987" s="771"/>
      <c r="L2987" s="100"/>
      <c r="M2987" s="101"/>
    </row>
    <row r="2988" spans="4:13" ht="24" x14ac:dyDescent="0.2">
      <c r="D2988" s="89"/>
      <c r="E2988" s="746">
        <v>45217</v>
      </c>
      <c r="F2988" s="753">
        <v>0</v>
      </c>
      <c r="G2988" s="753" t="s">
        <v>754</v>
      </c>
      <c r="H2988" s="753">
        <v>0</v>
      </c>
      <c r="I2988" s="769"/>
      <c r="J2988" s="770"/>
      <c r="K2988" s="771"/>
      <c r="L2988" s="100"/>
      <c r="M2988" s="101"/>
    </row>
    <row r="2989" spans="4:13" ht="25" thickBot="1" x14ac:dyDescent="0.25">
      <c r="D2989" s="89"/>
      <c r="E2989" s="746">
        <v>45124</v>
      </c>
      <c r="F2989" s="753">
        <v>0</v>
      </c>
      <c r="G2989" s="753" t="s">
        <v>754</v>
      </c>
      <c r="H2989" s="753">
        <v>0</v>
      </c>
      <c r="I2989" s="772"/>
      <c r="J2989" s="773"/>
      <c r="K2989" s="774"/>
      <c r="L2989" s="103"/>
      <c r="M2989" s="104"/>
    </row>
    <row r="2990" spans="4:13" ht="25" thickBot="1" x14ac:dyDescent="0.25">
      <c r="D2990">
        <v>10</v>
      </c>
      <c r="E2990" s="741" t="s">
        <v>30</v>
      </c>
      <c r="F2990" s="760" t="s">
        <v>1508</v>
      </c>
      <c r="G2990" s="761"/>
      <c r="H2990" s="762"/>
      <c r="I2990" s="781" t="s">
        <v>633</v>
      </c>
      <c r="J2990" s="764"/>
      <c r="K2990" s="765"/>
      <c r="L2990" s="162" t="s">
        <v>430</v>
      </c>
      <c r="M2990" s="106" t="s">
        <v>431</v>
      </c>
    </row>
    <row r="2991" spans="4:13" ht="24" x14ac:dyDescent="0.2">
      <c r="D2991" s="89"/>
      <c r="E2991" s="742" t="s">
        <v>432</v>
      </c>
      <c r="F2991" s="782"/>
      <c r="G2991" s="783"/>
      <c r="H2991" s="784"/>
      <c r="I2991" s="769" t="s">
        <v>1507</v>
      </c>
      <c r="J2991" s="770"/>
      <c r="K2991" s="771"/>
      <c r="L2991" s="100"/>
      <c r="M2991" s="101"/>
    </row>
    <row r="2992" spans="4:13" ht="24" x14ac:dyDescent="0.2">
      <c r="D2992" s="89"/>
      <c r="E2992" s="743" t="s">
        <v>433</v>
      </c>
      <c r="F2992" s="801">
        <v>4.4999999999999998E-2</v>
      </c>
      <c r="G2992" s="786"/>
      <c r="H2992" s="787"/>
      <c r="I2992" s="769"/>
      <c r="J2992" s="770"/>
      <c r="K2992" s="771"/>
      <c r="L2992" s="100"/>
      <c r="M2992" s="101"/>
    </row>
    <row r="2993" spans="4:13" ht="25" thickBot="1" x14ac:dyDescent="0.25">
      <c r="D2993" s="89"/>
      <c r="E2993" s="743" t="s">
        <v>434</v>
      </c>
      <c r="F2993" s="775">
        <v>4.4999999999999998E-2</v>
      </c>
      <c r="G2993" s="776"/>
      <c r="H2993" s="777"/>
      <c r="I2993" s="769"/>
      <c r="J2993" s="770"/>
      <c r="K2993" s="771"/>
      <c r="L2993" s="100"/>
      <c r="M2993" s="101"/>
    </row>
    <row r="2994" spans="4:13" ht="25" thickBot="1" x14ac:dyDescent="0.25">
      <c r="D2994" s="89"/>
      <c r="E2994" s="744" t="s">
        <v>435</v>
      </c>
      <c r="F2994" s="794">
        <v>0.79166666666666663</v>
      </c>
      <c r="G2994" s="795"/>
      <c r="H2994" s="796"/>
      <c r="I2994" s="769"/>
      <c r="J2994" s="770"/>
      <c r="K2994" s="771"/>
      <c r="L2994" s="107">
        <v>2.0833333333333332E-2</v>
      </c>
      <c r="M2994" s="747">
        <v>0.875</v>
      </c>
    </row>
    <row r="2995" spans="4:13" ht="25" thickBot="1" x14ac:dyDescent="0.25">
      <c r="D2995" s="89"/>
      <c r="E2995" s="745" t="s">
        <v>436</v>
      </c>
      <c r="F2995" s="212" t="s">
        <v>29</v>
      </c>
      <c r="G2995" s="212" t="s">
        <v>28</v>
      </c>
      <c r="H2995" s="213" t="s">
        <v>27</v>
      </c>
      <c r="I2995" s="769"/>
      <c r="J2995" s="770"/>
      <c r="K2995" s="771"/>
      <c r="L2995" s="100"/>
      <c r="M2995" s="101"/>
    </row>
    <row r="2996" spans="4:13" ht="24" x14ac:dyDescent="0.2">
      <c r="D2996" s="89"/>
      <c r="E2996" s="746">
        <v>45644</v>
      </c>
      <c r="F2996" s="751">
        <v>4.4999999999999998E-2</v>
      </c>
      <c r="G2996" s="751" t="s">
        <v>725</v>
      </c>
      <c r="H2996" s="751">
        <v>4.7500000000000001E-2</v>
      </c>
      <c r="I2996" s="769"/>
      <c r="J2996" s="770"/>
      <c r="K2996" s="771"/>
      <c r="L2996" s="100"/>
      <c r="M2996" s="101"/>
    </row>
    <row r="2997" spans="4:13" ht="24" x14ac:dyDescent="0.2">
      <c r="D2997" s="89"/>
      <c r="E2997" s="746">
        <v>45603</v>
      </c>
      <c r="F2997" s="751">
        <v>4.7500000000000001E-2</v>
      </c>
      <c r="G2997" s="751" t="s">
        <v>726</v>
      </c>
      <c r="H2997" s="751">
        <v>0.05</v>
      </c>
      <c r="I2997" s="769"/>
      <c r="J2997" s="770"/>
      <c r="K2997" s="771"/>
      <c r="L2997" s="100"/>
      <c r="M2997" s="101"/>
    </row>
    <row r="2998" spans="4:13" ht="24" x14ac:dyDescent="0.2">
      <c r="D2998" s="89"/>
      <c r="E2998" s="746">
        <v>45553</v>
      </c>
      <c r="F2998" s="751">
        <v>0.05</v>
      </c>
      <c r="G2998" s="751" t="s">
        <v>940</v>
      </c>
      <c r="H2998" s="751">
        <v>5.5E-2</v>
      </c>
      <c r="I2998" s="769"/>
      <c r="J2998" s="770"/>
      <c r="K2998" s="771"/>
      <c r="L2998" s="102"/>
      <c r="M2998" s="101"/>
    </row>
    <row r="2999" spans="4:13" ht="24" x14ac:dyDescent="0.2">
      <c r="D2999" s="89"/>
      <c r="E2999" s="746">
        <v>45504</v>
      </c>
      <c r="F2999" s="751">
        <v>5.5E-2</v>
      </c>
      <c r="G2999" s="751" t="s">
        <v>942</v>
      </c>
      <c r="H2999" s="751">
        <v>5.5E-2</v>
      </c>
      <c r="I2999" s="769"/>
      <c r="J2999" s="770"/>
      <c r="K2999" s="771"/>
      <c r="L2999" s="100"/>
      <c r="M2999" s="101"/>
    </row>
    <row r="3000" spans="4:13" ht="24" x14ac:dyDescent="0.2">
      <c r="D3000" s="89"/>
      <c r="E3000" s="746">
        <v>45455</v>
      </c>
      <c r="F3000" s="751">
        <v>5.5E-2</v>
      </c>
      <c r="G3000" s="751" t="s">
        <v>942</v>
      </c>
      <c r="H3000" s="751">
        <v>5.5E-2</v>
      </c>
      <c r="I3000" s="769"/>
      <c r="J3000" s="770"/>
      <c r="K3000" s="771"/>
      <c r="L3000" s="100"/>
      <c r="M3000" s="101"/>
    </row>
    <row r="3001" spans="4:13" ht="25" thickBot="1" x14ac:dyDescent="0.25">
      <c r="D3001" s="89"/>
      <c r="E3001" s="746">
        <v>45413</v>
      </c>
      <c r="F3001" s="751">
        <v>5.5E-2</v>
      </c>
      <c r="G3001" s="751" t="s">
        <v>942</v>
      </c>
      <c r="H3001" s="751">
        <v>5.5E-2</v>
      </c>
      <c r="I3001" s="772"/>
      <c r="J3001" s="773"/>
      <c r="K3001" s="774"/>
      <c r="L3001" s="103"/>
      <c r="M3001" s="104"/>
    </row>
    <row r="3002" spans="4:13" ht="25" thickBot="1" x14ac:dyDescent="0.25">
      <c r="D3002">
        <v>11</v>
      </c>
      <c r="E3002" s="741" t="s">
        <v>30</v>
      </c>
      <c r="F3002" s="760" t="s">
        <v>1509</v>
      </c>
      <c r="G3002" s="761"/>
      <c r="H3002" s="762"/>
      <c r="I3002" s="781" t="s">
        <v>633</v>
      </c>
      <c r="J3002" s="764"/>
      <c r="K3002" s="765"/>
      <c r="L3002" s="162" t="s">
        <v>430</v>
      </c>
      <c r="M3002" s="106" t="s">
        <v>431</v>
      </c>
    </row>
    <row r="3003" spans="4:13" ht="24" x14ac:dyDescent="0.2">
      <c r="D3003" s="89"/>
      <c r="E3003" s="742" t="s">
        <v>432</v>
      </c>
      <c r="F3003" s="782"/>
      <c r="G3003" s="783"/>
      <c r="H3003" s="784"/>
      <c r="I3003" s="769" t="s">
        <v>1507</v>
      </c>
      <c r="J3003" s="770"/>
      <c r="K3003" s="771"/>
      <c r="L3003" s="100"/>
      <c r="M3003" s="101"/>
    </row>
    <row r="3004" spans="4:13" ht="24" x14ac:dyDescent="0.2">
      <c r="D3004" s="89"/>
      <c r="E3004" s="743" t="s">
        <v>433</v>
      </c>
      <c r="F3004" s="791"/>
      <c r="G3004" s="792"/>
      <c r="H3004" s="793"/>
      <c r="I3004" s="769"/>
      <c r="J3004" s="770"/>
      <c r="K3004" s="771"/>
      <c r="L3004" s="100"/>
      <c r="M3004" s="101"/>
    </row>
    <row r="3005" spans="4:13" ht="25" thickBot="1" x14ac:dyDescent="0.25">
      <c r="D3005" s="89"/>
      <c r="E3005" s="743" t="s">
        <v>434</v>
      </c>
      <c r="F3005" s="775"/>
      <c r="G3005" s="776"/>
      <c r="H3005" s="777"/>
      <c r="I3005" s="769"/>
      <c r="J3005" s="770"/>
      <c r="K3005" s="771"/>
      <c r="L3005" s="100"/>
      <c r="M3005" s="101"/>
    </row>
    <row r="3006" spans="4:13" ht="25" thickBot="1" x14ac:dyDescent="0.25">
      <c r="D3006" s="89"/>
      <c r="E3006" s="744" t="s">
        <v>435</v>
      </c>
      <c r="F3006" s="794">
        <v>0.8125</v>
      </c>
      <c r="G3006" s="795"/>
      <c r="H3006" s="796"/>
      <c r="I3006" s="769"/>
      <c r="J3006" s="770"/>
      <c r="K3006" s="771"/>
      <c r="L3006" s="107">
        <v>4.1666666666666664E-2</v>
      </c>
      <c r="M3006" s="747">
        <v>0.89583333333333337</v>
      </c>
    </row>
    <row r="3007" spans="4:13" ht="25" thickBot="1" x14ac:dyDescent="0.25">
      <c r="D3007" s="89"/>
      <c r="E3007" s="745" t="s">
        <v>436</v>
      </c>
      <c r="F3007" s="212" t="s">
        <v>29</v>
      </c>
      <c r="G3007" s="212" t="s">
        <v>28</v>
      </c>
      <c r="H3007" s="213" t="s">
        <v>27</v>
      </c>
      <c r="I3007" s="769"/>
      <c r="J3007" s="770"/>
      <c r="K3007" s="771"/>
      <c r="L3007" s="100"/>
      <c r="M3007" s="101"/>
    </row>
    <row r="3008" spans="4:13" ht="24" x14ac:dyDescent="0.2">
      <c r="D3008" s="89"/>
      <c r="E3008" s="746">
        <v>45644</v>
      </c>
      <c r="F3008" s="751" t="s">
        <v>1090</v>
      </c>
      <c r="G3008" s="751" t="s">
        <v>754</v>
      </c>
      <c r="H3008" s="751" t="s">
        <v>1090</v>
      </c>
      <c r="I3008" s="769"/>
      <c r="J3008" s="770"/>
      <c r="K3008" s="771"/>
      <c r="L3008" s="100"/>
      <c r="M3008" s="101"/>
    </row>
    <row r="3009" spans="4:13" ht="24" x14ac:dyDescent="0.2">
      <c r="D3009" s="89"/>
      <c r="E3009" s="746">
        <v>45603</v>
      </c>
      <c r="F3009" s="751" t="s">
        <v>1090</v>
      </c>
      <c r="G3009" s="751" t="s">
        <v>754</v>
      </c>
      <c r="H3009" s="751" t="s">
        <v>1090</v>
      </c>
      <c r="I3009" s="769"/>
      <c r="J3009" s="770"/>
      <c r="K3009" s="771"/>
      <c r="L3009" s="100"/>
      <c r="M3009" s="101"/>
    </row>
    <row r="3010" spans="4:13" ht="24" x14ac:dyDescent="0.2">
      <c r="D3010" s="89"/>
      <c r="E3010" s="746">
        <v>45553</v>
      </c>
      <c r="F3010" s="751" t="s">
        <v>1090</v>
      </c>
      <c r="G3010" s="751" t="s">
        <v>754</v>
      </c>
      <c r="H3010" s="751" t="s">
        <v>1090</v>
      </c>
      <c r="I3010" s="769"/>
      <c r="J3010" s="770"/>
      <c r="K3010" s="771"/>
      <c r="L3010" s="102"/>
      <c r="M3010" s="101"/>
    </row>
    <row r="3011" spans="4:13" ht="24" x14ac:dyDescent="0.2">
      <c r="D3011" s="89"/>
      <c r="E3011" s="746">
        <v>45504</v>
      </c>
      <c r="F3011" s="751" t="s">
        <v>1090</v>
      </c>
      <c r="G3011" s="751" t="s">
        <v>754</v>
      </c>
      <c r="H3011" s="751" t="s">
        <v>1090</v>
      </c>
      <c r="I3011" s="769"/>
      <c r="J3011" s="770"/>
      <c r="K3011" s="771"/>
      <c r="L3011" s="100"/>
      <c r="M3011" s="101"/>
    </row>
    <row r="3012" spans="4:13" ht="24" x14ac:dyDescent="0.2">
      <c r="D3012" s="89"/>
      <c r="E3012" s="746">
        <v>45455</v>
      </c>
      <c r="F3012" s="751" t="s">
        <v>1090</v>
      </c>
      <c r="G3012" s="751" t="s">
        <v>754</v>
      </c>
      <c r="H3012" s="751" t="s">
        <v>1090</v>
      </c>
      <c r="I3012" s="769"/>
      <c r="J3012" s="770"/>
      <c r="K3012" s="771"/>
      <c r="L3012" s="100"/>
      <c r="M3012" s="101"/>
    </row>
    <row r="3013" spans="4:13" ht="25" thickBot="1" x14ac:dyDescent="0.25">
      <c r="D3013" s="89"/>
      <c r="E3013" s="746">
        <v>45413</v>
      </c>
      <c r="F3013" s="751" t="s">
        <v>1090</v>
      </c>
      <c r="G3013" s="751" t="s">
        <v>754</v>
      </c>
      <c r="H3013" s="751" t="s">
        <v>1090</v>
      </c>
      <c r="I3013" s="772"/>
      <c r="J3013" s="773"/>
      <c r="K3013" s="774"/>
      <c r="L3013" s="103"/>
      <c r="M3013" s="104"/>
    </row>
    <row r="3014" spans="4:13" ht="25" thickBot="1" x14ac:dyDescent="0.25">
      <c r="D3014">
        <v>13</v>
      </c>
      <c r="E3014" s="741" t="s">
        <v>30</v>
      </c>
      <c r="F3014" s="760" t="s">
        <v>1510</v>
      </c>
      <c r="G3014" s="761"/>
      <c r="H3014" s="762"/>
      <c r="I3014" s="781" t="s">
        <v>633</v>
      </c>
      <c r="J3014" s="764"/>
      <c r="K3014" s="765"/>
      <c r="L3014" s="162" t="s">
        <v>430</v>
      </c>
      <c r="M3014" s="106" t="s">
        <v>431</v>
      </c>
    </row>
    <row r="3015" spans="4:13" ht="24" x14ac:dyDescent="0.2">
      <c r="D3015" s="89"/>
      <c r="E3015" s="742" t="s">
        <v>432</v>
      </c>
      <c r="F3015" s="782"/>
      <c r="G3015" s="783"/>
      <c r="H3015" s="784"/>
      <c r="I3015" s="769" t="s">
        <v>1499</v>
      </c>
      <c r="J3015" s="770"/>
      <c r="K3015" s="771"/>
      <c r="L3015" s="100"/>
      <c r="M3015" s="101"/>
    </row>
    <row r="3016" spans="4:13" ht="24" x14ac:dyDescent="0.2">
      <c r="D3016" s="89"/>
      <c r="E3016" s="743" t="s">
        <v>433</v>
      </c>
      <c r="F3016" s="797">
        <v>6.76</v>
      </c>
      <c r="G3016" s="776"/>
      <c r="H3016" s="777"/>
      <c r="I3016" s="769"/>
      <c r="J3016" s="770"/>
      <c r="K3016" s="771"/>
      <c r="L3016" s="100"/>
      <c r="M3016" s="101"/>
    </row>
    <row r="3017" spans="4:13" ht="25" thickBot="1" x14ac:dyDescent="0.25">
      <c r="D3017" s="89"/>
      <c r="E3017" s="743" t="s">
        <v>434</v>
      </c>
      <c r="F3017" s="797">
        <v>5.33</v>
      </c>
      <c r="G3017" s="776"/>
      <c r="H3017" s="777"/>
      <c r="I3017" s="769"/>
      <c r="J3017" s="770"/>
      <c r="K3017" s="771"/>
      <c r="L3017" s="100"/>
      <c r="M3017" s="101"/>
    </row>
    <row r="3018" spans="4:13" ht="25" thickBot="1" x14ac:dyDescent="0.25">
      <c r="D3018" s="89"/>
      <c r="E3018" s="744" t="s">
        <v>435</v>
      </c>
      <c r="F3018" s="788">
        <v>0.875</v>
      </c>
      <c r="G3018" s="789"/>
      <c r="H3018" s="790"/>
      <c r="I3018" s="769"/>
      <c r="J3018" s="770"/>
      <c r="K3018" s="771"/>
      <c r="L3018" s="107">
        <v>0.10416666666666667</v>
      </c>
      <c r="M3018" s="662">
        <v>0.95833333333333337</v>
      </c>
    </row>
    <row r="3019" spans="4:13" ht="25" thickBot="1" x14ac:dyDescent="0.25">
      <c r="D3019" s="89"/>
      <c r="E3019" s="745" t="s">
        <v>436</v>
      </c>
      <c r="F3019" s="212" t="s">
        <v>29</v>
      </c>
      <c r="G3019" s="212" t="s">
        <v>28</v>
      </c>
      <c r="H3019" s="213" t="s">
        <v>27</v>
      </c>
      <c r="I3019" s="769"/>
      <c r="J3019" s="770"/>
      <c r="K3019" s="771"/>
      <c r="L3019" s="100"/>
      <c r="M3019" s="101"/>
    </row>
    <row r="3020" spans="4:13" ht="23" x14ac:dyDescent="0.2">
      <c r="D3020" s="89"/>
      <c r="E3020" s="746">
        <v>45595</v>
      </c>
      <c r="F3020" s="240">
        <v>6.03</v>
      </c>
      <c r="G3020" s="240">
        <v>5.19</v>
      </c>
      <c r="H3020" s="240">
        <v>4.3899999999999997</v>
      </c>
      <c r="I3020" s="769"/>
      <c r="J3020" s="770"/>
      <c r="K3020" s="771"/>
      <c r="L3020" s="100"/>
      <c r="M3020" s="101"/>
    </row>
    <row r="3021" spans="4:13" ht="23" x14ac:dyDescent="0.2">
      <c r="D3021" s="89"/>
      <c r="E3021" s="746">
        <v>45504</v>
      </c>
      <c r="F3021" s="240">
        <v>5.16</v>
      </c>
      <c r="G3021" s="240">
        <v>4.7</v>
      </c>
      <c r="H3021" s="240">
        <v>4.71</v>
      </c>
      <c r="I3021" s="769"/>
      <c r="J3021" s="770"/>
      <c r="K3021" s="771"/>
      <c r="L3021" s="100"/>
      <c r="M3021" s="101"/>
    </row>
    <row r="3022" spans="4:13" ht="23" x14ac:dyDescent="0.2">
      <c r="D3022" s="89"/>
      <c r="E3022" s="746">
        <v>45406</v>
      </c>
      <c r="F3022" s="240">
        <v>4.71</v>
      </c>
      <c r="G3022" s="240">
        <v>4.32</v>
      </c>
      <c r="H3022" s="240">
        <v>5.33</v>
      </c>
      <c r="I3022" s="769"/>
      <c r="J3022" s="770"/>
      <c r="K3022" s="771"/>
      <c r="L3022" s="102"/>
      <c r="M3022" s="101"/>
    </row>
    <row r="3023" spans="4:13" ht="23" x14ac:dyDescent="0.2">
      <c r="D3023" s="89"/>
      <c r="E3023" s="746">
        <v>45323</v>
      </c>
      <c r="F3023" s="240">
        <v>5.33</v>
      </c>
      <c r="G3023" s="240">
        <v>4.83</v>
      </c>
      <c r="H3023" s="240">
        <v>3.23</v>
      </c>
      <c r="I3023" s="769"/>
      <c r="J3023" s="770"/>
      <c r="K3023" s="771"/>
      <c r="L3023" s="100"/>
      <c r="M3023" s="101"/>
    </row>
    <row r="3024" spans="4:13" ht="23" x14ac:dyDescent="0.2">
      <c r="D3024" s="89"/>
      <c r="E3024" s="746">
        <v>45590</v>
      </c>
      <c r="F3024" s="240">
        <v>4.3899999999999997</v>
      </c>
      <c r="G3024" s="240">
        <v>3.62</v>
      </c>
      <c r="H3024" s="240">
        <v>2.72</v>
      </c>
      <c r="I3024" s="769"/>
      <c r="J3024" s="770"/>
      <c r="K3024" s="771"/>
      <c r="L3024" s="100"/>
      <c r="M3024" s="101"/>
    </row>
    <row r="3025" spans="4:13" ht="24" thickBot="1" x14ac:dyDescent="0.25">
      <c r="D3025" s="89"/>
      <c r="E3025" s="746">
        <v>45499</v>
      </c>
      <c r="F3025" s="240">
        <v>5.33</v>
      </c>
      <c r="G3025" s="240">
        <v>4.8899999999999997</v>
      </c>
      <c r="H3025" s="240">
        <v>4.3899999999999997</v>
      </c>
      <c r="I3025" s="772"/>
      <c r="J3025" s="773"/>
      <c r="K3025" s="774"/>
      <c r="L3025" s="103"/>
      <c r="M3025" s="104"/>
    </row>
    <row r="3026" spans="4:13" ht="25" thickBot="1" x14ac:dyDescent="0.25">
      <c r="D3026">
        <v>12</v>
      </c>
      <c r="E3026" s="741" t="s">
        <v>30</v>
      </c>
      <c r="F3026" s="760" t="s">
        <v>1511</v>
      </c>
      <c r="G3026" s="761"/>
      <c r="H3026" s="762"/>
      <c r="I3026" s="763" t="s">
        <v>633</v>
      </c>
      <c r="J3026" s="764"/>
      <c r="K3026" s="765"/>
      <c r="L3026" s="162" t="s">
        <v>430</v>
      </c>
      <c r="M3026" s="106" t="s">
        <v>431</v>
      </c>
    </row>
    <row r="3027" spans="4:13" ht="24" x14ac:dyDescent="0.2">
      <c r="D3027" s="89"/>
      <c r="E3027" s="742" t="s">
        <v>432</v>
      </c>
      <c r="F3027" s="782"/>
      <c r="G3027" s="783"/>
      <c r="H3027" s="784"/>
      <c r="I3027" s="769" t="s">
        <v>1512</v>
      </c>
      <c r="J3027" s="770"/>
      <c r="K3027" s="771"/>
      <c r="L3027" s="100"/>
      <c r="M3027" s="101"/>
    </row>
    <row r="3028" spans="4:13" ht="24" x14ac:dyDescent="0.2">
      <c r="D3028" s="89"/>
      <c r="E3028" s="743" t="s">
        <v>433</v>
      </c>
      <c r="F3028" s="798"/>
      <c r="G3028" s="799"/>
      <c r="H3028" s="800"/>
      <c r="I3028" s="769"/>
      <c r="J3028" s="770"/>
      <c r="K3028" s="771"/>
      <c r="L3028" s="100"/>
      <c r="M3028" s="101"/>
    </row>
    <row r="3029" spans="4:13" ht="25" thickBot="1" x14ac:dyDescent="0.25">
      <c r="D3029" s="89"/>
      <c r="E3029" s="743" t="s">
        <v>434</v>
      </c>
      <c r="F3029" s="798">
        <v>1E-3</v>
      </c>
      <c r="G3029" s="799"/>
      <c r="H3029" s="800"/>
      <c r="I3029" s="769"/>
      <c r="J3029" s="770"/>
      <c r="K3029" s="771"/>
      <c r="L3029" s="100"/>
      <c r="M3029" s="101"/>
    </row>
    <row r="3030" spans="4:13" ht="25" thickBot="1" x14ac:dyDescent="0.25">
      <c r="D3030" s="89"/>
      <c r="E3030" s="744" t="s">
        <v>435</v>
      </c>
      <c r="F3030" s="778">
        <v>0.375</v>
      </c>
      <c r="G3030" s="779"/>
      <c r="H3030" s="780"/>
      <c r="I3030" s="769"/>
      <c r="J3030" s="770"/>
      <c r="K3030" s="771"/>
      <c r="L3030" s="107">
        <v>0.60416666666666663</v>
      </c>
      <c r="M3030" s="108">
        <v>0.45833333333333326</v>
      </c>
    </row>
    <row r="3031" spans="4:13" ht="25" thickBot="1" x14ac:dyDescent="0.25">
      <c r="D3031" s="89"/>
      <c r="E3031" s="745" t="s">
        <v>436</v>
      </c>
      <c r="F3031" s="212" t="s">
        <v>29</v>
      </c>
      <c r="G3031" s="212" t="s">
        <v>28</v>
      </c>
      <c r="H3031" s="213" t="s">
        <v>27</v>
      </c>
      <c r="I3031" s="769"/>
      <c r="J3031" s="770"/>
      <c r="K3031" s="771"/>
      <c r="L3031" s="100"/>
      <c r="M3031" s="101"/>
    </row>
    <row r="3032" spans="4:13" ht="24" x14ac:dyDescent="0.2">
      <c r="D3032" s="89"/>
      <c r="E3032" s="746">
        <v>45618</v>
      </c>
      <c r="F3032" s="754">
        <v>1E-3</v>
      </c>
      <c r="G3032" s="754" t="s">
        <v>460</v>
      </c>
      <c r="H3032" s="754">
        <v>2E-3</v>
      </c>
      <c r="I3032" s="769"/>
      <c r="J3032" s="770"/>
      <c r="K3032" s="771"/>
      <c r="L3032" s="100"/>
      <c r="M3032" s="215"/>
    </row>
    <row r="3033" spans="4:13" ht="24" x14ac:dyDescent="0.2">
      <c r="D3033" s="89"/>
      <c r="E3033" s="746">
        <v>45595</v>
      </c>
      <c r="F3033" s="754">
        <v>2E-3</v>
      </c>
      <c r="G3033" s="754" t="s">
        <v>456</v>
      </c>
      <c r="H3033" s="754">
        <v>-3.0000000000000001E-3</v>
      </c>
      <c r="I3033" s="769"/>
      <c r="J3033" s="770"/>
      <c r="K3033" s="771"/>
      <c r="L3033" s="100"/>
      <c r="M3033" s="101"/>
    </row>
    <row r="3034" spans="4:13" ht="24" x14ac:dyDescent="0.2">
      <c r="D3034" s="89"/>
      <c r="E3034" s="746">
        <v>45531</v>
      </c>
      <c r="F3034" s="754">
        <v>-1E-3</v>
      </c>
      <c r="G3034" s="754" t="s">
        <v>456</v>
      </c>
      <c r="H3034" s="754">
        <v>2E-3</v>
      </c>
      <c r="I3034" s="769"/>
      <c r="J3034" s="770"/>
      <c r="K3034" s="771"/>
      <c r="L3034" s="102"/>
      <c r="M3034" s="101"/>
    </row>
    <row r="3035" spans="4:13" ht="24" x14ac:dyDescent="0.2">
      <c r="D3035" s="89"/>
      <c r="E3035" s="746">
        <v>45503</v>
      </c>
      <c r="F3035" s="754">
        <v>-1E-3</v>
      </c>
      <c r="G3035" s="754" t="s">
        <v>462</v>
      </c>
      <c r="H3035" s="754">
        <v>2E-3</v>
      </c>
      <c r="I3035" s="769"/>
      <c r="J3035" s="770"/>
      <c r="K3035" s="771"/>
      <c r="L3035" s="100"/>
      <c r="M3035" s="101"/>
    </row>
    <row r="3036" spans="4:13" ht="24" x14ac:dyDescent="0.2">
      <c r="D3036" s="89"/>
      <c r="E3036" s="746">
        <v>45436</v>
      </c>
      <c r="F3036" s="754">
        <v>2E-3</v>
      </c>
      <c r="G3036" s="754" t="s">
        <v>460</v>
      </c>
      <c r="H3036" s="754">
        <v>-3.0000000000000001E-3</v>
      </c>
      <c r="I3036" s="769"/>
      <c r="J3036" s="770"/>
      <c r="K3036" s="771"/>
      <c r="L3036" s="100"/>
      <c r="M3036" s="101"/>
    </row>
    <row r="3037" spans="4:13" ht="25" thickBot="1" x14ac:dyDescent="0.25">
      <c r="D3037" s="89"/>
      <c r="E3037" s="755">
        <v>45412</v>
      </c>
      <c r="F3037" s="756">
        <v>2E-3</v>
      </c>
      <c r="G3037" s="756" t="s">
        <v>462</v>
      </c>
      <c r="H3037" s="756">
        <v>-5.0000000000000001E-3</v>
      </c>
      <c r="I3037" s="772"/>
      <c r="J3037" s="773"/>
      <c r="K3037" s="774"/>
      <c r="L3037" s="103"/>
      <c r="M3037" s="104"/>
    </row>
    <row r="3038" spans="4:13" ht="25" thickBot="1" x14ac:dyDescent="0.25">
      <c r="D3038">
        <v>13</v>
      </c>
      <c r="E3038" s="741" t="s">
        <v>30</v>
      </c>
      <c r="F3038" s="760" t="s">
        <v>1511</v>
      </c>
      <c r="G3038" s="761"/>
      <c r="H3038" s="762"/>
      <c r="I3038" s="763" t="s">
        <v>633</v>
      </c>
      <c r="J3038" s="764"/>
      <c r="K3038" s="765"/>
      <c r="L3038" s="162" t="s">
        <v>430</v>
      </c>
      <c r="M3038" s="106" t="s">
        <v>431</v>
      </c>
    </row>
    <row r="3039" spans="4:13" ht="24" x14ac:dyDescent="0.2">
      <c r="D3039" s="89"/>
      <c r="E3039" s="742" t="s">
        <v>432</v>
      </c>
      <c r="F3039" s="782"/>
      <c r="G3039" s="783"/>
      <c r="H3039" s="784"/>
      <c r="I3039" s="769" t="s">
        <v>1514</v>
      </c>
      <c r="J3039" s="770"/>
      <c r="K3039" s="771"/>
      <c r="L3039" s="100"/>
      <c r="M3039" s="101"/>
    </row>
    <row r="3040" spans="4:13" ht="24" x14ac:dyDescent="0.2">
      <c r="D3040" s="89"/>
      <c r="E3040" s="743" t="s">
        <v>433</v>
      </c>
      <c r="F3040" s="775"/>
      <c r="G3040" s="776"/>
      <c r="H3040" s="777"/>
      <c r="I3040" s="769"/>
      <c r="J3040" s="770"/>
      <c r="K3040" s="771"/>
      <c r="L3040" s="100"/>
      <c r="M3040" s="101"/>
    </row>
    <row r="3041" spans="4:13" ht="25" thickBot="1" x14ac:dyDescent="0.25">
      <c r="D3041" s="89"/>
      <c r="E3041" s="743" t="s">
        <v>434</v>
      </c>
      <c r="F3041" s="775">
        <v>0.03</v>
      </c>
      <c r="G3041" s="776"/>
      <c r="H3041" s="777"/>
      <c r="I3041" s="769"/>
      <c r="J3041" s="770"/>
      <c r="K3041" s="771"/>
      <c r="L3041" s="100"/>
      <c r="M3041" s="101"/>
    </row>
    <row r="3042" spans="4:13" ht="25" thickBot="1" x14ac:dyDescent="0.25">
      <c r="D3042" s="89"/>
      <c r="E3042" s="744" t="s">
        <v>435</v>
      </c>
      <c r="F3042" s="778">
        <v>0.55208333333333337</v>
      </c>
      <c r="G3042" s="779"/>
      <c r="H3042" s="780"/>
      <c r="I3042" s="769"/>
      <c r="J3042" s="770"/>
      <c r="K3042" s="771"/>
      <c r="L3042" s="107">
        <v>0.78125</v>
      </c>
      <c r="M3042" s="108">
        <v>0.63541666666666663</v>
      </c>
    </row>
    <row r="3043" spans="4:13" ht="25" thickBot="1" x14ac:dyDescent="0.25">
      <c r="D3043" s="89"/>
      <c r="E3043" s="745" t="s">
        <v>436</v>
      </c>
      <c r="F3043" s="212" t="s">
        <v>29</v>
      </c>
      <c r="G3043" s="212" t="s">
        <v>28</v>
      </c>
      <c r="H3043" s="213" t="s">
        <v>27</v>
      </c>
      <c r="I3043" s="769"/>
      <c r="J3043" s="770"/>
      <c r="K3043" s="771"/>
      <c r="L3043" s="100"/>
      <c r="M3043" s="101"/>
    </row>
    <row r="3044" spans="4:13" ht="24" x14ac:dyDescent="0.2">
      <c r="D3044" s="89"/>
      <c r="E3044" s="746">
        <v>45631</v>
      </c>
      <c r="F3044" s="214" t="s">
        <v>381</v>
      </c>
      <c r="G3044" s="214" t="s">
        <v>1014</v>
      </c>
      <c r="H3044" s="214" t="s">
        <v>1014</v>
      </c>
      <c r="I3044" s="769"/>
      <c r="J3044" s="770"/>
      <c r="K3044" s="771"/>
      <c r="L3044" s="100"/>
      <c r="M3044" s="215"/>
    </row>
    <row r="3045" spans="4:13" ht="24" x14ac:dyDescent="0.2">
      <c r="D3045" s="89"/>
      <c r="E3045" s="746">
        <v>45623</v>
      </c>
      <c r="F3045" s="214" t="s">
        <v>1071</v>
      </c>
      <c r="G3045" s="214" t="s">
        <v>1014</v>
      </c>
      <c r="H3045" s="214" t="s">
        <v>1014</v>
      </c>
      <c r="I3045" s="769"/>
      <c r="J3045" s="770"/>
      <c r="K3045" s="771"/>
      <c r="L3045" s="100"/>
      <c r="M3045" s="101"/>
    </row>
    <row r="3046" spans="4:13" ht="24" x14ac:dyDescent="0.2">
      <c r="D3046" s="89"/>
      <c r="E3046" s="746">
        <v>45617</v>
      </c>
      <c r="F3046" s="214" t="s">
        <v>1071</v>
      </c>
      <c r="G3046" s="214" t="s">
        <v>931</v>
      </c>
      <c r="H3046" s="214" t="s">
        <v>345</v>
      </c>
      <c r="I3046" s="769"/>
      <c r="J3046" s="770"/>
      <c r="K3046" s="771"/>
      <c r="L3046" s="102"/>
      <c r="M3046" s="101"/>
    </row>
    <row r="3047" spans="4:13" ht="24" x14ac:dyDescent="0.2">
      <c r="D3047" s="89"/>
      <c r="E3047" s="746">
        <v>45610</v>
      </c>
      <c r="F3047" s="214" t="s">
        <v>1015</v>
      </c>
      <c r="G3047" s="214" t="s">
        <v>381</v>
      </c>
      <c r="H3047" s="214" t="s">
        <v>413</v>
      </c>
      <c r="I3047" s="769"/>
      <c r="J3047" s="770"/>
      <c r="K3047" s="771"/>
      <c r="L3047" s="100"/>
      <c r="M3047" s="101"/>
    </row>
    <row r="3048" spans="4:13" ht="24" x14ac:dyDescent="0.2">
      <c r="D3048" s="89"/>
      <c r="E3048" s="746">
        <v>45603</v>
      </c>
      <c r="F3048" s="214" t="s">
        <v>413</v>
      </c>
      <c r="G3048" s="214" t="s">
        <v>1347</v>
      </c>
      <c r="H3048" s="214" t="s">
        <v>382</v>
      </c>
      <c r="I3048" s="769"/>
      <c r="J3048" s="770"/>
      <c r="K3048" s="771"/>
      <c r="L3048" s="100"/>
      <c r="M3048" s="101"/>
    </row>
    <row r="3049" spans="4:13" ht="25" thickBot="1" x14ac:dyDescent="0.25">
      <c r="D3049" s="89"/>
      <c r="E3049" s="746">
        <v>45596</v>
      </c>
      <c r="F3049" s="214" t="s">
        <v>932</v>
      </c>
      <c r="G3049" s="214" t="s">
        <v>321</v>
      </c>
      <c r="H3049" s="214" t="s">
        <v>579</v>
      </c>
      <c r="I3049" s="772"/>
      <c r="J3049" s="773"/>
      <c r="K3049" s="774"/>
      <c r="L3049" s="103"/>
      <c r="M3049" s="104"/>
    </row>
    <row r="3050" spans="4:13" ht="25" thickBot="1" x14ac:dyDescent="0.25">
      <c r="D3050">
        <v>14</v>
      </c>
      <c r="E3050" s="741" t="s">
        <v>30</v>
      </c>
      <c r="F3050" s="760" t="s">
        <v>1513</v>
      </c>
      <c r="G3050" s="761"/>
      <c r="H3050" s="762"/>
      <c r="I3050" s="763" t="s">
        <v>633</v>
      </c>
      <c r="J3050" s="764"/>
      <c r="K3050" s="765"/>
      <c r="L3050" s="162" t="s">
        <v>430</v>
      </c>
      <c r="M3050" s="106" t="s">
        <v>431</v>
      </c>
    </row>
    <row r="3051" spans="4:13" ht="24" x14ac:dyDescent="0.2">
      <c r="D3051" s="89"/>
      <c r="E3051" s="742" t="s">
        <v>432</v>
      </c>
      <c r="F3051" s="782"/>
      <c r="G3051" s="783"/>
      <c r="H3051" s="784"/>
      <c r="I3051" s="769" t="s">
        <v>1514</v>
      </c>
      <c r="J3051" s="770"/>
      <c r="K3051" s="771"/>
      <c r="L3051" s="100"/>
      <c r="M3051" s="101"/>
    </row>
    <row r="3052" spans="4:13" ht="24" x14ac:dyDescent="0.2">
      <c r="D3052" s="89"/>
      <c r="E3052" s="743" t="s">
        <v>433</v>
      </c>
      <c r="F3052" s="775">
        <v>2.75E-2</v>
      </c>
      <c r="G3052" s="776"/>
      <c r="H3052" s="777"/>
      <c r="I3052" s="769"/>
      <c r="J3052" s="770"/>
      <c r="K3052" s="771"/>
      <c r="L3052" s="100"/>
      <c r="M3052" s="101"/>
    </row>
    <row r="3053" spans="4:13" ht="25" thickBot="1" x14ac:dyDescent="0.25">
      <c r="D3053" s="89"/>
      <c r="E3053" s="743" t="s">
        <v>434</v>
      </c>
      <c r="F3053" s="775">
        <v>0.03</v>
      </c>
      <c r="G3053" s="776"/>
      <c r="H3053" s="777"/>
      <c r="I3053" s="769"/>
      <c r="J3053" s="770"/>
      <c r="K3053" s="771"/>
      <c r="L3053" s="100"/>
      <c r="M3053" s="101"/>
    </row>
    <row r="3054" spans="4:13" ht="25" thickBot="1" x14ac:dyDescent="0.25">
      <c r="D3054" s="89"/>
      <c r="E3054" s="744" t="s">
        <v>435</v>
      </c>
      <c r="F3054" s="778">
        <v>0.55208333333333337</v>
      </c>
      <c r="G3054" s="779"/>
      <c r="H3054" s="780"/>
      <c r="I3054" s="769"/>
      <c r="J3054" s="770"/>
      <c r="K3054" s="771"/>
      <c r="L3054" s="107">
        <v>0.78125</v>
      </c>
      <c r="M3054" s="108">
        <v>0.63541666666666663</v>
      </c>
    </row>
    <row r="3055" spans="4:13" ht="25" thickBot="1" x14ac:dyDescent="0.25">
      <c r="D3055" s="89"/>
      <c r="E3055" s="745" t="s">
        <v>436</v>
      </c>
      <c r="F3055" s="212" t="s">
        <v>29</v>
      </c>
      <c r="G3055" s="212" t="s">
        <v>28</v>
      </c>
      <c r="H3055" s="213" t="s">
        <v>27</v>
      </c>
      <c r="I3055" s="769"/>
      <c r="J3055" s="770"/>
      <c r="K3055" s="771"/>
      <c r="L3055" s="100"/>
      <c r="M3055" s="101"/>
    </row>
    <row r="3056" spans="4:13" ht="24" x14ac:dyDescent="0.2">
      <c r="D3056" s="89"/>
      <c r="E3056" s="746">
        <v>45638</v>
      </c>
      <c r="F3056" s="751">
        <v>0.03</v>
      </c>
      <c r="G3056" s="751" t="s">
        <v>1548</v>
      </c>
      <c r="H3056" s="751">
        <v>3.2500000000000001E-2</v>
      </c>
      <c r="I3056" s="769"/>
      <c r="J3056" s="770"/>
      <c r="K3056" s="771"/>
      <c r="L3056" s="100"/>
      <c r="M3056" s="215"/>
    </row>
    <row r="3057" spans="4:13" ht="24" x14ac:dyDescent="0.2">
      <c r="D3057" s="89"/>
      <c r="E3057" s="746">
        <v>45582</v>
      </c>
      <c r="F3057" s="751">
        <v>3.2500000000000001E-2</v>
      </c>
      <c r="G3057" s="751" t="s">
        <v>1542</v>
      </c>
      <c r="H3057" s="751">
        <v>3.5000000000000003E-2</v>
      </c>
      <c r="I3057" s="769"/>
      <c r="J3057" s="770"/>
      <c r="K3057" s="771"/>
      <c r="L3057" s="100"/>
      <c r="M3057" s="101"/>
    </row>
    <row r="3058" spans="4:13" ht="24" x14ac:dyDescent="0.2">
      <c r="D3058" s="89"/>
      <c r="E3058" s="746">
        <v>45547</v>
      </c>
      <c r="F3058" s="751">
        <v>3.5000000000000003E-2</v>
      </c>
      <c r="G3058" s="751" t="s">
        <v>1549</v>
      </c>
      <c r="H3058" s="751">
        <v>3.7499999999999999E-2</v>
      </c>
      <c r="I3058" s="769"/>
      <c r="J3058" s="770"/>
      <c r="K3058" s="771"/>
      <c r="L3058" s="102"/>
      <c r="M3058" s="101"/>
    </row>
    <row r="3059" spans="4:13" ht="24" x14ac:dyDescent="0.2">
      <c r="D3059" s="89"/>
      <c r="E3059" s="746">
        <v>45491</v>
      </c>
      <c r="F3059" s="751">
        <v>3.7499999999999999E-2</v>
      </c>
      <c r="G3059" s="751" t="s">
        <v>1543</v>
      </c>
      <c r="H3059" s="751">
        <v>3.7499999999999999E-2</v>
      </c>
      <c r="I3059" s="769"/>
      <c r="J3059" s="770"/>
      <c r="K3059" s="771"/>
      <c r="L3059" s="100"/>
      <c r="M3059" s="101"/>
    </row>
    <row r="3060" spans="4:13" ht="24" x14ac:dyDescent="0.2">
      <c r="D3060" s="89"/>
      <c r="E3060" s="746">
        <v>45449</v>
      </c>
      <c r="F3060" s="751">
        <v>3.7499999999999999E-2</v>
      </c>
      <c r="G3060" s="751" t="s">
        <v>1543</v>
      </c>
      <c r="H3060" s="751">
        <v>0.04</v>
      </c>
      <c r="I3060" s="769"/>
      <c r="J3060" s="770"/>
      <c r="K3060" s="771"/>
      <c r="L3060" s="100"/>
      <c r="M3060" s="101"/>
    </row>
    <row r="3061" spans="4:13" ht="25" thickBot="1" x14ac:dyDescent="0.25">
      <c r="D3061" s="89"/>
      <c r="E3061" s="746">
        <v>45393</v>
      </c>
      <c r="F3061" s="751">
        <v>0.04</v>
      </c>
      <c r="G3061" s="751" t="s">
        <v>1550</v>
      </c>
      <c r="H3061" s="751">
        <v>0.04</v>
      </c>
      <c r="I3061" s="772"/>
      <c r="J3061" s="773"/>
      <c r="K3061" s="774"/>
      <c r="L3061" s="103"/>
      <c r="M3061" s="104"/>
    </row>
    <row r="3062" spans="4:13" ht="25" thickBot="1" x14ac:dyDescent="0.25">
      <c r="D3062">
        <v>15</v>
      </c>
      <c r="E3062" s="741" t="s">
        <v>30</v>
      </c>
      <c r="F3062" s="760" t="s">
        <v>1515</v>
      </c>
      <c r="G3062" s="761"/>
      <c r="H3062" s="762"/>
      <c r="I3062" s="763" t="s">
        <v>633</v>
      </c>
      <c r="J3062" s="764"/>
      <c r="K3062" s="765"/>
      <c r="L3062" s="162" t="s">
        <v>430</v>
      </c>
      <c r="M3062" s="106" t="s">
        <v>431</v>
      </c>
    </row>
    <row r="3063" spans="4:13" ht="24" x14ac:dyDescent="0.2">
      <c r="D3063" s="89"/>
      <c r="E3063" s="742" t="s">
        <v>432</v>
      </c>
      <c r="F3063" s="782"/>
      <c r="G3063" s="783"/>
      <c r="H3063" s="784"/>
      <c r="I3063" s="769" t="s">
        <v>1514</v>
      </c>
      <c r="J3063" s="770"/>
      <c r="K3063" s="771"/>
      <c r="L3063" s="100"/>
      <c r="M3063" s="101"/>
    </row>
    <row r="3064" spans="4:13" ht="24" x14ac:dyDescent="0.2">
      <c r="D3064" s="89"/>
      <c r="E3064" s="743" t="s">
        <v>433</v>
      </c>
      <c r="F3064" s="775">
        <v>2.9000000000000001E-2</v>
      </c>
      <c r="G3064" s="776"/>
      <c r="H3064" s="777"/>
      <c r="I3064" s="769"/>
      <c r="J3064" s="770"/>
      <c r="K3064" s="771"/>
      <c r="L3064" s="100"/>
      <c r="M3064" s="101"/>
    </row>
    <row r="3065" spans="4:13" ht="25" thickBot="1" x14ac:dyDescent="0.25">
      <c r="D3065" s="89"/>
      <c r="E3065" s="743" t="s">
        <v>434</v>
      </c>
      <c r="F3065" s="775">
        <v>3.15E-2</v>
      </c>
      <c r="G3065" s="776"/>
      <c r="H3065" s="777"/>
      <c r="I3065" s="769"/>
      <c r="J3065" s="770"/>
      <c r="K3065" s="771"/>
      <c r="L3065" s="100"/>
      <c r="M3065" s="101"/>
    </row>
    <row r="3066" spans="4:13" ht="25" thickBot="1" x14ac:dyDescent="0.25">
      <c r="D3066" s="89"/>
      <c r="E3066" s="744" t="s">
        <v>435</v>
      </c>
      <c r="F3066" s="778">
        <v>0.55208333333333337</v>
      </c>
      <c r="G3066" s="779"/>
      <c r="H3066" s="780"/>
      <c r="I3066" s="769"/>
      <c r="J3066" s="770"/>
      <c r="K3066" s="771"/>
      <c r="L3066" s="107">
        <v>0.78125</v>
      </c>
      <c r="M3066" s="108">
        <v>0.63541666666666663</v>
      </c>
    </row>
    <row r="3067" spans="4:13" ht="25" thickBot="1" x14ac:dyDescent="0.25">
      <c r="D3067" s="89"/>
      <c r="E3067" s="745" t="s">
        <v>436</v>
      </c>
      <c r="F3067" s="212" t="s">
        <v>29</v>
      </c>
      <c r="G3067" s="212" t="s">
        <v>28</v>
      </c>
      <c r="H3067" s="213" t="s">
        <v>27</v>
      </c>
      <c r="I3067" s="769"/>
      <c r="J3067" s="770"/>
      <c r="K3067" s="771"/>
      <c r="L3067" s="100"/>
      <c r="M3067" s="101"/>
    </row>
    <row r="3068" spans="4:13" ht="24" x14ac:dyDescent="0.2">
      <c r="D3068" s="89"/>
      <c r="E3068" s="746">
        <v>45638</v>
      </c>
      <c r="F3068" s="751">
        <v>3.15E-2</v>
      </c>
      <c r="G3068" s="751" t="s">
        <v>1551</v>
      </c>
      <c r="H3068" s="751">
        <v>3.4000000000000002E-2</v>
      </c>
      <c r="I3068" s="769"/>
      <c r="J3068" s="770"/>
      <c r="K3068" s="771"/>
      <c r="L3068" s="100"/>
      <c r="M3068" s="215"/>
    </row>
    <row r="3069" spans="4:13" ht="24" x14ac:dyDescent="0.2">
      <c r="D3069" s="89"/>
      <c r="E3069" s="746">
        <v>45582</v>
      </c>
      <c r="F3069" s="751">
        <v>3.4000000000000002E-2</v>
      </c>
      <c r="G3069" s="751" t="s">
        <v>1552</v>
      </c>
      <c r="H3069" s="751">
        <v>3.6499999999999998E-2</v>
      </c>
      <c r="I3069" s="769"/>
      <c r="J3069" s="770"/>
      <c r="K3069" s="771"/>
      <c r="L3069" s="100"/>
      <c r="M3069" s="101"/>
    </row>
    <row r="3070" spans="4:13" ht="24" x14ac:dyDescent="0.2">
      <c r="D3070" s="89"/>
      <c r="E3070" s="746">
        <v>45547</v>
      </c>
      <c r="F3070" s="751">
        <v>3.6499999999999998E-2</v>
      </c>
      <c r="G3070" s="751" t="s">
        <v>1553</v>
      </c>
      <c r="H3070" s="751">
        <v>4.2500000000000003E-2</v>
      </c>
      <c r="I3070" s="769"/>
      <c r="J3070" s="770"/>
      <c r="K3070" s="771"/>
      <c r="L3070" s="102"/>
      <c r="M3070" s="101"/>
    </row>
    <row r="3071" spans="4:13" ht="24" x14ac:dyDescent="0.2">
      <c r="D3071" s="89"/>
      <c r="E3071" s="746">
        <v>45491</v>
      </c>
      <c r="F3071" s="751">
        <v>4.2500000000000003E-2</v>
      </c>
      <c r="G3071" s="751" t="s">
        <v>723</v>
      </c>
      <c r="H3071" s="751">
        <v>4.2500000000000003E-2</v>
      </c>
      <c r="I3071" s="769"/>
      <c r="J3071" s="770"/>
      <c r="K3071" s="771"/>
      <c r="L3071" s="100"/>
      <c r="M3071" s="101"/>
    </row>
    <row r="3072" spans="4:13" ht="24" x14ac:dyDescent="0.2">
      <c r="D3072" s="89"/>
      <c r="E3072" s="746">
        <v>45449</v>
      </c>
      <c r="F3072" s="751">
        <v>4.2500000000000003E-2</v>
      </c>
      <c r="G3072" s="751" t="s">
        <v>723</v>
      </c>
      <c r="H3072" s="751">
        <v>4.4999999999999998E-2</v>
      </c>
      <c r="I3072" s="769"/>
      <c r="J3072" s="770"/>
      <c r="K3072" s="771"/>
      <c r="L3072" s="100"/>
      <c r="M3072" s="101"/>
    </row>
    <row r="3073" spans="4:13" ht="25" thickBot="1" x14ac:dyDescent="0.25">
      <c r="D3073" s="89"/>
      <c r="E3073" s="746">
        <v>45393</v>
      </c>
      <c r="F3073" s="751">
        <v>4.4999999999999998E-2</v>
      </c>
      <c r="G3073" s="751" t="s">
        <v>725</v>
      </c>
      <c r="H3073" s="751">
        <v>4.4999999999999998E-2</v>
      </c>
      <c r="I3073" s="772"/>
      <c r="J3073" s="773"/>
      <c r="K3073" s="774"/>
      <c r="L3073" s="103"/>
      <c r="M3073" s="104"/>
    </row>
    <row r="3074" spans="4:13" ht="25" thickBot="1" x14ac:dyDescent="0.25">
      <c r="D3074">
        <v>16</v>
      </c>
      <c r="E3074" s="741" t="s">
        <v>30</v>
      </c>
      <c r="F3074" s="760" t="s">
        <v>1516</v>
      </c>
      <c r="G3074" s="761"/>
      <c r="H3074" s="762"/>
      <c r="I3074" s="763" t="s">
        <v>633</v>
      </c>
      <c r="J3074" s="764"/>
      <c r="K3074" s="765"/>
      <c r="L3074" s="162" t="s">
        <v>430</v>
      </c>
      <c r="M3074" s="106" t="s">
        <v>431</v>
      </c>
    </row>
    <row r="3075" spans="4:13" ht="24" x14ac:dyDescent="0.2">
      <c r="D3075" s="89"/>
      <c r="E3075" s="742" t="s">
        <v>432</v>
      </c>
      <c r="F3075" s="782"/>
      <c r="G3075" s="783"/>
      <c r="H3075" s="784"/>
      <c r="I3075" s="769" t="s">
        <v>1517</v>
      </c>
      <c r="J3075" s="770"/>
      <c r="K3075" s="771"/>
      <c r="L3075" s="100"/>
      <c r="M3075" s="101"/>
    </row>
    <row r="3076" spans="4:13" ht="24" x14ac:dyDescent="0.2">
      <c r="D3076" s="89"/>
      <c r="E3076" s="743" t="s">
        <v>433</v>
      </c>
      <c r="F3076" s="775"/>
      <c r="G3076" s="776"/>
      <c r="H3076" s="777"/>
      <c r="I3076" s="769"/>
      <c r="J3076" s="770"/>
      <c r="K3076" s="771"/>
      <c r="L3076" s="100"/>
      <c r="M3076" s="101"/>
    </row>
    <row r="3077" spans="4:13" ht="25" thickBot="1" x14ac:dyDescent="0.25">
      <c r="D3077" s="89"/>
      <c r="E3077" s="743" t="s">
        <v>434</v>
      </c>
      <c r="F3077" s="775">
        <v>3.1E-2</v>
      </c>
      <c r="G3077" s="776"/>
      <c r="H3077" s="777"/>
      <c r="I3077" s="769"/>
      <c r="J3077" s="770"/>
      <c r="K3077" s="771"/>
      <c r="L3077" s="100"/>
      <c r="M3077" s="101"/>
    </row>
    <row r="3078" spans="4:13" ht="25" thickBot="1" x14ac:dyDescent="0.25">
      <c r="D3078" s="89"/>
      <c r="E3078" s="744" t="s">
        <v>435</v>
      </c>
      <c r="F3078" s="778">
        <v>0.5625</v>
      </c>
      <c r="G3078" s="779"/>
      <c r="H3078" s="780"/>
      <c r="I3078" s="769"/>
      <c r="J3078" s="770"/>
      <c r="K3078" s="771"/>
      <c r="L3078" s="107">
        <v>0.79166666666666663</v>
      </c>
      <c r="M3078" s="108">
        <v>0.64583333333333326</v>
      </c>
    </row>
    <row r="3079" spans="4:13" ht="25" thickBot="1" x14ac:dyDescent="0.25">
      <c r="D3079" s="89"/>
      <c r="E3079" s="745" t="s">
        <v>436</v>
      </c>
      <c r="F3079" s="212" t="s">
        <v>29</v>
      </c>
      <c r="G3079" s="212" t="s">
        <v>28</v>
      </c>
      <c r="H3079" s="213" t="s">
        <v>27</v>
      </c>
      <c r="I3079" s="769"/>
      <c r="J3079" s="770"/>
      <c r="K3079" s="771"/>
      <c r="L3079" s="100"/>
      <c r="M3079" s="101"/>
    </row>
    <row r="3080" spans="4:13" ht="24" x14ac:dyDescent="0.2">
      <c r="D3080" s="89"/>
      <c r="E3080" s="746">
        <v>45645</v>
      </c>
      <c r="F3080" s="751">
        <v>3.1E-2</v>
      </c>
      <c r="G3080" s="751" t="s">
        <v>666</v>
      </c>
      <c r="H3080" s="751">
        <v>0.03</v>
      </c>
      <c r="I3080" s="769"/>
      <c r="J3080" s="770"/>
      <c r="K3080" s="771"/>
      <c r="L3080" s="100"/>
      <c r="M3080" s="215"/>
    </row>
    <row r="3081" spans="4:13" ht="24" x14ac:dyDescent="0.2">
      <c r="D3081" s="89"/>
      <c r="E3081" s="746">
        <v>45623</v>
      </c>
      <c r="F3081" s="751">
        <v>2.8000000000000001E-2</v>
      </c>
      <c r="G3081" s="751" t="s">
        <v>666</v>
      </c>
      <c r="H3081" s="751">
        <v>0.03</v>
      </c>
      <c r="I3081" s="769"/>
      <c r="J3081" s="770"/>
      <c r="K3081" s="771"/>
      <c r="L3081" s="100"/>
      <c r="M3081" s="101"/>
    </row>
    <row r="3082" spans="4:13" ht="24" x14ac:dyDescent="0.2">
      <c r="D3082" s="89"/>
      <c r="E3082" s="746">
        <v>45595</v>
      </c>
      <c r="F3082" s="751">
        <v>2.8000000000000001E-2</v>
      </c>
      <c r="G3082" s="751" t="s">
        <v>669</v>
      </c>
      <c r="H3082" s="751">
        <v>0.03</v>
      </c>
      <c r="I3082" s="769"/>
      <c r="J3082" s="770"/>
      <c r="K3082" s="771"/>
      <c r="L3082" s="102"/>
      <c r="M3082" s="101"/>
    </row>
    <row r="3083" spans="4:13" ht="24" x14ac:dyDescent="0.2">
      <c r="D3083" s="89"/>
      <c r="E3083" s="746">
        <v>45561</v>
      </c>
      <c r="F3083" s="751">
        <v>0.03</v>
      </c>
      <c r="G3083" s="751" t="s">
        <v>669</v>
      </c>
      <c r="H3083" s="751">
        <v>1.6E-2</v>
      </c>
      <c r="I3083" s="769"/>
      <c r="J3083" s="770"/>
      <c r="K3083" s="771"/>
      <c r="L3083" s="100"/>
      <c r="M3083" s="101"/>
    </row>
    <row r="3084" spans="4:13" ht="24" x14ac:dyDescent="0.2">
      <c r="D3084" s="89"/>
      <c r="E3084" s="746">
        <v>45533</v>
      </c>
      <c r="F3084" s="751">
        <v>0.03</v>
      </c>
      <c r="G3084" s="751" t="s">
        <v>666</v>
      </c>
      <c r="H3084" s="751">
        <v>1.4E-2</v>
      </c>
      <c r="I3084" s="769"/>
      <c r="J3084" s="770"/>
      <c r="K3084" s="771"/>
      <c r="L3084" s="100"/>
      <c r="M3084" s="101"/>
    </row>
    <row r="3085" spans="4:13" ht="25" thickBot="1" x14ac:dyDescent="0.25">
      <c r="D3085" s="89"/>
      <c r="E3085" s="746">
        <v>45498</v>
      </c>
      <c r="F3085" s="751">
        <v>2.8000000000000001E-2</v>
      </c>
      <c r="G3085" s="751" t="s">
        <v>788</v>
      </c>
      <c r="H3085" s="751">
        <v>1.4E-2</v>
      </c>
      <c r="I3085" s="772"/>
      <c r="J3085" s="773"/>
      <c r="K3085" s="774"/>
      <c r="L3085" s="103"/>
      <c r="M3085" s="104"/>
    </row>
    <row r="3086" spans="4:13" ht="25" thickBot="1" x14ac:dyDescent="0.25">
      <c r="D3086">
        <v>14</v>
      </c>
      <c r="E3086" s="741" t="s">
        <v>30</v>
      </c>
      <c r="F3086" s="760" t="s">
        <v>1421</v>
      </c>
      <c r="G3086" s="761"/>
      <c r="H3086" s="762"/>
      <c r="I3086" s="763" t="s">
        <v>633</v>
      </c>
      <c r="J3086" s="764"/>
      <c r="K3086" s="765"/>
      <c r="L3086" s="162" t="s">
        <v>430</v>
      </c>
      <c r="M3086" s="106" t="s">
        <v>431</v>
      </c>
    </row>
    <row r="3087" spans="4:13" ht="24" x14ac:dyDescent="0.2">
      <c r="D3087" s="89"/>
      <c r="E3087" s="742" t="s">
        <v>432</v>
      </c>
      <c r="F3087" s="782"/>
      <c r="G3087" s="783"/>
      <c r="H3087" s="784"/>
      <c r="I3087" s="769" t="s">
        <v>1518</v>
      </c>
      <c r="J3087" s="770"/>
      <c r="K3087" s="771"/>
      <c r="L3087" s="100"/>
      <c r="M3087" s="101"/>
    </row>
    <row r="3088" spans="4:13" ht="24" x14ac:dyDescent="0.2">
      <c r="D3088" s="89"/>
      <c r="E3088" s="743" t="s">
        <v>433</v>
      </c>
      <c r="F3088" s="775"/>
      <c r="G3088" s="776"/>
      <c r="H3088" s="777"/>
      <c r="I3088" s="769"/>
      <c r="J3088" s="770"/>
      <c r="K3088" s="771"/>
      <c r="L3088" s="100"/>
      <c r="M3088" s="101"/>
    </row>
    <row r="3089" spans="4:13" ht="25" thickBot="1" x14ac:dyDescent="0.25">
      <c r="D3089" s="89"/>
      <c r="E3089" s="743" t="s">
        <v>434</v>
      </c>
      <c r="F3089" s="775" t="s">
        <v>1347</v>
      </c>
      <c r="G3089" s="776"/>
      <c r="H3089" s="777"/>
      <c r="I3089" s="769"/>
      <c r="J3089" s="770"/>
      <c r="K3089" s="771"/>
      <c r="L3089" s="100"/>
      <c r="M3089" s="101"/>
    </row>
    <row r="3090" spans="4:13" ht="25" thickBot="1" x14ac:dyDescent="0.25">
      <c r="D3090" s="89"/>
      <c r="E3090" s="744" t="s">
        <v>435</v>
      </c>
      <c r="F3090" s="778">
        <v>0.5625</v>
      </c>
      <c r="G3090" s="779"/>
      <c r="H3090" s="780"/>
      <c r="I3090" s="769"/>
      <c r="J3090" s="770"/>
      <c r="K3090" s="771"/>
      <c r="L3090" s="107">
        <v>0.79166666666666663</v>
      </c>
      <c r="M3090" s="108">
        <v>0.64583333333333326</v>
      </c>
    </row>
    <row r="3091" spans="4:13" ht="25" thickBot="1" x14ac:dyDescent="0.25">
      <c r="D3091" s="89"/>
      <c r="E3091" s="745" t="s">
        <v>436</v>
      </c>
      <c r="F3091" s="212" t="s">
        <v>29</v>
      </c>
      <c r="G3091" s="212" t="s">
        <v>28</v>
      </c>
      <c r="H3091" s="213" t="s">
        <v>27</v>
      </c>
      <c r="I3091" s="769"/>
      <c r="J3091" s="770"/>
      <c r="K3091" s="771"/>
      <c r="L3091" s="100"/>
      <c r="M3091" s="101"/>
    </row>
    <row r="3092" spans="4:13" ht="24" x14ac:dyDescent="0.2">
      <c r="D3092" s="89"/>
      <c r="E3092" s="746">
        <v>45680</v>
      </c>
      <c r="F3092" s="240" t="s">
        <v>973</v>
      </c>
      <c r="G3092" s="240" t="s">
        <v>972</v>
      </c>
      <c r="H3092" s="240" t="s">
        <v>1031</v>
      </c>
      <c r="I3092" s="769"/>
      <c r="J3092" s="770"/>
      <c r="K3092" s="771"/>
      <c r="L3092" s="100"/>
      <c r="M3092" s="215"/>
    </row>
    <row r="3093" spans="4:13" ht="24" x14ac:dyDescent="0.2">
      <c r="D3093" s="89"/>
      <c r="E3093" s="746">
        <v>45673</v>
      </c>
      <c r="F3093" s="240" t="s">
        <v>1031</v>
      </c>
      <c r="G3093" s="240" t="s">
        <v>1554</v>
      </c>
      <c r="H3093" s="240" t="s">
        <v>1555</v>
      </c>
      <c r="I3093" s="769"/>
      <c r="J3093" s="770"/>
      <c r="K3093" s="771"/>
      <c r="L3093" s="100"/>
      <c r="M3093" s="101"/>
    </row>
    <row r="3094" spans="4:13" ht="24" x14ac:dyDescent="0.2">
      <c r="D3094" s="89"/>
      <c r="E3094" s="746">
        <v>45665</v>
      </c>
      <c r="F3094" s="240" t="s">
        <v>1438</v>
      </c>
      <c r="G3094" s="240" t="s">
        <v>1439</v>
      </c>
      <c r="H3094" s="240" t="s">
        <v>1440</v>
      </c>
      <c r="I3094" s="769"/>
      <c r="J3094" s="770"/>
      <c r="K3094" s="771"/>
      <c r="L3094" s="102"/>
      <c r="M3094" s="101"/>
    </row>
    <row r="3095" spans="4:13" ht="24" x14ac:dyDescent="0.2">
      <c r="D3095" s="89"/>
      <c r="E3095" s="746">
        <v>45659</v>
      </c>
      <c r="F3095" s="240" t="s">
        <v>1440</v>
      </c>
      <c r="G3095" s="240" t="s">
        <v>986</v>
      </c>
      <c r="H3095" s="240" t="s">
        <v>1112</v>
      </c>
      <c r="I3095" s="769"/>
      <c r="J3095" s="770"/>
      <c r="K3095" s="771"/>
      <c r="L3095" s="100"/>
      <c r="M3095" s="101"/>
    </row>
    <row r="3096" spans="4:13" ht="24" x14ac:dyDescent="0.2">
      <c r="D3096" s="89"/>
      <c r="E3096" s="746">
        <v>45652</v>
      </c>
      <c r="F3096" s="240" t="s">
        <v>987</v>
      </c>
      <c r="G3096" s="240" t="s">
        <v>973</v>
      </c>
      <c r="H3096" s="240" t="s">
        <v>1112</v>
      </c>
      <c r="I3096" s="769"/>
      <c r="J3096" s="770"/>
      <c r="K3096" s="771"/>
      <c r="L3096" s="100"/>
      <c r="M3096" s="101"/>
    </row>
    <row r="3097" spans="4:13" ht="25" thickBot="1" x14ac:dyDescent="0.25">
      <c r="D3097" s="89"/>
      <c r="E3097" s="746">
        <v>45645</v>
      </c>
      <c r="F3097" s="240" t="s">
        <v>1112</v>
      </c>
      <c r="G3097" s="240" t="s">
        <v>976</v>
      </c>
      <c r="H3097" s="240" t="s">
        <v>980</v>
      </c>
      <c r="I3097" s="772"/>
      <c r="J3097" s="773"/>
      <c r="K3097" s="774"/>
      <c r="L3097" s="103"/>
      <c r="M3097" s="104"/>
    </row>
    <row r="3098" spans="4:13" ht="25" thickBot="1" x14ac:dyDescent="0.25">
      <c r="D3098">
        <v>15</v>
      </c>
      <c r="E3098" s="741" t="s">
        <v>30</v>
      </c>
      <c r="F3098" s="760" t="s">
        <v>1519</v>
      </c>
      <c r="G3098" s="761"/>
      <c r="H3098" s="762"/>
      <c r="I3098" s="763" t="s">
        <v>633</v>
      </c>
      <c r="J3098" s="764"/>
      <c r="K3098" s="765"/>
      <c r="L3098" s="162" t="s">
        <v>430</v>
      </c>
      <c r="M3098" s="106" t="s">
        <v>431</v>
      </c>
    </row>
    <row r="3099" spans="4:13" ht="24" x14ac:dyDescent="0.2">
      <c r="D3099" s="89"/>
      <c r="E3099" s="742" t="s">
        <v>432</v>
      </c>
      <c r="F3099" s="782"/>
      <c r="G3099" s="783"/>
      <c r="H3099" s="784"/>
      <c r="I3099" s="769" t="s">
        <v>1514</v>
      </c>
      <c r="J3099" s="770"/>
      <c r="K3099" s="771"/>
      <c r="L3099" s="100"/>
      <c r="M3099" s="101"/>
    </row>
    <row r="3100" spans="4:13" ht="24" x14ac:dyDescent="0.2">
      <c r="D3100" s="89"/>
      <c r="E3100" s="743" t="s">
        <v>433</v>
      </c>
      <c r="F3100" s="775"/>
      <c r="G3100" s="776"/>
      <c r="H3100" s="777"/>
      <c r="I3100" s="769"/>
      <c r="J3100" s="770"/>
      <c r="K3100" s="771"/>
      <c r="L3100" s="100"/>
      <c r="M3100" s="101"/>
    </row>
    <row r="3101" spans="4:13" ht="25" thickBot="1" x14ac:dyDescent="0.25">
      <c r="D3101" s="89"/>
      <c r="E3101" s="743" t="s">
        <v>434</v>
      </c>
      <c r="F3101" s="785"/>
      <c r="G3101" s="786"/>
      <c r="H3101" s="787"/>
      <c r="I3101" s="769"/>
      <c r="J3101" s="770"/>
      <c r="K3101" s="771"/>
      <c r="L3101" s="100"/>
      <c r="M3101" s="101"/>
    </row>
    <row r="3102" spans="4:13" ht="25" thickBot="1" x14ac:dyDescent="0.25">
      <c r="D3102" s="89"/>
      <c r="E3102" s="744" t="s">
        <v>435</v>
      </c>
      <c r="F3102" s="778">
        <v>0.57291666666666674</v>
      </c>
      <c r="G3102" s="779"/>
      <c r="H3102" s="780"/>
      <c r="I3102" s="769"/>
      <c r="J3102" s="770"/>
      <c r="K3102" s="771"/>
      <c r="L3102" s="107">
        <v>0.80208333333333337</v>
      </c>
      <c r="M3102" s="108">
        <v>0.65625</v>
      </c>
    </row>
    <row r="3103" spans="4:13" ht="25" thickBot="1" x14ac:dyDescent="0.25">
      <c r="D3103" s="89"/>
      <c r="E3103" s="745" t="s">
        <v>436</v>
      </c>
      <c r="F3103" s="212" t="s">
        <v>29</v>
      </c>
      <c r="G3103" s="212" t="s">
        <v>28</v>
      </c>
      <c r="H3103" s="213" t="s">
        <v>27</v>
      </c>
      <c r="I3103" s="769"/>
      <c r="J3103" s="770"/>
      <c r="K3103" s="771"/>
      <c r="L3103" s="100"/>
      <c r="M3103" s="101"/>
    </row>
    <row r="3104" spans="4:13" ht="24" x14ac:dyDescent="0.2">
      <c r="D3104" s="89"/>
      <c r="E3104" s="746">
        <v>45686</v>
      </c>
      <c r="F3104" s="240">
        <v>0</v>
      </c>
      <c r="G3104" s="240" t="s">
        <v>754</v>
      </c>
      <c r="H3104" s="240">
        <v>0</v>
      </c>
      <c r="I3104" s="769"/>
      <c r="J3104" s="770"/>
      <c r="K3104" s="771"/>
      <c r="L3104" s="100"/>
      <c r="M3104" s="215"/>
    </row>
    <row r="3105" spans="4:13" ht="24" x14ac:dyDescent="0.2">
      <c r="D3105" s="89"/>
      <c r="E3105" s="746">
        <v>45638</v>
      </c>
      <c r="F3105" s="240">
        <v>0</v>
      </c>
      <c r="G3105" s="240" t="s">
        <v>754</v>
      </c>
      <c r="H3105" s="240">
        <v>0</v>
      </c>
      <c r="I3105" s="769"/>
      <c r="J3105" s="770"/>
      <c r="K3105" s="771"/>
      <c r="L3105" s="100"/>
      <c r="M3105" s="101"/>
    </row>
    <row r="3106" spans="4:13" ht="24" x14ac:dyDescent="0.2">
      <c r="D3106" s="89"/>
      <c r="E3106" s="746">
        <v>45582</v>
      </c>
      <c r="F3106" s="240">
        <v>0</v>
      </c>
      <c r="G3106" s="240" t="s">
        <v>754</v>
      </c>
      <c r="H3106" s="240">
        <v>0</v>
      </c>
      <c r="I3106" s="769"/>
      <c r="J3106" s="770"/>
      <c r="K3106" s="771"/>
      <c r="L3106" s="102"/>
      <c r="M3106" s="101"/>
    </row>
    <row r="3107" spans="4:13" ht="24" x14ac:dyDescent="0.2">
      <c r="D3107" s="89"/>
      <c r="E3107" s="746">
        <v>45547</v>
      </c>
      <c r="F3107" s="240">
        <v>0</v>
      </c>
      <c r="G3107" s="240" t="s">
        <v>754</v>
      </c>
      <c r="H3107" s="240">
        <v>0</v>
      </c>
      <c r="I3107" s="769"/>
      <c r="J3107" s="770"/>
      <c r="K3107" s="771"/>
      <c r="L3107" s="100"/>
      <c r="M3107" s="101"/>
    </row>
    <row r="3108" spans="4:13" ht="24" x14ac:dyDescent="0.2">
      <c r="D3108" s="89"/>
      <c r="E3108" s="746">
        <v>45491</v>
      </c>
      <c r="F3108" s="240">
        <v>0</v>
      </c>
      <c r="G3108" s="240" t="s">
        <v>754</v>
      </c>
      <c r="H3108" s="240">
        <v>0</v>
      </c>
      <c r="I3108" s="769"/>
      <c r="J3108" s="770"/>
      <c r="K3108" s="771"/>
      <c r="L3108" s="100"/>
      <c r="M3108" s="101"/>
    </row>
    <row r="3109" spans="4:13" ht="25" thickBot="1" x14ac:dyDescent="0.25">
      <c r="D3109" s="89"/>
      <c r="E3109" s="746">
        <v>45449</v>
      </c>
      <c r="F3109" s="240">
        <v>0</v>
      </c>
      <c r="G3109" s="240" t="s">
        <v>754</v>
      </c>
      <c r="H3109" s="240">
        <v>0</v>
      </c>
      <c r="I3109" s="772"/>
      <c r="J3109" s="773"/>
      <c r="K3109" s="774"/>
      <c r="L3109" s="103"/>
      <c r="M3109" s="104"/>
    </row>
    <row r="3110" spans="4:13" ht="25" thickBot="1" x14ac:dyDescent="0.25">
      <c r="D3110">
        <v>16</v>
      </c>
      <c r="E3110" s="741" t="s">
        <v>30</v>
      </c>
      <c r="F3110" s="760" t="s">
        <v>1521</v>
      </c>
      <c r="G3110" s="761"/>
      <c r="H3110" s="762"/>
      <c r="I3110" s="763" t="s">
        <v>633</v>
      </c>
      <c r="J3110" s="764"/>
      <c r="K3110" s="765"/>
      <c r="L3110" s="162" t="s">
        <v>430</v>
      </c>
      <c r="M3110" s="106" t="s">
        <v>431</v>
      </c>
    </row>
    <row r="3111" spans="4:13" ht="24" x14ac:dyDescent="0.2">
      <c r="D3111" s="89"/>
      <c r="E3111" s="742" t="s">
        <v>432</v>
      </c>
      <c r="F3111" s="782"/>
      <c r="G3111" s="783"/>
      <c r="H3111" s="784"/>
      <c r="I3111" s="769" t="s">
        <v>1522</v>
      </c>
      <c r="J3111" s="770"/>
      <c r="K3111" s="771"/>
      <c r="L3111" s="100"/>
      <c r="M3111" s="101"/>
    </row>
    <row r="3112" spans="4:13" ht="24" x14ac:dyDescent="0.2">
      <c r="D3112" s="89"/>
      <c r="E3112" s="743" t="s">
        <v>433</v>
      </c>
      <c r="F3112" s="785">
        <v>2.36</v>
      </c>
      <c r="G3112" s="786"/>
      <c r="H3112" s="787"/>
      <c r="I3112" s="769"/>
      <c r="J3112" s="770"/>
      <c r="K3112" s="771"/>
      <c r="L3112" s="100"/>
      <c r="M3112" s="101"/>
    </row>
    <row r="3113" spans="4:13" ht="25" thickBot="1" x14ac:dyDescent="0.25">
      <c r="D3113" s="89"/>
      <c r="E3113" s="743" t="s">
        <v>434</v>
      </c>
      <c r="F3113" s="785">
        <v>2.1800000000000002</v>
      </c>
      <c r="G3113" s="786"/>
      <c r="H3113" s="787"/>
      <c r="I3113" s="769"/>
      <c r="J3113" s="770"/>
      <c r="K3113" s="771"/>
      <c r="L3113" s="100"/>
      <c r="M3113" s="101"/>
    </row>
    <row r="3114" spans="4:13" ht="25" thickBot="1" x14ac:dyDescent="0.25">
      <c r="D3114" s="89"/>
      <c r="E3114" s="744" t="s">
        <v>435</v>
      </c>
      <c r="F3114" s="788">
        <v>0.875</v>
      </c>
      <c r="G3114" s="789"/>
      <c r="H3114" s="790"/>
      <c r="I3114" s="769"/>
      <c r="J3114" s="770"/>
      <c r="K3114" s="771"/>
      <c r="L3114" s="107">
        <v>0.10416666666666667</v>
      </c>
      <c r="M3114" s="662">
        <v>0.95833333333333337</v>
      </c>
    </row>
    <row r="3115" spans="4:13" ht="25" thickBot="1" x14ac:dyDescent="0.25">
      <c r="D3115" s="89"/>
      <c r="E3115" s="745" t="s">
        <v>436</v>
      </c>
      <c r="F3115" s="212" t="s">
        <v>29</v>
      </c>
      <c r="G3115" s="212" t="s">
        <v>28</v>
      </c>
      <c r="H3115" s="213" t="s">
        <v>27</v>
      </c>
      <c r="I3115" s="769"/>
      <c r="J3115" s="770"/>
      <c r="K3115" s="771"/>
      <c r="L3115" s="100"/>
      <c r="M3115" s="101"/>
    </row>
    <row r="3116" spans="4:13" ht="23" x14ac:dyDescent="0.2">
      <c r="D3116" s="89"/>
      <c r="E3116" s="746">
        <v>45596</v>
      </c>
      <c r="F3116" s="240">
        <v>1.64</v>
      </c>
      <c r="G3116" s="240">
        <v>1.49</v>
      </c>
      <c r="H3116" s="240">
        <v>1.46</v>
      </c>
      <c r="I3116" s="769"/>
      <c r="J3116" s="770"/>
      <c r="K3116" s="771"/>
      <c r="L3116" s="100"/>
      <c r="M3116" s="215"/>
    </row>
    <row r="3117" spans="4:13" ht="23" x14ac:dyDescent="0.2">
      <c r="D3117" s="89"/>
      <c r="E3117" s="746">
        <v>45505</v>
      </c>
      <c r="F3117" s="240">
        <v>1.4</v>
      </c>
      <c r="G3117" s="240">
        <v>1.34</v>
      </c>
      <c r="H3117" s="240">
        <v>1.53</v>
      </c>
      <c r="I3117" s="769"/>
      <c r="J3117" s="770"/>
      <c r="K3117" s="771"/>
      <c r="L3117" s="100"/>
      <c r="M3117" s="101"/>
    </row>
    <row r="3118" spans="4:13" ht="23" x14ac:dyDescent="0.2">
      <c r="D3118" s="89"/>
      <c r="E3118" s="746">
        <v>45414</v>
      </c>
      <c r="F3118" s="240">
        <v>1.53</v>
      </c>
      <c r="G3118" s="240">
        <v>1.51</v>
      </c>
      <c r="H3118" s="240">
        <v>2.1800000000000002</v>
      </c>
      <c r="I3118" s="769"/>
      <c r="J3118" s="770"/>
      <c r="K3118" s="771"/>
      <c r="L3118" s="102"/>
      <c r="M3118" s="101"/>
    </row>
    <row r="3119" spans="4:13" ht="23" x14ac:dyDescent="0.2">
      <c r="D3119" s="89"/>
      <c r="E3119" s="746">
        <v>45323</v>
      </c>
      <c r="F3119" s="240">
        <v>2.1800000000000002</v>
      </c>
      <c r="G3119" s="240">
        <v>2.09</v>
      </c>
      <c r="H3119" s="240">
        <v>1.26</v>
      </c>
      <c r="I3119" s="769"/>
      <c r="J3119" s="770"/>
      <c r="K3119" s="771"/>
      <c r="L3119" s="100"/>
      <c r="M3119" s="101"/>
    </row>
    <row r="3120" spans="4:13" ht="23" x14ac:dyDescent="0.2">
      <c r="D3120" s="89"/>
      <c r="E3120" s="746">
        <v>45232</v>
      </c>
      <c r="F3120" s="240">
        <v>1.46</v>
      </c>
      <c r="G3120" s="240">
        <v>1.39</v>
      </c>
      <c r="H3120" s="240">
        <v>1.2</v>
      </c>
      <c r="I3120" s="769"/>
      <c r="J3120" s="770"/>
      <c r="K3120" s="771"/>
      <c r="L3120" s="100"/>
      <c r="M3120" s="101"/>
    </row>
    <row r="3121" spans="4:13" ht="24" thickBot="1" x14ac:dyDescent="0.25">
      <c r="D3121" s="89"/>
      <c r="E3121" s="746">
        <v>45141</v>
      </c>
      <c r="F3121" s="240">
        <v>1.53</v>
      </c>
      <c r="G3121" s="240">
        <v>1.43</v>
      </c>
      <c r="H3121" s="240">
        <v>1.2</v>
      </c>
      <c r="I3121" s="772"/>
      <c r="J3121" s="773"/>
      <c r="K3121" s="774"/>
      <c r="L3121" s="103"/>
      <c r="M3121" s="104"/>
    </row>
    <row r="3122" spans="4:13" ht="25" thickBot="1" x14ac:dyDescent="0.25">
      <c r="D3122">
        <v>15</v>
      </c>
      <c r="E3122" s="741" t="s">
        <v>30</v>
      </c>
      <c r="F3122" s="760" t="s">
        <v>1523</v>
      </c>
      <c r="G3122" s="761"/>
      <c r="H3122" s="762"/>
      <c r="I3122" s="763" t="s">
        <v>633</v>
      </c>
      <c r="J3122" s="764"/>
      <c r="K3122" s="765"/>
      <c r="L3122" s="162" t="s">
        <v>430</v>
      </c>
      <c r="M3122" s="106" t="s">
        <v>431</v>
      </c>
    </row>
    <row r="3123" spans="4:13" ht="24" x14ac:dyDescent="0.2">
      <c r="D3123" s="89"/>
      <c r="E3123" s="742" t="s">
        <v>432</v>
      </c>
      <c r="F3123" s="766"/>
      <c r="G3123" s="767"/>
      <c r="H3123" s="768"/>
      <c r="I3123" s="769" t="s">
        <v>1524</v>
      </c>
      <c r="J3123" s="770"/>
      <c r="K3123" s="771"/>
      <c r="L3123" s="100"/>
      <c r="M3123" s="101"/>
    </row>
    <row r="3124" spans="4:13" ht="24" x14ac:dyDescent="0.2">
      <c r="D3124" s="89"/>
      <c r="E3124" s="743" t="s">
        <v>433</v>
      </c>
      <c r="F3124" s="775"/>
      <c r="G3124" s="776"/>
      <c r="H3124" s="777"/>
      <c r="I3124" s="769"/>
      <c r="J3124" s="770"/>
      <c r="K3124" s="771"/>
      <c r="L3124" s="100"/>
      <c r="M3124" s="101"/>
    </row>
    <row r="3125" spans="4:13" ht="25" thickBot="1" x14ac:dyDescent="0.25">
      <c r="D3125" s="89"/>
      <c r="E3125" s="743" t="s">
        <v>434</v>
      </c>
      <c r="F3125" s="775">
        <v>5.0000000000000001E-3</v>
      </c>
      <c r="G3125" s="776"/>
      <c r="H3125" s="777"/>
      <c r="I3125" s="769"/>
      <c r="J3125" s="770"/>
      <c r="K3125" s="771"/>
      <c r="L3125" s="100"/>
      <c r="M3125" s="101"/>
    </row>
    <row r="3126" spans="4:13" ht="25" thickBot="1" x14ac:dyDescent="0.25">
      <c r="D3126" s="89"/>
      <c r="E3126" s="744" t="s">
        <v>435</v>
      </c>
      <c r="F3126" s="778">
        <v>0.54166666666666674</v>
      </c>
      <c r="G3126" s="779"/>
      <c r="H3126" s="780"/>
      <c r="I3126" s="769"/>
      <c r="J3126" s="770"/>
      <c r="K3126" s="771"/>
      <c r="L3126" s="107">
        <v>0.77083333333333337</v>
      </c>
      <c r="M3126" s="108">
        <v>0.625</v>
      </c>
    </row>
    <row r="3127" spans="4:13" ht="25" thickBot="1" x14ac:dyDescent="0.25">
      <c r="D3127" s="89"/>
      <c r="E3127" s="745" t="s">
        <v>436</v>
      </c>
      <c r="F3127" s="212" t="s">
        <v>29</v>
      </c>
      <c r="G3127" s="212" t="s">
        <v>28</v>
      </c>
      <c r="H3127" s="213" t="s">
        <v>27</v>
      </c>
      <c r="I3127" s="769"/>
      <c r="J3127" s="770"/>
      <c r="K3127" s="771"/>
      <c r="L3127" s="100"/>
      <c r="M3127" s="101"/>
    </row>
    <row r="3128" spans="4:13" ht="24" x14ac:dyDescent="0.2">
      <c r="D3128" s="89"/>
      <c r="E3128" s="746">
        <v>45673</v>
      </c>
      <c r="F3128" s="214">
        <v>5.0000000000000001E-3</v>
      </c>
      <c r="G3128" s="214" t="s">
        <v>452</v>
      </c>
      <c r="H3128" s="214">
        <v>-2E-3</v>
      </c>
      <c r="I3128" s="769"/>
      <c r="J3128" s="770"/>
      <c r="K3128" s="771"/>
      <c r="L3128" s="100"/>
      <c r="M3128" s="101"/>
    </row>
    <row r="3129" spans="4:13" ht="24" x14ac:dyDescent="0.2">
      <c r="D3129" s="89"/>
      <c r="E3129" s="746">
        <v>45663</v>
      </c>
      <c r="F3129" s="214">
        <v>4.0000000000000001E-3</v>
      </c>
      <c r="G3129" s="214" t="s">
        <v>467</v>
      </c>
      <c r="H3129" s="214">
        <v>-2E-3</v>
      </c>
      <c r="I3129" s="769"/>
      <c r="J3129" s="770"/>
      <c r="K3129" s="771"/>
      <c r="L3129" s="100"/>
      <c r="M3129" s="101"/>
    </row>
    <row r="3130" spans="4:13" ht="24" x14ac:dyDescent="0.2">
      <c r="D3130" s="89"/>
      <c r="E3130" s="746">
        <v>45636</v>
      </c>
      <c r="F3130" s="214">
        <v>-2E-3</v>
      </c>
      <c r="G3130" s="214" t="s">
        <v>461</v>
      </c>
      <c r="H3130" s="214">
        <v>4.0000000000000001E-3</v>
      </c>
      <c r="I3130" s="769"/>
      <c r="J3130" s="770"/>
      <c r="K3130" s="771"/>
      <c r="L3130" s="102"/>
      <c r="M3130" s="101"/>
    </row>
    <row r="3131" spans="4:13" ht="24" x14ac:dyDescent="0.2">
      <c r="D3131" s="89"/>
      <c r="E3131" s="746">
        <v>45624</v>
      </c>
      <c r="F3131" s="214">
        <v>-2E-3</v>
      </c>
      <c r="G3131" s="214" t="s">
        <v>461</v>
      </c>
      <c r="H3131" s="214">
        <v>4.0000000000000001E-3</v>
      </c>
      <c r="I3131" s="769"/>
      <c r="J3131" s="770"/>
      <c r="K3131" s="771"/>
      <c r="L3131" s="100"/>
      <c r="M3131" s="101"/>
    </row>
    <row r="3132" spans="4:13" ht="24" x14ac:dyDescent="0.2">
      <c r="D3132" s="89"/>
      <c r="E3132" s="746">
        <v>45608</v>
      </c>
      <c r="F3132" s="214">
        <v>4.0000000000000001E-3</v>
      </c>
      <c r="G3132" s="214" t="s">
        <v>452</v>
      </c>
      <c r="H3132" s="214">
        <v>0</v>
      </c>
      <c r="I3132" s="769"/>
      <c r="J3132" s="770"/>
      <c r="K3132" s="771"/>
      <c r="L3132" s="100"/>
      <c r="M3132" s="101"/>
    </row>
    <row r="3133" spans="4:13" ht="25" thickBot="1" x14ac:dyDescent="0.25">
      <c r="D3133" s="89"/>
      <c r="E3133" s="746">
        <v>45595</v>
      </c>
      <c r="F3133" s="214">
        <v>4.0000000000000001E-3</v>
      </c>
      <c r="G3133" s="214" t="s">
        <v>460</v>
      </c>
      <c r="H3133" s="214">
        <v>0</v>
      </c>
      <c r="I3133" s="772"/>
      <c r="J3133" s="773"/>
      <c r="K3133" s="774"/>
      <c r="L3133" s="103"/>
      <c r="M3133" s="104"/>
    </row>
    <row r="3134" spans="4:13" ht="25" thickBot="1" x14ac:dyDescent="0.25">
      <c r="D3134">
        <v>16</v>
      </c>
      <c r="E3134" s="741" t="s">
        <v>30</v>
      </c>
      <c r="F3134" s="760" t="s">
        <v>1525</v>
      </c>
      <c r="G3134" s="761"/>
      <c r="H3134" s="762"/>
      <c r="I3134" s="763" t="s">
        <v>633</v>
      </c>
      <c r="J3134" s="764"/>
      <c r="K3134" s="765"/>
      <c r="L3134" s="162" t="s">
        <v>430</v>
      </c>
      <c r="M3134" s="106" t="s">
        <v>431</v>
      </c>
    </row>
    <row r="3135" spans="4:13" ht="24" x14ac:dyDescent="0.2">
      <c r="D3135" s="89"/>
      <c r="E3135" s="742" t="s">
        <v>432</v>
      </c>
      <c r="F3135" s="766"/>
      <c r="G3135" s="767"/>
      <c r="H3135" s="768"/>
      <c r="I3135" s="769" t="s">
        <v>369</v>
      </c>
      <c r="J3135" s="770"/>
      <c r="K3135" s="771"/>
      <c r="L3135" s="100"/>
      <c r="M3135" s="101"/>
    </row>
    <row r="3136" spans="4:13" ht="24" x14ac:dyDescent="0.2">
      <c r="D3136" s="89"/>
      <c r="E3136" s="743" t="s">
        <v>433</v>
      </c>
      <c r="F3136" s="775"/>
      <c r="G3136" s="776"/>
      <c r="H3136" s="777"/>
      <c r="I3136" s="769"/>
      <c r="J3136" s="770"/>
      <c r="K3136" s="771"/>
      <c r="L3136" s="100"/>
      <c r="M3136" s="101"/>
    </row>
    <row r="3137" spans="4:13" ht="25" thickBot="1" x14ac:dyDescent="0.25">
      <c r="D3137" s="89"/>
      <c r="E3137" s="743" t="s">
        <v>434</v>
      </c>
      <c r="F3137" s="775">
        <v>1E-3</v>
      </c>
      <c r="G3137" s="776"/>
      <c r="H3137" s="777"/>
      <c r="I3137" s="769"/>
      <c r="J3137" s="770"/>
      <c r="K3137" s="771"/>
      <c r="L3137" s="100"/>
      <c r="M3137" s="101"/>
    </row>
    <row r="3138" spans="4:13" ht="25" thickBot="1" x14ac:dyDescent="0.25">
      <c r="D3138" s="89"/>
      <c r="E3138" s="744" t="s">
        <v>435</v>
      </c>
      <c r="F3138" s="778">
        <v>0.5625</v>
      </c>
      <c r="G3138" s="779"/>
      <c r="H3138" s="780"/>
      <c r="I3138" s="769"/>
      <c r="J3138" s="770"/>
      <c r="K3138" s="771"/>
      <c r="L3138" s="107">
        <v>0.79166666666666663</v>
      </c>
      <c r="M3138" s="108">
        <v>0.64583333333333326</v>
      </c>
    </row>
    <row r="3139" spans="4:13" ht="25" thickBot="1" x14ac:dyDescent="0.25">
      <c r="D3139" s="89"/>
      <c r="E3139" s="745" t="s">
        <v>436</v>
      </c>
      <c r="F3139" s="212" t="s">
        <v>29</v>
      </c>
      <c r="G3139" s="212" t="s">
        <v>28</v>
      </c>
      <c r="H3139" s="213" t="s">
        <v>27</v>
      </c>
      <c r="I3139" s="769"/>
      <c r="J3139" s="770"/>
      <c r="K3139" s="771"/>
      <c r="L3139" s="100"/>
      <c r="M3139" s="101"/>
    </row>
    <row r="3140" spans="4:13" ht="24" x14ac:dyDescent="0.2">
      <c r="D3140" s="89"/>
      <c r="E3140" s="746">
        <v>45646</v>
      </c>
      <c r="F3140" s="214">
        <v>1E-3</v>
      </c>
      <c r="G3140" s="214" t="s">
        <v>460</v>
      </c>
      <c r="H3140" s="214">
        <v>3.0000000000000001E-3</v>
      </c>
      <c r="I3140" s="769"/>
      <c r="J3140" s="770"/>
      <c r="K3140" s="771"/>
      <c r="L3140" s="100"/>
      <c r="M3140" s="101"/>
    </row>
    <row r="3141" spans="4:13" ht="24" x14ac:dyDescent="0.2">
      <c r="D3141" s="89"/>
      <c r="E3141" s="746">
        <v>45623</v>
      </c>
      <c r="F3141" s="214">
        <v>3.0000000000000001E-3</v>
      </c>
      <c r="G3141" s="214" t="s">
        <v>467</v>
      </c>
      <c r="H3141" s="214">
        <v>3.0000000000000001E-3</v>
      </c>
      <c r="I3141" s="769"/>
      <c r="J3141" s="770"/>
      <c r="K3141" s="771"/>
      <c r="L3141" s="100"/>
      <c r="M3141" s="101"/>
    </row>
    <row r="3142" spans="4:13" ht="24" x14ac:dyDescent="0.2">
      <c r="D3142" s="89"/>
      <c r="E3142" s="746">
        <v>45596</v>
      </c>
      <c r="F3142" s="214">
        <v>3.0000000000000001E-3</v>
      </c>
      <c r="G3142" s="214" t="s">
        <v>467</v>
      </c>
      <c r="H3142" s="214">
        <v>2E-3</v>
      </c>
      <c r="I3142" s="769"/>
      <c r="J3142" s="770"/>
      <c r="K3142" s="771"/>
      <c r="L3142" s="102"/>
      <c r="M3142" s="101"/>
    </row>
    <row r="3143" spans="4:13" ht="24" x14ac:dyDescent="0.2">
      <c r="D3143" s="89"/>
      <c r="E3143" s="746">
        <v>45562</v>
      </c>
      <c r="F3143" s="214">
        <v>1E-3</v>
      </c>
      <c r="G3143" s="214" t="s">
        <v>460</v>
      </c>
      <c r="H3143" s="214">
        <v>2E-3</v>
      </c>
      <c r="I3143" s="769"/>
      <c r="J3143" s="770"/>
      <c r="K3143" s="771"/>
      <c r="L3143" s="100"/>
      <c r="M3143" s="101"/>
    </row>
    <row r="3144" spans="4:13" ht="24" x14ac:dyDescent="0.2">
      <c r="D3144" s="89"/>
      <c r="E3144" s="746">
        <v>45534</v>
      </c>
      <c r="F3144" s="214">
        <v>2E-3</v>
      </c>
      <c r="G3144" s="214" t="s">
        <v>460</v>
      </c>
      <c r="H3144" s="214">
        <v>2E-3</v>
      </c>
      <c r="I3144" s="769"/>
      <c r="J3144" s="770"/>
      <c r="K3144" s="771"/>
      <c r="L3144" s="100"/>
      <c r="M3144" s="101"/>
    </row>
    <row r="3145" spans="4:13" ht="25" thickBot="1" x14ac:dyDescent="0.25">
      <c r="D3145" s="89"/>
      <c r="E3145" s="746">
        <v>45499</v>
      </c>
      <c r="F3145" s="214">
        <v>2E-3</v>
      </c>
      <c r="G3145" s="214" t="s">
        <v>460</v>
      </c>
      <c r="H3145" s="214">
        <v>1E-3</v>
      </c>
      <c r="I3145" s="772"/>
      <c r="J3145" s="773"/>
      <c r="K3145" s="774"/>
      <c r="L3145" s="103"/>
      <c r="M3145" s="104"/>
    </row>
    <row r="3146" spans="4:13" ht="25" thickBot="1" x14ac:dyDescent="0.25">
      <c r="D3146">
        <v>17</v>
      </c>
      <c r="E3146" s="741" t="s">
        <v>30</v>
      </c>
      <c r="F3146" s="760" t="s">
        <v>1527</v>
      </c>
      <c r="G3146" s="761"/>
      <c r="H3146" s="762"/>
      <c r="I3146" s="763" t="s">
        <v>633</v>
      </c>
      <c r="J3146" s="764"/>
      <c r="K3146" s="765"/>
      <c r="L3146" s="162" t="s">
        <v>430</v>
      </c>
      <c r="M3146" s="106" t="s">
        <v>431</v>
      </c>
    </row>
    <row r="3147" spans="4:13" ht="24" x14ac:dyDescent="0.2">
      <c r="D3147" s="89"/>
      <c r="E3147" s="742" t="s">
        <v>432</v>
      </c>
      <c r="F3147" s="766"/>
      <c r="G3147" s="767"/>
      <c r="H3147" s="768"/>
      <c r="I3147" s="769" t="s">
        <v>1528</v>
      </c>
      <c r="J3147" s="770"/>
      <c r="K3147" s="771"/>
      <c r="L3147" s="100"/>
      <c r="M3147" s="101"/>
    </row>
    <row r="3148" spans="4:13" ht="24" x14ac:dyDescent="0.2">
      <c r="D3148" s="89"/>
      <c r="E3148" s="743" t="s">
        <v>433</v>
      </c>
      <c r="F3148" s="775"/>
      <c r="G3148" s="776"/>
      <c r="H3148" s="777"/>
      <c r="I3148" s="769"/>
      <c r="J3148" s="770"/>
      <c r="K3148" s="771"/>
      <c r="L3148" s="100"/>
      <c r="M3148" s="101"/>
    </row>
    <row r="3149" spans="4:13" ht="25" thickBot="1" x14ac:dyDescent="0.25">
      <c r="D3149" s="89"/>
      <c r="E3149" s="743" t="s">
        <v>434</v>
      </c>
      <c r="F3149" s="775">
        <v>0</v>
      </c>
      <c r="G3149" s="776"/>
      <c r="H3149" s="777"/>
      <c r="I3149" s="769"/>
      <c r="J3149" s="770"/>
      <c r="K3149" s="771"/>
      <c r="L3149" s="100"/>
      <c r="M3149" s="101"/>
    </row>
    <row r="3150" spans="4:13" ht="25" thickBot="1" x14ac:dyDescent="0.25">
      <c r="D3150" s="89"/>
      <c r="E3150" s="744" t="s">
        <v>435</v>
      </c>
      <c r="F3150" s="778">
        <v>0.5625</v>
      </c>
      <c r="G3150" s="779"/>
      <c r="H3150" s="780"/>
      <c r="I3150" s="769"/>
      <c r="J3150" s="770"/>
      <c r="K3150" s="771"/>
      <c r="L3150" s="107">
        <v>0.79166666666666663</v>
      </c>
      <c r="M3150" s="108">
        <v>0.64583333333333326</v>
      </c>
    </row>
    <row r="3151" spans="4:13" ht="25" thickBot="1" x14ac:dyDescent="0.25">
      <c r="D3151" s="89"/>
      <c r="E3151" s="745" t="s">
        <v>436</v>
      </c>
      <c r="F3151" s="212" t="s">
        <v>29</v>
      </c>
      <c r="G3151" s="212" t="s">
        <v>28</v>
      </c>
      <c r="H3151" s="213" t="s">
        <v>27</v>
      </c>
      <c r="I3151" s="769"/>
      <c r="J3151" s="770"/>
      <c r="K3151" s="771"/>
      <c r="L3151" s="100"/>
      <c r="M3151" s="101"/>
    </row>
    <row r="3152" spans="4:13" ht="24" x14ac:dyDescent="0.2">
      <c r="D3152" s="89"/>
      <c r="E3152" s="746">
        <v>45646</v>
      </c>
      <c r="F3152" s="214">
        <v>2.8000000000000001E-2</v>
      </c>
      <c r="G3152" s="214" t="s">
        <v>667</v>
      </c>
      <c r="H3152" s="214">
        <v>2.8000000000000001E-2</v>
      </c>
      <c r="I3152" s="769"/>
      <c r="J3152" s="770"/>
      <c r="K3152" s="771"/>
      <c r="L3152" s="100"/>
      <c r="M3152" s="101"/>
    </row>
    <row r="3153" spans="4:13" ht="24" x14ac:dyDescent="0.2">
      <c r="D3153" s="89"/>
      <c r="E3153" s="746">
        <v>45623</v>
      </c>
      <c r="F3153" s="214">
        <v>2.8000000000000001E-2</v>
      </c>
      <c r="G3153" s="214" t="s">
        <v>666</v>
      </c>
      <c r="H3153" s="214">
        <v>2.7E-2</v>
      </c>
      <c r="I3153" s="769"/>
      <c r="J3153" s="770"/>
      <c r="K3153" s="771"/>
      <c r="L3153" s="100"/>
      <c r="M3153" s="101"/>
    </row>
    <row r="3154" spans="4:13" ht="24" x14ac:dyDescent="0.2">
      <c r="D3154" s="89"/>
      <c r="E3154" s="746">
        <v>45596</v>
      </c>
      <c r="F3154" s="214">
        <v>2.7E-2</v>
      </c>
      <c r="G3154" s="214" t="s">
        <v>493</v>
      </c>
      <c r="H3154" s="214">
        <v>2.7E-2</v>
      </c>
      <c r="I3154" s="769"/>
      <c r="J3154" s="770"/>
      <c r="K3154" s="771"/>
      <c r="L3154" s="102"/>
      <c r="M3154" s="101"/>
    </row>
    <row r="3155" spans="4:13" ht="24" x14ac:dyDescent="0.2">
      <c r="D3155" s="89"/>
      <c r="E3155" s="746">
        <v>45562</v>
      </c>
      <c r="F3155" s="214">
        <v>2.7E-2</v>
      </c>
      <c r="G3155" s="214" t="s">
        <v>665</v>
      </c>
      <c r="H3155" s="214">
        <v>2.5999999999999999E-2</v>
      </c>
      <c r="I3155" s="769"/>
      <c r="J3155" s="770"/>
      <c r="K3155" s="771"/>
      <c r="L3155" s="100"/>
      <c r="M3155" s="101"/>
    </row>
    <row r="3156" spans="4:13" ht="24" x14ac:dyDescent="0.2">
      <c r="D3156" s="89"/>
      <c r="E3156" s="746">
        <v>45534</v>
      </c>
      <c r="F3156" s="214">
        <v>2.5999999999999999E-2</v>
      </c>
      <c r="G3156" s="214" t="s">
        <v>665</v>
      </c>
      <c r="H3156" s="214">
        <v>2.5999999999999999E-2</v>
      </c>
      <c r="I3156" s="769"/>
      <c r="J3156" s="770"/>
      <c r="K3156" s="771"/>
      <c r="L3156" s="100"/>
      <c r="M3156" s="101"/>
    </row>
    <row r="3157" spans="4:13" ht="25" thickBot="1" x14ac:dyDescent="0.25">
      <c r="D3157" s="89"/>
      <c r="E3157" s="746">
        <v>45499</v>
      </c>
      <c r="F3157" s="214">
        <v>2.5999999999999999E-2</v>
      </c>
      <c r="G3157" s="214" t="s">
        <v>495</v>
      </c>
      <c r="H3157" s="214">
        <v>2.5999999999999999E-2</v>
      </c>
      <c r="I3157" s="772"/>
      <c r="J3157" s="773"/>
      <c r="K3157" s="774"/>
      <c r="L3157" s="103"/>
      <c r="M3157" s="104"/>
    </row>
    <row r="3158" spans="4:13" ht="25" thickBot="1" x14ac:dyDescent="0.25">
      <c r="D3158">
        <v>18</v>
      </c>
      <c r="E3158" s="741" t="s">
        <v>30</v>
      </c>
      <c r="F3158" s="760" t="s">
        <v>1529</v>
      </c>
      <c r="G3158" s="761"/>
      <c r="H3158" s="762"/>
      <c r="I3158" s="781" t="s">
        <v>633</v>
      </c>
      <c r="J3158" s="764"/>
      <c r="K3158" s="765"/>
      <c r="L3158" s="162" t="s">
        <v>430</v>
      </c>
      <c r="M3158" s="106" t="s">
        <v>431</v>
      </c>
    </row>
    <row r="3159" spans="4:13" ht="24" x14ac:dyDescent="0.2">
      <c r="D3159" s="89"/>
      <c r="E3159" s="742" t="s">
        <v>432</v>
      </c>
      <c r="F3159" s="782"/>
      <c r="G3159" s="783"/>
      <c r="H3159" s="784"/>
      <c r="I3159" s="769" t="s">
        <v>1530</v>
      </c>
      <c r="J3159" s="770"/>
      <c r="K3159" s="771"/>
      <c r="L3159" s="100"/>
      <c r="M3159" s="101"/>
    </row>
    <row r="3160" spans="4:13" ht="24" x14ac:dyDescent="0.2">
      <c r="D3160" s="89"/>
      <c r="E3160" s="743" t="s">
        <v>433</v>
      </c>
      <c r="F3160" s="775"/>
      <c r="G3160" s="776"/>
      <c r="H3160" s="777"/>
      <c r="I3160" s="769"/>
      <c r="J3160" s="770"/>
      <c r="K3160" s="771"/>
      <c r="L3160" s="100"/>
      <c r="M3160" s="101"/>
    </row>
    <row r="3161" spans="4:13" ht="25" thickBot="1" x14ac:dyDescent="0.25">
      <c r="D3161" s="89"/>
      <c r="E3161" s="743" t="s">
        <v>434</v>
      </c>
      <c r="F3161" s="785">
        <v>36.9</v>
      </c>
      <c r="G3161" s="786"/>
      <c r="H3161" s="787"/>
      <c r="I3161" s="769"/>
      <c r="J3161" s="770"/>
      <c r="K3161" s="771"/>
      <c r="L3161" s="100"/>
      <c r="M3161" s="101"/>
    </row>
    <row r="3162" spans="4:13" ht="25" thickBot="1" x14ac:dyDescent="0.25">
      <c r="D3162" s="89"/>
      <c r="E3162" s="744" t="s">
        <v>435</v>
      </c>
      <c r="F3162" s="778">
        <v>0.61458333333333337</v>
      </c>
      <c r="G3162" s="779"/>
      <c r="H3162" s="780"/>
      <c r="I3162" s="769"/>
      <c r="J3162" s="770"/>
      <c r="K3162" s="771"/>
      <c r="L3162" s="107">
        <v>0.84375</v>
      </c>
      <c r="M3162" s="108">
        <v>0.69791666666666663</v>
      </c>
    </row>
    <row r="3163" spans="4:13" ht="25" thickBot="1" x14ac:dyDescent="0.25">
      <c r="D3163" s="89"/>
      <c r="E3163" s="745" t="s">
        <v>436</v>
      </c>
      <c r="F3163" s="212" t="s">
        <v>29</v>
      </c>
      <c r="G3163" s="212" t="s">
        <v>28</v>
      </c>
      <c r="H3163" s="213" t="s">
        <v>27</v>
      </c>
      <c r="I3163" s="769"/>
      <c r="J3163" s="770"/>
      <c r="K3163" s="771"/>
      <c r="L3163" s="100"/>
      <c r="M3163" s="101"/>
    </row>
    <row r="3164" spans="4:13" ht="24" x14ac:dyDescent="0.2">
      <c r="D3164" s="89"/>
      <c r="E3164" s="746">
        <v>45656</v>
      </c>
      <c r="F3164" s="216">
        <v>36.9</v>
      </c>
      <c r="G3164" s="216" t="s">
        <v>1556</v>
      </c>
      <c r="H3164" s="216">
        <v>40.200000000000003</v>
      </c>
      <c r="I3164" s="769"/>
      <c r="J3164" s="770"/>
      <c r="K3164" s="771"/>
      <c r="L3164" s="100"/>
      <c r="M3164" s="101"/>
    </row>
    <row r="3165" spans="4:13" ht="24" x14ac:dyDescent="0.2">
      <c r="D3165" s="89"/>
      <c r="E3165" s="746">
        <v>45625</v>
      </c>
      <c r="F3165" s="216">
        <v>40.200000000000003</v>
      </c>
      <c r="G3165" s="216" t="s">
        <v>477</v>
      </c>
      <c r="H3165" s="216">
        <v>41.6</v>
      </c>
      <c r="I3165" s="769"/>
      <c r="J3165" s="770"/>
      <c r="K3165" s="771"/>
      <c r="L3165" s="100"/>
      <c r="M3165" s="101"/>
    </row>
    <row r="3166" spans="4:13" ht="24" x14ac:dyDescent="0.2">
      <c r="D3166" s="89"/>
      <c r="E3166" s="746">
        <v>45596</v>
      </c>
      <c r="F3166" s="216">
        <v>41.6</v>
      </c>
      <c r="G3166" s="216" t="s">
        <v>1126</v>
      </c>
      <c r="H3166" s="216">
        <v>46.6</v>
      </c>
      <c r="I3166" s="769"/>
      <c r="J3166" s="770"/>
      <c r="K3166" s="771"/>
      <c r="L3166" s="102"/>
      <c r="M3166" s="101"/>
    </row>
    <row r="3167" spans="4:13" ht="24" x14ac:dyDescent="0.2">
      <c r="D3167" s="89"/>
      <c r="E3167" s="746">
        <v>45565</v>
      </c>
      <c r="F3167" s="216">
        <v>46.6</v>
      </c>
      <c r="G3167" s="216" t="s">
        <v>899</v>
      </c>
      <c r="H3167" s="216">
        <v>46.1</v>
      </c>
      <c r="I3167" s="769"/>
      <c r="J3167" s="770"/>
      <c r="K3167" s="771"/>
      <c r="L3167" s="100"/>
      <c r="M3167" s="101"/>
    </row>
    <row r="3168" spans="4:13" ht="24" x14ac:dyDescent="0.2">
      <c r="D3168" s="89"/>
      <c r="E3168" s="746">
        <v>45534</v>
      </c>
      <c r="F3168" s="216">
        <v>46.1</v>
      </c>
      <c r="G3168" s="216" t="s">
        <v>473</v>
      </c>
      <c r="H3168" s="216">
        <v>45.3</v>
      </c>
      <c r="I3168" s="769"/>
      <c r="J3168" s="770"/>
      <c r="K3168" s="771"/>
      <c r="L3168" s="100"/>
      <c r="M3168" s="101"/>
    </row>
    <row r="3169" spans="3:13" ht="25" thickBot="1" x14ac:dyDescent="0.25">
      <c r="D3169" s="89"/>
      <c r="E3169" s="755">
        <v>45504</v>
      </c>
      <c r="F3169" s="757">
        <v>45.3</v>
      </c>
      <c r="G3169" s="757" t="s">
        <v>474</v>
      </c>
      <c r="H3169" s="757">
        <v>47.4</v>
      </c>
      <c r="I3169" s="772"/>
      <c r="J3169" s="773"/>
      <c r="K3169" s="774"/>
      <c r="L3169" s="103"/>
      <c r="M3169" s="104"/>
    </row>
    <row r="3170" spans="3:13" x14ac:dyDescent="0.25">
      <c r="C3170" t="s">
        <v>1559</v>
      </c>
      <c r="D3170" t="s">
        <v>105</v>
      </c>
    </row>
  </sheetData>
  <mergeCells count="1831">
    <mergeCell ref="F2738:H2738"/>
    <mergeCell ref="I2738:K2738"/>
    <mergeCell ref="F2739:H2739"/>
    <mergeCell ref="I2739:K2749"/>
    <mergeCell ref="F2740:H2740"/>
    <mergeCell ref="F2741:H2741"/>
    <mergeCell ref="F2742:H2742"/>
    <mergeCell ref="F2702:H2702"/>
    <mergeCell ref="I2702:K2702"/>
    <mergeCell ref="F2703:H2703"/>
    <mergeCell ref="I2703:K2713"/>
    <mergeCell ref="F2704:H2704"/>
    <mergeCell ref="F2705:H2705"/>
    <mergeCell ref="F2706:H2706"/>
    <mergeCell ref="F2714:H2714"/>
    <mergeCell ref="I2714:K2714"/>
    <mergeCell ref="F2715:H2715"/>
    <mergeCell ref="I2715:K2725"/>
    <mergeCell ref="F2716:H2716"/>
    <mergeCell ref="F2717:H2717"/>
    <mergeCell ref="F2718:H2718"/>
    <mergeCell ref="F2726:H2726"/>
    <mergeCell ref="I2726:K2726"/>
    <mergeCell ref="F2727:H2727"/>
    <mergeCell ref="I2727:K2737"/>
    <mergeCell ref="F2728:H2728"/>
    <mergeCell ref="F2729:H2729"/>
    <mergeCell ref="F2730:H2730"/>
    <mergeCell ref="F2666:H2666"/>
    <mergeCell ref="I2666:K2666"/>
    <mergeCell ref="F2667:H2667"/>
    <mergeCell ref="I2667:K2677"/>
    <mergeCell ref="F2668:H2668"/>
    <mergeCell ref="F2669:H2669"/>
    <mergeCell ref="F2670:H2670"/>
    <mergeCell ref="F2678:H2678"/>
    <mergeCell ref="I2678:K2678"/>
    <mergeCell ref="F2679:H2679"/>
    <mergeCell ref="I2679:K2689"/>
    <mergeCell ref="F2680:H2680"/>
    <mergeCell ref="F2681:H2681"/>
    <mergeCell ref="F2682:H2682"/>
    <mergeCell ref="F2690:H2690"/>
    <mergeCell ref="I2690:K2690"/>
    <mergeCell ref="F2691:H2691"/>
    <mergeCell ref="I2691:K2701"/>
    <mergeCell ref="F2692:H2692"/>
    <mergeCell ref="F2693:H2693"/>
    <mergeCell ref="F2694:H2694"/>
    <mergeCell ref="F2630:H2630"/>
    <mergeCell ref="I2630:K2630"/>
    <mergeCell ref="F2631:H2631"/>
    <mergeCell ref="I2631:K2641"/>
    <mergeCell ref="F2632:H2632"/>
    <mergeCell ref="F2633:H2633"/>
    <mergeCell ref="F2634:H2634"/>
    <mergeCell ref="F2642:H2642"/>
    <mergeCell ref="I2642:K2642"/>
    <mergeCell ref="F2643:H2643"/>
    <mergeCell ref="I2643:K2653"/>
    <mergeCell ref="F2644:H2644"/>
    <mergeCell ref="F2645:H2645"/>
    <mergeCell ref="F2646:H2646"/>
    <mergeCell ref="F2654:H2654"/>
    <mergeCell ref="I2654:K2654"/>
    <mergeCell ref="F2655:H2655"/>
    <mergeCell ref="I2655:K2665"/>
    <mergeCell ref="F2656:H2656"/>
    <mergeCell ref="F2657:H2657"/>
    <mergeCell ref="F2658:H2658"/>
    <mergeCell ref="F2606:H2606"/>
    <mergeCell ref="I2606:K2606"/>
    <mergeCell ref="F2607:H2607"/>
    <mergeCell ref="I2607:K2617"/>
    <mergeCell ref="F2608:H2608"/>
    <mergeCell ref="F2609:H2609"/>
    <mergeCell ref="F2610:H2610"/>
    <mergeCell ref="F2618:H2618"/>
    <mergeCell ref="I2618:K2618"/>
    <mergeCell ref="F2619:H2619"/>
    <mergeCell ref="I2619:K2629"/>
    <mergeCell ref="F2620:H2620"/>
    <mergeCell ref="F2621:H2621"/>
    <mergeCell ref="F2622:H2622"/>
    <mergeCell ref="F2570:H2570"/>
    <mergeCell ref="I2570:K2570"/>
    <mergeCell ref="F2571:H2571"/>
    <mergeCell ref="I2571:K2581"/>
    <mergeCell ref="F2572:H2572"/>
    <mergeCell ref="F2573:H2573"/>
    <mergeCell ref="F2574:H2574"/>
    <mergeCell ref="F2582:H2582"/>
    <mergeCell ref="I2582:K2582"/>
    <mergeCell ref="F2583:H2583"/>
    <mergeCell ref="I2583:K2593"/>
    <mergeCell ref="F2584:H2584"/>
    <mergeCell ref="F2585:H2585"/>
    <mergeCell ref="F2586:H2586"/>
    <mergeCell ref="F2594:H2594"/>
    <mergeCell ref="I2594:K2594"/>
    <mergeCell ref="F2595:H2595"/>
    <mergeCell ref="I2595:K2605"/>
    <mergeCell ref="F2596:H2596"/>
    <mergeCell ref="F2597:H2597"/>
    <mergeCell ref="F2598:H2598"/>
    <mergeCell ref="F2212:H2212"/>
    <mergeCell ref="F2213:H2213"/>
    <mergeCell ref="F2214:H2214"/>
    <mergeCell ref="F2176:H2176"/>
    <mergeCell ref="F2177:H2177"/>
    <mergeCell ref="F2178:H2178"/>
    <mergeCell ref="F2186:H2186"/>
    <mergeCell ref="I2186:K2186"/>
    <mergeCell ref="F2187:H2187"/>
    <mergeCell ref="I2187:K2197"/>
    <mergeCell ref="F2188:H2188"/>
    <mergeCell ref="F2189:H2189"/>
    <mergeCell ref="F2190:H2190"/>
    <mergeCell ref="F2138:H2138"/>
    <mergeCell ref="I2138:K2138"/>
    <mergeCell ref="F2139:H2139"/>
    <mergeCell ref="I2139:K2149"/>
    <mergeCell ref="F2140:H2140"/>
    <mergeCell ref="F2141:H2141"/>
    <mergeCell ref="F2142:H2142"/>
    <mergeCell ref="F2150:H2150"/>
    <mergeCell ref="I2150:K2150"/>
    <mergeCell ref="F2151:H2151"/>
    <mergeCell ref="I2151:K2161"/>
    <mergeCell ref="F2152:H2152"/>
    <mergeCell ref="F2153:H2153"/>
    <mergeCell ref="F2154:H2154"/>
    <mergeCell ref="F2210:H2210"/>
    <mergeCell ref="I2210:K2210"/>
    <mergeCell ref="F2211:H2211"/>
    <mergeCell ref="I2211:K2221"/>
    <mergeCell ref="F2116:H2116"/>
    <mergeCell ref="F2117:H2117"/>
    <mergeCell ref="F2118:H2118"/>
    <mergeCell ref="F2126:H2126"/>
    <mergeCell ref="I2126:K2126"/>
    <mergeCell ref="F2127:H2127"/>
    <mergeCell ref="I2127:K2137"/>
    <mergeCell ref="F2128:H2128"/>
    <mergeCell ref="F2129:H2129"/>
    <mergeCell ref="F2130:H2130"/>
    <mergeCell ref="F2198:H2198"/>
    <mergeCell ref="I2198:K2198"/>
    <mergeCell ref="F2199:H2199"/>
    <mergeCell ref="I2199:K2209"/>
    <mergeCell ref="F2200:H2200"/>
    <mergeCell ref="F2201:H2201"/>
    <mergeCell ref="F2202:H2202"/>
    <mergeCell ref="F2162:H2162"/>
    <mergeCell ref="I2162:K2162"/>
    <mergeCell ref="F2163:H2163"/>
    <mergeCell ref="I2163:K2173"/>
    <mergeCell ref="F2164:H2164"/>
    <mergeCell ref="F2165:H2165"/>
    <mergeCell ref="F2166:H2166"/>
    <mergeCell ref="F2174:H2174"/>
    <mergeCell ref="I2174:K2174"/>
    <mergeCell ref="F2175:H2175"/>
    <mergeCell ref="I2175:K2185"/>
    <mergeCell ref="F1970:H1970"/>
    <mergeCell ref="I1970:K1970"/>
    <mergeCell ref="F1971:H1971"/>
    <mergeCell ref="I1971:K1981"/>
    <mergeCell ref="F1972:H1972"/>
    <mergeCell ref="F1973:H1973"/>
    <mergeCell ref="F1974:H1974"/>
    <mergeCell ref="F1982:H1982"/>
    <mergeCell ref="I1982:K1982"/>
    <mergeCell ref="F1983:H1983"/>
    <mergeCell ref="I1983:K1993"/>
    <mergeCell ref="F1984:H1984"/>
    <mergeCell ref="F1985:H1985"/>
    <mergeCell ref="F1986:H1986"/>
    <mergeCell ref="F1994:H1994"/>
    <mergeCell ref="I1994:K1994"/>
    <mergeCell ref="F1995:H1995"/>
    <mergeCell ref="I1995:K2005"/>
    <mergeCell ref="F1996:H1996"/>
    <mergeCell ref="F1997:H1997"/>
    <mergeCell ref="F1998:H1998"/>
    <mergeCell ref="F1934:H1934"/>
    <mergeCell ref="I1934:K1934"/>
    <mergeCell ref="F1935:H1935"/>
    <mergeCell ref="I1935:K1945"/>
    <mergeCell ref="F1936:H1936"/>
    <mergeCell ref="F1937:H1937"/>
    <mergeCell ref="F1938:H1938"/>
    <mergeCell ref="F1946:H1946"/>
    <mergeCell ref="I1946:K1946"/>
    <mergeCell ref="F1947:H1947"/>
    <mergeCell ref="I1947:K1957"/>
    <mergeCell ref="F1948:H1948"/>
    <mergeCell ref="F1949:H1949"/>
    <mergeCell ref="F1950:H1950"/>
    <mergeCell ref="F1958:H1958"/>
    <mergeCell ref="I1958:K1958"/>
    <mergeCell ref="F1959:H1959"/>
    <mergeCell ref="I1959:K1969"/>
    <mergeCell ref="F1960:H1960"/>
    <mergeCell ref="F1961:H1961"/>
    <mergeCell ref="F1962:H1962"/>
    <mergeCell ref="F1898:H1898"/>
    <mergeCell ref="I1898:K1898"/>
    <mergeCell ref="F1899:H1899"/>
    <mergeCell ref="I1899:K1909"/>
    <mergeCell ref="F1900:H1900"/>
    <mergeCell ref="F1901:H1901"/>
    <mergeCell ref="F1902:H1902"/>
    <mergeCell ref="F1910:H1910"/>
    <mergeCell ref="I1910:K1910"/>
    <mergeCell ref="F1911:H1911"/>
    <mergeCell ref="I1911:K1921"/>
    <mergeCell ref="F1912:H1912"/>
    <mergeCell ref="F1913:H1913"/>
    <mergeCell ref="F1914:H1914"/>
    <mergeCell ref="F1922:H1922"/>
    <mergeCell ref="I1922:K1922"/>
    <mergeCell ref="F1923:H1923"/>
    <mergeCell ref="I1923:K1933"/>
    <mergeCell ref="F1924:H1924"/>
    <mergeCell ref="F1925:H1925"/>
    <mergeCell ref="F1926:H1926"/>
    <mergeCell ref="F1862:H1862"/>
    <mergeCell ref="I1862:K1862"/>
    <mergeCell ref="F1863:H1863"/>
    <mergeCell ref="I1863:K1873"/>
    <mergeCell ref="F1864:H1864"/>
    <mergeCell ref="F1865:H1865"/>
    <mergeCell ref="F1866:H1866"/>
    <mergeCell ref="F1874:H1874"/>
    <mergeCell ref="I1874:K1874"/>
    <mergeCell ref="F1875:H1875"/>
    <mergeCell ref="I1875:K1885"/>
    <mergeCell ref="F1876:H1876"/>
    <mergeCell ref="F1877:H1877"/>
    <mergeCell ref="F1878:H1878"/>
    <mergeCell ref="F1886:H1886"/>
    <mergeCell ref="I1886:K1886"/>
    <mergeCell ref="F1887:H1887"/>
    <mergeCell ref="I1887:K1897"/>
    <mergeCell ref="F1888:H1888"/>
    <mergeCell ref="F1889:H1889"/>
    <mergeCell ref="F1890:H1890"/>
    <mergeCell ref="F1826:H1826"/>
    <mergeCell ref="I1826:K1826"/>
    <mergeCell ref="F1827:H1827"/>
    <mergeCell ref="I1827:K1837"/>
    <mergeCell ref="F1828:H1828"/>
    <mergeCell ref="F1829:H1829"/>
    <mergeCell ref="F1830:H1830"/>
    <mergeCell ref="F1838:H1838"/>
    <mergeCell ref="I1838:K1838"/>
    <mergeCell ref="F1839:H1839"/>
    <mergeCell ref="I1839:K1849"/>
    <mergeCell ref="F1840:H1840"/>
    <mergeCell ref="F1841:H1841"/>
    <mergeCell ref="F1842:H1842"/>
    <mergeCell ref="F1850:H1850"/>
    <mergeCell ref="I1850:K1850"/>
    <mergeCell ref="F1851:H1851"/>
    <mergeCell ref="I1851:K1861"/>
    <mergeCell ref="F1852:H1852"/>
    <mergeCell ref="F1853:H1853"/>
    <mergeCell ref="F1854:H1854"/>
    <mergeCell ref="F1790:H1790"/>
    <mergeCell ref="I1790:K1790"/>
    <mergeCell ref="F1791:H1791"/>
    <mergeCell ref="I1791:K1801"/>
    <mergeCell ref="F1792:H1792"/>
    <mergeCell ref="F1793:H1793"/>
    <mergeCell ref="F1794:H1794"/>
    <mergeCell ref="F1802:H1802"/>
    <mergeCell ref="I1802:K1802"/>
    <mergeCell ref="F1803:H1803"/>
    <mergeCell ref="I1803:K1813"/>
    <mergeCell ref="F1804:H1804"/>
    <mergeCell ref="F1805:H1805"/>
    <mergeCell ref="F1806:H1806"/>
    <mergeCell ref="F1814:H1814"/>
    <mergeCell ref="I1814:K1814"/>
    <mergeCell ref="F1815:H1815"/>
    <mergeCell ref="I1815:K1825"/>
    <mergeCell ref="F1816:H1816"/>
    <mergeCell ref="F1817:H1817"/>
    <mergeCell ref="F1818:H1818"/>
    <mergeCell ref="F1754:H1754"/>
    <mergeCell ref="I1754:K1754"/>
    <mergeCell ref="F1755:H1755"/>
    <mergeCell ref="I1755:K1765"/>
    <mergeCell ref="F1756:H1756"/>
    <mergeCell ref="F1757:H1757"/>
    <mergeCell ref="F1758:H1758"/>
    <mergeCell ref="F1766:H1766"/>
    <mergeCell ref="I1766:K1766"/>
    <mergeCell ref="F1767:H1767"/>
    <mergeCell ref="I1767:K1777"/>
    <mergeCell ref="F1768:H1768"/>
    <mergeCell ref="F1769:H1769"/>
    <mergeCell ref="F1770:H1770"/>
    <mergeCell ref="F1778:H1778"/>
    <mergeCell ref="I1778:K1778"/>
    <mergeCell ref="F1779:H1779"/>
    <mergeCell ref="I1779:K1789"/>
    <mergeCell ref="F1780:H1780"/>
    <mergeCell ref="F1781:H1781"/>
    <mergeCell ref="F1782:H1782"/>
    <mergeCell ref="F1539:H1539"/>
    <mergeCell ref="I1539:K1549"/>
    <mergeCell ref="F1540:H1540"/>
    <mergeCell ref="F1541:H1541"/>
    <mergeCell ref="F1542:H1542"/>
    <mergeCell ref="F1370:H1370"/>
    <mergeCell ref="I1370:K1370"/>
    <mergeCell ref="F1371:H1371"/>
    <mergeCell ref="I1371:K1381"/>
    <mergeCell ref="F1372:H1372"/>
    <mergeCell ref="F1373:H1373"/>
    <mergeCell ref="F1374:H1374"/>
    <mergeCell ref="F1382:H1382"/>
    <mergeCell ref="I1382:K1382"/>
    <mergeCell ref="F1383:H1383"/>
    <mergeCell ref="I1383:K1393"/>
    <mergeCell ref="F1384:H1384"/>
    <mergeCell ref="F1538:H1538"/>
    <mergeCell ref="I1538:K1538"/>
    <mergeCell ref="F1515:H1515"/>
    <mergeCell ref="I1515:K1525"/>
    <mergeCell ref="F1516:H1516"/>
    <mergeCell ref="F1517:H1517"/>
    <mergeCell ref="F1518:H1518"/>
    <mergeCell ref="F1491:H1491"/>
    <mergeCell ref="I1491:K1501"/>
    <mergeCell ref="F1492:H1492"/>
    <mergeCell ref="F1493:H1493"/>
    <mergeCell ref="F1494:H1494"/>
    <mergeCell ref="F1478:H1478"/>
    <mergeCell ref="I1478:K1478"/>
    <mergeCell ref="F1479:H1479"/>
    <mergeCell ref="I1479:K1489"/>
    <mergeCell ref="F1480:H1480"/>
    <mergeCell ref="F1481:H1481"/>
    <mergeCell ref="F1482:H1482"/>
    <mergeCell ref="F1490:H1490"/>
    <mergeCell ref="I1490:K1490"/>
    <mergeCell ref="F1526:H1526"/>
    <mergeCell ref="I1526:K1526"/>
    <mergeCell ref="F1527:H1527"/>
    <mergeCell ref="I1527:K1537"/>
    <mergeCell ref="F1528:H1528"/>
    <mergeCell ref="F1529:H1529"/>
    <mergeCell ref="F1530:H1530"/>
    <mergeCell ref="F1502:H1502"/>
    <mergeCell ref="I1502:K1502"/>
    <mergeCell ref="F1503:H1503"/>
    <mergeCell ref="I1503:K1513"/>
    <mergeCell ref="F1504:H1504"/>
    <mergeCell ref="F1505:H1505"/>
    <mergeCell ref="F1506:H1506"/>
    <mergeCell ref="F1514:H1514"/>
    <mergeCell ref="I1514:K1514"/>
    <mergeCell ref="F1442:H1442"/>
    <mergeCell ref="I1442:K1442"/>
    <mergeCell ref="F1443:H1443"/>
    <mergeCell ref="I1443:K1453"/>
    <mergeCell ref="F1444:H1444"/>
    <mergeCell ref="F1445:H1445"/>
    <mergeCell ref="F1446:H1446"/>
    <mergeCell ref="F1454:H1454"/>
    <mergeCell ref="I1454:K1454"/>
    <mergeCell ref="F1455:H1455"/>
    <mergeCell ref="I1455:K1465"/>
    <mergeCell ref="F1456:H1456"/>
    <mergeCell ref="F1457:H1457"/>
    <mergeCell ref="F1458:H1458"/>
    <mergeCell ref="F1466:H1466"/>
    <mergeCell ref="I1466:K1466"/>
    <mergeCell ref="F1467:H1467"/>
    <mergeCell ref="I1467:K1477"/>
    <mergeCell ref="F1468:H1468"/>
    <mergeCell ref="F1469:H1469"/>
    <mergeCell ref="F1470:H1470"/>
    <mergeCell ref="F1406:H1406"/>
    <mergeCell ref="I1406:K1406"/>
    <mergeCell ref="F1407:H1407"/>
    <mergeCell ref="I1407:K1417"/>
    <mergeCell ref="F1408:H1408"/>
    <mergeCell ref="F1409:H1409"/>
    <mergeCell ref="F1410:H1410"/>
    <mergeCell ref="F1418:H1418"/>
    <mergeCell ref="I1418:K1418"/>
    <mergeCell ref="F1419:H1419"/>
    <mergeCell ref="I1419:K1429"/>
    <mergeCell ref="F1420:H1420"/>
    <mergeCell ref="F1421:H1421"/>
    <mergeCell ref="F1422:H1422"/>
    <mergeCell ref="F1430:H1430"/>
    <mergeCell ref="I1430:K1430"/>
    <mergeCell ref="F1431:H1431"/>
    <mergeCell ref="I1431:K1441"/>
    <mergeCell ref="F1432:H1432"/>
    <mergeCell ref="F1433:H1433"/>
    <mergeCell ref="F1434:H1434"/>
    <mergeCell ref="F1190:H1190"/>
    <mergeCell ref="I1190:K1190"/>
    <mergeCell ref="F1191:H1191"/>
    <mergeCell ref="I1191:K1201"/>
    <mergeCell ref="F1192:H1192"/>
    <mergeCell ref="F1193:H1193"/>
    <mergeCell ref="F1194:H1194"/>
    <mergeCell ref="F1202:H1202"/>
    <mergeCell ref="I1202:K1202"/>
    <mergeCell ref="F1226:H1226"/>
    <mergeCell ref="I1226:K1226"/>
    <mergeCell ref="F1227:H1227"/>
    <mergeCell ref="I1227:K1237"/>
    <mergeCell ref="F1228:H1228"/>
    <mergeCell ref="F1229:H1229"/>
    <mergeCell ref="F1230:H1230"/>
    <mergeCell ref="F1203:H1203"/>
    <mergeCell ref="I1203:K1213"/>
    <mergeCell ref="F1204:H1204"/>
    <mergeCell ref="F1205:H1205"/>
    <mergeCell ref="F1206:H1206"/>
    <mergeCell ref="F1214:H1214"/>
    <mergeCell ref="I1214:K1214"/>
    <mergeCell ref="F1215:H1215"/>
    <mergeCell ref="I1215:K1225"/>
    <mergeCell ref="F1216:H1216"/>
    <mergeCell ref="F1217:H1217"/>
    <mergeCell ref="F1218:H1218"/>
    <mergeCell ref="F1154:H1154"/>
    <mergeCell ref="I1154:K1154"/>
    <mergeCell ref="F1155:H1155"/>
    <mergeCell ref="I1155:K1165"/>
    <mergeCell ref="F1156:H1156"/>
    <mergeCell ref="F1157:H1157"/>
    <mergeCell ref="F1158:H1158"/>
    <mergeCell ref="F1166:H1166"/>
    <mergeCell ref="I1166:K1166"/>
    <mergeCell ref="F1167:H1167"/>
    <mergeCell ref="I1167:K1177"/>
    <mergeCell ref="F1168:H1168"/>
    <mergeCell ref="F1169:H1169"/>
    <mergeCell ref="F1170:H1170"/>
    <mergeCell ref="F1178:H1178"/>
    <mergeCell ref="I1178:K1178"/>
    <mergeCell ref="F1179:H1179"/>
    <mergeCell ref="I1179:K1189"/>
    <mergeCell ref="F1180:H1180"/>
    <mergeCell ref="F1181:H1181"/>
    <mergeCell ref="F1182:H1182"/>
    <mergeCell ref="F1118:H1118"/>
    <mergeCell ref="I1118:K1118"/>
    <mergeCell ref="F1119:H1119"/>
    <mergeCell ref="I1119:K1129"/>
    <mergeCell ref="F1120:H1120"/>
    <mergeCell ref="F1121:H1121"/>
    <mergeCell ref="F1122:H1122"/>
    <mergeCell ref="F1130:H1130"/>
    <mergeCell ref="I1130:K1130"/>
    <mergeCell ref="F1131:H1131"/>
    <mergeCell ref="I1131:K1141"/>
    <mergeCell ref="F1132:H1132"/>
    <mergeCell ref="F1133:H1133"/>
    <mergeCell ref="F1134:H1134"/>
    <mergeCell ref="F1142:H1142"/>
    <mergeCell ref="I1142:K1142"/>
    <mergeCell ref="F1143:H1143"/>
    <mergeCell ref="I1143:K1153"/>
    <mergeCell ref="F1144:H1144"/>
    <mergeCell ref="F1145:H1145"/>
    <mergeCell ref="F1146:H1146"/>
    <mergeCell ref="F1082:H1082"/>
    <mergeCell ref="I1082:K1082"/>
    <mergeCell ref="F1083:H1083"/>
    <mergeCell ref="I1083:K1093"/>
    <mergeCell ref="F1084:H1084"/>
    <mergeCell ref="F1085:H1085"/>
    <mergeCell ref="F1086:H1086"/>
    <mergeCell ref="F1094:H1094"/>
    <mergeCell ref="I1094:K1094"/>
    <mergeCell ref="F1095:H1095"/>
    <mergeCell ref="I1095:K1105"/>
    <mergeCell ref="F1096:H1096"/>
    <mergeCell ref="F1097:H1097"/>
    <mergeCell ref="F1098:H1098"/>
    <mergeCell ref="F1106:H1106"/>
    <mergeCell ref="I1106:K1106"/>
    <mergeCell ref="F1107:H1107"/>
    <mergeCell ref="I1107:K1117"/>
    <mergeCell ref="F1108:H1108"/>
    <mergeCell ref="F1109:H1109"/>
    <mergeCell ref="F1110:H1110"/>
    <mergeCell ref="F902:H902"/>
    <mergeCell ref="I902:K902"/>
    <mergeCell ref="F903:H903"/>
    <mergeCell ref="I903:K913"/>
    <mergeCell ref="F904:H904"/>
    <mergeCell ref="F905:H905"/>
    <mergeCell ref="F906:H906"/>
    <mergeCell ref="F914:H914"/>
    <mergeCell ref="I914:K914"/>
    <mergeCell ref="F915:H915"/>
    <mergeCell ref="I915:K925"/>
    <mergeCell ref="F916:H916"/>
    <mergeCell ref="F917:H917"/>
    <mergeCell ref="F918:H918"/>
    <mergeCell ref="F554:H554"/>
    <mergeCell ref="I554:K554"/>
    <mergeCell ref="F555:H555"/>
    <mergeCell ref="I555:K565"/>
    <mergeCell ref="F556:H556"/>
    <mergeCell ref="F557:H557"/>
    <mergeCell ref="F558:H558"/>
    <mergeCell ref="F566:H566"/>
    <mergeCell ref="I566:K566"/>
    <mergeCell ref="F567:H567"/>
    <mergeCell ref="I567:K577"/>
    <mergeCell ref="F568:H568"/>
    <mergeCell ref="F569:H569"/>
    <mergeCell ref="F570:H570"/>
    <mergeCell ref="F578:H578"/>
    <mergeCell ref="I578:K578"/>
    <mergeCell ref="F579:H579"/>
    <mergeCell ref="F866:H866"/>
    <mergeCell ref="I866:K866"/>
    <mergeCell ref="F867:H867"/>
    <mergeCell ref="I867:K877"/>
    <mergeCell ref="F868:H868"/>
    <mergeCell ref="F869:H869"/>
    <mergeCell ref="F870:H870"/>
    <mergeCell ref="F878:H878"/>
    <mergeCell ref="I878:K878"/>
    <mergeCell ref="F879:H879"/>
    <mergeCell ref="I879:K889"/>
    <mergeCell ref="F880:H880"/>
    <mergeCell ref="F881:H881"/>
    <mergeCell ref="F882:H882"/>
    <mergeCell ref="F890:H890"/>
    <mergeCell ref="I890:K890"/>
    <mergeCell ref="F891:H891"/>
    <mergeCell ref="I891:K901"/>
    <mergeCell ref="F892:H892"/>
    <mergeCell ref="F893:H893"/>
    <mergeCell ref="F894:H894"/>
    <mergeCell ref="F830:H830"/>
    <mergeCell ref="I830:K830"/>
    <mergeCell ref="F831:H831"/>
    <mergeCell ref="I831:K841"/>
    <mergeCell ref="F832:H832"/>
    <mergeCell ref="F833:H833"/>
    <mergeCell ref="F834:H834"/>
    <mergeCell ref="F842:H842"/>
    <mergeCell ref="I842:K842"/>
    <mergeCell ref="F843:H843"/>
    <mergeCell ref="I843:K853"/>
    <mergeCell ref="F844:H844"/>
    <mergeCell ref="F845:H845"/>
    <mergeCell ref="F846:H846"/>
    <mergeCell ref="F854:H854"/>
    <mergeCell ref="I854:K854"/>
    <mergeCell ref="F855:H855"/>
    <mergeCell ref="I855:K865"/>
    <mergeCell ref="F856:H856"/>
    <mergeCell ref="F857:H857"/>
    <mergeCell ref="F858:H858"/>
    <mergeCell ref="F794:H794"/>
    <mergeCell ref="I794:K794"/>
    <mergeCell ref="F795:H795"/>
    <mergeCell ref="I795:K805"/>
    <mergeCell ref="F796:H796"/>
    <mergeCell ref="F797:H797"/>
    <mergeCell ref="F798:H798"/>
    <mergeCell ref="F806:H806"/>
    <mergeCell ref="I806:K806"/>
    <mergeCell ref="F807:H807"/>
    <mergeCell ref="I807:K817"/>
    <mergeCell ref="F808:H808"/>
    <mergeCell ref="F809:H809"/>
    <mergeCell ref="F810:H810"/>
    <mergeCell ref="F818:H818"/>
    <mergeCell ref="I818:K818"/>
    <mergeCell ref="F819:H819"/>
    <mergeCell ref="I819:K829"/>
    <mergeCell ref="F820:H820"/>
    <mergeCell ref="F821:H821"/>
    <mergeCell ref="F822:H822"/>
    <mergeCell ref="F758:H758"/>
    <mergeCell ref="I758:K758"/>
    <mergeCell ref="F759:H759"/>
    <mergeCell ref="I759:K769"/>
    <mergeCell ref="F760:H760"/>
    <mergeCell ref="F761:H761"/>
    <mergeCell ref="F762:H762"/>
    <mergeCell ref="F770:H770"/>
    <mergeCell ref="I770:K770"/>
    <mergeCell ref="F771:H771"/>
    <mergeCell ref="I771:K781"/>
    <mergeCell ref="F772:H772"/>
    <mergeCell ref="F773:H773"/>
    <mergeCell ref="F774:H774"/>
    <mergeCell ref="F782:H782"/>
    <mergeCell ref="I782:K782"/>
    <mergeCell ref="F783:H783"/>
    <mergeCell ref="I783:K793"/>
    <mergeCell ref="F784:H784"/>
    <mergeCell ref="F785:H785"/>
    <mergeCell ref="F786:H786"/>
    <mergeCell ref="F722:H722"/>
    <mergeCell ref="I722:K722"/>
    <mergeCell ref="F723:H723"/>
    <mergeCell ref="I723:K733"/>
    <mergeCell ref="F724:H724"/>
    <mergeCell ref="F725:H725"/>
    <mergeCell ref="F726:H726"/>
    <mergeCell ref="F734:H734"/>
    <mergeCell ref="I734:K734"/>
    <mergeCell ref="F735:H735"/>
    <mergeCell ref="I735:K745"/>
    <mergeCell ref="F736:H736"/>
    <mergeCell ref="F737:H737"/>
    <mergeCell ref="F738:H738"/>
    <mergeCell ref="F746:H746"/>
    <mergeCell ref="I746:K746"/>
    <mergeCell ref="F747:H747"/>
    <mergeCell ref="I747:K757"/>
    <mergeCell ref="F748:H748"/>
    <mergeCell ref="F749:H749"/>
    <mergeCell ref="F750:H750"/>
    <mergeCell ref="F686:H686"/>
    <mergeCell ref="I686:K686"/>
    <mergeCell ref="F687:H687"/>
    <mergeCell ref="I687:K697"/>
    <mergeCell ref="F688:H688"/>
    <mergeCell ref="F689:H689"/>
    <mergeCell ref="F690:H690"/>
    <mergeCell ref="F698:H698"/>
    <mergeCell ref="I698:K698"/>
    <mergeCell ref="F699:H699"/>
    <mergeCell ref="I699:K709"/>
    <mergeCell ref="F700:H700"/>
    <mergeCell ref="F701:H701"/>
    <mergeCell ref="F702:H702"/>
    <mergeCell ref="F710:H710"/>
    <mergeCell ref="I710:K710"/>
    <mergeCell ref="F711:H711"/>
    <mergeCell ref="I711:K721"/>
    <mergeCell ref="F712:H712"/>
    <mergeCell ref="F713:H713"/>
    <mergeCell ref="F714:H714"/>
    <mergeCell ref="F650:H650"/>
    <mergeCell ref="I650:K650"/>
    <mergeCell ref="F651:H651"/>
    <mergeCell ref="I651:K661"/>
    <mergeCell ref="F652:H652"/>
    <mergeCell ref="F653:H653"/>
    <mergeCell ref="F654:H654"/>
    <mergeCell ref="F662:H662"/>
    <mergeCell ref="I662:K662"/>
    <mergeCell ref="F663:H663"/>
    <mergeCell ref="I663:K673"/>
    <mergeCell ref="F664:H664"/>
    <mergeCell ref="F665:H665"/>
    <mergeCell ref="F666:H666"/>
    <mergeCell ref="F674:H674"/>
    <mergeCell ref="I674:K674"/>
    <mergeCell ref="F675:H675"/>
    <mergeCell ref="I675:K685"/>
    <mergeCell ref="F676:H676"/>
    <mergeCell ref="F677:H677"/>
    <mergeCell ref="F678:H678"/>
    <mergeCell ref="F615:H615"/>
    <mergeCell ref="I615:K625"/>
    <mergeCell ref="F616:H616"/>
    <mergeCell ref="F617:H617"/>
    <mergeCell ref="F618:H618"/>
    <mergeCell ref="F626:H626"/>
    <mergeCell ref="I626:K626"/>
    <mergeCell ref="F627:H627"/>
    <mergeCell ref="I627:K637"/>
    <mergeCell ref="F628:H628"/>
    <mergeCell ref="F629:H629"/>
    <mergeCell ref="F630:H630"/>
    <mergeCell ref="F638:H638"/>
    <mergeCell ref="I638:K638"/>
    <mergeCell ref="F639:H639"/>
    <mergeCell ref="I639:K649"/>
    <mergeCell ref="F640:H640"/>
    <mergeCell ref="F641:H641"/>
    <mergeCell ref="F642:H642"/>
    <mergeCell ref="F61:H61"/>
    <mergeCell ref="I61:K72"/>
    <mergeCell ref="F62:H62"/>
    <mergeCell ref="F63:H63"/>
    <mergeCell ref="F64:H64"/>
    <mergeCell ref="F65:H65"/>
    <mergeCell ref="F49:H49"/>
    <mergeCell ref="I49:K60"/>
    <mergeCell ref="F50:H50"/>
    <mergeCell ref="F51:H51"/>
    <mergeCell ref="F52:H52"/>
    <mergeCell ref="F53:H53"/>
    <mergeCell ref="F604:H604"/>
    <mergeCell ref="F605:H605"/>
    <mergeCell ref="F606:H606"/>
    <mergeCell ref="F614:H614"/>
    <mergeCell ref="I614:K614"/>
    <mergeCell ref="F109:H109"/>
    <mergeCell ref="I109:K120"/>
    <mergeCell ref="F110:H110"/>
    <mergeCell ref="F111:H111"/>
    <mergeCell ref="F112:H112"/>
    <mergeCell ref="F113:H113"/>
    <mergeCell ref="F97:H97"/>
    <mergeCell ref="I97:K108"/>
    <mergeCell ref="F98:H98"/>
    <mergeCell ref="F99:H99"/>
    <mergeCell ref="F100:H100"/>
    <mergeCell ref="F101:H101"/>
    <mergeCell ref="F86:H86"/>
    <mergeCell ref="F87:H87"/>
    <mergeCell ref="F88:H88"/>
    <mergeCell ref="F1:H1"/>
    <mergeCell ref="F2:H2"/>
    <mergeCell ref="F3:H3"/>
    <mergeCell ref="F4:H4"/>
    <mergeCell ref="F5:H5"/>
    <mergeCell ref="I1:K1"/>
    <mergeCell ref="I2:K12"/>
    <mergeCell ref="F37:H37"/>
    <mergeCell ref="I37:K48"/>
    <mergeCell ref="F38:H38"/>
    <mergeCell ref="F39:H39"/>
    <mergeCell ref="F40:H40"/>
    <mergeCell ref="F41:H41"/>
    <mergeCell ref="F25:H25"/>
    <mergeCell ref="I25:K36"/>
    <mergeCell ref="F26:H26"/>
    <mergeCell ref="F27:H27"/>
    <mergeCell ref="F28:H28"/>
    <mergeCell ref="F29:H29"/>
    <mergeCell ref="F13:H13"/>
    <mergeCell ref="I13:K24"/>
    <mergeCell ref="F14:H14"/>
    <mergeCell ref="F15:H15"/>
    <mergeCell ref="F16:H16"/>
    <mergeCell ref="F17:H17"/>
    <mergeCell ref="F89:H89"/>
    <mergeCell ref="F73:H73"/>
    <mergeCell ref="I73:K84"/>
    <mergeCell ref="F74:H74"/>
    <mergeCell ref="F75:H75"/>
    <mergeCell ref="F76:H76"/>
    <mergeCell ref="F77:H77"/>
    <mergeCell ref="F85:H85"/>
    <mergeCell ref="I85:K96"/>
    <mergeCell ref="F145:H145"/>
    <mergeCell ref="I145:K156"/>
    <mergeCell ref="F146:H146"/>
    <mergeCell ref="F147:H147"/>
    <mergeCell ref="F148:H148"/>
    <mergeCell ref="F149:H149"/>
    <mergeCell ref="F133:H133"/>
    <mergeCell ref="I133:K144"/>
    <mergeCell ref="F134:H134"/>
    <mergeCell ref="F135:H135"/>
    <mergeCell ref="F136:H136"/>
    <mergeCell ref="F137:H137"/>
    <mergeCell ref="F121:H121"/>
    <mergeCell ref="I121:K132"/>
    <mergeCell ref="F122:H122"/>
    <mergeCell ref="F123:H123"/>
    <mergeCell ref="F124:H124"/>
    <mergeCell ref="F125:H125"/>
    <mergeCell ref="F221:H221"/>
    <mergeCell ref="F181:H181"/>
    <mergeCell ref="I181:K192"/>
    <mergeCell ref="F182:H182"/>
    <mergeCell ref="F183:H183"/>
    <mergeCell ref="F184:H184"/>
    <mergeCell ref="F185:H185"/>
    <mergeCell ref="F169:H169"/>
    <mergeCell ref="I169:K180"/>
    <mergeCell ref="F170:H170"/>
    <mergeCell ref="F171:H171"/>
    <mergeCell ref="F172:H172"/>
    <mergeCell ref="F173:H173"/>
    <mergeCell ref="F157:H157"/>
    <mergeCell ref="I157:K168"/>
    <mergeCell ref="F158:H158"/>
    <mergeCell ref="F159:H159"/>
    <mergeCell ref="F160:H160"/>
    <mergeCell ref="F161:H161"/>
    <mergeCell ref="F241:H241"/>
    <mergeCell ref="I241:K241"/>
    <mergeCell ref="F242:H242"/>
    <mergeCell ref="I242:K252"/>
    <mergeCell ref="F243:H243"/>
    <mergeCell ref="F244:H244"/>
    <mergeCell ref="F245:H245"/>
    <mergeCell ref="F253:H253"/>
    <mergeCell ref="I253:K253"/>
    <mergeCell ref="F205:H205"/>
    <mergeCell ref="I205:K216"/>
    <mergeCell ref="F206:H206"/>
    <mergeCell ref="F207:H207"/>
    <mergeCell ref="F208:H208"/>
    <mergeCell ref="F209:H209"/>
    <mergeCell ref="F193:H193"/>
    <mergeCell ref="I193:K204"/>
    <mergeCell ref="F194:H194"/>
    <mergeCell ref="F195:H195"/>
    <mergeCell ref="F196:H196"/>
    <mergeCell ref="F197:H197"/>
    <mergeCell ref="F229:H229"/>
    <mergeCell ref="I229:K240"/>
    <mergeCell ref="F230:H230"/>
    <mergeCell ref="F231:H231"/>
    <mergeCell ref="F232:H232"/>
    <mergeCell ref="F233:H233"/>
    <mergeCell ref="F217:H217"/>
    <mergeCell ref="I217:K228"/>
    <mergeCell ref="F218:H218"/>
    <mergeCell ref="F219:H219"/>
    <mergeCell ref="F220:H220"/>
    <mergeCell ref="F277:H277"/>
    <mergeCell ref="I277:K277"/>
    <mergeCell ref="F278:H278"/>
    <mergeCell ref="I278:K288"/>
    <mergeCell ref="F279:H279"/>
    <mergeCell ref="F280:H280"/>
    <mergeCell ref="F281:H281"/>
    <mergeCell ref="F289:H289"/>
    <mergeCell ref="I289:K289"/>
    <mergeCell ref="F254:H254"/>
    <mergeCell ref="I254:K264"/>
    <mergeCell ref="F255:H255"/>
    <mergeCell ref="F256:H256"/>
    <mergeCell ref="F257:H257"/>
    <mergeCell ref="F265:H265"/>
    <mergeCell ref="I265:K265"/>
    <mergeCell ref="F266:H266"/>
    <mergeCell ref="I266:K276"/>
    <mergeCell ref="F267:H267"/>
    <mergeCell ref="F268:H268"/>
    <mergeCell ref="F269:H269"/>
    <mergeCell ref="F313:H313"/>
    <mergeCell ref="I313:K313"/>
    <mergeCell ref="F314:H314"/>
    <mergeCell ref="I314:K324"/>
    <mergeCell ref="F315:H315"/>
    <mergeCell ref="F316:H316"/>
    <mergeCell ref="F317:H317"/>
    <mergeCell ref="F325:H325"/>
    <mergeCell ref="I325:K325"/>
    <mergeCell ref="F290:H290"/>
    <mergeCell ref="I290:K300"/>
    <mergeCell ref="F291:H291"/>
    <mergeCell ref="F292:H292"/>
    <mergeCell ref="F293:H293"/>
    <mergeCell ref="F301:H301"/>
    <mergeCell ref="I301:K301"/>
    <mergeCell ref="F302:H302"/>
    <mergeCell ref="I302:K312"/>
    <mergeCell ref="F303:H303"/>
    <mergeCell ref="F304:H304"/>
    <mergeCell ref="F305:H305"/>
    <mergeCell ref="F349:H349"/>
    <mergeCell ref="I349:K349"/>
    <mergeCell ref="F350:H350"/>
    <mergeCell ref="I350:K360"/>
    <mergeCell ref="F351:H351"/>
    <mergeCell ref="F352:H352"/>
    <mergeCell ref="F353:H353"/>
    <mergeCell ref="F361:H361"/>
    <mergeCell ref="I361:K361"/>
    <mergeCell ref="F326:H326"/>
    <mergeCell ref="I326:K336"/>
    <mergeCell ref="F327:H327"/>
    <mergeCell ref="F328:H328"/>
    <mergeCell ref="F329:H329"/>
    <mergeCell ref="F337:H337"/>
    <mergeCell ref="I337:K337"/>
    <mergeCell ref="F338:H338"/>
    <mergeCell ref="I338:K348"/>
    <mergeCell ref="F339:H339"/>
    <mergeCell ref="F340:H340"/>
    <mergeCell ref="F341:H341"/>
    <mergeCell ref="F385:H385"/>
    <mergeCell ref="I385:K385"/>
    <mergeCell ref="F386:H386"/>
    <mergeCell ref="I386:K396"/>
    <mergeCell ref="F387:H387"/>
    <mergeCell ref="F388:H388"/>
    <mergeCell ref="F389:H389"/>
    <mergeCell ref="F397:H397"/>
    <mergeCell ref="I397:K397"/>
    <mergeCell ref="F362:H362"/>
    <mergeCell ref="I362:K372"/>
    <mergeCell ref="F363:H363"/>
    <mergeCell ref="F364:H364"/>
    <mergeCell ref="F365:H365"/>
    <mergeCell ref="F373:H373"/>
    <mergeCell ref="I373:K373"/>
    <mergeCell ref="F374:H374"/>
    <mergeCell ref="I374:K384"/>
    <mergeCell ref="F375:H375"/>
    <mergeCell ref="F376:H376"/>
    <mergeCell ref="F377:H377"/>
    <mergeCell ref="F422:H422"/>
    <mergeCell ref="I422:K422"/>
    <mergeCell ref="F423:H423"/>
    <mergeCell ref="I423:K433"/>
    <mergeCell ref="F424:H424"/>
    <mergeCell ref="F425:H425"/>
    <mergeCell ref="F426:H426"/>
    <mergeCell ref="F434:H434"/>
    <mergeCell ref="I434:K434"/>
    <mergeCell ref="F421:H421"/>
    <mergeCell ref="I421:K421"/>
    <mergeCell ref="F398:H398"/>
    <mergeCell ref="I398:K408"/>
    <mergeCell ref="F399:H399"/>
    <mergeCell ref="F400:H400"/>
    <mergeCell ref="F401:H401"/>
    <mergeCell ref="F409:H409"/>
    <mergeCell ref="I409:K409"/>
    <mergeCell ref="F410:H410"/>
    <mergeCell ref="I410:K420"/>
    <mergeCell ref="F411:H411"/>
    <mergeCell ref="F412:H412"/>
    <mergeCell ref="F413:H413"/>
    <mergeCell ref="F458:H458"/>
    <mergeCell ref="I458:K458"/>
    <mergeCell ref="F459:H459"/>
    <mergeCell ref="I459:K469"/>
    <mergeCell ref="F460:H460"/>
    <mergeCell ref="F461:H461"/>
    <mergeCell ref="F462:H462"/>
    <mergeCell ref="F470:H470"/>
    <mergeCell ref="I470:K470"/>
    <mergeCell ref="F435:H435"/>
    <mergeCell ref="I435:K445"/>
    <mergeCell ref="F436:H436"/>
    <mergeCell ref="F437:H437"/>
    <mergeCell ref="F438:H438"/>
    <mergeCell ref="F446:H446"/>
    <mergeCell ref="I446:K446"/>
    <mergeCell ref="F447:H447"/>
    <mergeCell ref="I447:K457"/>
    <mergeCell ref="F448:H448"/>
    <mergeCell ref="F449:H449"/>
    <mergeCell ref="F450:H450"/>
    <mergeCell ref="F494:H494"/>
    <mergeCell ref="I494:K494"/>
    <mergeCell ref="F495:H495"/>
    <mergeCell ref="I495:K505"/>
    <mergeCell ref="F496:H496"/>
    <mergeCell ref="F497:H497"/>
    <mergeCell ref="F498:H498"/>
    <mergeCell ref="F506:H506"/>
    <mergeCell ref="I506:K506"/>
    <mergeCell ref="F471:H471"/>
    <mergeCell ref="I471:K481"/>
    <mergeCell ref="F472:H472"/>
    <mergeCell ref="F473:H473"/>
    <mergeCell ref="F474:H474"/>
    <mergeCell ref="F482:H482"/>
    <mergeCell ref="I482:K482"/>
    <mergeCell ref="F483:H483"/>
    <mergeCell ref="I483:K493"/>
    <mergeCell ref="F484:H484"/>
    <mergeCell ref="F485:H485"/>
    <mergeCell ref="F486:H486"/>
    <mergeCell ref="I603:K613"/>
    <mergeCell ref="F530:H530"/>
    <mergeCell ref="I530:K530"/>
    <mergeCell ref="F531:H531"/>
    <mergeCell ref="I531:K541"/>
    <mergeCell ref="F532:H532"/>
    <mergeCell ref="F533:H533"/>
    <mergeCell ref="F534:H534"/>
    <mergeCell ref="F542:H542"/>
    <mergeCell ref="I542:K542"/>
    <mergeCell ref="F507:H507"/>
    <mergeCell ref="I507:K517"/>
    <mergeCell ref="F508:H508"/>
    <mergeCell ref="F509:H509"/>
    <mergeCell ref="F510:H510"/>
    <mergeCell ref="F518:H518"/>
    <mergeCell ref="I518:K518"/>
    <mergeCell ref="F519:H519"/>
    <mergeCell ref="I519:K529"/>
    <mergeCell ref="F520:H520"/>
    <mergeCell ref="F521:H521"/>
    <mergeCell ref="F522:H522"/>
    <mergeCell ref="F962:H962"/>
    <mergeCell ref="I962:K962"/>
    <mergeCell ref="F963:H963"/>
    <mergeCell ref="I963:K973"/>
    <mergeCell ref="F964:H964"/>
    <mergeCell ref="F965:H965"/>
    <mergeCell ref="F966:H966"/>
    <mergeCell ref="F974:H974"/>
    <mergeCell ref="I974:K974"/>
    <mergeCell ref="I951:K961"/>
    <mergeCell ref="F952:H952"/>
    <mergeCell ref="F953:H953"/>
    <mergeCell ref="F954:H954"/>
    <mergeCell ref="F543:H543"/>
    <mergeCell ref="I543:K553"/>
    <mergeCell ref="F544:H544"/>
    <mergeCell ref="F545:H545"/>
    <mergeCell ref="F546:H546"/>
    <mergeCell ref="I579:K589"/>
    <mergeCell ref="F580:H580"/>
    <mergeCell ref="F581:H581"/>
    <mergeCell ref="F582:H582"/>
    <mergeCell ref="F590:H590"/>
    <mergeCell ref="I590:K590"/>
    <mergeCell ref="F591:H591"/>
    <mergeCell ref="I591:K601"/>
    <mergeCell ref="F592:H592"/>
    <mergeCell ref="F593:H593"/>
    <mergeCell ref="F594:H594"/>
    <mergeCell ref="F602:H602"/>
    <mergeCell ref="I602:K602"/>
    <mergeCell ref="F603:H603"/>
    <mergeCell ref="F998:H998"/>
    <mergeCell ref="I998:K998"/>
    <mergeCell ref="F999:H999"/>
    <mergeCell ref="I999:K1009"/>
    <mergeCell ref="F1000:H1000"/>
    <mergeCell ref="F1001:H1001"/>
    <mergeCell ref="F1002:H1002"/>
    <mergeCell ref="F1010:H1010"/>
    <mergeCell ref="I1010:K1010"/>
    <mergeCell ref="F975:H975"/>
    <mergeCell ref="I975:K985"/>
    <mergeCell ref="F976:H976"/>
    <mergeCell ref="F977:H977"/>
    <mergeCell ref="F978:H978"/>
    <mergeCell ref="F986:H986"/>
    <mergeCell ref="I986:K986"/>
    <mergeCell ref="F987:H987"/>
    <mergeCell ref="I987:K997"/>
    <mergeCell ref="F988:H988"/>
    <mergeCell ref="F989:H989"/>
    <mergeCell ref="F990:H990"/>
    <mergeCell ref="I1059:K1069"/>
    <mergeCell ref="F1060:H1060"/>
    <mergeCell ref="F1061:H1061"/>
    <mergeCell ref="F1062:H1062"/>
    <mergeCell ref="F1034:H1034"/>
    <mergeCell ref="I1034:K1034"/>
    <mergeCell ref="F1035:H1035"/>
    <mergeCell ref="I1035:K1045"/>
    <mergeCell ref="F1036:H1036"/>
    <mergeCell ref="F1037:H1037"/>
    <mergeCell ref="F1038:H1038"/>
    <mergeCell ref="F1046:H1046"/>
    <mergeCell ref="I1046:K1046"/>
    <mergeCell ref="F1011:H1011"/>
    <mergeCell ref="I1011:K1021"/>
    <mergeCell ref="F1012:H1012"/>
    <mergeCell ref="F1013:H1013"/>
    <mergeCell ref="F1014:H1014"/>
    <mergeCell ref="F1022:H1022"/>
    <mergeCell ref="I1022:K1022"/>
    <mergeCell ref="F1023:H1023"/>
    <mergeCell ref="I1023:K1033"/>
    <mergeCell ref="F1024:H1024"/>
    <mergeCell ref="F1025:H1025"/>
    <mergeCell ref="F1026:H1026"/>
    <mergeCell ref="F1070:H1070"/>
    <mergeCell ref="I1070:K1070"/>
    <mergeCell ref="F1071:H1071"/>
    <mergeCell ref="I1071:K1081"/>
    <mergeCell ref="F1072:H1072"/>
    <mergeCell ref="F1073:H1073"/>
    <mergeCell ref="F1074:H1074"/>
    <mergeCell ref="F926:H926"/>
    <mergeCell ref="I926:K926"/>
    <mergeCell ref="F927:H927"/>
    <mergeCell ref="I927:K937"/>
    <mergeCell ref="F928:H928"/>
    <mergeCell ref="F929:H929"/>
    <mergeCell ref="F930:H930"/>
    <mergeCell ref="F938:H938"/>
    <mergeCell ref="I938:K938"/>
    <mergeCell ref="F939:H939"/>
    <mergeCell ref="I939:K949"/>
    <mergeCell ref="F940:H940"/>
    <mergeCell ref="F941:H941"/>
    <mergeCell ref="F942:H942"/>
    <mergeCell ref="F950:H950"/>
    <mergeCell ref="I950:K950"/>
    <mergeCell ref="F951:H951"/>
    <mergeCell ref="F1047:H1047"/>
    <mergeCell ref="I1047:K1057"/>
    <mergeCell ref="F1048:H1048"/>
    <mergeCell ref="F1049:H1049"/>
    <mergeCell ref="F1050:H1050"/>
    <mergeCell ref="F1058:H1058"/>
    <mergeCell ref="I1058:K1058"/>
    <mergeCell ref="F1059:H1059"/>
    <mergeCell ref="F1251:H1251"/>
    <mergeCell ref="I1251:K1261"/>
    <mergeCell ref="F1252:H1252"/>
    <mergeCell ref="F1253:H1253"/>
    <mergeCell ref="F1254:H1254"/>
    <mergeCell ref="F1262:H1262"/>
    <mergeCell ref="I1262:K1262"/>
    <mergeCell ref="F1263:H1263"/>
    <mergeCell ref="I1263:K1273"/>
    <mergeCell ref="F1264:H1264"/>
    <mergeCell ref="F1265:H1265"/>
    <mergeCell ref="F1266:H1266"/>
    <mergeCell ref="F1238:H1238"/>
    <mergeCell ref="I1238:K1238"/>
    <mergeCell ref="F1239:H1239"/>
    <mergeCell ref="I1239:K1249"/>
    <mergeCell ref="F1240:H1240"/>
    <mergeCell ref="F1241:H1241"/>
    <mergeCell ref="F1242:H1242"/>
    <mergeCell ref="F1250:H1250"/>
    <mergeCell ref="I1250:K1250"/>
    <mergeCell ref="F1287:H1287"/>
    <mergeCell ref="I1287:K1297"/>
    <mergeCell ref="F1288:H1288"/>
    <mergeCell ref="F1289:H1289"/>
    <mergeCell ref="F1290:H1290"/>
    <mergeCell ref="F1298:H1298"/>
    <mergeCell ref="I1298:K1298"/>
    <mergeCell ref="F1299:H1299"/>
    <mergeCell ref="I1299:K1309"/>
    <mergeCell ref="F1300:H1300"/>
    <mergeCell ref="F1301:H1301"/>
    <mergeCell ref="F1302:H1302"/>
    <mergeCell ref="F1274:H1274"/>
    <mergeCell ref="I1274:K1274"/>
    <mergeCell ref="F1275:H1275"/>
    <mergeCell ref="I1275:K1285"/>
    <mergeCell ref="F1276:H1276"/>
    <mergeCell ref="F1277:H1277"/>
    <mergeCell ref="F1278:H1278"/>
    <mergeCell ref="F1286:H1286"/>
    <mergeCell ref="I1286:K1286"/>
    <mergeCell ref="F1323:H1323"/>
    <mergeCell ref="I1323:K1333"/>
    <mergeCell ref="F1324:H1324"/>
    <mergeCell ref="F1325:H1325"/>
    <mergeCell ref="F1326:H1326"/>
    <mergeCell ref="F1334:H1334"/>
    <mergeCell ref="I1334:K1334"/>
    <mergeCell ref="F1335:H1335"/>
    <mergeCell ref="I1335:K1345"/>
    <mergeCell ref="F1336:H1336"/>
    <mergeCell ref="F1337:H1337"/>
    <mergeCell ref="F1338:H1338"/>
    <mergeCell ref="F1310:H1310"/>
    <mergeCell ref="I1310:K1310"/>
    <mergeCell ref="F1311:H1311"/>
    <mergeCell ref="I1311:K1321"/>
    <mergeCell ref="F1312:H1312"/>
    <mergeCell ref="F1313:H1313"/>
    <mergeCell ref="F1314:H1314"/>
    <mergeCell ref="F1322:H1322"/>
    <mergeCell ref="I1322:K1322"/>
    <mergeCell ref="F1550:H1550"/>
    <mergeCell ref="I1550:K1550"/>
    <mergeCell ref="F1551:H1551"/>
    <mergeCell ref="I1551:K1561"/>
    <mergeCell ref="F1552:H1552"/>
    <mergeCell ref="F1553:H1553"/>
    <mergeCell ref="F1554:H1554"/>
    <mergeCell ref="F1562:H1562"/>
    <mergeCell ref="I1562:K1562"/>
    <mergeCell ref="F1359:H1359"/>
    <mergeCell ref="I1359:K1369"/>
    <mergeCell ref="F1360:H1360"/>
    <mergeCell ref="F1361:H1361"/>
    <mergeCell ref="F1362:H1362"/>
    <mergeCell ref="F1346:H1346"/>
    <mergeCell ref="I1346:K1346"/>
    <mergeCell ref="F1347:H1347"/>
    <mergeCell ref="I1347:K1357"/>
    <mergeCell ref="F1348:H1348"/>
    <mergeCell ref="F1349:H1349"/>
    <mergeCell ref="F1350:H1350"/>
    <mergeCell ref="F1358:H1358"/>
    <mergeCell ref="I1358:K1358"/>
    <mergeCell ref="F1385:H1385"/>
    <mergeCell ref="F1386:H1386"/>
    <mergeCell ref="F1394:H1394"/>
    <mergeCell ref="I1394:K1394"/>
    <mergeCell ref="F1395:H1395"/>
    <mergeCell ref="I1395:K1405"/>
    <mergeCell ref="F1396:H1396"/>
    <mergeCell ref="F1397:H1397"/>
    <mergeCell ref="F1398:H1398"/>
    <mergeCell ref="F1586:H1586"/>
    <mergeCell ref="I1586:K1586"/>
    <mergeCell ref="F1587:H1587"/>
    <mergeCell ref="I1587:K1597"/>
    <mergeCell ref="F1588:H1588"/>
    <mergeCell ref="F1589:H1589"/>
    <mergeCell ref="F1590:H1590"/>
    <mergeCell ref="F1598:H1598"/>
    <mergeCell ref="I1598:K1598"/>
    <mergeCell ref="F1563:H1563"/>
    <mergeCell ref="I1563:K1573"/>
    <mergeCell ref="F1564:H1564"/>
    <mergeCell ref="F1565:H1565"/>
    <mergeCell ref="F1566:H1566"/>
    <mergeCell ref="F1574:H1574"/>
    <mergeCell ref="I1574:K1574"/>
    <mergeCell ref="F1575:H1575"/>
    <mergeCell ref="I1575:K1585"/>
    <mergeCell ref="F1576:H1576"/>
    <mergeCell ref="F1577:H1577"/>
    <mergeCell ref="F1578:H1578"/>
    <mergeCell ref="F1622:H1622"/>
    <mergeCell ref="I1622:K1622"/>
    <mergeCell ref="F1623:H1623"/>
    <mergeCell ref="I1623:K1633"/>
    <mergeCell ref="F1624:H1624"/>
    <mergeCell ref="F1625:H1625"/>
    <mergeCell ref="F1626:H1626"/>
    <mergeCell ref="F1634:H1634"/>
    <mergeCell ref="I1634:K1634"/>
    <mergeCell ref="F1599:H1599"/>
    <mergeCell ref="I1599:K1609"/>
    <mergeCell ref="F1600:H1600"/>
    <mergeCell ref="F1601:H1601"/>
    <mergeCell ref="F1602:H1602"/>
    <mergeCell ref="F1610:H1610"/>
    <mergeCell ref="I1610:K1610"/>
    <mergeCell ref="F1611:H1611"/>
    <mergeCell ref="I1611:K1621"/>
    <mergeCell ref="F1612:H1612"/>
    <mergeCell ref="F1613:H1613"/>
    <mergeCell ref="F1614:H1614"/>
    <mergeCell ref="F1658:H1658"/>
    <mergeCell ref="I1658:K1658"/>
    <mergeCell ref="F1659:H1659"/>
    <mergeCell ref="I1659:K1669"/>
    <mergeCell ref="F1660:H1660"/>
    <mergeCell ref="F1661:H1661"/>
    <mergeCell ref="F1662:H1662"/>
    <mergeCell ref="F1670:H1670"/>
    <mergeCell ref="I1670:K1670"/>
    <mergeCell ref="F1635:H1635"/>
    <mergeCell ref="I1635:K1645"/>
    <mergeCell ref="F1636:H1636"/>
    <mergeCell ref="F1637:H1637"/>
    <mergeCell ref="F1638:H1638"/>
    <mergeCell ref="F1646:H1646"/>
    <mergeCell ref="I1646:K1646"/>
    <mergeCell ref="F1647:H1647"/>
    <mergeCell ref="I1647:K1657"/>
    <mergeCell ref="F1648:H1648"/>
    <mergeCell ref="F1649:H1649"/>
    <mergeCell ref="F1650:H1650"/>
    <mergeCell ref="F1694:H1694"/>
    <mergeCell ref="I1694:K1694"/>
    <mergeCell ref="F1695:H1695"/>
    <mergeCell ref="I1695:K1705"/>
    <mergeCell ref="F1696:H1696"/>
    <mergeCell ref="F1697:H1697"/>
    <mergeCell ref="F1698:H1698"/>
    <mergeCell ref="F1706:H1706"/>
    <mergeCell ref="I1706:K1706"/>
    <mergeCell ref="F1671:H1671"/>
    <mergeCell ref="I1671:K1681"/>
    <mergeCell ref="F1672:H1672"/>
    <mergeCell ref="F1673:H1673"/>
    <mergeCell ref="F1674:H1674"/>
    <mergeCell ref="F1682:H1682"/>
    <mergeCell ref="I1682:K1682"/>
    <mergeCell ref="F1683:H1683"/>
    <mergeCell ref="I1683:K1693"/>
    <mergeCell ref="F1684:H1684"/>
    <mergeCell ref="F1685:H1685"/>
    <mergeCell ref="F1686:H1686"/>
    <mergeCell ref="F1743:H1743"/>
    <mergeCell ref="I1743:K1753"/>
    <mergeCell ref="F1744:H1744"/>
    <mergeCell ref="F1745:H1745"/>
    <mergeCell ref="F1746:H1746"/>
    <mergeCell ref="F1730:H1730"/>
    <mergeCell ref="I1730:K1730"/>
    <mergeCell ref="F1731:H1731"/>
    <mergeCell ref="I1731:K1741"/>
    <mergeCell ref="F1732:H1732"/>
    <mergeCell ref="F1733:H1733"/>
    <mergeCell ref="F1734:H1734"/>
    <mergeCell ref="F1742:H1742"/>
    <mergeCell ref="I1742:K1742"/>
    <mergeCell ref="F1707:H1707"/>
    <mergeCell ref="I1707:K1717"/>
    <mergeCell ref="F1708:H1708"/>
    <mergeCell ref="F1709:H1709"/>
    <mergeCell ref="F1710:H1710"/>
    <mergeCell ref="F1718:H1718"/>
    <mergeCell ref="I1718:K1718"/>
    <mergeCell ref="F1719:H1719"/>
    <mergeCell ref="I1719:K1729"/>
    <mergeCell ref="F1720:H1720"/>
    <mergeCell ref="F1721:H1721"/>
    <mergeCell ref="F1722:H1722"/>
    <mergeCell ref="F2006:H2006"/>
    <mergeCell ref="I2006:K2006"/>
    <mergeCell ref="F2007:H2007"/>
    <mergeCell ref="I2007:K2017"/>
    <mergeCell ref="F2008:H2008"/>
    <mergeCell ref="F2009:H2009"/>
    <mergeCell ref="F2010:H2010"/>
    <mergeCell ref="F2018:H2018"/>
    <mergeCell ref="I2018:K2018"/>
    <mergeCell ref="F2019:H2019"/>
    <mergeCell ref="I2019:K2029"/>
    <mergeCell ref="F2020:H2020"/>
    <mergeCell ref="F2021:H2021"/>
    <mergeCell ref="F2022:H2022"/>
    <mergeCell ref="F2030:H2030"/>
    <mergeCell ref="I2030:K2030"/>
    <mergeCell ref="F2031:H2031"/>
    <mergeCell ref="I2031:K2041"/>
    <mergeCell ref="F2032:H2032"/>
    <mergeCell ref="F2033:H2033"/>
    <mergeCell ref="F2034:H2034"/>
    <mergeCell ref="F2042:H2042"/>
    <mergeCell ref="I2042:K2042"/>
    <mergeCell ref="F2043:H2043"/>
    <mergeCell ref="I2043:K2053"/>
    <mergeCell ref="F2044:H2044"/>
    <mergeCell ref="F2045:H2045"/>
    <mergeCell ref="F2046:H2046"/>
    <mergeCell ref="F2054:H2054"/>
    <mergeCell ref="I2054:K2054"/>
    <mergeCell ref="F2055:H2055"/>
    <mergeCell ref="I2055:K2065"/>
    <mergeCell ref="F2056:H2056"/>
    <mergeCell ref="F2057:H2057"/>
    <mergeCell ref="F2058:H2058"/>
    <mergeCell ref="F2066:H2066"/>
    <mergeCell ref="I2066:K2066"/>
    <mergeCell ref="F2067:H2067"/>
    <mergeCell ref="I2067:K2077"/>
    <mergeCell ref="F2068:H2068"/>
    <mergeCell ref="F2069:H2069"/>
    <mergeCell ref="F2070:H2070"/>
    <mergeCell ref="F2078:H2078"/>
    <mergeCell ref="I2078:K2078"/>
    <mergeCell ref="F2079:H2079"/>
    <mergeCell ref="I2079:K2089"/>
    <mergeCell ref="F2080:H2080"/>
    <mergeCell ref="F2081:H2081"/>
    <mergeCell ref="F2082:H2082"/>
    <mergeCell ref="F2090:H2090"/>
    <mergeCell ref="I2090:K2090"/>
    <mergeCell ref="F2091:H2091"/>
    <mergeCell ref="I2091:K2101"/>
    <mergeCell ref="F2092:H2092"/>
    <mergeCell ref="F2093:H2093"/>
    <mergeCell ref="F2094:H2094"/>
    <mergeCell ref="F2222:H2222"/>
    <mergeCell ref="I2222:K2222"/>
    <mergeCell ref="F2223:H2223"/>
    <mergeCell ref="I2223:K2233"/>
    <mergeCell ref="F2224:H2224"/>
    <mergeCell ref="F2225:H2225"/>
    <mergeCell ref="F2226:H2226"/>
    <mergeCell ref="F2102:H2102"/>
    <mergeCell ref="I2102:K2102"/>
    <mergeCell ref="F2103:H2103"/>
    <mergeCell ref="I2103:K2113"/>
    <mergeCell ref="F2104:H2104"/>
    <mergeCell ref="F2105:H2105"/>
    <mergeCell ref="F2106:H2106"/>
    <mergeCell ref="F2114:H2114"/>
    <mergeCell ref="I2114:K2114"/>
    <mergeCell ref="F2115:H2115"/>
    <mergeCell ref="I2115:K2125"/>
    <mergeCell ref="F2234:H2234"/>
    <mergeCell ref="I2234:K2234"/>
    <mergeCell ref="F2235:H2235"/>
    <mergeCell ref="I2235:K2245"/>
    <mergeCell ref="F2236:H2236"/>
    <mergeCell ref="F2237:H2237"/>
    <mergeCell ref="F2238:H2238"/>
    <mergeCell ref="F2246:H2246"/>
    <mergeCell ref="I2246:K2246"/>
    <mergeCell ref="F2247:H2247"/>
    <mergeCell ref="I2247:K2257"/>
    <mergeCell ref="F2248:H2248"/>
    <mergeCell ref="F2249:H2249"/>
    <mergeCell ref="F2250:H2250"/>
    <mergeCell ref="F2258:H2258"/>
    <mergeCell ref="I2258:K2258"/>
    <mergeCell ref="F2259:H2259"/>
    <mergeCell ref="I2259:K2269"/>
    <mergeCell ref="F2260:H2260"/>
    <mergeCell ref="F2261:H2261"/>
    <mergeCell ref="F2262:H2262"/>
    <mergeCell ref="F2270:H2270"/>
    <mergeCell ref="I2270:K2270"/>
    <mergeCell ref="F2271:H2271"/>
    <mergeCell ref="I2271:K2281"/>
    <mergeCell ref="F2272:H2272"/>
    <mergeCell ref="F2273:H2273"/>
    <mergeCell ref="F2274:H2274"/>
    <mergeCell ref="F2282:H2282"/>
    <mergeCell ref="I2282:K2282"/>
    <mergeCell ref="F2283:H2283"/>
    <mergeCell ref="I2283:K2293"/>
    <mergeCell ref="F2284:H2284"/>
    <mergeCell ref="F2285:H2285"/>
    <mergeCell ref="F2286:H2286"/>
    <mergeCell ref="F2294:H2294"/>
    <mergeCell ref="I2294:K2294"/>
    <mergeCell ref="F2295:H2295"/>
    <mergeCell ref="I2295:K2305"/>
    <mergeCell ref="F2296:H2296"/>
    <mergeCell ref="F2297:H2297"/>
    <mergeCell ref="F2298:H2298"/>
    <mergeCell ref="F2306:H2306"/>
    <mergeCell ref="I2306:K2306"/>
    <mergeCell ref="F2307:H2307"/>
    <mergeCell ref="I2307:K2317"/>
    <mergeCell ref="F2308:H2308"/>
    <mergeCell ref="F2309:H2309"/>
    <mergeCell ref="F2310:H2310"/>
    <mergeCell ref="F2318:H2318"/>
    <mergeCell ref="I2318:K2318"/>
    <mergeCell ref="F2319:H2319"/>
    <mergeCell ref="I2319:K2329"/>
    <mergeCell ref="F2320:H2320"/>
    <mergeCell ref="F2321:H2321"/>
    <mergeCell ref="F2322:H2322"/>
    <mergeCell ref="F2330:H2330"/>
    <mergeCell ref="I2330:K2330"/>
    <mergeCell ref="F2331:H2331"/>
    <mergeCell ref="I2331:K2341"/>
    <mergeCell ref="F2332:H2332"/>
    <mergeCell ref="F2333:H2333"/>
    <mergeCell ref="F2334:H2334"/>
    <mergeCell ref="F2342:H2342"/>
    <mergeCell ref="I2342:K2342"/>
    <mergeCell ref="F2343:H2343"/>
    <mergeCell ref="I2343:K2353"/>
    <mergeCell ref="F2344:H2344"/>
    <mergeCell ref="F2345:H2345"/>
    <mergeCell ref="F2346:H2346"/>
    <mergeCell ref="F2354:H2354"/>
    <mergeCell ref="I2354:K2354"/>
    <mergeCell ref="F2355:H2355"/>
    <mergeCell ref="I2355:K2365"/>
    <mergeCell ref="F2356:H2356"/>
    <mergeCell ref="F2357:H2357"/>
    <mergeCell ref="F2358:H2358"/>
    <mergeCell ref="F2366:H2366"/>
    <mergeCell ref="I2366:K2366"/>
    <mergeCell ref="F2367:H2367"/>
    <mergeCell ref="I2367:K2377"/>
    <mergeCell ref="F2368:H2368"/>
    <mergeCell ref="F2369:H2369"/>
    <mergeCell ref="F2370:H2370"/>
    <mergeCell ref="F2510:H2510"/>
    <mergeCell ref="I2510:K2510"/>
    <mergeCell ref="F2511:H2511"/>
    <mergeCell ref="I2511:K2521"/>
    <mergeCell ref="F2440:H2440"/>
    <mergeCell ref="F2441:H2441"/>
    <mergeCell ref="F2442:H2442"/>
    <mergeCell ref="F2450:H2450"/>
    <mergeCell ref="I2450:K2450"/>
    <mergeCell ref="F2451:H2451"/>
    <mergeCell ref="I2451:K2461"/>
    <mergeCell ref="F2428:H2428"/>
    <mergeCell ref="F2429:H2429"/>
    <mergeCell ref="F2430:H2430"/>
    <mergeCell ref="F2378:H2378"/>
    <mergeCell ref="I2378:K2378"/>
    <mergeCell ref="F2379:H2379"/>
    <mergeCell ref="I2379:K2389"/>
    <mergeCell ref="F2380:H2380"/>
    <mergeCell ref="F2381:H2381"/>
    <mergeCell ref="F2382:H2382"/>
    <mergeCell ref="F2390:H2390"/>
    <mergeCell ref="I2390:K2390"/>
    <mergeCell ref="F2391:H2391"/>
    <mergeCell ref="I2391:K2401"/>
    <mergeCell ref="F2392:H2392"/>
    <mergeCell ref="F2393:H2393"/>
    <mergeCell ref="F2394:H2394"/>
    <mergeCell ref="F2452:H2452"/>
    <mergeCell ref="F2453:H2453"/>
    <mergeCell ref="F2454:H2454"/>
    <mergeCell ref="F2474:H2474"/>
    <mergeCell ref="I2474:K2474"/>
    <mergeCell ref="F2475:H2475"/>
    <mergeCell ref="I2475:K2485"/>
    <mergeCell ref="F2476:H2476"/>
    <mergeCell ref="F2477:H2477"/>
    <mergeCell ref="F2478:H2478"/>
    <mergeCell ref="F2486:H2486"/>
    <mergeCell ref="I2486:K2486"/>
    <mergeCell ref="F2487:H2487"/>
    <mergeCell ref="I2487:K2497"/>
    <mergeCell ref="F2488:H2488"/>
    <mergeCell ref="F2489:H2489"/>
    <mergeCell ref="F2490:H2490"/>
    <mergeCell ref="F2498:H2498"/>
    <mergeCell ref="I2498:K2498"/>
    <mergeCell ref="F2499:H2499"/>
    <mergeCell ref="I2499:K2509"/>
    <mergeCell ref="F2500:H2500"/>
    <mergeCell ref="F2501:H2501"/>
    <mergeCell ref="F2502:H2502"/>
    <mergeCell ref="F2462:H2462"/>
    <mergeCell ref="I2462:K2462"/>
    <mergeCell ref="F2463:H2463"/>
    <mergeCell ref="I2463:K2473"/>
    <mergeCell ref="F2464:H2464"/>
    <mergeCell ref="F2465:H2465"/>
    <mergeCell ref="F2466:H2466"/>
    <mergeCell ref="F2402:H2402"/>
    <mergeCell ref="I2402:K2402"/>
    <mergeCell ref="F2403:H2403"/>
    <mergeCell ref="I2403:K2413"/>
    <mergeCell ref="F2404:H2404"/>
    <mergeCell ref="F2405:H2405"/>
    <mergeCell ref="F2406:H2406"/>
    <mergeCell ref="F2414:H2414"/>
    <mergeCell ref="I2414:K2414"/>
    <mergeCell ref="F2415:H2415"/>
    <mergeCell ref="I2415:K2425"/>
    <mergeCell ref="F2416:H2416"/>
    <mergeCell ref="F2417:H2417"/>
    <mergeCell ref="F2418:H2418"/>
    <mergeCell ref="F2426:H2426"/>
    <mergeCell ref="I2426:K2426"/>
    <mergeCell ref="F2427:H2427"/>
    <mergeCell ref="I2427:K2437"/>
    <mergeCell ref="F2438:H2438"/>
    <mergeCell ref="I2438:K2438"/>
    <mergeCell ref="F2439:H2439"/>
    <mergeCell ref="I2439:K2449"/>
    <mergeCell ref="F2559:H2559"/>
    <mergeCell ref="I2559:K2569"/>
    <mergeCell ref="F2560:H2560"/>
    <mergeCell ref="F2561:H2561"/>
    <mergeCell ref="F2562:H2562"/>
    <mergeCell ref="F2534:H2534"/>
    <mergeCell ref="F2512:H2512"/>
    <mergeCell ref="F2513:H2513"/>
    <mergeCell ref="F2514:H2514"/>
    <mergeCell ref="I2534:K2534"/>
    <mergeCell ref="F2535:H2535"/>
    <mergeCell ref="I2535:K2545"/>
    <mergeCell ref="F2536:H2536"/>
    <mergeCell ref="F2537:H2537"/>
    <mergeCell ref="F2538:H2538"/>
    <mergeCell ref="F2546:H2546"/>
    <mergeCell ref="I2546:K2546"/>
    <mergeCell ref="F2547:H2547"/>
    <mergeCell ref="I2547:K2557"/>
    <mergeCell ref="F2548:H2548"/>
    <mergeCell ref="F2549:H2549"/>
    <mergeCell ref="F2550:H2550"/>
    <mergeCell ref="F2558:H2558"/>
    <mergeCell ref="I2558:K2558"/>
    <mergeCell ref="F2522:H2522"/>
    <mergeCell ref="I2522:K2522"/>
    <mergeCell ref="F2523:H2523"/>
    <mergeCell ref="I2523:K2533"/>
    <mergeCell ref="F2524:H2524"/>
    <mergeCell ref="F2525:H2525"/>
    <mergeCell ref="F2526:H2526"/>
    <mergeCell ref="F2750:H2750"/>
    <mergeCell ref="I2750:K2750"/>
    <mergeCell ref="F2751:H2751"/>
    <mergeCell ref="I2751:K2761"/>
    <mergeCell ref="F2752:H2752"/>
    <mergeCell ref="F2753:H2753"/>
    <mergeCell ref="F2754:H2754"/>
    <mergeCell ref="F2762:H2762"/>
    <mergeCell ref="I2762:K2762"/>
    <mergeCell ref="F2763:H2763"/>
    <mergeCell ref="I2763:K2773"/>
    <mergeCell ref="F2764:H2764"/>
    <mergeCell ref="F2765:H2765"/>
    <mergeCell ref="F2766:H2766"/>
    <mergeCell ref="F2774:H2774"/>
    <mergeCell ref="I2774:K2774"/>
    <mergeCell ref="F2775:H2775"/>
    <mergeCell ref="I2775:K2785"/>
    <mergeCell ref="F2776:H2776"/>
    <mergeCell ref="F2777:H2777"/>
    <mergeCell ref="F2778:H2778"/>
    <mergeCell ref="F2786:H2786"/>
    <mergeCell ref="I2786:K2786"/>
    <mergeCell ref="F2787:H2787"/>
    <mergeCell ref="I2787:K2797"/>
    <mergeCell ref="F2788:H2788"/>
    <mergeCell ref="F2789:H2789"/>
    <mergeCell ref="F2790:H2790"/>
    <mergeCell ref="F2798:H2798"/>
    <mergeCell ref="I2798:K2798"/>
    <mergeCell ref="F2799:H2799"/>
    <mergeCell ref="I2799:K2809"/>
    <mergeCell ref="F2800:H2800"/>
    <mergeCell ref="F2801:H2801"/>
    <mergeCell ref="F2802:H2802"/>
    <mergeCell ref="F2810:H2810"/>
    <mergeCell ref="I2810:K2810"/>
    <mergeCell ref="F2811:H2811"/>
    <mergeCell ref="I2811:K2821"/>
    <mergeCell ref="F2812:H2812"/>
    <mergeCell ref="F2813:H2813"/>
    <mergeCell ref="F2814:H2814"/>
    <mergeCell ref="F2822:H2822"/>
    <mergeCell ref="I2822:K2822"/>
    <mergeCell ref="F2823:H2823"/>
    <mergeCell ref="I2823:K2833"/>
    <mergeCell ref="F2824:H2824"/>
    <mergeCell ref="F2825:H2825"/>
    <mergeCell ref="F2826:H2826"/>
    <mergeCell ref="F2834:H2834"/>
    <mergeCell ref="I2834:K2834"/>
    <mergeCell ref="F2835:H2835"/>
    <mergeCell ref="I2835:K2845"/>
    <mergeCell ref="F2836:H2836"/>
    <mergeCell ref="F2837:H2837"/>
    <mergeCell ref="F2838:H2838"/>
    <mergeCell ref="F2846:H2846"/>
    <mergeCell ref="I2846:K2846"/>
    <mergeCell ref="F2847:H2847"/>
    <mergeCell ref="I2847:K2857"/>
    <mergeCell ref="F2848:H2848"/>
    <mergeCell ref="F2849:H2849"/>
    <mergeCell ref="F2850:H2850"/>
    <mergeCell ref="F2858:H2858"/>
    <mergeCell ref="I2858:K2858"/>
    <mergeCell ref="F2859:H2859"/>
    <mergeCell ref="I2859:K2869"/>
    <mergeCell ref="F2860:H2860"/>
    <mergeCell ref="F2861:H2861"/>
    <mergeCell ref="F2862:H2862"/>
    <mergeCell ref="F2870:H2870"/>
    <mergeCell ref="I2870:K2870"/>
    <mergeCell ref="F2871:H2871"/>
    <mergeCell ref="I2871:K2881"/>
    <mergeCell ref="F2872:H2872"/>
    <mergeCell ref="F2873:H2873"/>
    <mergeCell ref="F2874:H2874"/>
    <mergeCell ref="F2882:H2882"/>
    <mergeCell ref="I2882:K2882"/>
    <mergeCell ref="F2883:H2883"/>
    <mergeCell ref="I2883:K2893"/>
    <mergeCell ref="F2884:H2884"/>
    <mergeCell ref="F2885:H2885"/>
    <mergeCell ref="F2886:H2886"/>
    <mergeCell ref="F2894:H2894"/>
    <mergeCell ref="I2894:K2894"/>
    <mergeCell ref="F2895:H2895"/>
    <mergeCell ref="I2895:K2905"/>
    <mergeCell ref="F2896:H2896"/>
    <mergeCell ref="F2897:H2897"/>
    <mergeCell ref="F2898:H2898"/>
    <mergeCell ref="F2906:H2906"/>
    <mergeCell ref="I2906:K2906"/>
    <mergeCell ref="F2907:H2907"/>
    <mergeCell ref="I2907:K2917"/>
    <mergeCell ref="F2908:H2908"/>
    <mergeCell ref="F2909:H2909"/>
    <mergeCell ref="F2910:H2910"/>
    <mergeCell ref="F2918:H2918"/>
    <mergeCell ref="I2918:K2918"/>
    <mergeCell ref="F2919:H2919"/>
    <mergeCell ref="I2919:K2929"/>
    <mergeCell ref="F2920:H2920"/>
    <mergeCell ref="F2921:H2921"/>
    <mergeCell ref="F2922:H2922"/>
    <mergeCell ref="F2930:H2930"/>
    <mergeCell ref="I2930:K2930"/>
    <mergeCell ref="F2931:H2931"/>
    <mergeCell ref="I2931:K2941"/>
    <mergeCell ref="F2932:H2932"/>
    <mergeCell ref="F2933:H2933"/>
    <mergeCell ref="F2934:H2934"/>
    <mergeCell ref="F2942:H2942"/>
    <mergeCell ref="I2942:K2942"/>
    <mergeCell ref="F2943:H2943"/>
    <mergeCell ref="I2943:K2953"/>
    <mergeCell ref="F2944:H2944"/>
    <mergeCell ref="F2945:H2945"/>
    <mergeCell ref="F2946:H2946"/>
    <mergeCell ref="F2954:H2954"/>
    <mergeCell ref="I2954:K2954"/>
    <mergeCell ref="F2955:H2955"/>
    <mergeCell ref="I2955:K2965"/>
    <mergeCell ref="F2956:H2956"/>
    <mergeCell ref="F2957:H2957"/>
    <mergeCell ref="F2958:H2958"/>
    <mergeCell ref="F2966:H2966"/>
    <mergeCell ref="I2966:K2966"/>
    <mergeCell ref="F2967:H2967"/>
    <mergeCell ref="I2967:K2977"/>
    <mergeCell ref="F2968:H2968"/>
    <mergeCell ref="F2969:H2969"/>
    <mergeCell ref="F2970:H2970"/>
    <mergeCell ref="F2978:H2978"/>
    <mergeCell ref="I2978:K2978"/>
    <mergeCell ref="F2979:H2979"/>
    <mergeCell ref="I2979:K2989"/>
    <mergeCell ref="F2980:H2980"/>
    <mergeCell ref="F2981:H2981"/>
    <mergeCell ref="F2982:H2982"/>
    <mergeCell ref="F2990:H2990"/>
    <mergeCell ref="I2990:K2990"/>
    <mergeCell ref="F2991:H2991"/>
    <mergeCell ref="I2991:K3001"/>
    <mergeCell ref="F2992:H2992"/>
    <mergeCell ref="F2993:H2993"/>
    <mergeCell ref="F2994:H2994"/>
    <mergeCell ref="F3002:H3002"/>
    <mergeCell ref="I3002:K3002"/>
    <mergeCell ref="F3003:H3003"/>
    <mergeCell ref="I3003:K3013"/>
    <mergeCell ref="F3004:H3004"/>
    <mergeCell ref="F3005:H3005"/>
    <mergeCell ref="F3006:H3006"/>
    <mergeCell ref="F3014:H3014"/>
    <mergeCell ref="I3014:K3014"/>
    <mergeCell ref="F3015:H3015"/>
    <mergeCell ref="I3015:K3025"/>
    <mergeCell ref="F3016:H3016"/>
    <mergeCell ref="F3017:H3017"/>
    <mergeCell ref="F3018:H3018"/>
    <mergeCell ref="F3026:H3026"/>
    <mergeCell ref="I3026:K3026"/>
    <mergeCell ref="F3027:H3027"/>
    <mergeCell ref="I3027:K3037"/>
    <mergeCell ref="F3028:H3028"/>
    <mergeCell ref="F3029:H3029"/>
    <mergeCell ref="F3030:H3030"/>
    <mergeCell ref="F3038:H3038"/>
    <mergeCell ref="I3038:K3038"/>
    <mergeCell ref="F3039:H3039"/>
    <mergeCell ref="I3039:K3049"/>
    <mergeCell ref="F3040:H3040"/>
    <mergeCell ref="F3041:H3041"/>
    <mergeCell ref="F3042:H3042"/>
    <mergeCell ref="F3050:H3050"/>
    <mergeCell ref="I3050:K3050"/>
    <mergeCell ref="F3051:H3051"/>
    <mergeCell ref="I3051:K3061"/>
    <mergeCell ref="F3052:H3052"/>
    <mergeCell ref="F3053:H3053"/>
    <mergeCell ref="F3054:H3054"/>
    <mergeCell ref="F3062:H3062"/>
    <mergeCell ref="I3062:K3062"/>
    <mergeCell ref="F3063:H3063"/>
    <mergeCell ref="I3063:K3073"/>
    <mergeCell ref="F3064:H3064"/>
    <mergeCell ref="F3065:H3065"/>
    <mergeCell ref="F3066:H3066"/>
    <mergeCell ref="F3136:H3136"/>
    <mergeCell ref="F3137:H3137"/>
    <mergeCell ref="F3138:H3138"/>
    <mergeCell ref="F3074:H3074"/>
    <mergeCell ref="I3074:K3074"/>
    <mergeCell ref="F3075:H3075"/>
    <mergeCell ref="I3075:K3085"/>
    <mergeCell ref="F3076:H3076"/>
    <mergeCell ref="F3077:H3077"/>
    <mergeCell ref="F3078:H3078"/>
    <mergeCell ref="F3086:H3086"/>
    <mergeCell ref="I3086:K3086"/>
    <mergeCell ref="F3087:H3087"/>
    <mergeCell ref="I3087:K3097"/>
    <mergeCell ref="F3088:H3088"/>
    <mergeCell ref="F3089:H3089"/>
    <mergeCell ref="F3090:H3090"/>
    <mergeCell ref="F3098:H3098"/>
    <mergeCell ref="I3098:K3098"/>
    <mergeCell ref="F3099:H3099"/>
    <mergeCell ref="I3099:K3109"/>
    <mergeCell ref="F3100:H3100"/>
    <mergeCell ref="F3101:H3101"/>
    <mergeCell ref="F3102:H3102"/>
    <mergeCell ref="F3146:H3146"/>
    <mergeCell ref="I3146:K3146"/>
    <mergeCell ref="F3147:H3147"/>
    <mergeCell ref="I3147:K3157"/>
    <mergeCell ref="F3148:H3148"/>
    <mergeCell ref="F3149:H3149"/>
    <mergeCell ref="F3150:H3150"/>
    <mergeCell ref="F3158:H3158"/>
    <mergeCell ref="I3158:K3158"/>
    <mergeCell ref="F3159:H3159"/>
    <mergeCell ref="I3159:K3169"/>
    <mergeCell ref="F3160:H3160"/>
    <mergeCell ref="F3161:H3161"/>
    <mergeCell ref="F3162:H3162"/>
    <mergeCell ref="F3110:H3110"/>
    <mergeCell ref="I3110:K3110"/>
    <mergeCell ref="F3111:H3111"/>
    <mergeCell ref="I3111:K3121"/>
    <mergeCell ref="F3112:H3112"/>
    <mergeCell ref="F3113:H3113"/>
    <mergeCell ref="F3114:H3114"/>
    <mergeCell ref="F3122:H3122"/>
    <mergeCell ref="I3122:K3122"/>
    <mergeCell ref="F3123:H3123"/>
    <mergeCell ref="I3123:K3133"/>
    <mergeCell ref="F3124:H3124"/>
    <mergeCell ref="F3125:H3125"/>
    <mergeCell ref="F3126:H3126"/>
    <mergeCell ref="F3134:H3134"/>
    <mergeCell ref="I3134:K3134"/>
    <mergeCell ref="F3135:H3135"/>
    <mergeCell ref="I3135:K3145"/>
  </mergeCells>
  <conditionalFormatting sqref="F500">
    <cfRule type="cellIs" dxfId="12" priority="10" operator="greaterThan">
      <formula>$E$79</formula>
    </cfRule>
  </conditionalFormatting>
  <conditionalFormatting sqref="F656">
    <cfRule type="cellIs" dxfId="11" priority="9" operator="greaterThan">
      <formula>$E$103</formula>
    </cfRule>
  </conditionalFormatting>
  <conditionalFormatting sqref="F1052">
    <cfRule type="cellIs" dxfId="10" priority="8" operator="greaterThan">
      <formula>$E$127</formula>
    </cfRule>
  </conditionalFormatting>
  <conditionalFormatting sqref="F1208">
    <cfRule type="cellIs" dxfId="9" priority="7" operator="greaterThan">
      <formula>$E$127</formula>
    </cfRule>
  </conditionalFormatting>
  <conditionalFormatting sqref="F1220">
    <cfRule type="cellIs" dxfId="8" priority="6" operator="greaterThan">
      <formula>$E$127</formula>
    </cfRule>
  </conditionalFormatting>
  <conditionalFormatting sqref="F1232">
    <cfRule type="cellIs" dxfId="7" priority="5" operator="greaterThan">
      <formula>$E$127</formula>
    </cfRule>
  </conditionalFormatting>
  <conditionalFormatting sqref="F1532">
    <cfRule type="cellIs" dxfId="6" priority="4" operator="greaterThan">
      <formula>$E$175</formula>
    </cfRule>
  </conditionalFormatting>
  <conditionalFormatting sqref="F1544">
    <cfRule type="cellIs" dxfId="5" priority="2" operator="greaterThan">
      <formula>$E$175</formula>
    </cfRule>
  </conditionalFormatting>
  <conditionalFormatting sqref="F3164">
    <cfRule type="cellIs" dxfId="4" priority="1" operator="greaterThan">
      <formula>$E$415</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DD8A19-68AB-6A42-B7E7-DA9D020B1275}">
  <dimension ref="B3:AN2705"/>
  <sheetViews>
    <sheetView showGridLines="0" topLeftCell="A2693" zoomScale="90" zoomScaleNormal="90" workbookViewId="0">
      <selection activeCell="B2705" sqref="B2705"/>
    </sheetView>
  </sheetViews>
  <sheetFormatPr baseColWidth="10" defaultRowHeight="16" outlineLevelCol="1" x14ac:dyDescent="0.2"/>
  <cols>
    <col min="1" max="1" width="1.83203125" customWidth="1"/>
    <col min="2" max="2" width="2.83203125" customWidth="1"/>
    <col min="3" max="3" width="3.5" style="161" customWidth="1"/>
    <col min="4" max="4" width="21.5" customWidth="1"/>
    <col min="5" max="5" width="16.6640625" customWidth="1"/>
    <col min="6" max="6" width="20.5" customWidth="1"/>
    <col min="7" max="7" width="19" customWidth="1"/>
    <col min="8" max="8" width="14.6640625" bestFit="1" customWidth="1"/>
    <col min="9" max="9" width="21" hidden="1" customWidth="1" outlineLevel="1"/>
    <col min="10" max="10" width="20.1640625" hidden="1" customWidth="1" outlineLevel="1" collapsed="1"/>
    <col min="11" max="11" width="19.6640625" hidden="1" customWidth="1" outlineLevel="1" collapsed="1"/>
    <col min="12" max="12" width="12.33203125" customWidth="1" collapsed="1"/>
    <col min="13" max="13" width="58" hidden="1" customWidth="1" outlineLevel="1"/>
    <col min="14" max="14" width="10.83203125" collapsed="1"/>
    <col min="15" max="15" width="0" hidden="1" customWidth="1" outlineLevel="1"/>
    <col min="16" max="17" width="11" hidden="1" customWidth="1" outlineLevel="1"/>
    <col min="18" max="18" width="14.1640625" hidden="1" customWidth="1" outlineLevel="1"/>
    <col min="19" max="24" width="11" hidden="1" customWidth="1" outlineLevel="1"/>
    <col min="25" max="25" width="0" hidden="1" customWidth="1" outlineLevel="1"/>
    <col min="26" max="26" width="34.1640625" hidden="1" customWidth="1" outlineLevel="1"/>
    <col min="27" max="27" width="10.83203125" collapsed="1"/>
  </cols>
  <sheetData>
    <row r="3" spans="2:26" ht="17" thickBot="1" x14ac:dyDescent="0.25"/>
    <row r="4" spans="2:26" ht="73" customHeight="1" thickBot="1" x14ac:dyDescent="0.25">
      <c r="B4" s="88">
        <v>45585</v>
      </c>
      <c r="C4" s="88" t="s">
        <v>105</v>
      </c>
      <c r="D4" s="541" t="s">
        <v>30</v>
      </c>
      <c r="E4" s="1103" t="s">
        <v>90</v>
      </c>
      <c r="F4" s="1104"/>
      <c r="G4" s="1105"/>
      <c r="H4" s="542" t="s">
        <v>790</v>
      </c>
      <c r="I4" s="1106" t="s">
        <v>633</v>
      </c>
      <c r="J4" s="838"/>
      <c r="K4" s="839"/>
      <c r="L4" s="543" t="s">
        <v>430</v>
      </c>
      <c r="M4" s="106" t="s">
        <v>431</v>
      </c>
      <c r="O4" s="118" t="s">
        <v>800</v>
      </c>
      <c r="P4" s="118" t="s">
        <v>801</v>
      </c>
      <c r="Q4" s="118" t="s">
        <v>802</v>
      </c>
      <c r="R4" s="118" t="s">
        <v>803</v>
      </c>
      <c r="S4" s="118" t="s">
        <v>804</v>
      </c>
      <c r="T4" s="118" t="s">
        <v>805</v>
      </c>
      <c r="U4" s="118" t="s">
        <v>806</v>
      </c>
      <c r="V4" s="118" t="s">
        <v>807</v>
      </c>
      <c r="W4" s="118" t="s">
        <v>808</v>
      </c>
      <c r="X4" s="118" t="s">
        <v>809</v>
      </c>
      <c r="Y4" s="118" t="s">
        <v>75</v>
      </c>
      <c r="Z4" s="118" t="s">
        <v>75</v>
      </c>
    </row>
    <row r="5" spans="2:26" ht="24" customHeight="1" x14ac:dyDescent="0.2">
      <c r="C5" s="88"/>
      <c r="D5" s="544" t="s">
        <v>432</v>
      </c>
      <c r="E5" s="1024"/>
      <c r="F5" s="1025"/>
      <c r="G5" s="1026"/>
      <c r="H5" s="113" t="s">
        <v>791</v>
      </c>
      <c r="I5" s="892" t="s">
        <v>705</v>
      </c>
      <c r="J5" s="893"/>
      <c r="K5" s="894"/>
      <c r="L5" s="545"/>
      <c r="M5" s="114"/>
      <c r="O5" s="119" t="s">
        <v>810</v>
      </c>
      <c r="P5" s="120">
        <v>0.1</v>
      </c>
      <c r="Q5" s="121">
        <v>9.0000000000000006E-5</v>
      </c>
      <c r="R5" s="122">
        <v>1.7000000000000348E-4</v>
      </c>
      <c r="S5" s="123"/>
      <c r="T5" s="119">
        <v>3.0500000000000351E-4</v>
      </c>
      <c r="U5" s="121">
        <v>8.16</v>
      </c>
      <c r="V5" s="120">
        <v>91.8</v>
      </c>
      <c r="W5" s="123"/>
      <c r="X5" s="123"/>
      <c r="Y5" s="124"/>
      <c r="Z5" s="124"/>
    </row>
    <row r="6" spans="2:26" ht="24" customHeight="1" x14ac:dyDescent="0.2">
      <c r="C6" s="88"/>
      <c r="D6" s="546" t="s">
        <v>433</v>
      </c>
      <c r="E6" s="1033">
        <v>3.7499999999999999E-2</v>
      </c>
      <c r="F6" s="1034"/>
      <c r="G6" s="1035"/>
      <c r="H6" s="113" t="s">
        <v>792</v>
      </c>
      <c r="I6" s="769"/>
      <c r="J6" s="770"/>
      <c r="K6" s="771"/>
      <c r="L6" s="545"/>
      <c r="M6" s="114"/>
      <c r="O6" s="125"/>
      <c r="P6" s="125"/>
      <c r="Q6" s="125"/>
      <c r="R6" s="126"/>
      <c r="S6" s="127"/>
      <c r="T6" s="125"/>
      <c r="U6" s="125"/>
      <c r="V6" s="125"/>
      <c r="W6" s="127"/>
      <c r="X6" s="127"/>
      <c r="Y6" s="128"/>
      <c r="Z6" s="128"/>
    </row>
    <row r="7" spans="2:26" ht="25" customHeight="1" thickBot="1" x14ac:dyDescent="0.25">
      <c r="C7" s="88"/>
      <c r="D7" s="546" t="s">
        <v>434</v>
      </c>
      <c r="E7" s="1033">
        <v>4.2500000000000003E-2</v>
      </c>
      <c r="F7" s="1034"/>
      <c r="G7" s="1035"/>
      <c r="H7" s="90"/>
      <c r="I7" s="769"/>
      <c r="J7" s="770"/>
      <c r="K7" s="771"/>
      <c r="L7" s="545"/>
      <c r="M7" s="114"/>
      <c r="O7" s="129" t="s">
        <v>811</v>
      </c>
      <c r="P7" s="130">
        <v>0.2</v>
      </c>
      <c r="Q7" s="131">
        <v>5.9999999999999995E-4</v>
      </c>
      <c r="R7" s="132">
        <v>1.2999999999999999E-4</v>
      </c>
      <c r="S7" s="133">
        <v>1</v>
      </c>
      <c r="T7" s="129">
        <v>1.0299999999999999E-3</v>
      </c>
      <c r="U7" s="134">
        <v>-55.113442622950181</v>
      </c>
      <c r="V7" s="135">
        <v>183.6</v>
      </c>
      <c r="W7" s="136">
        <v>4.4349999999999996</v>
      </c>
      <c r="X7" s="137">
        <v>244.42811803278403</v>
      </c>
      <c r="Y7" s="138"/>
      <c r="Z7" s="138">
        <v>4.4350000000000005</v>
      </c>
    </row>
    <row r="8" spans="2:26" ht="25" customHeight="1" thickBot="1" x14ac:dyDescent="0.25">
      <c r="C8" s="88"/>
      <c r="D8" s="547" t="s">
        <v>435</v>
      </c>
      <c r="E8" s="1039">
        <v>0.57291666666666674</v>
      </c>
      <c r="F8" s="1040"/>
      <c r="G8" s="1041"/>
      <c r="H8" s="90"/>
      <c r="I8" s="769"/>
      <c r="J8" s="770"/>
      <c r="K8" s="771"/>
      <c r="L8" s="548">
        <v>0.80208333333333337</v>
      </c>
      <c r="M8" s="512">
        <v>0.69791666666666674</v>
      </c>
      <c r="O8" s="139" t="s">
        <v>812</v>
      </c>
      <c r="P8" s="140">
        <v>0.2</v>
      </c>
      <c r="Q8" s="141">
        <v>8.0000000000000004E-4</v>
      </c>
      <c r="R8" s="142">
        <v>1.3999999999999999E-4</v>
      </c>
      <c r="S8" s="143">
        <v>1</v>
      </c>
      <c r="T8" s="139">
        <v>1.34E-3</v>
      </c>
      <c r="U8" s="144">
        <v>-71.700983606556562</v>
      </c>
      <c r="V8" s="145">
        <v>183.6</v>
      </c>
      <c r="W8" s="146">
        <v>5.5</v>
      </c>
      <c r="X8" s="147">
        <v>394.35540983606109</v>
      </c>
      <c r="Y8" s="148"/>
      <c r="Z8" s="148"/>
    </row>
    <row r="9" spans="2:26" ht="49" customHeight="1" thickBot="1" x14ac:dyDescent="0.25">
      <c r="C9" s="88"/>
      <c r="D9" s="549" t="s">
        <v>436</v>
      </c>
      <c r="E9" s="93" t="s">
        <v>29</v>
      </c>
      <c r="F9" s="93" t="s">
        <v>28</v>
      </c>
      <c r="G9" s="94" t="s">
        <v>27</v>
      </c>
      <c r="H9" s="94" t="s">
        <v>793</v>
      </c>
      <c r="I9" s="769"/>
      <c r="J9" s="770"/>
      <c r="K9" s="771"/>
      <c r="L9" s="545"/>
      <c r="M9" s="114"/>
      <c r="O9" s="127"/>
      <c r="P9" s="149"/>
      <c r="Q9" s="127"/>
      <c r="R9" s="127"/>
      <c r="S9" s="127"/>
      <c r="T9" s="127"/>
      <c r="U9" s="150">
        <v>-71.700983606556562</v>
      </c>
      <c r="V9" s="151"/>
      <c r="W9" s="127"/>
      <c r="X9" s="150">
        <v>244.42811803278403</v>
      </c>
      <c r="Y9" s="128"/>
      <c r="Z9" s="128"/>
    </row>
    <row r="10" spans="2:26" ht="24" x14ac:dyDescent="0.2">
      <c r="C10" s="88"/>
      <c r="D10" s="550">
        <v>45539</v>
      </c>
      <c r="E10" s="99">
        <v>4.2500000000000003E-2</v>
      </c>
      <c r="F10" s="96" t="s">
        <v>723</v>
      </c>
      <c r="G10" s="96">
        <v>4.4999999999999998E-2</v>
      </c>
      <c r="H10" s="115">
        <v>0.57291666666666674</v>
      </c>
      <c r="I10" s="769"/>
      <c r="J10" s="770"/>
      <c r="K10" s="771"/>
      <c r="L10" s="551">
        <v>0.73958333333333337</v>
      </c>
      <c r="M10" s="114"/>
      <c r="O10" s="152"/>
      <c r="P10" s="128"/>
      <c r="Q10" s="152"/>
      <c r="R10" s="152"/>
      <c r="S10" s="152"/>
      <c r="T10" s="152"/>
      <c r="U10" s="152"/>
      <c r="V10" s="152"/>
      <c r="W10" s="152"/>
      <c r="X10" s="152"/>
      <c r="Y10" s="128"/>
      <c r="Z10" s="128"/>
    </row>
    <row r="11" spans="2:26" ht="24" x14ac:dyDescent="0.2">
      <c r="C11" s="88"/>
      <c r="D11" s="550">
        <v>45497</v>
      </c>
      <c r="E11" s="99">
        <v>4.4999999999999998E-2</v>
      </c>
      <c r="F11" s="96" t="s">
        <v>725</v>
      </c>
      <c r="G11" s="96">
        <v>4.7500000000000001E-2</v>
      </c>
      <c r="H11" s="115">
        <v>0.57291666666666674</v>
      </c>
      <c r="I11" s="769"/>
      <c r="J11" s="770"/>
      <c r="K11" s="771"/>
      <c r="L11" s="551">
        <v>0.73958333333333337</v>
      </c>
      <c r="M11" s="114"/>
      <c r="O11" s="119" t="s">
        <v>813</v>
      </c>
      <c r="P11" s="120">
        <v>0.2</v>
      </c>
      <c r="Q11" s="153">
        <v>6.4000000000000005E-4</v>
      </c>
      <c r="R11" s="154">
        <v>1.3999999999999999E-4</v>
      </c>
      <c r="S11" s="123">
        <v>1</v>
      </c>
      <c r="T11" s="120">
        <v>1.1000000000000001E-3</v>
      </c>
      <c r="U11" s="155">
        <v>-58.859016393441948</v>
      </c>
      <c r="V11" s="156">
        <v>183.6</v>
      </c>
      <c r="W11" s="123">
        <v>3</v>
      </c>
      <c r="X11" s="157">
        <v>176.57704918032584</v>
      </c>
      <c r="Y11" s="158" t="s">
        <v>814</v>
      </c>
      <c r="Z11" s="158" t="s">
        <v>815</v>
      </c>
    </row>
    <row r="12" spans="2:26" ht="24" x14ac:dyDescent="0.2">
      <c r="C12" s="88"/>
      <c r="D12" s="550">
        <v>45448</v>
      </c>
      <c r="E12" s="99">
        <v>4.7500000000000001E-2</v>
      </c>
      <c r="F12" s="96" t="s">
        <v>726</v>
      </c>
      <c r="G12" s="96">
        <v>0.05</v>
      </c>
      <c r="H12" s="115">
        <v>0.57291666666666674</v>
      </c>
      <c r="I12" s="769"/>
      <c r="J12" s="770"/>
      <c r="K12" s="771"/>
      <c r="L12" s="551">
        <v>0.73958333333333337</v>
      </c>
      <c r="M12" s="114"/>
      <c r="O12" s="89"/>
      <c r="P12" s="89"/>
      <c r="Q12" s="89"/>
      <c r="R12" s="89"/>
      <c r="S12" s="89"/>
      <c r="T12" s="89"/>
      <c r="U12" s="89"/>
      <c r="V12" s="89"/>
      <c r="W12" s="89"/>
      <c r="X12" s="89"/>
      <c r="Y12" s="89"/>
      <c r="Z12" s="89"/>
    </row>
    <row r="13" spans="2:26" ht="24" x14ac:dyDescent="0.2">
      <c r="C13" s="88"/>
      <c r="D13" s="550">
        <v>45392</v>
      </c>
      <c r="E13" s="99">
        <v>0.05</v>
      </c>
      <c r="F13" s="96" t="s">
        <v>728</v>
      </c>
      <c r="G13" s="96">
        <v>0.05</v>
      </c>
      <c r="H13" s="115">
        <v>0.57291666666666674</v>
      </c>
      <c r="I13" s="769"/>
      <c r="J13" s="770"/>
      <c r="K13" s="771"/>
      <c r="L13" s="551">
        <v>0.73958333333333337</v>
      </c>
      <c r="M13" s="114"/>
      <c r="O13" s="89"/>
      <c r="P13" s="89"/>
      <c r="Q13" s="89"/>
      <c r="R13" s="89"/>
      <c r="S13" s="89"/>
      <c r="T13" s="89"/>
      <c r="U13" s="89"/>
      <c r="V13" s="89"/>
      <c r="W13" s="89"/>
      <c r="X13" s="89"/>
      <c r="Y13" s="89"/>
      <c r="Z13" s="89"/>
    </row>
    <row r="14" spans="2:26" ht="24" customHeight="1" x14ac:dyDescent="0.2">
      <c r="C14" s="88"/>
      <c r="D14" s="550">
        <v>45357</v>
      </c>
      <c r="E14" s="99">
        <v>0.05</v>
      </c>
      <c r="F14" s="96" t="s">
        <v>728</v>
      </c>
      <c r="G14" s="96">
        <v>0.05</v>
      </c>
      <c r="H14" s="115">
        <v>0.61458333333333337</v>
      </c>
      <c r="I14" s="769"/>
      <c r="J14" s="770"/>
      <c r="K14" s="771"/>
      <c r="L14" s="551">
        <v>0.78125</v>
      </c>
      <c r="M14" s="114"/>
      <c r="O14" s="89"/>
      <c r="P14" s="89"/>
      <c r="Q14" s="89"/>
      <c r="R14" s="89"/>
      <c r="S14" s="89"/>
      <c r="T14" s="89"/>
      <c r="U14" s="89"/>
      <c r="V14" s="89"/>
      <c r="W14" s="89"/>
      <c r="X14" s="89"/>
      <c r="Y14" s="89"/>
      <c r="Z14" s="89"/>
    </row>
    <row r="15" spans="2:26" ht="25" customHeight="1" thickBot="1" x14ac:dyDescent="0.25">
      <c r="C15" s="88"/>
      <c r="D15" s="550">
        <v>45315</v>
      </c>
      <c r="E15" s="99">
        <v>0.05</v>
      </c>
      <c r="F15" s="96" t="s">
        <v>728</v>
      </c>
      <c r="G15" s="96">
        <v>0.05</v>
      </c>
      <c r="H15" s="115">
        <v>0.61458333333333337</v>
      </c>
      <c r="I15" s="772"/>
      <c r="J15" s="773"/>
      <c r="K15" s="774"/>
      <c r="L15" s="551">
        <v>0.78125</v>
      </c>
      <c r="M15" s="116"/>
      <c r="O15" s="89"/>
      <c r="P15" s="89"/>
      <c r="Q15" s="89"/>
      <c r="R15" s="89"/>
      <c r="S15" s="89"/>
      <c r="T15" s="89"/>
      <c r="U15" s="89"/>
      <c r="V15" s="89"/>
      <c r="W15" s="89"/>
      <c r="X15" s="89"/>
      <c r="Y15" s="89"/>
      <c r="Z15" s="89"/>
    </row>
    <row r="16" spans="2:26" ht="73" customHeight="1" thickBot="1" x14ac:dyDescent="0.25">
      <c r="C16" s="88" t="s">
        <v>105</v>
      </c>
      <c r="D16" s="552" t="s">
        <v>30</v>
      </c>
      <c r="E16" s="1052" t="s">
        <v>706</v>
      </c>
      <c r="F16" s="1053"/>
      <c r="G16" s="1054"/>
      <c r="H16" s="105" t="s">
        <v>790</v>
      </c>
      <c r="I16" s="781" t="s">
        <v>633</v>
      </c>
      <c r="J16" s="764"/>
      <c r="K16" s="765"/>
      <c r="L16" s="553" t="s">
        <v>430</v>
      </c>
      <c r="M16" s="106" t="s">
        <v>431</v>
      </c>
      <c r="O16" s="118" t="s">
        <v>800</v>
      </c>
      <c r="P16" s="118" t="s">
        <v>801</v>
      </c>
      <c r="Q16" s="118" t="s">
        <v>802</v>
      </c>
      <c r="R16" s="118" t="s">
        <v>803</v>
      </c>
      <c r="S16" s="118" t="s">
        <v>804</v>
      </c>
      <c r="T16" s="118" t="s">
        <v>805</v>
      </c>
      <c r="U16" s="118" t="s">
        <v>806</v>
      </c>
      <c r="V16" s="118" t="s">
        <v>807</v>
      </c>
      <c r="W16" s="118" t="s">
        <v>808</v>
      </c>
      <c r="X16" s="118" t="s">
        <v>809</v>
      </c>
      <c r="Y16" s="118" t="s">
        <v>75</v>
      </c>
      <c r="Z16" s="118" t="s">
        <v>75</v>
      </c>
    </row>
    <row r="17" spans="3:26" ht="24" customHeight="1" x14ac:dyDescent="0.2">
      <c r="C17" s="88"/>
      <c r="D17" s="544" t="s">
        <v>432</v>
      </c>
      <c r="E17" s="1024"/>
      <c r="F17" s="1025"/>
      <c r="G17" s="1026"/>
      <c r="H17" s="113" t="s">
        <v>794</v>
      </c>
      <c r="I17" s="892" t="s">
        <v>708</v>
      </c>
      <c r="J17" s="893"/>
      <c r="K17" s="894"/>
      <c r="L17" s="545"/>
      <c r="M17" s="114"/>
      <c r="O17" s="119" t="s">
        <v>810</v>
      </c>
      <c r="P17" s="120">
        <v>0.1</v>
      </c>
      <c r="Q17" s="121">
        <v>3.9E-2</v>
      </c>
      <c r="R17" s="122">
        <v>2.1000000000015007E-2</v>
      </c>
      <c r="S17" s="123"/>
      <c r="T17" s="119">
        <v>7.9500000000015003E-2</v>
      </c>
      <c r="U17" s="121">
        <v>-18.989999999999998</v>
      </c>
      <c r="V17" s="120">
        <v>91.8</v>
      </c>
      <c r="W17" s="123"/>
      <c r="X17" s="123"/>
      <c r="Y17" s="124"/>
      <c r="Z17" s="124"/>
    </row>
    <row r="18" spans="3:26" ht="24" customHeight="1" x14ac:dyDescent="0.2">
      <c r="C18" s="88"/>
      <c r="D18" s="546" t="s">
        <v>433</v>
      </c>
      <c r="E18" s="1033" t="s">
        <v>707</v>
      </c>
      <c r="F18" s="1034"/>
      <c r="G18" s="1035"/>
      <c r="H18" s="113" t="s">
        <v>795</v>
      </c>
      <c r="I18" s="769"/>
      <c r="J18" s="770"/>
      <c r="K18" s="771"/>
      <c r="L18" s="545"/>
      <c r="M18" s="114"/>
      <c r="O18" s="125"/>
      <c r="P18" s="125"/>
      <c r="Q18" s="125"/>
      <c r="R18" s="126"/>
      <c r="S18" s="127"/>
      <c r="T18" s="125"/>
      <c r="U18" s="125"/>
      <c r="V18" s="125"/>
      <c r="W18" s="127"/>
      <c r="X18" s="127"/>
      <c r="Y18" s="128"/>
      <c r="Z18" s="128"/>
    </row>
    <row r="19" spans="3:26" ht="25" customHeight="1" thickBot="1" x14ac:dyDescent="0.25">
      <c r="C19" s="88"/>
      <c r="D19" s="546" t="s">
        <v>434</v>
      </c>
      <c r="E19" s="1033" t="s">
        <v>349</v>
      </c>
      <c r="F19" s="1034"/>
      <c r="G19" s="1035"/>
      <c r="H19" s="90"/>
      <c r="I19" s="769"/>
      <c r="J19" s="770"/>
      <c r="K19" s="771"/>
      <c r="L19" s="545"/>
      <c r="M19" s="114"/>
      <c r="O19" s="129" t="s">
        <v>811</v>
      </c>
      <c r="P19" s="130">
        <v>0.1</v>
      </c>
      <c r="Q19" s="131">
        <v>7.22E-2</v>
      </c>
      <c r="R19" s="132">
        <v>1.4999999999999999E-2</v>
      </c>
      <c r="S19" s="133">
        <v>1</v>
      </c>
      <c r="T19" s="129">
        <v>0.12330000000000001</v>
      </c>
      <c r="U19" s="134">
        <v>-29.452415094334064</v>
      </c>
      <c r="V19" s="135">
        <v>91.8</v>
      </c>
      <c r="W19" s="136">
        <v>4.88</v>
      </c>
      <c r="X19" s="137">
        <v>143.72778566035024</v>
      </c>
      <c r="Y19" s="138"/>
      <c r="Z19" s="138">
        <v>4.4350000000000005</v>
      </c>
    </row>
    <row r="20" spans="3:26" ht="25" customHeight="1" thickBot="1" x14ac:dyDescent="0.25">
      <c r="C20" s="88"/>
      <c r="D20" s="547" t="s">
        <v>435</v>
      </c>
      <c r="E20" s="1039">
        <v>0.58333333333333337</v>
      </c>
      <c r="F20" s="1040"/>
      <c r="G20" s="1041"/>
      <c r="H20" s="90"/>
      <c r="I20" s="769"/>
      <c r="J20" s="770"/>
      <c r="K20" s="771"/>
      <c r="L20" s="548">
        <v>0.8125</v>
      </c>
      <c r="M20" s="512">
        <v>0.70833333333333337</v>
      </c>
      <c r="O20" s="139" t="s">
        <v>812</v>
      </c>
      <c r="P20" s="140">
        <v>0.1</v>
      </c>
      <c r="Q20" s="141">
        <v>4.0533333333333338E-2</v>
      </c>
      <c r="R20" s="142">
        <v>1.4999999999999999E-2</v>
      </c>
      <c r="S20" s="143">
        <v>0.5</v>
      </c>
      <c r="T20" s="139">
        <v>7.5800000000000006E-2</v>
      </c>
      <c r="U20" s="144">
        <v>-9.0530943396209338</v>
      </c>
      <c r="V20" s="145">
        <v>91.8</v>
      </c>
      <c r="W20" s="146">
        <v>2.3650000000000002</v>
      </c>
      <c r="X20" s="147">
        <v>21.41056811320351</v>
      </c>
      <c r="Y20" s="148"/>
      <c r="Z20" s="148"/>
    </row>
    <row r="21" spans="3:26" ht="49" customHeight="1" thickBot="1" x14ac:dyDescent="0.25">
      <c r="C21" s="88"/>
      <c r="D21" s="549" t="s">
        <v>436</v>
      </c>
      <c r="E21" s="93" t="s">
        <v>29</v>
      </c>
      <c r="F21" s="93" t="s">
        <v>28</v>
      </c>
      <c r="G21" s="94" t="s">
        <v>27</v>
      </c>
      <c r="H21" s="94" t="s">
        <v>793</v>
      </c>
      <c r="I21" s="769"/>
      <c r="J21" s="770"/>
      <c r="K21" s="771"/>
      <c r="L21" s="545"/>
      <c r="M21" s="114"/>
      <c r="O21" s="127"/>
      <c r="P21" s="149"/>
      <c r="Q21" s="127"/>
      <c r="R21" s="127"/>
      <c r="S21" s="127"/>
      <c r="T21" s="127"/>
      <c r="U21" s="150"/>
      <c r="V21" s="151"/>
      <c r="W21" s="127"/>
      <c r="X21" s="150"/>
      <c r="Y21" s="128"/>
      <c r="Z21" s="128"/>
    </row>
    <row r="22" spans="3:26" ht="24" customHeight="1" x14ac:dyDescent="0.2">
      <c r="C22" s="88"/>
      <c r="D22" s="550">
        <v>45554</v>
      </c>
      <c r="E22" s="96" t="s">
        <v>349</v>
      </c>
      <c r="F22" s="96" t="s">
        <v>735</v>
      </c>
      <c r="G22" s="96" t="s">
        <v>351</v>
      </c>
      <c r="H22" s="115">
        <v>0.58333333333333337</v>
      </c>
      <c r="I22" s="769"/>
      <c r="J22" s="770"/>
      <c r="K22" s="771"/>
      <c r="L22" s="545"/>
      <c r="M22" s="114"/>
      <c r="O22" s="152"/>
      <c r="P22" s="128"/>
      <c r="Q22" s="152"/>
      <c r="R22" s="152"/>
      <c r="S22" s="152"/>
      <c r="T22" s="152"/>
      <c r="U22" s="152"/>
      <c r="V22" s="152"/>
      <c r="W22" s="152"/>
      <c r="X22" s="152"/>
      <c r="Y22" s="128"/>
      <c r="Z22" s="128"/>
    </row>
    <row r="23" spans="3:26" ht="24" customHeight="1" x14ac:dyDescent="0.2">
      <c r="C23" s="88"/>
      <c r="D23" s="550">
        <v>45526</v>
      </c>
      <c r="E23" s="96" t="s">
        <v>736</v>
      </c>
      <c r="F23" s="96" t="s">
        <v>737</v>
      </c>
      <c r="G23" s="96" t="s">
        <v>738</v>
      </c>
      <c r="H23" s="115">
        <v>0.58333333333333337</v>
      </c>
      <c r="I23" s="769"/>
      <c r="J23" s="770"/>
      <c r="K23" s="771"/>
      <c r="L23" s="545"/>
      <c r="M23" s="114"/>
      <c r="O23" s="119" t="s">
        <v>813</v>
      </c>
      <c r="P23" s="120">
        <v>0.25</v>
      </c>
      <c r="Q23" s="153">
        <v>4.0533333333333338E-2</v>
      </c>
      <c r="R23" s="154">
        <v>1.4999999999999999E-2</v>
      </c>
      <c r="S23" s="123">
        <v>0.5</v>
      </c>
      <c r="T23" s="120">
        <v>7.5800000000000006E-2</v>
      </c>
      <c r="U23" s="155">
        <v>-22.632735849052334</v>
      </c>
      <c r="V23" s="156">
        <v>229.5</v>
      </c>
      <c r="W23" s="123">
        <v>2</v>
      </c>
      <c r="X23" s="157">
        <v>45.265471698104669</v>
      </c>
      <c r="Y23" s="158" t="s">
        <v>814</v>
      </c>
      <c r="Z23" s="158"/>
    </row>
    <row r="24" spans="3:26" ht="24" customHeight="1" x14ac:dyDescent="0.2">
      <c r="C24" s="88"/>
      <c r="D24" s="550">
        <v>45496</v>
      </c>
      <c r="E24" s="96" t="s">
        <v>740</v>
      </c>
      <c r="F24" s="96" t="s">
        <v>741</v>
      </c>
      <c r="G24" s="96" t="s">
        <v>78</v>
      </c>
      <c r="H24" s="115">
        <v>0.58333333333333337</v>
      </c>
      <c r="I24" s="769"/>
      <c r="J24" s="770"/>
      <c r="K24" s="771"/>
      <c r="L24" s="554"/>
      <c r="M24" s="114"/>
      <c r="O24" s="119" t="s">
        <v>813</v>
      </c>
      <c r="P24" s="120">
        <v>0.25</v>
      </c>
      <c r="Q24" s="153">
        <v>4.0533333333333338E-2</v>
      </c>
      <c r="R24" s="154">
        <v>1.4999999999999999E-2</v>
      </c>
      <c r="S24" s="123">
        <v>0.5</v>
      </c>
      <c r="T24" s="120">
        <v>7.5800000000000006E-2</v>
      </c>
      <c r="U24" s="155">
        <v>-22.632735849052334</v>
      </c>
      <c r="V24" s="156">
        <v>229.5</v>
      </c>
      <c r="W24" s="123">
        <v>2</v>
      </c>
      <c r="X24" s="157">
        <v>45.265471698104669</v>
      </c>
      <c r="Y24" s="158"/>
      <c r="Z24" s="158"/>
    </row>
    <row r="25" spans="3:26" ht="24" customHeight="1" x14ac:dyDescent="0.2">
      <c r="C25" s="88"/>
      <c r="D25" s="550">
        <v>45464</v>
      </c>
      <c r="E25" s="96" t="s">
        <v>78</v>
      </c>
      <c r="F25" s="96" t="s">
        <v>743</v>
      </c>
      <c r="G25" s="96" t="s">
        <v>744</v>
      </c>
      <c r="H25" s="115">
        <v>0.58333333333333337</v>
      </c>
      <c r="I25" s="769"/>
      <c r="J25" s="770"/>
      <c r="K25" s="771"/>
      <c r="L25" s="545"/>
      <c r="M25" s="114"/>
      <c r="O25" s="119" t="s">
        <v>816</v>
      </c>
      <c r="P25" s="120"/>
      <c r="Q25" s="153"/>
      <c r="R25" s="154"/>
      <c r="S25" s="123"/>
      <c r="T25" s="120"/>
      <c r="U25" s="155">
        <v>-22.632735849052334</v>
      </c>
      <c r="V25" s="156"/>
      <c r="W25" s="123"/>
      <c r="X25" s="157">
        <v>45.265471698104669</v>
      </c>
      <c r="Y25" s="158"/>
      <c r="Z25" s="158"/>
    </row>
    <row r="26" spans="3:26" ht="24" customHeight="1" x14ac:dyDescent="0.2">
      <c r="C26" s="88"/>
      <c r="D26" s="550">
        <v>45434</v>
      </c>
      <c r="E26" s="96" t="s">
        <v>744</v>
      </c>
      <c r="F26" s="96" t="s">
        <v>746</v>
      </c>
      <c r="G26" s="96" t="s">
        <v>747</v>
      </c>
      <c r="H26" s="115">
        <v>0.58333333333333337</v>
      </c>
      <c r="I26" s="769"/>
      <c r="J26" s="770"/>
      <c r="K26" s="771"/>
      <c r="L26" s="545"/>
      <c r="M26" s="114"/>
      <c r="O26" s="89"/>
      <c r="P26" s="89"/>
      <c r="Q26" s="89"/>
      <c r="R26" s="89"/>
      <c r="S26" s="89"/>
      <c r="T26" s="89"/>
      <c r="U26" s="89"/>
      <c r="V26" s="89"/>
      <c r="W26" s="89"/>
      <c r="X26" s="89"/>
      <c r="Y26" s="89"/>
      <c r="Z26" s="89"/>
    </row>
    <row r="27" spans="3:26" ht="25" customHeight="1" thickBot="1" x14ac:dyDescent="0.25">
      <c r="C27" s="88"/>
      <c r="D27" s="550">
        <v>45400</v>
      </c>
      <c r="E27" s="96" t="s">
        <v>749</v>
      </c>
      <c r="F27" s="96" t="s">
        <v>750</v>
      </c>
      <c r="G27" s="96" t="s">
        <v>751</v>
      </c>
      <c r="H27" s="115">
        <v>0.58333333333333337</v>
      </c>
      <c r="I27" s="772"/>
      <c r="J27" s="773"/>
      <c r="K27" s="774"/>
      <c r="L27" s="555"/>
      <c r="M27" s="116"/>
      <c r="O27" s="89"/>
      <c r="P27" s="89"/>
      <c r="Q27" s="89"/>
      <c r="R27" s="89"/>
      <c r="S27" s="89"/>
      <c r="T27" s="89"/>
      <c r="U27" s="89"/>
      <c r="V27" s="89"/>
      <c r="W27" s="89"/>
      <c r="X27" s="89"/>
      <c r="Y27" s="89"/>
      <c r="Z27" s="89"/>
    </row>
    <row r="28" spans="3:26" ht="73" customHeight="1" thickBot="1" x14ac:dyDescent="0.25">
      <c r="C28" s="88" t="s">
        <v>105</v>
      </c>
      <c r="D28" s="552" t="s">
        <v>30</v>
      </c>
      <c r="E28" s="1052" t="s">
        <v>9</v>
      </c>
      <c r="F28" s="1053"/>
      <c r="G28" s="1054"/>
      <c r="H28" s="105" t="s">
        <v>790</v>
      </c>
      <c r="I28" s="781" t="s">
        <v>633</v>
      </c>
      <c r="J28" s="764"/>
      <c r="K28" s="765"/>
      <c r="L28" s="553" t="s">
        <v>430</v>
      </c>
      <c r="M28" s="106" t="s">
        <v>431</v>
      </c>
      <c r="O28" s="89"/>
      <c r="P28" s="89"/>
      <c r="Q28" s="89"/>
      <c r="R28" s="89"/>
      <c r="S28" s="89"/>
      <c r="T28" s="89"/>
      <c r="U28" s="89"/>
      <c r="V28" s="89"/>
      <c r="W28" s="89"/>
      <c r="X28" s="89"/>
      <c r="Y28" s="89"/>
      <c r="Z28" s="89"/>
    </row>
    <row r="29" spans="3:26" ht="24" customHeight="1" x14ac:dyDescent="0.2">
      <c r="C29" s="88"/>
      <c r="D29" s="544" t="s">
        <v>432</v>
      </c>
      <c r="E29" s="1024"/>
      <c r="F29" s="1025"/>
      <c r="G29" s="1026"/>
      <c r="H29" s="113" t="s">
        <v>796</v>
      </c>
      <c r="I29" s="892" t="s">
        <v>701</v>
      </c>
      <c r="J29" s="893"/>
      <c r="K29" s="894"/>
      <c r="L29" s="545"/>
      <c r="M29" s="114"/>
      <c r="O29" s="89"/>
      <c r="P29" s="89"/>
      <c r="Q29" s="89"/>
      <c r="R29" s="89"/>
      <c r="S29" s="89"/>
      <c r="T29" s="89"/>
      <c r="U29" s="89"/>
      <c r="V29" s="89"/>
      <c r="W29" s="89"/>
      <c r="X29" s="89"/>
      <c r="Y29" s="89"/>
      <c r="Z29" s="89"/>
    </row>
    <row r="30" spans="3:26" ht="24" customHeight="1" x14ac:dyDescent="0.2">
      <c r="C30" s="88"/>
      <c r="D30" s="546" t="s">
        <v>433</v>
      </c>
      <c r="E30" s="1033"/>
      <c r="F30" s="1034"/>
      <c r="G30" s="1035"/>
      <c r="H30" s="113" t="s">
        <v>796</v>
      </c>
      <c r="I30" s="769"/>
      <c r="J30" s="770"/>
      <c r="K30" s="771"/>
      <c r="L30" s="545"/>
      <c r="M30" s="114"/>
      <c r="O30" s="89"/>
      <c r="P30" s="89"/>
      <c r="Q30" s="89"/>
      <c r="R30" s="89"/>
      <c r="S30" s="89"/>
      <c r="T30" s="89"/>
      <c r="U30" s="89"/>
      <c r="V30" s="89"/>
      <c r="W30" s="89"/>
      <c r="X30" s="159"/>
      <c r="Y30" s="89"/>
      <c r="Z30" s="89"/>
    </row>
    <row r="31" spans="3:26" ht="25" customHeight="1" thickBot="1" x14ac:dyDescent="0.25">
      <c r="C31" s="88"/>
      <c r="D31" s="546" t="s">
        <v>434</v>
      </c>
      <c r="E31" s="1033" t="s">
        <v>699</v>
      </c>
      <c r="F31" s="1034"/>
      <c r="G31" s="1035"/>
      <c r="H31" s="90"/>
      <c r="I31" s="769"/>
      <c r="J31" s="770"/>
      <c r="K31" s="771"/>
      <c r="L31" s="545"/>
      <c r="M31" s="114"/>
      <c r="O31" s="89"/>
      <c r="P31" s="89"/>
      <c r="Q31" s="89"/>
      <c r="R31" s="89"/>
      <c r="S31" s="89"/>
      <c r="T31" s="89"/>
      <c r="U31" s="89"/>
      <c r="V31" s="89"/>
      <c r="W31" s="89"/>
      <c r="X31" s="89"/>
      <c r="Y31" s="89"/>
      <c r="Z31" s="89"/>
    </row>
    <row r="32" spans="3:26" ht="25" customHeight="1" thickBot="1" x14ac:dyDescent="0.25">
      <c r="C32" s="88"/>
      <c r="D32" s="547" t="s">
        <v>435</v>
      </c>
      <c r="E32" s="1039">
        <v>0.83333333333333337</v>
      </c>
      <c r="F32" s="1040"/>
      <c r="G32" s="1041"/>
      <c r="H32" s="90"/>
      <c r="I32" s="769"/>
      <c r="J32" s="770"/>
      <c r="K32" s="771"/>
      <c r="L32" s="548">
        <v>0.83333333333333337</v>
      </c>
      <c r="M32" s="512">
        <v>0.72916666666666674</v>
      </c>
      <c r="O32" s="89"/>
      <c r="P32" s="89"/>
      <c r="Q32" s="89"/>
      <c r="R32" s="89"/>
      <c r="S32" s="89"/>
      <c r="T32" s="89"/>
      <c r="U32" s="89"/>
      <c r="V32" s="89"/>
      <c r="W32" s="89"/>
      <c r="X32" s="89"/>
      <c r="Y32" s="89"/>
      <c r="Z32" s="89"/>
    </row>
    <row r="33" spans="3:26" ht="49" customHeight="1" thickBot="1" x14ac:dyDescent="0.25">
      <c r="C33" s="88"/>
      <c r="D33" s="549" t="s">
        <v>436</v>
      </c>
      <c r="E33" s="93" t="s">
        <v>29</v>
      </c>
      <c r="F33" s="93" t="s">
        <v>28</v>
      </c>
      <c r="G33" s="94" t="s">
        <v>27</v>
      </c>
      <c r="H33" s="94" t="s">
        <v>793</v>
      </c>
      <c r="I33" s="769"/>
      <c r="J33" s="770"/>
      <c r="K33" s="771"/>
      <c r="L33" s="545"/>
      <c r="M33" s="114"/>
      <c r="O33" s="89"/>
      <c r="P33" s="89"/>
      <c r="Q33" s="89"/>
      <c r="R33" s="89"/>
      <c r="S33" s="89"/>
      <c r="T33" s="89"/>
      <c r="U33" s="89"/>
      <c r="V33" s="89"/>
      <c r="W33" s="89"/>
      <c r="X33" s="89"/>
      <c r="Y33" s="89"/>
      <c r="Z33" s="89"/>
    </row>
    <row r="34" spans="3:26" ht="24" x14ac:dyDescent="0.2">
      <c r="C34" s="88"/>
      <c r="D34" s="550">
        <v>45582</v>
      </c>
      <c r="E34" s="96" t="s">
        <v>699</v>
      </c>
      <c r="F34" s="96" t="s">
        <v>731</v>
      </c>
      <c r="G34" s="96" t="s">
        <v>677</v>
      </c>
      <c r="H34" s="115">
        <v>0.83333333333333337</v>
      </c>
      <c r="I34" s="769"/>
      <c r="J34" s="770"/>
      <c r="K34" s="771"/>
      <c r="L34" s="545"/>
      <c r="M34" s="114"/>
      <c r="O34" s="89"/>
      <c r="P34" s="89"/>
      <c r="Q34" s="89"/>
      <c r="R34" s="89"/>
      <c r="S34" s="89"/>
      <c r="T34" s="89"/>
      <c r="U34" s="89"/>
      <c r="V34" s="89"/>
      <c r="W34" s="89"/>
      <c r="X34" s="89"/>
      <c r="Y34" s="89"/>
      <c r="Z34" s="89"/>
    </row>
    <row r="35" spans="3:26" ht="48" customHeight="1" x14ac:dyDescent="0.2">
      <c r="C35" s="88"/>
      <c r="D35" s="550">
        <v>45574</v>
      </c>
      <c r="E35" s="96" t="s">
        <v>677</v>
      </c>
      <c r="F35" s="96" t="s">
        <v>732</v>
      </c>
      <c r="G35" s="96" t="s">
        <v>637</v>
      </c>
      <c r="H35" s="115">
        <v>0.83333333333333337</v>
      </c>
      <c r="I35" s="769"/>
      <c r="J35" s="770"/>
      <c r="K35" s="771"/>
      <c r="L35" s="545"/>
      <c r="M35" s="114"/>
      <c r="O35" s="89"/>
      <c r="P35" s="89"/>
      <c r="Q35" s="89"/>
      <c r="R35" s="89"/>
      <c r="S35" s="89"/>
      <c r="T35" s="89"/>
      <c r="U35" s="89"/>
      <c r="V35" s="89"/>
      <c r="W35" s="89"/>
      <c r="X35" s="89"/>
      <c r="Y35" s="89"/>
      <c r="Z35" s="89"/>
    </row>
    <row r="36" spans="3:26" ht="48" customHeight="1" x14ac:dyDescent="0.2">
      <c r="C36" s="88"/>
      <c r="D36" s="550">
        <v>45567</v>
      </c>
      <c r="E36" s="96" t="s">
        <v>637</v>
      </c>
      <c r="F36" s="96" t="s">
        <v>733</v>
      </c>
      <c r="G36" s="96" t="s">
        <v>380</v>
      </c>
      <c r="H36" s="115">
        <v>0.83333333333333337</v>
      </c>
      <c r="I36" s="769"/>
      <c r="J36" s="770"/>
      <c r="K36" s="771"/>
      <c r="L36" s="554"/>
      <c r="M36" s="114"/>
      <c r="O36" s="89"/>
      <c r="P36" s="89"/>
      <c r="Q36" s="89"/>
      <c r="R36" s="89"/>
      <c r="S36" s="89"/>
      <c r="T36" s="89"/>
      <c r="U36" s="89"/>
      <c r="V36" s="89"/>
      <c r="W36" s="89"/>
      <c r="X36" s="89"/>
      <c r="Y36" s="89"/>
      <c r="Z36" s="89"/>
    </row>
    <row r="37" spans="3:26" ht="72" customHeight="1" x14ac:dyDescent="0.2">
      <c r="C37" s="88"/>
      <c r="D37" s="550">
        <v>45560</v>
      </c>
      <c r="E37" s="96" t="s">
        <v>380</v>
      </c>
      <c r="F37" s="96" t="s">
        <v>564</v>
      </c>
      <c r="G37" s="96" t="s">
        <v>337</v>
      </c>
      <c r="H37" s="115">
        <v>0.83333333333333337</v>
      </c>
      <c r="I37" s="769"/>
      <c r="J37" s="770"/>
      <c r="K37" s="771"/>
      <c r="L37" s="545"/>
      <c r="M37" s="114"/>
      <c r="O37" s="89"/>
      <c r="P37" s="89"/>
      <c r="Q37" s="89"/>
      <c r="R37" s="89"/>
      <c r="S37" s="89"/>
      <c r="T37" s="89"/>
      <c r="U37" s="89"/>
      <c r="V37" s="89"/>
      <c r="W37" s="89"/>
      <c r="X37" s="89"/>
      <c r="Y37" s="89"/>
      <c r="Z37" s="89"/>
    </row>
    <row r="38" spans="3:26" ht="72" customHeight="1" x14ac:dyDescent="0.2">
      <c r="C38" s="88"/>
      <c r="D38" s="550">
        <v>45553</v>
      </c>
      <c r="E38" s="96" t="s">
        <v>337</v>
      </c>
      <c r="F38" s="96" t="s">
        <v>565</v>
      </c>
      <c r="G38" s="96" t="s">
        <v>339</v>
      </c>
      <c r="H38" s="115">
        <v>0.83333333333333337</v>
      </c>
      <c r="I38" s="769"/>
      <c r="J38" s="770"/>
      <c r="K38" s="771"/>
      <c r="L38" s="545"/>
      <c r="M38" s="114"/>
      <c r="O38" s="89"/>
      <c r="P38" s="89"/>
      <c r="Q38" s="89"/>
      <c r="R38" s="89"/>
      <c r="S38" s="89"/>
      <c r="T38" s="89"/>
      <c r="U38" s="89"/>
      <c r="V38" s="89"/>
      <c r="W38" s="89"/>
      <c r="X38" s="89"/>
      <c r="Y38" s="89"/>
      <c r="Z38" s="89"/>
    </row>
    <row r="39" spans="3:26" ht="49" customHeight="1" thickBot="1" x14ac:dyDescent="0.25">
      <c r="C39" s="88"/>
      <c r="D39" s="550">
        <v>45546</v>
      </c>
      <c r="E39" s="96" t="s">
        <v>339</v>
      </c>
      <c r="F39" s="96" t="s">
        <v>567</v>
      </c>
      <c r="G39" s="96" t="s">
        <v>312</v>
      </c>
      <c r="H39" s="115">
        <v>0.83333333333333337</v>
      </c>
      <c r="I39" s="772"/>
      <c r="J39" s="773"/>
      <c r="K39" s="774"/>
      <c r="L39" s="555"/>
      <c r="M39" s="116"/>
      <c r="O39" s="89"/>
      <c r="P39" s="89"/>
      <c r="Q39" s="89"/>
      <c r="R39" s="89"/>
      <c r="S39" s="89"/>
      <c r="T39" s="89"/>
      <c r="U39" s="89"/>
      <c r="V39" s="89"/>
      <c r="W39" s="89"/>
      <c r="X39" s="89"/>
      <c r="Y39" s="89"/>
      <c r="Z39" s="89"/>
    </row>
    <row r="40" spans="3:26" ht="49" thickBot="1" x14ac:dyDescent="0.25">
      <c r="C40" s="88"/>
      <c r="D40" s="552" t="s">
        <v>30</v>
      </c>
      <c r="E40" s="1052" t="s">
        <v>709</v>
      </c>
      <c r="F40" s="1053"/>
      <c r="G40" s="1054"/>
      <c r="H40" s="105" t="s">
        <v>790</v>
      </c>
      <c r="I40" s="781" t="s">
        <v>633</v>
      </c>
      <c r="J40" s="764"/>
      <c r="K40" s="765"/>
      <c r="L40" s="553" t="s">
        <v>430</v>
      </c>
      <c r="M40" s="106" t="s">
        <v>431</v>
      </c>
      <c r="O40" s="118" t="s">
        <v>800</v>
      </c>
      <c r="P40" s="118" t="s">
        <v>801</v>
      </c>
      <c r="Q40" s="118" t="s">
        <v>802</v>
      </c>
      <c r="R40" s="118" t="s">
        <v>803</v>
      </c>
      <c r="S40" s="118" t="s">
        <v>804</v>
      </c>
      <c r="T40" s="118" t="s">
        <v>805</v>
      </c>
      <c r="U40" s="118" t="s">
        <v>806</v>
      </c>
      <c r="V40" s="118" t="s">
        <v>807</v>
      </c>
      <c r="W40" s="118" t="s">
        <v>808</v>
      </c>
      <c r="X40" s="118" t="s">
        <v>809</v>
      </c>
      <c r="Y40" s="118" t="s">
        <v>75</v>
      </c>
      <c r="Z40" s="118" t="s">
        <v>75</v>
      </c>
    </row>
    <row r="41" spans="3:26" ht="24" customHeight="1" x14ac:dyDescent="0.2">
      <c r="C41" s="88"/>
      <c r="D41" s="544" t="s">
        <v>432</v>
      </c>
      <c r="E41" s="1024"/>
      <c r="F41" s="1025"/>
      <c r="G41" s="1026"/>
      <c r="H41" s="113" t="s">
        <v>797</v>
      </c>
      <c r="I41" s="892" t="s">
        <v>710</v>
      </c>
      <c r="J41" s="893"/>
      <c r="K41" s="894"/>
      <c r="L41" s="545"/>
      <c r="M41" s="114"/>
      <c r="O41" s="119" t="s">
        <v>810</v>
      </c>
      <c r="P41" s="120">
        <v>0.1</v>
      </c>
      <c r="Q41" s="121">
        <v>0.16</v>
      </c>
      <c r="R41" s="122">
        <v>0.13000000000002387</v>
      </c>
      <c r="S41" s="123"/>
      <c r="T41" s="119">
        <v>0.37000000000002387</v>
      </c>
      <c r="U41" s="121">
        <v>-0.06</v>
      </c>
      <c r="V41" s="120">
        <v>15.8</v>
      </c>
      <c r="W41" s="123"/>
      <c r="X41" s="123"/>
      <c r="Y41" s="124"/>
      <c r="Z41" s="124"/>
    </row>
    <row r="42" spans="3:26" ht="24" customHeight="1" x14ac:dyDescent="0.2">
      <c r="C42" s="88"/>
      <c r="D42" s="546" t="s">
        <v>433</v>
      </c>
      <c r="E42" s="1036">
        <v>0.13</v>
      </c>
      <c r="F42" s="1037"/>
      <c r="G42" s="1038"/>
      <c r="H42" s="113" t="s">
        <v>797</v>
      </c>
      <c r="I42" s="769"/>
      <c r="J42" s="770"/>
      <c r="K42" s="771"/>
      <c r="L42" s="545"/>
      <c r="M42" s="114"/>
      <c r="O42" s="125"/>
      <c r="P42" s="125"/>
      <c r="Q42" s="125"/>
      <c r="R42" s="126"/>
      <c r="S42" s="127"/>
      <c r="T42" s="125"/>
      <c r="U42" s="125"/>
      <c r="V42" s="125"/>
      <c r="W42" s="127"/>
      <c r="X42" s="127"/>
      <c r="Y42" s="128"/>
      <c r="Z42" s="128"/>
    </row>
    <row r="43" spans="3:26" ht="25" customHeight="1" thickBot="1" x14ac:dyDescent="0.25">
      <c r="C43" s="88"/>
      <c r="D43" s="546" t="s">
        <v>434</v>
      </c>
      <c r="E43" s="1036">
        <v>0.08</v>
      </c>
      <c r="F43" s="1037"/>
      <c r="G43" s="1038"/>
      <c r="H43" s="90"/>
      <c r="I43" s="769"/>
      <c r="J43" s="770"/>
      <c r="K43" s="771"/>
      <c r="L43" s="545"/>
      <c r="M43" s="114"/>
      <c r="O43" s="129" t="s">
        <v>811</v>
      </c>
      <c r="P43" s="130">
        <v>0.25</v>
      </c>
      <c r="Q43" s="131">
        <v>8.1471</v>
      </c>
      <c r="R43" s="132">
        <v>1</v>
      </c>
      <c r="S43" s="133">
        <v>1.5</v>
      </c>
      <c r="T43" s="129">
        <v>13.220649999999999</v>
      </c>
      <c r="U43" s="134">
        <v>-8.0395844594589398</v>
      </c>
      <c r="V43" s="135">
        <v>229.5</v>
      </c>
      <c r="W43" s="136">
        <v>1</v>
      </c>
      <c r="X43" s="137">
        <v>8.0395844594589398</v>
      </c>
      <c r="Y43" s="138"/>
      <c r="Z43" s="138">
        <v>4.4350000000000005</v>
      </c>
    </row>
    <row r="44" spans="3:26" ht="25" customHeight="1" thickBot="1" x14ac:dyDescent="0.25">
      <c r="C44" s="88"/>
      <c r="D44" s="547" t="s">
        <v>435</v>
      </c>
      <c r="E44" s="1039">
        <v>0.87500000000000011</v>
      </c>
      <c r="F44" s="1040"/>
      <c r="G44" s="1041"/>
      <c r="H44" s="90"/>
      <c r="I44" s="769"/>
      <c r="J44" s="770"/>
      <c r="K44" s="771"/>
      <c r="L44" s="548">
        <v>1.1041666666666667</v>
      </c>
      <c r="M44" s="512">
        <v>1</v>
      </c>
      <c r="O44" s="139" t="s">
        <v>812</v>
      </c>
      <c r="P44" s="140">
        <v>0.25</v>
      </c>
      <c r="Q44" s="160">
        <v>16.275866666666666</v>
      </c>
      <c r="R44" s="142">
        <v>1</v>
      </c>
      <c r="S44" s="143">
        <v>1.5</v>
      </c>
      <c r="T44" s="140">
        <v>25.413799999999998</v>
      </c>
      <c r="U44" s="144">
        <v>-15.454337837836839</v>
      </c>
      <c r="V44" s="145">
        <v>229.5</v>
      </c>
      <c r="W44" s="146">
        <v>1</v>
      </c>
      <c r="X44" s="147">
        <v>15.454337837836839</v>
      </c>
      <c r="Y44" s="148"/>
      <c r="Z44" s="148"/>
    </row>
    <row r="45" spans="3:26" ht="49" customHeight="1" thickBot="1" x14ac:dyDescent="0.25">
      <c r="C45" s="88"/>
      <c r="D45" s="549" t="s">
        <v>436</v>
      </c>
      <c r="E45" s="93" t="s">
        <v>29</v>
      </c>
      <c r="F45" s="93" t="s">
        <v>28</v>
      </c>
      <c r="G45" s="94" t="s">
        <v>27</v>
      </c>
      <c r="H45" s="94" t="s">
        <v>793</v>
      </c>
      <c r="I45" s="769"/>
      <c r="J45" s="770"/>
      <c r="K45" s="771"/>
      <c r="L45" s="545"/>
      <c r="M45" s="114"/>
      <c r="O45" s="127"/>
      <c r="P45" s="149"/>
      <c r="Q45" s="127"/>
      <c r="R45" s="127"/>
      <c r="S45" s="127"/>
      <c r="T45" s="127"/>
      <c r="U45" s="150"/>
      <c r="V45" s="151"/>
      <c r="W45" s="127"/>
      <c r="X45" s="150"/>
      <c r="Y45" s="128"/>
      <c r="Z45" s="128"/>
    </row>
    <row r="46" spans="3:26" ht="23" x14ac:dyDescent="0.2">
      <c r="C46" s="88"/>
      <c r="D46" s="550">
        <v>45496</v>
      </c>
      <c r="E46" s="95">
        <v>0.52</v>
      </c>
      <c r="F46" s="95">
        <v>0.61</v>
      </c>
      <c r="G46" s="95">
        <v>0.91</v>
      </c>
      <c r="H46" s="115">
        <v>0.87500000000000011</v>
      </c>
      <c r="I46" s="769"/>
      <c r="J46" s="770"/>
      <c r="K46" s="771"/>
      <c r="L46" s="545"/>
      <c r="M46" s="114"/>
      <c r="O46" s="152"/>
      <c r="P46" s="128"/>
      <c r="Q46" s="152"/>
      <c r="R46" s="152"/>
      <c r="S46" s="152"/>
      <c r="T46" s="152"/>
      <c r="U46" s="152"/>
      <c r="V46" s="152"/>
      <c r="W46" s="152"/>
      <c r="X46" s="152"/>
      <c r="Y46" s="128"/>
      <c r="Z46" s="128"/>
    </row>
    <row r="47" spans="3:26" ht="23" x14ac:dyDescent="0.2">
      <c r="C47" s="88"/>
      <c r="D47" s="550">
        <v>45405</v>
      </c>
      <c r="E47" s="95">
        <v>0.45</v>
      </c>
      <c r="F47" s="95">
        <v>0.49</v>
      </c>
      <c r="G47" s="95">
        <v>0.85</v>
      </c>
      <c r="H47" s="115">
        <v>0.87500000000000011</v>
      </c>
      <c r="I47" s="769"/>
      <c r="J47" s="770"/>
      <c r="K47" s="771"/>
      <c r="L47" s="545"/>
      <c r="M47" s="114"/>
      <c r="O47" s="119" t="s">
        <v>813</v>
      </c>
      <c r="P47" s="120">
        <v>0.25</v>
      </c>
      <c r="Q47" s="153">
        <v>16.275866666666666</v>
      </c>
      <c r="R47" s="154">
        <v>1</v>
      </c>
      <c r="S47" s="123">
        <v>1.5</v>
      </c>
      <c r="T47" s="129">
        <v>25.413799999999998</v>
      </c>
      <c r="U47" s="155">
        <v>-15.454337837836839</v>
      </c>
      <c r="V47" s="156">
        <v>229.5</v>
      </c>
      <c r="W47" s="123">
        <v>1</v>
      </c>
      <c r="X47" s="157">
        <v>15.454337837836839</v>
      </c>
      <c r="Y47" s="158" t="s">
        <v>814</v>
      </c>
      <c r="Z47" s="158"/>
    </row>
    <row r="48" spans="3:26" ht="23" x14ac:dyDescent="0.2">
      <c r="C48" s="88"/>
      <c r="D48" s="550">
        <v>45315</v>
      </c>
      <c r="E48" s="95">
        <v>0.71</v>
      </c>
      <c r="F48" s="95">
        <v>0.73</v>
      </c>
      <c r="G48" s="95">
        <v>1.19</v>
      </c>
      <c r="H48" s="115">
        <v>0.87500000000000011</v>
      </c>
      <c r="I48" s="769"/>
      <c r="J48" s="770"/>
      <c r="K48" s="771"/>
      <c r="L48" s="554"/>
      <c r="M48" s="114"/>
      <c r="O48" s="119"/>
      <c r="P48" s="120"/>
      <c r="Q48" s="153"/>
      <c r="R48" s="154"/>
      <c r="S48" s="123"/>
      <c r="T48" s="120"/>
      <c r="U48" s="155"/>
      <c r="V48" s="156"/>
      <c r="W48" s="123"/>
      <c r="X48" s="157"/>
      <c r="Y48" s="158"/>
      <c r="Z48" s="158"/>
    </row>
    <row r="49" spans="3:26" ht="23" customHeight="1" x14ac:dyDescent="0.2">
      <c r="C49" s="88"/>
      <c r="D49" s="550">
        <v>45217</v>
      </c>
      <c r="E49" s="95">
        <v>0.66</v>
      </c>
      <c r="F49" s="95">
        <v>0.73</v>
      </c>
      <c r="G49" s="95">
        <v>1.05</v>
      </c>
      <c r="H49" s="115">
        <v>0.87500000000000011</v>
      </c>
      <c r="I49" s="769"/>
      <c r="J49" s="770"/>
      <c r="K49" s="771"/>
      <c r="L49" s="545"/>
      <c r="M49" s="114"/>
      <c r="O49" s="119" t="s">
        <v>816</v>
      </c>
      <c r="P49" s="120"/>
      <c r="Q49" s="153"/>
      <c r="R49" s="154"/>
      <c r="S49" s="123"/>
      <c r="T49" s="120"/>
      <c r="U49" s="155">
        <v>0</v>
      </c>
      <c r="V49" s="156"/>
      <c r="W49" s="123"/>
      <c r="X49" s="157">
        <v>0</v>
      </c>
      <c r="Y49" s="158"/>
      <c r="Z49" s="158"/>
    </row>
    <row r="50" spans="3:26" ht="23" x14ac:dyDescent="0.2">
      <c r="C50" s="88"/>
      <c r="D50" s="550">
        <v>45126</v>
      </c>
      <c r="E50" s="95">
        <v>0.91</v>
      </c>
      <c r="F50" s="95">
        <v>0.79</v>
      </c>
      <c r="G50" s="95">
        <v>0.75700000000000001</v>
      </c>
      <c r="H50" s="115">
        <v>0.87500000000000011</v>
      </c>
      <c r="I50" s="769"/>
      <c r="J50" s="770"/>
      <c r="K50" s="771"/>
      <c r="L50" s="545"/>
      <c r="M50" s="114"/>
      <c r="O50" s="89"/>
      <c r="P50" s="89"/>
      <c r="Q50" s="89"/>
      <c r="R50" s="89"/>
      <c r="S50" s="89"/>
      <c r="T50" s="89"/>
      <c r="U50" s="89"/>
      <c r="V50" s="89"/>
      <c r="W50" s="89"/>
      <c r="X50" s="89"/>
      <c r="Y50" s="89"/>
      <c r="Z50" s="89"/>
    </row>
    <row r="51" spans="3:26" ht="24" thickBot="1" x14ac:dyDescent="0.25">
      <c r="C51" s="88"/>
      <c r="D51" s="550">
        <v>45035</v>
      </c>
      <c r="E51" s="95">
        <v>0.85</v>
      </c>
      <c r="F51" s="95">
        <v>0.85</v>
      </c>
      <c r="G51" s="95">
        <v>1.073</v>
      </c>
      <c r="H51" s="115">
        <v>0.87500000000000011</v>
      </c>
      <c r="I51" s="772"/>
      <c r="J51" s="773"/>
      <c r="K51" s="774"/>
      <c r="L51" s="555"/>
      <c r="M51" s="116"/>
      <c r="O51" s="89"/>
      <c r="P51" s="89"/>
      <c r="Q51" s="89"/>
      <c r="R51" s="89"/>
      <c r="S51" s="89"/>
      <c r="T51" s="89"/>
      <c r="U51" s="89"/>
      <c r="V51" s="89"/>
      <c r="W51" s="89"/>
      <c r="X51" s="89"/>
      <c r="Y51" s="89"/>
      <c r="Z51" s="89"/>
    </row>
    <row r="52" spans="3:26" ht="73" customHeight="1" thickBot="1" x14ac:dyDescent="0.25">
      <c r="C52" s="88" t="s">
        <v>105</v>
      </c>
      <c r="D52" s="552" t="s">
        <v>30</v>
      </c>
      <c r="E52" s="1052" t="s">
        <v>711</v>
      </c>
      <c r="F52" s="1053"/>
      <c r="G52" s="1054"/>
      <c r="H52" s="105" t="s">
        <v>790</v>
      </c>
      <c r="I52" s="781" t="s">
        <v>633</v>
      </c>
      <c r="J52" s="764"/>
      <c r="K52" s="765"/>
      <c r="L52" s="553" t="s">
        <v>430</v>
      </c>
      <c r="M52" s="106" t="s">
        <v>431</v>
      </c>
      <c r="O52" s="118" t="s">
        <v>800</v>
      </c>
      <c r="P52" s="118" t="s">
        <v>801</v>
      </c>
      <c r="Q52" s="118" t="s">
        <v>802</v>
      </c>
      <c r="R52" s="118" t="s">
        <v>803</v>
      </c>
      <c r="S52" s="118" t="s">
        <v>804</v>
      </c>
      <c r="T52" s="118" t="s">
        <v>805</v>
      </c>
      <c r="U52" s="118" t="s">
        <v>806</v>
      </c>
      <c r="V52" s="118" t="s">
        <v>807</v>
      </c>
      <c r="W52" s="118" t="s">
        <v>808</v>
      </c>
      <c r="X52" s="118" t="s">
        <v>809</v>
      </c>
      <c r="Y52" s="118" t="s">
        <v>75</v>
      </c>
      <c r="Z52" s="118" t="s">
        <v>75</v>
      </c>
    </row>
    <row r="53" spans="3:26" ht="24" customHeight="1" x14ac:dyDescent="0.2">
      <c r="C53" s="88"/>
      <c r="D53" s="544" t="s">
        <v>432</v>
      </c>
      <c r="E53" s="1024"/>
      <c r="F53" s="1025"/>
      <c r="G53" s="1026"/>
      <c r="H53" s="113" t="s">
        <v>798</v>
      </c>
      <c r="I53" s="892" t="s">
        <v>712</v>
      </c>
      <c r="J53" s="893"/>
      <c r="K53" s="894"/>
      <c r="L53" s="545"/>
      <c r="M53" s="114"/>
      <c r="O53" s="119" t="s">
        <v>810</v>
      </c>
      <c r="P53" s="120">
        <v>0.1</v>
      </c>
      <c r="Q53" s="121">
        <v>1.3999999999999999E-4</v>
      </c>
      <c r="R53" s="122">
        <v>6.199999999998429E-4</v>
      </c>
      <c r="S53" s="123"/>
      <c r="T53" s="119">
        <v>8.2999999999984291E-4</v>
      </c>
      <c r="U53" s="121">
        <v>-30</v>
      </c>
      <c r="V53" s="120">
        <v>15.8</v>
      </c>
      <c r="W53" s="123"/>
      <c r="X53" s="123"/>
      <c r="Y53" s="124"/>
      <c r="Z53" s="124"/>
    </row>
    <row r="54" spans="3:26" ht="24" customHeight="1" x14ac:dyDescent="0.2">
      <c r="C54" s="88"/>
      <c r="D54" s="546" t="s">
        <v>433</v>
      </c>
      <c r="E54" s="1036"/>
      <c r="F54" s="1037"/>
      <c r="G54" s="1038"/>
      <c r="H54" s="113" t="s">
        <v>799</v>
      </c>
      <c r="I54" s="769"/>
      <c r="J54" s="770"/>
      <c r="K54" s="771"/>
      <c r="L54" s="545"/>
      <c r="M54" s="114"/>
      <c r="O54" s="125"/>
      <c r="P54" s="125"/>
      <c r="Q54" s="125"/>
      <c r="R54" s="126"/>
      <c r="S54" s="127"/>
      <c r="T54" s="125"/>
      <c r="U54" s="125"/>
      <c r="V54" s="125"/>
      <c r="W54" s="127"/>
      <c r="X54" s="127"/>
      <c r="Y54" s="128"/>
      <c r="Z54" s="128"/>
    </row>
    <row r="55" spans="3:26" ht="25" customHeight="1" thickBot="1" x14ac:dyDescent="0.25">
      <c r="C55" s="88"/>
      <c r="D55" s="546" t="s">
        <v>434</v>
      </c>
      <c r="E55" s="1036">
        <v>52.6</v>
      </c>
      <c r="F55" s="1037"/>
      <c r="G55" s="1038"/>
      <c r="H55" s="90"/>
      <c r="I55" s="769"/>
      <c r="J55" s="770"/>
      <c r="K55" s="771"/>
      <c r="L55" s="545"/>
      <c r="M55" s="114"/>
      <c r="O55" s="129" t="s">
        <v>811</v>
      </c>
      <c r="P55" s="130">
        <v>0.1</v>
      </c>
      <c r="Q55" s="131">
        <v>5.0000000000000001E-4</v>
      </c>
      <c r="R55" s="132">
        <v>1.7000000000000001E-4</v>
      </c>
      <c r="S55" s="133">
        <v>1</v>
      </c>
      <c r="T55" s="129">
        <v>9.2000000000000003E-4</v>
      </c>
      <c r="U55" s="134">
        <v>-33.253012048199068</v>
      </c>
      <c r="V55" s="135">
        <v>91.8</v>
      </c>
      <c r="W55" s="136">
        <v>1</v>
      </c>
      <c r="X55" s="137">
        <v>33.253012048199068</v>
      </c>
      <c r="Y55" s="138"/>
      <c r="Z55" s="138">
        <v>4.4350000000000005</v>
      </c>
    </row>
    <row r="56" spans="3:26" ht="25" customHeight="1" thickBot="1" x14ac:dyDescent="0.25">
      <c r="C56" s="88"/>
      <c r="D56" s="547" t="s">
        <v>435</v>
      </c>
      <c r="E56" s="1039">
        <v>0.35416666666666674</v>
      </c>
      <c r="F56" s="1040"/>
      <c r="G56" s="1041"/>
      <c r="H56" s="90"/>
      <c r="I56" s="769"/>
      <c r="J56" s="770"/>
      <c r="K56" s="771"/>
      <c r="L56" s="548">
        <v>0.58333333333333337</v>
      </c>
      <c r="M56" s="512">
        <v>0.47916666666666669</v>
      </c>
      <c r="O56" s="139" t="s">
        <v>812</v>
      </c>
      <c r="P56" s="140">
        <v>0.1</v>
      </c>
      <c r="Q56" s="160">
        <v>4.2000000000000002E-4</v>
      </c>
      <c r="R56" s="142">
        <v>1.7000000000000001E-4</v>
      </c>
      <c r="S56" s="143">
        <v>1</v>
      </c>
      <c r="T56" s="140">
        <v>8.0000000000000004E-4</v>
      </c>
      <c r="U56" s="144">
        <v>-28.915662650607885</v>
      </c>
      <c r="V56" s="145">
        <v>91.8</v>
      </c>
      <c r="W56" s="146">
        <v>1</v>
      </c>
      <c r="X56" s="147">
        <v>28.915662650607885</v>
      </c>
      <c r="Y56" s="148"/>
      <c r="Z56" s="148"/>
    </row>
    <row r="57" spans="3:26" ht="49" customHeight="1" thickBot="1" x14ac:dyDescent="0.25">
      <c r="C57" s="88"/>
      <c r="D57" s="549" t="s">
        <v>436</v>
      </c>
      <c r="E57" s="93" t="s">
        <v>29</v>
      </c>
      <c r="F57" s="93" t="s">
        <v>28</v>
      </c>
      <c r="G57" s="94" t="s">
        <v>27</v>
      </c>
      <c r="H57" s="94" t="s">
        <v>793</v>
      </c>
      <c r="I57" s="769"/>
      <c r="J57" s="770"/>
      <c r="K57" s="771"/>
      <c r="L57" s="545"/>
      <c r="M57" s="114"/>
      <c r="O57" s="127"/>
      <c r="P57" s="149"/>
      <c r="Q57" s="127"/>
      <c r="R57" s="127"/>
      <c r="S57" s="127"/>
      <c r="T57" s="127"/>
      <c r="U57" s="150"/>
      <c r="V57" s="151"/>
      <c r="W57" s="127"/>
      <c r="X57" s="150"/>
      <c r="Y57" s="128"/>
      <c r="Z57" s="128"/>
    </row>
    <row r="58" spans="3:26" ht="24" x14ac:dyDescent="0.2">
      <c r="C58" s="88"/>
      <c r="D58" s="550">
        <v>45568</v>
      </c>
      <c r="E58" s="95">
        <v>52.6</v>
      </c>
      <c r="F58" s="95" t="s">
        <v>753</v>
      </c>
      <c r="G58" s="95">
        <v>53.8</v>
      </c>
      <c r="H58" s="115">
        <v>0.35416666666666674</v>
      </c>
      <c r="I58" s="769"/>
      <c r="J58" s="770"/>
      <c r="K58" s="771"/>
      <c r="L58" s="545"/>
      <c r="M58" s="114"/>
      <c r="O58" s="152"/>
      <c r="P58" s="128"/>
      <c r="Q58" s="152"/>
      <c r="R58" s="152"/>
      <c r="S58" s="152"/>
      <c r="T58" s="152"/>
      <c r="U58" s="152"/>
      <c r="V58" s="152"/>
      <c r="W58" s="152"/>
      <c r="X58" s="152"/>
      <c r="Y58" s="128"/>
      <c r="Z58" s="128"/>
    </row>
    <row r="59" spans="3:26" ht="24" x14ac:dyDescent="0.2">
      <c r="C59" s="88"/>
      <c r="D59" s="550">
        <v>45558</v>
      </c>
      <c r="E59" s="95">
        <v>52.9</v>
      </c>
      <c r="F59" s="95" t="s">
        <v>754</v>
      </c>
      <c r="G59" s="95">
        <v>53.8</v>
      </c>
      <c r="H59" s="115">
        <v>0.35416666666666674</v>
      </c>
      <c r="I59" s="769"/>
      <c r="J59" s="770"/>
      <c r="K59" s="771"/>
      <c r="L59" s="545"/>
      <c r="M59" s="114"/>
      <c r="O59" s="119" t="s">
        <v>813</v>
      </c>
      <c r="P59" s="120">
        <v>0.1</v>
      </c>
      <c r="Q59" s="153">
        <v>4.2000000000000002E-4</v>
      </c>
      <c r="R59" s="154">
        <v>1.7000000000000001E-4</v>
      </c>
      <c r="S59" s="123">
        <v>1</v>
      </c>
      <c r="T59" s="129">
        <v>8.0000000000000004E-4</v>
      </c>
      <c r="U59" s="155">
        <v>-28.915662650607885</v>
      </c>
      <c r="V59" s="156">
        <v>91.8</v>
      </c>
      <c r="W59" s="123">
        <v>2</v>
      </c>
      <c r="X59" s="157">
        <v>57.83132530121577</v>
      </c>
      <c r="Y59" s="158" t="s">
        <v>814</v>
      </c>
      <c r="Z59" s="158"/>
    </row>
    <row r="60" spans="3:26" ht="24" x14ac:dyDescent="0.2">
      <c r="C60" s="88"/>
      <c r="D60" s="550">
        <v>45539</v>
      </c>
      <c r="E60" s="95">
        <v>53.8</v>
      </c>
      <c r="F60" s="95" t="s">
        <v>755</v>
      </c>
      <c r="G60" s="95">
        <v>52.8</v>
      </c>
      <c r="H60" s="115">
        <v>0.35416666666666674</v>
      </c>
      <c r="I60" s="769"/>
      <c r="J60" s="770"/>
      <c r="K60" s="771"/>
      <c r="L60" s="554"/>
      <c r="M60" s="114"/>
      <c r="O60" s="119"/>
      <c r="P60" s="120"/>
      <c r="Q60" s="153"/>
      <c r="R60" s="154"/>
      <c r="S60" s="123"/>
      <c r="T60" s="120"/>
      <c r="U60" s="155"/>
      <c r="V60" s="156"/>
      <c r="W60" s="123"/>
      <c r="X60" s="157"/>
      <c r="Y60" s="158"/>
      <c r="Z60" s="158"/>
    </row>
    <row r="61" spans="3:26" ht="24" x14ac:dyDescent="0.2">
      <c r="C61" s="88"/>
      <c r="D61" s="550">
        <v>45526</v>
      </c>
      <c r="E61" s="95">
        <v>53.4</v>
      </c>
      <c r="F61" s="95" t="s">
        <v>753</v>
      </c>
      <c r="G61" s="95">
        <v>52.8</v>
      </c>
      <c r="H61" s="115">
        <v>0.35416666666666674</v>
      </c>
      <c r="I61" s="769"/>
      <c r="J61" s="770"/>
      <c r="K61" s="771"/>
      <c r="L61" s="545"/>
      <c r="M61" s="114"/>
      <c r="O61" s="119" t="s">
        <v>816</v>
      </c>
      <c r="P61" s="120"/>
      <c r="Q61" s="153"/>
      <c r="R61" s="154"/>
      <c r="S61" s="123"/>
      <c r="T61" s="120"/>
      <c r="U61" s="155">
        <v>0</v>
      </c>
      <c r="V61" s="156"/>
      <c r="W61" s="123"/>
      <c r="X61" s="157">
        <v>0</v>
      </c>
      <c r="Y61" s="158"/>
      <c r="Z61" s="158"/>
    </row>
    <row r="62" spans="3:26" ht="24" x14ac:dyDescent="0.2">
      <c r="C62" s="88"/>
      <c r="D62" s="550">
        <v>45509</v>
      </c>
      <c r="E62" s="95">
        <v>52.8</v>
      </c>
      <c r="F62" s="95" t="s">
        <v>756</v>
      </c>
      <c r="G62" s="95">
        <v>52.3</v>
      </c>
      <c r="H62" s="115">
        <v>0.35416666666666674</v>
      </c>
      <c r="I62" s="769"/>
      <c r="J62" s="770"/>
      <c r="K62" s="771"/>
      <c r="L62" s="545"/>
      <c r="M62" s="114"/>
      <c r="O62" s="89"/>
      <c r="P62" s="89"/>
      <c r="Q62" s="89"/>
      <c r="R62" s="89"/>
      <c r="S62" s="89"/>
      <c r="T62" s="89"/>
      <c r="U62" s="89"/>
      <c r="V62" s="89"/>
      <c r="W62" s="89"/>
      <c r="X62" s="89"/>
      <c r="Y62" s="89"/>
      <c r="Z62" s="89"/>
    </row>
    <row r="63" spans="3:26" ht="25" thickBot="1" x14ac:dyDescent="0.25">
      <c r="C63" s="88"/>
      <c r="D63" s="550">
        <v>45497</v>
      </c>
      <c r="E63" s="95">
        <v>52.7</v>
      </c>
      <c r="F63" s="95" t="s">
        <v>596</v>
      </c>
      <c r="G63" s="95">
        <v>52.3</v>
      </c>
      <c r="H63" s="115">
        <v>0.35416666666666674</v>
      </c>
      <c r="I63" s="772"/>
      <c r="J63" s="773"/>
      <c r="K63" s="774"/>
      <c r="L63" s="555"/>
      <c r="M63" s="116"/>
      <c r="O63" s="89"/>
      <c r="P63" s="89"/>
      <c r="Q63" s="89"/>
      <c r="R63" s="89"/>
      <c r="S63" s="89"/>
      <c r="T63" s="89"/>
      <c r="U63" s="89"/>
      <c r="V63" s="89"/>
      <c r="W63" s="89"/>
      <c r="X63" s="89"/>
      <c r="Y63" s="89"/>
      <c r="Z63" s="89"/>
    </row>
    <row r="64" spans="3:26" ht="73" customHeight="1" thickBot="1" x14ac:dyDescent="0.25">
      <c r="C64" s="88" t="s">
        <v>105</v>
      </c>
      <c r="D64" s="552" t="s">
        <v>30</v>
      </c>
      <c r="E64" s="1052" t="s">
        <v>14</v>
      </c>
      <c r="F64" s="1053"/>
      <c r="G64" s="1054"/>
      <c r="H64" s="105" t="s">
        <v>790</v>
      </c>
      <c r="I64" s="781" t="s">
        <v>633</v>
      </c>
      <c r="J64" s="764"/>
      <c r="K64" s="765"/>
      <c r="L64" s="553" t="s">
        <v>430</v>
      </c>
      <c r="M64" s="106" t="s">
        <v>431</v>
      </c>
      <c r="O64" s="118" t="s">
        <v>800</v>
      </c>
      <c r="P64" s="118" t="s">
        <v>801</v>
      </c>
      <c r="Q64" s="118" t="s">
        <v>802</v>
      </c>
      <c r="R64" s="118" t="s">
        <v>803</v>
      </c>
      <c r="S64" s="118" t="s">
        <v>804</v>
      </c>
      <c r="T64" s="118" t="s">
        <v>805</v>
      </c>
      <c r="U64" s="118" t="s">
        <v>806</v>
      </c>
      <c r="V64" s="118" t="s">
        <v>807</v>
      </c>
      <c r="W64" s="118" t="s">
        <v>808</v>
      </c>
      <c r="X64" s="118" t="s">
        <v>809</v>
      </c>
      <c r="Y64" s="118" t="s">
        <v>75</v>
      </c>
      <c r="Z64" s="118" t="s">
        <v>75</v>
      </c>
    </row>
    <row r="65" spans="3:26" ht="24" customHeight="1" x14ac:dyDescent="0.2">
      <c r="C65" s="88"/>
      <c r="D65" s="544" t="s">
        <v>432</v>
      </c>
      <c r="E65" s="1024"/>
      <c r="F65" s="1025"/>
      <c r="G65" s="1026"/>
      <c r="H65" s="113" t="s">
        <v>794</v>
      </c>
      <c r="I65" s="892" t="s">
        <v>693</v>
      </c>
      <c r="J65" s="893"/>
      <c r="K65" s="894"/>
      <c r="L65" s="545"/>
      <c r="M65" s="114"/>
      <c r="O65" s="119" t="s">
        <v>810</v>
      </c>
      <c r="P65" s="120">
        <v>0.1</v>
      </c>
      <c r="Q65" s="121">
        <v>3.3000000000000002E-2</v>
      </c>
      <c r="R65" s="122">
        <v>1.4999999999986358E-2</v>
      </c>
      <c r="S65" s="123"/>
      <c r="T65" s="119">
        <v>6.449999999998636E-2</v>
      </c>
      <c r="U65" s="121">
        <v>-15.49</v>
      </c>
      <c r="V65" s="120">
        <v>91.8</v>
      </c>
      <c r="W65" s="123"/>
      <c r="X65" s="123"/>
      <c r="Y65" s="124"/>
      <c r="Z65" s="124"/>
    </row>
    <row r="66" spans="3:26" ht="24" customHeight="1" x14ac:dyDescent="0.2">
      <c r="C66" s="88"/>
      <c r="D66" s="546" t="s">
        <v>433</v>
      </c>
      <c r="E66" s="1033" t="s">
        <v>99</v>
      </c>
      <c r="F66" s="1034"/>
      <c r="G66" s="1035"/>
      <c r="H66" s="113" t="s">
        <v>795</v>
      </c>
      <c r="I66" s="769"/>
      <c r="J66" s="770"/>
      <c r="K66" s="771"/>
      <c r="L66" s="545"/>
      <c r="M66" s="114"/>
      <c r="O66" s="125"/>
      <c r="P66" s="125"/>
      <c r="Q66" s="125"/>
      <c r="R66" s="126"/>
      <c r="S66" s="127"/>
      <c r="T66" s="125"/>
      <c r="U66" s="125"/>
      <c r="V66" s="125"/>
      <c r="W66" s="127"/>
      <c r="X66" s="127"/>
      <c r="Y66" s="128"/>
      <c r="Z66" s="128"/>
    </row>
    <row r="67" spans="3:26" ht="25" customHeight="1" thickBot="1" x14ac:dyDescent="0.25">
      <c r="C67" s="88"/>
      <c r="D67" s="546" t="s">
        <v>434</v>
      </c>
      <c r="E67" s="1033" t="s">
        <v>171</v>
      </c>
      <c r="F67" s="1034"/>
      <c r="G67" s="1035"/>
      <c r="H67" s="90"/>
      <c r="I67" s="769"/>
      <c r="J67" s="770"/>
      <c r="K67" s="771"/>
      <c r="L67" s="545"/>
      <c r="M67" s="114"/>
      <c r="O67" s="129" t="s">
        <v>811</v>
      </c>
      <c r="P67" s="130">
        <v>0.1</v>
      </c>
      <c r="Q67" s="131">
        <v>7.6399999999999996E-2</v>
      </c>
      <c r="R67" s="132">
        <v>1.6E-2</v>
      </c>
      <c r="S67" s="133">
        <v>1</v>
      </c>
      <c r="T67" s="129">
        <v>0.13059999999999999</v>
      </c>
      <c r="U67" s="134">
        <v>-31.364248062022131</v>
      </c>
      <c r="V67" s="135">
        <v>91.8</v>
      </c>
      <c r="W67" s="136">
        <v>4.4320000000000004</v>
      </c>
      <c r="X67" s="137">
        <v>139.00634741088209</v>
      </c>
      <c r="Y67" s="138"/>
      <c r="Z67" s="138"/>
    </row>
    <row r="68" spans="3:26" ht="25" customHeight="1" thickBot="1" x14ac:dyDescent="0.25">
      <c r="C68" s="88"/>
      <c r="D68" s="547" t="s">
        <v>435</v>
      </c>
      <c r="E68" s="1039">
        <v>0.52083333333333337</v>
      </c>
      <c r="F68" s="1040"/>
      <c r="G68" s="1041"/>
      <c r="H68" s="90"/>
      <c r="I68" s="769"/>
      <c r="J68" s="770"/>
      <c r="K68" s="771"/>
      <c r="L68" s="548">
        <v>0.75</v>
      </c>
      <c r="M68" s="512">
        <v>0.64583333333333337</v>
      </c>
      <c r="O68" s="139" t="s">
        <v>812</v>
      </c>
      <c r="P68" s="140">
        <v>0.1</v>
      </c>
      <c r="Q68" s="160">
        <v>9.0266666666666676E-2</v>
      </c>
      <c r="R68" s="142">
        <v>1.6E-2</v>
      </c>
      <c r="S68" s="143">
        <v>1</v>
      </c>
      <c r="T68" s="140">
        <v>0.15140000000000001</v>
      </c>
      <c r="U68" s="144">
        <v>-36.359472868224742</v>
      </c>
      <c r="V68" s="145">
        <v>91.8</v>
      </c>
      <c r="W68" s="146">
        <v>4.45</v>
      </c>
      <c r="X68" s="147">
        <v>161.7996542636001</v>
      </c>
      <c r="Y68" s="148"/>
      <c r="Z68" s="148"/>
    </row>
    <row r="69" spans="3:26" ht="49" customHeight="1" thickBot="1" x14ac:dyDescent="0.25">
      <c r="C69" s="88"/>
      <c r="D69" s="549" t="s">
        <v>436</v>
      </c>
      <c r="E69" s="93" t="s">
        <v>29</v>
      </c>
      <c r="F69" s="93" t="s">
        <v>28</v>
      </c>
      <c r="G69" s="94" t="s">
        <v>27</v>
      </c>
      <c r="H69" s="94" t="s">
        <v>793</v>
      </c>
      <c r="I69" s="769"/>
      <c r="J69" s="770"/>
      <c r="K69" s="771"/>
      <c r="L69" s="545"/>
      <c r="M69" s="114"/>
      <c r="O69" s="127"/>
      <c r="P69" s="149"/>
      <c r="Q69" s="127"/>
      <c r="R69" s="127"/>
      <c r="S69" s="127"/>
      <c r="T69" s="127"/>
      <c r="U69" s="150"/>
      <c r="V69" s="151"/>
      <c r="W69" s="127"/>
      <c r="X69" s="150"/>
      <c r="Y69" s="128"/>
      <c r="Z69" s="128"/>
    </row>
    <row r="70" spans="3:26" ht="24" x14ac:dyDescent="0.2">
      <c r="C70" s="88"/>
      <c r="D70" s="550">
        <v>45582</v>
      </c>
      <c r="E70" s="96" t="s">
        <v>171</v>
      </c>
      <c r="F70" s="96" t="s">
        <v>171</v>
      </c>
      <c r="G70" s="96" t="s">
        <v>692</v>
      </c>
      <c r="H70" s="115">
        <v>0.52083333333333337</v>
      </c>
      <c r="I70" s="769"/>
      <c r="J70" s="770"/>
      <c r="K70" s="771"/>
      <c r="L70" s="545"/>
      <c r="M70" s="114"/>
      <c r="O70" s="152"/>
      <c r="P70" s="128"/>
      <c r="Q70" s="152"/>
      <c r="R70" s="152"/>
      <c r="S70" s="152"/>
      <c r="T70" s="152"/>
      <c r="U70" s="152"/>
      <c r="V70" s="152"/>
      <c r="W70" s="152"/>
      <c r="X70" s="152"/>
      <c r="Y70" s="128"/>
      <c r="Z70" s="128"/>
    </row>
    <row r="71" spans="3:26" ht="24" x14ac:dyDescent="0.2">
      <c r="C71" s="88"/>
      <c r="D71" s="550">
        <v>45575</v>
      </c>
      <c r="E71" s="96" t="s">
        <v>678</v>
      </c>
      <c r="F71" s="96" t="s">
        <v>580</v>
      </c>
      <c r="G71" s="96" t="s">
        <v>638</v>
      </c>
      <c r="H71" s="115">
        <v>0.52083333333333337</v>
      </c>
      <c r="I71" s="769"/>
      <c r="J71" s="770"/>
      <c r="K71" s="771"/>
      <c r="L71" s="545"/>
      <c r="M71" s="114"/>
      <c r="O71" s="119" t="s">
        <v>813</v>
      </c>
      <c r="P71" s="120">
        <v>0.1</v>
      </c>
      <c r="Q71" s="153">
        <v>9.0266666666666676E-2</v>
      </c>
      <c r="R71" s="154">
        <v>1.6E-2</v>
      </c>
      <c r="S71" s="123">
        <v>1</v>
      </c>
      <c r="T71" s="129">
        <v>0.15140000000000003</v>
      </c>
      <c r="U71" s="155">
        <v>-36.359472868224749</v>
      </c>
      <c r="V71" s="156">
        <v>91.8</v>
      </c>
      <c r="W71" s="123">
        <v>2</v>
      </c>
      <c r="X71" s="157">
        <v>72.718945736449498</v>
      </c>
      <c r="Y71" s="158" t="s">
        <v>814</v>
      </c>
      <c r="Z71" s="158"/>
    </row>
    <row r="72" spans="3:26" ht="24" x14ac:dyDescent="0.2">
      <c r="C72" s="88"/>
      <c r="D72" s="550">
        <v>45568</v>
      </c>
      <c r="E72" s="96" t="s">
        <v>638</v>
      </c>
      <c r="F72" s="96" t="s">
        <v>734</v>
      </c>
      <c r="G72" s="96" t="s">
        <v>345</v>
      </c>
      <c r="H72" s="115">
        <v>0.52083333333333337</v>
      </c>
      <c r="I72" s="769"/>
      <c r="J72" s="770"/>
      <c r="K72" s="771"/>
      <c r="L72" s="554"/>
      <c r="M72" s="114"/>
      <c r="O72" s="119"/>
      <c r="P72" s="120"/>
      <c r="Q72" s="153"/>
      <c r="R72" s="154"/>
      <c r="S72" s="123"/>
      <c r="T72" s="120"/>
      <c r="U72" s="155"/>
      <c r="V72" s="156"/>
      <c r="W72" s="123"/>
      <c r="X72" s="157"/>
      <c r="Y72" s="158"/>
      <c r="Z72" s="158"/>
    </row>
    <row r="73" spans="3:26" ht="24" customHeight="1" x14ac:dyDescent="0.2">
      <c r="C73" s="88"/>
      <c r="D73" s="550">
        <v>45561</v>
      </c>
      <c r="E73" s="96" t="s">
        <v>382</v>
      </c>
      <c r="F73" s="96" t="s">
        <v>574</v>
      </c>
      <c r="G73" s="96" t="s">
        <v>72</v>
      </c>
      <c r="H73" s="115">
        <v>0.52083333333333337</v>
      </c>
      <c r="I73" s="769"/>
      <c r="J73" s="770"/>
      <c r="K73" s="771"/>
      <c r="L73" s="545"/>
      <c r="M73" s="114"/>
      <c r="O73" s="119" t="s">
        <v>816</v>
      </c>
      <c r="P73" s="120"/>
      <c r="Q73" s="153"/>
      <c r="R73" s="154"/>
      <c r="S73" s="123"/>
      <c r="T73" s="120"/>
      <c r="U73" s="155">
        <v>0</v>
      </c>
      <c r="V73" s="156"/>
      <c r="W73" s="123"/>
      <c r="X73" s="157">
        <v>0</v>
      </c>
      <c r="Y73" s="158"/>
      <c r="Z73" s="158"/>
    </row>
    <row r="74" spans="3:26" ht="24" customHeight="1" x14ac:dyDescent="0.2">
      <c r="C74" s="88"/>
      <c r="D74" s="550">
        <v>45554</v>
      </c>
      <c r="E74" s="96" t="s">
        <v>345</v>
      </c>
      <c r="F74" s="96" t="s">
        <v>576</v>
      </c>
      <c r="G74" s="96" t="s">
        <v>268</v>
      </c>
      <c r="H74" s="115">
        <v>0.52083333333333337</v>
      </c>
      <c r="I74" s="769"/>
      <c r="J74" s="770"/>
      <c r="K74" s="771"/>
      <c r="L74" s="545"/>
      <c r="M74" s="114"/>
      <c r="O74" s="89"/>
      <c r="P74" s="89"/>
      <c r="Q74" s="89"/>
      <c r="R74" s="89"/>
      <c r="S74" s="89"/>
      <c r="T74" s="89"/>
      <c r="U74" s="89"/>
      <c r="V74" s="89"/>
      <c r="W74" s="89"/>
      <c r="X74" s="89"/>
      <c r="Y74" s="89"/>
      <c r="Z74" s="89"/>
    </row>
    <row r="75" spans="3:26" ht="25" thickBot="1" x14ac:dyDescent="0.25">
      <c r="C75" s="88"/>
      <c r="D75" s="550">
        <v>45547</v>
      </c>
      <c r="E75" s="96" t="s">
        <v>330</v>
      </c>
      <c r="F75" s="96" t="s">
        <v>578</v>
      </c>
      <c r="G75" s="96" t="s">
        <v>579</v>
      </c>
      <c r="H75" s="115">
        <v>0.52083333333333337</v>
      </c>
      <c r="I75" s="772"/>
      <c r="J75" s="773"/>
      <c r="K75" s="774"/>
      <c r="L75" s="555"/>
      <c r="M75" s="116"/>
      <c r="O75" s="89"/>
      <c r="P75" s="89"/>
      <c r="Q75" s="89"/>
      <c r="R75" s="89"/>
      <c r="S75" s="89"/>
      <c r="T75" s="89"/>
      <c r="U75" s="89"/>
      <c r="V75" s="89"/>
      <c r="W75" s="89"/>
      <c r="X75" s="89"/>
      <c r="Y75" s="89"/>
      <c r="Z75" s="89"/>
    </row>
    <row r="76" spans="3:26" ht="73" customHeight="1" thickBot="1" x14ac:dyDescent="0.25">
      <c r="C76" s="88" t="s">
        <v>105</v>
      </c>
      <c r="D76" s="552" t="s">
        <v>30</v>
      </c>
      <c r="E76" s="1052" t="s">
        <v>713</v>
      </c>
      <c r="F76" s="1053"/>
      <c r="G76" s="1054"/>
      <c r="H76" s="105" t="s">
        <v>790</v>
      </c>
      <c r="I76" s="781" t="s">
        <v>633</v>
      </c>
      <c r="J76" s="764"/>
      <c r="K76" s="765"/>
      <c r="L76" s="553" t="s">
        <v>430</v>
      </c>
      <c r="M76" s="106" t="s">
        <v>431</v>
      </c>
      <c r="O76" s="118" t="s">
        <v>800</v>
      </c>
      <c r="P76" s="118" t="s">
        <v>801</v>
      </c>
      <c r="Q76" s="118" t="s">
        <v>802</v>
      </c>
      <c r="R76" s="118" t="s">
        <v>803</v>
      </c>
      <c r="S76" s="118" t="s">
        <v>804</v>
      </c>
      <c r="T76" s="118" t="s">
        <v>805</v>
      </c>
      <c r="U76" s="118" t="s">
        <v>806</v>
      </c>
      <c r="V76" s="118" t="s">
        <v>807</v>
      </c>
      <c r="W76" s="118" t="s">
        <v>808</v>
      </c>
      <c r="X76" s="118" t="s">
        <v>809</v>
      </c>
      <c r="Y76" s="118" t="s">
        <v>75</v>
      </c>
      <c r="Z76" s="118" t="s">
        <v>75</v>
      </c>
    </row>
    <row r="77" spans="3:26" ht="24" customHeight="1" x14ac:dyDescent="0.2">
      <c r="C77" s="88"/>
      <c r="D77" s="544" t="s">
        <v>432</v>
      </c>
      <c r="E77" s="1024"/>
      <c r="F77" s="1025"/>
      <c r="G77" s="1026"/>
      <c r="H77" s="113" t="s">
        <v>794</v>
      </c>
      <c r="I77" s="892" t="s">
        <v>714</v>
      </c>
      <c r="J77" s="893"/>
      <c r="K77" s="894"/>
      <c r="L77" s="545"/>
      <c r="M77" s="114"/>
      <c r="O77" s="119" t="s">
        <v>810</v>
      </c>
      <c r="P77" s="120">
        <v>0.1</v>
      </c>
      <c r="Q77" s="121">
        <v>1.3999999999999999E-4</v>
      </c>
      <c r="R77" s="122">
        <v>6.199999999998429E-4</v>
      </c>
      <c r="S77" s="123"/>
      <c r="T77" s="119">
        <v>8.2999999999984291E-4</v>
      </c>
      <c r="U77" s="121">
        <v>-30</v>
      </c>
      <c r="V77" s="120">
        <v>15.8</v>
      </c>
      <c r="W77" s="123"/>
      <c r="X77" s="123"/>
      <c r="Y77" s="124"/>
      <c r="Z77" s="124"/>
    </row>
    <row r="78" spans="3:26" ht="24" customHeight="1" x14ac:dyDescent="0.2">
      <c r="C78" s="88"/>
      <c r="D78" s="546" t="s">
        <v>433</v>
      </c>
      <c r="E78" s="1036">
        <v>47.5</v>
      </c>
      <c r="F78" s="1037"/>
      <c r="G78" s="1038"/>
      <c r="H78" s="113" t="s">
        <v>795</v>
      </c>
      <c r="I78" s="769"/>
      <c r="J78" s="770"/>
      <c r="K78" s="771"/>
      <c r="L78" s="545"/>
      <c r="M78" s="114"/>
      <c r="O78" s="125"/>
      <c r="P78" s="125"/>
      <c r="Q78" s="125"/>
      <c r="R78" s="126"/>
      <c r="S78" s="127"/>
      <c r="T78" s="125"/>
      <c r="U78" s="125"/>
      <c r="V78" s="125"/>
      <c r="W78" s="127"/>
      <c r="X78" s="127"/>
      <c r="Y78" s="128"/>
      <c r="Z78" s="128"/>
    </row>
    <row r="79" spans="3:26" ht="25" customHeight="1" thickBot="1" x14ac:dyDescent="0.25">
      <c r="C79" s="88"/>
      <c r="D79" s="546" t="s">
        <v>434</v>
      </c>
      <c r="E79" s="1036">
        <v>47.3</v>
      </c>
      <c r="F79" s="1037"/>
      <c r="G79" s="1038"/>
      <c r="H79" s="90"/>
      <c r="I79" s="769"/>
      <c r="J79" s="770"/>
      <c r="K79" s="771"/>
      <c r="L79" s="545"/>
      <c r="M79" s="114"/>
      <c r="O79" s="129" t="s">
        <v>811</v>
      </c>
      <c r="P79" s="130">
        <v>0.1</v>
      </c>
      <c r="Q79" s="131">
        <v>5.0000000000000001E-4</v>
      </c>
      <c r="R79" s="132">
        <v>1.7000000000000001E-4</v>
      </c>
      <c r="S79" s="133">
        <v>1</v>
      </c>
      <c r="T79" s="129">
        <v>9.2000000000000003E-4</v>
      </c>
      <c r="U79" s="134">
        <v>-33.253012048199068</v>
      </c>
      <c r="V79" s="135">
        <v>91.8</v>
      </c>
      <c r="W79" s="136">
        <v>1</v>
      </c>
      <c r="X79" s="137">
        <v>33.253012048199068</v>
      </c>
      <c r="Y79" s="138"/>
      <c r="Z79" s="138">
        <v>4.4350000000000005</v>
      </c>
    </row>
    <row r="80" spans="3:26" ht="25" customHeight="1" thickBot="1" x14ac:dyDescent="0.25">
      <c r="C80" s="88"/>
      <c r="D80" s="547" t="s">
        <v>435</v>
      </c>
      <c r="E80" s="1039">
        <v>0.57291666666666674</v>
      </c>
      <c r="F80" s="1040"/>
      <c r="G80" s="1041"/>
      <c r="H80" s="90"/>
      <c r="I80" s="769"/>
      <c r="J80" s="770"/>
      <c r="K80" s="771"/>
      <c r="L80" s="548">
        <v>0.80208333333333337</v>
      </c>
      <c r="M80" s="512">
        <v>0.69791666666666674</v>
      </c>
      <c r="O80" s="139" t="s">
        <v>812</v>
      </c>
      <c r="P80" s="140">
        <v>0.1</v>
      </c>
      <c r="Q80" s="160">
        <v>4.2000000000000002E-4</v>
      </c>
      <c r="R80" s="142">
        <v>1.7000000000000001E-4</v>
      </c>
      <c r="S80" s="143">
        <v>1</v>
      </c>
      <c r="T80" s="140">
        <v>8.0000000000000004E-4</v>
      </c>
      <c r="U80" s="144">
        <v>-28.915662650607885</v>
      </c>
      <c r="V80" s="145">
        <v>91.8</v>
      </c>
      <c r="W80" s="146">
        <v>1</v>
      </c>
      <c r="X80" s="147">
        <v>28.915662650607885</v>
      </c>
      <c r="Y80" s="148"/>
      <c r="Z80" s="148"/>
    </row>
    <row r="81" spans="3:26" ht="49" customHeight="1" thickBot="1" x14ac:dyDescent="0.25">
      <c r="C81" s="88"/>
      <c r="D81" s="549" t="s">
        <v>436</v>
      </c>
      <c r="E81" s="93" t="s">
        <v>29</v>
      </c>
      <c r="F81" s="93" t="s">
        <v>28</v>
      </c>
      <c r="G81" s="94" t="s">
        <v>27</v>
      </c>
      <c r="H81" s="94" t="s">
        <v>793</v>
      </c>
      <c r="I81" s="769"/>
      <c r="J81" s="770"/>
      <c r="K81" s="771"/>
      <c r="L81" s="545"/>
      <c r="M81" s="114"/>
      <c r="O81" s="127"/>
      <c r="P81" s="149"/>
      <c r="Q81" s="127"/>
      <c r="R81" s="127"/>
      <c r="S81" s="127"/>
      <c r="T81" s="127"/>
      <c r="U81" s="150"/>
      <c r="V81" s="151"/>
      <c r="W81" s="127"/>
      <c r="X81" s="150"/>
      <c r="Y81" s="128"/>
      <c r="Z81" s="128"/>
    </row>
    <row r="82" spans="3:26" ht="24" x14ac:dyDescent="0.2">
      <c r="C82" s="88"/>
      <c r="D82" s="550">
        <v>45566</v>
      </c>
      <c r="E82" s="97">
        <v>47.3</v>
      </c>
      <c r="F82" s="97" t="s">
        <v>758</v>
      </c>
      <c r="G82" s="97">
        <v>47.9</v>
      </c>
      <c r="H82" s="115">
        <v>0.57291666666666674</v>
      </c>
      <c r="I82" s="769"/>
      <c r="J82" s="770"/>
      <c r="K82" s="771"/>
      <c r="L82" s="545"/>
      <c r="M82" s="114"/>
      <c r="O82" s="152"/>
      <c r="P82" s="128"/>
      <c r="Q82" s="152"/>
      <c r="R82" s="152"/>
      <c r="S82" s="152"/>
      <c r="T82" s="152"/>
      <c r="U82" s="152"/>
      <c r="V82" s="152"/>
      <c r="W82" s="152"/>
      <c r="X82" s="152"/>
      <c r="Y82" s="128"/>
      <c r="Z82" s="128"/>
    </row>
    <row r="83" spans="3:26" ht="24" x14ac:dyDescent="0.2">
      <c r="C83" s="88"/>
      <c r="D83" s="550">
        <v>45558</v>
      </c>
      <c r="E83" s="97">
        <v>47</v>
      </c>
      <c r="F83" s="97" t="s">
        <v>500</v>
      </c>
      <c r="G83" s="97">
        <v>47.9</v>
      </c>
      <c r="H83" s="115">
        <v>0.57291666666666674</v>
      </c>
      <c r="I83" s="769"/>
      <c r="J83" s="770"/>
      <c r="K83" s="771"/>
      <c r="L83" s="545"/>
      <c r="M83" s="114"/>
      <c r="O83" s="119" t="s">
        <v>813</v>
      </c>
      <c r="P83" s="120">
        <v>0.1</v>
      </c>
      <c r="Q83" s="153">
        <v>4.2000000000000002E-4</v>
      </c>
      <c r="R83" s="154">
        <v>1.7000000000000001E-4</v>
      </c>
      <c r="S83" s="123">
        <v>1</v>
      </c>
      <c r="T83" s="129">
        <v>8.0000000000000004E-4</v>
      </c>
      <c r="U83" s="155">
        <v>-28.915662650607885</v>
      </c>
      <c r="V83" s="156">
        <v>91.8</v>
      </c>
      <c r="W83" s="123">
        <v>2</v>
      </c>
      <c r="X83" s="157">
        <v>57.83132530121577</v>
      </c>
      <c r="Y83" s="158" t="s">
        <v>814</v>
      </c>
      <c r="Z83" s="158"/>
    </row>
    <row r="84" spans="3:26" ht="24" x14ac:dyDescent="0.2">
      <c r="C84" s="88"/>
      <c r="D84" s="550">
        <v>45538</v>
      </c>
      <c r="E84" s="97">
        <v>47.9</v>
      </c>
      <c r="F84" s="97" t="s">
        <v>502</v>
      </c>
      <c r="G84" s="97">
        <v>49.6</v>
      </c>
      <c r="H84" s="115">
        <v>0.57291666666666674</v>
      </c>
      <c r="I84" s="769"/>
      <c r="J84" s="770"/>
      <c r="K84" s="771"/>
      <c r="L84" s="554"/>
      <c r="M84" s="114"/>
      <c r="O84" s="119"/>
      <c r="P84" s="120"/>
      <c r="Q84" s="153"/>
      <c r="R84" s="154"/>
      <c r="S84" s="123"/>
      <c r="T84" s="120"/>
      <c r="U84" s="155"/>
      <c r="V84" s="156"/>
      <c r="W84" s="123"/>
      <c r="X84" s="157"/>
      <c r="Y84" s="158"/>
      <c r="Z84" s="158"/>
    </row>
    <row r="85" spans="3:26" ht="24" x14ac:dyDescent="0.2">
      <c r="C85" s="88"/>
      <c r="D85" s="550">
        <v>45526</v>
      </c>
      <c r="E85" s="97">
        <v>48</v>
      </c>
      <c r="F85" s="97" t="s">
        <v>438</v>
      </c>
      <c r="G85" s="97">
        <v>49.6</v>
      </c>
      <c r="H85" s="115">
        <v>0.57291666666666674</v>
      </c>
      <c r="I85" s="769"/>
      <c r="J85" s="770"/>
      <c r="K85" s="771"/>
      <c r="L85" s="545"/>
      <c r="M85" s="114"/>
      <c r="O85" s="119" t="s">
        <v>816</v>
      </c>
      <c r="P85" s="120"/>
      <c r="Q85" s="153"/>
      <c r="R85" s="154"/>
      <c r="S85" s="123"/>
      <c r="T85" s="120"/>
      <c r="U85" s="155">
        <v>0</v>
      </c>
      <c r="V85" s="156"/>
      <c r="W85" s="123"/>
      <c r="X85" s="157">
        <v>0</v>
      </c>
      <c r="Y85" s="158"/>
      <c r="Z85" s="158"/>
    </row>
    <row r="86" spans="3:26" ht="24" x14ac:dyDescent="0.2">
      <c r="C86" s="88"/>
      <c r="D86" s="550">
        <v>45505</v>
      </c>
      <c r="E86" s="97">
        <v>49.6</v>
      </c>
      <c r="F86" s="97" t="s">
        <v>438</v>
      </c>
      <c r="G86" s="97">
        <v>51.6</v>
      </c>
      <c r="H86" s="115">
        <v>0.57291666666666674</v>
      </c>
      <c r="I86" s="769"/>
      <c r="J86" s="770"/>
      <c r="K86" s="771"/>
      <c r="L86" s="545"/>
      <c r="M86" s="114"/>
      <c r="O86" s="89"/>
      <c r="P86" s="89"/>
      <c r="Q86" s="89"/>
      <c r="R86" s="89"/>
      <c r="S86" s="89"/>
      <c r="T86" s="89"/>
      <c r="U86" s="89"/>
      <c r="V86" s="89"/>
      <c r="W86" s="89"/>
      <c r="X86" s="89"/>
      <c r="Y86" s="89"/>
      <c r="Z86" s="89"/>
    </row>
    <row r="87" spans="3:26" ht="25" thickBot="1" x14ac:dyDescent="0.25">
      <c r="C87" s="88"/>
      <c r="D87" s="550">
        <v>45497</v>
      </c>
      <c r="E87" s="97">
        <v>49.5</v>
      </c>
      <c r="F87" s="97" t="s">
        <v>506</v>
      </c>
      <c r="G87" s="97">
        <v>51.6</v>
      </c>
      <c r="H87" s="115">
        <v>0.57291666666666674</v>
      </c>
      <c r="I87" s="772"/>
      <c r="J87" s="773"/>
      <c r="K87" s="774"/>
      <c r="L87" s="555"/>
      <c r="M87" s="116"/>
      <c r="O87" s="89"/>
      <c r="P87" s="89"/>
      <c r="Q87" s="89"/>
      <c r="R87" s="89"/>
      <c r="S87" s="89"/>
      <c r="T87" s="89"/>
      <c r="U87" s="89"/>
      <c r="V87" s="89"/>
      <c r="W87" s="89"/>
      <c r="X87" s="89"/>
      <c r="Y87" s="89"/>
      <c r="Z87" s="89"/>
    </row>
    <row r="88" spans="3:26" ht="73" customHeight="1" thickBot="1" x14ac:dyDescent="0.25">
      <c r="C88" s="88" t="s">
        <v>105</v>
      </c>
      <c r="D88" s="552" t="s">
        <v>30</v>
      </c>
      <c r="E88" s="1052" t="s">
        <v>715</v>
      </c>
      <c r="F88" s="1053"/>
      <c r="G88" s="1054"/>
      <c r="H88" s="105" t="s">
        <v>790</v>
      </c>
      <c r="I88" s="781" t="s">
        <v>633</v>
      </c>
      <c r="J88" s="764"/>
      <c r="K88" s="765"/>
      <c r="L88" s="553" t="s">
        <v>430</v>
      </c>
      <c r="M88" s="106" t="s">
        <v>431</v>
      </c>
      <c r="O88" s="118" t="s">
        <v>800</v>
      </c>
      <c r="P88" s="118" t="s">
        <v>801</v>
      </c>
      <c r="Q88" s="118" t="s">
        <v>802</v>
      </c>
      <c r="R88" s="118" t="s">
        <v>803</v>
      </c>
      <c r="S88" s="118" t="s">
        <v>804</v>
      </c>
      <c r="T88" s="118" t="s">
        <v>805</v>
      </c>
      <c r="U88" s="118" t="s">
        <v>806</v>
      </c>
      <c r="V88" s="118" t="s">
        <v>807</v>
      </c>
      <c r="W88" s="118" t="s">
        <v>808</v>
      </c>
      <c r="X88" s="118" t="s">
        <v>809</v>
      </c>
      <c r="Y88" s="118" t="s">
        <v>75</v>
      </c>
      <c r="Z88" s="118" t="s">
        <v>75</v>
      </c>
    </row>
    <row r="89" spans="3:26" ht="24" customHeight="1" x14ac:dyDescent="0.2">
      <c r="C89" s="88"/>
      <c r="D89" s="544" t="s">
        <v>432</v>
      </c>
      <c r="E89" s="1024"/>
      <c r="F89" s="1025"/>
      <c r="G89" s="1026"/>
      <c r="H89" s="113" t="s">
        <v>794</v>
      </c>
      <c r="I89" s="892" t="s">
        <v>716</v>
      </c>
      <c r="J89" s="893"/>
      <c r="K89" s="894"/>
      <c r="L89" s="545"/>
      <c r="M89" s="114"/>
      <c r="O89" s="119" t="s">
        <v>810</v>
      </c>
      <c r="P89" s="120">
        <v>0.1</v>
      </c>
      <c r="Q89" s="121">
        <v>3.3000000000000002E-2</v>
      </c>
      <c r="R89" s="122">
        <v>1.4999999999986358E-2</v>
      </c>
      <c r="S89" s="123"/>
      <c r="T89" s="119">
        <v>6.449999999998636E-2</v>
      </c>
      <c r="U89" s="121">
        <v>-15.49</v>
      </c>
      <c r="V89" s="120">
        <v>91.8</v>
      </c>
      <c r="W89" s="123"/>
      <c r="X89" s="123"/>
      <c r="Y89" s="124"/>
      <c r="Z89" s="124"/>
    </row>
    <row r="90" spans="3:26" ht="24" customHeight="1" x14ac:dyDescent="0.2">
      <c r="C90" s="88"/>
      <c r="D90" s="546" t="s">
        <v>433</v>
      </c>
      <c r="E90" s="1036">
        <v>55</v>
      </c>
      <c r="F90" s="1037"/>
      <c r="G90" s="1038"/>
      <c r="H90" s="113" t="s">
        <v>795</v>
      </c>
      <c r="I90" s="769"/>
      <c r="J90" s="770"/>
      <c r="K90" s="771"/>
      <c r="L90" s="545"/>
      <c r="M90" s="114"/>
      <c r="O90" s="125"/>
      <c r="P90" s="125"/>
      <c r="Q90" s="125"/>
      <c r="R90" s="126"/>
      <c r="S90" s="127"/>
      <c r="T90" s="125"/>
      <c r="U90" s="125"/>
      <c r="V90" s="125"/>
      <c r="W90" s="127"/>
      <c r="X90" s="127"/>
      <c r="Y90" s="128"/>
      <c r="Z90" s="128"/>
    </row>
    <row r="91" spans="3:26" ht="25" customHeight="1" thickBot="1" x14ac:dyDescent="0.25">
      <c r="C91" s="88"/>
      <c r="D91" s="546" t="s">
        <v>434</v>
      </c>
      <c r="E91" s="1036">
        <v>55.2</v>
      </c>
      <c r="F91" s="1037"/>
      <c r="G91" s="1038"/>
      <c r="H91" s="90"/>
      <c r="I91" s="769"/>
      <c r="J91" s="770"/>
      <c r="K91" s="771"/>
      <c r="L91" s="545"/>
      <c r="M91" s="114"/>
      <c r="O91" s="129" t="s">
        <v>811</v>
      </c>
      <c r="P91" s="130">
        <v>0.1</v>
      </c>
      <c r="Q91" s="131">
        <v>7.9600000000000004E-2</v>
      </c>
      <c r="R91" s="132">
        <v>1.7000000000000001E-2</v>
      </c>
      <c r="S91" s="133">
        <v>1</v>
      </c>
      <c r="T91" s="129">
        <v>0.13640000000000002</v>
      </c>
      <c r="U91" s="134">
        <v>-32.757147286828641</v>
      </c>
      <c r="V91" s="135">
        <v>91.8</v>
      </c>
      <c r="W91" s="136">
        <v>2.4300000000000002</v>
      </c>
      <c r="X91" s="137">
        <v>79.599867906993609</v>
      </c>
      <c r="Y91" s="138"/>
      <c r="Z91" s="138">
        <v>4.4350000000000005</v>
      </c>
    </row>
    <row r="92" spans="3:26" ht="25" customHeight="1" thickBot="1" x14ac:dyDescent="0.25">
      <c r="C92" s="88"/>
      <c r="D92" s="547" t="s">
        <v>435</v>
      </c>
      <c r="E92" s="1039">
        <v>0.57291666666666674</v>
      </c>
      <c r="F92" s="1040"/>
      <c r="G92" s="1041"/>
      <c r="H92" s="90"/>
      <c r="I92" s="769"/>
      <c r="J92" s="770"/>
      <c r="K92" s="771"/>
      <c r="L92" s="548">
        <v>0.80208333333333337</v>
      </c>
      <c r="M92" s="512">
        <v>0.69791666666666674</v>
      </c>
      <c r="O92" s="139" t="s">
        <v>812</v>
      </c>
      <c r="P92" s="140">
        <v>0.1</v>
      </c>
      <c r="Q92" s="160">
        <v>9.1666666666666674E-2</v>
      </c>
      <c r="R92" s="142">
        <v>1.7000000000000001E-2</v>
      </c>
      <c r="S92" s="143">
        <v>1</v>
      </c>
      <c r="T92" s="140">
        <v>0.1545</v>
      </c>
      <c r="U92" s="144">
        <v>-37.103953488379936</v>
      </c>
      <c r="V92" s="145">
        <v>91.8</v>
      </c>
      <c r="W92" s="146">
        <v>2.5</v>
      </c>
      <c r="X92" s="147">
        <v>92.759883720949844</v>
      </c>
      <c r="Y92" s="148"/>
      <c r="Z92" s="148"/>
    </row>
    <row r="93" spans="3:26" ht="49" customHeight="1" thickBot="1" x14ac:dyDescent="0.25">
      <c r="C93" s="88"/>
      <c r="D93" s="549" t="s">
        <v>436</v>
      </c>
      <c r="E93" s="93" t="s">
        <v>29</v>
      </c>
      <c r="F93" s="93" t="s">
        <v>28</v>
      </c>
      <c r="G93" s="94" t="s">
        <v>27</v>
      </c>
      <c r="H93" s="94" t="s">
        <v>793</v>
      </c>
      <c r="I93" s="769"/>
      <c r="J93" s="770"/>
      <c r="K93" s="771"/>
      <c r="L93" s="545"/>
      <c r="M93" s="114"/>
      <c r="O93" s="127"/>
      <c r="P93" s="149"/>
      <c r="Q93" s="127"/>
      <c r="R93" s="127"/>
      <c r="S93" s="127"/>
      <c r="T93" s="127"/>
      <c r="U93" s="150"/>
      <c r="V93" s="151"/>
      <c r="W93" s="127"/>
      <c r="X93" s="150"/>
      <c r="Y93" s="128"/>
      <c r="Z93" s="128"/>
    </row>
    <row r="94" spans="3:26" ht="24" x14ac:dyDescent="0.2">
      <c r="C94" s="88"/>
      <c r="D94" s="550">
        <v>45568</v>
      </c>
      <c r="E94" s="97">
        <v>55.2</v>
      </c>
      <c r="F94" s="97" t="s">
        <v>759</v>
      </c>
      <c r="G94" s="97">
        <v>55.7</v>
      </c>
      <c r="H94" s="115">
        <v>0.57291666666666674</v>
      </c>
      <c r="I94" s="769"/>
      <c r="J94" s="770"/>
      <c r="K94" s="771"/>
      <c r="L94" s="545"/>
      <c r="M94" s="114"/>
      <c r="O94" s="152"/>
      <c r="P94" s="128"/>
      <c r="Q94" s="152"/>
      <c r="R94" s="152"/>
      <c r="S94" s="152"/>
      <c r="T94" s="152"/>
      <c r="U94" s="152"/>
      <c r="V94" s="152"/>
      <c r="W94" s="152"/>
      <c r="X94" s="152"/>
      <c r="Y94" s="128"/>
      <c r="Z94" s="128"/>
    </row>
    <row r="95" spans="3:26" ht="24" x14ac:dyDescent="0.2">
      <c r="C95" s="88"/>
      <c r="D95" s="550">
        <v>45558</v>
      </c>
      <c r="E95" s="97">
        <v>55.4</v>
      </c>
      <c r="F95" s="97" t="s">
        <v>585</v>
      </c>
      <c r="G95" s="97">
        <v>55.7</v>
      </c>
      <c r="H95" s="115">
        <v>0.57291666666666674</v>
      </c>
      <c r="I95" s="769"/>
      <c r="J95" s="770"/>
      <c r="K95" s="771"/>
      <c r="L95" s="545"/>
      <c r="M95" s="114"/>
      <c r="O95" s="119" t="s">
        <v>813</v>
      </c>
      <c r="P95" s="120">
        <v>0.1</v>
      </c>
      <c r="Q95" s="153">
        <v>8.5633333333333339E-2</v>
      </c>
      <c r="R95" s="154">
        <v>1.7000000000000001E-2</v>
      </c>
      <c r="S95" s="123">
        <v>0.5</v>
      </c>
      <c r="T95" s="129">
        <v>0.14545000000000002</v>
      </c>
      <c r="U95" s="155">
        <v>-17.465275193802146</v>
      </c>
      <c r="V95" s="156">
        <v>91.8</v>
      </c>
      <c r="W95" s="123">
        <v>2</v>
      </c>
      <c r="X95" s="157">
        <v>34.930550387604292</v>
      </c>
      <c r="Y95" s="158" t="s">
        <v>814</v>
      </c>
      <c r="Z95" s="158"/>
    </row>
    <row r="96" spans="3:26" ht="24" x14ac:dyDescent="0.2">
      <c r="C96" s="88"/>
      <c r="D96" s="550">
        <v>45539</v>
      </c>
      <c r="E96" s="97">
        <v>55.7</v>
      </c>
      <c r="F96" s="97" t="s">
        <v>586</v>
      </c>
      <c r="G96" s="97">
        <v>55</v>
      </c>
      <c r="H96" s="115">
        <v>0.57291666666666674</v>
      </c>
      <c r="I96" s="769"/>
      <c r="J96" s="770"/>
      <c r="K96" s="771"/>
      <c r="L96" s="554"/>
      <c r="M96" s="114"/>
      <c r="O96" s="119"/>
      <c r="P96" s="120"/>
      <c r="Q96" s="153"/>
      <c r="R96" s="154"/>
      <c r="S96" s="123"/>
      <c r="T96" s="120"/>
      <c r="U96" s="155"/>
      <c r="V96" s="156"/>
      <c r="W96" s="123"/>
      <c r="X96" s="157"/>
      <c r="Y96" s="158"/>
      <c r="Z96" s="158"/>
    </row>
    <row r="97" spans="3:26" ht="24" x14ac:dyDescent="0.2">
      <c r="C97" s="88"/>
      <c r="D97" s="550">
        <v>45526</v>
      </c>
      <c r="E97" s="97">
        <v>55.2</v>
      </c>
      <c r="F97" s="97" t="s">
        <v>587</v>
      </c>
      <c r="G97" s="97">
        <v>55</v>
      </c>
      <c r="H97" s="115">
        <v>0.57291666666666674</v>
      </c>
      <c r="I97" s="769"/>
      <c r="J97" s="770"/>
      <c r="K97" s="771"/>
      <c r="L97" s="545"/>
      <c r="M97" s="114"/>
      <c r="O97" s="119" t="s">
        <v>816</v>
      </c>
      <c r="P97" s="120"/>
      <c r="Q97" s="153"/>
      <c r="R97" s="154"/>
      <c r="S97" s="123"/>
      <c r="T97" s="120"/>
      <c r="U97" s="155">
        <v>0</v>
      </c>
      <c r="V97" s="156"/>
      <c r="W97" s="123"/>
      <c r="X97" s="157">
        <v>0</v>
      </c>
      <c r="Y97" s="158"/>
      <c r="Z97" s="158"/>
    </row>
    <row r="98" spans="3:26" ht="24" x14ac:dyDescent="0.2">
      <c r="C98" s="88"/>
      <c r="D98" s="550">
        <v>45509</v>
      </c>
      <c r="E98" s="97">
        <v>55</v>
      </c>
      <c r="F98" s="97" t="s">
        <v>589</v>
      </c>
      <c r="G98" s="97">
        <v>55.3</v>
      </c>
      <c r="H98" s="115">
        <v>0.57291666666666674</v>
      </c>
      <c r="I98" s="769"/>
      <c r="J98" s="770"/>
      <c r="K98" s="771"/>
      <c r="L98" s="545"/>
      <c r="M98" s="114"/>
      <c r="O98" s="89"/>
      <c r="P98" s="89"/>
      <c r="Q98" s="89"/>
      <c r="R98" s="89"/>
      <c r="S98" s="89"/>
      <c r="T98" s="89"/>
      <c r="U98" s="89"/>
      <c r="V98" s="89"/>
      <c r="W98" s="89"/>
      <c r="X98" s="89"/>
      <c r="Y98" s="89"/>
      <c r="Z98" s="89"/>
    </row>
    <row r="99" spans="3:26" ht="25" thickBot="1" x14ac:dyDescent="0.25">
      <c r="C99" s="88"/>
      <c r="D99" s="550">
        <v>45497</v>
      </c>
      <c r="E99" s="97">
        <v>56</v>
      </c>
      <c r="F99" s="97" t="s">
        <v>590</v>
      </c>
      <c r="G99" s="97">
        <v>55.3</v>
      </c>
      <c r="H99" s="115">
        <v>0.57291666666666674</v>
      </c>
      <c r="I99" s="772"/>
      <c r="J99" s="773"/>
      <c r="K99" s="774"/>
      <c r="L99" s="555"/>
      <c r="M99" s="116"/>
      <c r="O99" s="89"/>
      <c r="P99" s="89"/>
      <c r="Q99" s="89"/>
      <c r="R99" s="89"/>
      <c r="S99" s="89"/>
      <c r="T99" s="89"/>
      <c r="U99" s="89"/>
      <c r="V99" s="89"/>
      <c r="W99" s="89"/>
      <c r="X99" s="89"/>
      <c r="Y99" s="89"/>
      <c r="Z99" s="89"/>
    </row>
    <row r="100" spans="3:26" ht="73" customHeight="1" thickBot="1" x14ac:dyDescent="0.25">
      <c r="C100" s="88" t="s">
        <v>105</v>
      </c>
      <c r="D100" s="552" t="s">
        <v>30</v>
      </c>
      <c r="E100" s="1052" t="s">
        <v>717</v>
      </c>
      <c r="F100" s="1053"/>
      <c r="G100" s="1054"/>
      <c r="H100" s="105" t="s">
        <v>790</v>
      </c>
      <c r="I100" s="781" t="s">
        <v>633</v>
      </c>
      <c r="J100" s="764"/>
      <c r="K100" s="765"/>
      <c r="L100" s="553" t="s">
        <v>430</v>
      </c>
      <c r="M100" s="106" t="s">
        <v>431</v>
      </c>
      <c r="O100" s="118" t="s">
        <v>800</v>
      </c>
      <c r="P100" s="118" t="s">
        <v>801</v>
      </c>
      <c r="Q100" s="118" t="s">
        <v>802</v>
      </c>
      <c r="R100" s="118" t="s">
        <v>803</v>
      </c>
      <c r="S100" s="118" t="s">
        <v>804</v>
      </c>
      <c r="T100" s="118" t="s">
        <v>805</v>
      </c>
      <c r="U100" s="118" t="s">
        <v>806</v>
      </c>
      <c r="V100" s="118" t="s">
        <v>807</v>
      </c>
      <c r="W100" s="118" t="s">
        <v>808</v>
      </c>
      <c r="X100" s="118" t="s">
        <v>809</v>
      </c>
      <c r="Y100" s="118" t="s">
        <v>75</v>
      </c>
      <c r="Z100" s="118" t="s">
        <v>75</v>
      </c>
    </row>
    <row r="101" spans="3:26" ht="24" customHeight="1" x14ac:dyDescent="0.2">
      <c r="C101" s="88"/>
      <c r="D101" s="544" t="s">
        <v>432</v>
      </c>
      <c r="E101" s="1024"/>
      <c r="F101" s="1025"/>
      <c r="G101" s="1026"/>
      <c r="H101" s="113" t="s">
        <v>794</v>
      </c>
      <c r="I101" s="892" t="s">
        <v>719</v>
      </c>
      <c r="J101" s="893"/>
      <c r="K101" s="894"/>
      <c r="L101" s="545"/>
      <c r="M101" s="114"/>
      <c r="O101" s="119" t="s">
        <v>810</v>
      </c>
      <c r="P101" s="120">
        <v>0.1</v>
      </c>
      <c r="Q101" s="121">
        <v>3.3000000000000002E-2</v>
      </c>
      <c r="R101" s="122">
        <v>1.4999999999986358E-2</v>
      </c>
      <c r="S101" s="123"/>
      <c r="T101" s="119">
        <v>6.449999999998636E-2</v>
      </c>
      <c r="U101" s="121">
        <v>-15.49</v>
      </c>
      <c r="V101" s="120">
        <v>91.8</v>
      </c>
      <c r="W101" s="123"/>
      <c r="X101" s="123"/>
      <c r="Y101" s="124"/>
      <c r="Z101" s="124"/>
    </row>
    <row r="102" spans="3:26" ht="24" customHeight="1" x14ac:dyDescent="0.2">
      <c r="C102" s="88"/>
      <c r="D102" s="546" t="s">
        <v>433</v>
      </c>
      <c r="E102" s="1036" t="s">
        <v>718</v>
      </c>
      <c r="F102" s="1037"/>
      <c r="G102" s="1038"/>
      <c r="H102" s="113" t="s">
        <v>795</v>
      </c>
      <c r="I102" s="769"/>
      <c r="J102" s="770"/>
      <c r="K102" s="771"/>
      <c r="L102" s="545"/>
      <c r="M102" s="114"/>
      <c r="O102" s="125"/>
      <c r="P102" s="125"/>
      <c r="Q102" s="125"/>
      <c r="R102" s="126"/>
      <c r="S102" s="127"/>
      <c r="T102" s="125"/>
      <c r="U102" s="125"/>
      <c r="V102" s="125"/>
      <c r="W102" s="127"/>
      <c r="X102" s="127"/>
      <c r="Y102" s="128"/>
      <c r="Z102" s="128"/>
    </row>
    <row r="103" spans="3:26" ht="25" customHeight="1" thickBot="1" x14ac:dyDescent="0.25">
      <c r="C103" s="88"/>
      <c r="D103" s="546" t="s">
        <v>434</v>
      </c>
      <c r="E103" s="1036" t="s">
        <v>378</v>
      </c>
      <c r="F103" s="1037"/>
      <c r="G103" s="1038"/>
      <c r="H103" s="90"/>
      <c r="I103" s="769"/>
      <c r="J103" s="770"/>
      <c r="K103" s="771"/>
      <c r="L103" s="545"/>
      <c r="M103" s="114"/>
      <c r="O103" s="129" t="s">
        <v>811</v>
      </c>
      <c r="P103" s="130">
        <v>0.1</v>
      </c>
      <c r="Q103" s="131">
        <v>5.1900000000000002E-2</v>
      </c>
      <c r="R103" s="132">
        <v>1.7000000000000001E-4</v>
      </c>
      <c r="S103" s="133">
        <v>1</v>
      </c>
      <c r="T103" s="129">
        <v>7.8020000000000006E-2</v>
      </c>
      <c r="U103" s="134">
        <v>-18.736896124034974</v>
      </c>
      <c r="V103" s="135">
        <v>91.8</v>
      </c>
      <c r="W103" s="136">
        <v>5.81</v>
      </c>
      <c r="X103" s="137">
        <v>108.8613664806432</v>
      </c>
      <c r="Y103" s="138"/>
      <c r="Z103" s="138">
        <v>4.4350000000000005</v>
      </c>
    </row>
    <row r="104" spans="3:26" ht="25" customHeight="1" thickBot="1" x14ac:dyDescent="0.25">
      <c r="C104" s="88"/>
      <c r="D104" s="547" t="s">
        <v>435</v>
      </c>
      <c r="E104" s="1039">
        <v>0.58333333333333337</v>
      </c>
      <c r="F104" s="1040"/>
      <c r="G104" s="1041"/>
      <c r="H104" s="90"/>
      <c r="I104" s="769"/>
      <c r="J104" s="770"/>
      <c r="K104" s="771"/>
      <c r="L104" s="548">
        <v>0.8125</v>
      </c>
      <c r="M104" s="512">
        <v>0.70833333333333337</v>
      </c>
      <c r="O104" s="139" t="s">
        <v>812</v>
      </c>
      <c r="P104" s="140">
        <v>0.1</v>
      </c>
      <c r="Q104" s="160">
        <v>7.4286666666666668E-2</v>
      </c>
      <c r="R104" s="142">
        <v>1.7000000000000001E-4</v>
      </c>
      <c r="S104" s="143">
        <v>1</v>
      </c>
      <c r="T104" s="140">
        <v>0.1116</v>
      </c>
      <c r="U104" s="144">
        <v>-26.801302325587066</v>
      </c>
      <c r="V104" s="145">
        <v>91.8</v>
      </c>
      <c r="W104" s="146">
        <v>1.74</v>
      </c>
      <c r="X104" s="147">
        <v>46.634266046521496</v>
      </c>
      <c r="Y104" s="148"/>
      <c r="Z104" s="148"/>
    </row>
    <row r="105" spans="3:26" ht="49" customHeight="1" thickBot="1" x14ac:dyDescent="0.25">
      <c r="C105" s="88"/>
      <c r="D105" s="549" t="s">
        <v>436</v>
      </c>
      <c r="E105" s="93" t="s">
        <v>29</v>
      </c>
      <c r="F105" s="93" t="s">
        <v>28</v>
      </c>
      <c r="G105" s="94" t="s">
        <v>27</v>
      </c>
      <c r="H105" s="94" t="s">
        <v>793</v>
      </c>
      <c r="I105" s="769"/>
      <c r="J105" s="770"/>
      <c r="K105" s="771"/>
      <c r="L105" s="545"/>
      <c r="M105" s="114"/>
      <c r="O105" s="127"/>
      <c r="P105" s="149"/>
      <c r="Q105" s="127"/>
      <c r="R105" s="127"/>
      <c r="S105" s="127"/>
      <c r="T105" s="127"/>
      <c r="U105" s="150"/>
      <c r="V105" s="151"/>
      <c r="W105" s="127"/>
      <c r="X105" s="150"/>
      <c r="Y105" s="128"/>
      <c r="Z105" s="128"/>
    </row>
    <row r="106" spans="3:26" ht="24" x14ac:dyDescent="0.2">
      <c r="C106" s="88"/>
      <c r="D106" s="550">
        <v>45560</v>
      </c>
      <c r="E106" s="96" t="s">
        <v>378</v>
      </c>
      <c r="F106" s="96" t="s">
        <v>760</v>
      </c>
      <c r="G106" s="96" t="s">
        <v>761</v>
      </c>
      <c r="H106" s="115">
        <v>0.58333333333333337</v>
      </c>
      <c r="I106" s="769"/>
      <c r="J106" s="770"/>
      <c r="K106" s="771"/>
      <c r="L106" s="545"/>
      <c r="M106" s="114"/>
      <c r="O106" s="152"/>
      <c r="P106" s="128"/>
      <c r="Q106" s="152"/>
      <c r="R106" s="152"/>
      <c r="S106" s="152"/>
      <c r="T106" s="152"/>
      <c r="U106" s="152"/>
      <c r="V106" s="152"/>
      <c r="W106" s="152"/>
      <c r="X106" s="152"/>
      <c r="Y106" s="128"/>
      <c r="Z106" s="128"/>
    </row>
    <row r="107" spans="3:26" ht="24" x14ac:dyDescent="0.2">
      <c r="C107" s="88"/>
      <c r="D107" s="550">
        <v>45527</v>
      </c>
      <c r="E107" s="96" t="s">
        <v>239</v>
      </c>
      <c r="F107" s="96" t="s">
        <v>762</v>
      </c>
      <c r="G107" s="96" t="s">
        <v>763</v>
      </c>
      <c r="H107" s="115">
        <v>0.58333333333333337</v>
      </c>
      <c r="I107" s="769"/>
      <c r="J107" s="770"/>
      <c r="K107" s="771"/>
      <c r="L107" s="545"/>
      <c r="M107" s="114"/>
      <c r="O107" s="119" t="s">
        <v>813</v>
      </c>
      <c r="P107" s="120">
        <v>0.1</v>
      </c>
      <c r="Q107" s="153">
        <v>7.4286666666666668E-2</v>
      </c>
      <c r="R107" s="154">
        <v>1.7000000000000001E-4</v>
      </c>
      <c r="S107" s="123">
        <v>0.5</v>
      </c>
      <c r="T107" s="129">
        <v>0.1116</v>
      </c>
      <c r="U107" s="155">
        <v>-13.400651162793533</v>
      </c>
      <c r="V107" s="156">
        <v>91.8</v>
      </c>
      <c r="W107" s="123">
        <v>2</v>
      </c>
      <c r="X107" s="157">
        <v>26.801302325587066</v>
      </c>
      <c r="Y107" s="158" t="s">
        <v>814</v>
      </c>
      <c r="Z107" s="158"/>
    </row>
    <row r="108" spans="3:26" ht="24" x14ac:dyDescent="0.2">
      <c r="C108" s="88"/>
      <c r="D108" s="550">
        <v>45497</v>
      </c>
      <c r="E108" s="96" t="s">
        <v>241</v>
      </c>
      <c r="F108" s="96" t="s">
        <v>764</v>
      </c>
      <c r="G108" s="96" t="s">
        <v>765</v>
      </c>
      <c r="H108" s="115">
        <v>0.58333333333333337</v>
      </c>
      <c r="I108" s="769"/>
      <c r="J108" s="770"/>
      <c r="K108" s="771"/>
      <c r="L108" s="554"/>
      <c r="M108" s="114"/>
      <c r="O108" s="119"/>
      <c r="P108" s="120"/>
      <c r="Q108" s="153"/>
      <c r="R108" s="154"/>
      <c r="S108" s="123"/>
      <c r="T108" s="120"/>
      <c r="U108" s="155"/>
      <c r="V108" s="156"/>
      <c r="W108" s="123"/>
      <c r="X108" s="157"/>
      <c r="Y108" s="158"/>
      <c r="Z108" s="158"/>
    </row>
    <row r="109" spans="3:26" ht="24" x14ac:dyDescent="0.2">
      <c r="C109" s="88"/>
      <c r="D109" s="550">
        <v>45469</v>
      </c>
      <c r="E109" s="96" t="s">
        <v>94</v>
      </c>
      <c r="F109" s="96" t="s">
        <v>767</v>
      </c>
      <c r="G109" s="96" t="s">
        <v>768</v>
      </c>
      <c r="H109" s="115">
        <v>0.58333333333333337</v>
      </c>
      <c r="I109" s="769"/>
      <c r="J109" s="770"/>
      <c r="K109" s="771"/>
      <c r="L109" s="545"/>
      <c r="M109" s="114"/>
      <c r="O109" s="119" t="s">
        <v>816</v>
      </c>
      <c r="P109" s="120"/>
      <c r="Q109" s="153"/>
      <c r="R109" s="154"/>
      <c r="S109" s="123"/>
      <c r="T109" s="120"/>
      <c r="U109" s="155">
        <v>0</v>
      </c>
      <c r="V109" s="156"/>
      <c r="W109" s="123"/>
      <c r="X109" s="157">
        <v>0</v>
      </c>
      <c r="Y109" s="158"/>
      <c r="Z109" s="158"/>
    </row>
    <row r="110" spans="3:26" ht="24" customHeight="1" x14ac:dyDescent="0.2">
      <c r="C110" s="88"/>
      <c r="D110" s="550">
        <v>45435</v>
      </c>
      <c r="E110" s="96" t="s">
        <v>770</v>
      </c>
      <c r="F110" s="96" t="s">
        <v>771</v>
      </c>
      <c r="G110" s="96" t="s">
        <v>772</v>
      </c>
      <c r="H110" s="115">
        <v>0.58333333333333337</v>
      </c>
      <c r="I110" s="769"/>
      <c r="J110" s="770"/>
      <c r="K110" s="771"/>
      <c r="L110" s="545"/>
      <c r="M110" s="114"/>
      <c r="O110" s="89"/>
      <c r="P110" s="89"/>
      <c r="Q110" s="89"/>
      <c r="R110" s="89"/>
      <c r="S110" s="89"/>
      <c r="T110" s="89"/>
      <c r="U110" s="89"/>
      <c r="V110" s="89"/>
      <c r="W110" s="89"/>
      <c r="X110" s="89"/>
      <c r="Y110" s="89"/>
      <c r="Z110" s="89"/>
    </row>
    <row r="111" spans="3:26" ht="25" thickBot="1" x14ac:dyDescent="0.25">
      <c r="C111" s="88"/>
      <c r="D111" s="550">
        <v>45405</v>
      </c>
      <c r="E111" s="96" t="s">
        <v>774</v>
      </c>
      <c r="F111" s="96" t="s">
        <v>775</v>
      </c>
      <c r="G111" s="96" t="s">
        <v>776</v>
      </c>
      <c r="H111" s="115">
        <v>0.58333333333333337</v>
      </c>
      <c r="I111" s="772"/>
      <c r="J111" s="773"/>
      <c r="K111" s="774"/>
      <c r="L111" s="555"/>
      <c r="M111" s="116"/>
      <c r="O111" s="89"/>
      <c r="P111" s="89"/>
      <c r="Q111" s="89"/>
      <c r="R111" s="89"/>
      <c r="S111" s="89"/>
      <c r="T111" s="89"/>
      <c r="U111" s="89"/>
      <c r="V111" s="89"/>
      <c r="W111" s="89"/>
      <c r="X111" s="89"/>
      <c r="Y111" s="89"/>
      <c r="Z111" s="89"/>
    </row>
    <row r="112" spans="3:26" ht="73" customHeight="1" thickBot="1" x14ac:dyDescent="0.25">
      <c r="C112" s="88" t="s">
        <v>105</v>
      </c>
      <c r="D112" s="552" t="s">
        <v>30</v>
      </c>
      <c r="E112" s="1052" t="s">
        <v>720</v>
      </c>
      <c r="F112" s="1053"/>
      <c r="G112" s="1054"/>
      <c r="H112" s="105" t="s">
        <v>790</v>
      </c>
      <c r="I112" s="781" t="s">
        <v>633</v>
      </c>
      <c r="J112" s="764"/>
      <c r="K112" s="765"/>
      <c r="L112" s="553" t="s">
        <v>430</v>
      </c>
      <c r="M112" s="106" t="s">
        <v>431</v>
      </c>
      <c r="O112" s="118" t="s">
        <v>800</v>
      </c>
      <c r="P112" s="118" t="s">
        <v>801</v>
      </c>
      <c r="Q112" s="118" t="s">
        <v>802</v>
      </c>
      <c r="R112" s="118" t="s">
        <v>803</v>
      </c>
      <c r="S112" s="118" t="s">
        <v>804</v>
      </c>
      <c r="T112" s="118" t="s">
        <v>805</v>
      </c>
      <c r="U112" s="118" t="s">
        <v>806</v>
      </c>
      <c r="V112" s="118" t="s">
        <v>807</v>
      </c>
      <c r="W112" s="118" t="s">
        <v>808</v>
      </c>
      <c r="X112" s="118" t="s">
        <v>809</v>
      </c>
      <c r="Y112" s="118" t="s">
        <v>75</v>
      </c>
      <c r="Z112" s="118" t="s">
        <v>75</v>
      </c>
    </row>
    <row r="113" spans="3:26" ht="24" customHeight="1" x14ac:dyDescent="0.2">
      <c r="C113" s="88"/>
      <c r="D113" s="544" t="s">
        <v>432</v>
      </c>
      <c r="E113" s="1024"/>
      <c r="F113" s="1025"/>
      <c r="G113" s="1026"/>
      <c r="H113" s="113" t="s">
        <v>794</v>
      </c>
      <c r="I113" s="892" t="s">
        <v>721</v>
      </c>
      <c r="J113" s="893"/>
      <c r="K113" s="894"/>
      <c r="L113" s="545"/>
      <c r="M113" s="114"/>
      <c r="O113" s="119" t="s">
        <v>810</v>
      </c>
      <c r="P113" s="120">
        <v>0.1</v>
      </c>
      <c r="Q113" s="121">
        <v>3.3000000000000002E-2</v>
      </c>
      <c r="R113" s="122">
        <v>1.4999999999986358E-2</v>
      </c>
      <c r="S113" s="123"/>
      <c r="T113" s="119">
        <v>6.449999999998636E-2</v>
      </c>
      <c r="U113" s="121">
        <v>-15.49</v>
      </c>
      <c r="V113" s="120">
        <v>91.8</v>
      </c>
      <c r="W113" s="123"/>
      <c r="X113" s="123"/>
      <c r="Y113" s="124"/>
      <c r="Z113" s="124"/>
    </row>
    <row r="114" spans="3:26" ht="24" customHeight="1" x14ac:dyDescent="0.2">
      <c r="C114" s="88"/>
      <c r="D114" s="546" t="s">
        <v>433</v>
      </c>
      <c r="E114" s="1100">
        <v>-1.0999999999999999E-2</v>
      </c>
      <c r="F114" s="1101"/>
      <c r="G114" s="1102"/>
      <c r="H114" s="113" t="s">
        <v>795</v>
      </c>
      <c r="I114" s="769"/>
      <c r="J114" s="770"/>
      <c r="K114" s="771"/>
      <c r="L114" s="545"/>
      <c r="M114" s="114"/>
      <c r="O114" s="125"/>
      <c r="P114" s="125"/>
      <c r="Q114" s="125"/>
      <c r="R114" s="126"/>
      <c r="S114" s="127"/>
      <c r="T114" s="125"/>
      <c r="U114" s="125"/>
      <c r="V114" s="125"/>
      <c r="W114" s="127"/>
      <c r="X114" s="127"/>
      <c r="Y114" s="128"/>
      <c r="Z114" s="128"/>
    </row>
    <row r="115" spans="3:26" ht="25" customHeight="1" thickBot="1" x14ac:dyDescent="0.25">
      <c r="C115" s="88"/>
      <c r="D115" s="546" t="s">
        <v>434</v>
      </c>
      <c r="E115" s="1100">
        <v>0</v>
      </c>
      <c r="F115" s="1101"/>
      <c r="G115" s="1102"/>
      <c r="H115" s="90"/>
      <c r="I115" s="769"/>
      <c r="J115" s="770"/>
      <c r="K115" s="771"/>
      <c r="L115" s="545"/>
      <c r="M115" s="114"/>
      <c r="O115" s="129" t="s">
        <v>811</v>
      </c>
      <c r="P115" s="130">
        <v>0.1</v>
      </c>
      <c r="Q115" s="131">
        <v>6.3500000000000001E-2</v>
      </c>
      <c r="R115" s="132">
        <v>1.7999999999999999E-2</v>
      </c>
      <c r="S115" s="133">
        <v>1</v>
      </c>
      <c r="T115" s="129">
        <v>0.11325</v>
      </c>
      <c r="U115" s="134">
        <v>-27.197558139540636</v>
      </c>
      <c r="V115" s="135">
        <v>91.8</v>
      </c>
      <c r="W115" s="136">
        <v>7.73</v>
      </c>
      <c r="X115" s="137">
        <v>210.23712441864913</v>
      </c>
      <c r="Y115" s="138"/>
      <c r="Z115" s="138"/>
    </row>
    <row r="116" spans="3:26" ht="25" customHeight="1" thickBot="1" x14ac:dyDescent="0.25">
      <c r="C116" s="88"/>
      <c r="D116" s="547" t="s">
        <v>435</v>
      </c>
      <c r="E116" s="1039">
        <v>0.52083333333333337</v>
      </c>
      <c r="F116" s="1040"/>
      <c r="G116" s="1041"/>
      <c r="H116" s="90"/>
      <c r="I116" s="769"/>
      <c r="J116" s="770"/>
      <c r="K116" s="771"/>
      <c r="L116" s="548">
        <v>0.75</v>
      </c>
      <c r="M116" s="512">
        <v>0.64583333333333337</v>
      </c>
      <c r="O116" s="139" t="s">
        <v>812</v>
      </c>
      <c r="P116" s="140">
        <v>0.1</v>
      </c>
      <c r="Q116" s="160">
        <v>4.9866666666666663E-2</v>
      </c>
      <c r="R116" s="142">
        <v>1.7999999999999999E-2</v>
      </c>
      <c r="S116" s="143">
        <v>1</v>
      </c>
      <c r="T116" s="140">
        <v>9.2799999999999994E-2</v>
      </c>
      <c r="U116" s="144">
        <v>-22.286387596903936</v>
      </c>
      <c r="V116" s="145">
        <v>91.8</v>
      </c>
      <c r="W116" s="146">
        <v>3.37</v>
      </c>
      <c r="X116" s="147">
        <v>75.105126201566264</v>
      </c>
      <c r="Y116" s="148"/>
      <c r="Z116" s="148"/>
    </row>
    <row r="117" spans="3:26" ht="49" customHeight="1" thickBot="1" x14ac:dyDescent="0.25">
      <c r="C117" s="88"/>
      <c r="D117" s="549" t="s">
        <v>436</v>
      </c>
      <c r="E117" s="93" t="s">
        <v>29</v>
      </c>
      <c r="F117" s="93" t="s">
        <v>28</v>
      </c>
      <c r="G117" s="94" t="s">
        <v>27</v>
      </c>
      <c r="H117" s="94" t="s">
        <v>793</v>
      </c>
      <c r="I117" s="769"/>
      <c r="J117" s="770"/>
      <c r="K117" s="771"/>
      <c r="L117" s="545"/>
      <c r="M117" s="114"/>
      <c r="O117" s="127"/>
      <c r="P117" s="149"/>
      <c r="Q117" s="127"/>
      <c r="R117" s="127"/>
      <c r="S117" s="127"/>
      <c r="T117" s="127"/>
      <c r="U117" s="150"/>
      <c r="V117" s="151"/>
      <c r="W117" s="127"/>
      <c r="X117" s="150"/>
      <c r="Y117" s="128"/>
      <c r="Z117" s="128"/>
    </row>
    <row r="118" spans="3:26" ht="24" x14ac:dyDescent="0.2">
      <c r="C118" s="88"/>
      <c r="D118" s="550">
        <v>45561</v>
      </c>
      <c r="E118" s="96">
        <v>0</v>
      </c>
      <c r="F118" s="96" t="s">
        <v>778</v>
      </c>
      <c r="G118" s="96">
        <v>9.9000000000000005E-2</v>
      </c>
      <c r="H118" s="115">
        <v>0.52083333333333337</v>
      </c>
      <c r="I118" s="769"/>
      <c r="J118" s="770"/>
      <c r="K118" s="771"/>
      <c r="L118" s="545"/>
      <c r="M118" s="114"/>
      <c r="O118" s="152"/>
      <c r="P118" s="128"/>
      <c r="Q118" s="152"/>
      <c r="R118" s="152"/>
      <c r="S118" s="152"/>
      <c r="T118" s="152"/>
      <c r="U118" s="152"/>
      <c r="V118" s="152"/>
      <c r="W118" s="152"/>
      <c r="X118" s="152"/>
      <c r="Y118" s="128"/>
      <c r="Z118" s="128"/>
    </row>
    <row r="119" spans="3:26" ht="24" x14ac:dyDescent="0.2">
      <c r="C119" s="88"/>
      <c r="D119" s="550">
        <v>45530</v>
      </c>
      <c r="E119" s="96">
        <v>9.9000000000000005E-2</v>
      </c>
      <c r="F119" s="96" t="s">
        <v>630</v>
      </c>
      <c r="G119" s="96">
        <v>-6.9000000000000006E-2</v>
      </c>
      <c r="H119" s="115">
        <v>0.52083333333333337</v>
      </c>
      <c r="I119" s="769"/>
      <c r="J119" s="770"/>
      <c r="K119" s="771"/>
      <c r="L119" s="545"/>
      <c r="M119" s="114"/>
      <c r="O119" s="119" t="s">
        <v>813</v>
      </c>
      <c r="P119" s="120">
        <v>0.1</v>
      </c>
      <c r="Q119" s="153">
        <v>5.6683333333333336E-2</v>
      </c>
      <c r="R119" s="154">
        <v>1.7999999999999999E-2</v>
      </c>
      <c r="S119" s="123">
        <v>1</v>
      </c>
      <c r="T119" s="129">
        <v>0.10302500000000001</v>
      </c>
      <c r="U119" s="155">
        <v>-24.741972868222291</v>
      </c>
      <c r="V119" s="156">
        <v>91.8</v>
      </c>
      <c r="W119" s="123">
        <v>3</v>
      </c>
      <c r="X119" s="157">
        <v>74.225918604666873</v>
      </c>
      <c r="Y119" s="158" t="s">
        <v>814</v>
      </c>
      <c r="Z119" s="158"/>
    </row>
    <row r="120" spans="3:26" ht="24" x14ac:dyDescent="0.2">
      <c r="C120" s="88"/>
      <c r="D120" s="550">
        <v>45498</v>
      </c>
      <c r="E120" s="96">
        <v>-6.6000000000000003E-2</v>
      </c>
      <c r="F120" s="96" t="s">
        <v>467</v>
      </c>
      <c r="G120" s="96">
        <v>1E-3</v>
      </c>
      <c r="H120" s="115">
        <v>0.52083333333333337</v>
      </c>
      <c r="I120" s="769"/>
      <c r="J120" s="770"/>
      <c r="K120" s="771"/>
      <c r="L120" s="554"/>
      <c r="M120" s="114"/>
      <c r="O120" s="119"/>
      <c r="P120" s="120"/>
      <c r="Q120" s="153"/>
      <c r="R120" s="154"/>
      <c r="S120" s="123"/>
      <c r="T120" s="120"/>
      <c r="U120" s="155"/>
      <c r="V120" s="156"/>
      <c r="W120" s="123"/>
      <c r="X120" s="157"/>
      <c r="Y120" s="158"/>
      <c r="Z120" s="158"/>
    </row>
    <row r="121" spans="3:26" ht="24" x14ac:dyDescent="0.2">
      <c r="C121" s="88"/>
      <c r="D121" s="550">
        <v>45470</v>
      </c>
      <c r="E121" s="96">
        <v>1E-3</v>
      </c>
      <c r="F121" s="96" t="s">
        <v>782</v>
      </c>
      <c r="G121" s="96">
        <v>2E-3</v>
      </c>
      <c r="H121" s="115">
        <v>0.52083333333333337</v>
      </c>
      <c r="I121" s="769"/>
      <c r="J121" s="770"/>
      <c r="K121" s="771"/>
      <c r="L121" s="545"/>
      <c r="M121" s="114"/>
      <c r="O121" s="119" t="s">
        <v>816</v>
      </c>
      <c r="P121" s="120"/>
      <c r="Q121" s="153"/>
      <c r="R121" s="154"/>
      <c r="S121" s="123"/>
      <c r="T121" s="120"/>
      <c r="U121" s="155">
        <v>0</v>
      </c>
      <c r="V121" s="156"/>
      <c r="W121" s="123"/>
      <c r="X121" s="157">
        <v>0</v>
      </c>
      <c r="Y121" s="158"/>
      <c r="Z121" s="158"/>
    </row>
    <row r="122" spans="3:26" ht="24" x14ac:dyDescent="0.2">
      <c r="C122" s="88"/>
      <c r="D122" s="550">
        <v>45436</v>
      </c>
      <c r="E122" s="96">
        <v>7.0000000000000001E-3</v>
      </c>
      <c r="F122" s="96" t="s">
        <v>784</v>
      </c>
      <c r="G122" s="96">
        <v>8.0000000000000002E-3</v>
      </c>
      <c r="H122" s="115">
        <v>0.52083333333333337</v>
      </c>
      <c r="I122" s="769"/>
      <c r="J122" s="770"/>
      <c r="K122" s="771"/>
      <c r="L122" s="545"/>
      <c r="M122" s="114"/>
      <c r="O122" s="89"/>
      <c r="P122" s="89"/>
      <c r="Q122" s="89"/>
      <c r="R122" s="89"/>
      <c r="S122" s="89"/>
      <c r="T122" s="89"/>
      <c r="U122" s="89"/>
      <c r="V122" s="89"/>
      <c r="W122" s="89"/>
      <c r="X122" s="89"/>
      <c r="Y122" s="89"/>
      <c r="Z122" s="89"/>
    </row>
    <row r="123" spans="3:26" ht="25" thickBot="1" x14ac:dyDescent="0.25">
      <c r="C123" s="88"/>
      <c r="D123" s="550">
        <v>45406</v>
      </c>
      <c r="E123" s="96">
        <v>2.5999999999999999E-2</v>
      </c>
      <c r="F123" s="96" t="s">
        <v>495</v>
      </c>
      <c r="G123" s="96">
        <v>7.0000000000000001E-3</v>
      </c>
      <c r="H123" s="115">
        <v>0.52083333333333337</v>
      </c>
      <c r="I123" s="772"/>
      <c r="J123" s="773"/>
      <c r="K123" s="774"/>
      <c r="L123" s="555"/>
      <c r="M123" s="116"/>
      <c r="O123" s="118" t="s">
        <v>800</v>
      </c>
      <c r="P123" s="118" t="s">
        <v>801</v>
      </c>
      <c r="Q123" s="118" t="s">
        <v>802</v>
      </c>
      <c r="R123" s="118" t="s">
        <v>803</v>
      </c>
      <c r="S123" s="118" t="s">
        <v>804</v>
      </c>
      <c r="T123" s="118" t="s">
        <v>805</v>
      </c>
      <c r="U123" s="118" t="s">
        <v>806</v>
      </c>
      <c r="V123" s="118" t="s">
        <v>807</v>
      </c>
      <c r="W123" s="118" t="s">
        <v>808</v>
      </c>
      <c r="X123" s="118" t="s">
        <v>809</v>
      </c>
      <c r="Y123" s="118" t="s">
        <v>75</v>
      </c>
      <c r="Z123" s="118" t="s">
        <v>75</v>
      </c>
    </row>
    <row r="124" spans="3:26" ht="73" customHeight="1" thickBot="1" x14ac:dyDescent="0.25">
      <c r="C124" s="88" t="s">
        <v>105</v>
      </c>
      <c r="D124" s="552" t="s">
        <v>30</v>
      </c>
      <c r="E124" s="1052" t="s">
        <v>786</v>
      </c>
      <c r="F124" s="1053"/>
      <c r="G124" s="1054"/>
      <c r="H124" s="105" t="s">
        <v>790</v>
      </c>
      <c r="I124" s="781" t="s">
        <v>633</v>
      </c>
      <c r="J124" s="764"/>
      <c r="K124" s="765"/>
      <c r="L124" s="553" t="s">
        <v>430</v>
      </c>
      <c r="M124" s="106" t="s">
        <v>431</v>
      </c>
      <c r="O124" s="119" t="s">
        <v>810</v>
      </c>
      <c r="P124" s="120">
        <v>0.1</v>
      </c>
      <c r="Q124" s="121">
        <v>3.3000000000000002E-2</v>
      </c>
      <c r="R124" s="122">
        <v>1.4999999999986358E-2</v>
      </c>
      <c r="S124" s="123"/>
      <c r="T124" s="119">
        <v>6.449999999998636E-2</v>
      </c>
      <c r="U124" s="121">
        <v>-15.49</v>
      </c>
      <c r="V124" s="120">
        <v>91.8</v>
      </c>
      <c r="W124" s="123"/>
      <c r="X124" s="123"/>
      <c r="Y124" s="124"/>
      <c r="Z124" s="124"/>
    </row>
    <row r="125" spans="3:26" ht="24" customHeight="1" x14ac:dyDescent="0.2">
      <c r="C125" s="88"/>
      <c r="D125" s="544" t="s">
        <v>432</v>
      </c>
      <c r="E125" s="1024"/>
      <c r="F125" s="1025"/>
      <c r="G125" s="1026"/>
      <c r="H125" s="113" t="s">
        <v>794</v>
      </c>
      <c r="I125" s="892">
        <v>0</v>
      </c>
      <c r="J125" s="893"/>
      <c r="K125" s="894"/>
      <c r="L125" s="545"/>
      <c r="M125" s="114"/>
      <c r="O125" s="125"/>
      <c r="P125" s="125"/>
      <c r="Q125" s="125"/>
      <c r="R125" s="126"/>
      <c r="S125" s="127"/>
      <c r="T125" s="125"/>
      <c r="U125" s="125"/>
      <c r="V125" s="125"/>
      <c r="W125" s="127"/>
      <c r="X125" s="127"/>
      <c r="Y125" s="128"/>
      <c r="Z125" s="128"/>
    </row>
    <row r="126" spans="3:26" ht="24" customHeight="1" x14ac:dyDescent="0.2">
      <c r="C126" s="88"/>
      <c r="D126" s="546" t="s">
        <v>433</v>
      </c>
      <c r="E126" s="1033"/>
      <c r="F126" s="1034"/>
      <c r="G126" s="1035"/>
      <c r="H126" s="113" t="s">
        <v>795</v>
      </c>
      <c r="I126" s="769"/>
      <c r="J126" s="770"/>
      <c r="K126" s="771"/>
      <c r="L126" s="545"/>
      <c r="M126" s="114"/>
      <c r="O126" s="129" t="s">
        <v>811</v>
      </c>
      <c r="P126" s="130">
        <v>0.1</v>
      </c>
      <c r="Q126" s="131">
        <v>2.2200000000000001E-2</v>
      </c>
      <c r="R126" s="132">
        <v>1.9E-2</v>
      </c>
      <c r="S126" s="133">
        <v>1</v>
      </c>
      <c r="T126" s="129">
        <v>5.2299999999999999E-2</v>
      </c>
      <c r="U126" s="134">
        <v>-12.560108527134441</v>
      </c>
      <c r="V126" s="135">
        <v>91.8</v>
      </c>
      <c r="W126" s="136">
        <v>4.43</v>
      </c>
      <c r="X126" s="137">
        <v>55.641280775205566</v>
      </c>
      <c r="Y126" s="138"/>
      <c r="Z126" s="138">
        <v>4.4350000000000005</v>
      </c>
    </row>
    <row r="127" spans="3:26" ht="25" customHeight="1" thickBot="1" x14ac:dyDescent="0.25">
      <c r="C127" s="88"/>
      <c r="D127" s="546" t="s">
        <v>434</v>
      </c>
      <c r="E127" s="1033"/>
      <c r="F127" s="1034"/>
      <c r="G127" s="1035"/>
      <c r="H127" s="90"/>
      <c r="I127" s="769"/>
      <c r="J127" s="770"/>
      <c r="K127" s="771"/>
      <c r="L127" s="545"/>
      <c r="M127" s="114"/>
      <c r="O127" s="139" t="s">
        <v>812</v>
      </c>
      <c r="P127" s="140">
        <v>0.1</v>
      </c>
      <c r="Q127" s="160">
        <v>3.1199999999999995E-2</v>
      </c>
      <c r="R127" s="142">
        <v>1.9E-2</v>
      </c>
      <c r="S127" s="143">
        <v>1</v>
      </c>
      <c r="T127" s="140">
        <v>6.5799999999999997E-2</v>
      </c>
      <c r="U127" s="144">
        <v>-15.802201550390938</v>
      </c>
      <c r="V127" s="145">
        <v>91.8</v>
      </c>
      <c r="W127" s="146">
        <v>2.23</v>
      </c>
      <c r="X127" s="147">
        <v>35.23890945737179</v>
      </c>
      <c r="Y127" s="148"/>
      <c r="Z127" s="148"/>
    </row>
    <row r="128" spans="3:26" ht="25" customHeight="1" thickBot="1" x14ac:dyDescent="0.25">
      <c r="C128" s="88"/>
      <c r="D128" s="547" t="s">
        <v>435</v>
      </c>
      <c r="E128" s="1039">
        <v>0.97916666666666663</v>
      </c>
      <c r="F128" s="1040"/>
      <c r="G128" s="1041"/>
      <c r="H128" s="90"/>
      <c r="I128" s="769"/>
      <c r="J128" s="770"/>
      <c r="K128" s="771"/>
      <c r="L128" s="548">
        <v>0.20833333333333334</v>
      </c>
      <c r="M128" s="512">
        <v>0.10416666666666667</v>
      </c>
      <c r="O128" s="127"/>
      <c r="P128" s="149"/>
      <c r="Q128" s="127"/>
      <c r="R128" s="127"/>
      <c r="S128" s="127"/>
      <c r="T128" s="127"/>
      <c r="U128" s="150"/>
      <c r="V128" s="151"/>
      <c r="W128" s="127"/>
      <c r="X128" s="150"/>
      <c r="Y128" s="128"/>
      <c r="Z128" s="128"/>
    </row>
    <row r="129" spans="3:26" ht="49" customHeight="1" thickBot="1" x14ac:dyDescent="0.25">
      <c r="C129" s="88"/>
      <c r="D129" s="549" t="s">
        <v>436</v>
      </c>
      <c r="E129" s="93" t="s">
        <v>29</v>
      </c>
      <c r="F129" s="93" t="s">
        <v>28</v>
      </c>
      <c r="G129" s="94" t="s">
        <v>27</v>
      </c>
      <c r="H129" s="94" t="s">
        <v>793</v>
      </c>
      <c r="I129" s="769"/>
      <c r="J129" s="770"/>
      <c r="K129" s="771"/>
      <c r="L129" s="545"/>
      <c r="M129" s="114"/>
      <c r="O129" s="152"/>
      <c r="P129" s="128"/>
      <c r="Q129" s="152"/>
      <c r="R129" s="152"/>
      <c r="S129" s="152"/>
      <c r="T129" s="152"/>
      <c r="U129" s="152"/>
      <c r="V129" s="152"/>
      <c r="W129" s="152"/>
      <c r="X129" s="152"/>
      <c r="Y129" s="128"/>
      <c r="Z129" s="128"/>
    </row>
    <row r="130" spans="3:26" ht="24" x14ac:dyDescent="0.2">
      <c r="C130" s="88"/>
      <c r="D130" s="550">
        <v>45560</v>
      </c>
      <c r="E130" s="96">
        <v>0.02</v>
      </c>
      <c r="F130" s="96" t="s">
        <v>788</v>
      </c>
      <c r="G130" s="96">
        <v>2.4E-2</v>
      </c>
      <c r="H130" s="115">
        <v>0.97916666666666663</v>
      </c>
      <c r="I130" s="769"/>
      <c r="J130" s="770"/>
      <c r="K130" s="771"/>
      <c r="L130" s="545"/>
      <c r="M130" s="114"/>
      <c r="O130" s="119">
        <v>0</v>
      </c>
      <c r="P130" s="120">
        <v>0.1</v>
      </c>
      <c r="Q130" s="153">
        <v>3.1199999999999995E-2</v>
      </c>
      <c r="R130" s="154">
        <v>1.9E-2</v>
      </c>
      <c r="S130" s="123">
        <v>0.5</v>
      </c>
      <c r="T130" s="129">
        <v>6.5799999999999997E-2</v>
      </c>
      <c r="U130" s="155">
        <v>-7.9011007751954692</v>
      </c>
      <c r="V130" s="156">
        <v>91.8</v>
      </c>
      <c r="W130" s="123">
        <v>2</v>
      </c>
      <c r="X130" s="157">
        <v>15.802201550390938</v>
      </c>
      <c r="Y130" s="158" t="s">
        <v>814</v>
      </c>
      <c r="Z130" s="158"/>
    </row>
    <row r="131" spans="3:26" ht="24" x14ac:dyDescent="0.2">
      <c r="C131" s="88"/>
      <c r="D131" s="550">
        <v>45529</v>
      </c>
      <c r="E131" s="96">
        <v>2.4E-2</v>
      </c>
      <c r="F131" s="96" t="s">
        <v>490</v>
      </c>
      <c r="G131" s="96">
        <v>2.1999999999999999E-2</v>
      </c>
      <c r="H131" s="115">
        <v>0.97916666666666663</v>
      </c>
      <c r="I131" s="769"/>
      <c r="J131" s="770"/>
      <c r="K131" s="771"/>
      <c r="L131" s="545"/>
      <c r="M131" s="114"/>
      <c r="O131" s="119"/>
      <c r="P131" s="120"/>
      <c r="Q131" s="153"/>
      <c r="R131" s="154"/>
      <c r="S131" s="123"/>
      <c r="T131" s="120"/>
      <c r="U131" s="155"/>
      <c r="V131" s="156"/>
      <c r="W131" s="123"/>
      <c r="X131" s="157"/>
      <c r="Y131" s="158"/>
      <c r="Z131" s="158"/>
    </row>
    <row r="132" spans="3:26" ht="24" x14ac:dyDescent="0.2">
      <c r="C132" s="88"/>
      <c r="D132" s="550">
        <v>45497</v>
      </c>
      <c r="E132" s="96">
        <v>2.1999999999999999E-2</v>
      </c>
      <c r="F132" s="96" t="s">
        <v>490</v>
      </c>
      <c r="G132" s="96">
        <v>2.1000000000000001E-2</v>
      </c>
      <c r="H132" s="115">
        <v>0.97916666666666663</v>
      </c>
      <c r="I132" s="769"/>
      <c r="J132" s="770"/>
      <c r="K132" s="771"/>
      <c r="L132" s="554"/>
      <c r="M132" s="114"/>
      <c r="O132" s="119" t="s">
        <v>816</v>
      </c>
      <c r="P132" s="120"/>
      <c r="Q132" s="153"/>
      <c r="R132" s="154"/>
      <c r="S132" s="123"/>
      <c r="T132" s="120"/>
      <c r="U132" s="155">
        <v>0</v>
      </c>
      <c r="V132" s="156"/>
      <c r="W132" s="123"/>
      <c r="X132" s="157">
        <v>0</v>
      </c>
      <c r="Y132" s="158"/>
      <c r="Z132" s="158"/>
    </row>
    <row r="133" spans="3:26" ht="24" x14ac:dyDescent="0.2">
      <c r="C133" s="88"/>
      <c r="D133" s="550">
        <v>45469</v>
      </c>
      <c r="E133" s="96">
        <v>2.1000000000000001E-2</v>
      </c>
      <c r="F133" s="96" t="s">
        <v>788</v>
      </c>
      <c r="G133" s="96">
        <v>1.9E-2</v>
      </c>
      <c r="H133" s="115">
        <v>0.97916666666666663</v>
      </c>
      <c r="I133" s="769"/>
      <c r="J133" s="770"/>
      <c r="K133" s="771"/>
      <c r="L133" s="545"/>
      <c r="M133" s="114"/>
      <c r="O133" s="118"/>
      <c r="P133" s="118"/>
      <c r="Q133" s="118"/>
      <c r="R133" s="118"/>
      <c r="S133" s="118"/>
      <c r="T133" s="118"/>
      <c r="U133" s="118"/>
      <c r="V133" s="118"/>
      <c r="W133" s="118"/>
      <c r="X133" s="118"/>
      <c r="Y133" s="118"/>
      <c r="Z133" s="118"/>
    </row>
    <row r="134" spans="3:26" ht="24" x14ac:dyDescent="0.2">
      <c r="C134" s="88"/>
      <c r="D134" s="550">
        <v>45441</v>
      </c>
      <c r="E134" s="96">
        <v>1.9E-2</v>
      </c>
      <c r="F134" s="96" t="s">
        <v>789</v>
      </c>
      <c r="G134" s="96">
        <v>1.6E-2</v>
      </c>
      <c r="H134" s="115">
        <v>0.97916666666666663</v>
      </c>
      <c r="I134" s="769"/>
      <c r="J134" s="770"/>
      <c r="K134" s="771"/>
      <c r="L134" s="545"/>
      <c r="M134" s="114"/>
      <c r="O134" s="119"/>
      <c r="P134" s="120"/>
      <c r="Q134" s="121"/>
      <c r="R134" s="122"/>
      <c r="S134" s="123"/>
      <c r="T134" s="119"/>
      <c r="U134" s="121"/>
      <c r="V134" s="120"/>
      <c r="W134" s="123"/>
      <c r="X134" s="123"/>
      <c r="Y134" s="124"/>
      <c r="Z134" s="124"/>
    </row>
    <row r="135" spans="3:26" ht="25" thickBot="1" x14ac:dyDescent="0.25">
      <c r="C135" s="88"/>
      <c r="D135" s="556">
        <v>45406</v>
      </c>
      <c r="E135" s="112">
        <v>1.6E-2</v>
      </c>
      <c r="F135" s="112" t="s">
        <v>490</v>
      </c>
      <c r="G135" s="112">
        <v>2.4E-2</v>
      </c>
      <c r="H135" s="117">
        <v>0.97916666666666663</v>
      </c>
      <c r="I135" s="772"/>
      <c r="J135" s="773"/>
      <c r="K135" s="774"/>
      <c r="L135" s="555"/>
      <c r="M135" s="116"/>
      <c r="O135" s="125"/>
      <c r="P135" s="125"/>
      <c r="Q135" s="125"/>
      <c r="R135" s="126"/>
      <c r="S135" s="127"/>
      <c r="T135" s="125"/>
      <c r="U135" s="125"/>
      <c r="V135" s="125"/>
      <c r="W135" s="127"/>
      <c r="X135" s="127"/>
      <c r="Y135" s="128"/>
      <c r="Z135" s="128"/>
    </row>
    <row r="136" spans="3:26" ht="48" x14ac:dyDescent="0.2">
      <c r="C136" s="89" t="s">
        <v>105</v>
      </c>
      <c r="D136" s="557" t="s">
        <v>30</v>
      </c>
      <c r="E136" s="1088" t="s">
        <v>817</v>
      </c>
      <c r="F136" s="1088"/>
      <c r="G136" s="1088"/>
      <c r="H136" s="167" t="s">
        <v>790</v>
      </c>
      <c r="I136" s="1089" t="s">
        <v>633</v>
      </c>
      <c r="J136" s="1090"/>
      <c r="K136" s="1091"/>
      <c r="L136" s="558" t="s">
        <v>430</v>
      </c>
      <c r="M136" s="420" t="s">
        <v>431</v>
      </c>
      <c r="N136" s="168" t="s">
        <v>105</v>
      </c>
      <c r="O136" s="118" t="s">
        <v>800</v>
      </c>
      <c r="P136" s="118" t="s">
        <v>801</v>
      </c>
      <c r="Q136" s="118" t="s">
        <v>802</v>
      </c>
      <c r="R136" s="118" t="s">
        <v>803</v>
      </c>
      <c r="S136" s="118" t="s">
        <v>804</v>
      </c>
      <c r="T136" s="118" t="s">
        <v>805</v>
      </c>
      <c r="U136" s="118" t="s">
        <v>806</v>
      </c>
      <c r="V136" s="118" t="s">
        <v>807</v>
      </c>
      <c r="W136" s="118" t="s">
        <v>808</v>
      </c>
      <c r="X136" s="118" t="s">
        <v>809</v>
      </c>
      <c r="Y136" s="118" t="s">
        <v>75</v>
      </c>
      <c r="Z136" s="118" t="s">
        <v>75</v>
      </c>
    </row>
    <row r="137" spans="3:26" ht="24" x14ac:dyDescent="0.2">
      <c r="C137" s="89"/>
      <c r="D137" s="546" t="s">
        <v>432</v>
      </c>
      <c r="E137" s="1092"/>
      <c r="F137" s="1092"/>
      <c r="G137" s="1092"/>
      <c r="H137" s="170" t="s">
        <v>794</v>
      </c>
      <c r="I137" s="1067" t="s">
        <v>818</v>
      </c>
      <c r="J137" s="1068"/>
      <c r="K137" s="1069"/>
      <c r="L137" s="559"/>
      <c r="M137" s="513"/>
      <c r="N137" s="168"/>
      <c r="O137" s="119" t="s">
        <v>810</v>
      </c>
      <c r="P137" s="171">
        <v>0.1</v>
      </c>
      <c r="Q137" s="172">
        <v>2.1000000000000001E-2</v>
      </c>
      <c r="R137" s="173">
        <v>1.7000000000000001E-2</v>
      </c>
      <c r="S137" s="123"/>
      <c r="T137" s="119">
        <v>4.8500000000000001E-2</v>
      </c>
      <c r="U137" s="172">
        <v>-11.44</v>
      </c>
      <c r="V137" s="171">
        <v>91.8</v>
      </c>
      <c r="W137" s="174">
        <v>2</v>
      </c>
      <c r="X137" s="157">
        <v>22.88</v>
      </c>
      <c r="Y137" s="124"/>
      <c r="Z137" s="124"/>
    </row>
    <row r="138" spans="3:26" ht="24" x14ac:dyDescent="0.2">
      <c r="C138" s="89"/>
      <c r="D138" s="546" t="s">
        <v>433</v>
      </c>
      <c r="E138" s="1096">
        <v>99.2</v>
      </c>
      <c r="F138" s="1096"/>
      <c r="G138" s="1096"/>
      <c r="H138" s="170" t="s">
        <v>795</v>
      </c>
      <c r="I138" s="1070"/>
      <c r="J138" s="1071"/>
      <c r="K138" s="1072"/>
      <c r="L138" s="559"/>
      <c r="M138" s="513"/>
      <c r="N138" s="168"/>
      <c r="O138" s="125"/>
      <c r="P138" s="125"/>
      <c r="Q138" s="125"/>
      <c r="R138" s="126"/>
      <c r="S138" s="127"/>
      <c r="T138" s="125"/>
      <c r="U138" s="125"/>
      <c r="V138" s="125"/>
      <c r="W138" s="127"/>
      <c r="X138" s="127"/>
      <c r="Y138" s="128"/>
      <c r="Z138" s="128"/>
    </row>
    <row r="139" spans="3:26" ht="24" x14ac:dyDescent="0.2">
      <c r="C139" s="89"/>
      <c r="D139" s="546" t="s">
        <v>434</v>
      </c>
      <c r="E139" s="1096">
        <v>98.7</v>
      </c>
      <c r="F139" s="1096"/>
      <c r="G139" s="1096"/>
      <c r="H139" s="175"/>
      <c r="I139" s="1070"/>
      <c r="J139" s="1071"/>
      <c r="K139" s="1072"/>
      <c r="L139" s="559"/>
      <c r="M139" s="513"/>
      <c r="N139" s="168"/>
      <c r="O139" s="129" t="s">
        <v>811</v>
      </c>
      <c r="P139" s="176">
        <v>0.1</v>
      </c>
      <c r="Q139" s="177">
        <v>8.0299999999999996E-2</v>
      </c>
      <c r="R139" s="178">
        <v>1.7000000000000001E-2</v>
      </c>
      <c r="S139" s="133">
        <v>1</v>
      </c>
      <c r="T139" s="129">
        <v>0.13745000000000002</v>
      </c>
      <c r="U139" s="134">
        <v>-32.421195876288657</v>
      </c>
      <c r="V139" s="135">
        <v>91.8</v>
      </c>
      <c r="W139" s="179">
        <v>4.83</v>
      </c>
      <c r="X139" s="137">
        <v>156.59437608247421</v>
      </c>
      <c r="Y139" s="138"/>
      <c r="Z139" s="138"/>
    </row>
    <row r="140" spans="3:26" ht="24" x14ac:dyDescent="0.2">
      <c r="C140" s="89"/>
      <c r="D140" s="546" t="s">
        <v>435</v>
      </c>
      <c r="E140" s="1099">
        <v>0.58333333333333337</v>
      </c>
      <c r="F140" s="1099"/>
      <c r="G140" s="1099"/>
      <c r="H140" s="175"/>
      <c r="I140" s="1070"/>
      <c r="J140" s="1071"/>
      <c r="K140" s="1072"/>
      <c r="L140" s="560">
        <v>0.8125</v>
      </c>
      <c r="M140" s="514">
        <v>0.70833333333333337</v>
      </c>
      <c r="N140" s="168"/>
      <c r="O140" s="139" t="s">
        <v>812</v>
      </c>
      <c r="P140" s="180">
        <v>0.1</v>
      </c>
      <c r="Q140" s="160">
        <v>4.5333333333333337E-2</v>
      </c>
      <c r="R140" s="181">
        <v>1.7000000000000001E-2</v>
      </c>
      <c r="S140" s="143">
        <v>1</v>
      </c>
      <c r="T140" s="182">
        <v>8.5000000000000006E-2</v>
      </c>
      <c r="U140" s="144">
        <v>-20.049484536082474</v>
      </c>
      <c r="V140" s="145">
        <v>91.8</v>
      </c>
      <c r="W140" s="183">
        <v>2.1</v>
      </c>
      <c r="X140" s="147">
        <v>42.103917525773198</v>
      </c>
      <c r="Y140" s="148"/>
      <c r="Z140" s="148"/>
    </row>
    <row r="141" spans="3:26" ht="24" x14ac:dyDescent="0.2">
      <c r="C141" s="89"/>
      <c r="D141" s="546" t="s">
        <v>436</v>
      </c>
      <c r="E141" s="184" t="s">
        <v>29</v>
      </c>
      <c r="F141" s="184" t="s">
        <v>28</v>
      </c>
      <c r="G141" s="184" t="s">
        <v>27</v>
      </c>
      <c r="H141" s="175" t="s">
        <v>793</v>
      </c>
      <c r="I141" s="1070"/>
      <c r="J141" s="1071"/>
      <c r="K141" s="1072"/>
      <c r="L141" s="559"/>
      <c r="M141" s="513"/>
      <c r="N141" s="168"/>
      <c r="O141" s="127"/>
      <c r="P141" s="149"/>
      <c r="Q141" s="127"/>
      <c r="R141" s="127"/>
      <c r="S141" s="127"/>
      <c r="T141" s="127"/>
      <c r="U141" s="150"/>
      <c r="V141" s="151"/>
      <c r="W141" s="127"/>
      <c r="X141" s="150"/>
      <c r="Y141" s="128"/>
      <c r="Z141" s="128"/>
    </row>
    <row r="142" spans="3:26" ht="24" x14ac:dyDescent="0.2">
      <c r="C142" s="89"/>
      <c r="D142" s="561">
        <v>45559</v>
      </c>
      <c r="E142" s="186">
        <v>98.7</v>
      </c>
      <c r="F142" s="186" t="s">
        <v>874</v>
      </c>
      <c r="G142" s="186">
        <v>105.6</v>
      </c>
      <c r="H142" s="187">
        <v>0.58333333333333337</v>
      </c>
      <c r="I142" s="1070"/>
      <c r="J142" s="1071"/>
      <c r="K142" s="1072"/>
      <c r="L142" s="559"/>
      <c r="M142" s="513"/>
      <c r="N142" s="168"/>
      <c r="O142" s="152"/>
      <c r="P142" s="128"/>
      <c r="Q142" s="152"/>
      <c r="R142" s="152"/>
      <c r="S142" s="152"/>
      <c r="T142" s="152"/>
      <c r="U142" s="152"/>
      <c r="V142" s="152"/>
      <c r="W142" s="152"/>
      <c r="X142" s="152"/>
      <c r="Y142" s="128"/>
      <c r="Z142" s="128"/>
    </row>
    <row r="143" spans="3:26" ht="24" x14ac:dyDescent="0.2">
      <c r="C143" s="89"/>
      <c r="D143" s="561">
        <v>45531</v>
      </c>
      <c r="E143" s="186">
        <v>103.3</v>
      </c>
      <c r="F143" s="186" t="s">
        <v>875</v>
      </c>
      <c r="G143" s="186">
        <v>101.9</v>
      </c>
      <c r="H143" s="187">
        <v>0.58333333333333337</v>
      </c>
      <c r="I143" s="1070"/>
      <c r="J143" s="1071"/>
      <c r="K143" s="1072"/>
      <c r="L143" s="559"/>
      <c r="M143" s="513"/>
      <c r="N143" s="168"/>
      <c r="O143" s="119" t="s">
        <v>813</v>
      </c>
      <c r="P143" s="188">
        <v>-0.15</v>
      </c>
      <c r="Q143" s="153">
        <v>4.5333333333333337E-2</v>
      </c>
      <c r="R143" s="154">
        <v>1.7000000000000001E-2</v>
      </c>
      <c r="S143" s="123">
        <v>-1.5</v>
      </c>
      <c r="T143" s="129">
        <v>8.5000000000000006E-2</v>
      </c>
      <c r="U143" s="155">
        <v>-45.11134020618556</v>
      </c>
      <c r="V143" s="156">
        <v>-137.69999999999999</v>
      </c>
      <c r="W143" s="123">
        <v>2</v>
      </c>
      <c r="X143" s="157">
        <v>90.222680412371119</v>
      </c>
      <c r="Y143" s="158"/>
      <c r="Z143" s="158"/>
    </row>
    <row r="144" spans="3:26" ht="24" x14ac:dyDescent="0.2">
      <c r="C144" s="89"/>
      <c r="D144" s="561">
        <v>45503</v>
      </c>
      <c r="E144" s="186">
        <v>100.3</v>
      </c>
      <c r="F144" s="186" t="s">
        <v>876</v>
      </c>
      <c r="G144" s="186">
        <v>97.8</v>
      </c>
      <c r="H144" s="187">
        <v>0.58333333333333337</v>
      </c>
      <c r="I144" s="1070"/>
      <c r="J144" s="1071"/>
      <c r="K144" s="1072"/>
      <c r="L144" s="562"/>
      <c r="M144" s="513"/>
      <c r="N144" s="168"/>
      <c r="O144" s="119"/>
      <c r="P144" s="119"/>
      <c r="Q144" s="153"/>
      <c r="R144" s="154"/>
      <c r="S144" s="123"/>
      <c r="T144" s="171"/>
      <c r="U144" s="155"/>
      <c r="V144" s="156"/>
      <c r="W144" s="123"/>
      <c r="X144" s="157"/>
      <c r="Y144" s="158"/>
      <c r="Z144" s="158"/>
    </row>
    <row r="145" spans="3:26" ht="24" x14ac:dyDescent="0.2">
      <c r="C145" s="89"/>
      <c r="D145" s="561">
        <v>45468</v>
      </c>
      <c r="E145" s="186">
        <v>100.4</v>
      </c>
      <c r="F145" s="186" t="s">
        <v>877</v>
      </c>
      <c r="G145" s="186">
        <v>101.3</v>
      </c>
      <c r="H145" s="187">
        <v>0.58333333333333337</v>
      </c>
      <c r="I145" s="1070"/>
      <c r="J145" s="1071"/>
      <c r="K145" s="1072"/>
      <c r="L145" s="559"/>
      <c r="M145" s="513"/>
      <c r="N145" s="168"/>
      <c r="O145" s="119" t="s">
        <v>816</v>
      </c>
      <c r="P145" s="120"/>
      <c r="Q145" s="153"/>
      <c r="R145" s="154"/>
      <c r="S145" s="123"/>
      <c r="T145" s="120"/>
      <c r="U145" s="155">
        <v>0</v>
      </c>
      <c r="V145" s="156"/>
      <c r="W145" s="123"/>
      <c r="X145" s="157">
        <v>0</v>
      </c>
      <c r="Y145" s="158"/>
      <c r="Z145" s="158"/>
    </row>
    <row r="146" spans="3:26" ht="24" x14ac:dyDescent="0.2">
      <c r="C146" s="89"/>
      <c r="D146" s="561">
        <v>45440</v>
      </c>
      <c r="E146" s="186">
        <v>102</v>
      </c>
      <c r="F146" s="186" t="s">
        <v>878</v>
      </c>
      <c r="G146" s="186">
        <v>97.5</v>
      </c>
      <c r="H146" s="187">
        <v>0.58333333333333337</v>
      </c>
      <c r="I146" s="1070"/>
      <c r="J146" s="1071"/>
      <c r="K146" s="1072"/>
      <c r="L146" s="559"/>
      <c r="M146" s="513"/>
      <c r="N146" s="168"/>
      <c r="O146" s="89"/>
      <c r="P146" s="89"/>
      <c r="Q146" s="89"/>
      <c r="R146" s="89"/>
      <c r="S146" s="89"/>
      <c r="T146" s="89"/>
      <c r="U146" s="89"/>
      <c r="V146" s="89"/>
      <c r="W146" s="89"/>
      <c r="X146" s="89"/>
      <c r="Y146" s="89"/>
      <c r="Z146" s="89"/>
    </row>
    <row r="147" spans="3:26" ht="24" x14ac:dyDescent="0.2">
      <c r="C147" s="89"/>
      <c r="D147" s="561">
        <v>45412</v>
      </c>
      <c r="E147" s="186">
        <v>97</v>
      </c>
      <c r="F147" s="186" t="s">
        <v>879</v>
      </c>
      <c r="G147" s="186">
        <v>103.1</v>
      </c>
      <c r="H147" s="187">
        <v>0.58333333333333337</v>
      </c>
      <c r="I147" s="1073"/>
      <c r="J147" s="1074"/>
      <c r="K147" s="1075"/>
      <c r="L147" s="559"/>
      <c r="M147" s="513"/>
      <c r="N147" s="168"/>
      <c r="O147" s="89"/>
      <c r="P147" s="89"/>
      <c r="Q147" s="89"/>
      <c r="R147" s="89"/>
      <c r="S147" s="89"/>
      <c r="T147" s="89"/>
      <c r="U147" s="89"/>
      <c r="V147" s="89"/>
      <c r="W147" s="89"/>
      <c r="X147" s="89"/>
      <c r="Y147" s="89"/>
      <c r="Z147" s="89"/>
    </row>
    <row r="148" spans="3:26" ht="48" x14ac:dyDescent="0.2">
      <c r="C148" s="89" t="s">
        <v>105</v>
      </c>
      <c r="D148" s="557" t="s">
        <v>30</v>
      </c>
      <c r="E148" s="1088" t="s">
        <v>819</v>
      </c>
      <c r="F148" s="1088"/>
      <c r="G148" s="1088"/>
      <c r="H148" s="167" t="s">
        <v>790</v>
      </c>
      <c r="I148" s="1093" t="s">
        <v>633</v>
      </c>
      <c r="J148" s="1094"/>
      <c r="K148" s="1095"/>
      <c r="L148" s="558" t="s">
        <v>430</v>
      </c>
      <c r="M148" s="420" t="s">
        <v>431</v>
      </c>
      <c r="N148" s="168" t="s">
        <v>105</v>
      </c>
      <c r="O148" s="118" t="s">
        <v>800</v>
      </c>
      <c r="P148" s="118" t="s">
        <v>801</v>
      </c>
      <c r="Q148" s="118" t="s">
        <v>802</v>
      </c>
      <c r="R148" s="118" t="s">
        <v>803</v>
      </c>
      <c r="S148" s="118" t="s">
        <v>804</v>
      </c>
      <c r="T148" s="118" t="s">
        <v>805</v>
      </c>
      <c r="U148" s="118" t="s">
        <v>806</v>
      </c>
      <c r="V148" s="118" t="s">
        <v>807</v>
      </c>
      <c r="W148" s="118" t="s">
        <v>808</v>
      </c>
      <c r="X148" s="118" t="s">
        <v>809</v>
      </c>
      <c r="Y148" s="118" t="s">
        <v>75</v>
      </c>
      <c r="Z148" s="118" t="s">
        <v>75</v>
      </c>
    </row>
    <row r="149" spans="3:26" ht="24" x14ac:dyDescent="0.2">
      <c r="C149" s="89"/>
      <c r="D149" s="546" t="s">
        <v>432</v>
      </c>
      <c r="E149" s="1092"/>
      <c r="F149" s="1092"/>
      <c r="G149" s="1092"/>
      <c r="H149" s="170" t="s">
        <v>794</v>
      </c>
      <c r="I149" s="1067" t="s">
        <v>821</v>
      </c>
      <c r="J149" s="1068"/>
      <c r="K149" s="1069"/>
      <c r="L149" s="559"/>
      <c r="M149" s="513"/>
      <c r="N149" s="168"/>
      <c r="O149" s="119" t="s">
        <v>810</v>
      </c>
      <c r="P149" s="171">
        <v>0.1</v>
      </c>
      <c r="Q149" s="172">
        <v>2.1000000000000001E-2</v>
      </c>
      <c r="R149" s="173">
        <v>1.7000000000000001E-2</v>
      </c>
      <c r="S149" s="123"/>
      <c r="T149" s="119">
        <v>4.8500000000000001E-2</v>
      </c>
      <c r="U149" s="172">
        <v>-11.44</v>
      </c>
      <c r="V149" s="171">
        <v>91.8</v>
      </c>
      <c r="W149" s="174">
        <v>2</v>
      </c>
      <c r="X149" s="157">
        <v>22.88</v>
      </c>
      <c r="Y149" s="124"/>
      <c r="Z149" s="124"/>
    </row>
    <row r="150" spans="3:26" ht="24" x14ac:dyDescent="0.2">
      <c r="C150" s="89"/>
      <c r="D150" s="546" t="s">
        <v>433</v>
      </c>
      <c r="E150" s="1098" t="s">
        <v>820</v>
      </c>
      <c r="F150" s="1098"/>
      <c r="G150" s="1098"/>
      <c r="H150" s="170" t="s">
        <v>795</v>
      </c>
      <c r="I150" s="1070"/>
      <c r="J150" s="1071"/>
      <c r="K150" s="1072"/>
      <c r="L150" s="559"/>
      <c r="M150" s="513"/>
      <c r="N150" s="168"/>
      <c r="O150" s="125"/>
      <c r="P150" s="125"/>
      <c r="Q150" s="125"/>
      <c r="R150" s="126"/>
      <c r="S150" s="127"/>
      <c r="T150" s="125"/>
      <c r="U150" s="125"/>
      <c r="V150" s="125"/>
      <c r="W150" s="127"/>
      <c r="X150" s="127"/>
      <c r="Y150" s="128"/>
      <c r="Z150" s="128"/>
    </row>
    <row r="151" spans="3:26" ht="24" x14ac:dyDescent="0.2">
      <c r="C151" s="89"/>
      <c r="D151" s="546" t="s">
        <v>434</v>
      </c>
      <c r="E151" s="1098" t="s">
        <v>634</v>
      </c>
      <c r="F151" s="1098"/>
      <c r="G151" s="1098"/>
      <c r="H151" s="175"/>
      <c r="I151" s="1070"/>
      <c r="J151" s="1071"/>
      <c r="K151" s="1072"/>
      <c r="L151" s="559"/>
      <c r="M151" s="513"/>
      <c r="N151" s="168"/>
      <c r="O151" s="129" t="s">
        <v>811</v>
      </c>
      <c r="P151" s="176">
        <v>0.1</v>
      </c>
      <c r="Q151" s="177">
        <v>0.12959999999999999</v>
      </c>
      <c r="R151" s="178">
        <v>1.6E-2</v>
      </c>
      <c r="S151" s="133">
        <v>1</v>
      </c>
      <c r="T151" s="129">
        <v>0.21039999999999998</v>
      </c>
      <c r="U151" s="134">
        <v>-49.628371134020611</v>
      </c>
      <c r="V151" s="135">
        <v>91.8</v>
      </c>
      <c r="W151" s="179">
        <v>2.73</v>
      </c>
      <c r="X151" s="137">
        <v>135.48545319587626</v>
      </c>
      <c r="Y151" s="138"/>
      <c r="Z151" s="138">
        <v>4.4350000000000005</v>
      </c>
    </row>
    <row r="152" spans="3:26" ht="24" x14ac:dyDescent="0.2">
      <c r="C152" s="89"/>
      <c r="D152" s="546" t="s">
        <v>435</v>
      </c>
      <c r="E152" s="1099">
        <v>0.58333333333333337</v>
      </c>
      <c r="F152" s="1099"/>
      <c r="G152" s="1099"/>
      <c r="H152" s="175"/>
      <c r="I152" s="1070"/>
      <c r="J152" s="1071"/>
      <c r="K152" s="1072"/>
      <c r="L152" s="560">
        <v>0.8125</v>
      </c>
      <c r="M152" s="514">
        <v>0.70833333333333337</v>
      </c>
      <c r="N152" s="168"/>
      <c r="O152" s="139" t="s">
        <v>812</v>
      </c>
      <c r="P152" s="180">
        <v>0.1</v>
      </c>
      <c r="Q152" s="160">
        <v>6.1533333333333329E-2</v>
      </c>
      <c r="R152" s="181">
        <v>1.6E-2</v>
      </c>
      <c r="S152" s="143">
        <v>1</v>
      </c>
      <c r="T152" s="182">
        <v>0.10829999999999999</v>
      </c>
      <c r="U152" s="144">
        <v>-25.545402061855665</v>
      </c>
      <c r="V152" s="145">
        <v>91.8</v>
      </c>
      <c r="W152" s="183">
        <v>3.45</v>
      </c>
      <c r="X152" s="147">
        <v>88.13163711340205</v>
      </c>
      <c r="Y152" s="148"/>
      <c r="Z152" s="148"/>
    </row>
    <row r="153" spans="3:26" ht="24" x14ac:dyDescent="0.2">
      <c r="C153" s="89"/>
      <c r="D153" s="546" t="s">
        <v>436</v>
      </c>
      <c r="E153" s="184" t="s">
        <v>29</v>
      </c>
      <c r="F153" s="184" t="s">
        <v>28</v>
      </c>
      <c r="G153" s="184" t="s">
        <v>27</v>
      </c>
      <c r="H153" s="175" t="s">
        <v>793</v>
      </c>
      <c r="I153" s="1070"/>
      <c r="J153" s="1071"/>
      <c r="K153" s="1072"/>
      <c r="L153" s="559"/>
      <c r="M153" s="513"/>
      <c r="N153" s="168"/>
      <c r="O153" s="127"/>
      <c r="P153" s="149"/>
      <c r="Q153" s="127"/>
      <c r="R153" s="127"/>
      <c r="S153" s="127"/>
      <c r="T153" s="127"/>
      <c r="U153" s="150"/>
      <c r="V153" s="151"/>
      <c r="W153" s="127"/>
      <c r="X153" s="150"/>
      <c r="Y153" s="128"/>
      <c r="Z153" s="128"/>
    </row>
    <row r="154" spans="3:26" ht="24" x14ac:dyDescent="0.2">
      <c r="C154" s="89"/>
      <c r="D154" s="561">
        <v>45566</v>
      </c>
      <c r="E154" s="189" t="s">
        <v>634</v>
      </c>
      <c r="F154" s="189" t="s">
        <v>880</v>
      </c>
      <c r="G154" s="189" t="s">
        <v>881</v>
      </c>
      <c r="H154" s="187">
        <v>0.58333333333333337</v>
      </c>
      <c r="I154" s="1070"/>
      <c r="J154" s="1071"/>
      <c r="K154" s="1072"/>
      <c r="L154" s="559"/>
      <c r="M154" s="513"/>
      <c r="N154" s="168"/>
      <c r="O154" s="152"/>
      <c r="P154" s="128"/>
      <c r="Q154" s="152"/>
      <c r="R154" s="152"/>
      <c r="S154" s="152"/>
      <c r="T154" s="152"/>
      <c r="U154" s="152"/>
      <c r="V154" s="152"/>
      <c r="W154" s="152"/>
      <c r="X154" s="152"/>
      <c r="Y154" s="128"/>
      <c r="Z154" s="128"/>
    </row>
    <row r="155" spans="3:26" ht="24" x14ac:dyDescent="0.2">
      <c r="C155" s="89"/>
      <c r="D155" s="561">
        <v>45539</v>
      </c>
      <c r="E155" s="189" t="s">
        <v>403</v>
      </c>
      <c r="F155" s="189" t="s">
        <v>527</v>
      </c>
      <c r="G155" s="189" t="s">
        <v>528</v>
      </c>
      <c r="H155" s="187">
        <v>0.58333333333333337</v>
      </c>
      <c r="I155" s="1070"/>
      <c r="J155" s="1071"/>
      <c r="K155" s="1072"/>
      <c r="L155" s="559"/>
      <c r="M155" s="513"/>
      <c r="N155" s="168"/>
      <c r="O155" s="119" t="s">
        <v>813</v>
      </c>
      <c r="P155" s="188">
        <v>-0.15</v>
      </c>
      <c r="Q155" s="153">
        <v>6.1533333333333329E-2</v>
      </c>
      <c r="R155" s="154">
        <v>1.6E-2</v>
      </c>
      <c r="S155" s="123">
        <v>-1.5</v>
      </c>
      <c r="T155" s="129">
        <v>0.10829999999999999</v>
      </c>
      <c r="U155" s="155">
        <v>-57.477154639175232</v>
      </c>
      <c r="V155" s="156">
        <v>-137.69999999999999</v>
      </c>
      <c r="W155" s="123">
        <v>2</v>
      </c>
      <c r="X155" s="157">
        <v>114.95430927835046</v>
      </c>
      <c r="Y155" s="158"/>
      <c r="Z155" s="158"/>
    </row>
    <row r="156" spans="3:26" ht="24" x14ac:dyDescent="0.2">
      <c r="C156" s="89"/>
      <c r="D156" s="561">
        <v>45503</v>
      </c>
      <c r="E156" s="189" t="s">
        <v>279</v>
      </c>
      <c r="F156" s="189" t="s">
        <v>530</v>
      </c>
      <c r="G156" s="189" t="s">
        <v>531</v>
      </c>
      <c r="H156" s="187">
        <v>0.58333333333333337</v>
      </c>
      <c r="I156" s="1070"/>
      <c r="J156" s="1071"/>
      <c r="K156" s="1072"/>
      <c r="L156" s="562"/>
      <c r="M156" s="513"/>
      <c r="N156" s="168"/>
      <c r="O156" s="119"/>
      <c r="P156" s="119"/>
      <c r="Q156" s="153"/>
      <c r="R156" s="154"/>
      <c r="S156" s="123"/>
      <c r="T156" s="171"/>
      <c r="U156" s="155"/>
      <c r="V156" s="156"/>
      <c r="W156" s="123"/>
      <c r="X156" s="157"/>
      <c r="Y156" s="158"/>
      <c r="Z156" s="158"/>
    </row>
    <row r="157" spans="3:26" ht="24" x14ac:dyDescent="0.2">
      <c r="C157" s="89"/>
      <c r="D157" s="561">
        <v>45475</v>
      </c>
      <c r="E157" s="189" t="s">
        <v>111</v>
      </c>
      <c r="F157" s="189" t="s">
        <v>532</v>
      </c>
      <c r="G157" s="189" t="s">
        <v>533</v>
      </c>
      <c r="H157" s="187">
        <v>0.58333333333333337</v>
      </c>
      <c r="I157" s="1070"/>
      <c r="J157" s="1071"/>
      <c r="K157" s="1072"/>
      <c r="L157" s="559"/>
      <c r="M157" s="513"/>
      <c r="N157" s="168"/>
      <c r="O157" s="119" t="s">
        <v>816</v>
      </c>
      <c r="P157" s="120"/>
      <c r="Q157" s="153"/>
      <c r="R157" s="154"/>
      <c r="S157" s="123"/>
      <c r="T157" s="120"/>
      <c r="U157" s="155">
        <v>0</v>
      </c>
      <c r="V157" s="156"/>
      <c r="W157" s="123"/>
      <c r="X157" s="157">
        <v>0</v>
      </c>
      <c r="Y157" s="158"/>
      <c r="Z157" s="158"/>
    </row>
    <row r="158" spans="3:26" ht="24" x14ac:dyDescent="0.2">
      <c r="C158" s="89"/>
      <c r="D158" s="561">
        <v>45447</v>
      </c>
      <c r="E158" s="189" t="s">
        <v>18</v>
      </c>
      <c r="F158" s="189" t="s">
        <v>535</v>
      </c>
      <c r="G158" s="189" t="s">
        <v>536</v>
      </c>
      <c r="H158" s="187">
        <v>0.58333333333333337</v>
      </c>
      <c r="I158" s="1070"/>
      <c r="J158" s="1071"/>
      <c r="K158" s="1072"/>
      <c r="L158" s="559"/>
      <c r="M158" s="513"/>
      <c r="N158" s="168"/>
      <c r="O158" s="89"/>
      <c r="P158" s="89"/>
      <c r="Q158" s="89"/>
      <c r="R158" s="89"/>
      <c r="S158" s="89"/>
      <c r="T158" s="89"/>
      <c r="U158" s="89"/>
      <c r="V158" s="89"/>
      <c r="W158" s="89"/>
      <c r="X158" s="89"/>
      <c r="Y158" s="89"/>
      <c r="Z158" s="89"/>
    </row>
    <row r="159" spans="3:26" ht="24" x14ac:dyDescent="0.2">
      <c r="C159" s="89"/>
      <c r="D159" s="561">
        <v>45413</v>
      </c>
      <c r="E159" s="189" t="s">
        <v>537</v>
      </c>
      <c r="F159" s="189" t="s">
        <v>538</v>
      </c>
      <c r="G159" s="189" t="s">
        <v>539</v>
      </c>
      <c r="H159" s="187">
        <v>0.58333333333333337</v>
      </c>
      <c r="I159" s="1073"/>
      <c r="J159" s="1074"/>
      <c r="K159" s="1075"/>
      <c r="L159" s="559"/>
      <c r="M159" s="513"/>
      <c r="N159" s="168"/>
      <c r="O159" s="89"/>
      <c r="P159" s="89"/>
      <c r="Q159" s="89"/>
      <c r="R159" s="89"/>
      <c r="S159" s="89"/>
      <c r="T159" s="89"/>
      <c r="U159" s="89"/>
      <c r="V159" s="89"/>
      <c r="W159" s="89"/>
      <c r="X159" s="89"/>
      <c r="Y159" s="89"/>
      <c r="Z159" s="89"/>
    </row>
    <row r="160" spans="3:26" ht="48" x14ac:dyDescent="0.2">
      <c r="C160" s="89" t="s">
        <v>105</v>
      </c>
      <c r="D160" s="557" t="s">
        <v>30</v>
      </c>
      <c r="E160" s="1088" t="s">
        <v>824</v>
      </c>
      <c r="F160" s="1088"/>
      <c r="G160" s="1088"/>
      <c r="H160" s="167" t="s">
        <v>790</v>
      </c>
      <c r="I160" s="1093" t="s">
        <v>633</v>
      </c>
      <c r="J160" s="1094"/>
      <c r="K160" s="1095"/>
      <c r="L160" s="558" t="s">
        <v>430</v>
      </c>
      <c r="M160" s="420" t="s">
        <v>431</v>
      </c>
      <c r="N160" s="168" t="s">
        <v>105</v>
      </c>
      <c r="O160" s="118" t="s">
        <v>800</v>
      </c>
      <c r="P160" s="118" t="s">
        <v>801</v>
      </c>
      <c r="Q160" s="118" t="s">
        <v>802</v>
      </c>
      <c r="R160" s="118" t="s">
        <v>803</v>
      </c>
      <c r="S160" s="118" t="s">
        <v>804</v>
      </c>
      <c r="T160" s="118" t="s">
        <v>805</v>
      </c>
      <c r="U160" s="118" t="s">
        <v>806</v>
      </c>
      <c r="V160" s="118" t="s">
        <v>807</v>
      </c>
      <c r="W160" s="118" t="s">
        <v>808</v>
      </c>
      <c r="X160" s="118" t="s">
        <v>809</v>
      </c>
      <c r="Y160" s="118" t="s">
        <v>75</v>
      </c>
      <c r="Z160" s="118" t="s">
        <v>75</v>
      </c>
    </row>
    <row r="161" spans="3:26" ht="24" x14ac:dyDescent="0.2">
      <c r="C161" s="89"/>
      <c r="D161" s="546" t="s">
        <v>432</v>
      </c>
      <c r="E161" s="1092"/>
      <c r="F161" s="1092"/>
      <c r="G161" s="1092"/>
      <c r="H161" s="170" t="s">
        <v>904</v>
      </c>
      <c r="I161" s="1067" t="s">
        <v>825</v>
      </c>
      <c r="J161" s="1068"/>
      <c r="K161" s="1069"/>
      <c r="L161" s="559"/>
      <c r="M161" s="513"/>
      <c r="N161" s="168"/>
      <c r="O161" s="119" t="s">
        <v>810</v>
      </c>
      <c r="P161" s="171">
        <v>0.1</v>
      </c>
      <c r="Q161" s="172">
        <v>1.2999999999999999E-2</v>
      </c>
      <c r="R161" s="173">
        <v>2.199999999999136E-2</v>
      </c>
      <c r="S161" s="123"/>
      <c r="T161" s="119">
        <v>4.1499999999991363E-2</v>
      </c>
      <c r="U161" s="172">
        <v>-10.74</v>
      </c>
      <c r="V161" s="171">
        <v>60.23</v>
      </c>
      <c r="W161" s="171"/>
      <c r="X161" s="157"/>
      <c r="Y161" s="124"/>
      <c r="Z161" s="124"/>
    </row>
    <row r="162" spans="3:26" ht="24" x14ac:dyDescent="0.2">
      <c r="C162" s="89"/>
      <c r="D162" s="546" t="s">
        <v>433</v>
      </c>
      <c r="E162" s="1098">
        <v>2.3E-2</v>
      </c>
      <c r="F162" s="1098"/>
      <c r="G162" s="1098"/>
      <c r="H162" s="170" t="s">
        <v>905</v>
      </c>
      <c r="I162" s="1070"/>
      <c r="J162" s="1071"/>
      <c r="K162" s="1072"/>
      <c r="L162" s="559"/>
      <c r="M162" s="513"/>
      <c r="N162" s="168"/>
      <c r="O162" s="125"/>
      <c r="P162" s="125"/>
      <c r="Q162" s="125"/>
      <c r="R162" s="126"/>
      <c r="S162" s="127"/>
      <c r="T162" s="125"/>
      <c r="U162" s="125"/>
      <c r="V162" s="125"/>
      <c r="W162" s="125"/>
      <c r="X162" s="127"/>
      <c r="Y162" s="128"/>
      <c r="Z162" s="128"/>
    </row>
    <row r="163" spans="3:26" ht="24" x14ac:dyDescent="0.2">
      <c r="C163" s="89"/>
      <c r="D163" s="546" t="s">
        <v>434</v>
      </c>
      <c r="E163" s="1098">
        <v>3.7999999999999999E-2</v>
      </c>
      <c r="F163" s="1098"/>
      <c r="G163" s="1098"/>
      <c r="H163" s="175"/>
      <c r="I163" s="1070"/>
      <c r="J163" s="1071"/>
      <c r="K163" s="1072"/>
      <c r="L163" s="559"/>
      <c r="M163" s="513"/>
      <c r="N163" s="168"/>
      <c r="O163" s="129" t="s">
        <v>811</v>
      </c>
      <c r="P163" s="176">
        <v>0.1</v>
      </c>
      <c r="Q163" s="177">
        <v>9.2700000000000005E-2</v>
      </c>
      <c r="R163" s="178">
        <v>2.4E-2</v>
      </c>
      <c r="S163" s="190">
        <v>1</v>
      </c>
      <c r="T163" s="129">
        <v>0.16305</v>
      </c>
      <c r="U163" s="134">
        <v>-42.196554216876251</v>
      </c>
      <c r="V163" s="135">
        <v>91.8</v>
      </c>
      <c r="W163" s="191">
        <v>4.95</v>
      </c>
      <c r="X163" s="137">
        <v>208.87294337353745</v>
      </c>
      <c r="Y163" s="138"/>
      <c r="Z163" s="138"/>
    </row>
    <row r="164" spans="3:26" ht="24" x14ac:dyDescent="0.2">
      <c r="C164" s="89"/>
      <c r="D164" s="546" t="s">
        <v>435</v>
      </c>
      <c r="E164" s="1099">
        <v>2.0833333333333343E-2</v>
      </c>
      <c r="F164" s="1099"/>
      <c r="G164" s="1099"/>
      <c r="H164" s="175"/>
      <c r="I164" s="1070"/>
      <c r="J164" s="1071"/>
      <c r="K164" s="1072"/>
      <c r="L164" s="560">
        <v>0.25</v>
      </c>
      <c r="M164" s="514">
        <v>0.14583333333333331</v>
      </c>
      <c r="N164" s="168"/>
      <c r="O164" s="139" t="s">
        <v>812</v>
      </c>
      <c r="P164" s="180">
        <v>0.1</v>
      </c>
      <c r="Q164" s="160">
        <v>0.10253333333333335</v>
      </c>
      <c r="R164" s="181">
        <v>2.4E-2</v>
      </c>
      <c r="S164" s="192">
        <v>1</v>
      </c>
      <c r="T164" s="182">
        <v>0.17780000000000001</v>
      </c>
      <c r="U164" s="144">
        <v>-46.0137831325397</v>
      </c>
      <c r="V164" s="145">
        <v>91.8</v>
      </c>
      <c r="W164" s="193">
        <v>3.5933333333333337</v>
      </c>
      <c r="X164" s="147">
        <v>165.34286072292602</v>
      </c>
      <c r="Y164" s="148"/>
      <c r="Z164" s="148"/>
    </row>
    <row r="165" spans="3:26" ht="24" x14ac:dyDescent="0.2">
      <c r="C165" s="89"/>
      <c r="D165" s="546" t="s">
        <v>436</v>
      </c>
      <c r="E165" s="184" t="s">
        <v>29</v>
      </c>
      <c r="F165" s="184" t="s">
        <v>28</v>
      </c>
      <c r="G165" s="184" t="s">
        <v>27</v>
      </c>
      <c r="H165" s="175" t="s">
        <v>793</v>
      </c>
      <c r="I165" s="1070"/>
      <c r="J165" s="1071"/>
      <c r="K165" s="1072"/>
      <c r="L165" s="559"/>
      <c r="M165" s="513"/>
      <c r="N165" s="168"/>
      <c r="O165" s="127"/>
      <c r="P165" s="149"/>
      <c r="Q165" s="127"/>
      <c r="R165" s="127"/>
      <c r="S165" s="194"/>
      <c r="T165" s="127"/>
      <c r="U165" s="150"/>
      <c r="V165" s="151"/>
      <c r="W165" s="195"/>
      <c r="X165" s="150"/>
      <c r="Y165" s="128"/>
      <c r="Z165" s="128"/>
    </row>
    <row r="166" spans="3:26" ht="24" x14ac:dyDescent="0.2">
      <c r="C166" s="89"/>
      <c r="D166" s="561">
        <v>45504</v>
      </c>
      <c r="E166" s="196">
        <v>3.7999999999999999E-2</v>
      </c>
      <c r="F166" s="196" t="s">
        <v>632</v>
      </c>
      <c r="G166" s="196">
        <v>3.5999999999999997E-2</v>
      </c>
      <c r="H166" s="187">
        <v>6.25E-2</v>
      </c>
      <c r="I166" s="1070"/>
      <c r="J166" s="1071"/>
      <c r="K166" s="1072"/>
      <c r="L166" s="559"/>
      <c r="M166" s="513"/>
      <c r="N166" s="168"/>
      <c r="O166" s="152"/>
      <c r="P166" s="128"/>
      <c r="Q166" s="152"/>
      <c r="R166" s="152"/>
      <c r="S166" s="194"/>
      <c r="T166" s="152"/>
      <c r="U166" s="152"/>
      <c r="V166" s="152"/>
      <c r="W166" s="197"/>
      <c r="X166" s="152"/>
      <c r="Y166" s="128"/>
      <c r="Z166" s="128"/>
    </row>
    <row r="167" spans="3:26" ht="24" x14ac:dyDescent="0.2">
      <c r="C167" s="89"/>
      <c r="D167" s="561">
        <v>45406</v>
      </c>
      <c r="E167" s="196">
        <v>3.5999999999999997E-2</v>
      </c>
      <c r="F167" s="196" t="s">
        <v>882</v>
      </c>
      <c r="G167" s="196">
        <v>4.1000000000000002E-2</v>
      </c>
      <c r="H167" s="187">
        <v>6.25E-2</v>
      </c>
      <c r="I167" s="1070"/>
      <c r="J167" s="1071"/>
      <c r="K167" s="1072"/>
      <c r="L167" s="559"/>
      <c r="M167" s="513"/>
      <c r="N167" s="168"/>
      <c r="O167" s="119" t="s">
        <v>813</v>
      </c>
      <c r="P167" s="198">
        <v>0.1</v>
      </c>
      <c r="Q167" s="153">
        <v>0.10253333333333335</v>
      </c>
      <c r="R167" s="154">
        <v>2.4E-2</v>
      </c>
      <c r="S167" s="198">
        <v>1</v>
      </c>
      <c r="T167" s="199">
        <v>0.17780000000000001</v>
      </c>
      <c r="U167" s="155">
        <v>-46.0137831325397</v>
      </c>
      <c r="V167" s="156">
        <v>91.8</v>
      </c>
      <c r="W167" s="200">
        <v>3</v>
      </c>
      <c r="X167" s="157">
        <v>138.04134939761911</v>
      </c>
      <c r="Y167" s="158"/>
      <c r="Z167" s="158"/>
    </row>
    <row r="168" spans="3:26" ht="24" x14ac:dyDescent="0.2">
      <c r="C168" s="89"/>
      <c r="D168" s="561">
        <v>45322</v>
      </c>
      <c r="E168" s="196">
        <v>4.1000000000000002E-2</v>
      </c>
      <c r="F168" s="196" t="s">
        <v>883</v>
      </c>
      <c r="G168" s="196">
        <v>5.3999999999999999E-2</v>
      </c>
      <c r="H168" s="187">
        <v>2.0833333333333336E-2</v>
      </c>
      <c r="I168" s="1070"/>
      <c r="J168" s="1071"/>
      <c r="K168" s="1072"/>
      <c r="L168" s="562"/>
      <c r="M168" s="513"/>
      <c r="N168" s="168"/>
      <c r="O168" s="119"/>
      <c r="P168" s="120"/>
      <c r="Q168" s="153"/>
      <c r="R168" s="154"/>
      <c r="S168" s="143"/>
      <c r="T168" s="120"/>
      <c r="U168" s="155"/>
      <c r="V168" s="156"/>
      <c r="W168" s="123"/>
      <c r="X168" s="157"/>
      <c r="Y168" s="158"/>
      <c r="Z168" s="158"/>
    </row>
    <row r="169" spans="3:26" ht="24" x14ac:dyDescent="0.2">
      <c r="C169" s="89"/>
      <c r="D169" s="561">
        <v>45224</v>
      </c>
      <c r="E169" s="196">
        <v>5.3999999999999999E-2</v>
      </c>
      <c r="F169" s="196" t="s">
        <v>884</v>
      </c>
      <c r="G169" s="196">
        <v>0.06</v>
      </c>
      <c r="H169" s="187">
        <v>2.0833333333333336E-2</v>
      </c>
      <c r="I169" s="1070"/>
      <c r="J169" s="1071"/>
      <c r="K169" s="1072"/>
      <c r="L169" s="559"/>
      <c r="M169" s="513"/>
      <c r="N169" s="168"/>
      <c r="O169" s="119"/>
      <c r="P169" s="120"/>
      <c r="Q169" s="153"/>
      <c r="R169" s="154"/>
      <c r="S169" s="123"/>
      <c r="T169" s="120"/>
      <c r="U169" s="155"/>
      <c r="V169" s="156"/>
      <c r="W169" s="123"/>
      <c r="X169" s="157"/>
      <c r="Y169" s="158"/>
      <c r="Z169" s="158"/>
    </row>
    <row r="170" spans="3:26" ht="24" x14ac:dyDescent="0.2">
      <c r="C170" s="89"/>
      <c r="D170" s="561">
        <v>45133</v>
      </c>
      <c r="E170" s="196">
        <v>0.06</v>
      </c>
      <c r="F170" s="196" t="s">
        <v>885</v>
      </c>
      <c r="G170" s="196">
        <v>7.0000000000000007E-2</v>
      </c>
      <c r="H170" s="187">
        <v>6.25E-2</v>
      </c>
      <c r="I170" s="1070"/>
      <c r="J170" s="1071"/>
      <c r="K170" s="1072"/>
      <c r="L170" s="559"/>
      <c r="M170" s="513"/>
      <c r="N170" s="168"/>
      <c r="O170" s="89"/>
      <c r="P170" s="89"/>
      <c r="Q170" s="89"/>
      <c r="R170" s="89"/>
      <c r="S170" s="89"/>
      <c r="T170" s="89"/>
      <c r="U170" s="89"/>
      <c r="V170" s="89"/>
      <c r="W170" s="89"/>
      <c r="X170" s="89"/>
      <c r="Y170" s="89"/>
      <c r="Z170" s="89"/>
    </row>
    <row r="171" spans="3:26" ht="24" x14ac:dyDescent="0.2">
      <c r="C171" s="89"/>
      <c r="D171" s="561">
        <v>45042</v>
      </c>
      <c r="E171" s="196">
        <v>7.0000000000000007E-2</v>
      </c>
      <c r="F171" s="196" t="s">
        <v>886</v>
      </c>
      <c r="G171" s="196">
        <v>7.8E-2</v>
      </c>
      <c r="H171" s="187">
        <v>6.25E-2</v>
      </c>
      <c r="I171" s="1073"/>
      <c r="J171" s="1074"/>
      <c r="K171" s="1075"/>
      <c r="L171" s="559"/>
      <c r="M171" s="513"/>
      <c r="N171" s="168"/>
      <c r="O171" s="89"/>
      <c r="P171" s="89"/>
      <c r="Q171" s="89"/>
      <c r="R171" s="89"/>
      <c r="S171" s="89"/>
      <c r="T171" s="89"/>
      <c r="U171" s="89"/>
      <c r="V171" s="89"/>
      <c r="W171" s="89"/>
      <c r="X171" s="89"/>
      <c r="Y171" s="89"/>
      <c r="Z171" s="89"/>
    </row>
    <row r="172" spans="3:26" ht="48" x14ac:dyDescent="0.2">
      <c r="C172" s="89" t="s">
        <v>105</v>
      </c>
      <c r="D172" s="557" t="s">
        <v>30</v>
      </c>
      <c r="E172" s="1088" t="s">
        <v>826</v>
      </c>
      <c r="F172" s="1088"/>
      <c r="G172" s="1088"/>
      <c r="H172" s="167" t="s">
        <v>790</v>
      </c>
      <c r="I172" s="1093" t="s">
        <v>633</v>
      </c>
      <c r="J172" s="1094"/>
      <c r="K172" s="1095"/>
      <c r="L172" s="558" t="s">
        <v>430</v>
      </c>
      <c r="M172" s="420" t="s">
        <v>431</v>
      </c>
      <c r="N172" s="168" t="s">
        <v>105</v>
      </c>
      <c r="O172" s="118" t="s">
        <v>800</v>
      </c>
      <c r="P172" s="118" t="s">
        <v>801</v>
      </c>
      <c r="Q172" s="118" t="s">
        <v>802</v>
      </c>
      <c r="R172" s="118" t="s">
        <v>803</v>
      </c>
      <c r="S172" s="118" t="s">
        <v>804</v>
      </c>
      <c r="T172" s="118" t="s">
        <v>805</v>
      </c>
      <c r="U172" s="118" t="s">
        <v>806</v>
      </c>
      <c r="V172" s="118" t="s">
        <v>807</v>
      </c>
      <c r="W172" s="118" t="s">
        <v>808</v>
      </c>
      <c r="X172" s="118" t="s">
        <v>809</v>
      </c>
      <c r="Y172" s="118" t="s">
        <v>75</v>
      </c>
      <c r="Z172" s="118" t="s">
        <v>75</v>
      </c>
    </row>
    <row r="173" spans="3:26" ht="24" x14ac:dyDescent="0.2">
      <c r="C173" s="89"/>
      <c r="D173" s="546" t="s">
        <v>432</v>
      </c>
      <c r="E173" s="1092"/>
      <c r="F173" s="1092"/>
      <c r="G173" s="1092"/>
      <c r="H173" s="170" t="s">
        <v>906</v>
      </c>
      <c r="I173" s="1067" t="s">
        <v>827</v>
      </c>
      <c r="J173" s="1068"/>
      <c r="K173" s="1069"/>
      <c r="L173" s="559"/>
      <c r="M173" s="513"/>
      <c r="N173" s="168"/>
      <c r="O173" s="119" t="s">
        <v>810</v>
      </c>
      <c r="P173" s="171">
        <v>0.1</v>
      </c>
      <c r="Q173" s="172">
        <v>2.1999999999999999E-2</v>
      </c>
      <c r="R173" s="173">
        <v>3.0000000000001137E-2</v>
      </c>
      <c r="S173" s="123"/>
      <c r="T173" s="119">
        <v>6.3000000000001138E-2</v>
      </c>
      <c r="U173" s="172">
        <v>-15.02</v>
      </c>
      <c r="V173" s="171">
        <v>99.37</v>
      </c>
      <c r="W173" s="171"/>
      <c r="X173" s="157"/>
      <c r="Y173" s="124"/>
      <c r="Z173" s="124"/>
    </row>
    <row r="174" spans="3:26" ht="24" x14ac:dyDescent="0.2">
      <c r="C174" s="89"/>
      <c r="D174" s="546" t="s">
        <v>433</v>
      </c>
      <c r="E174" s="1098">
        <v>0</v>
      </c>
      <c r="F174" s="1098"/>
      <c r="G174" s="1098"/>
      <c r="H174" s="170" t="s">
        <v>907</v>
      </c>
      <c r="I174" s="1070"/>
      <c r="J174" s="1071"/>
      <c r="K174" s="1072"/>
      <c r="L174" s="559"/>
      <c r="M174" s="513"/>
      <c r="N174" s="168"/>
      <c r="O174" s="125"/>
      <c r="P174" s="125"/>
      <c r="Q174" s="125"/>
      <c r="R174" s="126"/>
      <c r="S174" s="127"/>
      <c r="T174" s="125"/>
      <c r="U174" s="125"/>
      <c r="V174" s="125"/>
      <c r="W174" s="125"/>
      <c r="X174" s="127"/>
      <c r="Y174" s="128"/>
      <c r="Z174" s="128"/>
    </row>
    <row r="175" spans="3:26" ht="24" x14ac:dyDescent="0.2">
      <c r="C175" s="89"/>
      <c r="D175" s="546" t="s">
        <v>434</v>
      </c>
      <c r="E175" s="1098">
        <v>-1E-3</v>
      </c>
      <c r="F175" s="1098"/>
      <c r="G175" s="1098"/>
      <c r="H175" s="175"/>
      <c r="I175" s="1070"/>
      <c r="J175" s="1071"/>
      <c r="K175" s="1072"/>
      <c r="L175" s="559"/>
      <c r="M175" s="513"/>
      <c r="N175" s="168"/>
      <c r="O175" s="129" t="s">
        <v>811</v>
      </c>
      <c r="P175" s="176">
        <v>0.1</v>
      </c>
      <c r="Q175" s="177">
        <v>5.0599999999999999E-2</v>
      </c>
      <c r="R175" s="178">
        <v>3.0000000000001137E-2</v>
      </c>
      <c r="S175" s="190">
        <v>1</v>
      </c>
      <c r="T175" s="129">
        <v>0.10590000000000113</v>
      </c>
      <c r="U175" s="134">
        <v>-25.247904761904575</v>
      </c>
      <c r="V175" s="135">
        <v>99.37</v>
      </c>
      <c r="W175" s="191">
        <v>4.26</v>
      </c>
      <c r="X175" s="137">
        <v>107.55607428571348</v>
      </c>
      <c r="Y175" s="138"/>
      <c r="Z175" s="138">
        <v>4.4350000000000005</v>
      </c>
    </row>
    <row r="176" spans="3:26" ht="24" x14ac:dyDescent="0.2">
      <c r="C176" s="89"/>
      <c r="D176" s="546" t="s">
        <v>435</v>
      </c>
      <c r="E176" s="1099">
        <v>0.375</v>
      </c>
      <c r="F176" s="1099"/>
      <c r="G176" s="1099"/>
      <c r="H176" s="175"/>
      <c r="I176" s="1070"/>
      <c r="J176" s="1071"/>
      <c r="K176" s="1072"/>
      <c r="L176" s="560">
        <v>0.60416666666666663</v>
      </c>
      <c r="M176" s="514">
        <v>0.49999999999999994</v>
      </c>
      <c r="N176" s="168"/>
      <c r="O176" s="139" t="s">
        <v>812</v>
      </c>
      <c r="P176" s="180">
        <v>0.1</v>
      </c>
      <c r="Q176" s="160">
        <v>6.1533333333332579E-2</v>
      </c>
      <c r="R176" s="181">
        <v>3.0000000000001137E-2</v>
      </c>
      <c r="S176" s="192">
        <v>0.5</v>
      </c>
      <c r="T176" s="182">
        <v>0.12230000000000001</v>
      </c>
      <c r="U176" s="144">
        <v>-14.578936507936245</v>
      </c>
      <c r="V176" s="145">
        <v>99.37</v>
      </c>
      <c r="W176" s="193">
        <v>2.15</v>
      </c>
      <c r="X176" s="147">
        <v>31.344713492062926</v>
      </c>
      <c r="Y176" s="148"/>
      <c r="Z176" s="148"/>
    </row>
    <row r="177" spans="3:26" ht="24" x14ac:dyDescent="0.2">
      <c r="C177" s="89"/>
      <c r="D177" s="546" t="s">
        <v>436</v>
      </c>
      <c r="E177" s="184" t="s">
        <v>29</v>
      </c>
      <c r="F177" s="184" t="s">
        <v>28</v>
      </c>
      <c r="G177" s="184" t="s">
        <v>27</v>
      </c>
      <c r="H177" s="175" t="s">
        <v>793</v>
      </c>
      <c r="I177" s="1070"/>
      <c r="J177" s="1071"/>
      <c r="K177" s="1072"/>
      <c r="L177" s="563"/>
      <c r="M177" s="513"/>
      <c r="N177" s="168"/>
      <c r="O177" s="127"/>
      <c r="P177" s="149"/>
      <c r="Q177" s="127"/>
      <c r="R177" s="127"/>
      <c r="S177" s="194"/>
      <c r="T177" s="127"/>
      <c r="U177" s="150"/>
      <c r="V177" s="151"/>
      <c r="W177" s="195"/>
      <c r="X177" s="150"/>
      <c r="Y177" s="128"/>
      <c r="Z177" s="128"/>
    </row>
    <row r="178" spans="3:26" ht="24" x14ac:dyDescent="0.2">
      <c r="C178" s="89"/>
      <c r="D178" s="561">
        <v>45531</v>
      </c>
      <c r="E178" s="189">
        <v>-1E-3</v>
      </c>
      <c r="F178" s="189" t="s">
        <v>456</v>
      </c>
      <c r="G178" s="189">
        <v>2E-3</v>
      </c>
      <c r="H178" s="187">
        <v>0.24999999999999997</v>
      </c>
      <c r="I178" s="1070"/>
      <c r="J178" s="1071"/>
      <c r="K178" s="1072"/>
      <c r="L178" s="563">
        <v>8.3333333333333329E-2</v>
      </c>
      <c r="M178" s="513"/>
      <c r="N178" s="168"/>
      <c r="O178" s="152"/>
      <c r="P178" s="128"/>
      <c r="Q178" s="152"/>
      <c r="R178" s="152"/>
      <c r="S178" s="194"/>
      <c r="T178" s="152"/>
      <c r="U178" s="152"/>
      <c r="V178" s="152"/>
      <c r="W178" s="197"/>
      <c r="X178" s="152"/>
      <c r="Y178" s="128"/>
      <c r="Z178" s="128"/>
    </row>
    <row r="179" spans="3:26" ht="24" x14ac:dyDescent="0.2">
      <c r="C179" s="89"/>
      <c r="D179" s="561">
        <v>45503</v>
      </c>
      <c r="E179" s="189">
        <v>-1E-3</v>
      </c>
      <c r="F179" s="189" t="s">
        <v>462</v>
      </c>
      <c r="G179" s="189">
        <v>2E-3</v>
      </c>
      <c r="H179" s="187">
        <v>0.33333333333333337</v>
      </c>
      <c r="I179" s="1070"/>
      <c r="J179" s="1071"/>
      <c r="K179" s="1072"/>
      <c r="L179" s="563">
        <v>0.16666666666666666</v>
      </c>
      <c r="M179" s="513"/>
      <c r="N179" s="168"/>
      <c r="O179" s="119" t="s">
        <v>813</v>
      </c>
      <c r="P179" s="198">
        <v>0.1</v>
      </c>
      <c r="Q179" s="153">
        <v>6.1533333333332579E-2</v>
      </c>
      <c r="R179" s="154">
        <v>3.0000000000001137E-2</v>
      </c>
      <c r="S179" s="198">
        <v>1</v>
      </c>
      <c r="T179" s="199">
        <v>0.12230000000000001</v>
      </c>
      <c r="U179" s="155">
        <v>-29.157873015872489</v>
      </c>
      <c r="V179" s="156">
        <v>99.37</v>
      </c>
      <c r="W179" s="200">
        <v>2.15</v>
      </c>
      <c r="X179" s="157">
        <v>62.689426984125852</v>
      </c>
      <c r="Y179" s="158"/>
      <c r="Z179" s="158"/>
    </row>
    <row r="180" spans="3:26" ht="24" x14ac:dyDescent="0.2">
      <c r="C180" s="89"/>
      <c r="D180" s="561">
        <v>45436</v>
      </c>
      <c r="E180" s="189">
        <v>2E-3</v>
      </c>
      <c r="F180" s="189" t="s">
        <v>460</v>
      </c>
      <c r="G180" s="189">
        <v>-3.0000000000000001E-3</v>
      </c>
      <c r="H180" s="187">
        <v>0.24999999999999997</v>
      </c>
      <c r="I180" s="1070"/>
      <c r="J180" s="1071"/>
      <c r="K180" s="1072"/>
      <c r="L180" s="563">
        <v>8.3333333333333329E-2</v>
      </c>
      <c r="M180" s="513"/>
      <c r="N180" s="168"/>
      <c r="O180" s="119"/>
      <c r="P180" s="120"/>
      <c r="Q180" s="153"/>
      <c r="R180" s="154"/>
      <c r="S180" s="123"/>
      <c r="T180" s="120"/>
      <c r="U180" s="155"/>
      <c r="V180" s="156"/>
      <c r="W180" s="123"/>
      <c r="X180" s="157"/>
      <c r="Y180" s="158"/>
      <c r="Z180" s="158"/>
    </row>
    <row r="181" spans="3:26" ht="24" x14ac:dyDescent="0.2">
      <c r="C181" s="89"/>
      <c r="D181" s="561">
        <v>45412</v>
      </c>
      <c r="E181" s="189">
        <v>2E-3</v>
      </c>
      <c r="F181" s="189" t="s">
        <v>462</v>
      </c>
      <c r="G181" s="189">
        <v>-5.0000000000000001E-3</v>
      </c>
      <c r="H181" s="187">
        <v>0.33333333333333337</v>
      </c>
      <c r="I181" s="1070"/>
      <c r="J181" s="1071"/>
      <c r="K181" s="1072"/>
      <c r="L181" s="563">
        <v>0.16666666666666666</v>
      </c>
      <c r="M181" s="513"/>
      <c r="N181" s="168"/>
      <c r="O181" s="119" t="s">
        <v>816</v>
      </c>
      <c r="P181" s="120"/>
      <c r="Q181" s="153"/>
      <c r="R181" s="154"/>
      <c r="S181" s="123"/>
      <c r="T181" s="120"/>
      <c r="U181" s="155">
        <v>0</v>
      </c>
      <c r="V181" s="156"/>
      <c r="W181" s="123"/>
      <c r="X181" s="157">
        <v>0</v>
      </c>
      <c r="Y181" s="158"/>
      <c r="Z181" s="158"/>
    </row>
    <row r="182" spans="3:26" ht="24" x14ac:dyDescent="0.2">
      <c r="C182" s="89"/>
      <c r="D182" s="561">
        <v>45345</v>
      </c>
      <c r="E182" s="189">
        <v>-3.0000000000000001E-3</v>
      </c>
      <c r="F182" s="189" t="s">
        <v>454</v>
      </c>
      <c r="G182" s="189">
        <v>-1E-3</v>
      </c>
      <c r="H182" s="187">
        <v>0.29166666666666663</v>
      </c>
      <c r="I182" s="1070"/>
      <c r="J182" s="1071"/>
      <c r="K182" s="1072"/>
      <c r="L182" s="563">
        <v>0.125</v>
      </c>
      <c r="M182" s="513"/>
      <c r="N182" s="168"/>
      <c r="O182" s="89"/>
      <c r="P182" s="89"/>
      <c r="Q182" s="89"/>
      <c r="R182" s="89"/>
      <c r="S182" s="89"/>
      <c r="T182" s="89"/>
      <c r="U182" s="89"/>
      <c r="V182" s="89"/>
      <c r="W182" s="89"/>
      <c r="X182" s="89"/>
      <c r="Y182" s="89"/>
      <c r="Z182" s="89"/>
    </row>
    <row r="183" spans="3:26" ht="24" x14ac:dyDescent="0.2">
      <c r="C183" s="89"/>
      <c r="D183" s="561">
        <v>45321</v>
      </c>
      <c r="E183" s="189">
        <v>-3.0000000000000001E-3</v>
      </c>
      <c r="F183" s="189" t="s">
        <v>454</v>
      </c>
      <c r="G183" s="189">
        <v>-1E-3</v>
      </c>
      <c r="H183" s="187">
        <v>0.375</v>
      </c>
      <c r="I183" s="1073"/>
      <c r="J183" s="1074"/>
      <c r="K183" s="1075"/>
      <c r="L183" s="563">
        <v>0.20833333333333334</v>
      </c>
      <c r="M183" s="513"/>
      <c r="N183" s="168"/>
      <c r="O183" s="89"/>
      <c r="P183" s="89"/>
      <c r="Q183" s="89"/>
      <c r="R183" s="89"/>
      <c r="S183" s="89"/>
      <c r="T183" s="89"/>
      <c r="U183" s="89"/>
      <c r="V183" s="89"/>
      <c r="W183" s="89"/>
      <c r="X183" s="89"/>
      <c r="Y183" s="89"/>
      <c r="Z183" s="89"/>
    </row>
    <row r="184" spans="3:26" ht="48" x14ac:dyDescent="0.2">
      <c r="C184" s="89" t="s">
        <v>105</v>
      </c>
      <c r="D184" s="557" t="s">
        <v>30</v>
      </c>
      <c r="E184" s="1088" t="s">
        <v>828</v>
      </c>
      <c r="F184" s="1088"/>
      <c r="G184" s="1088"/>
      <c r="H184" s="167" t="s">
        <v>790</v>
      </c>
      <c r="I184" s="1093" t="s">
        <v>633</v>
      </c>
      <c r="J184" s="1094"/>
      <c r="K184" s="1095"/>
      <c r="L184" s="558" t="s">
        <v>430</v>
      </c>
      <c r="M184" s="420" t="s">
        <v>431</v>
      </c>
      <c r="N184" s="168" t="s">
        <v>105</v>
      </c>
      <c r="O184" s="118" t="s">
        <v>800</v>
      </c>
      <c r="P184" s="118" t="s">
        <v>801</v>
      </c>
      <c r="Q184" s="118" t="s">
        <v>802</v>
      </c>
      <c r="R184" s="118" t="s">
        <v>803</v>
      </c>
      <c r="S184" s="118" t="s">
        <v>804</v>
      </c>
      <c r="T184" s="118" t="s">
        <v>805</v>
      </c>
      <c r="U184" s="118" t="s">
        <v>806</v>
      </c>
      <c r="V184" s="118" t="s">
        <v>807</v>
      </c>
      <c r="W184" s="118" t="s">
        <v>808</v>
      </c>
      <c r="X184" s="118" t="s">
        <v>809</v>
      </c>
      <c r="Y184" s="118" t="s">
        <v>75</v>
      </c>
      <c r="Z184" s="118" t="s">
        <v>75</v>
      </c>
    </row>
    <row r="185" spans="3:26" ht="24" x14ac:dyDescent="0.2">
      <c r="C185" s="89"/>
      <c r="D185" s="546" t="s">
        <v>432</v>
      </c>
      <c r="E185" s="1092"/>
      <c r="F185" s="1092"/>
      <c r="G185" s="1092"/>
      <c r="H185" s="170" t="s">
        <v>906</v>
      </c>
      <c r="I185" s="1067" t="s">
        <v>829</v>
      </c>
      <c r="J185" s="1068"/>
      <c r="K185" s="1069"/>
      <c r="L185" s="559"/>
      <c r="M185" s="513"/>
      <c r="N185" s="168"/>
      <c r="O185" s="119" t="s">
        <v>810</v>
      </c>
      <c r="P185" s="171">
        <v>0.1</v>
      </c>
      <c r="Q185" s="172">
        <v>2.1999999999999999E-2</v>
      </c>
      <c r="R185" s="173">
        <v>3.0000000000001137E-2</v>
      </c>
      <c r="S185" s="123"/>
      <c r="T185" s="119">
        <v>6.3000000000001138E-2</v>
      </c>
      <c r="U185" s="172">
        <v>-15.02</v>
      </c>
      <c r="V185" s="171">
        <v>99.37</v>
      </c>
      <c r="W185" s="171"/>
      <c r="X185" s="157"/>
      <c r="Y185" s="124"/>
      <c r="Z185" s="124"/>
    </row>
    <row r="186" spans="3:26" ht="24" x14ac:dyDescent="0.2">
      <c r="C186" s="89"/>
      <c r="D186" s="546" t="s">
        <v>433</v>
      </c>
      <c r="E186" s="1098">
        <v>8.0000000000000002E-3</v>
      </c>
      <c r="F186" s="1098"/>
      <c r="G186" s="1098"/>
      <c r="H186" s="170" t="s">
        <v>907</v>
      </c>
      <c r="I186" s="1070"/>
      <c r="J186" s="1071"/>
      <c r="K186" s="1072"/>
      <c r="L186" s="559"/>
      <c r="M186" s="513"/>
      <c r="N186" s="168"/>
      <c r="O186" s="125"/>
      <c r="P186" s="125"/>
      <c r="Q186" s="125"/>
      <c r="R186" s="126"/>
      <c r="S186" s="127"/>
      <c r="T186" s="125"/>
      <c r="U186" s="125"/>
      <c r="V186" s="125"/>
      <c r="W186" s="125"/>
      <c r="X186" s="127"/>
      <c r="Y186" s="128"/>
      <c r="Z186" s="128"/>
    </row>
    <row r="187" spans="3:26" ht="24" x14ac:dyDescent="0.2">
      <c r="C187" s="89"/>
      <c r="D187" s="546" t="s">
        <v>434</v>
      </c>
      <c r="E187" s="1098">
        <v>6.0000000000000001E-3</v>
      </c>
      <c r="F187" s="1098"/>
      <c r="G187" s="1098"/>
      <c r="H187" s="175"/>
      <c r="I187" s="1070"/>
      <c r="J187" s="1071"/>
      <c r="K187" s="1072"/>
      <c r="L187" s="559"/>
      <c r="M187" s="513"/>
      <c r="N187" s="168"/>
      <c r="O187" s="129" t="s">
        <v>811</v>
      </c>
      <c r="P187" s="176">
        <v>0.1</v>
      </c>
      <c r="Q187" s="177">
        <v>6.4100000000000004E-2</v>
      </c>
      <c r="R187" s="178">
        <v>3.0000000000001137E-2</v>
      </c>
      <c r="S187" s="190">
        <v>1</v>
      </c>
      <c r="T187" s="129">
        <v>0.12615000000000115</v>
      </c>
      <c r="U187" s="134">
        <v>-30.075761904761638</v>
      </c>
      <c r="V187" s="135">
        <v>91.8</v>
      </c>
      <c r="W187" s="191">
        <v>2.39</v>
      </c>
      <c r="X187" s="137">
        <v>71.881070952380313</v>
      </c>
      <c r="Y187" s="138"/>
      <c r="Z187" s="138"/>
    </row>
    <row r="188" spans="3:26" ht="24" x14ac:dyDescent="0.2">
      <c r="C188" s="89"/>
      <c r="D188" s="546" t="s">
        <v>435</v>
      </c>
      <c r="E188" s="1099">
        <v>0.41666666666666674</v>
      </c>
      <c r="F188" s="1099"/>
      <c r="G188" s="1099"/>
      <c r="H188" s="175"/>
      <c r="I188" s="1070"/>
      <c r="J188" s="1071"/>
      <c r="K188" s="1072"/>
      <c r="L188" s="560">
        <v>0.64583333333333337</v>
      </c>
      <c r="M188" s="514">
        <v>0.54166666666666674</v>
      </c>
      <c r="N188" s="168"/>
      <c r="O188" s="139" t="s">
        <v>812</v>
      </c>
      <c r="P188" s="180">
        <v>0.1</v>
      </c>
      <c r="Q188" s="160">
        <v>7.6066666666665908E-2</v>
      </c>
      <c r="R188" s="181">
        <v>3.0000000000001137E-2</v>
      </c>
      <c r="S188" s="192">
        <v>1</v>
      </c>
      <c r="T188" s="182">
        <v>0.14410000000000001</v>
      </c>
      <c r="U188" s="144">
        <v>-34.355269841269219</v>
      </c>
      <c r="V188" s="145">
        <v>91.8</v>
      </c>
      <c r="W188" s="193">
        <v>2.08</v>
      </c>
      <c r="X188" s="147">
        <v>71.458961269839975</v>
      </c>
      <c r="Y188" s="148"/>
      <c r="Z188" s="148"/>
    </row>
    <row r="189" spans="3:26" ht="24" x14ac:dyDescent="0.2">
      <c r="C189" s="89"/>
      <c r="D189" s="546" t="s">
        <v>436</v>
      </c>
      <c r="E189" s="184" t="s">
        <v>29</v>
      </c>
      <c r="F189" s="184" t="s">
        <v>28</v>
      </c>
      <c r="G189" s="184" t="s">
        <v>27</v>
      </c>
      <c r="H189" s="175" t="s">
        <v>793</v>
      </c>
      <c r="I189" s="1070"/>
      <c r="J189" s="1071"/>
      <c r="K189" s="1072"/>
      <c r="L189" s="559"/>
      <c r="M189" s="513"/>
      <c r="N189" s="168"/>
      <c r="O189" s="127"/>
      <c r="P189" s="149"/>
      <c r="Q189" s="127"/>
      <c r="R189" s="127"/>
      <c r="S189" s="194"/>
      <c r="T189" s="127"/>
      <c r="U189" s="150"/>
      <c r="V189" s="151"/>
      <c r="W189" s="195"/>
      <c r="X189" s="150"/>
      <c r="Y189" s="128"/>
      <c r="Z189" s="128"/>
    </row>
    <row r="190" spans="3:26" ht="24" x14ac:dyDescent="0.2">
      <c r="C190" s="89"/>
      <c r="D190" s="561">
        <v>45541</v>
      </c>
      <c r="E190" s="196">
        <v>6.0000000000000001E-3</v>
      </c>
      <c r="F190" s="196" t="s">
        <v>449</v>
      </c>
      <c r="G190" s="196">
        <v>4.0000000000000001E-3</v>
      </c>
      <c r="H190" s="187">
        <v>0.375</v>
      </c>
      <c r="I190" s="1070"/>
      <c r="J190" s="1071"/>
      <c r="K190" s="1072"/>
      <c r="L190" s="563">
        <v>0.20833333333333334</v>
      </c>
      <c r="M190" s="513"/>
      <c r="N190" s="168"/>
      <c r="O190" s="152"/>
      <c r="P190" s="128"/>
      <c r="Q190" s="152"/>
      <c r="R190" s="152"/>
      <c r="S190" s="194"/>
      <c r="T190" s="152"/>
      <c r="U190" s="152"/>
      <c r="V190" s="152"/>
      <c r="W190" s="197"/>
      <c r="X190" s="152"/>
      <c r="Y190" s="128"/>
      <c r="Z190" s="128"/>
    </row>
    <row r="191" spans="3:26" ht="24" x14ac:dyDescent="0.2">
      <c r="C191" s="89"/>
      <c r="D191" s="561">
        <v>45518</v>
      </c>
      <c r="E191" s="196">
        <v>6.0000000000000001E-3</v>
      </c>
      <c r="F191" s="196" t="s">
        <v>449</v>
      </c>
      <c r="G191" s="196">
        <v>4.0000000000000001E-3</v>
      </c>
      <c r="H191" s="187">
        <v>0.375</v>
      </c>
      <c r="I191" s="1070"/>
      <c r="J191" s="1071"/>
      <c r="K191" s="1072"/>
      <c r="L191" s="563">
        <v>0.20833333333333334</v>
      </c>
      <c r="M191" s="513"/>
      <c r="N191" s="168"/>
      <c r="O191" s="119" t="s">
        <v>813</v>
      </c>
      <c r="P191" s="198">
        <v>0.1</v>
      </c>
      <c r="Q191" s="153">
        <v>7.6066666666665908E-2</v>
      </c>
      <c r="R191" s="154">
        <v>3.0000000000001137E-2</v>
      </c>
      <c r="S191" s="198">
        <v>1</v>
      </c>
      <c r="T191" s="199">
        <v>0.14410000000000001</v>
      </c>
      <c r="U191" s="155">
        <v>-34.355269841269219</v>
      </c>
      <c r="V191" s="156">
        <v>91.8</v>
      </c>
      <c r="W191" s="200">
        <v>2.08</v>
      </c>
      <c r="X191" s="157">
        <v>71.458961269839975</v>
      </c>
      <c r="Y191" s="158"/>
      <c r="Z191" s="158"/>
    </row>
    <row r="192" spans="3:26" ht="24" x14ac:dyDescent="0.2">
      <c r="C192" s="89"/>
      <c r="D192" s="561">
        <v>45503</v>
      </c>
      <c r="E192" s="196">
        <v>6.0000000000000001E-3</v>
      </c>
      <c r="F192" s="196" t="s">
        <v>449</v>
      </c>
      <c r="G192" s="196">
        <v>4.0000000000000001E-3</v>
      </c>
      <c r="H192" s="187">
        <v>0.375</v>
      </c>
      <c r="I192" s="1070"/>
      <c r="J192" s="1071"/>
      <c r="K192" s="1072"/>
      <c r="L192" s="563">
        <v>0.20833333333333334</v>
      </c>
      <c r="M192" s="513"/>
      <c r="N192" s="168"/>
      <c r="O192" s="119"/>
      <c r="P192" s="120"/>
      <c r="Q192" s="153"/>
      <c r="R192" s="154"/>
      <c r="S192" s="123"/>
      <c r="T192" s="120"/>
      <c r="U192" s="155"/>
      <c r="V192" s="156"/>
      <c r="W192" s="123"/>
      <c r="X192" s="157"/>
      <c r="Y192" s="158"/>
      <c r="Z192" s="158"/>
    </row>
    <row r="193" spans="3:26" ht="24" x14ac:dyDescent="0.2">
      <c r="C193" s="89"/>
      <c r="D193" s="561">
        <v>45450</v>
      </c>
      <c r="E193" s="196">
        <v>4.0000000000000001E-3</v>
      </c>
      <c r="F193" s="196" t="s">
        <v>452</v>
      </c>
      <c r="G193" s="196">
        <v>2E-3</v>
      </c>
      <c r="H193" s="187">
        <v>0.375</v>
      </c>
      <c r="I193" s="1070"/>
      <c r="J193" s="1071"/>
      <c r="K193" s="1072"/>
      <c r="L193" s="563">
        <v>0.20833333333333334</v>
      </c>
      <c r="M193" s="513"/>
      <c r="N193" s="168"/>
      <c r="O193" s="119"/>
      <c r="P193" s="120"/>
      <c r="Q193" s="153"/>
      <c r="R193" s="154"/>
      <c r="S193" s="123"/>
      <c r="T193" s="120"/>
      <c r="U193" s="155"/>
      <c r="V193" s="156"/>
      <c r="W193" s="123"/>
      <c r="X193" s="157"/>
      <c r="Y193" s="158"/>
      <c r="Z193" s="158"/>
    </row>
    <row r="194" spans="3:26" ht="24" x14ac:dyDescent="0.2">
      <c r="C194" s="89"/>
      <c r="D194" s="561">
        <v>45427</v>
      </c>
      <c r="E194" s="196">
        <v>4.0000000000000001E-3</v>
      </c>
      <c r="F194" s="196" t="s">
        <v>452</v>
      </c>
      <c r="G194" s="196">
        <v>1E-3</v>
      </c>
      <c r="H194" s="187">
        <v>0.375</v>
      </c>
      <c r="I194" s="1070"/>
      <c r="J194" s="1071"/>
      <c r="K194" s="1072"/>
      <c r="L194" s="563">
        <v>0.20833333333333334</v>
      </c>
      <c r="M194" s="513"/>
      <c r="N194" s="168"/>
      <c r="O194" s="89"/>
      <c r="P194" s="89"/>
      <c r="Q194" s="89"/>
      <c r="R194" s="89"/>
      <c r="S194" s="89"/>
      <c r="T194" s="89"/>
      <c r="U194" s="89"/>
      <c r="V194" s="89"/>
      <c r="W194" s="89"/>
      <c r="X194" s="89"/>
      <c r="Y194" s="89"/>
      <c r="Z194" s="89"/>
    </row>
    <row r="195" spans="3:26" ht="24" x14ac:dyDescent="0.2">
      <c r="C195" s="89"/>
      <c r="D195" s="561">
        <v>45412</v>
      </c>
      <c r="E195" s="196">
        <v>4.0000000000000001E-3</v>
      </c>
      <c r="F195" s="196" t="s">
        <v>460</v>
      </c>
      <c r="G195" s="196">
        <v>1E-3</v>
      </c>
      <c r="H195" s="187">
        <v>0.375</v>
      </c>
      <c r="I195" s="1073"/>
      <c r="J195" s="1074"/>
      <c r="K195" s="1075"/>
      <c r="L195" s="563">
        <v>0.20833333333333334</v>
      </c>
      <c r="M195" s="513"/>
      <c r="N195" s="168"/>
      <c r="O195" s="89"/>
      <c r="P195" s="89"/>
      <c r="Q195" s="89"/>
      <c r="R195" s="89"/>
      <c r="S195" s="89"/>
      <c r="T195" s="89"/>
      <c r="U195" s="89"/>
      <c r="V195" s="89"/>
      <c r="W195" s="89"/>
      <c r="X195" s="89"/>
      <c r="Y195" s="89"/>
      <c r="Z195" s="89"/>
    </row>
    <row r="196" spans="3:26" ht="48" x14ac:dyDescent="0.2">
      <c r="C196" s="89" t="s">
        <v>105</v>
      </c>
      <c r="D196" s="557" t="s">
        <v>30</v>
      </c>
      <c r="E196" s="1088" t="s">
        <v>830</v>
      </c>
      <c r="F196" s="1088"/>
      <c r="G196" s="1088"/>
      <c r="H196" s="167" t="s">
        <v>790</v>
      </c>
      <c r="I196" s="1093" t="s">
        <v>633</v>
      </c>
      <c r="J196" s="1094"/>
      <c r="K196" s="1095"/>
      <c r="L196" s="558" t="s">
        <v>430</v>
      </c>
      <c r="M196" s="420" t="s">
        <v>431</v>
      </c>
      <c r="N196" s="168" t="s">
        <v>105</v>
      </c>
      <c r="O196" s="118" t="s">
        <v>800</v>
      </c>
      <c r="P196" s="118" t="s">
        <v>801</v>
      </c>
      <c r="Q196" s="118" t="s">
        <v>802</v>
      </c>
      <c r="R196" s="118" t="s">
        <v>803</v>
      </c>
      <c r="S196" s="118" t="s">
        <v>804</v>
      </c>
      <c r="T196" s="118" t="s">
        <v>805</v>
      </c>
      <c r="U196" s="118" t="s">
        <v>806</v>
      </c>
      <c r="V196" s="118" t="s">
        <v>807</v>
      </c>
      <c r="W196" s="118" t="s">
        <v>808</v>
      </c>
      <c r="X196" s="118" t="s">
        <v>809</v>
      </c>
      <c r="Y196" s="118" t="s">
        <v>75</v>
      </c>
      <c r="Z196" s="118" t="s">
        <v>75</v>
      </c>
    </row>
    <row r="197" spans="3:26" ht="24" x14ac:dyDescent="0.2">
      <c r="C197" s="89"/>
      <c r="D197" s="546" t="s">
        <v>432</v>
      </c>
      <c r="E197" s="1092"/>
      <c r="F197" s="1092"/>
      <c r="G197" s="1092"/>
      <c r="H197" s="170" t="s">
        <v>908</v>
      </c>
      <c r="I197" s="1067" t="s">
        <v>831</v>
      </c>
      <c r="J197" s="1068"/>
      <c r="K197" s="1069"/>
      <c r="L197" s="559"/>
      <c r="M197" s="513"/>
      <c r="N197" s="168"/>
      <c r="O197" s="119" t="s">
        <v>810</v>
      </c>
      <c r="P197" s="171">
        <v>0.1</v>
      </c>
      <c r="Q197" s="172">
        <v>3.5999999999999997E-2</v>
      </c>
      <c r="R197" s="173">
        <v>2.6999999999986812E-2</v>
      </c>
      <c r="S197" s="123"/>
      <c r="T197" s="119">
        <v>8.0999999999986805E-2</v>
      </c>
      <c r="U197" s="172">
        <v>-22.8</v>
      </c>
      <c r="V197" s="171">
        <v>119.47</v>
      </c>
      <c r="W197" s="171"/>
      <c r="X197" s="157"/>
      <c r="Y197" s="124"/>
      <c r="Z197" s="124"/>
    </row>
    <row r="198" spans="3:26" ht="24" x14ac:dyDescent="0.2">
      <c r="C198" s="89"/>
      <c r="D198" s="546" t="s">
        <v>433</v>
      </c>
      <c r="E198" s="1096">
        <v>0</v>
      </c>
      <c r="F198" s="1096"/>
      <c r="G198" s="1096"/>
      <c r="H198" s="170" t="s">
        <v>908</v>
      </c>
      <c r="I198" s="1070"/>
      <c r="J198" s="1071"/>
      <c r="K198" s="1072"/>
      <c r="L198" s="559"/>
      <c r="M198" s="513"/>
      <c r="N198" s="168"/>
      <c r="O198" s="125"/>
      <c r="P198" s="125"/>
      <c r="Q198" s="125"/>
      <c r="R198" s="126"/>
      <c r="S198" s="127"/>
      <c r="T198" s="125"/>
      <c r="U198" s="125"/>
      <c r="V198" s="125"/>
      <c r="W198" s="125"/>
      <c r="X198" s="127"/>
      <c r="Y198" s="128"/>
      <c r="Z198" s="128"/>
    </row>
    <row r="199" spans="3:26" ht="24" x14ac:dyDescent="0.2">
      <c r="C199" s="89"/>
      <c r="D199" s="546" t="s">
        <v>434</v>
      </c>
      <c r="E199" s="1096">
        <v>0</v>
      </c>
      <c r="F199" s="1096"/>
      <c r="G199" s="1096"/>
      <c r="H199" s="175"/>
      <c r="I199" s="1070"/>
      <c r="J199" s="1071"/>
      <c r="K199" s="1072"/>
      <c r="L199" s="559"/>
      <c r="M199" s="513"/>
      <c r="N199" s="168"/>
      <c r="O199" s="129" t="s">
        <v>811</v>
      </c>
      <c r="P199" s="176">
        <v>0.1</v>
      </c>
      <c r="Q199" s="177">
        <v>6.4799999999999996E-2</v>
      </c>
      <c r="R199" s="178">
        <v>2.8000000000000001E-2</v>
      </c>
      <c r="S199" s="190">
        <v>1</v>
      </c>
      <c r="T199" s="129">
        <v>0.12520000000000001</v>
      </c>
      <c r="U199" s="134">
        <v>-35.241481481487227</v>
      </c>
      <c r="V199" s="135">
        <v>91.8</v>
      </c>
      <c r="W199" s="191">
        <v>4.17</v>
      </c>
      <c r="X199" s="137">
        <v>146.95697777780174</v>
      </c>
      <c r="Y199" s="138"/>
      <c r="Z199" s="138"/>
    </row>
    <row r="200" spans="3:26" ht="24" x14ac:dyDescent="0.2">
      <c r="C200" s="89"/>
      <c r="D200" s="546" t="s">
        <v>435</v>
      </c>
      <c r="E200" s="1097">
        <v>0.54166666666666674</v>
      </c>
      <c r="F200" s="1097"/>
      <c r="G200" s="1097"/>
      <c r="H200" s="175"/>
      <c r="I200" s="1070"/>
      <c r="J200" s="1071"/>
      <c r="K200" s="1072"/>
      <c r="L200" s="560">
        <v>0.64583333333333337</v>
      </c>
      <c r="M200" s="514">
        <v>0.54166666666666674</v>
      </c>
      <c r="N200" s="168"/>
      <c r="O200" s="139" t="s">
        <v>812</v>
      </c>
      <c r="P200" s="180">
        <v>0.05</v>
      </c>
      <c r="Q200" s="160">
        <v>7.1466666666666664E-2</v>
      </c>
      <c r="R200" s="181">
        <v>2.8000000000000001E-2</v>
      </c>
      <c r="S200" s="192">
        <v>1</v>
      </c>
      <c r="T200" s="182">
        <v>0.13519999999999999</v>
      </c>
      <c r="U200" s="144">
        <v>-19.028148148151246</v>
      </c>
      <c r="V200" s="145">
        <v>45.9</v>
      </c>
      <c r="W200" s="193">
        <v>4.7300000000000004</v>
      </c>
      <c r="X200" s="147">
        <v>90.003140740755398</v>
      </c>
      <c r="Y200" s="148"/>
      <c r="Z200" s="148"/>
    </row>
    <row r="201" spans="3:26" ht="24" x14ac:dyDescent="0.2">
      <c r="C201" s="89"/>
      <c r="D201" s="546" t="s">
        <v>436</v>
      </c>
      <c r="E201" s="184" t="s">
        <v>29</v>
      </c>
      <c r="F201" s="184" t="s">
        <v>28</v>
      </c>
      <c r="G201" s="184" t="s">
        <v>27</v>
      </c>
      <c r="H201" s="175" t="s">
        <v>793</v>
      </c>
      <c r="I201" s="1070"/>
      <c r="J201" s="1071"/>
      <c r="K201" s="1072"/>
      <c r="L201" s="559"/>
      <c r="M201" s="513"/>
      <c r="N201" s="168"/>
      <c r="O201" s="127"/>
      <c r="P201" s="149"/>
      <c r="Q201" s="127"/>
      <c r="R201" s="127"/>
      <c r="S201" s="194"/>
      <c r="T201" s="127"/>
      <c r="U201" s="150"/>
      <c r="V201" s="151"/>
      <c r="W201" s="195"/>
      <c r="X201" s="150"/>
      <c r="Y201" s="128"/>
      <c r="Z201" s="128"/>
    </row>
    <row r="202" spans="3:26" ht="24" x14ac:dyDescent="0.2">
      <c r="C202" s="89"/>
      <c r="D202" s="561">
        <v>45252</v>
      </c>
      <c r="E202" s="186">
        <v>0</v>
      </c>
      <c r="F202" s="186" t="s">
        <v>754</v>
      </c>
      <c r="G202" s="186">
        <v>0</v>
      </c>
      <c r="H202" s="187">
        <v>0.54166666666666674</v>
      </c>
      <c r="I202" s="1070"/>
      <c r="J202" s="1071"/>
      <c r="K202" s="1072"/>
      <c r="L202" s="559"/>
      <c r="M202" s="513"/>
      <c r="N202" s="168"/>
      <c r="O202" s="152"/>
      <c r="P202" s="128"/>
      <c r="Q202" s="152"/>
      <c r="R202" s="152"/>
      <c r="S202" s="194"/>
      <c r="T202" s="152"/>
      <c r="U202" s="152"/>
      <c r="V202" s="152"/>
      <c r="W202" s="197"/>
      <c r="X202" s="152"/>
      <c r="Y202" s="128"/>
      <c r="Z202" s="128"/>
    </row>
    <row r="203" spans="3:26" ht="24" x14ac:dyDescent="0.2">
      <c r="C203" s="89"/>
      <c r="D203" s="561">
        <v>44882</v>
      </c>
      <c r="E203" s="186">
        <v>0</v>
      </c>
      <c r="F203" s="186" t="s">
        <v>754</v>
      </c>
      <c r="G203" s="186">
        <v>0</v>
      </c>
      <c r="H203" s="187">
        <v>0.54166666666666674</v>
      </c>
      <c r="I203" s="1070"/>
      <c r="J203" s="1071"/>
      <c r="K203" s="1072"/>
      <c r="L203" s="559"/>
      <c r="M203" s="513"/>
      <c r="N203" s="168"/>
      <c r="O203" s="119" t="s">
        <v>813</v>
      </c>
      <c r="P203" s="198">
        <v>0.05</v>
      </c>
      <c r="Q203" s="153">
        <v>7.1466666666666664E-2</v>
      </c>
      <c r="R203" s="154">
        <v>2.8000000000000001E-2</v>
      </c>
      <c r="S203" s="198">
        <v>1</v>
      </c>
      <c r="T203" s="199">
        <v>0.13519999999999999</v>
      </c>
      <c r="U203" s="155">
        <v>-19.028148148151246</v>
      </c>
      <c r="V203" s="156">
        <v>45.9</v>
      </c>
      <c r="W203" s="200">
        <v>2</v>
      </c>
      <c r="X203" s="157">
        <v>38.056296296302492</v>
      </c>
      <c r="Y203" s="158"/>
      <c r="Z203" s="158" t="s">
        <v>814</v>
      </c>
    </row>
    <row r="204" spans="3:26" ht="24" x14ac:dyDescent="0.2">
      <c r="C204" s="89"/>
      <c r="D204" s="561">
        <v>44496</v>
      </c>
      <c r="E204" s="186">
        <v>0</v>
      </c>
      <c r="F204" s="186" t="s">
        <v>754</v>
      </c>
      <c r="G204" s="186">
        <v>0</v>
      </c>
      <c r="H204" s="187">
        <v>0.54166666666666674</v>
      </c>
      <c r="I204" s="1070"/>
      <c r="J204" s="1071"/>
      <c r="K204" s="1072"/>
      <c r="L204" s="562"/>
      <c r="M204" s="513"/>
      <c r="N204" s="168"/>
      <c r="O204" s="119"/>
      <c r="P204" s="120"/>
      <c r="Q204" s="153"/>
      <c r="R204" s="154"/>
      <c r="S204" s="123"/>
      <c r="T204" s="120"/>
      <c r="U204" s="155"/>
      <c r="V204" s="156"/>
      <c r="W204" s="123"/>
      <c r="X204" s="157"/>
      <c r="Y204" s="158"/>
      <c r="Z204" s="158"/>
    </row>
    <row r="205" spans="3:26" ht="24" x14ac:dyDescent="0.2">
      <c r="C205" s="89"/>
      <c r="D205" s="561">
        <v>44160</v>
      </c>
      <c r="E205" s="186">
        <v>0</v>
      </c>
      <c r="F205" s="186" t="s">
        <v>754</v>
      </c>
      <c r="G205" s="186">
        <v>0</v>
      </c>
      <c r="H205" s="187">
        <v>0.54166666666666674</v>
      </c>
      <c r="I205" s="1070"/>
      <c r="J205" s="1071"/>
      <c r="K205" s="1072"/>
      <c r="L205" s="559"/>
      <c r="M205" s="513"/>
      <c r="N205" s="168"/>
      <c r="O205" s="119"/>
      <c r="P205" s="120"/>
      <c r="Q205" s="153"/>
      <c r="R205" s="154"/>
      <c r="S205" s="123"/>
      <c r="T205" s="120"/>
      <c r="U205" s="155"/>
      <c r="V205" s="156"/>
      <c r="W205" s="123"/>
      <c r="X205" s="157"/>
      <c r="Y205" s="158"/>
      <c r="Z205" s="158"/>
    </row>
    <row r="206" spans="3:26" ht="24" x14ac:dyDescent="0.2">
      <c r="C206" s="89"/>
      <c r="D206" s="561">
        <v>44159</v>
      </c>
      <c r="E206" s="186">
        <v>0</v>
      </c>
      <c r="F206" s="186" t="s">
        <v>754</v>
      </c>
      <c r="G206" s="186">
        <v>0</v>
      </c>
      <c r="H206" s="187">
        <v>0.54166666666666674</v>
      </c>
      <c r="I206" s="1070"/>
      <c r="J206" s="1071"/>
      <c r="K206" s="1072"/>
      <c r="L206" s="559"/>
      <c r="M206" s="513"/>
      <c r="N206" s="168"/>
      <c r="O206" s="89"/>
      <c r="P206" s="89"/>
      <c r="Q206" s="89"/>
      <c r="R206" s="89"/>
      <c r="S206" s="89"/>
      <c r="T206" s="89"/>
      <c r="U206" s="89"/>
      <c r="V206" s="89"/>
      <c r="W206" s="89"/>
      <c r="X206" s="89"/>
      <c r="Y206" s="89"/>
      <c r="Z206" s="89"/>
    </row>
    <row r="207" spans="3:26" ht="24" x14ac:dyDescent="0.2">
      <c r="C207" s="89"/>
      <c r="D207" s="561">
        <v>43901</v>
      </c>
      <c r="E207" s="186">
        <v>0</v>
      </c>
      <c r="F207" s="186" t="s">
        <v>754</v>
      </c>
      <c r="G207" s="186">
        <v>0</v>
      </c>
      <c r="H207" s="187">
        <v>0.54166666666666674</v>
      </c>
      <c r="I207" s="1073"/>
      <c r="J207" s="1074"/>
      <c r="K207" s="1075"/>
      <c r="L207" s="559"/>
      <c r="M207" s="513"/>
      <c r="N207" s="168"/>
      <c r="O207" s="89"/>
      <c r="P207" s="89"/>
      <c r="Q207" s="89"/>
      <c r="R207" s="89"/>
      <c r="S207" s="89"/>
      <c r="T207" s="89"/>
      <c r="U207" s="89"/>
      <c r="V207" s="89"/>
      <c r="W207" s="89"/>
      <c r="X207" s="89"/>
      <c r="Y207" s="89"/>
      <c r="Z207" s="89"/>
    </row>
    <row r="208" spans="3:26" ht="48" x14ac:dyDescent="0.2">
      <c r="C208" s="89" t="s">
        <v>105</v>
      </c>
      <c r="D208" s="557" t="s">
        <v>30</v>
      </c>
      <c r="E208" s="1088" t="s">
        <v>832</v>
      </c>
      <c r="F208" s="1088"/>
      <c r="G208" s="1088"/>
      <c r="H208" s="167" t="s">
        <v>790</v>
      </c>
      <c r="I208" s="1093" t="s">
        <v>633</v>
      </c>
      <c r="J208" s="1094"/>
      <c r="K208" s="1095"/>
      <c r="L208" s="558" t="s">
        <v>430</v>
      </c>
      <c r="M208" s="420" t="s">
        <v>431</v>
      </c>
      <c r="N208" s="168" t="s">
        <v>105</v>
      </c>
      <c r="O208" s="118" t="s">
        <v>800</v>
      </c>
      <c r="P208" s="118" t="s">
        <v>801</v>
      </c>
      <c r="Q208" s="118" t="s">
        <v>802</v>
      </c>
      <c r="R208" s="118" t="s">
        <v>803</v>
      </c>
      <c r="S208" s="118" t="s">
        <v>804</v>
      </c>
      <c r="T208" s="118" t="s">
        <v>805</v>
      </c>
      <c r="U208" s="118" t="s">
        <v>806</v>
      </c>
      <c r="V208" s="118" t="s">
        <v>807</v>
      </c>
      <c r="W208" s="118" t="s">
        <v>808</v>
      </c>
      <c r="X208" s="118" t="s">
        <v>809</v>
      </c>
      <c r="Y208" s="118" t="s">
        <v>75</v>
      </c>
      <c r="Z208" s="118" t="s">
        <v>75</v>
      </c>
    </row>
    <row r="209" spans="3:26" ht="24" x14ac:dyDescent="0.2">
      <c r="C209" s="89"/>
      <c r="D209" s="546" t="s">
        <v>432</v>
      </c>
      <c r="E209" s="1092"/>
      <c r="F209" s="1092"/>
      <c r="G209" s="1092"/>
      <c r="H209" s="170" t="s">
        <v>794</v>
      </c>
      <c r="I209" s="1067" t="s">
        <v>834</v>
      </c>
      <c r="J209" s="1068"/>
      <c r="K209" s="1069"/>
      <c r="L209" s="559"/>
      <c r="M209" s="513"/>
      <c r="N209" s="168"/>
      <c r="O209" s="119" t="s">
        <v>810</v>
      </c>
      <c r="P209" s="171">
        <v>0.1</v>
      </c>
      <c r="Q209" s="172">
        <v>2.1000000000000001E-2</v>
      </c>
      <c r="R209" s="173">
        <v>1.7000000000000001E-2</v>
      </c>
      <c r="S209" s="123">
        <v>0</v>
      </c>
      <c r="T209" s="119">
        <v>4.8500000000000001E-2</v>
      </c>
      <c r="U209" s="172">
        <v>-11.44</v>
      </c>
      <c r="V209" s="171">
        <v>91.8</v>
      </c>
      <c r="W209" s="174">
        <v>2</v>
      </c>
      <c r="X209" s="157"/>
      <c r="Y209" s="124"/>
      <c r="Z209" s="124"/>
    </row>
    <row r="210" spans="3:26" ht="24" x14ac:dyDescent="0.2">
      <c r="C210" s="89"/>
      <c r="D210" s="546" t="s">
        <v>433</v>
      </c>
      <c r="E210" s="1107" t="s">
        <v>833</v>
      </c>
      <c r="F210" s="1107"/>
      <c r="G210" s="1107"/>
      <c r="H210" s="170" t="s">
        <v>795</v>
      </c>
      <c r="I210" s="1070"/>
      <c r="J210" s="1071"/>
      <c r="K210" s="1072"/>
      <c r="L210" s="559"/>
      <c r="M210" s="513"/>
      <c r="N210" s="168"/>
      <c r="O210" s="125"/>
      <c r="P210" s="125"/>
      <c r="Q210" s="125"/>
      <c r="R210" s="126"/>
      <c r="S210" s="127"/>
      <c r="T210" s="125"/>
      <c r="U210" s="125"/>
      <c r="V210" s="125"/>
      <c r="W210" s="125"/>
      <c r="X210" s="127"/>
      <c r="Y210" s="128"/>
      <c r="Z210" s="128"/>
    </row>
    <row r="211" spans="3:26" ht="24" x14ac:dyDescent="0.2">
      <c r="C211" s="89"/>
      <c r="D211" s="546" t="s">
        <v>434</v>
      </c>
      <c r="E211" s="1107" t="s">
        <v>635</v>
      </c>
      <c r="F211" s="1107"/>
      <c r="G211" s="1107"/>
      <c r="H211" s="175"/>
      <c r="I211" s="1070"/>
      <c r="J211" s="1071"/>
      <c r="K211" s="1072"/>
      <c r="L211" s="559"/>
      <c r="M211" s="513"/>
      <c r="N211" s="168"/>
      <c r="O211" s="129" t="s">
        <v>811</v>
      </c>
      <c r="P211" s="176">
        <v>0.1</v>
      </c>
      <c r="Q211" s="177">
        <v>6.8900000000000003E-2</v>
      </c>
      <c r="R211" s="178">
        <v>1.7999999999999999E-2</v>
      </c>
      <c r="S211" s="190">
        <v>1</v>
      </c>
      <c r="T211" s="129">
        <v>0.12135</v>
      </c>
      <c r="U211" s="134">
        <v>-28.623587628865977</v>
      </c>
      <c r="V211" s="135">
        <v>91.8</v>
      </c>
      <c r="W211" s="191">
        <v>5.96</v>
      </c>
      <c r="X211" s="137">
        <v>170.59658226804123</v>
      </c>
      <c r="Y211" s="138"/>
      <c r="Z211" s="138"/>
    </row>
    <row r="212" spans="3:26" ht="24" x14ac:dyDescent="0.2">
      <c r="C212" s="89"/>
      <c r="D212" s="546" t="s">
        <v>435</v>
      </c>
      <c r="E212" s="1099">
        <v>0.51041666666666674</v>
      </c>
      <c r="F212" s="1099"/>
      <c r="G212" s="1099"/>
      <c r="H212" s="175"/>
      <c r="I212" s="1070"/>
      <c r="J212" s="1071"/>
      <c r="K212" s="1072"/>
      <c r="L212" s="560">
        <v>0.73958333333333337</v>
      </c>
      <c r="M212" s="514">
        <v>0.63541666666666674</v>
      </c>
      <c r="N212" s="168"/>
      <c r="O212" s="139" t="s">
        <v>812</v>
      </c>
      <c r="P212" s="180">
        <v>0.1</v>
      </c>
      <c r="Q212" s="160">
        <v>4.4199999999999996E-2</v>
      </c>
      <c r="R212" s="181">
        <v>1.7999999999999999E-2</v>
      </c>
      <c r="S212" s="192">
        <v>1</v>
      </c>
      <c r="T212" s="182">
        <v>8.43E-2</v>
      </c>
      <c r="U212" s="144">
        <v>-19.884371134020618</v>
      </c>
      <c r="V212" s="145">
        <v>91.8</v>
      </c>
      <c r="W212" s="193">
        <v>10.7</v>
      </c>
      <c r="X212" s="147">
        <v>212.7627711340206</v>
      </c>
      <c r="Y212" s="148"/>
      <c r="Z212" s="148"/>
    </row>
    <row r="213" spans="3:26" ht="24" x14ac:dyDescent="0.2">
      <c r="C213" s="89"/>
      <c r="D213" s="546" t="s">
        <v>436</v>
      </c>
      <c r="E213" s="184" t="s">
        <v>29</v>
      </c>
      <c r="F213" s="184" t="s">
        <v>28</v>
      </c>
      <c r="G213" s="184" t="s">
        <v>27</v>
      </c>
      <c r="H213" s="175" t="s">
        <v>793</v>
      </c>
      <c r="I213" s="1070"/>
      <c r="J213" s="1071"/>
      <c r="K213" s="1072"/>
      <c r="L213" s="559"/>
      <c r="M213" s="513"/>
      <c r="N213" s="168"/>
      <c r="O213" s="127"/>
      <c r="P213" s="149"/>
      <c r="Q213" s="127"/>
      <c r="R213" s="127"/>
      <c r="S213" s="194"/>
      <c r="T213" s="127"/>
      <c r="U213" s="150"/>
      <c r="V213" s="151"/>
      <c r="W213" s="195"/>
      <c r="X213" s="150"/>
      <c r="Y213" s="128"/>
      <c r="Z213" s="128"/>
    </row>
    <row r="214" spans="3:26" ht="24" x14ac:dyDescent="0.2">
      <c r="C214" s="89"/>
      <c r="D214" s="561">
        <v>45567</v>
      </c>
      <c r="E214" s="201" t="s">
        <v>635</v>
      </c>
      <c r="F214" s="201" t="s">
        <v>887</v>
      </c>
      <c r="G214" s="201" t="s">
        <v>888</v>
      </c>
      <c r="H214" s="187">
        <v>0.51041666666666674</v>
      </c>
      <c r="I214" s="1070"/>
      <c r="J214" s="1071"/>
      <c r="K214" s="1072"/>
      <c r="L214" s="559"/>
      <c r="M214" s="513"/>
      <c r="N214" s="168"/>
      <c r="O214" s="152"/>
      <c r="P214" s="128"/>
      <c r="Q214" s="152"/>
      <c r="R214" s="152"/>
      <c r="S214" s="194"/>
      <c r="T214" s="152"/>
      <c r="U214" s="152"/>
      <c r="V214" s="152"/>
      <c r="W214" s="197"/>
      <c r="X214" s="152"/>
      <c r="Y214" s="128"/>
      <c r="Z214" s="128"/>
    </row>
    <row r="215" spans="3:26" ht="24" x14ac:dyDescent="0.2">
      <c r="C215" s="89"/>
      <c r="D215" s="561">
        <v>45540</v>
      </c>
      <c r="E215" s="201" t="s">
        <v>407</v>
      </c>
      <c r="F215" s="201" t="s">
        <v>546</v>
      </c>
      <c r="G215" s="201" t="s">
        <v>547</v>
      </c>
      <c r="H215" s="187">
        <v>0.51041666666666674</v>
      </c>
      <c r="I215" s="1070"/>
      <c r="J215" s="1071"/>
      <c r="K215" s="1072"/>
      <c r="L215" s="559"/>
      <c r="M215" s="513"/>
      <c r="N215" s="168"/>
      <c r="O215" s="119" t="s">
        <v>813</v>
      </c>
      <c r="P215" s="202">
        <v>-0.15</v>
      </c>
      <c r="Q215" s="153">
        <v>4.4199999999999996E-2</v>
      </c>
      <c r="R215" s="154">
        <v>1.7999999999999999E-2</v>
      </c>
      <c r="S215" s="198">
        <v>-1</v>
      </c>
      <c r="T215" s="199">
        <v>8.43E-2</v>
      </c>
      <c r="U215" s="155">
        <v>-29.826556701030924</v>
      </c>
      <c r="V215" s="156">
        <v>137.69999999999999</v>
      </c>
      <c r="W215" s="200">
        <v>3</v>
      </c>
      <c r="X215" s="157">
        <v>89.479670103092772</v>
      </c>
      <c r="Y215" s="158" t="s">
        <v>814</v>
      </c>
      <c r="Z215" s="158"/>
    </row>
    <row r="216" spans="3:26" ht="24" x14ac:dyDescent="0.2">
      <c r="C216" s="89"/>
      <c r="D216" s="561">
        <v>45504</v>
      </c>
      <c r="E216" s="201" t="s">
        <v>282</v>
      </c>
      <c r="F216" s="201" t="s">
        <v>548</v>
      </c>
      <c r="G216" s="201" t="s">
        <v>292</v>
      </c>
      <c r="H216" s="187">
        <v>0.51041666666666674</v>
      </c>
      <c r="I216" s="1070"/>
      <c r="J216" s="1071"/>
      <c r="K216" s="1072"/>
      <c r="L216" s="562"/>
      <c r="M216" s="513"/>
      <c r="N216" s="168"/>
      <c r="O216" s="119"/>
      <c r="P216" s="120"/>
      <c r="Q216" s="153"/>
      <c r="R216" s="154"/>
      <c r="S216" s="123"/>
      <c r="T216" s="120"/>
      <c r="U216" s="155"/>
      <c r="V216" s="156"/>
      <c r="W216" s="123"/>
      <c r="X216" s="157"/>
      <c r="Y216" s="158"/>
      <c r="Z216" s="158"/>
    </row>
    <row r="217" spans="3:26" ht="24" x14ac:dyDescent="0.2">
      <c r="C217" s="89"/>
      <c r="D217" s="561">
        <v>45476</v>
      </c>
      <c r="E217" s="201" t="s">
        <v>122</v>
      </c>
      <c r="F217" s="201" t="s">
        <v>550</v>
      </c>
      <c r="G217" s="201" t="s">
        <v>551</v>
      </c>
      <c r="H217" s="187">
        <v>0.51041666666666674</v>
      </c>
      <c r="I217" s="1070"/>
      <c r="J217" s="1071"/>
      <c r="K217" s="1072"/>
      <c r="L217" s="559"/>
      <c r="M217" s="513"/>
      <c r="N217" s="168"/>
      <c r="O217" s="119"/>
      <c r="P217" s="120"/>
      <c r="Q217" s="153"/>
      <c r="R217" s="154"/>
      <c r="S217" s="123"/>
      <c r="T217" s="120"/>
      <c r="U217" s="155"/>
      <c r="V217" s="156"/>
      <c r="W217" s="123"/>
      <c r="X217" s="157"/>
      <c r="Y217" s="158"/>
      <c r="Z217" s="158"/>
    </row>
    <row r="218" spans="3:26" ht="24" x14ac:dyDescent="0.2">
      <c r="C218" s="89"/>
      <c r="D218" s="561">
        <v>45448</v>
      </c>
      <c r="E218" s="201" t="s">
        <v>15</v>
      </c>
      <c r="F218" s="201" t="s">
        <v>553</v>
      </c>
      <c r="G218" s="201" t="s">
        <v>554</v>
      </c>
      <c r="H218" s="187">
        <v>0.51041666666666674</v>
      </c>
      <c r="I218" s="1070"/>
      <c r="J218" s="1071"/>
      <c r="K218" s="1072"/>
      <c r="L218" s="559"/>
      <c r="M218" s="513"/>
      <c r="N218" s="168"/>
      <c r="O218" s="89"/>
      <c r="P218" s="89"/>
      <c r="Q218" s="89"/>
      <c r="R218" s="89"/>
      <c r="S218" s="89"/>
      <c r="T218" s="89"/>
      <c r="U218" s="89"/>
      <c r="V218" s="89"/>
      <c r="W218" s="89"/>
      <c r="X218" s="89"/>
      <c r="Y218" s="89"/>
      <c r="Z218" s="89"/>
    </row>
    <row r="219" spans="3:26" ht="24" x14ac:dyDescent="0.2">
      <c r="C219" s="89"/>
      <c r="D219" s="561">
        <v>45413</v>
      </c>
      <c r="E219" s="201" t="s">
        <v>555</v>
      </c>
      <c r="F219" s="201" t="s">
        <v>556</v>
      </c>
      <c r="G219" s="201" t="s">
        <v>557</v>
      </c>
      <c r="H219" s="187">
        <v>0.51041666666666674</v>
      </c>
      <c r="I219" s="1073"/>
      <c r="J219" s="1074"/>
      <c r="K219" s="1075"/>
      <c r="L219" s="559"/>
      <c r="M219" s="513"/>
      <c r="N219" s="168"/>
      <c r="O219" s="89"/>
      <c r="P219" s="89"/>
      <c r="Q219" s="89"/>
      <c r="R219" s="89"/>
      <c r="S219" s="89"/>
      <c r="T219" s="89"/>
      <c r="U219" s="89"/>
      <c r="V219" s="89"/>
      <c r="W219" s="89"/>
      <c r="X219" s="89"/>
      <c r="Y219" s="89"/>
      <c r="Z219" s="89"/>
    </row>
    <row r="220" spans="3:26" ht="48" x14ac:dyDescent="0.2">
      <c r="C220" s="89" t="s">
        <v>105</v>
      </c>
      <c r="D220" s="557" t="s">
        <v>30</v>
      </c>
      <c r="E220" s="1088" t="s">
        <v>835</v>
      </c>
      <c r="F220" s="1088"/>
      <c r="G220" s="1088"/>
      <c r="H220" s="167" t="s">
        <v>790</v>
      </c>
      <c r="I220" s="1093" t="s">
        <v>633</v>
      </c>
      <c r="J220" s="1094"/>
      <c r="K220" s="1095"/>
      <c r="L220" s="558" t="s">
        <v>430</v>
      </c>
      <c r="M220" s="420" t="s">
        <v>431</v>
      </c>
      <c r="N220" s="168" t="s">
        <v>105</v>
      </c>
      <c r="O220" s="118" t="s">
        <v>800</v>
      </c>
      <c r="P220" s="118" t="s">
        <v>801</v>
      </c>
      <c r="Q220" s="118" t="s">
        <v>802</v>
      </c>
      <c r="R220" s="118" t="s">
        <v>803</v>
      </c>
      <c r="S220" s="118" t="s">
        <v>804</v>
      </c>
      <c r="T220" s="118" t="s">
        <v>805</v>
      </c>
      <c r="U220" s="118" t="s">
        <v>806</v>
      </c>
      <c r="V220" s="118" t="s">
        <v>807</v>
      </c>
      <c r="W220" s="118" t="s">
        <v>808</v>
      </c>
      <c r="X220" s="118" t="s">
        <v>809</v>
      </c>
      <c r="Y220" s="118" t="s">
        <v>75</v>
      </c>
      <c r="Z220" s="118" t="s">
        <v>75</v>
      </c>
    </row>
    <row r="221" spans="3:26" ht="24" x14ac:dyDescent="0.2">
      <c r="C221" s="89"/>
      <c r="D221" s="546" t="s">
        <v>432</v>
      </c>
      <c r="E221" s="1092"/>
      <c r="F221" s="1092"/>
      <c r="G221" s="1092"/>
      <c r="H221" s="170" t="s">
        <v>794</v>
      </c>
      <c r="I221" s="1067" t="s">
        <v>836</v>
      </c>
      <c r="J221" s="1068"/>
      <c r="K221" s="1069"/>
      <c r="L221" s="559"/>
      <c r="M221" s="513"/>
      <c r="N221" s="168"/>
      <c r="O221" s="119" t="s">
        <v>810</v>
      </c>
      <c r="P221" s="171">
        <v>0.1</v>
      </c>
      <c r="Q221" s="172">
        <v>2.1000000000000001E-2</v>
      </c>
      <c r="R221" s="173">
        <v>1.7000000000000001E-2</v>
      </c>
      <c r="S221" s="123">
        <v>0</v>
      </c>
      <c r="T221" s="119">
        <v>4.8500000000000001E-2</v>
      </c>
      <c r="U221" s="172">
        <v>-11.44</v>
      </c>
      <c r="V221" s="171">
        <v>91.8</v>
      </c>
      <c r="W221" s="174">
        <v>2</v>
      </c>
      <c r="X221" s="157"/>
      <c r="Y221" s="124"/>
      <c r="Z221" s="124"/>
    </row>
    <row r="222" spans="3:26" ht="24" x14ac:dyDescent="0.2">
      <c r="C222" s="89"/>
      <c r="D222" s="546" t="s">
        <v>433</v>
      </c>
      <c r="E222" s="1098">
        <v>0.03</v>
      </c>
      <c r="F222" s="1098"/>
      <c r="G222" s="1098"/>
      <c r="H222" s="170" t="s">
        <v>795</v>
      </c>
      <c r="I222" s="1070"/>
      <c r="J222" s="1071"/>
      <c r="K222" s="1072"/>
      <c r="L222" s="559"/>
      <c r="M222" s="513"/>
      <c r="N222" s="168"/>
      <c r="O222" s="125"/>
      <c r="P222" s="125"/>
      <c r="Q222" s="125"/>
      <c r="R222" s="126"/>
      <c r="S222" s="127"/>
      <c r="T222" s="125"/>
      <c r="U222" s="125"/>
      <c r="V222" s="125"/>
      <c r="W222" s="125"/>
      <c r="X222" s="127"/>
      <c r="Y222" s="128"/>
      <c r="Z222" s="128"/>
    </row>
    <row r="223" spans="3:26" ht="24" x14ac:dyDescent="0.2">
      <c r="C223" s="89"/>
      <c r="D223" s="546" t="s">
        <v>434</v>
      </c>
      <c r="E223" s="1098">
        <v>0.03</v>
      </c>
      <c r="F223" s="1098"/>
      <c r="G223" s="1098"/>
      <c r="H223" s="175"/>
      <c r="I223" s="1070"/>
      <c r="J223" s="1071"/>
      <c r="K223" s="1072"/>
      <c r="L223" s="559"/>
      <c r="M223" s="513"/>
      <c r="N223" s="168"/>
      <c r="O223" s="129" t="s">
        <v>811</v>
      </c>
      <c r="P223" s="176">
        <v>0.1</v>
      </c>
      <c r="Q223" s="177">
        <v>3.8399999999999997E-2</v>
      </c>
      <c r="R223" s="178">
        <v>1.7000000000000001E-2</v>
      </c>
      <c r="S223" s="190">
        <v>1</v>
      </c>
      <c r="T223" s="129">
        <v>7.46E-2</v>
      </c>
      <c r="U223" s="134">
        <v>-17.596371134020615</v>
      </c>
      <c r="V223" s="135">
        <v>91.8</v>
      </c>
      <c r="W223" s="191">
        <v>5.59</v>
      </c>
      <c r="X223" s="137">
        <v>98.363714639175228</v>
      </c>
      <c r="Y223" s="138"/>
      <c r="Z223" s="138"/>
    </row>
    <row r="224" spans="3:26" ht="24" x14ac:dyDescent="0.2">
      <c r="C224" s="89"/>
      <c r="D224" s="546" t="s">
        <v>435</v>
      </c>
      <c r="E224" s="1099">
        <v>0.52083333333333337</v>
      </c>
      <c r="F224" s="1099"/>
      <c r="G224" s="1099"/>
      <c r="H224" s="175"/>
      <c r="I224" s="1070"/>
      <c r="J224" s="1071"/>
      <c r="K224" s="1072"/>
      <c r="L224" s="560">
        <v>0.75</v>
      </c>
      <c r="M224" s="514">
        <v>0.64583333333333337</v>
      </c>
      <c r="N224" s="168"/>
      <c r="O224" s="139" t="s">
        <v>812</v>
      </c>
      <c r="P224" s="180">
        <v>0.1</v>
      </c>
      <c r="Q224" s="160">
        <v>5.9933333333333338E-2</v>
      </c>
      <c r="R224" s="181">
        <v>1.4E-2</v>
      </c>
      <c r="S224" s="192">
        <v>1</v>
      </c>
      <c r="T224" s="182">
        <v>0.10390000000000001</v>
      </c>
      <c r="U224" s="144">
        <v>-24.507546391752577</v>
      </c>
      <c r="V224" s="145">
        <v>91.8</v>
      </c>
      <c r="W224" s="193">
        <v>3.85</v>
      </c>
      <c r="X224" s="147">
        <v>94.354053608247426</v>
      </c>
      <c r="Y224" s="148"/>
      <c r="Z224" s="148"/>
    </row>
    <row r="225" spans="3:26" ht="24" x14ac:dyDescent="0.2">
      <c r="C225" s="89"/>
      <c r="D225" s="546" t="s">
        <v>436</v>
      </c>
      <c r="E225" s="184" t="s">
        <v>29</v>
      </c>
      <c r="F225" s="184" t="s">
        <v>28</v>
      </c>
      <c r="G225" s="184" t="s">
        <v>27</v>
      </c>
      <c r="H225" s="175" t="s">
        <v>793</v>
      </c>
      <c r="I225" s="1070"/>
      <c r="J225" s="1071"/>
      <c r="K225" s="1072"/>
      <c r="L225" s="559"/>
      <c r="M225" s="513"/>
      <c r="N225" s="168"/>
      <c r="O225" s="127"/>
      <c r="P225" s="149"/>
      <c r="Q225" s="127"/>
      <c r="R225" s="127"/>
      <c r="S225" s="194"/>
      <c r="T225" s="127"/>
      <c r="U225" s="150"/>
      <c r="V225" s="151"/>
      <c r="W225" s="195"/>
      <c r="X225" s="150"/>
      <c r="Y225" s="128"/>
      <c r="Z225" s="128"/>
    </row>
    <row r="226" spans="3:26" ht="24" x14ac:dyDescent="0.2">
      <c r="C226" s="89"/>
      <c r="D226" s="561">
        <v>45561</v>
      </c>
      <c r="E226" s="189">
        <v>0.03</v>
      </c>
      <c r="F226" s="189" t="s">
        <v>669</v>
      </c>
      <c r="G226" s="189">
        <v>1.6E-2</v>
      </c>
      <c r="H226" s="187">
        <v>0.52083333333333337</v>
      </c>
      <c r="I226" s="1070"/>
      <c r="J226" s="1071"/>
      <c r="K226" s="1072"/>
      <c r="L226" s="559"/>
      <c r="M226" s="513"/>
      <c r="N226" s="168"/>
      <c r="O226" s="152"/>
      <c r="P226" s="128"/>
      <c r="Q226" s="152"/>
      <c r="R226" s="152"/>
      <c r="S226" s="194"/>
      <c r="T226" s="152"/>
      <c r="U226" s="152"/>
      <c r="V226" s="152"/>
      <c r="W226" s="197"/>
      <c r="X226" s="152"/>
      <c r="Y226" s="128"/>
      <c r="Z226" s="128"/>
    </row>
    <row r="227" spans="3:26" ht="24" x14ac:dyDescent="0.2">
      <c r="C227" s="89"/>
      <c r="D227" s="561">
        <v>45533</v>
      </c>
      <c r="E227" s="189">
        <v>0.03</v>
      </c>
      <c r="F227" s="189" t="s">
        <v>666</v>
      </c>
      <c r="G227" s="189">
        <v>1.4E-2</v>
      </c>
      <c r="H227" s="187">
        <v>0.52083333333333337</v>
      </c>
      <c r="I227" s="1070"/>
      <c r="J227" s="1071"/>
      <c r="K227" s="1072"/>
      <c r="L227" s="559"/>
      <c r="M227" s="513"/>
      <c r="N227" s="168"/>
      <c r="O227" s="119" t="s">
        <v>813</v>
      </c>
      <c r="P227" s="202">
        <v>-0.12</v>
      </c>
      <c r="Q227" s="153">
        <v>5.9933333333333338E-2</v>
      </c>
      <c r="R227" s="154">
        <v>1.4E-2</v>
      </c>
      <c r="S227" s="198">
        <v>-1</v>
      </c>
      <c r="T227" s="199">
        <v>0.10390000000000001</v>
      </c>
      <c r="U227" s="155">
        <v>-29.40905567010309</v>
      </c>
      <c r="V227" s="156">
        <v>110.16</v>
      </c>
      <c r="W227" s="200">
        <v>3.5</v>
      </c>
      <c r="X227" s="157">
        <v>102.93169484536081</v>
      </c>
      <c r="Y227" s="158" t="s">
        <v>814</v>
      </c>
      <c r="Z227" s="158"/>
    </row>
    <row r="228" spans="3:26" ht="24" x14ac:dyDescent="0.2">
      <c r="C228" s="89"/>
      <c r="D228" s="561">
        <v>45498</v>
      </c>
      <c r="E228" s="189">
        <v>2.8000000000000001E-2</v>
      </c>
      <c r="F228" s="189" t="s">
        <v>788</v>
      </c>
      <c r="G228" s="189">
        <v>1.4E-2</v>
      </c>
      <c r="H228" s="187">
        <v>0.52083333333333337</v>
      </c>
      <c r="I228" s="1070"/>
      <c r="J228" s="1071"/>
      <c r="K228" s="1072"/>
      <c r="L228" s="562"/>
      <c r="M228" s="513"/>
      <c r="N228" s="168"/>
      <c r="O228" s="119"/>
      <c r="P228" s="120"/>
      <c r="Q228" s="153"/>
      <c r="R228" s="154"/>
      <c r="S228" s="123"/>
      <c r="T228" s="120"/>
      <c r="U228" s="155"/>
      <c r="V228" s="156"/>
      <c r="W228" s="123"/>
      <c r="X228" s="157"/>
      <c r="Y228" s="158"/>
      <c r="Z228" s="158"/>
    </row>
    <row r="229" spans="3:26" ht="24" x14ac:dyDescent="0.2">
      <c r="C229" s="89"/>
      <c r="D229" s="561">
        <v>45470</v>
      </c>
      <c r="E229" s="189">
        <v>1.4E-2</v>
      </c>
      <c r="F229" s="189" t="s">
        <v>889</v>
      </c>
      <c r="G229" s="189">
        <v>3.4000000000000002E-2</v>
      </c>
      <c r="H229" s="187">
        <v>0.52083333333333337</v>
      </c>
      <c r="I229" s="1070"/>
      <c r="J229" s="1071"/>
      <c r="K229" s="1072"/>
      <c r="L229" s="559"/>
      <c r="M229" s="513"/>
      <c r="N229" s="168"/>
      <c r="O229" s="119"/>
      <c r="P229" s="120"/>
      <c r="Q229" s="153"/>
      <c r="R229" s="154"/>
      <c r="S229" s="123"/>
      <c r="T229" s="120"/>
      <c r="U229" s="155"/>
      <c r="V229" s="156"/>
      <c r="W229" s="123"/>
      <c r="X229" s="157"/>
      <c r="Y229" s="158"/>
      <c r="Z229" s="158"/>
    </row>
    <row r="230" spans="3:26" ht="24" x14ac:dyDescent="0.2">
      <c r="C230" s="89"/>
      <c r="D230" s="561">
        <v>45442</v>
      </c>
      <c r="E230" s="189">
        <v>1.2999999999999999E-2</v>
      </c>
      <c r="F230" s="189" t="s">
        <v>890</v>
      </c>
      <c r="G230" s="189">
        <v>3.4000000000000002E-2</v>
      </c>
      <c r="H230" s="187">
        <v>0.52083333333333337</v>
      </c>
      <c r="I230" s="1070"/>
      <c r="J230" s="1071"/>
      <c r="K230" s="1072"/>
      <c r="L230" s="559"/>
      <c r="M230" s="513"/>
      <c r="N230" s="168"/>
      <c r="O230" s="89"/>
      <c r="P230" s="89"/>
      <c r="Q230" s="89"/>
      <c r="R230" s="89"/>
      <c r="S230" s="89"/>
      <c r="T230" s="89"/>
      <c r="U230" s="89"/>
      <c r="V230" s="89"/>
      <c r="W230" s="89"/>
      <c r="X230" s="89"/>
      <c r="Y230" s="89"/>
      <c r="Z230" s="89"/>
    </row>
    <row r="231" spans="3:26" ht="24" x14ac:dyDescent="0.2">
      <c r="C231" s="89"/>
      <c r="D231" s="561">
        <v>45407</v>
      </c>
      <c r="E231" s="189">
        <v>1.6E-2</v>
      </c>
      <c r="F231" s="189" t="s">
        <v>495</v>
      </c>
      <c r="G231" s="189">
        <v>3.4000000000000002E-2</v>
      </c>
      <c r="H231" s="187">
        <v>0.52083333333333337</v>
      </c>
      <c r="I231" s="1073"/>
      <c r="J231" s="1074"/>
      <c r="K231" s="1075"/>
      <c r="L231" s="559"/>
      <c r="M231" s="513"/>
      <c r="N231" s="168"/>
      <c r="O231" s="89"/>
      <c r="P231" s="89"/>
      <c r="Q231" s="89"/>
      <c r="R231" s="89"/>
      <c r="S231" s="89"/>
      <c r="T231" s="89"/>
      <c r="U231" s="89"/>
      <c r="V231" s="89"/>
      <c r="W231" s="89"/>
      <c r="X231" s="89"/>
      <c r="Y231" s="89"/>
      <c r="Z231" s="89"/>
    </row>
    <row r="232" spans="3:26" ht="48" x14ac:dyDescent="0.2">
      <c r="C232" s="89" t="s">
        <v>105</v>
      </c>
      <c r="D232" s="557" t="s">
        <v>30</v>
      </c>
      <c r="E232" s="1088" t="s">
        <v>837</v>
      </c>
      <c r="F232" s="1088"/>
      <c r="G232" s="1088"/>
      <c r="H232" s="167" t="s">
        <v>790</v>
      </c>
      <c r="I232" s="1093" t="s">
        <v>633</v>
      </c>
      <c r="J232" s="1094"/>
      <c r="K232" s="1095"/>
      <c r="L232" s="558" t="s">
        <v>430</v>
      </c>
      <c r="M232" s="420" t="s">
        <v>431</v>
      </c>
      <c r="N232" s="168" t="s">
        <v>105</v>
      </c>
      <c r="O232" s="118" t="s">
        <v>800</v>
      </c>
      <c r="P232" s="118" t="s">
        <v>801</v>
      </c>
      <c r="Q232" s="118" t="s">
        <v>802</v>
      </c>
      <c r="R232" s="118" t="s">
        <v>803</v>
      </c>
      <c r="S232" s="118" t="s">
        <v>804</v>
      </c>
      <c r="T232" s="118" t="s">
        <v>805</v>
      </c>
      <c r="U232" s="118" t="s">
        <v>806</v>
      </c>
      <c r="V232" s="118" t="s">
        <v>807</v>
      </c>
      <c r="W232" s="118" t="s">
        <v>808</v>
      </c>
      <c r="X232" s="118" t="s">
        <v>809</v>
      </c>
      <c r="Y232" s="118" t="s">
        <v>75</v>
      </c>
      <c r="Z232" s="118" t="s">
        <v>75</v>
      </c>
    </row>
    <row r="233" spans="3:26" ht="24" x14ac:dyDescent="0.2">
      <c r="C233" s="89"/>
      <c r="D233" s="546" t="s">
        <v>432</v>
      </c>
      <c r="E233" s="1092"/>
      <c r="F233" s="1092"/>
      <c r="G233" s="1092"/>
      <c r="H233" s="170" t="s">
        <v>909</v>
      </c>
      <c r="I233" s="1067" t="s">
        <v>838</v>
      </c>
      <c r="J233" s="1068"/>
      <c r="K233" s="1069"/>
      <c r="L233" s="559"/>
      <c r="M233" s="513"/>
      <c r="N233" s="168"/>
      <c r="O233" s="119" t="s">
        <v>810</v>
      </c>
      <c r="P233" s="171">
        <v>0.1</v>
      </c>
      <c r="Q233" s="172">
        <v>1.2999999999999999E-2</v>
      </c>
      <c r="R233" s="173">
        <v>2.199999999999136E-2</v>
      </c>
      <c r="S233" s="123">
        <v>0</v>
      </c>
      <c r="T233" s="119">
        <v>4.1499999999991363E-2</v>
      </c>
      <c r="U233" s="172">
        <v>-10.74</v>
      </c>
      <c r="V233" s="171">
        <v>60.23</v>
      </c>
      <c r="W233" s="174"/>
      <c r="X233" s="157"/>
      <c r="Y233" s="124"/>
      <c r="Z233" s="124"/>
    </row>
    <row r="234" spans="3:26" ht="24" x14ac:dyDescent="0.2">
      <c r="C234" s="89"/>
      <c r="D234" s="546" t="s">
        <v>433</v>
      </c>
      <c r="E234" s="1108">
        <v>2E-3</v>
      </c>
      <c r="F234" s="1108"/>
      <c r="G234" s="1108"/>
      <c r="H234" s="170" t="s">
        <v>910</v>
      </c>
      <c r="I234" s="1070"/>
      <c r="J234" s="1071"/>
      <c r="K234" s="1072"/>
      <c r="L234" s="559"/>
      <c r="M234" s="513"/>
      <c r="N234" s="168"/>
      <c r="O234" s="125"/>
      <c r="P234" s="125"/>
      <c r="Q234" s="125"/>
      <c r="R234" s="126"/>
      <c r="S234" s="127"/>
      <c r="T234" s="125"/>
      <c r="U234" s="125"/>
      <c r="V234" s="125"/>
      <c r="W234" s="125"/>
      <c r="X234" s="127"/>
      <c r="Y234" s="128"/>
      <c r="Z234" s="128"/>
    </row>
    <row r="235" spans="3:26" ht="24" x14ac:dyDescent="0.2">
      <c r="C235" s="89"/>
      <c r="D235" s="546" t="s">
        <v>434</v>
      </c>
      <c r="E235" s="1108">
        <v>0</v>
      </c>
      <c r="F235" s="1108"/>
      <c r="G235" s="1108"/>
      <c r="H235" s="175"/>
      <c r="I235" s="1070"/>
      <c r="J235" s="1071"/>
      <c r="K235" s="1072"/>
      <c r="L235" s="559"/>
      <c r="M235" s="513"/>
      <c r="N235" s="168"/>
      <c r="O235" s="129" t="s">
        <v>811</v>
      </c>
      <c r="P235" s="176">
        <v>0.1</v>
      </c>
      <c r="Q235" s="177">
        <v>3.8399999999999997E-2</v>
      </c>
      <c r="R235" s="178">
        <v>2.199999999999136E-2</v>
      </c>
      <c r="S235" s="190">
        <v>1</v>
      </c>
      <c r="T235" s="129">
        <v>7.9599999999991358E-2</v>
      </c>
      <c r="U235" s="134">
        <v>-20.600096385544219</v>
      </c>
      <c r="V235" s="135">
        <v>91.8</v>
      </c>
      <c r="W235" s="191">
        <v>5.59</v>
      </c>
      <c r="X235" s="137">
        <v>115.15453879519218</v>
      </c>
      <c r="Y235" s="138"/>
      <c r="Z235" s="138"/>
    </row>
    <row r="236" spans="3:26" ht="24" x14ac:dyDescent="0.2">
      <c r="C236" s="89"/>
      <c r="D236" s="546" t="s">
        <v>435</v>
      </c>
      <c r="E236" s="1099">
        <v>0.54166666666666674</v>
      </c>
      <c r="F236" s="1099"/>
      <c r="G236" s="1099"/>
      <c r="H236" s="175"/>
      <c r="I236" s="1070"/>
      <c r="J236" s="1071"/>
      <c r="K236" s="1072"/>
      <c r="L236" s="560">
        <v>0.77083333333333337</v>
      </c>
      <c r="M236" s="514">
        <v>0.66666666666666674</v>
      </c>
      <c r="N236" s="168"/>
      <c r="O236" s="139" t="s">
        <v>812</v>
      </c>
      <c r="P236" s="180">
        <v>0.1</v>
      </c>
      <c r="Q236" s="160">
        <v>5.9933333333333338E-2</v>
      </c>
      <c r="R236" s="181">
        <v>1.4E-2</v>
      </c>
      <c r="S236" s="192">
        <v>1</v>
      </c>
      <c r="T236" s="182">
        <v>0.10390000000000001</v>
      </c>
      <c r="U236" s="144">
        <v>-26.888819277114031</v>
      </c>
      <c r="V236" s="145">
        <v>91.8</v>
      </c>
      <c r="W236" s="193">
        <v>3.85</v>
      </c>
      <c r="X236" s="147">
        <v>103.52195421688903</v>
      </c>
      <c r="Y236" s="148"/>
      <c r="Z236" s="148"/>
    </row>
    <row r="237" spans="3:26" ht="24" x14ac:dyDescent="0.2">
      <c r="C237" s="89"/>
      <c r="D237" s="546" t="s">
        <v>436</v>
      </c>
      <c r="E237" s="184" t="s">
        <v>29</v>
      </c>
      <c r="F237" s="184" t="s">
        <v>28</v>
      </c>
      <c r="G237" s="184" t="s">
        <v>27</v>
      </c>
      <c r="H237" s="175" t="s">
        <v>793</v>
      </c>
      <c r="I237" s="1070"/>
      <c r="J237" s="1071"/>
      <c r="K237" s="1072"/>
      <c r="L237" s="559"/>
      <c r="M237" s="513"/>
      <c r="N237" s="168"/>
      <c r="O237" s="203"/>
      <c r="P237" s="149"/>
      <c r="Q237" s="127"/>
      <c r="R237" s="127"/>
      <c r="S237" s="194"/>
      <c r="T237" s="127"/>
      <c r="U237" s="150"/>
      <c r="V237" s="151"/>
      <c r="W237" s="195"/>
      <c r="X237" s="150"/>
      <c r="Y237" s="128"/>
      <c r="Z237" s="128"/>
    </row>
    <row r="238" spans="3:26" ht="24" x14ac:dyDescent="0.2">
      <c r="C238" s="89"/>
      <c r="D238" s="561">
        <v>45576</v>
      </c>
      <c r="E238" s="189">
        <v>0</v>
      </c>
      <c r="F238" s="189" t="s">
        <v>458</v>
      </c>
      <c r="G238" s="189">
        <v>-1E-3</v>
      </c>
      <c r="H238" s="187">
        <v>0.24999999999999997</v>
      </c>
      <c r="I238" s="1070"/>
      <c r="J238" s="1071"/>
      <c r="K238" s="1072"/>
      <c r="L238" s="563">
        <v>0.47916666666666663</v>
      </c>
      <c r="M238" s="513"/>
      <c r="N238" s="168"/>
      <c r="O238" s="152"/>
      <c r="P238" s="128"/>
      <c r="Q238" s="152"/>
      <c r="R238" s="152"/>
      <c r="S238" s="194"/>
      <c r="T238" s="152"/>
      <c r="U238" s="152"/>
      <c r="V238" s="152"/>
      <c r="W238" s="197"/>
      <c r="X238" s="152"/>
      <c r="Y238" s="128"/>
      <c r="Z238" s="128"/>
    </row>
    <row r="239" spans="3:26" ht="24" x14ac:dyDescent="0.2">
      <c r="C239" s="89"/>
      <c r="D239" s="561">
        <v>45565</v>
      </c>
      <c r="E239" s="189">
        <v>0</v>
      </c>
      <c r="F239" s="189" t="s">
        <v>462</v>
      </c>
      <c r="G239" s="189">
        <v>-1E-3</v>
      </c>
      <c r="H239" s="187">
        <v>0.5</v>
      </c>
      <c r="I239" s="1070"/>
      <c r="J239" s="1071"/>
      <c r="K239" s="1072"/>
      <c r="L239" s="563">
        <v>0.72916666666666663</v>
      </c>
      <c r="M239" s="513"/>
      <c r="N239" s="168"/>
      <c r="O239" s="119" t="s">
        <v>813</v>
      </c>
      <c r="P239" s="202">
        <v>-0.12</v>
      </c>
      <c r="Q239" s="153">
        <v>5.9933333333333338E-2</v>
      </c>
      <c r="R239" s="154">
        <v>1.4E-2</v>
      </c>
      <c r="S239" s="198">
        <v>-1</v>
      </c>
      <c r="T239" s="199">
        <v>0.10390000000000001</v>
      </c>
      <c r="U239" s="155">
        <v>-32.266583132536837</v>
      </c>
      <c r="V239" s="156">
        <v>110.16</v>
      </c>
      <c r="W239" s="200">
        <v>3.5</v>
      </c>
      <c r="X239" s="157">
        <v>112.93304096387894</v>
      </c>
      <c r="Y239" s="158" t="s">
        <v>814</v>
      </c>
      <c r="Z239" s="158"/>
    </row>
    <row r="240" spans="3:26" ht="24" x14ac:dyDescent="0.2">
      <c r="C240" s="89"/>
      <c r="D240" s="561">
        <v>45545</v>
      </c>
      <c r="E240" s="189">
        <v>-1E-3</v>
      </c>
      <c r="F240" s="189" t="s">
        <v>456</v>
      </c>
      <c r="G240" s="189">
        <v>3.0000000000000001E-3</v>
      </c>
      <c r="H240" s="187">
        <v>0.24999999999999997</v>
      </c>
      <c r="I240" s="1070"/>
      <c r="J240" s="1071"/>
      <c r="K240" s="1072"/>
      <c r="L240" s="563">
        <v>0.47916666666666663</v>
      </c>
      <c r="M240" s="513"/>
      <c r="N240" s="168"/>
      <c r="O240" s="119"/>
      <c r="P240" s="120"/>
      <c r="Q240" s="153"/>
      <c r="R240" s="154"/>
      <c r="S240" s="123"/>
      <c r="T240" s="120"/>
      <c r="U240" s="155"/>
      <c r="V240" s="156"/>
      <c r="W240" s="123"/>
      <c r="X240" s="157"/>
      <c r="Y240" s="158"/>
      <c r="Z240" s="158"/>
    </row>
    <row r="241" spans="3:26" ht="24" x14ac:dyDescent="0.2">
      <c r="C241" s="89"/>
      <c r="D241" s="561">
        <v>45533</v>
      </c>
      <c r="E241" s="189">
        <v>-1E-3</v>
      </c>
      <c r="F241" s="189" t="s">
        <v>458</v>
      </c>
      <c r="G241" s="189">
        <v>3.0000000000000001E-3</v>
      </c>
      <c r="H241" s="187">
        <v>0.5</v>
      </c>
      <c r="I241" s="1070"/>
      <c r="J241" s="1071"/>
      <c r="K241" s="1072"/>
      <c r="L241" s="563">
        <v>0.72916666666666663</v>
      </c>
      <c r="M241" s="513"/>
      <c r="N241" s="168"/>
      <c r="O241" s="119"/>
      <c r="P241" s="120"/>
      <c r="Q241" s="153"/>
      <c r="R241" s="154"/>
      <c r="S241" s="123"/>
      <c r="T241" s="120"/>
      <c r="U241" s="155"/>
      <c r="V241" s="156"/>
      <c r="W241" s="123"/>
      <c r="X241" s="157"/>
      <c r="Y241" s="158"/>
      <c r="Z241" s="158"/>
    </row>
    <row r="242" spans="3:26" ht="24" x14ac:dyDescent="0.2">
      <c r="C242" s="89"/>
      <c r="D242" s="561">
        <v>45513</v>
      </c>
      <c r="E242" s="189">
        <v>3.0000000000000001E-3</v>
      </c>
      <c r="F242" s="189" t="s">
        <v>467</v>
      </c>
      <c r="G242" s="189">
        <v>1E-3</v>
      </c>
      <c r="H242" s="187">
        <v>0.24999999999999997</v>
      </c>
      <c r="I242" s="1070"/>
      <c r="J242" s="1071"/>
      <c r="K242" s="1072"/>
      <c r="L242" s="563">
        <v>0.47916666666666663</v>
      </c>
      <c r="M242" s="513"/>
      <c r="N242" s="168"/>
      <c r="O242" s="89"/>
      <c r="P242" s="89"/>
      <c r="Q242" s="89"/>
      <c r="R242" s="89"/>
      <c r="S242" s="89"/>
      <c r="T242" s="89"/>
      <c r="U242" s="89"/>
      <c r="V242" s="89"/>
      <c r="W242" s="89"/>
      <c r="X242" s="89"/>
      <c r="Y242" s="89"/>
      <c r="Z242" s="89"/>
    </row>
    <row r="243" spans="3:26" ht="24" x14ac:dyDescent="0.2">
      <c r="C243" s="89"/>
      <c r="D243" s="561">
        <v>45503</v>
      </c>
      <c r="E243" s="189">
        <v>3.0000000000000001E-3</v>
      </c>
      <c r="F243" s="189" t="s">
        <v>467</v>
      </c>
      <c r="G243" s="189">
        <v>1E-3</v>
      </c>
      <c r="H243" s="187">
        <v>0.5</v>
      </c>
      <c r="I243" s="1073"/>
      <c r="J243" s="1074"/>
      <c r="K243" s="1075"/>
      <c r="L243" s="563">
        <v>0.72916666666666663</v>
      </c>
      <c r="M243" s="513"/>
      <c r="N243" s="168"/>
      <c r="O243" s="89"/>
      <c r="P243" s="89"/>
      <c r="Q243" s="89"/>
      <c r="R243" s="89"/>
      <c r="S243" s="89"/>
      <c r="T243" s="89"/>
      <c r="U243" s="89"/>
      <c r="V243" s="89"/>
      <c r="W243" s="89"/>
      <c r="X243" s="89"/>
      <c r="Y243" s="89"/>
      <c r="Z243" s="89"/>
    </row>
    <row r="244" spans="3:26" ht="48" x14ac:dyDescent="0.2">
      <c r="C244" s="89" t="s">
        <v>105</v>
      </c>
      <c r="D244" s="557" t="s">
        <v>30</v>
      </c>
      <c r="E244" s="1088" t="s">
        <v>9</v>
      </c>
      <c r="F244" s="1088"/>
      <c r="G244" s="1088"/>
      <c r="H244" s="167" t="s">
        <v>790</v>
      </c>
      <c r="I244" s="1093" t="s">
        <v>633</v>
      </c>
      <c r="J244" s="1094"/>
      <c r="K244" s="1095"/>
      <c r="L244" s="558" t="s">
        <v>430</v>
      </c>
      <c r="M244" s="420" t="s">
        <v>431</v>
      </c>
      <c r="N244" s="168" t="s">
        <v>105</v>
      </c>
      <c r="O244" s="118" t="s">
        <v>800</v>
      </c>
      <c r="P244" s="118" t="s">
        <v>801</v>
      </c>
      <c r="Q244" s="118" t="s">
        <v>802</v>
      </c>
      <c r="R244" s="118" t="s">
        <v>803</v>
      </c>
      <c r="S244" s="118" t="s">
        <v>804</v>
      </c>
      <c r="T244" s="118" t="s">
        <v>805</v>
      </c>
      <c r="U244" s="118" t="s">
        <v>806</v>
      </c>
      <c r="V244" s="118" t="s">
        <v>807</v>
      </c>
      <c r="W244" s="118" t="s">
        <v>808</v>
      </c>
      <c r="X244" s="118" t="s">
        <v>809</v>
      </c>
      <c r="Y244" s="118" t="s">
        <v>75</v>
      </c>
      <c r="Z244" s="118" t="s">
        <v>75</v>
      </c>
    </row>
    <row r="245" spans="3:26" ht="24" x14ac:dyDescent="0.2">
      <c r="C245" s="89"/>
      <c r="D245" s="546" t="s">
        <v>432</v>
      </c>
      <c r="E245" s="1092"/>
      <c r="F245" s="1092"/>
      <c r="G245" s="1092"/>
      <c r="H245" s="170" t="s">
        <v>796</v>
      </c>
      <c r="I245" s="1067" t="s">
        <v>840</v>
      </c>
      <c r="J245" s="1068"/>
      <c r="K245" s="1069"/>
      <c r="L245" s="559"/>
      <c r="M245" s="513"/>
      <c r="N245" s="168"/>
      <c r="O245" s="119" t="s">
        <v>810</v>
      </c>
      <c r="P245" s="120">
        <v>0.1</v>
      </c>
      <c r="Q245" s="121">
        <v>3.9E-2</v>
      </c>
      <c r="R245" s="122">
        <v>2.1000000000015007E-2</v>
      </c>
      <c r="S245" s="123"/>
      <c r="T245" s="119">
        <v>7.9500000000015003E-2</v>
      </c>
      <c r="U245" s="121">
        <v>-18.989999999999998</v>
      </c>
      <c r="V245" s="120">
        <v>91.8</v>
      </c>
      <c r="W245" s="123"/>
      <c r="X245" s="123"/>
      <c r="Y245" s="124"/>
      <c r="Z245" s="124"/>
    </row>
    <row r="246" spans="3:26" ht="24" x14ac:dyDescent="0.2">
      <c r="C246" s="89"/>
      <c r="D246" s="546" t="s">
        <v>433</v>
      </c>
      <c r="E246" s="1107">
        <v>0</v>
      </c>
      <c r="F246" s="1107"/>
      <c r="G246" s="1107"/>
      <c r="H246" s="170" t="s">
        <v>796</v>
      </c>
      <c r="I246" s="1070"/>
      <c r="J246" s="1071"/>
      <c r="K246" s="1072"/>
      <c r="L246" s="559"/>
      <c r="M246" s="513"/>
      <c r="N246" s="168"/>
      <c r="O246" s="125"/>
      <c r="P246" s="125"/>
      <c r="Q246" s="125"/>
      <c r="R246" s="126"/>
      <c r="S246" s="127"/>
      <c r="T246" s="125"/>
      <c r="U246" s="125"/>
      <c r="V246" s="125"/>
      <c r="W246" s="127"/>
      <c r="X246" s="127"/>
      <c r="Y246" s="128"/>
      <c r="Z246" s="128"/>
    </row>
    <row r="247" spans="3:26" ht="24" x14ac:dyDescent="0.2">
      <c r="C247" s="89"/>
      <c r="D247" s="546" t="s">
        <v>434</v>
      </c>
      <c r="E247" s="1107" t="s">
        <v>839</v>
      </c>
      <c r="F247" s="1107"/>
      <c r="G247" s="1107"/>
      <c r="H247" s="175"/>
      <c r="I247" s="1070"/>
      <c r="J247" s="1071"/>
      <c r="K247" s="1072"/>
      <c r="L247" s="559"/>
      <c r="M247" s="513"/>
      <c r="N247" s="168"/>
      <c r="O247" s="129" t="s">
        <v>811</v>
      </c>
      <c r="P247" s="130">
        <v>0.1</v>
      </c>
      <c r="Q247" s="131">
        <v>7.22E-2</v>
      </c>
      <c r="R247" s="132">
        <v>1.4999999999999999E-2</v>
      </c>
      <c r="S247" s="133">
        <v>1</v>
      </c>
      <c r="T247" s="129">
        <v>0.12330000000000001</v>
      </c>
      <c r="U247" s="134">
        <v>-29.452415094334064</v>
      </c>
      <c r="V247" s="135">
        <v>91.8</v>
      </c>
      <c r="W247" s="136">
        <v>4.88</v>
      </c>
      <c r="X247" s="137">
        <v>143.72778566035024</v>
      </c>
      <c r="Y247" s="138"/>
      <c r="Z247" s="138">
        <v>4.4350000000000005</v>
      </c>
    </row>
    <row r="248" spans="3:26" ht="24" x14ac:dyDescent="0.2">
      <c r="C248" s="89"/>
      <c r="D248" s="546" t="s">
        <v>435</v>
      </c>
      <c r="E248" s="1097">
        <v>0.72916666666666674</v>
      </c>
      <c r="F248" s="1097"/>
      <c r="G248" s="1097"/>
      <c r="H248" s="175"/>
      <c r="I248" s="1070"/>
      <c r="J248" s="1071"/>
      <c r="K248" s="1072"/>
      <c r="L248" s="560">
        <v>0.83333333333333337</v>
      </c>
      <c r="M248" s="514">
        <v>0.72916666666666674</v>
      </c>
      <c r="N248" s="168"/>
      <c r="O248" s="139" t="s">
        <v>812</v>
      </c>
      <c r="P248" s="140">
        <v>0.1</v>
      </c>
      <c r="Q248" s="141">
        <v>4.0533333333333338E-2</v>
      </c>
      <c r="R248" s="142">
        <v>1.4999999999999999E-2</v>
      </c>
      <c r="S248" s="143">
        <v>0.5</v>
      </c>
      <c r="T248" s="139">
        <v>7.5800000000000006E-2</v>
      </c>
      <c r="U248" s="144">
        <v>-9.0530943396209338</v>
      </c>
      <c r="V248" s="145">
        <v>91.8</v>
      </c>
      <c r="W248" s="146">
        <v>2.3650000000000002</v>
      </c>
      <c r="X248" s="147">
        <v>21.41056811320351</v>
      </c>
      <c r="Y248" s="148"/>
      <c r="Z248" s="148"/>
    </row>
    <row r="249" spans="3:26" ht="24" x14ac:dyDescent="0.2">
      <c r="C249" s="89"/>
      <c r="D249" s="546" t="s">
        <v>436</v>
      </c>
      <c r="E249" s="184" t="s">
        <v>29</v>
      </c>
      <c r="F249" s="184" t="s">
        <v>28</v>
      </c>
      <c r="G249" s="184" t="s">
        <v>27</v>
      </c>
      <c r="H249" s="175" t="s">
        <v>793</v>
      </c>
      <c r="I249" s="1070"/>
      <c r="J249" s="1071"/>
      <c r="K249" s="1072"/>
      <c r="L249" s="559"/>
      <c r="M249" s="513"/>
      <c r="N249" s="168"/>
      <c r="O249" s="127"/>
      <c r="P249" s="149"/>
      <c r="Q249" s="127"/>
      <c r="R249" s="127"/>
      <c r="S249" s="127"/>
      <c r="T249" s="127"/>
      <c r="U249" s="150"/>
      <c r="V249" s="151"/>
      <c r="W249" s="127"/>
      <c r="X249" s="150"/>
      <c r="Y249" s="128"/>
      <c r="Z249" s="128"/>
    </row>
    <row r="250" spans="3:26" ht="24" x14ac:dyDescent="0.2">
      <c r="C250" s="89"/>
      <c r="D250" s="561">
        <v>45588</v>
      </c>
      <c r="E250" s="201" t="s">
        <v>839</v>
      </c>
      <c r="F250" s="201" t="s">
        <v>891</v>
      </c>
      <c r="G250" s="201" t="s">
        <v>699</v>
      </c>
      <c r="H250" s="187">
        <v>0.72916666666666674</v>
      </c>
      <c r="I250" s="1070"/>
      <c r="J250" s="1071"/>
      <c r="K250" s="1072"/>
      <c r="L250" s="559"/>
      <c r="M250" s="513"/>
      <c r="N250" s="168"/>
      <c r="O250" s="152"/>
      <c r="P250" s="128"/>
      <c r="Q250" s="152"/>
      <c r="R250" s="152"/>
      <c r="S250" s="152"/>
      <c r="T250" s="152"/>
      <c r="U250" s="152"/>
      <c r="V250" s="152"/>
      <c r="W250" s="152"/>
      <c r="X250" s="152"/>
      <c r="Y250" s="128"/>
      <c r="Z250" s="128"/>
    </row>
    <row r="251" spans="3:26" ht="24" x14ac:dyDescent="0.2">
      <c r="C251" s="89"/>
      <c r="D251" s="561">
        <v>45582</v>
      </c>
      <c r="E251" s="201" t="s">
        <v>699</v>
      </c>
      <c r="F251" s="201" t="s">
        <v>731</v>
      </c>
      <c r="G251" s="201" t="s">
        <v>677</v>
      </c>
      <c r="H251" s="187">
        <v>0.72916666666666674</v>
      </c>
      <c r="I251" s="1070"/>
      <c r="J251" s="1071"/>
      <c r="K251" s="1072"/>
      <c r="L251" s="559"/>
      <c r="M251" s="513"/>
      <c r="N251" s="168"/>
      <c r="O251" s="119" t="s">
        <v>813</v>
      </c>
      <c r="P251" s="120">
        <v>0.25</v>
      </c>
      <c r="Q251" s="153">
        <v>4.0533333333333338E-2</v>
      </c>
      <c r="R251" s="154">
        <v>1.4999999999999999E-2</v>
      </c>
      <c r="S251" s="123">
        <v>0.5</v>
      </c>
      <c r="T251" s="120">
        <v>7.5800000000000006E-2</v>
      </c>
      <c r="U251" s="155">
        <v>-22.632735849052334</v>
      </c>
      <c r="V251" s="156">
        <v>229.5</v>
      </c>
      <c r="W251" s="123">
        <v>2</v>
      </c>
      <c r="X251" s="157">
        <v>45.265471698104669</v>
      </c>
      <c r="Y251" s="158" t="s">
        <v>814</v>
      </c>
      <c r="Z251" s="158"/>
    </row>
    <row r="252" spans="3:26" ht="24" x14ac:dyDescent="0.2">
      <c r="C252" s="89"/>
      <c r="D252" s="561">
        <v>45574</v>
      </c>
      <c r="E252" s="201" t="s">
        <v>677</v>
      </c>
      <c r="F252" s="201" t="s">
        <v>732</v>
      </c>
      <c r="G252" s="201" t="s">
        <v>637</v>
      </c>
      <c r="H252" s="187">
        <v>0.72916666666666674</v>
      </c>
      <c r="I252" s="1070"/>
      <c r="J252" s="1071"/>
      <c r="K252" s="1072"/>
      <c r="L252" s="562"/>
      <c r="M252" s="513"/>
      <c r="N252" s="168"/>
      <c r="O252" s="119" t="s">
        <v>813</v>
      </c>
      <c r="P252" s="120">
        <v>0.25</v>
      </c>
      <c r="Q252" s="153">
        <v>4.0533333333333338E-2</v>
      </c>
      <c r="R252" s="154">
        <v>1.4999999999999999E-2</v>
      </c>
      <c r="S252" s="123">
        <v>0.5</v>
      </c>
      <c r="T252" s="120">
        <v>7.5800000000000006E-2</v>
      </c>
      <c r="U252" s="155">
        <v>-22.349278350515466</v>
      </c>
      <c r="V252" s="156">
        <v>229.5</v>
      </c>
      <c r="W252" s="123">
        <v>2</v>
      </c>
      <c r="X252" s="157">
        <v>44.698556701030931</v>
      </c>
      <c r="Y252" s="158"/>
      <c r="Z252" s="158"/>
    </row>
    <row r="253" spans="3:26" ht="24" x14ac:dyDescent="0.2">
      <c r="C253" s="89"/>
      <c r="D253" s="561">
        <v>45567</v>
      </c>
      <c r="E253" s="201" t="s">
        <v>637</v>
      </c>
      <c r="F253" s="201" t="s">
        <v>733</v>
      </c>
      <c r="G253" s="201" t="s">
        <v>380</v>
      </c>
      <c r="H253" s="187">
        <v>0.72916666666666674</v>
      </c>
      <c r="I253" s="1070"/>
      <c r="J253" s="1071"/>
      <c r="K253" s="1072"/>
      <c r="L253" s="559"/>
      <c r="M253" s="513"/>
      <c r="N253" s="168"/>
      <c r="O253" s="119" t="s">
        <v>816</v>
      </c>
      <c r="P253" s="120"/>
      <c r="Q253" s="153"/>
      <c r="R253" s="154"/>
      <c r="S253" s="123"/>
      <c r="T253" s="120"/>
      <c r="U253" s="155">
        <v>-22.349278350515466</v>
      </c>
      <c r="V253" s="156"/>
      <c r="W253" s="123"/>
      <c r="X253" s="157">
        <v>44.698556701030931</v>
      </c>
      <c r="Y253" s="158"/>
      <c r="Z253" s="158"/>
    </row>
    <row r="254" spans="3:26" ht="24" x14ac:dyDescent="0.2">
      <c r="C254" s="89"/>
      <c r="D254" s="561">
        <v>45560</v>
      </c>
      <c r="E254" s="201" t="s">
        <v>380</v>
      </c>
      <c r="F254" s="201" t="s">
        <v>564</v>
      </c>
      <c r="G254" s="201" t="s">
        <v>337</v>
      </c>
      <c r="H254" s="187">
        <v>0.72916666666666674</v>
      </c>
      <c r="I254" s="1070"/>
      <c r="J254" s="1071"/>
      <c r="K254" s="1072"/>
      <c r="L254" s="559"/>
      <c r="M254" s="513"/>
      <c r="N254" s="168"/>
      <c r="O254" s="89"/>
      <c r="P254" s="89"/>
      <c r="Q254" s="89"/>
      <c r="R254" s="89"/>
      <c r="S254" s="89"/>
      <c r="T254" s="89"/>
      <c r="U254" s="89"/>
      <c r="V254" s="89"/>
      <c r="W254" s="89"/>
      <c r="X254" s="89"/>
      <c r="Y254" s="89"/>
      <c r="Z254" s="89"/>
    </row>
    <row r="255" spans="3:26" ht="24" x14ac:dyDescent="0.2">
      <c r="C255" s="89"/>
      <c r="D255" s="561">
        <v>45553</v>
      </c>
      <c r="E255" s="201" t="s">
        <v>337</v>
      </c>
      <c r="F255" s="201" t="s">
        <v>565</v>
      </c>
      <c r="G255" s="201" t="s">
        <v>339</v>
      </c>
      <c r="H255" s="187">
        <v>0.72916666666666674</v>
      </c>
      <c r="I255" s="1073"/>
      <c r="J255" s="1074"/>
      <c r="K255" s="1075"/>
      <c r="L255" s="559"/>
      <c r="M255" s="513"/>
      <c r="N255" s="168"/>
      <c r="O255" s="89"/>
      <c r="P255" s="89"/>
      <c r="Q255" s="89"/>
      <c r="R255" s="89"/>
      <c r="S255" s="89"/>
      <c r="T255" s="89"/>
      <c r="U255" s="89"/>
      <c r="V255" s="89"/>
      <c r="W255" s="89"/>
      <c r="X255" s="89"/>
      <c r="Y255" s="89"/>
      <c r="Z255" s="89"/>
    </row>
    <row r="256" spans="3:26" ht="48" x14ac:dyDescent="0.2">
      <c r="C256" s="89" t="s">
        <v>105</v>
      </c>
      <c r="D256" s="557" t="s">
        <v>30</v>
      </c>
      <c r="E256" s="1088" t="s">
        <v>842</v>
      </c>
      <c r="F256" s="1088"/>
      <c r="G256" s="1088"/>
      <c r="H256" s="167" t="s">
        <v>790</v>
      </c>
      <c r="I256" s="1093" t="s">
        <v>633</v>
      </c>
      <c r="J256" s="1094"/>
      <c r="K256" s="1095"/>
      <c r="L256" s="558" t="s">
        <v>430</v>
      </c>
      <c r="M256" s="420" t="s">
        <v>431</v>
      </c>
      <c r="N256" s="168" t="s">
        <v>105</v>
      </c>
      <c r="O256" s="118" t="s">
        <v>800</v>
      </c>
      <c r="P256" s="118" t="s">
        <v>801</v>
      </c>
      <c r="Q256" s="118" t="s">
        <v>802</v>
      </c>
      <c r="R256" s="118" t="s">
        <v>803</v>
      </c>
      <c r="S256" s="118" t="s">
        <v>804</v>
      </c>
      <c r="T256" s="118" t="s">
        <v>805</v>
      </c>
      <c r="U256" s="118" t="s">
        <v>806</v>
      </c>
      <c r="V256" s="118" t="s">
        <v>807</v>
      </c>
      <c r="W256" s="118" t="s">
        <v>808</v>
      </c>
      <c r="X256" s="118" t="s">
        <v>809</v>
      </c>
      <c r="Y256" s="118" t="s">
        <v>75</v>
      </c>
      <c r="Z256" s="118" t="s">
        <v>75</v>
      </c>
    </row>
    <row r="257" spans="3:26" ht="24" x14ac:dyDescent="0.2">
      <c r="C257" s="89"/>
      <c r="D257" s="546" t="s">
        <v>432</v>
      </c>
      <c r="E257" s="1092"/>
      <c r="F257" s="1092"/>
      <c r="G257" s="1092"/>
      <c r="H257" s="170" t="s">
        <v>911</v>
      </c>
      <c r="I257" s="1067" t="s">
        <v>843</v>
      </c>
      <c r="J257" s="1068"/>
      <c r="K257" s="1069"/>
      <c r="L257" s="559"/>
      <c r="M257" s="513"/>
      <c r="N257" s="168"/>
      <c r="O257" s="119" t="s">
        <v>810</v>
      </c>
      <c r="P257" s="120">
        <v>0.1</v>
      </c>
      <c r="Q257" s="121">
        <v>3.9E-2</v>
      </c>
      <c r="R257" s="122">
        <v>2.1000000000015007E-2</v>
      </c>
      <c r="S257" s="123"/>
      <c r="T257" s="119">
        <v>7.9500000000015003E-2</v>
      </c>
      <c r="U257" s="121">
        <v>-18.989999999999998</v>
      </c>
      <c r="V257" s="120">
        <v>91.8</v>
      </c>
      <c r="W257" s="123"/>
      <c r="X257" s="123"/>
      <c r="Y257" s="124"/>
      <c r="Z257" s="124"/>
    </row>
    <row r="258" spans="3:26" ht="24" x14ac:dyDescent="0.2">
      <c r="C258" s="89"/>
      <c r="D258" s="546" t="s">
        <v>433</v>
      </c>
      <c r="E258" s="1096">
        <v>50</v>
      </c>
      <c r="F258" s="1096"/>
      <c r="G258" s="1096"/>
      <c r="H258" s="170" t="s">
        <v>912</v>
      </c>
      <c r="I258" s="1070"/>
      <c r="J258" s="1071"/>
      <c r="K258" s="1072"/>
      <c r="L258" s="559"/>
      <c r="M258" s="513"/>
      <c r="N258" s="168"/>
      <c r="O258" s="125"/>
      <c r="P258" s="125"/>
      <c r="Q258" s="125"/>
      <c r="R258" s="126"/>
      <c r="S258" s="127"/>
      <c r="T258" s="125"/>
      <c r="U258" s="125"/>
      <c r="V258" s="125"/>
      <c r="W258" s="127"/>
      <c r="X258" s="127"/>
      <c r="Y258" s="128"/>
      <c r="Z258" s="128"/>
    </row>
    <row r="259" spans="3:26" ht="24" x14ac:dyDescent="0.2">
      <c r="C259" s="89"/>
      <c r="D259" s="546" t="s">
        <v>434</v>
      </c>
      <c r="E259" s="1096">
        <v>49.8</v>
      </c>
      <c r="F259" s="1096"/>
      <c r="G259" s="1096"/>
      <c r="H259" s="175"/>
      <c r="I259" s="1070"/>
      <c r="J259" s="1071"/>
      <c r="K259" s="1072"/>
      <c r="L259" s="559"/>
      <c r="M259" s="513"/>
      <c r="N259" s="168"/>
      <c r="O259" s="129" t="s">
        <v>811</v>
      </c>
      <c r="P259" s="130">
        <v>0.1</v>
      </c>
      <c r="Q259" s="131">
        <v>7.22E-2</v>
      </c>
      <c r="R259" s="132">
        <v>1.4999999999999999E-2</v>
      </c>
      <c r="S259" s="133">
        <v>1</v>
      </c>
      <c r="T259" s="129">
        <v>0.12330000000000001</v>
      </c>
      <c r="U259" s="134">
        <v>-29.452415094334064</v>
      </c>
      <c r="V259" s="135">
        <v>91.8</v>
      </c>
      <c r="W259" s="136">
        <v>4.88</v>
      </c>
      <c r="X259" s="137">
        <v>143.72778566035024</v>
      </c>
      <c r="Y259" s="138"/>
      <c r="Z259" s="138">
        <v>4.4350000000000005</v>
      </c>
    </row>
    <row r="260" spans="3:26" ht="24" x14ac:dyDescent="0.2">
      <c r="C260" s="89"/>
      <c r="D260" s="546" t="s">
        <v>435</v>
      </c>
      <c r="E260" s="1099">
        <v>6.2500000000000028E-2</v>
      </c>
      <c r="F260" s="1099"/>
      <c r="G260" s="1099"/>
      <c r="H260" s="175"/>
      <c r="I260" s="1070"/>
      <c r="J260" s="1071"/>
      <c r="K260" s="1072"/>
      <c r="L260" s="560">
        <v>0.29166666666666669</v>
      </c>
      <c r="M260" s="514">
        <v>0.1875</v>
      </c>
      <c r="N260" s="168"/>
      <c r="O260" s="139" t="s">
        <v>812</v>
      </c>
      <c r="P260" s="140">
        <v>0.1</v>
      </c>
      <c r="Q260" s="141">
        <v>4.0533333333333338E-2</v>
      </c>
      <c r="R260" s="142">
        <v>1.4999999999999999E-2</v>
      </c>
      <c r="S260" s="143">
        <v>0.5</v>
      </c>
      <c r="T260" s="139">
        <v>7.5800000000000006E-2</v>
      </c>
      <c r="U260" s="144">
        <v>-9.0530943396209338</v>
      </c>
      <c r="V260" s="145">
        <v>91.8</v>
      </c>
      <c r="W260" s="146">
        <v>2.3650000000000002</v>
      </c>
      <c r="X260" s="147">
        <v>21.41056811320351</v>
      </c>
      <c r="Y260" s="148"/>
      <c r="Z260" s="148"/>
    </row>
    <row r="261" spans="3:26" ht="24" x14ac:dyDescent="0.2">
      <c r="C261" s="89"/>
      <c r="D261" s="546" t="s">
        <v>436</v>
      </c>
      <c r="E261" s="184" t="s">
        <v>29</v>
      </c>
      <c r="F261" s="184" t="s">
        <v>28</v>
      </c>
      <c r="G261" s="184" t="s">
        <v>27</v>
      </c>
      <c r="H261" s="175" t="s">
        <v>793</v>
      </c>
      <c r="I261" s="1070"/>
      <c r="J261" s="1071"/>
      <c r="K261" s="1072"/>
      <c r="L261" s="559"/>
      <c r="M261" s="513"/>
      <c r="N261" s="168"/>
      <c r="O261" s="127"/>
      <c r="P261" s="149"/>
      <c r="Q261" s="127"/>
      <c r="R261" s="127"/>
      <c r="S261" s="127"/>
      <c r="T261" s="127"/>
      <c r="U261" s="150"/>
      <c r="V261" s="151"/>
      <c r="W261" s="127"/>
      <c r="X261" s="150"/>
      <c r="Y261" s="128"/>
      <c r="Z261" s="128"/>
    </row>
    <row r="262" spans="3:26" ht="24" x14ac:dyDescent="0.2">
      <c r="C262" s="89"/>
      <c r="D262" s="561">
        <v>45565</v>
      </c>
      <c r="E262" s="201">
        <v>49.8</v>
      </c>
      <c r="F262" s="201" t="s">
        <v>440</v>
      </c>
      <c r="G262" s="201">
        <v>49.1</v>
      </c>
      <c r="H262" s="187">
        <v>6.2500000000000028E-2</v>
      </c>
      <c r="I262" s="1070"/>
      <c r="J262" s="1071"/>
      <c r="K262" s="1072"/>
      <c r="L262" s="559"/>
      <c r="M262" s="513"/>
      <c r="N262" s="168"/>
      <c r="O262" s="152"/>
      <c r="P262" s="128"/>
      <c r="Q262" s="152"/>
      <c r="R262" s="152"/>
      <c r="S262" s="152"/>
      <c r="T262" s="152"/>
      <c r="U262" s="152"/>
      <c r="V262" s="152"/>
      <c r="W262" s="152"/>
      <c r="X262" s="152"/>
      <c r="Y262" s="128"/>
      <c r="Z262" s="128"/>
    </row>
    <row r="263" spans="3:26" ht="24" x14ac:dyDescent="0.2">
      <c r="C263" s="89"/>
      <c r="D263" s="561">
        <v>45535</v>
      </c>
      <c r="E263" s="201">
        <v>49.1</v>
      </c>
      <c r="F263" s="201" t="s">
        <v>438</v>
      </c>
      <c r="G263" s="201">
        <v>49.4</v>
      </c>
      <c r="H263" s="187">
        <v>6.2500000000000028E-2</v>
      </c>
      <c r="I263" s="1070"/>
      <c r="J263" s="1071"/>
      <c r="K263" s="1072"/>
      <c r="L263" s="559"/>
      <c r="M263" s="513"/>
      <c r="N263" s="168"/>
      <c r="O263" s="119" t="s">
        <v>813</v>
      </c>
      <c r="P263" s="120">
        <v>0.25</v>
      </c>
      <c r="Q263" s="153">
        <v>4.0533333333333338E-2</v>
      </c>
      <c r="R263" s="154">
        <v>1.4999999999999999E-2</v>
      </c>
      <c r="S263" s="123">
        <v>0.5</v>
      </c>
      <c r="T263" s="120">
        <v>7.5800000000000006E-2</v>
      </c>
      <c r="U263" s="155">
        <v>-22.632735849052334</v>
      </c>
      <c r="V263" s="156">
        <v>229.5</v>
      </c>
      <c r="W263" s="123">
        <v>2</v>
      </c>
      <c r="X263" s="157">
        <v>45.265471698104669</v>
      </c>
      <c r="Y263" s="158" t="s">
        <v>814</v>
      </c>
      <c r="Z263" s="158"/>
    </row>
    <row r="264" spans="3:26" ht="24" x14ac:dyDescent="0.2">
      <c r="C264" s="89"/>
      <c r="D264" s="561">
        <v>45504</v>
      </c>
      <c r="E264" s="201">
        <v>49.4</v>
      </c>
      <c r="F264" s="201" t="s">
        <v>440</v>
      </c>
      <c r="G264" s="201">
        <v>49.5</v>
      </c>
      <c r="H264" s="187">
        <v>6.2500000000000028E-2</v>
      </c>
      <c r="I264" s="1070"/>
      <c r="J264" s="1071"/>
      <c r="K264" s="1072"/>
      <c r="L264" s="562"/>
      <c r="M264" s="513"/>
      <c r="N264" s="168"/>
      <c r="O264" s="119" t="s">
        <v>813</v>
      </c>
      <c r="P264" s="120">
        <v>0.25</v>
      </c>
      <c r="Q264" s="153">
        <v>4.0533333333333338E-2</v>
      </c>
      <c r="R264" s="154">
        <v>1.4999999999999999E-2</v>
      </c>
      <c r="S264" s="123">
        <v>0.5</v>
      </c>
      <c r="T264" s="120">
        <v>7.5800000000000006E-2</v>
      </c>
      <c r="U264" s="155">
        <v>-22.349278350515466</v>
      </c>
      <c r="V264" s="156">
        <v>229.5</v>
      </c>
      <c r="W264" s="123">
        <v>2</v>
      </c>
      <c r="X264" s="157">
        <v>44.698556701030931</v>
      </c>
      <c r="Y264" s="158"/>
      <c r="Z264" s="158"/>
    </row>
    <row r="265" spans="3:26" ht="24" x14ac:dyDescent="0.2">
      <c r="C265" s="89"/>
      <c r="D265" s="561">
        <v>45473</v>
      </c>
      <c r="E265" s="201">
        <v>49.5</v>
      </c>
      <c r="F265" s="201" t="s">
        <v>438</v>
      </c>
      <c r="G265" s="201">
        <v>49.5</v>
      </c>
      <c r="H265" s="187">
        <v>6.2500000000000028E-2</v>
      </c>
      <c r="I265" s="1070"/>
      <c r="J265" s="1071"/>
      <c r="K265" s="1072"/>
      <c r="L265" s="559"/>
      <c r="M265" s="513"/>
      <c r="N265" s="168"/>
      <c r="O265" s="119" t="s">
        <v>816</v>
      </c>
      <c r="P265" s="120"/>
      <c r="Q265" s="153"/>
      <c r="R265" s="154"/>
      <c r="S265" s="123"/>
      <c r="T265" s="120"/>
      <c r="U265" s="155">
        <v>-22.349278350515466</v>
      </c>
      <c r="V265" s="156"/>
      <c r="W265" s="123"/>
      <c r="X265" s="157">
        <v>44.698556701030931</v>
      </c>
      <c r="Y265" s="158"/>
      <c r="Z265" s="158"/>
    </row>
    <row r="266" spans="3:26" ht="24" x14ac:dyDescent="0.2">
      <c r="C266" s="89"/>
      <c r="D266" s="561">
        <v>45443</v>
      </c>
      <c r="E266" s="201">
        <v>49.5</v>
      </c>
      <c r="F266" s="201" t="s">
        <v>443</v>
      </c>
      <c r="G266" s="201">
        <v>50.4</v>
      </c>
      <c r="H266" s="187">
        <v>6.2500000000000028E-2</v>
      </c>
      <c r="I266" s="1070"/>
      <c r="J266" s="1071"/>
      <c r="K266" s="1072"/>
      <c r="L266" s="559"/>
      <c r="M266" s="513"/>
      <c r="N266" s="168"/>
      <c r="O266" s="89"/>
      <c r="P266" s="89"/>
      <c r="Q266" s="89"/>
      <c r="R266" s="89"/>
      <c r="S266" s="89"/>
      <c r="T266" s="89"/>
      <c r="U266" s="89"/>
      <c r="V266" s="89"/>
      <c r="W266" s="89"/>
      <c r="X266" s="89"/>
      <c r="Y266" s="89"/>
      <c r="Z266" s="89"/>
    </row>
    <row r="267" spans="3:26" ht="24" x14ac:dyDescent="0.2">
      <c r="C267" s="89"/>
      <c r="D267" s="561">
        <v>45412</v>
      </c>
      <c r="E267" s="201">
        <v>50.4</v>
      </c>
      <c r="F267" s="201" t="s">
        <v>445</v>
      </c>
      <c r="G267" s="201">
        <v>50.8</v>
      </c>
      <c r="H267" s="187">
        <v>6.2500000000000028E-2</v>
      </c>
      <c r="I267" s="1073"/>
      <c r="J267" s="1074"/>
      <c r="K267" s="1075"/>
      <c r="L267" s="559"/>
      <c r="M267" s="513"/>
      <c r="N267" s="168"/>
      <c r="O267" s="89"/>
      <c r="P267" s="89"/>
      <c r="Q267" s="89"/>
      <c r="R267" s="89"/>
      <c r="S267" s="89"/>
      <c r="T267" s="89"/>
      <c r="U267" s="89"/>
      <c r="V267" s="89"/>
      <c r="W267" s="89"/>
      <c r="X267" s="89"/>
      <c r="Y267" s="89"/>
      <c r="Z267" s="89"/>
    </row>
    <row r="268" spans="3:26" ht="48" x14ac:dyDescent="0.2">
      <c r="C268" s="89" t="s">
        <v>105</v>
      </c>
      <c r="D268" s="557" t="s">
        <v>30</v>
      </c>
      <c r="E268" s="1088" t="s">
        <v>118</v>
      </c>
      <c r="F268" s="1088"/>
      <c r="G268" s="1088"/>
      <c r="H268" s="167" t="s">
        <v>790</v>
      </c>
      <c r="I268" s="1093" t="s">
        <v>633</v>
      </c>
      <c r="J268" s="1094"/>
      <c r="K268" s="1095"/>
      <c r="L268" s="558" t="s">
        <v>430</v>
      </c>
      <c r="M268" s="420" t="s">
        <v>431</v>
      </c>
      <c r="N268" s="168" t="s">
        <v>105</v>
      </c>
      <c r="O268" s="118" t="s">
        <v>800</v>
      </c>
      <c r="P268" s="118" t="s">
        <v>801</v>
      </c>
      <c r="Q268" s="118" t="s">
        <v>802</v>
      </c>
      <c r="R268" s="118" t="s">
        <v>803</v>
      </c>
      <c r="S268" s="118" t="s">
        <v>804</v>
      </c>
      <c r="T268" s="118" t="s">
        <v>805</v>
      </c>
      <c r="U268" s="118" t="s">
        <v>806</v>
      </c>
      <c r="V268" s="118" t="s">
        <v>807</v>
      </c>
      <c r="W268" s="118" t="s">
        <v>808</v>
      </c>
      <c r="X268" s="118" t="s">
        <v>809</v>
      </c>
      <c r="Y268" s="118" t="s">
        <v>75</v>
      </c>
      <c r="Z268" s="118" t="s">
        <v>75</v>
      </c>
    </row>
    <row r="269" spans="3:26" ht="24" x14ac:dyDescent="0.2">
      <c r="C269" s="89"/>
      <c r="D269" s="546" t="s">
        <v>432</v>
      </c>
      <c r="E269" s="1092"/>
      <c r="F269" s="1092"/>
      <c r="G269" s="1092"/>
      <c r="H269" s="170" t="s">
        <v>794</v>
      </c>
      <c r="I269" s="1067" t="s">
        <v>844</v>
      </c>
      <c r="J269" s="1068"/>
      <c r="K269" s="1069"/>
      <c r="L269" s="559"/>
      <c r="M269" s="513"/>
      <c r="N269" s="168"/>
      <c r="O269" s="119" t="s">
        <v>810</v>
      </c>
      <c r="P269" s="171">
        <v>0.1</v>
      </c>
      <c r="Q269" s="172">
        <v>2.1000000000000001E-2</v>
      </c>
      <c r="R269" s="172">
        <v>1.5999999999991132E-2</v>
      </c>
      <c r="S269" s="123"/>
      <c r="T269" s="119">
        <v>8.0999999999986805E-2</v>
      </c>
      <c r="U269" s="172">
        <v>-11.31</v>
      </c>
      <c r="V269" s="172">
        <v>91.8</v>
      </c>
      <c r="W269" s="172"/>
      <c r="X269" s="157"/>
      <c r="Y269" s="124"/>
      <c r="Z269" s="124"/>
    </row>
    <row r="270" spans="3:26" ht="24" x14ac:dyDescent="0.2">
      <c r="C270" s="89"/>
      <c r="D270" s="546" t="s">
        <v>433</v>
      </c>
      <c r="E270" s="1098">
        <v>2.5000000000000001E-3</v>
      </c>
      <c r="F270" s="1098"/>
      <c r="G270" s="1098"/>
      <c r="H270" s="170" t="s">
        <v>795</v>
      </c>
      <c r="I270" s="1070"/>
      <c r="J270" s="1071"/>
      <c r="K270" s="1072"/>
      <c r="L270" s="559"/>
      <c r="M270" s="513"/>
      <c r="N270" s="168"/>
      <c r="O270" s="125"/>
      <c r="P270" s="125"/>
      <c r="Q270" s="125"/>
      <c r="R270" s="126"/>
      <c r="S270" s="127"/>
      <c r="T270" s="125"/>
      <c r="U270" s="125"/>
      <c r="V270" s="125"/>
      <c r="W270" s="125"/>
      <c r="X270" s="127"/>
      <c r="Y270" s="128"/>
      <c r="Z270" s="128"/>
    </row>
    <row r="271" spans="3:26" ht="24" x14ac:dyDescent="0.2">
      <c r="C271" s="89"/>
      <c r="D271" s="546" t="s">
        <v>434</v>
      </c>
      <c r="E271" s="1098">
        <v>2.5000000000000001E-3</v>
      </c>
      <c r="F271" s="1098"/>
      <c r="G271" s="1098"/>
      <c r="H271" s="175"/>
      <c r="I271" s="1070"/>
      <c r="J271" s="1071"/>
      <c r="K271" s="1072"/>
      <c r="L271" s="559"/>
      <c r="M271" s="513"/>
      <c r="N271" s="168"/>
      <c r="O271" s="129" t="s">
        <v>811</v>
      </c>
      <c r="P271" s="176">
        <v>0.1</v>
      </c>
      <c r="Q271" s="177">
        <v>0.13039999999999999</v>
      </c>
      <c r="R271" s="178">
        <v>1.4999999999999999E-2</v>
      </c>
      <c r="S271" s="190">
        <v>1</v>
      </c>
      <c r="T271" s="129">
        <v>0.21060000000000001</v>
      </c>
      <c r="U271" s="134">
        <v>-29.406000000004795</v>
      </c>
      <c r="V271" s="135">
        <v>91.8</v>
      </c>
      <c r="W271" s="191">
        <v>2.4300000000000002</v>
      </c>
      <c r="X271" s="137">
        <v>71.456580000011655</v>
      </c>
      <c r="Y271" s="138"/>
      <c r="Z271" s="138"/>
    </row>
    <row r="272" spans="3:26" ht="24" x14ac:dyDescent="0.2">
      <c r="C272" s="89"/>
      <c r="D272" s="546" t="s">
        <v>435</v>
      </c>
      <c r="E272" s="1099">
        <v>0.12500000000000003</v>
      </c>
      <c r="F272" s="1099"/>
      <c r="G272" s="1099"/>
      <c r="H272" s="175"/>
      <c r="I272" s="1070"/>
      <c r="J272" s="1071"/>
      <c r="K272" s="1072"/>
      <c r="L272" s="560">
        <v>0.35416666666666669</v>
      </c>
      <c r="M272" s="514">
        <v>0.25</v>
      </c>
      <c r="N272" s="168"/>
      <c r="O272" s="139" t="s">
        <v>812</v>
      </c>
      <c r="P272" s="180">
        <v>0.1</v>
      </c>
      <c r="Q272" s="160">
        <v>0.13473333333333334</v>
      </c>
      <c r="R272" s="181">
        <v>1.4999999999999999E-2</v>
      </c>
      <c r="S272" s="192">
        <v>1</v>
      </c>
      <c r="T272" s="182">
        <v>0.21709999999999999</v>
      </c>
      <c r="U272" s="144">
        <v>-30.31359259259753</v>
      </c>
      <c r="V272" s="145">
        <v>91.8</v>
      </c>
      <c r="W272" s="193">
        <v>2.48</v>
      </c>
      <c r="X272" s="147">
        <v>75.177709629641868</v>
      </c>
      <c r="Y272" s="148"/>
      <c r="Z272" s="148"/>
    </row>
    <row r="273" spans="3:26" ht="24" x14ac:dyDescent="0.2">
      <c r="C273" s="89"/>
      <c r="D273" s="546" t="s">
        <v>436</v>
      </c>
      <c r="E273" s="184" t="s">
        <v>29</v>
      </c>
      <c r="F273" s="184" t="s">
        <v>28</v>
      </c>
      <c r="G273" s="184" t="s">
        <v>27</v>
      </c>
      <c r="H273" s="175" t="s">
        <v>793</v>
      </c>
      <c r="I273" s="1070"/>
      <c r="J273" s="1071"/>
      <c r="K273" s="1072"/>
      <c r="L273" s="559"/>
      <c r="M273" s="513"/>
      <c r="N273" s="168"/>
      <c r="O273" s="127"/>
      <c r="P273" s="149"/>
      <c r="Q273" s="127"/>
      <c r="R273" s="127"/>
      <c r="S273" s="194"/>
      <c r="T273" s="127"/>
      <c r="U273" s="150"/>
      <c r="V273" s="151"/>
      <c r="W273" s="195"/>
      <c r="X273" s="150"/>
      <c r="Y273" s="128"/>
      <c r="Z273" s="128"/>
    </row>
    <row r="274" spans="3:26" ht="24" x14ac:dyDescent="0.2">
      <c r="C274" s="89"/>
      <c r="D274" s="561">
        <v>45555</v>
      </c>
      <c r="E274" s="204">
        <v>2.5000000000000001E-3</v>
      </c>
      <c r="F274" s="204" t="s">
        <v>892</v>
      </c>
      <c r="G274" s="204">
        <v>2.5000000000000001E-3</v>
      </c>
      <c r="H274" s="187">
        <v>1.125</v>
      </c>
      <c r="I274" s="1070"/>
      <c r="J274" s="1071"/>
      <c r="K274" s="1072"/>
      <c r="L274" s="563">
        <v>1.3541666666666667</v>
      </c>
      <c r="M274" s="515">
        <v>1.25</v>
      </c>
      <c r="N274" s="168"/>
      <c r="O274" s="152"/>
      <c r="P274" s="128"/>
      <c r="Q274" s="152"/>
      <c r="R274" s="152"/>
      <c r="S274" s="194"/>
      <c r="T274" s="152"/>
      <c r="U274" s="152"/>
      <c r="V274" s="152"/>
      <c r="W274" s="197"/>
      <c r="X274" s="152"/>
      <c r="Y274" s="128"/>
      <c r="Z274" s="128"/>
    </row>
    <row r="275" spans="3:26" ht="24" x14ac:dyDescent="0.2">
      <c r="C275" s="89"/>
      <c r="D275" s="561">
        <v>45504</v>
      </c>
      <c r="E275" s="204">
        <v>2.5000000000000001E-3</v>
      </c>
      <c r="F275" s="204" t="s">
        <v>893</v>
      </c>
      <c r="G275" s="204">
        <v>1E-3</v>
      </c>
      <c r="H275" s="187">
        <v>0.16666666666666671</v>
      </c>
      <c r="I275" s="1070"/>
      <c r="J275" s="1071"/>
      <c r="K275" s="1072"/>
      <c r="L275" s="563">
        <v>0.39583333333333337</v>
      </c>
      <c r="M275" s="515">
        <v>0.29166666666666669</v>
      </c>
      <c r="N275" s="168"/>
      <c r="O275" s="119" t="s">
        <v>813</v>
      </c>
      <c r="P275" s="202">
        <v>-0.1</v>
      </c>
      <c r="Q275" s="153">
        <v>0.13473333333333334</v>
      </c>
      <c r="R275" s="154">
        <v>1.4999999999999999E-2</v>
      </c>
      <c r="S275" s="198">
        <v>-1</v>
      </c>
      <c r="T275" s="199">
        <v>0.21709999999999999</v>
      </c>
      <c r="U275" s="155">
        <v>-30.31359259259753</v>
      </c>
      <c r="V275" s="156">
        <v>91.8</v>
      </c>
      <c r="W275" s="200">
        <v>2</v>
      </c>
      <c r="X275" s="157">
        <v>60.62718518519506</v>
      </c>
      <c r="Y275" s="158" t="s">
        <v>814</v>
      </c>
      <c r="Z275" s="158"/>
    </row>
    <row r="276" spans="3:26" ht="24" x14ac:dyDescent="0.2">
      <c r="C276" s="89"/>
      <c r="D276" s="561">
        <v>45457</v>
      </c>
      <c r="E276" s="204">
        <v>1E-3</v>
      </c>
      <c r="F276" s="204" t="s">
        <v>893</v>
      </c>
      <c r="G276" s="204">
        <v>1E-3</v>
      </c>
      <c r="H276" s="187">
        <v>1.1423611111111112</v>
      </c>
      <c r="I276" s="1070"/>
      <c r="J276" s="1071"/>
      <c r="K276" s="1072"/>
      <c r="L276" s="563">
        <v>1.3715277777777779</v>
      </c>
      <c r="M276" s="515">
        <v>1.2673611111111112</v>
      </c>
      <c r="N276" s="168"/>
      <c r="O276" s="119"/>
      <c r="P276" s="120"/>
      <c r="Q276" s="153"/>
      <c r="R276" s="154"/>
      <c r="S276" s="123"/>
      <c r="T276" s="120"/>
      <c r="U276" s="155"/>
      <c r="V276" s="156"/>
      <c r="W276" s="123"/>
      <c r="X276" s="157"/>
      <c r="Y276" s="158"/>
      <c r="Z276" s="158"/>
    </row>
    <row r="277" spans="3:26" ht="24" x14ac:dyDescent="0.2">
      <c r="C277" s="89"/>
      <c r="D277" s="561">
        <v>45408</v>
      </c>
      <c r="E277" s="204">
        <v>1E-3</v>
      </c>
      <c r="F277" s="204" t="s">
        <v>893</v>
      </c>
      <c r="G277" s="204">
        <v>1E-3</v>
      </c>
      <c r="H277" s="187">
        <v>1.125</v>
      </c>
      <c r="I277" s="1070"/>
      <c r="J277" s="1071"/>
      <c r="K277" s="1072"/>
      <c r="L277" s="563">
        <v>1.3541666666666667</v>
      </c>
      <c r="M277" s="515">
        <v>1.25</v>
      </c>
      <c r="N277" s="168"/>
      <c r="O277" s="119"/>
      <c r="P277" s="120"/>
      <c r="Q277" s="153"/>
      <c r="R277" s="154"/>
      <c r="S277" s="123"/>
      <c r="T277" s="120"/>
      <c r="U277" s="155"/>
      <c r="V277" s="156"/>
      <c r="W277" s="123"/>
      <c r="X277" s="157"/>
      <c r="Y277" s="158"/>
      <c r="Z277" s="158"/>
    </row>
    <row r="278" spans="3:26" ht="24" x14ac:dyDescent="0.2">
      <c r="C278" s="89"/>
      <c r="D278" s="561">
        <v>45370</v>
      </c>
      <c r="E278" s="204">
        <v>1E-3</v>
      </c>
      <c r="F278" s="204" t="s">
        <v>893</v>
      </c>
      <c r="G278" s="204">
        <v>-1E-3</v>
      </c>
      <c r="H278" s="187">
        <v>1.1493055555555556</v>
      </c>
      <c r="I278" s="1070"/>
      <c r="J278" s="1071"/>
      <c r="K278" s="1072"/>
      <c r="L278" s="563">
        <v>1.3784722222222223</v>
      </c>
      <c r="M278" s="515">
        <v>1.2743055555555556</v>
      </c>
      <c r="N278" s="168"/>
      <c r="O278" s="89"/>
      <c r="P278" s="89"/>
      <c r="Q278" s="89"/>
      <c r="R278" s="89"/>
      <c r="S278" s="89"/>
      <c r="T278" s="89"/>
      <c r="U278" s="89"/>
      <c r="V278" s="89"/>
      <c r="W278" s="89"/>
      <c r="X278" s="89"/>
      <c r="Y278" s="89"/>
      <c r="Z278" s="89"/>
    </row>
    <row r="279" spans="3:26" ht="24" x14ac:dyDescent="0.2">
      <c r="C279" s="89"/>
      <c r="D279" s="561">
        <v>45314</v>
      </c>
      <c r="E279" s="204">
        <v>-1E-3</v>
      </c>
      <c r="F279" s="204" t="s">
        <v>894</v>
      </c>
      <c r="G279" s="204">
        <v>-1E-3</v>
      </c>
      <c r="H279" s="187">
        <v>1.125</v>
      </c>
      <c r="I279" s="1073"/>
      <c r="J279" s="1074"/>
      <c r="K279" s="1075"/>
      <c r="L279" s="563">
        <v>1.3541666666666667</v>
      </c>
      <c r="M279" s="515">
        <v>1.25</v>
      </c>
      <c r="N279" s="168"/>
      <c r="O279" s="89"/>
      <c r="P279" s="89"/>
      <c r="Q279" s="89"/>
      <c r="R279" s="89"/>
      <c r="S279" s="89"/>
      <c r="T279" s="89"/>
      <c r="U279" s="89"/>
      <c r="V279" s="89"/>
      <c r="W279" s="89"/>
      <c r="X279" s="89"/>
      <c r="Y279" s="89"/>
      <c r="Z279" s="89"/>
    </row>
    <row r="280" spans="3:26" ht="48" x14ac:dyDescent="0.2">
      <c r="C280" s="89" t="s">
        <v>105</v>
      </c>
      <c r="D280" s="557" t="s">
        <v>30</v>
      </c>
      <c r="E280" s="1088" t="s">
        <v>845</v>
      </c>
      <c r="F280" s="1088"/>
      <c r="G280" s="1088"/>
      <c r="H280" s="167" t="s">
        <v>790</v>
      </c>
      <c r="I280" s="1093" t="s">
        <v>633</v>
      </c>
      <c r="J280" s="1094"/>
      <c r="K280" s="1095"/>
      <c r="L280" s="558" t="s">
        <v>430</v>
      </c>
      <c r="M280" s="420" t="s">
        <v>431</v>
      </c>
      <c r="N280" s="168" t="s">
        <v>105</v>
      </c>
      <c r="O280" s="118" t="s">
        <v>800</v>
      </c>
      <c r="P280" s="118" t="s">
        <v>801</v>
      </c>
      <c r="Q280" s="118" t="s">
        <v>802</v>
      </c>
      <c r="R280" s="118" t="s">
        <v>803</v>
      </c>
      <c r="S280" s="118" t="s">
        <v>804</v>
      </c>
      <c r="T280" s="118" t="s">
        <v>805</v>
      </c>
      <c r="U280" s="118" t="s">
        <v>806</v>
      </c>
      <c r="V280" s="118" t="s">
        <v>807</v>
      </c>
      <c r="W280" s="118" t="s">
        <v>808</v>
      </c>
      <c r="X280" s="118" t="s">
        <v>809</v>
      </c>
      <c r="Y280" s="118" t="s">
        <v>75</v>
      </c>
      <c r="Z280" s="118" t="s">
        <v>75</v>
      </c>
    </row>
    <row r="281" spans="3:26" ht="24" x14ac:dyDescent="0.2">
      <c r="C281" s="89"/>
      <c r="D281" s="546" t="s">
        <v>432</v>
      </c>
      <c r="E281" s="1092"/>
      <c r="F281" s="1092"/>
      <c r="G281" s="1092"/>
      <c r="H281" s="170" t="s">
        <v>909</v>
      </c>
      <c r="I281" s="1067" t="s">
        <v>846</v>
      </c>
      <c r="J281" s="1068"/>
      <c r="K281" s="1069"/>
      <c r="L281" s="559"/>
      <c r="M281" s="513"/>
      <c r="N281" s="168"/>
      <c r="O281" s="119" t="s">
        <v>810</v>
      </c>
      <c r="P281" s="120">
        <v>0.1</v>
      </c>
      <c r="Q281" s="121">
        <v>3.9E-2</v>
      </c>
      <c r="R281" s="122">
        <v>2.1000000000015007E-2</v>
      </c>
      <c r="S281" s="123"/>
      <c r="T281" s="119">
        <v>7.9500000000015003E-2</v>
      </c>
      <c r="U281" s="121">
        <v>-18.989999999999998</v>
      </c>
      <c r="V281" s="120">
        <v>91.8</v>
      </c>
      <c r="W281" s="123"/>
      <c r="X281" s="123"/>
      <c r="Y281" s="124"/>
      <c r="Z281" s="124"/>
    </row>
    <row r="282" spans="3:26" ht="24" x14ac:dyDescent="0.2">
      <c r="C282" s="89"/>
      <c r="D282" s="546" t="s">
        <v>433</v>
      </c>
      <c r="E282" s="1109">
        <v>1.9E-2</v>
      </c>
      <c r="F282" s="1109"/>
      <c r="G282" s="1109"/>
      <c r="H282" s="170" t="s">
        <v>910</v>
      </c>
      <c r="I282" s="1070"/>
      <c r="J282" s="1071"/>
      <c r="K282" s="1072"/>
      <c r="L282" s="559"/>
      <c r="M282" s="513"/>
      <c r="N282" s="168"/>
      <c r="O282" s="125"/>
      <c r="P282" s="125"/>
      <c r="Q282" s="125"/>
      <c r="R282" s="126"/>
      <c r="S282" s="127"/>
      <c r="T282" s="125"/>
      <c r="U282" s="125"/>
      <c r="V282" s="125"/>
      <c r="W282" s="127"/>
      <c r="X282" s="127"/>
      <c r="Y282" s="128"/>
      <c r="Z282" s="128"/>
    </row>
    <row r="283" spans="3:26" ht="24" x14ac:dyDescent="0.2">
      <c r="C283" s="89"/>
      <c r="D283" s="546" t="s">
        <v>434</v>
      </c>
      <c r="E283" s="1109">
        <v>1.7000000000000001E-2</v>
      </c>
      <c r="F283" s="1109"/>
      <c r="G283" s="1109"/>
      <c r="H283" s="175"/>
      <c r="I283" s="1070"/>
      <c r="J283" s="1071"/>
      <c r="K283" s="1072"/>
      <c r="L283" s="559"/>
      <c r="M283" s="513"/>
      <c r="N283" s="168"/>
      <c r="O283" s="129" t="s">
        <v>811</v>
      </c>
      <c r="P283" s="130">
        <v>0.1</v>
      </c>
      <c r="Q283" s="131">
        <v>7.22E-2</v>
      </c>
      <c r="R283" s="132">
        <v>1.4999999999999999E-2</v>
      </c>
      <c r="S283" s="133">
        <v>1</v>
      </c>
      <c r="T283" s="129">
        <v>0.12330000000000001</v>
      </c>
      <c r="U283" s="134">
        <v>-29.452415094334064</v>
      </c>
      <c r="V283" s="135">
        <v>91.8</v>
      </c>
      <c r="W283" s="136">
        <v>4.88</v>
      </c>
      <c r="X283" s="137">
        <v>143.72778566035024</v>
      </c>
      <c r="Y283" s="138"/>
      <c r="Z283" s="138">
        <v>4.4350000000000005</v>
      </c>
    </row>
    <row r="284" spans="3:26" ht="24" x14ac:dyDescent="0.2">
      <c r="C284" s="89"/>
      <c r="D284" s="546" t="s">
        <v>435</v>
      </c>
      <c r="E284" s="1099">
        <v>0.41666666666666674</v>
      </c>
      <c r="F284" s="1099"/>
      <c r="G284" s="1099"/>
      <c r="H284" s="175"/>
      <c r="I284" s="1070"/>
      <c r="J284" s="1071"/>
      <c r="K284" s="1072"/>
      <c r="L284" s="560">
        <v>0.64583333333333337</v>
      </c>
      <c r="M284" s="514">
        <v>0.54166666666666674</v>
      </c>
      <c r="N284" s="168"/>
      <c r="O284" s="139" t="s">
        <v>812</v>
      </c>
      <c r="P284" s="140">
        <v>0.1</v>
      </c>
      <c r="Q284" s="141">
        <v>4.0533333333333338E-2</v>
      </c>
      <c r="R284" s="142">
        <v>1.4999999999999999E-2</v>
      </c>
      <c r="S284" s="143">
        <v>0.5</v>
      </c>
      <c r="T284" s="139">
        <v>7.5800000000000006E-2</v>
      </c>
      <c r="U284" s="144">
        <v>-9.0530943396209338</v>
      </c>
      <c r="V284" s="145">
        <v>91.8</v>
      </c>
      <c r="W284" s="146">
        <v>2.3650000000000002</v>
      </c>
      <c r="X284" s="147">
        <v>21.41056811320351</v>
      </c>
      <c r="Y284" s="148"/>
      <c r="Z284" s="148"/>
    </row>
    <row r="285" spans="3:26" ht="24" x14ac:dyDescent="0.2">
      <c r="C285" s="89"/>
      <c r="D285" s="546" t="s">
        <v>436</v>
      </c>
      <c r="E285" s="184" t="s">
        <v>29</v>
      </c>
      <c r="F285" s="184" t="s">
        <v>28</v>
      </c>
      <c r="G285" s="184" t="s">
        <v>27</v>
      </c>
      <c r="H285" s="175" t="s">
        <v>793</v>
      </c>
      <c r="I285" s="1070"/>
      <c r="J285" s="1071"/>
      <c r="K285" s="1072"/>
      <c r="L285" s="563"/>
      <c r="M285" s="515"/>
      <c r="N285" s="168"/>
      <c r="O285" s="127"/>
      <c r="P285" s="149"/>
      <c r="Q285" s="127"/>
      <c r="R285" s="127"/>
      <c r="S285" s="127"/>
      <c r="T285" s="127"/>
      <c r="U285" s="150"/>
      <c r="V285" s="151"/>
      <c r="W285" s="127"/>
      <c r="X285" s="150"/>
      <c r="Y285" s="128"/>
      <c r="Z285" s="128"/>
    </row>
    <row r="286" spans="3:26" ht="24" x14ac:dyDescent="0.2">
      <c r="C286" s="89"/>
      <c r="D286" s="561">
        <v>45582</v>
      </c>
      <c r="E286" s="196">
        <v>1.7000000000000001E-2</v>
      </c>
      <c r="F286" s="196" t="s">
        <v>895</v>
      </c>
      <c r="G286" s="196">
        <v>2.1999999999999999E-2</v>
      </c>
      <c r="H286" s="187">
        <v>0.375</v>
      </c>
      <c r="I286" s="1070"/>
      <c r="J286" s="1071"/>
      <c r="K286" s="1072"/>
      <c r="L286" s="563"/>
      <c r="M286" s="515"/>
      <c r="N286" s="168"/>
      <c r="O286" s="152"/>
      <c r="P286" s="128"/>
      <c r="Q286" s="152"/>
      <c r="R286" s="152"/>
      <c r="S286" s="152"/>
      <c r="T286" s="152"/>
      <c r="U286" s="152"/>
      <c r="V286" s="152"/>
      <c r="W286" s="152"/>
      <c r="X286" s="152"/>
      <c r="Y286" s="128"/>
      <c r="Z286" s="128"/>
    </row>
    <row r="287" spans="3:26" ht="24" x14ac:dyDescent="0.2">
      <c r="C287" s="89"/>
      <c r="D287" s="561">
        <v>45566</v>
      </c>
      <c r="E287" s="196">
        <v>1.7999999999999999E-2</v>
      </c>
      <c r="F287" s="196" t="s">
        <v>895</v>
      </c>
      <c r="G287" s="196">
        <v>2.1999999999999999E-2</v>
      </c>
      <c r="H287" s="187">
        <v>0.375</v>
      </c>
      <c r="I287" s="1070"/>
      <c r="J287" s="1071"/>
      <c r="K287" s="1072"/>
      <c r="L287" s="559"/>
      <c r="M287" s="513"/>
      <c r="N287" s="168"/>
      <c r="O287" s="119" t="s">
        <v>813</v>
      </c>
      <c r="P287" s="120">
        <v>0.25</v>
      </c>
      <c r="Q287" s="153">
        <v>4.0533333333333338E-2</v>
      </c>
      <c r="R287" s="154">
        <v>1.4999999999999999E-2</v>
      </c>
      <c r="S287" s="123">
        <v>0.5</v>
      </c>
      <c r="T287" s="120">
        <v>7.5800000000000006E-2</v>
      </c>
      <c r="U287" s="155">
        <v>-22.632735849052334</v>
      </c>
      <c r="V287" s="156">
        <v>229.5</v>
      </c>
      <c r="W287" s="123">
        <v>2</v>
      </c>
      <c r="X287" s="157">
        <v>45.265471698104669</v>
      </c>
      <c r="Y287" s="158" t="s">
        <v>814</v>
      </c>
      <c r="Z287" s="158"/>
    </row>
    <row r="288" spans="3:26" ht="24" x14ac:dyDescent="0.2">
      <c r="C288" s="89"/>
      <c r="D288" s="561">
        <v>45553</v>
      </c>
      <c r="E288" s="196">
        <v>2.1999999999999999E-2</v>
      </c>
      <c r="F288" s="196" t="s">
        <v>490</v>
      </c>
      <c r="G288" s="196">
        <v>2.5999999999999999E-2</v>
      </c>
      <c r="H288" s="187">
        <v>0.375</v>
      </c>
      <c r="I288" s="1070"/>
      <c r="J288" s="1071"/>
      <c r="K288" s="1072"/>
      <c r="L288" s="562"/>
      <c r="M288" s="513"/>
      <c r="N288" s="168"/>
      <c r="O288" s="119" t="s">
        <v>813</v>
      </c>
      <c r="P288" s="120">
        <v>0.25</v>
      </c>
      <c r="Q288" s="153">
        <v>4.0533333333333338E-2</v>
      </c>
      <c r="R288" s="154">
        <v>1.4999999999999999E-2</v>
      </c>
      <c r="S288" s="123">
        <v>0.5</v>
      </c>
      <c r="T288" s="120">
        <v>7.5800000000000006E-2</v>
      </c>
      <c r="U288" s="155">
        <v>-22.349278350515466</v>
      </c>
      <c r="V288" s="156">
        <v>229.5</v>
      </c>
      <c r="W288" s="123">
        <v>2</v>
      </c>
      <c r="X288" s="157">
        <v>44.698556701030931</v>
      </c>
      <c r="Y288" s="158"/>
      <c r="Z288" s="158"/>
    </row>
    <row r="289" spans="3:26" ht="24" x14ac:dyDescent="0.2">
      <c r="C289" s="89"/>
      <c r="D289" s="561">
        <v>45534</v>
      </c>
      <c r="E289" s="196">
        <v>2.1999999999999999E-2</v>
      </c>
      <c r="F289" s="196" t="s">
        <v>490</v>
      </c>
      <c r="G289" s="196">
        <v>2.5999999999999999E-2</v>
      </c>
      <c r="H289" s="187">
        <v>0.375</v>
      </c>
      <c r="I289" s="1070"/>
      <c r="J289" s="1071"/>
      <c r="K289" s="1072"/>
      <c r="L289" s="559"/>
      <c r="M289" s="513"/>
      <c r="N289" s="168"/>
      <c r="O289" s="119" t="s">
        <v>816</v>
      </c>
      <c r="P289" s="120"/>
      <c r="Q289" s="153"/>
      <c r="R289" s="154"/>
      <c r="S289" s="123"/>
      <c r="T289" s="120"/>
      <c r="U289" s="155">
        <v>-22.349278350515466</v>
      </c>
      <c r="V289" s="156"/>
      <c r="W289" s="123"/>
      <c r="X289" s="157">
        <v>44.698556701030931</v>
      </c>
      <c r="Y289" s="158"/>
      <c r="Z289" s="158"/>
    </row>
    <row r="290" spans="3:26" ht="24" x14ac:dyDescent="0.2">
      <c r="C290" s="89"/>
      <c r="D290" s="561">
        <v>45524</v>
      </c>
      <c r="E290" s="196">
        <v>2.5999999999999999E-2</v>
      </c>
      <c r="F290" s="196" t="s">
        <v>493</v>
      </c>
      <c r="G290" s="196">
        <v>2.5000000000000001E-2</v>
      </c>
      <c r="H290" s="187">
        <v>0.375</v>
      </c>
      <c r="I290" s="1070"/>
      <c r="J290" s="1071"/>
      <c r="K290" s="1072"/>
      <c r="L290" s="559"/>
      <c r="M290" s="513"/>
      <c r="N290" s="168"/>
      <c r="O290" s="89"/>
      <c r="P290" s="89"/>
      <c r="Q290" s="89"/>
      <c r="R290" s="89"/>
      <c r="S290" s="89"/>
      <c r="T290" s="89"/>
      <c r="U290" s="89"/>
      <c r="V290" s="89"/>
      <c r="W290" s="89"/>
      <c r="X290" s="89"/>
      <c r="Y290" s="89"/>
      <c r="Z290" s="89"/>
    </row>
    <row r="291" spans="3:26" ht="24" x14ac:dyDescent="0.2">
      <c r="C291" s="89"/>
      <c r="D291" s="561">
        <v>45504</v>
      </c>
      <c r="E291" s="196">
        <v>2.5999999999999999E-2</v>
      </c>
      <c r="F291" s="196" t="s">
        <v>495</v>
      </c>
      <c r="G291" s="196">
        <v>2.5000000000000001E-2</v>
      </c>
      <c r="H291" s="187">
        <v>0.375</v>
      </c>
      <c r="I291" s="1073"/>
      <c r="J291" s="1074"/>
      <c r="K291" s="1075"/>
      <c r="L291" s="559"/>
      <c r="M291" s="513"/>
      <c r="N291" s="168"/>
      <c r="O291" s="89"/>
      <c r="P291" s="89"/>
      <c r="Q291" s="89"/>
      <c r="R291" s="89"/>
      <c r="S291" s="89"/>
      <c r="T291" s="89"/>
      <c r="U291" s="89"/>
      <c r="V291" s="89"/>
      <c r="W291" s="89"/>
      <c r="X291" s="89"/>
      <c r="Y291" s="89"/>
      <c r="Z291" s="89"/>
    </row>
    <row r="292" spans="3:26" ht="48" x14ac:dyDescent="0.2">
      <c r="C292" s="89" t="s">
        <v>105</v>
      </c>
      <c r="D292" s="557" t="s">
        <v>30</v>
      </c>
      <c r="E292" s="1088" t="s">
        <v>847</v>
      </c>
      <c r="F292" s="1088"/>
      <c r="G292" s="1088"/>
      <c r="H292" s="167" t="s">
        <v>790</v>
      </c>
      <c r="I292" s="1093" t="s">
        <v>633</v>
      </c>
      <c r="J292" s="1094"/>
      <c r="K292" s="1095"/>
      <c r="L292" s="558" t="s">
        <v>430</v>
      </c>
      <c r="M292" s="420" t="s">
        <v>431</v>
      </c>
      <c r="N292" s="168" t="s">
        <v>105</v>
      </c>
      <c r="O292" s="118" t="s">
        <v>800</v>
      </c>
      <c r="P292" s="118" t="s">
        <v>801</v>
      </c>
      <c r="Q292" s="118" t="s">
        <v>802</v>
      </c>
      <c r="R292" s="118" t="s">
        <v>803</v>
      </c>
      <c r="S292" s="118" t="s">
        <v>804</v>
      </c>
      <c r="T292" s="118" t="s">
        <v>805</v>
      </c>
      <c r="U292" s="118" t="s">
        <v>806</v>
      </c>
      <c r="V292" s="118" t="s">
        <v>807</v>
      </c>
      <c r="W292" s="118" t="s">
        <v>808</v>
      </c>
      <c r="X292" s="118" t="s">
        <v>809</v>
      </c>
      <c r="Y292" s="118" t="s">
        <v>75</v>
      </c>
      <c r="Z292" s="118" t="s">
        <v>75</v>
      </c>
    </row>
    <row r="293" spans="3:26" ht="24" x14ac:dyDescent="0.2">
      <c r="C293" s="89"/>
      <c r="D293" s="546" t="s">
        <v>432</v>
      </c>
      <c r="E293" s="1092"/>
      <c r="F293" s="1092"/>
      <c r="G293" s="1092"/>
      <c r="H293" s="170" t="s">
        <v>794</v>
      </c>
      <c r="I293" s="1067" t="s">
        <v>848</v>
      </c>
      <c r="J293" s="1068"/>
      <c r="K293" s="1069"/>
      <c r="L293" s="559"/>
      <c r="M293" s="513"/>
      <c r="N293" s="168"/>
      <c r="O293" s="119" t="s">
        <v>810</v>
      </c>
      <c r="P293" s="171">
        <v>0.1</v>
      </c>
      <c r="Q293" s="172">
        <v>2.1000000000000001E-2</v>
      </c>
      <c r="R293" s="173">
        <v>1.7000000000000001E-2</v>
      </c>
      <c r="S293" s="123"/>
      <c r="T293" s="119">
        <v>4.8500000000000001E-2</v>
      </c>
      <c r="U293" s="172">
        <v>-11.44</v>
      </c>
      <c r="V293" s="171">
        <v>91.8</v>
      </c>
      <c r="W293" s="174"/>
      <c r="X293" s="157"/>
      <c r="Y293" s="124"/>
      <c r="Z293" s="124"/>
    </row>
    <row r="294" spans="3:26" ht="24" x14ac:dyDescent="0.2">
      <c r="C294" s="89"/>
      <c r="D294" s="546" t="s">
        <v>433</v>
      </c>
      <c r="E294" s="1108">
        <v>0</v>
      </c>
      <c r="F294" s="1108"/>
      <c r="G294" s="1108"/>
      <c r="H294" s="170" t="s">
        <v>795</v>
      </c>
      <c r="I294" s="1070"/>
      <c r="J294" s="1071"/>
      <c r="K294" s="1072"/>
      <c r="L294" s="559"/>
      <c r="M294" s="513"/>
      <c r="N294" s="168"/>
      <c r="O294" s="125"/>
      <c r="P294" s="125"/>
      <c r="Q294" s="125"/>
      <c r="R294" s="126"/>
      <c r="S294" s="127"/>
      <c r="T294" s="125"/>
      <c r="U294" s="125"/>
      <c r="V294" s="125"/>
      <c r="W294" s="125"/>
      <c r="X294" s="127"/>
      <c r="Y294" s="128"/>
      <c r="Z294" s="128"/>
    </row>
    <row r="295" spans="3:26" ht="24" x14ac:dyDescent="0.2">
      <c r="C295" s="89"/>
      <c r="D295" s="546" t="s">
        <v>434</v>
      </c>
      <c r="E295" s="1108">
        <v>2.7E-2</v>
      </c>
      <c r="F295" s="1108"/>
      <c r="G295" s="1108"/>
      <c r="H295" s="175"/>
      <c r="I295" s="1070"/>
      <c r="J295" s="1071"/>
      <c r="K295" s="1072"/>
      <c r="L295" s="559"/>
      <c r="M295" s="513"/>
      <c r="N295" s="168"/>
      <c r="O295" s="129" t="s">
        <v>811</v>
      </c>
      <c r="P295" s="176">
        <v>0.1</v>
      </c>
      <c r="Q295" s="177">
        <v>8.7999999999999995E-2</v>
      </c>
      <c r="R295" s="178">
        <v>1.7000000000000001E-2</v>
      </c>
      <c r="S295" s="190">
        <v>1</v>
      </c>
      <c r="T295" s="129">
        <v>0.14900000000000002</v>
      </c>
      <c r="U295" s="134">
        <v>-35.145567010309279</v>
      </c>
      <c r="V295" s="135">
        <v>91.8</v>
      </c>
      <c r="W295" s="191">
        <v>5.14</v>
      </c>
      <c r="X295" s="137">
        <v>180.64821443298968</v>
      </c>
      <c r="Y295" s="138"/>
      <c r="Z295" s="138">
        <v>4.4350000000000005</v>
      </c>
    </row>
    <row r="296" spans="3:26" ht="24" x14ac:dyDescent="0.2">
      <c r="C296" s="89"/>
      <c r="D296" s="546" t="s">
        <v>435</v>
      </c>
      <c r="E296" s="1099">
        <v>0.52083333333333337</v>
      </c>
      <c r="F296" s="1099"/>
      <c r="G296" s="1099"/>
      <c r="H296" s="175"/>
      <c r="I296" s="1070"/>
      <c r="J296" s="1071"/>
      <c r="K296" s="1072"/>
      <c r="L296" s="560">
        <v>0.75</v>
      </c>
      <c r="M296" s="514">
        <v>0.64583333333333337</v>
      </c>
      <c r="N296" s="168"/>
      <c r="O296" s="139" t="s">
        <v>812</v>
      </c>
      <c r="P296" s="180">
        <v>0.1</v>
      </c>
      <c r="Q296" s="160">
        <v>5.4866666666666668E-2</v>
      </c>
      <c r="R296" s="181">
        <v>1.7000000000000001E-2</v>
      </c>
      <c r="S296" s="192">
        <v>1</v>
      </c>
      <c r="T296" s="182">
        <v>9.9299999999999999E-2</v>
      </c>
      <c r="U296" s="144">
        <v>-23.422515463917524</v>
      </c>
      <c r="V296" s="145">
        <v>91.8</v>
      </c>
      <c r="W296" s="193">
        <v>4.8600000000000003</v>
      </c>
      <c r="X296" s="147">
        <v>113.83342515463917</v>
      </c>
      <c r="Y296" s="148"/>
      <c r="Z296" s="148"/>
    </row>
    <row r="297" spans="3:26" ht="24" x14ac:dyDescent="0.2">
      <c r="C297" s="89"/>
      <c r="D297" s="546" t="s">
        <v>436</v>
      </c>
      <c r="E297" s="184" t="s">
        <v>29</v>
      </c>
      <c r="F297" s="184" t="s">
        <v>28</v>
      </c>
      <c r="G297" s="184" t="s">
        <v>27</v>
      </c>
      <c r="H297" s="175" t="s">
        <v>793</v>
      </c>
      <c r="I297" s="1070"/>
      <c r="J297" s="1071"/>
      <c r="K297" s="1072"/>
      <c r="L297" s="559"/>
      <c r="M297" s="513"/>
      <c r="N297" s="168"/>
      <c r="O297" s="127"/>
      <c r="P297" s="149"/>
      <c r="Q297" s="127"/>
      <c r="R297" s="127"/>
      <c r="S297" s="194"/>
      <c r="T297" s="127"/>
      <c r="U297" s="150"/>
      <c r="V297" s="151"/>
      <c r="W297" s="195"/>
      <c r="X297" s="150"/>
      <c r="Y297" s="128"/>
      <c r="Z297" s="128"/>
    </row>
    <row r="298" spans="3:26" ht="24" x14ac:dyDescent="0.2">
      <c r="C298" s="89"/>
      <c r="D298" s="561">
        <v>45562</v>
      </c>
      <c r="E298" s="189">
        <v>2.7E-2</v>
      </c>
      <c r="F298" s="189" t="s">
        <v>665</v>
      </c>
      <c r="G298" s="189">
        <v>2.5999999999999999E-2</v>
      </c>
      <c r="H298" s="187">
        <v>0.52083333333333337</v>
      </c>
      <c r="I298" s="1070"/>
      <c r="J298" s="1071"/>
      <c r="K298" s="1072"/>
      <c r="L298" s="559"/>
      <c r="M298" s="513"/>
      <c r="N298" s="168"/>
      <c r="O298" s="152"/>
      <c r="P298" s="128"/>
      <c r="Q298" s="152"/>
      <c r="R298" s="152"/>
      <c r="S298" s="194"/>
      <c r="T298" s="152"/>
      <c r="U298" s="152"/>
      <c r="V298" s="152"/>
      <c r="W298" s="197"/>
      <c r="X298" s="152"/>
      <c r="Y298" s="128"/>
      <c r="Z298" s="128"/>
    </row>
    <row r="299" spans="3:26" ht="24" x14ac:dyDescent="0.2">
      <c r="C299" s="89"/>
      <c r="D299" s="561">
        <v>45534</v>
      </c>
      <c r="E299" s="189">
        <v>2.5999999999999999E-2</v>
      </c>
      <c r="F299" s="189" t="s">
        <v>665</v>
      </c>
      <c r="G299" s="189">
        <v>2.5999999999999999E-2</v>
      </c>
      <c r="H299" s="187">
        <v>0.52083333333333337</v>
      </c>
      <c r="I299" s="1070"/>
      <c r="J299" s="1071"/>
      <c r="K299" s="1072"/>
      <c r="L299" s="559"/>
      <c r="M299" s="513"/>
      <c r="N299" s="168"/>
      <c r="O299" s="119" t="s">
        <v>813</v>
      </c>
      <c r="P299" s="202">
        <v>0.1</v>
      </c>
      <c r="Q299" s="153">
        <v>5.4866666666666668E-2</v>
      </c>
      <c r="R299" s="154">
        <v>1.7000000000000001E-2</v>
      </c>
      <c r="S299" s="198">
        <v>1</v>
      </c>
      <c r="T299" s="129">
        <v>9.9299999999999999E-2</v>
      </c>
      <c r="U299" s="155">
        <v>-23.422515463917524</v>
      </c>
      <c r="V299" s="156">
        <v>91.8</v>
      </c>
      <c r="W299" s="200">
        <v>3</v>
      </c>
      <c r="X299" s="157">
        <v>70.267546391752575</v>
      </c>
      <c r="Y299" s="158" t="s">
        <v>814</v>
      </c>
      <c r="Z299" s="158"/>
    </row>
    <row r="300" spans="3:26" ht="24" x14ac:dyDescent="0.2">
      <c r="C300" s="89"/>
      <c r="D300" s="561">
        <v>45499</v>
      </c>
      <c r="E300" s="189">
        <v>2.5999999999999999E-2</v>
      </c>
      <c r="F300" s="189" t="s">
        <v>495</v>
      </c>
      <c r="G300" s="189">
        <v>2.5999999999999999E-2</v>
      </c>
      <c r="H300" s="187">
        <v>0.52083333333333337</v>
      </c>
      <c r="I300" s="1070"/>
      <c r="J300" s="1071"/>
      <c r="K300" s="1072"/>
      <c r="L300" s="562"/>
      <c r="M300" s="513"/>
      <c r="N300" s="168"/>
      <c r="O300" s="119" t="s">
        <v>813</v>
      </c>
      <c r="P300" s="202">
        <v>-0.1</v>
      </c>
      <c r="Q300" s="153">
        <v>5.4866666666666668E-2</v>
      </c>
      <c r="R300" s="154">
        <v>1.7000000000000001E-2</v>
      </c>
      <c r="S300" s="198">
        <v>-1</v>
      </c>
      <c r="T300" s="129">
        <v>9.9299999999999999E-2</v>
      </c>
      <c r="U300" s="155">
        <v>-23.422515463917524</v>
      </c>
      <c r="V300" s="156">
        <v>91.8</v>
      </c>
      <c r="W300" s="200">
        <v>3</v>
      </c>
      <c r="X300" s="157">
        <v>70.267546391752575</v>
      </c>
      <c r="Y300" s="158" t="s">
        <v>814</v>
      </c>
      <c r="Z300" s="158"/>
    </row>
    <row r="301" spans="3:26" ht="24" x14ac:dyDescent="0.2">
      <c r="C301" s="89"/>
      <c r="D301" s="561">
        <v>45471</v>
      </c>
      <c r="E301" s="189">
        <v>2.5999999999999999E-2</v>
      </c>
      <c r="F301" s="189" t="s">
        <v>493</v>
      </c>
      <c r="G301" s="189">
        <v>2.8000000000000001E-2</v>
      </c>
      <c r="H301" s="187">
        <v>0.52083333333333337</v>
      </c>
      <c r="I301" s="1070"/>
      <c r="J301" s="1071"/>
      <c r="K301" s="1072"/>
      <c r="L301" s="559"/>
      <c r="M301" s="513"/>
      <c r="N301" s="168"/>
      <c r="O301" s="119" t="s">
        <v>816</v>
      </c>
      <c r="P301" s="120"/>
      <c r="Q301" s="153"/>
      <c r="R301" s="154"/>
      <c r="S301" s="123"/>
      <c r="T301" s="120"/>
      <c r="U301" s="155"/>
      <c r="V301" s="156"/>
      <c r="W301" s="123"/>
      <c r="X301" s="157"/>
      <c r="Y301" s="158"/>
      <c r="Z301" s="158"/>
    </row>
    <row r="302" spans="3:26" ht="24" x14ac:dyDescent="0.2">
      <c r="C302" s="89"/>
      <c r="D302" s="561">
        <v>45443</v>
      </c>
      <c r="E302" s="189">
        <v>2.8000000000000001E-2</v>
      </c>
      <c r="F302" s="189" t="s">
        <v>666</v>
      </c>
      <c r="G302" s="189">
        <v>2.8000000000000001E-2</v>
      </c>
      <c r="H302" s="187">
        <v>0.52083333333333337</v>
      </c>
      <c r="I302" s="1070"/>
      <c r="J302" s="1071"/>
      <c r="K302" s="1072"/>
      <c r="L302" s="559"/>
      <c r="M302" s="513"/>
      <c r="N302" s="168"/>
      <c r="O302" s="89"/>
      <c r="P302" s="89"/>
      <c r="Q302" s="89"/>
      <c r="R302" s="89"/>
      <c r="S302" s="89"/>
      <c r="T302" s="89"/>
      <c r="U302" s="89"/>
      <c r="V302" s="89"/>
      <c r="W302" s="89"/>
      <c r="X302" s="89"/>
      <c r="Y302" s="89"/>
      <c r="Z302" s="89"/>
    </row>
    <row r="303" spans="3:26" ht="24" x14ac:dyDescent="0.2">
      <c r="C303" s="89"/>
      <c r="D303" s="561">
        <v>45408</v>
      </c>
      <c r="E303" s="189">
        <v>2.8000000000000001E-2</v>
      </c>
      <c r="F303" s="189" t="s">
        <v>493</v>
      </c>
      <c r="G303" s="189">
        <v>2.8000000000000001E-2</v>
      </c>
      <c r="H303" s="187">
        <v>0.52083333333333337</v>
      </c>
      <c r="I303" s="1073"/>
      <c r="J303" s="1074"/>
      <c r="K303" s="1075"/>
      <c r="L303" s="559"/>
      <c r="M303" s="513"/>
      <c r="N303" s="168"/>
      <c r="O303" s="89"/>
      <c r="P303" s="89"/>
      <c r="Q303" s="89"/>
      <c r="R303" s="89"/>
      <c r="S303" s="89"/>
      <c r="T303" s="89"/>
      <c r="U303" s="89"/>
      <c r="V303" s="89"/>
      <c r="W303" s="89"/>
      <c r="X303" s="89"/>
      <c r="Y303" s="89"/>
      <c r="Z303" s="89"/>
    </row>
    <row r="304" spans="3:26" ht="48" x14ac:dyDescent="0.2">
      <c r="C304" s="89" t="s">
        <v>105</v>
      </c>
      <c r="D304" s="557" t="s">
        <v>30</v>
      </c>
      <c r="E304" s="1088" t="s">
        <v>849</v>
      </c>
      <c r="F304" s="1088"/>
      <c r="G304" s="1088"/>
      <c r="H304" s="167" t="s">
        <v>790</v>
      </c>
      <c r="I304" s="1093" t="s">
        <v>633</v>
      </c>
      <c r="J304" s="1094"/>
      <c r="K304" s="1095"/>
      <c r="L304" s="558" t="s">
        <v>430</v>
      </c>
      <c r="M304" s="420" t="s">
        <v>431</v>
      </c>
      <c r="N304" s="168" t="s">
        <v>105</v>
      </c>
      <c r="O304" s="118" t="s">
        <v>800</v>
      </c>
      <c r="P304" s="118" t="s">
        <v>801</v>
      </c>
      <c r="Q304" s="118" t="s">
        <v>802</v>
      </c>
      <c r="R304" s="118" t="s">
        <v>803</v>
      </c>
      <c r="S304" s="118" t="s">
        <v>804</v>
      </c>
      <c r="T304" s="118" t="s">
        <v>805</v>
      </c>
      <c r="U304" s="118" t="s">
        <v>806</v>
      </c>
      <c r="V304" s="118" t="s">
        <v>807</v>
      </c>
      <c r="W304" s="118" t="s">
        <v>808</v>
      </c>
      <c r="X304" s="118" t="s">
        <v>809</v>
      </c>
      <c r="Y304" s="118" t="s">
        <v>75</v>
      </c>
      <c r="Z304" s="118" t="s">
        <v>75</v>
      </c>
    </row>
    <row r="305" spans="3:26" ht="24" x14ac:dyDescent="0.2">
      <c r="C305" s="89"/>
      <c r="D305" s="546" t="s">
        <v>432</v>
      </c>
      <c r="E305" s="1092"/>
      <c r="F305" s="1092"/>
      <c r="G305" s="1092"/>
      <c r="H305" s="170" t="s">
        <v>794</v>
      </c>
      <c r="I305" s="1067" t="s">
        <v>850</v>
      </c>
      <c r="J305" s="1068"/>
      <c r="K305" s="1069"/>
      <c r="L305" s="559"/>
      <c r="M305" s="513"/>
      <c r="N305" s="168"/>
      <c r="O305" s="119" t="s">
        <v>810</v>
      </c>
      <c r="P305" s="120">
        <v>0.1</v>
      </c>
      <c r="Q305" s="121">
        <v>3.9E-2</v>
      </c>
      <c r="R305" s="122">
        <v>2.1000000000015007E-2</v>
      </c>
      <c r="S305" s="123"/>
      <c r="T305" s="119">
        <v>7.9500000000015003E-2</v>
      </c>
      <c r="U305" s="121">
        <v>-18.989999999999998</v>
      </c>
      <c r="V305" s="120">
        <v>91.8</v>
      </c>
      <c r="W305" s="123"/>
      <c r="X305" s="123"/>
      <c r="Y305" s="124"/>
      <c r="Z305" s="124"/>
    </row>
    <row r="306" spans="3:26" ht="24" x14ac:dyDescent="0.2">
      <c r="C306" s="89"/>
      <c r="D306" s="546" t="s">
        <v>433</v>
      </c>
      <c r="E306" s="1098">
        <v>3.0000000000000001E-3</v>
      </c>
      <c r="F306" s="1098"/>
      <c r="G306" s="1098"/>
      <c r="H306" s="170" t="s">
        <v>795</v>
      </c>
      <c r="I306" s="1070"/>
      <c r="J306" s="1071"/>
      <c r="K306" s="1072"/>
      <c r="L306" s="559"/>
      <c r="M306" s="513"/>
      <c r="N306" s="168"/>
      <c r="O306" s="125"/>
      <c r="P306" s="125"/>
      <c r="Q306" s="125"/>
      <c r="R306" s="126"/>
      <c r="S306" s="127"/>
      <c r="T306" s="125"/>
      <c r="U306" s="125"/>
      <c r="V306" s="125"/>
      <c r="W306" s="127"/>
      <c r="X306" s="127"/>
      <c r="Y306" s="128"/>
      <c r="Z306" s="128"/>
    </row>
    <row r="307" spans="3:26" ht="24" x14ac:dyDescent="0.2">
      <c r="C307" s="89"/>
      <c r="D307" s="546" t="s">
        <v>434</v>
      </c>
      <c r="E307" s="1098">
        <v>1E-3</v>
      </c>
      <c r="F307" s="1098"/>
      <c r="G307" s="1098"/>
      <c r="H307" s="175"/>
      <c r="I307" s="1070"/>
      <c r="J307" s="1071"/>
      <c r="K307" s="1072"/>
      <c r="L307" s="559"/>
      <c r="M307" s="513"/>
      <c r="N307" s="168"/>
      <c r="O307" s="129" t="s">
        <v>811</v>
      </c>
      <c r="P307" s="130">
        <v>0.1</v>
      </c>
      <c r="Q307" s="131">
        <v>7.22E-2</v>
      </c>
      <c r="R307" s="132">
        <v>1.4999999999999999E-2</v>
      </c>
      <c r="S307" s="133">
        <v>1</v>
      </c>
      <c r="T307" s="129">
        <v>0.12330000000000001</v>
      </c>
      <c r="U307" s="134">
        <v>-29.452415094334064</v>
      </c>
      <c r="V307" s="135">
        <v>91.8</v>
      </c>
      <c r="W307" s="136">
        <v>4.88</v>
      </c>
      <c r="X307" s="137">
        <v>143.72778566035024</v>
      </c>
      <c r="Y307" s="138"/>
      <c r="Z307" s="138">
        <v>4.4350000000000005</v>
      </c>
    </row>
    <row r="308" spans="3:26" ht="24" x14ac:dyDescent="0.2">
      <c r="C308" s="89"/>
      <c r="D308" s="546" t="s">
        <v>435</v>
      </c>
      <c r="E308" s="1099">
        <v>0.52083333333333337</v>
      </c>
      <c r="F308" s="1099"/>
      <c r="G308" s="1099"/>
      <c r="H308" s="175"/>
      <c r="I308" s="1070"/>
      <c r="J308" s="1071"/>
      <c r="K308" s="1072"/>
      <c r="L308" s="560">
        <v>0.75</v>
      </c>
      <c r="M308" s="514">
        <v>0.64583333333333337</v>
      </c>
      <c r="N308" s="168"/>
      <c r="O308" s="139" t="s">
        <v>812</v>
      </c>
      <c r="P308" s="140">
        <v>0.1</v>
      </c>
      <c r="Q308" s="141">
        <v>4.0533333333333338E-2</v>
      </c>
      <c r="R308" s="142">
        <v>1.4999999999999999E-2</v>
      </c>
      <c r="S308" s="143">
        <v>0.5</v>
      </c>
      <c r="T308" s="139">
        <v>7.5800000000000006E-2</v>
      </c>
      <c r="U308" s="144">
        <v>-9.0530943396209338</v>
      </c>
      <c r="V308" s="145">
        <v>91.8</v>
      </c>
      <c r="W308" s="146">
        <v>2.3650000000000002</v>
      </c>
      <c r="X308" s="147">
        <v>21.41056811320351</v>
      </c>
      <c r="Y308" s="148"/>
      <c r="Z308" s="148"/>
    </row>
    <row r="309" spans="3:26" ht="24" x14ac:dyDescent="0.2">
      <c r="C309" s="89"/>
      <c r="D309" s="546" t="s">
        <v>436</v>
      </c>
      <c r="E309" s="184" t="s">
        <v>29</v>
      </c>
      <c r="F309" s="184" t="s">
        <v>28</v>
      </c>
      <c r="G309" s="184" t="s">
        <v>27</v>
      </c>
      <c r="H309" s="175" t="s">
        <v>793</v>
      </c>
      <c r="I309" s="1070"/>
      <c r="J309" s="1071"/>
      <c r="K309" s="1072"/>
      <c r="L309" s="559"/>
      <c r="M309" s="513"/>
      <c r="N309" s="168"/>
      <c r="O309" s="127"/>
      <c r="P309" s="149"/>
      <c r="Q309" s="127"/>
      <c r="R309" s="127"/>
      <c r="S309" s="127"/>
      <c r="T309" s="127"/>
      <c r="U309" s="150"/>
      <c r="V309" s="151"/>
      <c r="W309" s="127"/>
      <c r="X309" s="150"/>
      <c r="Y309" s="128"/>
      <c r="Z309" s="128"/>
    </row>
    <row r="310" spans="3:26" ht="24" x14ac:dyDescent="0.2">
      <c r="C310" s="89"/>
      <c r="D310" s="561">
        <v>45562</v>
      </c>
      <c r="E310" s="189">
        <v>1E-3</v>
      </c>
      <c r="F310" s="189" t="s">
        <v>460</v>
      </c>
      <c r="G310" s="189">
        <v>2E-3</v>
      </c>
      <c r="H310" s="187">
        <v>0.52083333333333337</v>
      </c>
      <c r="I310" s="1070"/>
      <c r="J310" s="1071"/>
      <c r="K310" s="1072"/>
      <c r="L310" s="559"/>
      <c r="M310" s="513"/>
      <c r="N310" s="168"/>
      <c r="O310" s="152"/>
      <c r="P310" s="128"/>
      <c r="Q310" s="152"/>
      <c r="R310" s="152"/>
      <c r="S310" s="152"/>
      <c r="T310" s="152"/>
      <c r="U310" s="152"/>
      <c r="V310" s="152"/>
      <c r="W310" s="152"/>
      <c r="X310" s="152"/>
      <c r="Y310" s="128"/>
      <c r="Z310" s="128"/>
    </row>
    <row r="311" spans="3:26" ht="24" x14ac:dyDescent="0.2">
      <c r="C311" s="89"/>
      <c r="D311" s="561">
        <v>45534</v>
      </c>
      <c r="E311" s="189">
        <v>2E-3</v>
      </c>
      <c r="F311" s="189" t="s">
        <v>460</v>
      </c>
      <c r="G311" s="189">
        <v>2E-3</v>
      </c>
      <c r="H311" s="187">
        <v>0.52083333333333337</v>
      </c>
      <c r="I311" s="1070"/>
      <c r="J311" s="1071"/>
      <c r="K311" s="1072"/>
      <c r="L311" s="559"/>
      <c r="M311" s="513"/>
      <c r="N311" s="168"/>
      <c r="O311" s="119" t="s">
        <v>813</v>
      </c>
      <c r="P311" s="120">
        <v>0.25</v>
      </c>
      <c r="Q311" s="153">
        <v>4.0533333333333338E-2</v>
      </c>
      <c r="R311" s="154">
        <v>1.4999999999999999E-2</v>
      </c>
      <c r="S311" s="123">
        <v>0.5</v>
      </c>
      <c r="T311" s="120">
        <v>7.5800000000000006E-2</v>
      </c>
      <c r="U311" s="155">
        <v>-22.632735849052334</v>
      </c>
      <c r="V311" s="156">
        <v>229.5</v>
      </c>
      <c r="W311" s="123">
        <v>2</v>
      </c>
      <c r="X311" s="157">
        <v>45.265471698104669</v>
      </c>
      <c r="Y311" s="158" t="s">
        <v>814</v>
      </c>
      <c r="Z311" s="158"/>
    </row>
    <row r="312" spans="3:26" ht="24" x14ac:dyDescent="0.2">
      <c r="C312" s="89"/>
      <c r="D312" s="561">
        <v>45499</v>
      </c>
      <c r="E312" s="189">
        <v>2E-3</v>
      </c>
      <c r="F312" s="189" t="s">
        <v>460</v>
      </c>
      <c r="G312" s="189">
        <v>1E-3</v>
      </c>
      <c r="H312" s="187">
        <v>0.52083333333333337</v>
      </c>
      <c r="I312" s="1070"/>
      <c r="J312" s="1071"/>
      <c r="K312" s="1072"/>
      <c r="L312" s="562"/>
      <c r="M312" s="513"/>
      <c r="N312" s="168"/>
      <c r="O312" s="119" t="s">
        <v>813</v>
      </c>
      <c r="P312" s="120">
        <v>0.25</v>
      </c>
      <c r="Q312" s="153">
        <v>4.0533333333333338E-2</v>
      </c>
      <c r="R312" s="154">
        <v>1.4999999999999999E-2</v>
      </c>
      <c r="S312" s="123">
        <v>0.5</v>
      </c>
      <c r="T312" s="120">
        <v>7.5800000000000006E-2</v>
      </c>
      <c r="U312" s="155">
        <v>-22.349278350515466</v>
      </c>
      <c r="V312" s="156">
        <v>229.5</v>
      </c>
      <c r="W312" s="123">
        <v>2</v>
      </c>
      <c r="X312" s="157">
        <v>44.698556701030931</v>
      </c>
      <c r="Y312" s="158"/>
      <c r="Z312" s="158"/>
    </row>
    <row r="313" spans="3:26" ht="24" x14ac:dyDescent="0.2">
      <c r="C313" s="89"/>
      <c r="D313" s="561">
        <v>45471</v>
      </c>
      <c r="E313" s="189">
        <v>1E-3</v>
      </c>
      <c r="F313" s="189" t="s">
        <v>462</v>
      </c>
      <c r="G313" s="189">
        <v>3.0000000000000001E-3</v>
      </c>
      <c r="H313" s="187">
        <v>0.52083333333333337</v>
      </c>
      <c r="I313" s="1070"/>
      <c r="J313" s="1071"/>
      <c r="K313" s="1072"/>
      <c r="L313" s="559"/>
      <c r="M313" s="513"/>
      <c r="N313" s="168"/>
      <c r="O313" s="119" t="s">
        <v>816</v>
      </c>
      <c r="P313" s="120"/>
      <c r="Q313" s="153"/>
      <c r="R313" s="154"/>
      <c r="S313" s="123"/>
      <c r="T313" s="120"/>
      <c r="U313" s="155">
        <v>-22.349278350515466</v>
      </c>
      <c r="V313" s="156"/>
      <c r="W313" s="123"/>
      <c r="X313" s="157">
        <v>44.698556701030931</v>
      </c>
      <c r="Y313" s="158"/>
      <c r="Z313" s="158"/>
    </row>
    <row r="314" spans="3:26" ht="24" x14ac:dyDescent="0.2">
      <c r="C314" s="89"/>
      <c r="D314" s="561">
        <v>45443</v>
      </c>
      <c r="E314" s="189">
        <v>2E-3</v>
      </c>
      <c r="F314" s="189" t="s">
        <v>467</v>
      </c>
      <c r="G314" s="189">
        <v>3.0000000000000001E-3</v>
      </c>
      <c r="H314" s="187">
        <v>0.52083333333333337</v>
      </c>
      <c r="I314" s="1070"/>
      <c r="J314" s="1071"/>
      <c r="K314" s="1072"/>
      <c r="L314" s="559"/>
      <c r="M314" s="513"/>
      <c r="N314" s="168"/>
      <c r="O314" s="89"/>
      <c r="P314" s="89"/>
      <c r="Q314" s="89"/>
      <c r="R314" s="89"/>
      <c r="S314" s="89"/>
      <c r="T314" s="89"/>
      <c r="U314" s="89"/>
      <c r="V314" s="89"/>
      <c r="W314" s="89"/>
      <c r="X314" s="89"/>
      <c r="Y314" s="89"/>
      <c r="Z314" s="89"/>
    </row>
    <row r="315" spans="3:26" ht="24" x14ac:dyDescent="0.2">
      <c r="C315" s="89"/>
      <c r="D315" s="561">
        <v>45408</v>
      </c>
      <c r="E315" s="189">
        <v>3.0000000000000001E-3</v>
      </c>
      <c r="F315" s="189" t="s">
        <v>467</v>
      </c>
      <c r="G315" s="189">
        <v>3.0000000000000001E-3</v>
      </c>
      <c r="H315" s="187">
        <v>0.52083333333333337</v>
      </c>
      <c r="I315" s="1073"/>
      <c r="J315" s="1074"/>
      <c r="K315" s="1075"/>
      <c r="L315" s="559"/>
      <c r="M315" s="513"/>
      <c r="N315" s="168"/>
      <c r="O315" s="89"/>
      <c r="P315" s="89"/>
      <c r="Q315" s="89"/>
      <c r="R315" s="89"/>
      <c r="S315" s="89"/>
      <c r="T315" s="89"/>
      <c r="U315" s="89"/>
      <c r="V315" s="89"/>
      <c r="W315" s="89"/>
      <c r="X315" s="89"/>
      <c r="Y315" s="89"/>
      <c r="Z315" s="89"/>
    </row>
    <row r="316" spans="3:26" ht="48" x14ac:dyDescent="0.2">
      <c r="C316" s="89" t="s">
        <v>105</v>
      </c>
      <c r="D316" s="557" t="s">
        <v>30</v>
      </c>
      <c r="E316" s="1088" t="s">
        <v>14</v>
      </c>
      <c r="F316" s="1088"/>
      <c r="G316" s="1088"/>
      <c r="H316" s="167" t="s">
        <v>790</v>
      </c>
      <c r="I316" s="1093" t="s">
        <v>633</v>
      </c>
      <c r="J316" s="1094"/>
      <c r="K316" s="1095"/>
      <c r="L316" s="558" t="s">
        <v>430</v>
      </c>
      <c r="M316" s="420" t="s">
        <v>431</v>
      </c>
      <c r="N316" s="168" t="s">
        <v>105</v>
      </c>
      <c r="O316" s="118" t="s">
        <v>800</v>
      </c>
      <c r="P316" s="118" t="s">
        <v>801</v>
      </c>
      <c r="Q316" s="118" t="s">
        <v>802</v>
      </c>
      <c r="R316" s="118" t="s">
        <v>803</v>
      </c>
      <c r="S316" s="118" t="s">
        <v>804</v>
      </c>
      <c r="T316" s="118" t="s">
        <v>805</v>
      </c>
      <c r="U316" s="118" t="s">
        <v>806</v>
      </c>
      <c r="V316" s="118" t="s">
        <v>807</v>
      </c>
      <c r="W316" s="118" t="s">
        <v>808</v>
      </c>
      <c r="X316" s="118" t="s">
        <v>809</v>
      </c>
      <c r="Y316" s="118" t="s">
        <v>75</v>
      </c>
      <c r="Z316" s="118" t="s">
        <v>75</v>
      </c>
    </row>
    <row r="317" spans="3:26" ht="24" x14ac:dyDescent="0.2">
      <c r="C317" s="89"/>
      <c r="D317" s="546" t="s">
        <v>432</v>
      </c>
      <c r="E317" s="1092"/>
      <c r="F317" s="1092"/>
      <c r="G317" s="1092"/>
      <c r="H317" s="170" t="s">
        <v>794</v>
      </c>
      <c r="I317" s="1067" t="s">
        <v>851</v>
      </c>
      <c r="J317" s="1068"/>
      <c r="K317" s="1069"/>
      <c r="L317" s="559"/>
      <c r="M317" s="513"/>
      <c r="N317" s="168"/>
      <c r="O317" s="119" t="s">
        <v>810</v>
      </c>
      <c r="P317" s="120">
        <v>0.1</v>
      </c>
      <c r="Q317" s="121">
        <v>3.9E-2</v>
      </c>
      <c r="R317" s="122">
        <v>2.1000000000015007E-2</v>
      </c>
      <c r="S317" s="123"/>
      <c r="T317" s="119">
        <v>7.9500000000015003E-2</v>
      </c>
      <c r="U317" s="121">
        <v>-18.989999999999998</v>
      </c>
      <c r="V317" s="120">
        <v>91.8</v>
      </c>
      <c r="W317" s="123"/>
      <c r="X317" s="123"/>
      <c r="Y317" s="124"/>
      <c r="Z317" s="124"/>
    </row>
    <row r="318" spans="3:26" ht="24" x14ac:dyDescent="0.2">
      <c r="C318" s="89"/>
      <c r="D318" s="546" t="s">
        <v>433</v>
      </c>
      <c r="E318" s="1107" t="s">
        <v>268</v>
      </c>
      <c r="F318" s="1107"/>
      <c r="G318" s="1107"/>
      <c r="H318" s="170" t="s">
        <v>795</v>
      </c>
      <c r="I318" s="1070"/>
      <c r="J318" s="1071"/>
      <c r="K318" s="1072"/>
      <c r="L318" s="559"/>
      <c r="M318" s="513"/>
      <c r="N318" s="168"/>
      <c r="O318" s="125"/>
      <c r="P318" s="125"/>
      <c r="Q318" s="125"/>
      <c r="R318" s="126"/>
      <c r="S318" s="127"/>
      <c r="T318" s="125"/>
      <c r="U318" s="125"/>
      <c r="V318" s="125"/>
      <c r="W318" s="127"/>
      <c r="X318" s="127"/>
      <c r="Y318" s="128"/>
      <c r="Z318" s="128"/>
    </row>
    <row r="319" spans="3:26" ht="24" x14ac:dyDescent="0.2">
      <c r="C319" s="89"/>
      <c r="D319" s="546" t="s">
        <v>434</v>
      </c>
      <c r="E319" s="1110" t="s">
        <v>209</v>
      </c>
      <c r="F319" s="1110"/>
      <c r="G319" s="1110"/>
      <c r="H319" s="175"/>
      <c r="I319" s="1070"/>
      <c r="J319" s="1071"/>
      <c r="K319" s="1072"/>
      <c r="L319" s="559"/>
      <c r="M319" s="513"/>
      <c r="N319" s="168"/>
      <c r="O319" s="129" t="s">
        <v>811</v>
      </c>
      <c r="P319" s="130">
        <v>0.1</v>
      </c>
      <c r="Q319" s="131">
        <v>7.22E-2</v>
      </c>
      <c r="R319" s="132">
        <v>1.4999999999999999E-2</v>
      </c>
      <c r="S319" s="133">
        <v>1</v>
      </c>
      <c r="T319" s="129">
        <v>0.12330000000000001</v>
      </c>
      <c r="U319" s="134">
        <v>-29.452415094334064</v>
      </c>
      <c r="V319" s="135">
        <v>91.8</v>
      </c>
      <c r="W319" s="136">
        <v>4.88</v>
      </c>
      <c r="X319" s="137">
        <v>143.72778566035024</v>
      </c>
      <c r="Y319" s="138"/>
      <c r="Z319" s="138">
        <v>4.4350000000000005</v>
      </c>
    </row>
    <row r="320" spans="3:26" ht="24" x14ac:dyDescent="0.2">
      <c r="C320" s="89"/>
      <c r="D320" s="546" t="s">
        <v>435</v>
      </c>
      <c r="E320" s="1099">
        <v>0.52083333333333337</v>
      </c>
      <c r="F320" s="1099"/>
      <c r="G320" s="1099"/>
      <c r="H320" s="175"/>
      <c r="I320" s="1070"/>
      <c r="J320" s="1071"/>
      <c r="K320" s="1072"/>
      <c r="L320" s="560">
        <v>0.75</v>
      </c>
      <c r="M320" s="514">
        <v>0.64583333333333337</v>
      </c>
      <c r="N320" s="168"/>
      <c r="O320" s="139" t="s">
        <v>812</v>
      </c>
      <c r="P320" s="140">
        <v>0.1</v>
      </c>
      <c r="Q320" s="141">
        <v>4.0533333333333338E-2</v>
      </c>
      <c r="R320" s="142">
        <v>1.4999999999999999E-2</v>
      </c>
      <c r="S320" s="143">
        <v>0.5</v>
      </c>
      <c r="T320" s="139">
        <v>7.5800000000000006E-2</v>
      </c>
      <c r="U320" s="144">
        <v>-9.0530943396209338</v>
      </c>
      <c r="V320" s="145">
        <v>91.8</v>
      </c>
      <c r="W320" s="146">
        <v>2.3650000000000002</v>
      </c>
      <c r="X320" s="147">
        <v>21.41056811320351</v>
      </c>
      <c r="Y320" s="148"/>
      <c r="Z320" s="148"/>
    </row>
    <row r="321" spans="3:26" ht="24" x14ac:dyDescent="0.2">
      <c r="C321" s="89"/>
      <c r="D321" s="546" t="s">
        <v>436</v>
      </c>
      <c r="E321" s="184" t="s">
        <v>29</v>
      </c>
      <c r="F321" s="184" t="s">
        <v>28</v>
      </c>
      <c r="G321" s="184" t="s">
        <v>27</v>
      </c>
      <c r="H321" s="175" t="s">
        <v>793</v>
      </c>
      <c r="I321" s="1070"/>
      <c r="J321" s="1071"/>
      <c r="K321" s="1072"/>
      <c r="L321" s="559"/>
      <c r="M321" s="513"/>
      <c r="N321" s="168"/>
      <c r="O321" s="127"/>
      <c r="P321" s="149"/>
      <c r="Q321" s="127"/>
      <c r="R321" s="127"/>
      <c r="S321" s="127"/>
      <c r="T321" s="127"/>
      <c r="U321" s="150"/>
      <c r="V321" s="151"/>
      <c r="W321" s="127"/>
      <c r="X321" s="150"/>
      <c r="Y321" s="128"/>
      <c r="Z321" s="128"/>
    </row>
    <row r="322" spans="3:26" ht="24" x14ac:dyDescent="0.2">
      <c r="C322" s="89"/>
      <c r="D322" s="561">
        <v>45589</v>
      </c>
      <c r="E322" s="205" t="s">
        <v>209</v>
      </c>
      <c r="F322" s="205" t="s">
        <v>896</v>
      </c>
      <c r="G322" s="205" t="s">
        <v>897</v>
      </c>
      <c r="H322" s="187">
        <v>0.52083333333333337</v>
      </c>
      <c r="I322" s="1070"/>
      <c r="J322" s="1071"/>
      <c r="K322" s="1072"/>
      <c r="L322" s="559"/>
      <c r="M322" s="513"/>
      <c r="N322" s="168"/>
      <c r="O322" s="152"/>
      <c r="P322" s="128"/>
      <c r="Q322" s="152"/>
      <c r="R322" s="152"/>
      <c r="S322" s="152"/>
      <c r="T322" s="152"/>
      <c r="U322" s="152"/>
      <c r="V322" s="152"/>
      <c r="W322" s="152"/>
      <c r="X322" s="152"/>
      <c r="Y322" s="128"/>
      <c r="Z322" s="128"/>
    </row>
    <row r="323" spans="3:26" ht="24" x14ac:dyDescent="0.2">
      <c r="C323" s="89"/>
      <c r="D323" s="561">
        <v>45582</v>
      </c>
      <c r="E323" s="205" t="s">
        <v>171</v>
      </c>
      <c r="F323" s="205" t="s">
        <v>898</v>
      </c>
      <c r="G323" s="205" t="s">
        <v>692</v>
      </c>
      <c r="H323" s="187">
        <v>0.52083333333333337</v>
      </c>
      <c r="I323" s="1070"/>
      <c r="J323" s="1071"/>
      <c r="K323" s="1072"/>
      <c r="L323" s="559"/>
      <c r="M323" s="513"/>
      <c r="N323" s="168"/>
      <c r="O323" s="119" t="s">
        <v>813</v>
      </c>
      <c r="P323" s="120">
        <v>0.25</v>
      </c>
      <c r="Q323" s="153">
        <v>4.0533333333333338E-2</v>
      </c>
      <c r="R323" s="154">
        <v>1.4999999999999999E-2</v>
      </c>
      <c r="S323" s="123">
        <v>0.5</v>
      </c>
      <c r="T323" s="120">
        <v>7.5800000000000006E-2</v>
      </c>
      <c r="U323" s="155">
        <v>-22.632735849052334</v>
      </c>
      <c r="V323" s="156">
        <v>229.5</v>
      </c>
      <c r="W323" s="123">
        <v>2</v>
      </c>
      <c r="X323" s="157">
        <v>45.265471698104669</v>
      </c>
      <c r="Y323" s="158" t="s">
        <v>814</v>
      </c>
      <c r="Z323" s="158"/>
    </row>
    <row r="324" spans="3:26" ht="24" x14ac:dyDescent="0.2">
      <c r="C324" s="89"/>
      <c r="D324" s="561">
        <v>45575</v>
      </c>
      <c r="E324" s="205" t="s">
        <v>678</v>
      </c>
      <c r="F324" s="205" t="s">
        <v>580</v>
      </c>
      <c r="G324" s="205" t="s">
        <v>638</v>
      </c>
      <c r="H324" s="187">
        <v>0.52083333333333337</v>
      </c>
      <c r="I324" s="1070"/>
      <c r="J324" s="1071"/>
      <c r="K324" s="1072"/>
      <c r="L324" s="562"/>
      <c r="M324" s="513"/>
      <c r="N324" s="168"/>
      <c r="O324" s="119" t="s">
        <v>813</v>
      </c>
      <c r="P324" s="120">
        <v>0.25</v>
      </c>
      <c r="Q324" s="153">
        <v>4.0533333333333338E-2</v>
      </c>
      <c r="R324" s="154">
        <v>1.4999999999999999E-2</v>
      </c>
      <c r="S324" s="123">
        <v>0.5</v>
      </c>
      <c r="T324" s="120">
        <v>7.5800000000000006E-2</v>
      </c>
      <c r="U324" s="155">
        <v>-22.349278350515466</v>
      </c>
      <c r="V324" s="156">
        <v>229.5</v>
      </c>
      <c r="W324" s="123">
        <v>2</v>
      </c>
      <c r="X324" s="157">
        <v>44.698556701030931</v>
      </c>
      <c r="Y324" s="158"/>
      <c r="Z324" s="158"/>
    </row>
    <row r="325" spans="3:26" ht="24" x14ac:dyDescent="0.2">
      <c r="C325" s="89"/>
      <c r="D325" s="561">
        <v>45568</v>
      </c>
      <c r="E325" s="205" t="s">
        <v>638</v>
      </c>
      <c r="F325" s="205" t="s">
        <v>734</v>
      </c>
      <c r="G325" s="205" t="s">
        <v>345</v>
      </c>
      <c r="H325" s="187">
        <v>0.52083333333333337</v>
      </c>
      <c r="I325" s="1070"/>
      <c r="J325" s="1071"/>
      <c r="K325" s="1072"/>
      <c r="L325" s="559"/>
      <c r="M325" s="513"/>
      <c r="N325" s="168"/>
      <c r="O325" s="119" t="s">
        <v>816</v>
      </c>
      <c r="P325" s="120"/>
      <c r="Q325" s="153"/>
      <c r="R325" s="154"/>
      <c r="S325" s="123"/>
      <c r="T325" s="120"/>
      <c r="U325" s="155">
        <v>-22.349278350515466</v>
      </c>
      <c r="V325" s="156"/>
      <c r="W325" s="123"/>
      <c r="X325" s="157">
        <v>44.698556701030931</v>
      </c>
      <c r="Y325" s="158"/>
      <c r="Z325" s="158"/>
    </row>
    <row r="326" spans="3:26" ht="24" x14ac:dyDescent="0.2">
      <c r="C326" s="89"/>
      <c r="D326" s="561">
        <v>45561</v>
      </c>
      <c r="E326" s="205" t="s">
        <v>382</v>
      </c>
      <c r="F326" s="205" t="s">
        <v>574</v>
      </c>
      <c r="G326" s="205" t="s">
        <v>72</v>
      </c>
      <c r="H326" s="187">
        <v>0.52083333333333337</v>
      </c>
      <c r="I326" s="1070"/>
      <c r="J326" s="1071"/>
      <c r="K326" s="1072"/>
      <c r="L326" s="559"/>
      <c r="M326" s="513"/>
      <c r="N326" s="168"/>
      <c r="O326" s="89"/>
      <c r="P326" s="89"/>
      <c r="Q326" s="89"/>
      <c r="R326" s="89"/>
      <c r="S326" s="89"/>
      <c r="T326" s="89"/>
      <c r="U326" s="89"/>
      <c r="V326" s="89"/>
      <c r="W326" s="89"/>
      <c r="X326" s="89"/>
      <c r="Y326" s="89"/>
      <c r="Z326" s="89"/>
    </row>
    <row r="327" spans="3:26" ht="24" x14ac:dyDescent="0.2">
      <c r="C327" s="89"/>
      <c r="D327" s="561">
        <v>45554</v>
      </c>
      <c r="E327" s="205" t="s">
        <v>345</v>
      </c>
      <c r="F327" s="205" t="s">
        <v>576</v>
      </c>
      <c r="G327" s="205" t="s">
        <v>268</v>
      </c>
      <c r="H327" s="187">
        <v>0.52083333333333337</v>
      </c>
      <c r="I327" s="1073"/>
      <c r="J327" s="1074"/>
      <c r="K327" s="1075"/>
      <c r="L327" s="559"/>
      <c r="M327" s="513"/>
      <c r="N327" s="168"/>
      <c r="O327" s="89"/>
      <c r="P327" s="89"/>
      <c r="Q327" s="89"/>
      <c r="R327" s="89"/>
      <c r="S327" s="89"/>
      <c r="T327" s="89"/>
      <c r="U327" s="89"/>
      <c r="V327" s="89"/>
      <c r="W327" s="89"/>
      <c r="X327" s="89"/>
      <c r="Y327" s="89"/>
      <c r="Z327" s="89"/>
    </row>
    <row r="328" spans="3:26" ht="48" x14ac:dyDescent="0.2">
      <c r="C328" s="89" t="s">
        <v>105</v>
      </c>
      <c r="D328" s="557" t="s">
        <v>30</v>
      </c>
      <c r="E328" s="1088" t="s">
        <v>852</v>
      </c>
      <c r="F328" s="1088"/>
      <c r="G328" s="1088"/>
      <c r="H328" s="167" t="s">
        <v>790</v>
      </c>
      <c r="I328" s="1093" t="s">
        <v>633</v>
      </c>
      <c r="J328" s="1094"/>
      <c r="K328" s="1095"/>
      <c r="L328" s="558" t="s">
        <v>430</v>
      </c>
      <c r="M328" s="420" t="s">
        <v>431</v>
      </c>
      <c r="N328" s="168" t="s">
        <v>105</v>
      </c>
      <c r="O328" s="118" t="s">
        <v>800</v>
      </c>
      <c r="P328" s="118" t="s">
        <v>801</v>
      </c>
      <c r="Q328" s="118" t="s">
        <v>802</v>
      </c>
      <c r="R328" s="118" t="s">
        <v>803</v>
      </c>
      <c r="S328" s="118" t="s">
        <v>804</v>
      </c>
      <c r="T328" s="118" t="s">
        <v>805</v>
      </c>
      <c r="U328" s="118" t="s">
        <v>806</v>
      </c>
      <c r="V328" s="118" t="s">
        <v>807</v>
      </c>
      <c r="W328" s="118" t="s">
        <v>808</v>
      </c>
      <c r="X328" s="118" t="s">
        <v>809</v>
      </c>
      <c r="Y328" s="118" t="s">
        <v>75</v>
      </c>
      <c r="Z328" s="118" t="s">
        <v>75</v>
      </c>
    </row>
    <row r="329" spans="3:26" ht="24" x14ac:dyDescent="0.2">
      <c r="C329" s="89"/>
      <c r="D329" s="546" t="s">
        <v>432</v>
      </c>
      <c r="E329" s="1092"/>
      <c r="F329" s="1092"/>
      <c r="G329" s="1092"/>
      <c r="H329" s="170" t="s">
        <v>794</v>
      </c>
      <c r="I329" s="1067" t="s">
        <v>853</v>
      </c>
      <c r="J329" s="1068"/>
      <c r="K329" s="1069"/>
      <c r="L329" s="559"/>
      <c r="M329" s="513"/>
      <c r="N329" s="168"/>
      <c r="O329" s="119" t="s">
        <v>810</v>
      </c>
      <c r="P329" s="120">
        <v>0.1</v>
      </c>
      <c r="Q329" s="121">
        <v>3.9E-2</v>
      </c>
      <c r="R329" s="122">
        <v>2.1000000000015007E-2</v>
      </c>
      <c r="S329" s="123"/>
      <c r="T329" s="119">
        <v>7.9500000000015003E-2</v>
      </c>
      <c r="U329" s="121">
        <v>-18.989999999999998</v>
      </c>
      <c r="V329" s="120">
        <v>91.8</v>
      </c>
      <c r="W329" s="123"/>
      <c r="X329" s="123"/>
      <c r="Y329" s="124"/>
      <c r="Z329" s="124"/>
    </row>
    <row r="330" spans="3:26" ht="24" x14ac:dyDescent="0.2">
      <c r="C330" s="89"/>
      <c r="D330" s="546" t="s">
        <v>433</v>
      </c>
      <c r="E330" s="1096">
        <v>47.1</v>
      </c>
      <c r="F330" s="1096"/>
      <c r="G330" s="1096"/>
      <c r="H330" s="170" t="s">
        <v>795</v>
      </c>
      <c r="I330" s="1070"/>
      <c r="J330" s="1071"/>
      <c r="K330" s="1072"/>
      <c r="L330" s="559"/>
      <c r="M330" s="513"/>
      <c r="N330" s="168"/>
      <c r="O330" s="125"/>
      <c r="P330" s="125"/>
      <c r="Q330" s="125"/>
      <c r="R330" s="126"/>
      <c r="S330" s="127"/>
      <c r="T330" s="125"/>
      <c r="U330" s="125"/>
      <c r="V330" s="125"/>
      <c r="W330" s="127"/>
      <c r="X330" s="127"/>
      <c r="Y330" s="128"/>
      <c r="Z330" s="128"/>
    </row>
    <row r="331" spans="3:26" ht="24" x14ac:dyDescent="0.2">
      <c r="C331" s="89"/>
      <c r="D331" s="546" t="s">
        <v>434</v>
      </c>
      <c r="E331" s="1096">
        <v>46.6</v>
      </c>
      <c r="F331" s="1096"/>
      <c r="G331" s="1096"/>
      <c r="H331" s="175"/>
      <c r="I331" s="1070"/>
      <c r="J331" s="1071"/>
      <c r="K331" s="1072"/>
      <c r="L331" s="559"/>
      <c r="M331" s="513"/>
      <c r="N331" s="168"/>
      <c r="O331" s="129" t="s">
        <v>811</v>
      </c>
      <c r="P331" s="130">
        <v>0.1</v>
      </c>
      <c r="Q331" s="131">
        <v>7.22E-2</v>
      </c>
      <c r="R331" s="132">
        <v>1.4999999999999999E-2</v>
      </c>
      <c r="S331" s="133">
        <v>1</v>
      </c>
      <c r="T331" s="129">
        <v>0.12330000000000001</v>
      </c>
      <c r="U331" s="134">
        <v>-29.452415094334064</v>
      </c>
      <c r="V331" s="135">
        <v>91.8</v>
      </c>
      <c r="W331" s="136">
        <v>4.88</v>
      </c>
      <c r="X331" s="137">
        <v>143.72778566035024</v>
      </c>
      <c r="Y331" s="138"/>
      <c r="Z331" s="138">
        <v>4.4350000000000005</v>
      </c>
    </row>
    <row r="332" spans="3:26" ht="24" x14ac:dyDescent="0.2">
      <c r="C332" s="89"/>
      <c r="D332" s="546" t="s">
        <v>435</v>
      </c>
      <c r="E332" s="1099">
        <v>0.57291666666666674</v>
      </c>
      <c r="F332" s="1099"/>
      <c r="G332" s="1099"/>
      <c r="H332" s="175"/>
      <c r="I332" s="1070"/>
      <c r="J332" s="1071"/>
      <c r="K332" s="1072"/>
      <c r="L332" s="560">
        <v>0.80208333333333337</v>
      </c>
      <c r="M332" s="514">
        <v>0.69791666666666674</v>
      </c>
      <c r="N332" s="168"/>
      <c r="O332" s="139" t="s">
        <v>812</v>
      </c>
      <c r="P332" s="140">
        <v>0.1</v>
      </c>
      <c r="Q332" s="141">
        <v>4.0533333333333338E-2</v>
      </c>
      <c r="R332" s="142">
        <v>1.4999999999999999E-2</v>
      </c>
      <c r="S332" s="143">
        <v>0.5</v>
      </c>
      <c r="T332" s="139">
        <v>7.5800000000000006E-2</v>
      </c>
      <c r="U332" s="144">
        <v>-9.0530943396209338</v>
      </c>
      <c r="V332" s="145">
        <v>91.8</v>
      </c>
      <c r="W332" s="146">
        <v>2.3650000000000002</v>
      </c>
      <c r="X332" s="147">
        <v>21.41056811320351</v>
      </c>
      <c r="Y332" s="148"/>
      <c r="Z332" s="148"/>
    </row>
    <row r="333" spans="3:26" ht="24" x14ac:dyDescent="0.2">
      <c r="C333" s="89"/>
      <c r="D333" s="546" t="s">
        <v>436</v>
      </c>
      <c r="E333" s="184" t="s">
        <v>29</v>
      </c>
      <c r="F333" s="184" t="s">
        <v>28</v>
      </c>
      <c r="G333" s="184" t="s">
        <v>27</v>
      </c>
      <c r="H333" s="175" t="s">
        <v>793</v>
      </c>
      <c r="I333" s="1070"/>
      <c r="J333" s="1071"/>
      <c r="K333" s="1072"/>
      <c r="L333" s="559"/>
      <c r="M333" s="513"/>
      <c r="N333" s="168"/>
      <c r="O333" s="127"/>
      <c r="P333" s="149"/>
      <c r="Q333" s="127"/>
      <c r="R333" s="127"/>
      <c r="S333" s="127"/>
      <c r="T333" s="127"/>
      <c r="U333" s="150"/>
      <c r="V333" s="151"/>
      <c r="W333" s="127"/>
      <c r="X333" s="150"/>
      <c r="Y333" s="128"/>
      <c r="Z333" s="128"/>
    </row>
    <row r="334" spans="3:26" ht="24" x14ac:dyDescent="0.2">
      <c r="C334" s="89"/>
      <c r="D334" s="561">
        <v>45565</v>
      </c>
      <c r="E334" s="201">
        <v>46.6</v>
      </c>
      <c r="F334" s="201" t="s">
        <v>899</v>
      </c>
      <c r="G334" s="201">
        <v>46.1</v>
      </c>
      <c r="H334" s="187">
        <v>0.57291666666666674</v>
      </c>
      <c r="I334" s="1070"/>
      <c r="J334" s="1071"/>
      <c r="K334" s="1072"/>
      <c r="L334" s="559"/>
      <c r="M334" s="513"/>
      <c r="N334" s="168"/>
      <c r="O334" s="152"/>
      <c r="P334" s="128"/>
      <c r="Q334" s="152"/>
      <c r="R334" s="152"/>
      <c r="S334" s="152"/>
      <c r="T334" s="152"/>
      <c r="U334" s="152"/>
      <c r="V334" s="152"/>
      <c r="W334" s="152"/>
      <c r="X334" s="152"/>
      <c r="Y334" s="128"/>
      <c r="Z334" s="128"/>
    </row>
    <row r="335" spans="3:26" ht="24" x14ac:dyDescent="0.2">
      <c r="C335" s="89"/>
      <c r="D335" s="561">
        <v>45534</v>
      </c>
      <c r="E335" s="201">
        <v>46.1</v>
      </c>
      <c r="F335" s="201" t="s">
        <v>473</v>
      </c>
      <c r="G335" s="201">
        <v>45.3</v>
      </c>
      <c r="H335" s="187">
        <v>0.57291666666666674</v>
      </c>
      <c r="I335" s="1070"/>
      <c r="J335" s="1071"/>
      <c r="K335" s="1072"/>
      <c r="L335" s="559"/>
      <c r="M335" s="513"/>
      <c r="N335" s="168"/>
      <c r="O335" s="119" t="s">
        <v>813</v>
      </c>
      <c r="P335" s="120">
        <v>0.25</v>
      </c>
      <c r="Q335" s="153">
        <v>4.0533333333333338E-2</v>
      </c>
      <c r="R335" s="154">
        <v>1.4999999999999999E-2</v>
      </c>
      <c r="S335" s="123">
        <v>0.5</v>
      </c>
      <c r="T335" s="120">
        <v>7.5800000000000006E-2</v>
      </c>
      <c r="U335" s="155">
        <v>-22.632735849052334</v>
      </c>
      <c r="V335" s="156">
        <v>229.5</v>
      </c>
      <c r="W335" s="123">
        <v>2</v>
      </c>
      <c r="X335" s="157">
        <v>45.265471698104669</v>
      </c>
      <c r="Y335" s="158" t="s">
        <v>814</v>
      </c>
      <c r="Z335" s="158"/>
    </row>
    <row r="336" spans="3:26" ht="24" x14ac:dyDescent="0.2">
      <c r="C336" s="89"/>
      <c r="D336" s="561">
        <v>45504</v>
      </c>
      <c r="E336" s="201">
        <v>45.3</v>
      </c>
      <c r="F336" s="201" t="s">
        <v>474</v>
      </c>
      <c r="G336" s="201">
        <v>47.4</v>
      </c>
      <c r="H336" s="187">
        <v>0.57291666666666674</v>
      </c>
      <c r="I336" s="1070"/>
      <c r="J336" s="1071"/>
      <c r="K336" s="1072"/>
      <c r="L336" s="562"/>
      <c r="M336" s="513"/>
      <c r="N336" s="168"/>
      <c r="O336" s="119" t="s">
        <v>813</v>
      </c>
      <c r="P336" s="120">
        <v>0.25</v>
      </c>
      <c r="Q336" s="153">
        <v>4.0533333333333338E-2</v>
      </c>
      <c r="R336" s="154">
        <v>1.4999999999999999E-2</v>
      </c>
      <c r="S336" s="123">
        <v>0.5</v>
      </c>
      <c r="T336" s="120">
        <v>7.5800000000000006E-2</v>
      </c>
      <c r="U336" s="155">
        <v>-22.349278350515466</v>
      </c>
      <c r="V336" s="156">
        <v>229.5</v>
      </c>
      <c r="W336" s="123">
        <v>2</v>
      </c>
      <c r="X336" s="157">
        <v>44.698556701030931</v>
      </c>
      <c r="Y336" s="158"/>
      <c r="Z336" s="158"/>
    </row>
    <row r="337" spans="3:26" ht="24" x14ac:dyDescent="0.2">
      <c r="C337" s="89"/>
      <c r="D337" s="561">
        <v>45471</v>
      </c>
      <c r="E337" s="201">
        <v>47.4</v>
      </c>
      <c r="F337" s="201" t="s">
        <v>475</v>
      </c>
      <c r="G337" s="201">
        <v>35.4</v>
      </c>
      <c r="H337" s="187">
        <v>0.57291666666666674</v>
      </c>
      <c r="I337" s="1070"/>
      <c r="J337" s="1071"/>
      <c r="K337" s="1072"/>
      <c r="L337" s="559"/>
      <c r="M337" s="513"/>
      <c r="N337" s="168"/>
      <c r="O337" s="119" t="s">
        <v>816</v>
      </c>
      <c r="P337" s="120"/>
      <c r="Q337" s="153"/>
      <c r="R337" s="154"/>
      <c r="S337" s="123"/>
      <c r="T337" s="120"/>
      <c r="U337" s="155">
        <v>-22.349278350515466</v>
      </c>
      <c r="V337" s="156"/>
      <c r="W337" s="123"/>
      <c r="X337" s="157">
        <v>44.698556701030931</v>
      </c>
      <c r="Y337" s="158"/>
      <c r="Z337" s="158"/>
    </row>
    <row r="338" spans="3:26" ht="24" x14ac:dyDescent="0.2">
      <c r="C338" s="89"/>
      <c r="D338" s="561">
        <v>45443</v>
      </c>
      <c r="E338" s="201">
        <v>35.4</v>
      </c>
      <c r="F338" s="201" t="s">
        <v>476</v>
      </c>
      <c r="G338" s="201">
        <v>37.9</v>
      </c>
      <c r="H338" s="187">
        <v>0.57291666666666674</v>
      </c>
      <c r="I338" s="1070"/>
      <c r="J338" s="1071"/>
      <c r="K338" s="1072"/>
      <c r="L338" s="559"/>
      <c r="M338" s="513"/>
      <c r="N338" s="168"/>
      <c r="O338" s="89"/>
      <c r="P338" s="89"/>
      <c r="Q338" s="89"/>
      <c r="R338" s="89"/>
      <c r="S338" s="89"/>
      <c r="T338" s="89"/>
      <c r="U338" s="89"/>
      <c r="V338" s="89"/>
      <c r="W338" s="89"/>
      <c r="X338" s="89"/>
      <c r="Y338" s="89"/>
      <c r="Z338" s="89"/>
    </row>
    <row r="339" spans="3:26" ht="24" x14ac:dyDescent="0.2">
      <c r="C339" s="89"/>
      <c r="D339" s="561">
        <v>45412</v>
      </c>
      <c r="E339" s="201">
        <v>37.9</v>
      </c>
      <c r="F339" s="201" t="s">
        <v>477</v>
      </c>
      <c r="G339" s="201">
        <v>41.4</v>
      </c>
      <c r="H339" s="187">
        <v>0.57291666666666674</v>
      </c>
      <c r="I339" s="1073"/>
      <c r="J339" s="1074"/>
      <c r="K339" s="1075"/>
      <c r="L339" s="559"/>
      <c r="M339" s="513"/>
      <c r="N339" s="168"/>
      <c r="O339" s="89"/>
      <c r="P339" s="89"/>
      <c r="Q339" s="89"/>
      <c r="R339" s="89"/>
      <c r="S339" s="89"/>
      <c r="T339" s="89"/>
      <c r="U339" s="89"/>
      <c r="V339" s="89"/>
      <c r="W339" s="89"/>
      <c r="X339" s="89"/>
      <c r="Y339" s="89"/>
      <c r="Z339" s="89"/>
    </row>
    <row r="340" spans="3:26" ht="48" x14ac:dyDescent="0.2">
      <c r="C340" s="89" t="s">
        <v>105</v>
      </c>
      <c r="D340" s="557" t="s">
        <v>432</v>
      </c>
      <c r="E340" s="1088" t="s">
        <v>856</v>
      </c>
      <c r="F340" s="1088"/>
      <c r="G340" s="1088"/>
      <c r="H340" s="167" t="s">
        <v>790</v>
      </c>
      <c r="I340" s="1093" t="s">
        <v>633</v>
      </c>
      <c r="J340" s="1094"/>
      <c r="K340" s="1095"/>
      <c r="L340" s="558" t="s">
        <v>430</v>
      </c>
      <c r="M340" s="420" t="s">
        <v>431</v>
      </c>
      <c r="N340" s="168" t="s">
        <v>105</v>
      </c>
      <c r="O340" s="118" t="s">
        <v>800</v>
      </c>
      <c r="P340" s="118" t="s">
        <v>801</v>
      </c>
      <c r="Q340" s="118" t="s">
        <v>802</v>
      </c>
      <c r="R340" s="118" t="s">
        <v>803</v>
      </c>
      <c r="S340" s="118" t="s">
        <v>804</v>
      </c>
      <c r="T340" s="118" t="s">
        <v>805</v>
      </c>
      <c r="U340" s="118" t="s">
        <v>806</v>
      </c>
      <c r="V340" s="118" t="s">
        <v>807</v>
      </c>
      <c r="W340" s="118" t="s">
        <v>808</v>
      </c>
      <c r="X340" s="118" t="s">
        <v>809</v>
      </c>
      <c r="Y340" s="118" t="s">
        <v>75</v>
      </c>
      <c r="Z340" s="118" t="s">
        <v>75</v>
      </c>
    </row>
    <row r="341" spans="3:26" ht="24" x14ac:dyDescent="0.2">
      <c r="C341" s="89"/>
      <c r="D341" s="546" t="s">
        <v>432</v>
      </c>
      <c r="E341" s="1092"/>
      <c r="F341" s="1092"/>
      <c r="G341" s="1092"/>
      <c r="H341" s="170" t="s">
        <v>795</v>
      </c>
      <c r="I341" s="1067" t="s">
        <v>857</v>
      </c>
      <c r="J341" s="1068"/>
      <c r="K341" s="1069"/>
      <c r="L341" s="559"/>
      <c r="M341" s="513"/>
      <c r="N341" s="168"/>
      <c r="O341" s="119" t="s">
        <v>810</v>
      </c>
      <c r="P341" s="120">
        <v>0.1</v>
      </c>
      <c r="Q341" s="121">
        <v>3.9E-2</v>
      </c>
      <c r="R341" s="122">
        <v>2.1000000000015007E-2</v>
      </c>
      <c r="S341" s="123"/>
      <c r="T341" s="119">
        <v>7.9500000000015003E-2</v>
      </c>
      <c r="U341" s="121">
        <v>-18.989999999999998</v>
      </c>
      <c r="V341" s="120">
        <v>91.8</v>
      </c>
      <c r="W341" s="123"/>
      <c r="X341" s="123"/>
      <c r="Y341" s="124"/>
      <c r="Z341" s="124"/>
    </row>
    <row r="342" spans="3:26" ht="24" x14ac:dyDescent="0.2">
      <c r="C342" s="89"/>
      <c r="D342" s="546" t="s">
        <v>433</v>
      </c>
      <c r="E342" s="1096">
        <v>1.59</v>
      </c>
      <c r="F342" s="1096"/>
      <c r="G342" s="1096"/>
      <c r="H342" s="170" t="s">
        <v>795</v>
      </c>
      <c r="I342" s="1070"/>
      <c r="J342" s="1071"/>
      <c r="K342" s="1072"/>
      <c r="L342" s="559"/>
      <c r="M342" s="513"/>
      <c r="N342" s="168"/>
      <c r="O342" s="125"/>
      <c r="P342" s="125"/>
      <c r="Q342" s="125"/>
      <c r="R342" s="126"/>
      <c r="S342" s="127"/>
      <c r="T342" s="125"/>
      <c r="U342" s="125"/>
      <c r="V342" s="125"/>
      <c r="W342" s="127"/>
      <c r="X342" s="127"/>
      <c r="Y342" s="128"/>
      <c r="Z342" s="128"/>
    </row>
    <row r="343" spans="3:26" ht="24" x14ac:dyDescent="0.2">
      <c r="C343" s="89"/>
      <c r="D343" s="546" t="s">
        <v>434</v>
      </c>
      <c r="E343" s="1096">
        <v>1.4</v>
      </c>
      <c r="F343" s="1096"/>
      <c r="G343" s="1096"/>
      <c r="H343" s="175"/>
      <c r="I343" s="1070"/>
      <c r="J343" s="1071"/>
      <c r="K343" s="1072"/>
      <c r="L343" s="559"/>
      <c r="M343" s="513"/>
      <c r="N343" s="168"/>
      <c r="O343" s="129" t="s">
        <v>811</v>
      </c>
      <c r="P343" s="130">
        <v>0.1</v>
      </c>
      <c r="Q343" s="131">
        <v>7.22E-2</v>
      </c>
      <c r="R343" s="132">
        <v>1.4999999999999999E-2</v>
      </c>
      <c r="S343" s="133">
        <v>1</v>
      </c>
      <c r="T343" s="129">
        <v>0.12330000000000001</v>
      </c>
      <c r="U343" s="134">
        <v>-29.452415094334064</v>
      </c>
      <c r="V343" s="135">
        <v>91.8</v>
      </c>
      <c r="W343" s="136">
        <v>4.88</v>
      </c>
      <c r="X343" s="137">
        <v>143.72778566035024</v>
      </c>
      <c r="Y343" s="138"/>
      <c r="Z343" s="138">
        <v>4.4350000000000005</v>
      </c>
    </row>
    <row r="344" spans="3:26" ht="24" x14ac:dyDescent="0.2">
      <c r="C344" s="89"/>
      <c r="D344" s="546" t="s">
        <v>435</v>
      </c>
      <c r="E344" s="1097">
        <v>0.95833333333333337</v>
      </c>
      <c r="F344" s="1097"/>
      <c r="G344" s="1097"/>
      <c r="H344" s="175"/>
      <c r="I344" s="1070"/>
      <c r="J344" s="1071"/>
      <c r="K344" s="1072"/>
      <c r="L344" s="560">
        <v>6.25E-2</v>
      </c>
      <c r="M344" s="514">
        <v>0.95833333333333337</v>
      </c>
      <c r="N344" s="168"/>
      <c r="O344" s="139" t="s">
        <v>812</v>
      </c>
      <c r="P344" s="140">
        <v>0.1</v>
      </c>
      <c r="Q344" s="141">
        <v>4.0533333333333338E-2</v>
      </c>
      <c r="R344" s="142">
        <v>1.4999999999999999E-2</v>
      </c>
      <c r="S344" s="143">
        <v>0.5</v>
      </c>
      <c r="T344" s="139">
        <v>7.5800000000000006E-2</v>
      </c>
      <c r="U344" s="144">
        <v>-9.0530943396209338</v>
      </c>
      <c r="V344" s="145">
        <v>91.8</v>
      </c>
      <c r="W344" s="146">
        <v>2.3650000000000002</v>
      </c>
      <c r="X344" s="147">
        <v>21.41056811320351</v>
      </c>
      <c r="Y344" s="148"/>
      <c r="Z344" s="148"/>
    </row>
    <row r="345" spans="3:26" ht="24" x14ac:dyDescent="0.2">
      <c r="C345" s="89"/>
      <c r="D345" s="546" t="s">
        <v>436</v>
      </c>
      <c r="E345" s="184" t="s">
        <v>29</v>
      </c>
      <c r="F345" s="184" t="s">
        <v>28</v>
      </c>
      <c r="G345" s="184" t="s">
        <v>27</v>
      </c>
      <c r="H345" s="175" t="s">
        <v>793</v>
      </c>
      <c r="I345" s="1070"/>
      <c r="J345" s="1071"/>
      <c r="K345" s="1072"/>
      <c r="L345" s="559"/>
      <c r="M345" s="513"/>
      <c r="N345" s="168"/>
      <c r="O345" s="127"/>
      <c r="P345" s="149"/>
      <c r="Q345" s="127"/>
      <c r="R345" s="127"/>
      <c r="S345" s="127"/>
      <c r="T345" s="127"/>
      <c r="U345" s="150"/>
      <c r="V345" s="151"/>
      <c r="W345" s="127"/>
      <c r="X345" s="150"/>
      <c r="Y345" s="128"/>
      <c r="Z345" s="128"/>
    </row>
    <row r="346" spans="3:26" ht="23" x14ac:dyDescent="0.2">
      <c r="C346" s="89"/>
      <c r="D346" s="561">
        <v>45505</v>
      </c>
      <c r="E346" s="186">
        <v>1.4</v>
      </c>
      <c r="F346" s="186">
        <v>1.34</v>
      </c>
      <c r="G346" s="186">
        <v>1.53</v>
      </c>
      <c r="H346" s="187">
        <v>0.95833333333333337</v>
      </c>
      <c r="I346" s="1070"/>
      <c r="J346" s="1071"/>
      <c r="K346" s="1072"/>
      <c r="L346" s="559"/>
      <c r="M346" s="513"/>
      <c r="N346" s="168"/>
      <c r="O346" s="152"/>
      <c r="P346" s="128"/>
      <c r="Q346" s="152"/>
      <c r="R346" s="152"/>
      <c r="S346" s="152"/>
      <c r="T346" s="152"/>
      <c r="U346" s="152"/>
      <c r="V346" s="152"/>
      <c r="W346" s="152"/>
      <c r="X346" s="152"/>
      <c r="Y346" s="128"/>
      <c r="Z346" s="128"/>
    </row>
    <row r="347" spans="3:26" ht="23" x14ac:dyDescent="0.2">
      <c r="C347" s="89"/>
      <c r="D347" s="561">
        <v>45414</v>
      </c>
      <c r="E347" s="186">
        <v>1.53</v>
      </c>
      <c r="F347" s="186">
        <v>1.51</v>
      </c>
      <c r="G347" s="186">
        <v>2.1800000000000002</v>
      </c>
      <c r="H347" s="187">
        <v>0.95833333333333337</v>
      </c>
      <c r="I347" s="1070"/>
      <c r="J347" s="1071"/>
      <c r="K347" s="1072"/>
      <c r="L347" s="559"/>
      <c r="M347" s="513"/>
      <c r="N347" s="168"/>
      <c r="O347" s="119" t="s">
        <v>813</v>
      </c>
      <c r="P347" s="120">
        <v>0.25</v>
      </c>
      <c r="Q347" s="153">
        <v>4.0533333333333338E-2</v>
      </c>
      <c r="R347" s="154">
        <v>1.4999999999999999E-2</v>
      </c>
      <c r="S347" s="123">
        <v>0.5</v>
      </c>
      <c r="T347" s="120">
        <v>7.5800000000000006E-2</v>
      </c>
      <c r="U347" s="155">
        <v>-22.632735849052334</v>
      </c>
      <c r="V347" s="156">
        <v>229.5</v>
      </c>
      <c r="W347" s="123">
        <v>2</v>
      </c>
      <c r="X347" s="157">
        <v>45.265471698104669</v>
      </c>
      <c r="Y347" s="158" t="s">
        <v>814</v>
      </c>
      <c r="Z347" s="158"/>
    </row>
    <row r="348" spans="3:26" ht="23" x14ac:dyDescent="0.2">
      <c r="C348" s="89"/>
      <c r="D348" s="561">
        <v>45323</v>
      </c>
      <c r="E348" s="186">
        <v>2.1800000000000002</v>
      </c>
      <c r="F348" s="186">
        <v>2.09</v>
      </c>
      <c r="G348" s="186">
        <v>1.46</v>
      </c>
      <c r="H348" s="187">
        <v>0.95833333333333337</v>
      </c>
      <c r="I348" s="1070"/>
      <c r="J348" s="1071"/>
      <c r="K348" s="1072"/>
      <c r="L348" s="562"/>
      <c r="M348" s="513"/>
      <c r="N348" s="168"/>
      <c r="O348" s="119" t="s">
        <v>813</v>
      </c>
      <c r="P348" s="120">
        <v>0.25</v>
      </c>
      <c r="Q348" s="153">
        <v>4.0533333333333338E-2</v>
      </c>
      <c r="R348" s="154">
        <v>1.4999999999999999E-2</v>
      </c>
      <c r="S348" s="123">
        <v>0.5</v>
      </c>
      <c r="T348" s="120">
        <v>7.5800000000000006E-2</v>
      </c>
      <c r="U348" s="155">
        <v>-22.349278350515466</v>
      </c>
      <c r="V348" s="156">
        <v>229.5</v>
      </c>
      <c r="W348" s="123">
        <v>2</v>
      </c>
      <c r="X348" s="157">
        <v>44.698556701030931</v>
      </c>
      <c r="Y348" s="158"/>
      <c r="Z348" s="158"/>
    </row>
    <row r="349" spans="3:26" ht="23" x14ac:dyDescent="0.2">
      <c r="C349" s="89"/>
      <c r="D349" s="561">
        <v>45232</v>
      </c>
      <c r="E349" s="186">
        <v>1.46</v>
      </c>
      <c r="F349" s="186">
        <v>1.39</v>
      </c>
      <c r="G349" s="186">
        <v>1.26</v>
      </c>
      <c r="H349" s="187">
        <v>0.95833333333333337</v>
      </c>
      <c r="I349" s="1070"/>
      <c r="J349" s="1071"/>
      <c r="K349" s="1072"/>
      <c r="L349" s="559"/>
      <c r="M349" s="513"/>
      <c r="N349" s="168"/>
      <c r="O349" s="119" t="s">
        <v>816</v>
      </c>
      <c r="P349" s="120"/>
      <c r="Q349" s="153"/>
      <c r="R349" s="154"/>
      <c r="S349" s="123"/>
      <c r="T349" s="120"/>
      <c r="U349" s="155">
        <v>-22.349278350515466</v>
      </c>
      <c r="V349" s="156"/>
      <c r="W349" s="123"/>
      <c r="X349" s="157">
        <v>44.698556701030931</v>
      </c>
      <c r="Y349" s="158"/>
      <c r="Z349" s="158"/>
    </row>
    <row r="350" spans="3:26" ht="23" x14ac:dyDescent="0.2">
      <c r="C350" s="89"/>
      <c r="D350" s="561">
        <v>45141</v>
      </c>
      <c r="E350" s="186">
        <v>1.26</v>
      </c>
      <c r="F350" s="186">
        <v>1.19</v>
      </c>
      <c r="G350" s="186">
        <v>1.52</v>
      </c>
      <c r="H350" s="187">
        <v>0.95833333333333337</v>
      </c>
      <c r="I350" s="1070"/>
      <c r="J350" s="1071"/>
      <c r="K350" s="1072"/>
      <c r="L350" s="559"/>
      <c r="M350" s="513"/>
      <c r="N350" s="168"/>
      <c r="O350" s="89"/>
      <c r="P350" s="89"/>
      <c r="Q350" s="89"/>
      <c r="R350" s="89"/>
      <c r="S350" s="89"/>
      <c r="T350" s="89"/>
      <c r="U350" s="89"/>
      <c r="V350" s="89"/>
      <c r="W350" s="89"/>
      <c r="X350" s="89"/>
      <c r="Y350" s="89"/>
      <c r="Z350" s="89"/>
    </row>
    <row r="351" spans="3:26" ht="23" x14ac:dyDescent="0.2">
      <c r="C351" s="89"/>
      <c r="D351" s="561">
        <v>45050</v>
      </c>
      <c r="E351" s="186">
        <v>1.52</v>
      </c>
      <c r="F351" s="186">
        <v>1.44</v>
      </c>
      <c r="G351" s="186">
        <v>1.88</v>
      </c>
      <c r="H351" s="187">
        <v>0.95833333333333337</v>
      </c>
      <c r="I351" s="1073"/>
      <c r="J351" s="1074"/>
      <c r="K351" s="1075"/>
      <c r="L351" s="559"/>
      <c r="M351" s="513"/>
      <c r="N351" s="168"/>
      <c r="O351" s="89"/>
      <c r="P351" s="89"/>
      <c r="Q351" s="89"/>
      <c r="R351" s="89"/>
      <c r="S351" s="89"/>
      <c r="T351" s="89"/>
      <c r="U351" s="89"/>
      <c r="V351" s="89"/>
      <c r="W351" s="89"/>
      <c r="X351" s="89"/>
      <c r="Y351" s="89"/>
      <c r="Z351" s="89"/>
    </row>
    <row r="352" spans="3:26" ht="48" x14ac:dyDescent="0.2">
      <c r="C352" s="89" t="s">
        <v>105</v>
      </c>
      <c r="D352" s="557" t="s">
        <v>30</v>
      </c>
      <c r="E352" s="1088" t="s">
        <v>858</v>
      </c>
      <c r="F352" s="1088"/>
      <c r="G352" s="1088"/>
      <c r="H352" s="167" t="s">
        <v>790</v>
      </c>
      <c r="I352" s="1093" t="s">
        <v>633</v>
      </c>
      <c r="J352" s="1094"/>
      <c r="K352" s="1095"/>
      <c r="L352" s="558" t="s">
        <v>430</v>
      </c>
      <c r="M352" s="420" t="s">
        <v>431</v>
      </c>
      <c r="N352" s="168" t="s">
        <v>105</v>
      </c>
      <c r="O352" s="118" t="s">
        <v>800</v>
      </c>
      <c r="P352" s="118" t="s">
        <v>801</v>
      </c>
      <c r="Q352" s="118" t="s">
        <v>802</v>
      </c>
      <c r="R352" s="118" t="s">
        <v>803</v>
      </c>
      <c r="S352" s="118" t="s">
        <v>804</v>
      </c>
      <c r="T352" s="118" t="s">
        <v>805</v>
      </c>
      <c r="U352" s="118" t="s">
        <v>806</v>
      </c>
      <c r="V352" s="118" t="s">
        <v>807</v>
      </c>
      <c r="W352" s="118" t="s">
        <v>808</v>
      </c>
      <c r="X352" s="118" t="s">
        <v>809</v>
      </c>
      <c r="Y352" s="118" t="s">
        <v>75</v>
      </c>
      <c r="Z352" s="118" t="s">
        <v>75</v>
      </c>
    </row>
    <row r="353" spans="3:26" ht="24" x14ac:dyDescent="0.2">
      <c r="C353" s="89"/>
      <c r="D353" s="546" t="s">
        <v>432</v>
      </c>
      <c r="E353" s="1092"/>
      <c r="F353" s="1092"/>
      <c r="G353" s="1092"/>
      <c r="H353" s="170" t="s">
        <v>794</v>
      </c>
      <c r="I353" s="1067" t="s">
        <v>859</v>
      </c>
      <c r="J353" s="1068"/>
      <c r="K353" s="1069"/>
      <c r="L353" s="559"/>
      <c r="M353" s="513"/>
      <c r="N353" s="168"/>
      <c r="O353" s="119" t="s">
        <v>810</v>
      </c>
      <c r="P353" s="171">
        <v>0.1</v>
      </c>
      <c r="Q353" s="172">
        <v>3.9E-2</v>
      </c>
      <c r="R353" s="173">
        <v>2.1000000000015007E-2</v>
      </c>
      <c r="S353" s="123"/>
      <c r="T353" s="119">
        <v>7.9500000000015003E-2</v>
      </c>
      <c r="U353" s="172">
        <v>-18.989999999999998</v>
      </c>
      <c r="V353" s="171">
        <v>91.8</v>
      </c>
      <c r="W353" s="174"/>
      <c r="X353" s="157"/>
      <c r="Y353" s="124"/>
      <c r="Z353" s="124"/>
    </row>
    <row r="354" spans="3:26" ht="24" x14ac:dyDescent="0.2">
      <c r="C354" s="89"/>
      <c r="D354" s="546" t="s">
        <v>433</v>
      </c>
      <c r="E354" s="1110">
        <v>3.0000000000000001E-3</v>
      </c>
      <c r="F354" s="1110"/>
      <c r="G354" s="1110"/>
      <c r="H354" s="170" t="s">
        <v>795</v>
      </c>
      <c r="I354" s="1070"/>
      <c r="J354" s="1071"/>
      <c r="K354" s="1072"/>
      <c r="L354" s="559"/>
      <c r="M354" s="513"/>
      <c r="N354" s="168"/>
      <c r="O354" s="125"/>
      <c r="P354" s="125"/>
      <c r="Q354" s="125"/>
      <c r="R354" s="126"/>
      <c r="S354" s="127"/>
      <c r="T354" s="125"/>
      <c r="U354" s="125"/>
      <c r="V354" s="125"/>
      <c r="W354" s="125"/>
      <c r="X354" s="127"/>
      <c r="Y354" s="128"/>
      <c r="Z354" s="128"/>
    </row>
    <row r="355" spans="3:26" ht="24" x14ac:dyDescent="0.2">
      <c r="C355" s="89"/>
      <c r="D355" s="546" t="s">
        <v>434</v>
      </c>
      <c r="E355" s="1110">
        <v>4.0000000000000001E-3</v>
      </c>
      <c r="F355" s="1110"/>
      <c r="G355" s="1110"/>
      <c r="H355" s="175"/>
      <c r="I355" s="1070"/>
      <c r="J355" s="1071"/>
      <c r="K355" s="1072"/>
      <c r="L355" s="559"/>
      <c r="M355" s="513"/>
      <c r="N355" s="168"/>
      <c r="O355" s="129" t="s">
        <v>811</v>
      </c>
      <c r="P355" s="176">
        <v>0.1</v>
      </c>
      <c r="Q355" s="177">
        <v>7.22E-2</v>
      </c>
      <c r="R355" s="178">
        <v>1.4999999999999999E-2</v>
      </c>
      <c r="S355" s="190">
        <v>1</v>
      </c>
      <c r="T355" s="129">
        <v>0.12330000000000001</v>
      </c>
      <c r="U355" s="134">
        <v>-29.452415094334064</v>
      </c>
      <c r="V355" s="135">
        <v>91.8</v>
      </c>
      <c r="W355" s="191">
        <v>4.88</v>
      </c>
      <c r="X355" s="137">
        <v>143.72778566035024</v>
      </c>
      <c r="Y355" s="138"/>
      <c r="Z355" s="138">
        <v>4.4350000000000005</v>
      </c>
    </row>
    <row r="356" spans="3:26" ht="24" x14ac:dyDescent="0.2">
      <c r="C356" s="89"/>
      <c r="D356" s="546" t="s">
        <v>435</v>
      </c>
      <c r="E356" s="1099">
        <v>0.52083333333333337</v>
      </c>
      <c r="F356" s="1099"/>
      <c r="G356" s="1099"/>
      <c r="H356" s="175"/>
      <c r="I356" s="1070"/>
      <c r="J356" s="1071"/>
      <c r="K356" s="1072"/>
      <c r="L356" s="560">
        <v>0.75</v>
      </c>
      <c r="M356" s="514">
        <v>0.64583333333333337</v>
      </c>
      <c r="N356" s="168"/>
      <c r="O356" s="139" t="s">
        <v>812</v>
      </c>
      <c r="P356" s="180">
        <v>0.1</v>
      </c>
      <c r="Q356" s="160">
        <v>0.12866666666666668</v>
      </c>
      <c r="R356" s="181">
        <v>1.4999999999999999E-2</v>
      </c>
      <c r="S356" s="192">
        <v>1</v>
      </c>
      <c r="T356" s="182">
        <v>0.20799999999999999</v>
      </c>
      <c r="U356" s="144">
        <v>-49.684528301877407</v>
      </c>
      <c r="V356" s="145">
        <v>91.8</v>
      </c>
      <c r="W356" s="193">
        <v>2.3650000000000002</v>
      </c>
      <c r="X356" s="147">
        <v>117.50390943394008</v>
      </c>
      <c r="Y356" s="148"/>
      <c r="Z356" s="148"/>
    </row>
    <row r="357" spans="3:26" ht="24" x14ac:dyDescent="0.2">
      <c r="C357" s="89"/>
      <c r="D357" s="546" t="s">
        <v>436</v>
      </c>
      <c r="E357" s="184" t="s">
        <v>29</v>
      </c>
      <c r="F357" s="184" t="s">
        <v>28</v>
      </c>
      <c r="G357" s="184" t="s">
        <v>27</v>
      </c>
      <c r="H357" s="175" t="s">
        <v>793</v>
      </c>
      <c r="I357" s="1070"/>
      <c r="J357" s="1071"/>
      <c r="K357" s="1072"/>
      <c r="L357" s="559"/>
      <c r="M357" s="513"/>
      <c r="N357" s="168"/>
      <c r="O357" s="127"/>
      <c r="P357" s="149"/>
      <c r="Q357" s="127"/>
      <c r="R357" s="127"/>
      <c r="S357" s="194"/>
      <c r="T357" s="127"/>
      <c r="U357" s="150"/>
      <c r="V357" s="151"/>
      <c r="W357" s="195"/>
      <c r="X357" s="150"/>
      <c r="Y357" s="128"/>
      <c r="Z357" s="128"/>
    </row>
    <row r="358" spans="3:26" ht="24" x14ac:dyDescent="0.2">
      <c r="C358" s="89"/>
      <c r="D358" s="561">
        <v>45569</v>
      </c>
      <c r="E358" s="189">
        <v>4.0000000000000001E-3</v>
      </c>
      <c r="F358" s="189" t="s">
        <v>467</v>
      </c>
      <c r="G358" s="189">
        <v>5.0000000000000001E-3</v>
      </c>
      <c r="H358" s="187">
        <v>0.52083333333333337</v>
      </c>
      <c r="I358" s="1070"/>
      <c r="J358" s="1071"/>
      <c r="K358" s="1072"/>
      <c r="L358" s="559"/>
      <c r="M358" s="513"/>
      <c r="N358" s="168"/>
      <c r="O358" s="152"/>
      <c r="P358" s="128"/>
      <c r="Q358" s="152"/>
      <c r="R358" s="152"/>
      <c r="S358" s="194"/>
      <c r="T358" s="152"/>
      <c r="U358" s="152"/>
      <c r="V358" s="152"/>
      <c r="W358" s="197"/>
      <c r="X358" s="152"/>
      <c r="Y358" s="128"/>
      <c r="Z358" s="128"/>
    </row>
    <row r="359" spans="3:26" ht="24" x14ac:dyDescent="0.2">
      <c r="C359" s="89"/>
      <c r="D359" s="561">
        <v>45541</v>
      </c>
      <c r="E359" s="189">
        <v>4.0000000000000001E-3</v>
      </c>
      <c r="F359" s="189" t="s">
        <v>467</v>
      </c>
      <c r="G359" s="189">
        <v>-1E-3</v>
      </c>
      <c r="H359" s="187">
        <v>0.52083333333333337</v>
      </c>
      <c r="I359" s="1070"/>
      <c r="J359" s="1071"/>
      <c r="K359" s="1072"/>
      <c r="L359" s="559"/>
      <c r="M359" s="513"/>
      <c r="N359" s="168"/>
      <c r="O359" s="119" t="s">
        <v>813</v>
      </c>
      <c r="P359" s="202">
        <v>0.25</v>
      </c>
      <c r="Q359" s="153">
        <v>4.0533333333333338E-2</v>
      </c>
      <c r="R359" s="154">
        <v>1.4999999999999999E-2</v>
      </c>
      <c r="S359" s="198">
        <v>0.5</v>
      </c>
      <c r="T359" s="129">
        <v>7.5800000000000006E-2</v>
      </c>
      <c r="U359" s="155">
        <v>-22.632735849052334</v>
      </c>
      <c r="V359" s="156">
        <v>229.5</v>
      </c>
      <c r="W359" s="200">
        <v>2</v>
      </c>
      <c r="X359" s="157">
        <v>45.265471698104669</v>
      </c>
      <c r="Y359" s="158" t="s">
        <v>814</v>
      </c>
      <c r="Z359" s="158"/>
    </row>
    <row r="360" spans="3:26" ht="24" x14ac:dyDescent="0.2">
      <c r="C360" s="89"/>
      <c r="D360" s="561">
        <v>45506</v>
      </c>
      <c r="E360" s="189">
        <v>2E-3</v>
      </c>
      <c r="F360" s="189" t="s">
        <v>467</v>
      </c>
      <c r="G360" s="189">
        <v>3.0000000000000001E-3</v>
      </c>
      <c r="H360" s="187">
        <v>0.52083333333333337</v>
      </c>
      <c r="I360" s="1070"/>
      <c r="J360" s="1071"/>
      <c r="K360" s="1072"/>
      <c r="L360" s="562"/>
      <c r="M360" s="513"/>
      <c r="N360" s="168"/>
      <c r="O360" s="119"/>
      <c r="P360" s="120"/>
      <c r="Q360" s="153"/>
      <c r="R360" s="154"/>
      <c r="S360" s="123"/>
      <c r="T360" s="120"/>
      <c r="U360" s="155"/>
      <c r="V360" s="156"/>
      <c r="W360" s="123"/>
      <c r="X360" s="157"/>
      <c r="Y360" s="158"/>
      <c r="Z360" s="158"/>
    </row>
    <row r="361" spans="3:26" ht="24" x14ac:dyDescent="0.2">
      <c r="C361" s="89"/>
      <c r="D361" s="561">
        <v>45478</v>
      </c>
      <c r="E361" s="189">
        <v>3.0000000000000001E-3</v>
      </c>
      <c r="F361" s="189" t="s">
        <v>467</v>
      </c>
      <c r="G361" s="189">
        <v>4.0000000000000001E-3</v>
      </c>
      <c r="H361" s="187">
        <v>0.52083333333333337</v>
      </c>
      <c r="I361" s="1070"/>
      <c r="J361" s="1071"/>
      <c r="K361" s="1072"/>
      <c r="L361" s="559"/>
      <c r="M361" s="513"/>
      <c r="N361" s="168"/>
      <c r="O361" s="119" t="s">
        <v>816</v>
      </c>
      <c r="P361" s="120"/>
      <c r="Q361" s="153"/>
      <c r="R361" s="154"/>
      <c r="S361" s="123"/>
      <c r="T361" s="120"/>
      <c r="U361" s="155">
        <v>0</v>
      </c>
      <c r="V361" s="156"/>
      <c r="W361" s="123"/>
      <c r="X361" s="157">
        <v>0</v>
      </c>
      <c r="Y361" s="158"/>
      <c r="Z361" s="158"/>
    </row>
    <row r="362" spans="3:26" ht="24" x14ac:dyDescent="0.2">
      <c r="C362" s="89"/>
      <c r="D362" s="561">
        <v>45450</v>
      </c>
      <c r="E362" s="189">
        <v>4.0000000000000001E-3</v>
      </c>
      <c r="F362" s="189" t="s">
        <v>467</v>
      </c>
      <c r="G362" s="189">
        <v>2E-3</v>
      </c>
      <c r="H362" s="187">
        <v>0.52083333333333337</v>
      </c>
      <c r="I362" s="1070"/>
      <c r="J362" s="1071"/>
      <c r="K362" s="1072"/>
      <c r="L362" s="559"/>
      <c r="M362" s="513"/>
      <c r="N362" s="168"/>
      <c r="O362" s="89"/>
      <c r="P362" s="89"/>
      <c r="Q362" s="89"/>
      <c r="R362" s="89"/>
      <c r="S362" s="89"/>
      <c r="T362" s="89"/>
      <c r="U362" s="89"/>
      <c r="V362" s="89"/>
      <c r="W362" s="89"/>
      <c r="X362" s="89"/>
      <c r="Y362" s="89"/>
      <c r="Z362" s="89"/>
    </row>
    <row r="363" spans="3:26" ht="24" x14ac:dyDescent="0.2">
      <c r="C363" s="89"/>
      <c r="D363" s="561">
        <v>45415</v>
      </c>
      <c r="E363" s="189">
        <v>2E-3</v>
      </c>
      <c r="F363" s="189" t="s">
        <v>467</v>
      </c>
      <c r="G363" s="189">
        <v>3.0000000000000001E-3</v>
      </c>
      <c r="H363" s="187">
        <v>0.52083333333333337</v>
      </c>
      <c r="I363" s="1073"/>
      <c r="J363" s="1074"/>
      <c r="K363" s="1075"/>
      <c r="L363" s="559"/>
      <c r="M363" s="513"/>
      <c r="N363" s="168"/>
      <c r="O363" s="89"/>
      <c r="P363" s="89"/>
      <c r="Q363" s="89"/>
      <c r="R363" s="89"/>
      <c r="S363" s="89"/>
      <c r="T363" s="89"/>
      <c r="U363" s="89"/>
      <c r="V363" s="89"/>
      <c r="W363" s="89"/>
      <c r="X363" s="89"/>
      <c r="Y363" s="89"/>
      <c r="Z363" s="89"/>
    </row>
    <row r="364" spans="3:26" ht="48" x14ac:dyDescent="0.2">
      <c r="C364" s="89" t="s">
        <v>105</v>
      </c>
      <c r="D364" s="557" t="s">
        <v>30</v>
      </c>
      <c r="E364" s="1088" t="s">
        <v>860</v>
      </c>
      <c r="F364" s="1088"/>
      <c r="G364" s="1088"/>
      <c r="H364" s="167" t="s">
        <v>790</v>
      </c>
      <c r="I364" s="1093" t="s">
        <v>633</v>
      </c>
      <c r="J364" s="1094"/>
      <c r="K364" s="1095"/>
      <c r="L364" s="558" t="s">
        <v>430</v>
      </c>
      <c r="M364" s="420" t="s">
        <v>431</v>
      </c>
      <c r="N364" s="168" t="s">
        <v>105</v>
      </c>
      <c r="O364" s="118" t="s">
        <v>800</v>
      </c>
      <c r="P364" s="118" t="s">
        <v>801</v>
      </c>
      <c r="Q364" s="118" t="s">
        <v>802</v>
      </c>
      <c r="R364" s="118" t="s">
        <v>803</v>
      </c>
      <c r="S364" s="118" t="s">
        <v>804</v>
      </c>
      <c r="T364" s="118" t="s">
        <v>805</v>
      </c>
      <c r="U364" s="118" t="s">
        <v>806</v>
      </c>
      <c r="V364" s="118" t="s">
        <v>807</v>
      </c>
      <c r="W364" s="118" t="s">
        <v>808</v>
      </c>
      <c r="X364" s="118" t="s">
        <v>809</v>
      </c>
      <c r="Y364" s="118" t="s">
        <v>75</v>
      </c>
      <c r="Z364" s="118" t="s">
        <v>75</v>
      </c>
    </row>
    <row r="365" spans="3:26" ht="24" x14ac:dyDescent="0.2">
      <c r="C365" s="89"/>
      <c r="D365" s="546" t="s">
        <v>432</v>
      </c>
      <c r="E365" s="1092"/>
      <c r="F365" s="1092"/>
      <c r="G365" s="1092"/>
      <c r="H365" s="170" t="s">
        <v>794</v>
      </c>
      <c r="I365" s="1067" t="s">
        <v>859</v>
      </c>
      <c r="J365" s="1068"/>
      <c r="K365" s="1069"/>
      <c r="L365" s="559"/>
      <c r="M365" s="513"/>
      <c r="N365" s="168"/>
      <c r="O365" s="119" t="s">
        <v>810</v>
      </c>
      <c r="P365" s="171">
        <v>0.1</v>
      </c>
      <c r="Q365" s="172">
        <v>2.1000000000000001E-2</v>
      </c>
      <c r="R365" s="173">
        <v>1.7000000000000001E-2</v>
      </c>
      <c r="S365" s="123"/>
      <c r="T365" s="119">
        <v>4.8500000000000001E-2</v>
      </c>
      <c r="U365" s="172">
        <v>-11.44</v>
      </c>
      <c r="V365" s="171">
        <v>91.8</v>
      </c>
      <c r="W365" s="174"/>
      <c r="X365" s="157"/>
      <c r="Y365" s="124"/>
      <c r="Z365" s="124"/>
    </row>
    <row r="366" spans="3:26" ht="24" x14ac:dyDescent="0.2">
      <c r="C366" s="89"/>
      <c r="D366" s="546" t="s">
        <v>433</v>
      </c>
      <c r="E366" s="1110" t="s">
        <v>547</v>
      </c>
      <c r="F366" s="1110"/>
      <c r="G366" s="1110"/>
      <c r="H366" s="170" t="s">
        <v>795</v>
      </c>
      <c r="I366" s="1070"/>
      <c r="J366" s="1071"/>
      <c r="K366" s="1072"/>
      <c r="L366" s="559"/>
      <c r="M366" s="513"/>
      <c r="N366" s="168"/>
      <c r="O366" s="125"/>
      <c r="P366" s="125"/>
      <c r="Q366" s="125"/>
      <c r="R366" s="126"/>
      <c r="S366" s="127"/>
      <c r="T366" s="125"/>
      <c r="U366" s="125"/>
      <c r="V366" s="125"/>
      <c r="W366" s="125"/>
      <c r="X366" s="127"/>
      <c r="Y366" s="128"/>
      <c r="Z366" s="128"/>
    </row>
    <row r="367" spans="3:26" ht="24" x14ac:dyDescent="0.2">
      <c r="C367" s="89"/>
      <c r="D367" s="546" t="s">
        <v>434</v>
      </c>
      <c r="E367" s="1110" t="s">
        <v>641</v>
      </c>
      <c r="F367" s="1110"/>
      <c r="G367" s="1110"/>
      <c r="H367" s="175"/>
      <c r="I367" s="1070"/>
      <c r="J367" s="1071"/>
      <c r="K367" s="1072"/>
      <c r="L367" s="559"/>
      <c r="M367" s="513"/>
      <c r="N367" s="168"/>
      <c r="O367" s="129" t="s">
        <v>811</v>
      </c>
      <c r="P367" s="176">
        <v>0.1</v>
      </c>
      <c r="Q367" s="177">
        <v>0.1389</v>
      </c>
      <c r="R367" s="178">
        <v>1.7999999999999999E-2</v>
      </c>
      <c r="S367" s="190">
        <v>1</v>
      </c>
      <c r="T367" s="129">
        <v>0.22634999999999997</v>
      </c>
      <c r="U367" s="134">
        <v>-53.390597938144317</v>
      </c>
      <c r="V367" s="135">
        <v>91.8</v>
      </c>
      <c r="W367" s="191">
        <v>10.14</v>
      </c>
      <c r="X367" s="137">
        <v>541.38066309278338</v>
      </c>
      <c r="Y367" s="138"/>
      <c r="Z367" s="138"/>
    </row>
    <row r="368" spans="3:26" ht="24" x14ac:dyDescent="0.2">
      <c r="C368" s="89"/>
      <c r="D368" s="546" t="s">
        <v>435</v>
      </c>
      <c r="E368" s="1099">
        <v>0.52083333333333337</v>
      </c>
      <c r="F368" s="1099"/>
      <c r="G368" s="1099"/>
      <c r="H368" s="175"/>
      <c r="I368" s="1070"/>
      <c r="J368" s="1071"/>
      <c r="K368" s="1072"/>
      <c r="L368" s="560">
        <v>0.75</v>
      </c>
      <c r="M368" s="514">
        <v>0.64583333333333337</v>
      </c>
      <c r="N368" s="168"/>
      <c r="O368" s="139" t="s">
        <v>812</v>
      </c>
      <c r="P368" s="180">
        <v>0.1</v>
      </c>
      <c r="Q368" s="160">
        <v>9.3800000000000008E-2</v>
      </c>
      <c r="R368" s="181">
        <v>1.7999999999999999E-2</v>
      </c>
      <c r="S368" s="192">
        <v>1</v>
      </c>
      <c r="T368" s="182">
        <v>0.15870000000000001</v>
      </c>
      <c r="U368" s="144">
        <v>-37.433567010309275</v>
      </c>
      <c r="V368" s="145">
        <v>91.8</v>
      </c>
      <c r="W368" s="193">
        <v>4.45</v>
      </c>
      <c r="X368" s="147">
        <v>166.57937319587629</v>
      </c>
      <c r="Y368" s="148"/>
      <c r="Z368" s="148"/>
    </row>
    <row r="369" spans="3:26" ht="24" x14ac:dyDescent="0.2">
      <c r="C369" s="89"/>
      <c r="D369" s="546" t="s">
        <v>436</v>
      </c>
      <c r="E369" s="184" t="s">
        <v>29</v>
      </c>
      <c r="F369" s="184" t="s">
        <v>28</v>
      </c>
      <c r="G369" s="184" t="s">
        <v>27</v>
      </c>
      <c r="H369" s="175" t="s">
        <v>793</v>
      </c>
      <c r="I369" s="1070"/>
      <c r="J369" s="1071"/>
      <c r="K369" s="1072"/>
      <c r="L369" s="559"/>
      <c r="M369" s="513"/>
      <c r="N369" s="168"/>
      <c r="O369" s="127"/>
      <c r="P369" s="149"/>
      <c r="Q369" s="127"/>
      <c r="R369" s="127"/>
      <c r="S369" s="194"/>
      <c r="T369" s="127"/>
      <c r="U369" s="150"/>
      <c r="V369" s="151"/>
      <c r="W369" s="195"/>
      <c r="X369" s="150"/>
      <c r="Y369" s="128"/>
      <c r="Z369" s="128"/>
    </row>
    <row r="370" spans="3:26" ht="24" x14ac:dyDescent="0.2">
      <c r="C370" s="89"/>
      <c r="D370" s="561">
        <v>45569</v>
      </c>
      <c r="E370" s="189" t="s">
        <v>641</v>
      </c>
      <c r="F370" s="189" t="s">
        <v>548</v>
      </c>
      <c r="G370" s="189" t="s">
        <v>900</v>
      </c>
      <c r="H370" s="187">
        <v>0.52083333333333337</v>
      </c>
      <c r="I370" s="1070"/>
      <c r="J370" s="1071"/>
      <c r="K370" s="1072"/>
      <c r="L370" s="559"/>
      <c r="M370" s="513"/>
      <c r="N370" s="168"/>
      <c r="O370" s="152"/>
      <c r="P370" s="128"/>
      <c r="Q370" s="152"/>
      <c r="R370" s="152"/>
      <c r="S370" s="194"/>
      <c r="T370" s="152"/>
      <c r="U370" s="152"/>
      <c r="V370" s="152"/>
      <c r="W370" s="197"/>
      <c r="X370" s="152"/>
      <c r="Y370" s="128"/>
      <c r="Z370" s="128"/>
    </row>
    <row r="371" spans="3:26" ht="24" x14ac:dyDescent="0.2">
      <c r="C371" s="89"/>
      <c r="D371" s="561">
        <v>45541</v>
      </c>
      <c r="E371" s="189" t="s">
        <v>425</v>
      </c>
      <c r="F371" s="189" t="s">
        <v>614</v>
      </c>
      <c r="G371" s="189" t="s">
        <v>615</v>
      </c>
      <c r="H371" s="187">
        <v>0.52083333333333337</v>
      </c>
      <c r="I371" s="1070"/>
      <c r="J371" s="1071"/>
      <c r="K371" s="1072"/>
      <c r="L371" s="559"/>
      <c r="M371" s="513"/>
      <c r="N371" s="168"/>
      <c r="O371" s="119" t="s">
        <v>813</v>
      </c>
      <c r="P371" s="202">
        <v>0.1</v>
      </c>
      <c r="Q371" s="153">
        <v>0.11635000000000001</v>
      </c>
      <c r="R371" s="154">
        <v>1.7999999999999999E-2</v>
      </c>
      <c r="S371" s="198">
        <v>1</v>
      </c>
      <c r="T371" s="129">
        <v>0.192525</v>
      </c>
      <c r="U371" s="155">
        <v>-45.4120824742268</v>
      </c>
      <c r="V371" s="156">
        <v>91.8</v>
      </c>
      <c r="W371" s="200">
        <v>4</v>
      </c>
      <c r="X371" s="157">
        <v>181.6483298969072</v>
      </c>
      <c r="Y371" s="158" t="s">
        <v>814</v>
      </c>
      <c r="Z371" s="158"/>
    </row>
    <row r="372" spans="3:26" ht="24" x14ac:dyDescent="0.2">
      <c r="C372" s="89"/>
      <c r="D372" s="561">
        <v>45506</v>
      </c>
      <c r="E372" s="189" t="s">
        <v>293</v>
      </c>
      <c r="F372" s="189" t="s">
        <v>616</v>
      </c>
      <c r="G372" s="189" t="s">
        <v>617</v>
      </c>
      <c r="H372" s="187">
        <v>0.52083333333333337</v>
      </c>
      <c r="I372" s="1070"/>
      <c r="J372" s="1071"/>
      <c r="K372" s="1072"/>
      <c r="L372" s="562"/>
      <c r="M372" s="513"/>
      <c r="N372" s="168"/>
      <c r="O372" s="119"/>
      <c r="P372" s="120"/>
      <c r="Q372" s="153"/>
      <c r="R372" s="154"/>
      <c r="S372" s="123"/>
      <c r="T372" s="120"/>
      <c r="U372" s="155"/>
      <c r="V372" s="156"/>
      <c r="W372" s="123"/>
      <c r="X372" s="157"/>
      <c r="Y372" s="158"/>
      <c r="Z372" s="158"/>
    </row>
    <row r="373" spans="3:26" ht="24" x14ac:dyDescent="0.2">
      <c r="C373" s="89"/>
      <c r="D373" s="561">
        <v>45478</v>
      </c>
      <c r="E373" s="189" t="s">
        <v>149</v>
      </c>
      <c r="F373" s="189" t="s">
        <v>618</v>
      </c>
      <c r="G373" s="189" t="s">
        <v>382</v>
      </c>
      <c r="H373" s="187">
        <v>0.52083333333333337</v>
      </c>
      <c r="I373" s="1070"/>
      <c r="J373" s="1071"/>
      <c r="K373" s="1072"/>
      <c r="L373" s="559"/>
      <c r="M373" s="513"/>
      <c r="N373" s="168"/>
      <c r="O373" s="119" t="s">
        <v>816</v>
      </c>
      <c r="P373" s="120"/>
      <c r="Q373" s="153"/>
      <c r="R373" s="154"/>
      <c r="S373" s="123"/>
      <c r="T373" s="120"/>
      <c r="U373" s="155">
        <v>0</v>
      </c>
      <c r="V373" s="156"/>
      <c r="W373" s="123"/>
      <c r="X373" s="157">
        <v>0</v>
      </c>
      <c r="Y373" s="158"/>
      <c r="Z373" s="158"/>
    </row>
    <row r="374" spans="3:26" ht="24" x14ac:dyDescent="0.2">
      <c r="C374" s="89"/>
      <c r="D374" s="561">
        <v>45450</v>
      </c>
      <c r="E374" s="189" t="s">
        <v>3</v>
      </c>
      <c r="F374" s="189" t="s">
        <v>619</v>
      </c>
      <c r="G374" s="189" t="s">
        <v>620</v>
      </c>
      <c r="H374" s="187">
        <v>0.52083333333333337</v>
      </c>
      <c r="I374" s="1070"/>
      <c r="J374" s="1071"/>
      <c r="K374" s="1072"/>
      <c r="L374" s="559"/>
      <c r="M374" s="513"/>
      <c r="N374" s="168"/>
      <c r="O374" s="89"/>
      <c r="P374" s="89"/>
      <c r="Q374" s="89"/>
      <c r="R374" s="89"/>
      <c r="S374" s="89"/>
      <c r="T374" s="89"/>
      <c r="U374" s="89"/>
      <c r="V374" s="89"/>
      <c r="W374" s="89"/>
      <c r="X374" s="89"/>
      <c r="Y374" s="89"/>
      <c r="Z374" s="89"/>
    </row>
    <row r="375" spans="3:26" ht="24" x14ac:dyDescent="0.2">
      <c r="C375" s="89"/>
      <c r="D375" s="561">
        <v>45415</v>
      </c>
      <c r="E375" s="189" t="s">
        <v>621</v>
      </c>
      <c r="F375" s="189" t="s">
        <v>622</v>
      </c>
      <c r="G375" s="189" t="s">
        <v>623</v>
      </c>
      <c r="H375" s="187">
        <v>0.52083333333333337</v>
      </c>
      <c r="I375" s="1073"/>
      <c r="J375" s="1074"/>
      <c r="K375" s="1075"/>
      <c r="L375" s="559"/>
      <c r="M375" s="513"/>
      <c r="N375" s="168"/>
      <c r="O375" s="89"/>
      <c r="P375" s="89"/>
      <c r="Q375" s="89"/>
      <c r="R375" s="89"/>
      <c r="S375" s="89"/>
      <c r="T375" s="89"/>
      <c r="U375" s="89"/>
      <c r="V375" s="89"/>
      <c r="W375" s="89"/>
      <c r="X375" s="89"/>
      <c r="Y375" s="89"/>
      <c r="Z375" s="89"/>
    </row>
    <row r="376" spans="3:26" ht="48" x14ac:dyDescent="0.2">
      <c r="C376" s="89" t="s">
        <v>105</v>
      </c>
      <c r="D376" s="557" t="s">
        <v>30</v>
      </c>
      <c r="E376" s="1088" t="s">
        <v>861</v>
      </c>
      <c r="F376" s="1088"/>
      <c r="G376" s="1088"/>
      <c r="H376" s="167" t="s">
        <v>790</v>
      </c>
      <c r="I376" s="1093" t="s">
        <v>633</v>
      </c>
      <c r="J376" s="1094"/>
      <c r="K376" s="1095"/>
      <c r="L376" s="558" t="s">
        <v>430</v>
      </c>
      <c r="M376" s="420" t="s">
        <v>431</v>
      </c>
      <c r="N376" s="168" t="s">
        <v>105</v>
      </c>
      <c r="O376" s="118" t="s">
        <v>800</v>
      </c>
      <c r="P376" s="118" t="s">
        <v>801</v>
      </c>
      <c r="Q376" s="118" t="s">
        <v>802</v>
      </c>
      <c r="R376" s="118" t="s">
        <v>803</v>
      </c>
      <c r="S376" s="118" t="s">
        <v>804</v>
      </c>
      <c r="T376" s="118" t="s">
        <v>805</v>
      </c>
      <c r="U376" s="118" t="s">
        <v>806</v>
      </c>
      <c r="V376" s="118" t="s">
        <v>807</v>
      </c>
      <c r="W376" s="118" t="s">
        <v>808</v>
      </c>
      <c r="X376" s="118" t="s">
        <v>809</v>
      </c>
      <c r="Y376" s="118" t="s">
        <v>75</v>
      </c>
      <c r="Z376" s="118" t="s">
        <v>75</v>
      </c>
    </row>
    <row r="377" spans="3:26" ht="24" x14ac:dyDescent="0.2">
      <c r="C377" s="89"/>
      <c r="D377" s="546" t="s">
        <v>432</v>
      </c>
      <c r="E377" s="1092"/>
      <c r="F377" s="1092"/>
      <c r="G377" s="1092"/>
      <c r="H377" s="170" t="s">
        <v>794</v>
      </c>
      <c r="I377" s="1067" t="s">
        <v>859</v>
      </c>
      <c r="J377" s="1068"/>
      <c r="K377" s="1069"/>
      <c r="L377" s="559"/>
      <c r="M377" s="513"/>
      <c r="N377" s="168"/>
      <c r="O377" s="119" t="s">
        <v>810</v>
      </c>
      <c r="P377" s="120">
        <v>0.1</v>
      </c>
      <c r="Q377" s="121">
        <v>3.9E-2</v>
      </c>
      <c r="R377" s="122">
        <v>2.1000000000015007E-2</v>
      </c>
      <c r="S377" s="123"/>
      <c r="T377" s="119">
        <v>7.9500000000015003E-2</v>
      </c>
      <c r="U377" s="121">
        <v>-18.989999999999998</v>
      </c>
      <c r="V377" s="120">
        <v>91.8</v>
      </c>
      <c r="W377" s="123"/>
      <c r="X377" s="123"/>
      <c r="Y377" s="124"/>
      <c r="Z377" s="124"/>
    </row>
    <row r="378" spans="3:26" ht="24" x14ac:dyDescent="0.2">
      <c r="C378" s="89"/>
      <c r="D378" s="546" t="s">
        <v>433</v>
      </c>
      <c r="E378" s="1111">
        <v>4.1000000000000002E-2</v>
      </c>
      <c r="F378" s="1096"/>
      <c r="G378" s="1096"/>
      <c r="H378" s="170" t="s">
        <v>795</v>
      </c>
      <c r="I378" s="1070"/>
      <c r="J378" s="1071"/>
      <c r="K378" s="1072"/>
      <c r="L378" s="559"/>
      <c r="M378" s="513"/>
      <c r="N378" s="168"/>
      <c r="O378" s="125"/>
      <c r="P378" s="125"/>
      <c r="Q378" s="125"/>
      <c r="R378" s="126"/>
      <c r="S378" s="127"/>
      <c r="T378" s="125"/>
      <c r="U378" s="125"/>
      <c r="V378" s="125"/>
      <c r="W378" s="127"/>
      <c r="X378" s="127"/>
      <c r="Y378" s="128"/>
      <c r="Z378" s="128"/>
    </row>
    <row r="379" spans="3:26" ht="24" x14ac:dyDescent="0.2">
      <c r="C379" s="89"/>
      <c r="D379" s="546" t="s">
        <v>434</v>
      </c>
      <c r="E379" s="1111">
        <v>4.1000000000000002E-2</v>
      </c>
      <c r="F379" s="1096"/>
      <c r="G379" s="1096"/>
      <c r="H379" s="175"/>
      <c r="I379" s="1070"/>
      <c r="J379" s="1071"/>
      <c r="K379" s="1072"/>
      <c r="L379" s="559"/>
      <c r="M379" s="513"/>
      <c r="N379" s="168"/>
      <c r="O379" s="129" t="s">
        <v>811</v>
      </c>
      <c r="P379" s="130">
        <v>0.1</v>
      </c>
      <c r="Q379" s="131">
        <v>7.22E-2</v>
      </c>
      <c r="R379" s="132">
        <v>1.4999999999999999E-2</v>
      </c>
      <c r="S379" s="133">
        <v>1</v>
      </c>
      <c r="T379" s="129">
        <v>0.12330000000000001</v>
      </c>
      <c r="U379" s="134">
        <v>-29.452415094334064</v>
      </c>
      <c r="V379" s="135">
        <v>91.8</v>
      </c>
      <c r="W379" s="136">
        <v>4.88</v>
      </c>
      <c r="X379" s="137">
        <v>143.72778566035024</v>
      </c>
      <c r="Y379" s="138"/>
      <c r="Z379" s="138">
        <v>4.4350000000000005</v>
      </c>
    </row>
    <row r="380" spans="3:26" ht="24" x14ac:dyDescent="0.2">
      <c r="C380" s="89"/>
      <c r="D380" s="546" t="s">
        <v>435</v>
      </c>
      <c r="E380" s="1099">
        <v>0.52083333333333337</v>
      </c>
      <c r="F380" s="1099"/>
      <c r="G380" s="1099"/>
      <c r="H380" s="175"/>
      <c r="I380" s="1070"/>
      <c r="J380" s="1071"/>
      <c r="K380" s="1072"/>
      <c r="L380" s="560">
        <v>0.75</v>
      </c>
      <c r="M380" s="514">
        <v>0.64583333333333337</v>
      </c>
      <c r="N380" s="168"/>
      <c r="O380" s="139" t="s">
        <v>812</v>
      </c>
      <c r="P380" s="140">
        <v>0.1</v>
      </c>
      <c r="Q380" s="141">
        <v>4.0533333333333338E-2</v>
      </c>
      <c r="R380" s="142">
        <v>1.4999999999999999E-2</v>
      </c>
      <c r="S380" s="143">
        <v>0.5</v>
      </c>
      <c r="T380" s="139">
        <v>7.5800000000000006E-2</v>
      </c>
      <c r="U380" s="144">
        <v>-9.0530943396209338</v>
      </c>
      <c r="V380" s="145">
        <v>91.8</v>
      </c>
      <c r="W380" s="146">
        <v>2.3650000000000002</v>
      </c>
      <c r="X380" s="147">
        <v>21.41056811320351</v>
      </c>
      <c r="Y380" s="148"/>
      <c r="Z380" s="148"/>
    </row>
    <row r="381" spans="3:26" ht="24" x14ac:dyDescent="0.2">
      <c r="C381" s="89"/>
      <c r="D381" s="546" t="s">
        <v>436</v>
      </c>
      <c r="E381" s="184" t="s">
        <v>29</v>
      </c>
      <c r="F381" s="184" t="s">
        <v>28</v>
      </c>
      <c r="G381" s="184" t="s">
        <v>27</v>
      </c>
      <c r="H381" s="175" t="s">
        <v>793</v>
      </c>
      <c r="I381" s="1070"/>
      <c r="J381" s="1071"/>
      <c r="K381" s="1072"/>
      <c r="L381" s="559"/>
      <c r="M381" s="513"/>
      <c r="N381" s="168"/>
      <c r="O381" s="127"/>
      <c r="P381" s="149"/>
      <c r="Q381" s="127"/>
      <c r="R381" s="127"/>
      <c r="S381" s="127"/>
      <c r="T381" s="127"/>
      <c r="U381" s="150"/>
      <c r="V381" s="151"/>
      <c r="W381" s="127"/>
      <c r="X381" s="150"/>
      <c r="Y381" s="128"/>
      <c r="Z381" s="128"/>
    </row>
    <row r="382" spans="3:26" ht="24" x14ac:dyDescent="0.2">
      <c r="C382" s="89"/>
      <c r="D382" s="561">
        <v>45569</v>
      </c>
      <c r="E382" s="189">
        <v>4.1000000000000002E-2</v>
      </c>
      <c r="F382" s="189" t="s">
        <v>628</v>
      </c>
      <c r="G382" s="189">
        <v>4.2000000000000003E-2</v>
      </c>
      <c r="H382" s="187">
        <v>0.52083333333333337</v>
      </c>
      <c r="I382" s="1070"/>
      <c r="J382" s="1071"/>
      <c r="K382" s="1072"/>
      <c r="L382" s="559"/>
      <c r="M382" s="513"/>
      <c r="N382" s="168"/>
      <c r="O382" s="152"/>
      <c r="P382" s="128"/>
      <c r="Q382" s="152"/>
      <c r="R382" s="152"/>
      <c r="S382" s="152"/>
      <c r="T382" s="152"/>
      <c r="U382" s="152"/>
      <c r="V382" s="152"/>
      <c r="W382" s="152"/>
      <c r="X382" s="152"/>
      <c r="Y382" s="128"/>
      <c r="Z382" s="128"/>
    </row>
    <row r="383" spans="3:26" ht="24" x14ac:dyDescent="0.2">
      <c r="C383" s="89"/>
      <c r="D383" s="561">
        <v>45541</v>
      </c>
      <c r="E383" s="189">
        <v>4.2000000000000003E-2</v>
      </c>
      <c r="F383" s="189" t="s">
        <v>628</v>
      </c>
      <c r="G383" s="189">
        <v>4.2999999999999997E-2</v>
      </c>
      <c r="H383" s="187">
        <v>0.52083333333333337</v>
      </c>
      <c r="I383" s="1070"/>
      <c r="J383" s="1071"/>
      <c r="K383" s="1072"/>
      <c r="L383" s="559"/>
      <c r="M383" s="513"/>
      <c r="N383" s="168"/>
      <c r="O383" s="119" t="s">
        <v>813</v>
      </c>
      <c r="P383" s="120">
        <v>0.25</v>
      </c>
      <c r="Q383" s="153">
        <v>4.0533333333333338E-2</v>
      </c>
      <c r="R383" s="154">
        <v>1.4999999999999999E-2</v>
      </c>
      <c r="S383" s="123">
        <v>0.5</v>
      </c>
      <c r="T383" s="120">
        <v>7.5800000000000006E-2</v>
      </c>
      <c r="U383" s="155">
        <v>-22.632735849052334</v>
      </c>
      <c r="V383" s="156">
        <v>229.5</v>
      </c>
      <c r="W383" s="123">
        <v>2</v>
      </c>
      <c r="X383" s="157">
        <v>45.265471698104669</v>
      </c>
      <c r="Y383" s="158" t="s">
        <v>814</v>
      </c>
      <c r="Z383" s="158"/>
    </row>
    <row r="384" spans="3:26" ht="24" x14ac:dyDescent="0.2">
      <c r="C384" s="89"/>
      <c r="D384" s="561">
        <v>45506</v>
      </c>
      <c r="E384" s="189">
        <v>4.2999999999999997E-2</v>
      </c>
      <c r="F384" s="189" t="s">
        <v>629</v>
      </c>
      <c r="G384" s="189">
        <v>4.1000000000000002E-2</v>
      </c>
      <c r="H384" s="187">
        <v>0.52083333333333337</v>
      </c>
      <c r="I384" s="1070"/>
      <c r="J384" s="1071"/>
      <c r="K384" s="1072"/>
      <c r="L384" s="562"/>
      <c r="M384" s="513"/>
      <c r="N384" s="168"/>
      <c r="O384" s="119" t="s">
        <v>813</v>
      </c>
      <c r="P384" s="120">
        <v>0.25</v>
      </c>
      <c r="Q384" s="153">
        <v>4.0533333333333338E-2</v>
      </c>
      <c r="R384" s="154">
        <v>1.4999999999999999E-2</v>
      </c>
      <c r="S384" s="123">
        <v>0.5</v>
      </c>
      <c r="T384" s="120">
        <v>7.5800000000000006E-2</v>
      </c>
      <c r="U384" s="155">
        <v>-22.349278350515466</v>
      </c>
      <c r="V384" s="156">
        <v>229.5</v>
      </c>
      <c r="W384" s="123">
        <v>2</v>
      </c>
      <c r="X384" s="157">
        <v>44.698556701030931</v>
      </c>
      <c r="Y384" s="158"/>
      <c r="Z384" s="158"/>
    </row>
    <row r="385" spans="3:26" ht="24" x14ac:dyDescent="0.2">
      <c r="C385" s="89"/>
      <c r="D385" s="561">
        <v>45478</v>
      </c>
      <c r="E385" s="189">
        <v>4.1000000000000002E-2</v>
      </c>
      <c r="F385" s="189" t="s">
        <v>630</v>
      </c>
      <c r="G385" s="189">
        <v>0.04</v>
      </c>
      <c r="H385" s="187">
        <v>0.52083333333333337</v>
      </c>
      <c r="I385" s="1070"/>
      <c r="J385" s="1071"/>
      <c r="K385" s="1072"/>
      <c r="L385" s="559"/>
      <c r="M385" s="513"/>
      <c r="N385" s="168"/>
      <c r="O385" s="119" t="s">
        <v>816</v>
      </c>
      <c r="P385" s="120"/>
      <c r="Q385" s="153"/>
      <c r="R385" s="154"/>
      <c r="S385" s="123"/>
      <c r="T385" s="120"/>
      <c r="U385" s="155">
        <v>-22.349278350515466</v>
      </c>
      <c r="V385" s="156"/>
      <c r="W385" s="123"/>
      <c r="X385" s="157">
        <v>44.698556701030931</v>
      </c>
      <c r="Y385" s="158"/>
      <c r="Z385" s="158"/>
    </row>
    <row r="386" spans="3:26" ht="24" x14ac:dyDescent="0.2">
      <c r="C386" s="89"/>
      <c r="D386" s="561">
        <v>45450</v>
      </c>
      <c r="E386" s="189">
        <v>0.04</v>
      </c>
      <c r="F386" s="189" t="s">
        <v>631</v>
      </c>
      <c r="G386" s="189">
        <v>3.9E-2</v>
      </c>
      <c r="H386" s="187">
        <v>0.52083333333333337</v>
      </c>
      <c r="I386" s="1070"/>
      <c r="J386" s="1071"/>
      <c r="K386" s="1072"/>
      <c r="L386" s="559"/>
      <c r="M386" s="513"/>
      <c r="N386" s="168"/>
      <c r="O386" s="89"/>
      <c r="P386" s="89"/>
      <c r="Q386" s="89"/>
      <c r="R386" s="89"/>
      <c r="S386" s="89"/>
      <c r="T386" s="89"/>
      <c r="U386" s="89"/>
      <c r="V386" s="89"/>
      <c r="W386" s="89"/>
      <c r="X386" s="89"/>
      <c r="Y386" s="89"/>
      <c r="Z386" s="89"/>
    </row>
    <row r="387" spans="3:26" ht="24" x14ac:dyDescent="0.2">
      <c r="C387" s="89"/>
      <c r="D387" s="561">
        <v>45415</v>
      </c>
      <c r="E387" s="189">
        <v>3.9E-2</v>
      </c>
      <c r="F387" s="189" t="s">
        <v>632</v>
      </c>
      <c r="G387" s="189">
        <v>3.7999999999999999E-2</v>
      </c>
      <c r="H387" s="187">
        <v>0.52083333333333337</v>
      </c>
      <c r="I387" s="1073"/>
      <c r="J387" s="1074"/>
      <c r="K387" s="1075"/>
      <c r="L387" s="559"/>
      <c r="M387" s="513"/>
      <c r="N387" s="168"/>
      <c r="O387" s="89"/>
      <c r="P387" s="89"/>
      <c r="Q387" s="89"/>
      <c r="R387" s="89"/>
      <c r="S387" s="89"/>
      <c r="T387" s="89"/>
      <c r="U387" s="89"/>
      <c r="V387" s="89"/>
      <c r="W387" s="89"/>
      <c r="X387" s="89"/>
      <c r="Y387" s="89"/>
      <c r="Z387" s="89"/>
    </row>
    <row r="388" spans="3:26" ht="48" x14ac:dyDescent="0.2">
      <c r="C388" s="89" t="s">
        <v>105</v>
      </c>
      <c r="D388" s="557" t="s">
        <v>30</v>
      </c>
      <c r="E388" s="1088" t="s">
        <v>862</v>
      </c>
      <c r="F388" s="1088"/>
      <c r="G388" s="1088"/>
      <c r="H388" s="167" t="s">
        <v>790</v>
      </c>
      <c r="I388" s="1093" t="s">
        <v>633</v>
      </c>
      <c r="J388" s="1094"/>
      <c r="K388" s="1095"/>
      <c r="L388" s="558" t="s">
        <v>430</v>
      </c>
      <c r="M388" s="420" t="s">
        <v>431</v>
      </c>
      <c r="N388" s="168" t="s">
        <v>105</v>
      </c>
      <c r="O388" s="118" t="s">
        <v>800</v>
      </c>
      <c r="P388" s="118" t="s">
        <v>801</v>
      </c>
      <c r="Q388" s="118" t="s">
        <v>802</v>
      </c>
      <c r="R388" s="118" t="s">
        <v>803</v>
      </c>
      <c r="S388" s="118" t="s">
        <v>804</v>
      </c>
      <c r="T388" s="118" t="s">
        <v>805</v>
      </c>
      <c r="U388" s="118" t="s">
        <v>806</v>
      </c>
      <c r="V388" s="118" t="s">
        <v>807</v>
      </c>
      <c r="W388" s="118" t="s">
        <v>808</v>
      </c>
      <c r="X388" s="118" t="s">
        <v>809</v>
      </c>
      <c r="Y388" s="118" t="s">
        <v>75</v>
      </c>
      <c r="Z388" s="118" t="s">
        <v>75</v>
      </c>
    </row>
    <row r="389" spans="3:26" ht="24" x14ac:dyDescent="0.2">
      <c r="C389" s="89"/>
      <c r="D389" s="546" t="s">
        <v>432</v>
      </c>
      <c r="E389" s="1092"/>
      <c r="F389" s="1092"/>
      <c r="G389" s="1092"/>
      <c r="H389" s="170" t="s">
        <v>794</v>
      </c>
      <c r="I389" s="1067" t="s">
        <v>863</v>
      </c>
      <c r="J389" s="1068"/>
      <c r="K389" s="1069"/>
      <c r="L389" s="559"/>
      <c r="M389" s="513"/>
      <c r="N389" s="168"/>
      <c r="O389" s="119" t="s">
        <v>810</v>
      </c>
      <c r="P389" s="171">
        <v>0.1</v>
      </c>
      <c r="Q389" s="171">
        <v>2.1000000000000001E-2</v>
      </c>
      <c r="R389" s="171">
        <v>1.7000000000000001E-2</v>
      </c>
      <c r="S389" s="123"/>
      <c r="T389" s="119">
        <v>4.8500000000000001E-2</v>
      </c>
      <c r="U389" s="172">
        <v>-11.44</v>
      </c>
      <c r="V389" s="171">
        <v>91.8</v>
      </c>
      <c r="W389" s="174"/>
      <c r="X389" s="157"/>
      <c r="Y389" s="124"/>
      <c r="Z389" s="124"/>
    </row>
    <row r="390" spans="3:26" ht="24" x14ac:dyDescent="0.2">
      <c r="C390" s="89"/>
      <c r="D390" s="546" t="s">
        <v>433</v>
      </c>
      <c r="E390" s="1096">
        <v>47.5</v>
      </c>
      <c r="F390" s="1096"/>
      <c r="G390" s="1096"/>
      <c r="H390" s="170" t="s">
        <v>795</v>
      </c>
      <c r="I390" s="1070"/>
      <c r="J390" s="1071"/>
      <c r="K390" s="1072"/>
      <c r="L390" s="559"/>
      <c r="M390" s="513"/>
      <c r="N390" s="168"/>
      <c r="O390" s="125"/>
      <c r="P390" s="125"/>
      <c r="Q390" s="125"/>
      <c r="R390" s="126"/>
      <c r="S390" s="127"/>
      <c r="T390" s="125"/>
      <c r="U390" s="125"/>
      <c r="V390" s="125"/>
      <c r="W390" s="125"/>
      <c r="X390" s="127"/>
      <c r="Y390" s="128"/>
      <c r="Z390" s="128"/>
    </row>
    <row r="391" spans="3:26" ht="24" x14ac:dyDescent="0.2">
      <c r="C391" s="89"/>
      <c r="D391" s="546" t="s">
        <v>434</v>
      </c>
      <c r="E391" s="1096">
        <v>47.2</v>
      </c>
      <c r="F391" s="1096"/>
      <c r="G391" s="1096"/>
      <c r="H391" s="175"/>
      <c r="I391" s="1070"/>
      <c r="J391" s="1071"/>
      <c r="K391" s="1072"/>
      <c r="L391" s="559"/>
      <c r="M391" s="513"/>
      <c r="N391" s="168"/>
      <c r="O391" s="129" t="s">
        <v>811</v>
      </c>
      <c r="P391" s="176">
        <v>0.1</v>
      </c>
      <c r="Q391" s="177">
        <v>0.12959999999999999</v>
      </c>
      <c r="R391" s="178">
        <v>1.7000000000000001E-2</v>
      </c>
      <c r="S391" s="190">
        <v>1</v>
      </c>
      <c r="T391" s="129">
        <v>0.21139999999999998</v>
      </c>
      <c r="U391" s="134">
        <v>-49.864247422680407</v>
      </c>
      <c r="V391" s="135">
        <v>91.8</v>
      </c>
      <c r="W391" s="191">
        <v>2.71</v>
      </c>
      <c r="X391" s="137">
        <v>135.13211051546389</v>
      </c>
      <c r="Y391" s="138"/>
      <c r="Z391" s="138"/>
    </row>
    <row r="392" spans="3:26" ht="24" x14ac:dyDescent="0.2">
      <c r="C392" s="89"/>
      <c r="D392" s="546" t="s">
        <v>435</v>
      </c>
      <c r="E392" s="1099">
        <v>0.58333333333333337</v>
      </c>
      <c r="F392" s="1099"/>
      <c r="G392" s="1099"/>
      <c r="H392" s="175"/>
      <c r="I392" s="1070"/>
      <c r="J392" s="1071"/>
      <c r="K392" s="1072"/>
      <c r="L392" s="560">
        <v>0.8125</v>
      </c>
      <c r="M392" s="514">
        <v>0.70833333333333337</v>
      </c>
      <c r="N392" s="168"/>
      <c r="O392" s="139" t="s">
        <v>812</v>
      </c>
      <c r="P392" s="180">
        <v>0.1</v>
      </c>
      <c r="Q392" s="160">
        <v>6.5733333333333324E-2</v>
      </c>
      <c r="R392" s="181">
        <v>1.7000000000000001E-2</v>
      </c>
      <c r="S392" s="192">
        <v>1</v>
      </c>
      <c r="T392" s="182">
        <v>0.11559999999999999</v>
      </c>
      <c r="U392" s="144">
        <v>-27.267298969072165</v>
      </c>
      <c r="V392" s="145">
        <v>91.8</v>
      </c>
      <c r="W392" s="193">
        <v>4.16</v>
      </c>
      <c r="X392" s="147">
        <v>113.43196371134022</v>
      </c>
      <c r="Y392" s="148"/>
      <c r="Z392" s="148"/>
    </row>
    <row r="393" spans="3:26" ht="24" x14ac:dyDescent="0.2">
      <c r="C393" s="89"/>
      <c r="D393" s="546" t="s">
        <v>436</v>
      </c>
      <c r="E393" s="184" t="s">
        <v>29</v>
      </c>
      <c r="F393" s="184" t="s">
        <v>28</v>
      </c>
      <c r="G393" s="184" t="s">
        <v>27</v>
      </c>
      <c r="H393" s="175" t="s">
        <v>793</v>
      </c>
      <c r="I393" s="1070"/>
      <c r="J393" s="1071"/>
      <c r="K393" s="1072"/>
      <c r="L393" s="559"/>
      <c r="M393" s="513"/>
      <c r="N393" s="168"/>
      <c r="O393" s="127"/>
      <c r="P393" s="149"/>
      <c r="Q393" s="127"/>
      <c r="R393" s="127"/>
      <c r="S393" s="194"/>
      <c r="T393" s="127"/>
      <c r="U393" s="150"/>
      <c r="V393" s="151"/>
      <c r="W393" s="195"/>
      <c r="X393" s="150"/>
      <c r="Y393" s="128"/>
      <c r="Z393" s="128"/>
    </row>
    <row r="394" spans="3:26" ht="24" x14ac:dyDescent="0.2">
      <c r="C394" s="89"/>
      <c r="D394" s="561">
        <v>45566</v>
      </c>
      <c r="E394" s="201">
        <v>47.2</v>
      </c>
      <c r="F394" s="201" t="s">
        <v>901</v>
      </c>
      <c r="G394" s="201">
        <v>47.2</v>
      </c>
      <c r="H394" s="187">
        <v>0.58333333333333337</v>
      </c>
      <c r="I394" s="1070"/>
      <c r="J394" s="1071"/>
      <c r="K394" s="1072"/>
      <c r="L394" s="559"/>
      <c r="M394" s="513"/>
      <c r="N394" s="168"/>
      <c r="O394" s="152"/>
      <c r="P394" s="128"/>
      <c r="Q394" s="152"/>
      <c r="R394" s="152"/>
      <c r="S394" s="194"/>
      <c r="T394" s="152"/>
      <c r="U394" s="152"/>
      <c r="V394" s="152"/>
      <c r="W394" s="197"/>
      <c r="X394" s="152"/>
      <c r="Y394" s="128"/>
      <c r="Z394" s="128"/>
    </row>
    <row r="395" spans="3:26" ht="24" x14ac:dyDescent="0.2">
      <c r="C395" s="89"/>
      <c r="D395" s="561">
        <v>45538</v>
      </c>
      <c r="E395" s="201">
        <v>47.2</v>
      </c>
      <c r="F395" s="201" t="s">
        <v>509</v>
      </c>
      <c r="G395" s="201">
        <v>46.8</v>
      </c>
      <c r="H395" s="187">
        <v>0.58333333333333337</v>
      </c>
      <c r="I395" s="1070"/>
      <c r="J395" s="1071"/>
      <c r="K395" s="1072"/>
      <c r="L395" s="559"/>
      <c r="M395" s="513"/>
      <c r="N395" s="168"/>
      <c r="O395" s="119" t="s">
        <v>813</v>
      </c>
      <c r="P395" s="202">
        <v>-0.05</v>
      </c>
      <c r="Q395" s="153">
        <v>9.7666666666666652E-2</v>
      </c>
      <c r="R395" s="154">
        <v>1.7000000000000001E-2</v>
      </c>
      <c r="S395" s="198">
        <v>-1.5</v>
      </c>
      <c r="T395" s="129">
        <v>0.16349999999999998</v>
      </c>
      <c r="U395" s="155">
        <v>-28.92432989690721</v>
      </c>
      <c r="V395" s="156">
        <v>-45.9</v>
      </c>
      <c r="W395" s="200">
        <v>2</v>
      </c>
      <c r="X395" s="157">
        <v>57.84865979381442</v>
      </c>
      <c r="Y395" s="158" t="s">
        <v>814</v>
      </c>
      <c r="Z395" s="158"/>
    </row>
    <row r="396" spans="3:26" ht="24" x14ac:dyDescent="0.2">
      <c r="C396" s="89"/>
      <c r="D396" s="561">
        <v>45505</v>
      </c>
      <c r="E396" s="201">
        <v>46.8</v>
      </c>
      <c r="F396" s="201" t="s">
        <v>510</v>
      </c>
      <c r="G396" s="201">
        <v>48.5</v>
      </c>
      <c r="H396" s="187">
        <v>0.58333333333333337</v>
      </c>
      <c r="I396" s="1070"/>
      <c r="J396" s="1071"/>
      <c r="K396" s="1072"/>
      <c r="L396" s="562"/>
      <c r="M396" s="513"/>
      <c r="N396" s="168"/>
      <c r="O396" s="119"/>
      <c r="P396" s="120"/>
      <c r="Q396" s="153"/>
      <c r="R396" s="154"/>
      <c r="S396" s="123"/>
      <c r="T396" s="120"/>
      <c r="U396" s="155"/>
      <c r="V396" s="156"/>
      <c r="W396" s="123"/>
      <c r="X396" s="157"/>
      <c r="Y396" s="158"/>
      <c r="Z396" s="158"/>
    </row>
    <row r="397" spans="3:26" ht="24" x14ac:dyDescent="0.2">
      <c r="C397" s="89"/>
      <c r="D397" s="561">
        <v>45474</v>
      </c>
      <c r="E397" s="201">
        <v>48.5</v>
      </c>
      <c r="F397" s="201" t="s">
        <v>511</v>
      </c>
      <c r="G397" s="201">
        <v>48.7</v>
      </c>
      <c r="H397" s="187">
        <v>0.58333333333333337</v>
      </c>
      <c r="I397" s="1070"/>
      <c r="J397" s="1071"/>
      <c r="K397" s="1072"/>
      <c r="L397" s="559"/>
      <c r="M397" s="513"/>
      <c r="N397" s="168"/>
      <c r="O397" s="119" t="s">
        <v>816</v>
      </c>
      <c r="P397" s="120"/>
      <c r="Q397" s="153"/>
      <c r="R397" s="154"/>
      <c r="S397" s="123"/>
      <c r="T397" s="120"/>
      <c r="U397" s="155">
        <v>0</v>
      </c>
      <c r="V397" s="156"/>
      <c r="W397" s="123"/>
      <c r="X397" s="157">
        <v>0</v>
      </c>
      <c r="Y397" s="158"/>
      <c r="Z397" s="158"/>
    </row>
    <row r="398" spans="3:26" ht="24" x14ac:dyDescent="0.2">
      <c r="C398" s="89"/>
      <c r="D398" s="561">
        <v>45446</v>
      </c>
      <c r="E398" s="201">
        <v>48.7</v>
      </c>
      <c r="F398" s="201" t="s">
        <v>513</v>
      </c>
      <c r="G398" s="201">
        <v>49.2</v>
      </c>
      <c r="H398" s="187">
        <v>0.58333333333333337</v>
      </c>
      <c r="I398" s="1070"/>
      <c r="J398" s="1071"/>
      <c r="K398" s="1072"/>
      <c r="L398" s="559"/>
      <c r="M398" s="513"/>
      <c r="N398" s="168"/>
      <c r="O398" s="89"/>
      <c r="P398" s="89"/>
      <c r="Q398" s="89"/>
      <c r="R398" s="89"/>
      <c r="S398" s="89"/>
      <c r="T398" s="89"/>
      <c r="U398" s="89"/>
      <c r="V398" s="89"/>
      <c r="W398" s="89"/>
      <c r="X398" s="89"/>
      <c r="Y398" s="89"/>
      <c r="Z398" s="89"/>
    </row>
    <row r="399" spans="3:26" ht="24" x14ac:dyDescent="0.2">
      <c r="C399" s="89"/>
      <c r="D399" s="561">
        <v>45413</v>
      </c>
      <c r="E399" s="201">
        <v>49.2</v>
      </c>
      <c r="F399" s="201" t="s">
        <v>515</v>
      </c>
      <c r="G399" s="201">
        <v>50.3</v>
      </c>
      <c r="H399" s="187">
        <v>0.58333333333333337</v>
      </c>
      <c r="I399" s="1073"/>
      <c r="J399" s="1074"/>
      <c r="K399" s="1075"/>
      <c r="L399" s="559"/>
      <c r="M399" s="513"/>
      <c r="N399" s="168"/>
      <c r="O399" s="89"/>
      <c r="P399" s="89"/>
      <c r="Q399" s="89"/>
      <c r="R399" s="89"/>
      <c r="S399" s="89"/>
      <c r="T399" s="89"/>
      <c r="U399" s="89"/>
      <c r="V399" s="89"/>
      <c r="W399" s="89"/>
      <c r="X399" s="89"/>
      <c r="Y399" s="89"/>
      <c r="Z399" s="89"/>
    </row>
    <row r="400" spans="3:26" ht="48" x14ac:dyDescent="0.2">
      <c r="C400" s="89" t="s">
        <v>105</v>
      </c>
      <c r="D400" s="557" t="s">
        <v>30</v>
      </c>
      <c r="E400" s="1088" t="s">
        <v>864</v>
      </c>
      <c r="F400" s="1088"/>
      <c r="G400" s="1088"/>
      <c r="H400" s="167" t="s">
        <v>790</v>
      </c>
      <c r="I400" s="1093" t="s">
        <v>633</v>
      </c>
      <c r="J400" s="1094"/>
      <c r="K400" s="1095"/>
      <c r="L400" s="558" t="s">
        <v>430</v>
      </c>
      <c r="M400" s="420" t="s">
        <v>431</v>
      </c>
      <c r="N400" s="168" t="s">
        <v>105</v>
      </c>
      <c r="O400" s="118" t="s">
        <v>800</v>
      </c>
      <c r="P400" s="118" t="s">
        <v>801</v>
      </c>
      <c r="Q400" s="118" t="s">
        <v>802</v>
      </c>
      <c r="R400" s="118" t="s">
        <v>803</v>
      </c>
      <c r="S400" s="118" t="s">
        <v>804</v>
      </c>
      <c r="T400" s="118" t="s">
        <v>805</v>
      </c>
      <c r="U400" s="118" t="s">
        <v>806</v>
      </c>
      <c r="V400" s="118" t="s">
        <v>807</v>
      </c>
      <c r="W400" s="118" t="s">
        <v>808</v>
      </c>
      <c r="X400" s="118" t="s">
        <v>809</v>
      </c>
      <c r="Y400" s="118" t="s">
        <v>75</v>
      </c>
      <c r="Z400" s="118" t="s">
        <v>75</v>
      </c>
    </row>
    <row r="401" spans="3:26" ht="24" x14ac:dyDescent="0.2">
      <c r="C401" s="89"/>
      <c r="D401" s="546" t="s">
        <v>432</v>
      </c>
      <c r="E401" s="1092"/>
      <c r="F401" s="1092"/>
      <c r="G401" s="1092"/>
      <c r="H401" s="170" t="s">
        <v>794</v>
      </c>
      <c r="I401" s="1067" t="s">
        <v>865</v>
      </c>
      <c r="J401" s="1068"/>
      <c r="K401" s="1069"/>
      <c r="L401" s="559"/>
      <c r="M401" s="513"/>
      <c r="N401" s="168"/>
      <c r="O401" s="119" t="s">
        <v>810</v>
      </c>
      <c r="P401" s="120">
        <v>0.1</v>
      </c>
      <c r="Q401" s="121">
        <v>3.9E-2</v>
      </c>
      <c r="R401" s="122">
        <v>2.1000000000015007E-2</v>
      </c>
      <c r="S401" s="123"/>
      <c r="T401" s="119">
        <v>7.9500000000015003E-2</v>
      </c>
      <c r="U401" s="121">
        <v>-18.989999999999998</v>
      </c>
      <c r="V401" s="120">
        <v>91.8</v>
      </c>
      <c r="W401" s="123"/>
      <c r="X401" s="123"/>
      <c r="Y401" s="124"/>
      <c r="Z401" s="124"/>
    </row>
    <row r="402" spans="3:26" ht="24" x14ac:dyDescent="0.2">
      <c r="C402" s="89"/>
      <c r="D402" s="546" t="s">
        <v>433</v>
      </c>
      <c r="E402" s="1096">
        <v>48.9</v>
      </c>
      <c r="F402" s="1096"/>
      <c r="G402" s="1096"/>
      <c r="H402" s="170" t="s">
        <v>795</v>
      </c>
      <c r="I402" s="1070"/>
      <c r="J402" s="1071"/>
      <c r="K402" s="1072"/>
      <c r="L402" s="559"/>
      <c r="M402" s="513"/>
      <c r="N402" s="168"/>
      <c r="O402" s="125"/>
      <c r="P402" s="125"/>
      <c r="Q402" s="125"/>
      <c r="R402" s="126"/>
      <c r="S402" s="127"/>
      <c r="T402" s="125"/>
      <c r="U402" s="125"/>
      <c r="V402" s="125"/>
      <c r="W402" s="127"/>
      <c r="X402" s="127"/>
      <c r="Y402" s="128"/>
      <c r="Z402" s="128"/>
    </row>
    <row r="403" spans="3:26" ht="24" x14ac:dyDescent="0.2">
      <c r="C403" s="89"/>
      <c r="D403" s="546" t="s">
        <v>434</v>
      </c>
      <c r="E403" s="1096">
        <v>48.3</v>
      </c>
      <c r="F403" s="1096"/>
      <c r="G403" s="1096"/>
      <c r="H403" s="175"/>
      <c r="I403" s="1070"/>
      <c r="J403" s="1071"/>
      <c r="K403" s="1072"/>
      <c r="L403" s="559"/>
      <c r="M403" s="513"/>
      <c r="N403" s="168"/>
      <c r="O403" s="129" t="s">
        <v>811</v>
      </c>
      <c r="P403" s="130">
        <v>0.1</v>
      </c>
      <c r="Q403" s="131">
        <v>7.22E-2</v>
      </c>
      <c r="R403" s="132">
        <v>1.4999999999999999E-2</v>
      </c>
      <c r="S403" s="133">
        <v>1</v>
      </c>
      <c r="T403" s="129">
        <v>0.12330000000000001</v>
      </c>
      <c r="U403" s="134">
        <v>-29.452415094334064</v>
      </c>
      <c r="V403" s="135">
        <v>91.8</v>
      </c>
      <c r="W403" s="136">
        <v>4.88</v>
      </c>
      <c r="X403" s="137">
        <v>143.72778566035024</v>
      </c>
      <c r="Y403" s="138"/>
      <c r="Z403" s="138">
        <v>4.4350000000000005</v>
      </c>
    </row>
    <row r="404" spans="3:26" ht="24" x14ac:dyDescent="0.2">
      <c r="C404" s="89"/>
      <c r="D404" s="546" t="s">
        <v>435</v>
      </c>
      <c r="E404" s="1099">
        <v>0.58333333333333337</v>
      </c>
      <c r="F404" s="1099"/>
      <c r="G404" s="1099"/>
      <c r="H404" s="175"/>
      <c r="I404" s="1070"/>
      <c r="J404" s="1071"/>
      <c r="K404" s="1072"/>
      <c r="L404" s="560">
        <v>0.8125</v>
      </c>
      <c r="M404" s="514">
        <v>0.70833333333333337</v>
      </c>
      <c r="N404" s="168"/>
      <c r="O404" s="139" t="s">
        <v>812</v>
      </c>
      <c r="P404" s="140">
        <v>0.1</v>
      </c>
      <c r="Q404" s="141">
        <v>4.0533333333333338E-2</v>
      </c>
      <c r="R404" s="142">
        <v>1.4999999999999999E-2</v>
      </c>
      <c r="S404" s="143">
        <v>0.5</v>
      </c>
      <c r="T404" s="139">
        <v>7.5800000000000006E-2</v>
      </c>
      <c r="U404" s="144">
        <v>-9.0530943396209338</v>
      </c>
      <c r="V404" s="145">
        <v>91.8</v>
      </c>
      <c r="W404" s="146">
        <v>2.3650000000000002</v>
      </c>
      <c r="X404" s="147">
        <v>21.41056811320351</v>
      </c>
      <c r="Y404" s="148"/>
      <c r="Z404" s="148"/>
    </row>
    <row r="405" spans="3:26" ht="24" x14ac:dyDescent="0.2">
      <c r="C405" s="89"/>
      <c r="D405" s="546" t="s">
        <v>436</v>
      </c>
      <c r="E405" s="184" t="s">
        <v>29</v>
      </c>
      <c r="F405" s="184" t="s">
        <v>28</v>
      </c>
      <c r="G405" s="184" t="s">
        <v>27</v>
      </c>
      <c r="H405" s="175" t="s">
        <v>793</v>
      </c>
      <c r="I405" s="1070"/>
      <c r="J405" s="1071"/>
      <c r="K405" s="1072"/>
      <c r="L405" s="559"/>
      <c r="M405" s="513"/>
      <c r="N405" s="168"/>
      <c r="O405" s="127"/>
      <c r="P405" s="149"/>
      <c r="Q405" s="127"/>
      <c r="R405" s="127"/>
      <c r="S405" s="127"/>
      <c r="T405" s="127"/>
      <c r="U405" s="150"/>
      <c r="V405" s="151"/>
      <c r="W405" s="127"/>
      <c r="X405" s="150"/>
      <c r="Y405" s="128"/>
      <c r="Z405" s="128"/>
    </row>
    <row r="406" spans="3:26" ht="24" x14ac:dyDescent="0.2">
      <c r="C406" s="89"/>
      <c r="D406" s="561">
        <v>45566</v>
      </c>
      <c r="E406" s="201">
        <v>48.3</v>
      </c>
      <c r="F406" s="201" t="s">
        <v>902</v>
      </c>
      <c r="G406" s="201">
        <v>54</v>
      </c>
      <c r="H406" s="187">
        <v>0.58333333333333337</v>
      </c>
      <c r="I406" s="1070"/>
      <c r="J406" s="1071"/>
      <c r="K406" s="1072"/>
      <c r="L406" s="559"/>
      <c r="M406" s="513"/>
      <c r="N406" s="168"/>
      <c r="O406" s="152"/>
      <c r="P406" s="128"/>
      <c r="Q406" s="152"/>
      <c r="R406" s="152"/>
      <c r="S406" s="152"/>
      <c r="T406" s="152"/>
      <c r="U406" s="152"/>
      <c r="V406" s="152"/>
      <c r="W406" s="152"/>
      <c r="X406" s="152"/>
      <c r="Y406" s="128"/>
      <c r="Z406" s="128"/>
    </row>
    <row r="407" spans="3:26" ht="24" x14ac:dyDescent="0.2">
      <c r="C407" s="89"/>
      <c r="D407" s="561">
        <v>45538</v>
      </c>
      <c r="E407" s="201">
        <v>54</v>
      </c>
      <c r="F407" s="201" t="s">
        <v>519</v>
      </c>
      <c r="G407" s="201">
        <v>52.9</v>
      </c>
      <c r="H407" s="187">
        <v>0.58333333333333337</v>
      </c>
      <c r="I407" s="1070"/>
      <c r="J407" s="1071"/>
      <c r="K407" s="1072"/>
      <c r="L407" s="559"/>
      <c r="M407" s="513"/>
      <c r="N407" s="168"/>
      <c r="O407" s="119" t="s">
        <v>813</v>
      </c>
      <c r="P407" s="120">
        <v>0.25</v>
      </c>
      <c r="Q407" s="153">
        <v>4.0533333333333338E-2</v>
      </c>
      <c r="R407" s="154">
        <v>1.4999999999999999E-2</v>
      </c>
      <c r="S407" s="123">
        <v>0.5</v>
      </c>
      <c r="T407" s="120">
        <v>7.5800000000000006E-2</v>
      </c>
      <c r="U407" s="155">
        <v>-22.632735849052334</v>
      </c>
      <c r="V407" s="156">
        <v>229.5</v>
      </c>
      <c r="W407" s="123">
        <v>2</v>
      </c>
      <c r="X407" s="157">
        <v>45.265471698104669</v>
      </c>
      <c r="Y407" s="158" t="s">
        <v>814</v>
      </c>
      <c r="Z407" s="158"/>
    </row>
    <row r="408" spans="3:26" ht="24" x14ac:dyDescent="0.2">
      <c r="C408" s="89"/>
      <c r="D408" s="561">
        <v>45505</v>
      </c>
      <c r="E408" s="201">
        <v>52.9</v>
      </c>
      <c r="F408" s="201" t="s">
        <v>520</v>
      </c>
      <c r="G408" s="201">
        <v>52.1</v>
      </c>
      <c r="H408" s="187">
        <v>0.58333333333333337</v>
      </c>
      <c r="I408" s="1070"/>
      <c r="J408" s="1071"/>
      <c r="K408" s="1072"/>
      <c r="L408" s="562"/>
      <c r="M408" s="513"/>
      <c r="N408" s="168"/>
      <c r="O408" s="119" t="s">
        <v>813</v>
      </c>
      <c r="P408" s="120">
        <v>0.25</v>
      </c>
      <c r="Q408" s="153">
        <v>4.0533333333333338E-2</v>
      </c>
      <c r="R408" s="154">
        <v>1.4999999999999999E-2</v>
      </c>
      <c r="S408" s="123">
        <v>0.5</v>
      </c>
      <c r="T408" s="120">
        <v>7.5800000000000006E-2</v>
      </c>
      <c r="U408" s="155">
        <v>-22.349278350515466</v>
      </c>
      <c r="V408" s="156">
        <v>229.5</v>
      </c>
      <c r="W408" s="123">
        <v>2</v>
      </c>
      <c r="X408" s="157">
        <v>44.698556701030931</v>
      </c>
      <c r="Y408" s="158"/>
      <c r="Z408" s="158"/>
    </row>
    <row r="409" spans="3:26" ht="24" x14ac:dyDescent="0.2">
      <c r="C409" s="89"/>
      <c r="D409" s="561">
        <v>45474</v>
      </c>
      <c r="E409" s="201">
        <v>52.1</v>
      </c>
      <c r="F409" s="201" t="s">
        <v>521</v>
      </c>
      <c r="G409" s="201">
        <v>57</v>
      </c>
      <c r="H409" s="187">
        <v>0.58333333333333337</v>
      </c>
      <c r="I409" s="1070"/>
      <c r="J409" s="1071"/>
      <c r="K409" s="1072"/>
      <c r="L409" s="559"/>
      <c r="M409" s="513"/>
      <c r="N409" s="168"/>
      <c r="O409" s="119" t="s">
        <v>816</v>
      </c>
      <c r="P409" s="120"/>
      <c r="Q409" s="153"/>
      <c r="R409" s="154"/>
      <c r="S409" s="123"/>
      <c r="T409" s="120"/>
      <c r="U409" s="155">
        <v>-22.349278350515466</v>
      </c>
      <c r="V409" s="156"/>
      <c r="W409" s="123"/>
      <c r="X409" s="157">
        <v>44.698556701030931</v>
      </c>
      <c r="Y409" s="158"/>
      <c r="Z409" s="158"/>
    </row>
    <row r="410" spans="3:26" ht="24" x14ac:dyDescent="0.2">
      <c r="C410" s="89"/>
      <c r="D410" s="561">
        <v>45446</v>
      </c>
      <c r="E410" s="201">
        <v>57</v>
      </c>
      <c r="F410" s="201" t="s">
        <v>522</v>
      </c>
      <c r="G410" s="201">
        <v>60.9</v>
      </c>
      <c r="H410" s="187">
        <v>0.58333333333333337</v>
      </c>
      <c r="I410" s="1070"/>
      <c r="J410" s="1071"/>
      <c r="K410" s="1072"/>
      <c r="L410" s="559"/>
      <c r="M410" s="513"/>
      <c r="N410" s="168"/>
      <c r="O410" s="89"/>
      <c r="P410" s="89"/>
      <c r="Q410" s="89"/>
      <c r="R410" s="89"/>
      <c r="S410" s="89"/>
      <c r="T410" s="89"/>
      <c r="U410" s="89"/>
      <c r="V410" s="89"/>
      <c r="W410" s="89"/>
      <c r="X410" s="89"/>
      <c r="Y410" s="89"/>
      <c r="Z410" s="89"/>
    </row>
    <row r="411" spans="3:26" ht="24" x14ac:dyDescent="0.2">
      <c r="C411" s="89"/>
      <c r="D411" s="561">
        <v>45413</v>
      </c>
      <c r="E411" s="201">
        <v>60.9</v>
      </c>
      <c r="F411" s="201" t="s">
        <v>523</v>
      </c>
      <c r="G411" s="201">
        <v>55.8</v>
      </c>
      <c r="H411" s="187">
        <v>0.58333333333333337</v>
      </c>
      <c r="I411" s="1073"/>
      <c r="J411" s="1074"/>
      <c r="K411" s="1075"/>
      <c r="L411" s="559"/>
      <c r="M411" s="513"/>
      <c r="N411" s="168"/>
      <c r="O411" s="89"/>
      <c r="P411" s="89"/>
      <c r="Q411" s="89"/>
      <c r="R411" s="89"/>
      <c r="S411" s="89"/>
      <c r="T411" s="89"/>
      <c r="U411" s="89"/>
      <c r="V411" s="89"/>
      <c r="W411" s="89"/>
      <c r="X411" s="89"/>
      <c r="Y411" s="89"/>
      <c r="Z411" s="89"/>
    </row>
    <row r="412" spans="3:26" ht="48" x14ac:dyDescent="0.2">
      <c r="C412" s="89" t="s">
        <v>105</v>
      </c>
      <c r="D412" s="557" t="s">
        <v>30</v>
      </c>
      <c r="E412" s="1088" t="s">
        <v>866</v>
      </c>
      <c r="F412" s="1088"/>
      <c r="G412" s="1088"/>
      <c r="H412" s="167" t="s">
        <v>790</v>
      </c>
      <c r="I412" s="1093" t="s">
        <v>633</v>
      </c>
      <c r="J412" s="1094"/>
      <c r="K412" s="1095"/>
      <c r="L412" s="558" t="s">
        <v>430</v>
      </c>
      <c r="M412" s="420" t="s">
        <v>431</v>
      </c>
      <c r="N412" s="168" t="s">
        <v>105</v>
      </c>
      <c r="O412" s="118" t="s">
        <v>800</v>
      </c>
      <c r="P412" s="118" t="s">
        <v>801</v>
      </c>
      <c r="Q412" s="118" t="s">
        <v>802</v>
      </c>
      <c r="R412" s="118" t="s">
        <v>803</v>
      </c>
      <c r="S412" s="118" t="s">
        <v>804</v>
      </c>
      <c r="T412" s="118" t="s">
        <v>805</v>
      </c>
      <c r="U412" s="118" t="s">
        <v>806</v>
      </c>
      <c r="V412" s="118" t="s">
        <v>807</v>
      </c>
      <c r="W412" s="118" t="s">
        <v>808</v>
      </c>
      <c r="X412" s="118" t="s">
        <v>809</v>
      </c>
      <c r="Y412" s="118" t="s">
        <v>75</v>
      </c>
      <c r="Z412" s="118" t="s">
        <v>75</v>
      </c>
    </row>
    <row r="413" spans="3:26" ht="24" x14ac:dyDescent="0.2">
      <c r="C413" s="89"/>
      <c r="D413" s="546" t="s">
        <v>432</v>
      </c>
      <c r="E413" s="1092"/>
      <c r="F413" s="1092"/>
      <c r="G413" s="1092"/>
      <c r="H413" s="170" t="s">
        <v>794</v>
      </c>
      <c r="I413" s="1067" t="s">
        <v>867</v>
      </c>
      <c r="J413" s="1068"/>
      <c r="K413" s="1069"/>
      <c r="L413" s="559"/>
      <c r="M413" s="513"/>
      <c r="N413" s="168"/>
      <c r="O413" s="119" t="s">
        <v>810</v>
      </c>
      <c r="P413" s="171">
        <v>0.1</v>
      </c>
      <c r="Q413" s="171">
        <v>2.1000000000000001E-2</v>
      </c>
      <c r="R413" s="171">
        <v>1.7000000000000001E-2</v>
      </c>
      <c r="S413" s="123"/>
      <c r="T413" s="119">
        <v>4.8500000000000001E-2</v>
      </c>
      <c r="U413" s="172">
        <v>-11.44</v>
      </c>
      <c r="V413" s="171">
        <v>91.8</v>
      </c>
      <c r="W413" s="174"/>
      <c r="X413" s="157"/>
      <c r="Y413" s="124"/>
      <c r="Z413" s="124"/>
    </row>
    <row r="414" spans="3:26" ht="24" x14ac:dyDescent="0.2">
      <c r="C414" s="89"/>
      <c r="D414" s="546" t="s">
        <v>433</v>
      </c>
      <c r="E414" s="1096">
        <v>47.9</v>
      </c>
      <c r="F414" s="1096"/>
      <c r="G414" s="1096"/>
      <c r="H414" s="170" t="s">
        <v>795</v>
      </c>
      <c r="I414" s="1070"/>
      <c r="J414" s="1071"/>
      <c r="K414" s="1072"/>
      <c r="L414" s="559"/>
      <c r="M414" s="513"/>
      <c r="N414" s="168"/>
      <c r="O414" s="125"/>
      <c r="P414" s="125"/>
      <c r="Q414" s="125"/>
      <c r="R414" s="126"/>
      <c r="S414" s="127"/>
      <c r="T414" s="125"/>
      <c r="U414" s="125"/>
      <c r="V414" s="125"/>
      <c r="W414" s="125"/>
      <c r="X414" s="127"/>
      <c r="Y414" s="128"/>
      <c r="Z414" s="128"/>
    </row>
    <row r="415" spans="3:26" ht="24" x14ac:dyDescent="0.2">
      <c r="C415" s="89"/>
      <c r="D415" s="546" t="s">
        <v>434</v>
      </c>
      <c r="E415" s="1096">
        <v>47.3</v>
      </c>
      <c r="F415" s="1096"/>
      <c r="G415" s="1096"/>
      <c r="H415" s="175"/>
      <c r="I415" s="1070"/>
      <c r="J415" s="1071"/>
      <c r="K415" s="1072"/>
      <c r="L415" s="559"/>
      <c r="M415" s="513"/>
      <c r="N415" s="168"/>
      <c r="O415" s="129" t="s">
        <v>811</v>
      </c>
      <c r="P415" s="176">
        <v>0.1</v>
      </c>
      <c r="Q415" s="177">
        <v>0.12959999999999999</v>
      </c>
      <c r="R415" s="178">
        <v>1.7000000000000001E-2</v>
      </c>
      <c r="S415" s="190">
        <v>1</v>
      </c>
      <c r="T415" s="129">
        <v>0.21139999999999998</v>
      </c>
      <c r="U415" s="134">
        <v>-49.864247422680407</v>
      </c>
      <c r="V415" s="135">
        <v>91.8</v>
      </c>
      <c r="W415" s="191">
        <v>2.71</v>
      </c>
      <c r="X415" s="137">
        <v>135.13211051546389</v>
      </c>
      <c r="Y415" s="138"/>
      <c r="Z415" s="138"/>
    </row>
    <row r="416" spans="3:26" ht="24" x14ac:dyDescent="0.2">
      <c r="C416" s="89"/>
      <c r="D416" s="546" t="s">
        <v>435</v>
      </c>
      <c r="E416" s="1099">
        <v>0.61458333333333337</v>
      </c>
      <c r="F416" s="1099"/>
      <c r="G416" s="1099"/>
      <c r="H416" s="175"/>
      <c r="I416" s="1070"/>
      <c r="J416" s="1071"/>
      <c r="K416" s="1072"/>
      <c r="L416" s="560">
        <v>0.84375</v>
      </c>
      <c r="M416" s="514">
        <v>0.73958333333333337</v>
      </c>
      <c r="N416" s="168"/>
      <c r="O416" s="139" t="s">
        <v>812</v>
      </c>
      <c r="P416" s="180">
        <v>0.1</v>
      </c>
      <c r="Q416" s="160">
        <v>6.5733333333333324E-2</v>
      </c>
      <c r="R416" s="181">
        <v>1.7000000000000001E-2</v>
      </c>
      <c r="S416" s="192">
        <v>1</v>
      </c>
      <c r="T416" s="182">
        <v>0.11559999999999999</v>
      </c>
      <c r="U416" s="144">
        <v>-27.267298969072165</v>
      </c>
      <c r="V416" s="145">
        <v>91.8</v>
      </c>
      <c r="W416" s="193">
        <v>4.16</v>
      </c>
      <c r="X416" s="147">
        <v>113.43196371134022</v>
      </c>
      <c r="Y416" s="148"/>
      <c r="Z416" s="148"/>
    </row>
    <row r="417" spans="3:26" ht="24" x14ac:dyDescent="0.2">
      <c r="C417" s="89"/>
      <c r="D417" s="546" t="s">
        <v>436</v>
      </c>
      <c r="E417" s="184" t="s">
        <v>29</v>
      </c>
      <c r="F417" s="184" t="s">
        <v>28</v>
      </c>
      <c r="G417" s="184" t="s">
        <v>27</v>
      </c>
      <c r="H417" s="175" t="s">
        <v>793</v>
      </c>
      <c r="I417" s="1070"/>
      <c r="J417" s="1071"/>
      <c r="K417" s="1072"/>
      <c r="L417" s="559"/>
      <c r="M417" s="513"/>
      <c r="N417" s="168"/>
      <c r="O417" s="127"/>
      <c r="P417" s="149"/>
      <c r="Q417" s="127"/>
      <c r="R417" s="127"/>
      <c r="S417" s="194"/>
      <c r="T417" s="127"/>
      <c r="U417" s="150"/>
      <c r="V417" s="151"/>
      <c r="W417" s="195"/>
      <c r="X417" s="150"/>
      <c r="Y417" s="128"/>
      <c r="Z417" s="128"/>
    </row>
    <row r="418" spans="3:26" ht="24" x14ac:dyDescent="0.2">
      <c r="C418" s="89"/>
      <c r="D418" s="561">
        <v>45589</v>
      </c>
      <c r="E418" s="201">
        <v>47.8</v>
      </c>
      <c r="F418" s="201" t="s">
        <v>509</v>
      </c>
      <c r="G418" s="201">
        <v>47.3</v>
      </c>
      <c r="H418" s="187">
        <v>0.61458333333333337</v>
      </c>
      <c r="I418" s="1070"/>
      <c r="J418" s="1071"/>
      <c r="K418" s="1072"/>
      <c r="L418" s="559"/>
      <c r="M418" s="513"/>
      <c r="N418" s="168"/>
      <c r="O418" s="152"/>
      <c r="P418" s="128"/>
      <c r="Q418" s="152"/>
      <c r="R418" s="152"/>
      <c r="S418" s="194"/>
      <c r="T418" s="152"/>
      <c r="U418" s="152"/>
      <c r="V418" s="152"/>
      <c r="W418" s="197"/>
      <c r="X418" s="152"/>
      <c r="Y418" s="128"/>
      <c r="Z418" s="128"/>
    </row>
    <row r="419" spans="3:26" ht="24" x14ac:dyDescent="0.2">
      <c r="C419" s="89"/>
      <c r="D419" s="561">
        <v>45566</v>
      </c>
      <c r="E419" s="201">
        <v>47.3</v>
      </c>
      <c r="F419" s="201" t="s">
        <v>758</v>
      </c>
      <c r="G419" s="201">
        <v>47.9</v>
      </c>
      <c r="H419" s="187">
        <v>0.61458333333333337</v>
      </c>
      <c r="I419" s="1070"/>
      <c r="J419" s="1071"/>
      <c r="K419" s="1072"/>
      <c r="L419" s="559"/>
      <c r="M419" s="513"/>
      <c r="N419" s="168"/>
      <c r="O419" s="119" t="s">
        <v>813</v>
      </c>
      <c r="P419" s="202">
        <v>-0.05</v>
      </c>
      <c r="Q419" s="153">
        <v>9.7666666666666652E-2</v>
      </c>
      <c r="R419" s="154">
        <v>1.7000000000000001E-2</v>
      </c>
      <c r="S419" s="198">
        <v>-1.5</v>
      </c>
      <c r="T419" s="129">
        <v>0.16349999999999998</v>
      </c>
      <c r="U419" s="155">
        <v>-28.92432989690721</v>
      </c>
      <c r="V419" s="156">
        <v>-45.9</v>
      </c>
      <c r="W419" s="200">
        <v>2</v>
      </c>
      <c r="X419" s="157">
        <v>57.84865979381442</v>
      </c>
      <c r="Y419" s="158" t="s">
        <v>814</v>
      </c>
      <c r="Z419" s="158"/>
    </row>
    <row r="420" spans="3:26" ht="24" x14ac:dyDescent="0.2">
      <c r="C420" s="89"/>
      <c r="D420" s="561">
        <v>45558</v>
      </c>
      <c r="E420" s="201">
        <v>47</v>
      </c>
      <c r="F420" s="201" t="s">
        <v>500</v>
      </c>
      <c r="G420" s="201">
        <v>47.9</v>
      </c>
      <c r="H420" s="187">
        <v>0.61458333333333337</v>
      </c>
      <c r="I420" s="1070"/>
      <c r="J420" s="1071"/>
      <c r="K420" s="1072"/>
      <c r="L420" s="562"/>
      <c r="M420" s="513"/>
      <c r="N420" s="168"/>
      <c r="O420" s="119"/>
      <c r="P420" s="120"/>
      <c r="Q420" s="153"/>
      <c r="R420" s="154"/>
      <c r="S420" s="123"/>
      <c r="T420" s="120"/>
      <c r="U420" s="155"/>
      <c r="V420" s="156"/>
      <c r="W420" s="123"/>
      <c r="X420" s="157"/>
      <c r="Y420" s="158"/>
      <c r="Z420" s="158"/>
    </row>
    <row r="421" spans="3:26" ht="24" x14ac:dyDescent="0.2">
      <c r="C421" s="89"/>
      <c r="D421" s="561">
        <v>45538</v>
      </c>
      <c r="E421" s="201">
        <v>47.9</v>
      </c>
      <c r="F421" s="201" t="s">
        <v>502</v>
      </c>
      <c r="G421" s="201">
        <v>49.6</v>
      </c>
      <c r="H421" s="187">
        <v>0.61458333333333337</v>
      </c>
      <c r="I421" s="1070"/>
      <c r="J421" s="1071"/>
      <c r="K421" s="1072"/>
      <c r="L421" s="559"/>
      <c r="M421" s="513"/>
      <c r="N421" s="168"/>
      <c r="O421" s="119" t="s">
        <v>816</v>
      </c>
      <c r="P421" s="120"/>
      <c r="Q421" s="153"/>
      <c r="R421" s="154"/>
      <c r="S421" s="123"/>
      <c r="T421" s="120"/>
      <c r="U421" s="155">
        <v>0</v>
      </c>
      <c r="V421" s="156"/>
      <c r="W421" s="123"/>
      <c r="X421" s="157">
        <v>0</v>
      </c>
      <c r="Y421" s="158"/>
      <c r="Z421" s="158"/>
    </row>
    <row r="422" spans="3:26" ht="24" x14ac:dyDescent="0.2">
      <c r="C422" s="89"/>
      <c r="D422" s="561">
        <v>45526</v>
      </c>
      <c r="E422" s="201">
        <v>48</v>
      </c>
      <c r="F422" s="201" t="s">
        <v>438</v>
      </c>
      <c r="G422" s="201">
        <v>49.6</v>
      </c>
      <c r="H422" s="187">
        <v>0.61458333333333337</v>
      </c>
      <c r="I422" s="1070"/>
      <c r="J422" s="1071"/>
      <c r="K422" s="1072"/>
      <c r="L422" s="559"/>
      <c r="M422" s="513"/>
      <c r="N422" s="168"/>
      <c r="O422" s="89"/>
      <c r="P422" s="89"/>
      <c r="Q422" s="89"/>
      <c r="R422" s="89"/>
      <c r="S422" s="89"/>
      <c r="T422" s="89"/>
      <c r="U422" s="89"/>
      <c r="V422" s="89"/>
      <c r="W422" s="89"/>
      <c r="X422" s="89"/>
      <c r="Y422" s="89"/>
      <c r="Z422" s="89"/>
    </row>
    <row r="423" spans="3:26" ht="24" x14ac:dyDescent="0.2">
      <c r="C423" s="89"/>
      <c r="D423" s="561">
        <v>45505</v>
      </c>
      <c r="E423" s="201">
        <v>49.6</v>
      </c>
      <c r="F423" s="201" t="s">
        <v>438</v>
      </c>
      <c r="G423" s="201">
        <v>51.6</v>
      </c>
      <c r="H423" s="187">
        <v>0.61458333333333337</v>
      </c>
      <c r="I423" s="1073"/>
      <c r="J423" s="1074"/>
      <c r="K423" s="1075"/>
      <c r="L423" s="559"/>
      <c r="M423" s="513"/>
      <c r="N423" s="168"/>
      <c r="O423" s="89"/>
      <c r="P423" s="89"/>
      <c r="Q423" s="89"/>
      <c r="R423" s="89"/>
      <c r="S423" s="89"/>
      <c r="T423" s="89"/>
      <c r="U423" s="89"/>
      <c r="V423" s="89"/>
      <c r="W423" s="89"/>
      <c r="X423" s="89"/>
      <c r="Y423" s="89"/>
      <c r="Z423" s="89"/>
    </row>
    <row r="424" spans="3:26" ht="23" x14ac:dyDescent="0.25">
      <c r="C424" s="89"/>
      <c r="D424" s="564"/>
      <c r="H424" s="565"/>
      <c r="I424" s="566"/>
      <c r="J424" s="566"/>
      <c r="K424" s="566"/>
      <c r="L424" s="567"/>
      <c r="M424" s="206"/>
      <c r="N424" s="168"/>
      <c r="O424" s="89"/>
      <c r="P424" s="89"/>
      <c r="Q424" s="89"/>
      <c r="R424" s="89"/>
      <c r="S424" s="89"/>
      <c r="T424" s="89"/>
      <c r="U424" s="89"/>
      <c r="V424" s="89"/>
      <c r="W424" s="89"/>
      <c r="X424" s="89"/>
      <c r="Y424" s="89"/>
      <c r="Z424" s="89"/>
    </row>
    <row r="425" spans="3:26" ht="24" x14ac:dyDescent="0.2">
      <c r="C425" s="89" t="s">
        <v>105</v>
      </c>
      <c r="D425" s="557" t="s">
        <v>30</v>
      </c>
      <c r="E425" s="1088" t="s">
        <v>868</v>
      </c>
      <c r="F425" s="1088">
        <v>0</v>
      </c>
      <c r="G425" s="1088">
        <v>0</v>
      </c>
      <c r="H425" s="167" t="s">
        <v>790</v>
      </c>
      <c r="I425" s="166"/>
      <c r="J425" s="1114" t="s">
        <v>430</v>
      </c>
      <c r="K425" s="1115"/>
      <c r="L425" s="1116"/>
      <c r="M425" s="420" t="s">
        <v>431</v>
      </c>
      <c r="N425" s="168"/>
      <c r="O425" s="89"/>
      <c r="P425" s="89"/>
      <c r="Q425" s="89"/>
      <c r="R425" s="89"/>
      <c r="S425" s="89"/>
      <c r="T425" s="89"/>
      <c r="U425" s="89"/>
      <c r="V425" s="89"/>
      <c r="W425" s="89"/>
      <c r="X425" s="89"/>
      <c r="Y425" s="89"/>
      <c r="Z425" s="89"/>
    </row>
    <row r="426" spans="3:26" ht="24" x14ac:dyDescent="0.2">
      <c r="C426" s="89">
        <v>0</v>
      </c>
      <c r="D426" s="546" t="s">
        <v>432</v>
      </c>
      <c r="E426" s="1092"/>
      <c r="F426" s="1092"/>
      <c r="G426" s="1092"/>
      <c r="H426" s="170" t="s">
        <v>913</v>
      </c>
      <c r="I426" s="169"/>
      <c r="J426" s="1117"/>
      <c r="K426" s="1118"/>
      <c r="L426" s="1119"/>
      <c r="M426" s="227"/>
      <c r="N426" s="168"/>
      <c r="O426" s="89"/>
      <c r="P426" s="89"/>
      <c r="Q426" s="89"/>
      <c r="R426" s="89"/>
      <c r="S426" s="89"/>
      <c r="T426" s="89"/>
      <c r="U426" s="89"/>
      <c r="V426" s="89"/>
      <c r="W426" s="89"/>
      <c r="X426" s="89"/>
      <c r="Y426" s="89"/>
      <c r="Z426" s="89"/>
    </row>
    <row r="427" spans="3:26" ht="24" x14ac:dyDescent="0.2">
      <c r="C427" s="89">
        <v>0</v>
      </c>
      <c r="D427" s="546" t="s">
        <v>433</v>
      </c>
      <c r="E427" s="1096">
        <v>1.59</v>
      </c>
      <c r="F427" s="1096">
        <v>0</v>
      </c>
      <c r="G427" s="1096">
        <v>0</v>
      </c>
      <c r="H427" s="170" t="s">
        <v>913</v>
      </c>
      <c r="I427" s="169"/>
      <c r="J427" s="1036"/>
      <c r="K427" s="1037"/>
      <c r="L427" s="1112"/>
      <c r="M427" s="227"/>
      <c r="N427" s="168"/>
      <c r="O427" s="89"/>
      <c r="P427" s="89"/>
      <c r="Q427" s="89"/>
      <c r="R427" s="89"/>
      <c r="S427" s="89"/>
      <c r="T427" s="89"/>
      <c r="U427" s="89"/>
      <c r="V427" s="89"/>
      <c r="W427" s="89"/>
      <c r="X427" s="89"/>
      <c r="Y427" s="89"/>
      <c r="Z427" s="89"/>
    </row>
    <row r="428" spans="3:26" ht="24" x14ac:dyDescent="0.2">
      <c r="C428" s="89">
        <v>0</v>
      </c>
      <c r="D428" s="546" t="s">
        <v>434</v>
      </c>
      <c r="E428" s="1096">
        <v>1.4</v>
      </c>
      <c r="F428" s="1096">
        <v>0</v>
      </c>
      <c r="G428" s="1096">
        <v>0</v>
      </c>
      <c r="H428" s="175"/>
      <c r="I428" s="169"/>
      <c r="J428" s="1036"/>
      <c r="K428" s="1037"/>
      <c r="L428" s="1112"/>
      <c r="M428" s="227"/>
      <c r="N428" s="168"/>
      <c r="O428" s="89"/>
      <c r="P428" s="89"/>
      <c r="Q428" s="89"/>
      <c r="R428" s="89"/>
      <c r="S428" s="89"/>
      <c r="T428" s="89"/>
      <c r="U428" s="89"/>
      <c r="V428" s="89"/>
      <c r="W428" s="89"/>
      <c r="X428" s="89"/>
      <c r="Y428" s="89"/>
      <c r="Z428" s="89"/>
    </row>
    <row r="429" spans="3:26" ht="24" x14ac:dyDescent="0.2">
      <c r="C429" s="89">
        <v>0</v>
      </c>
      <c r="D429" s="546" t="s">
        <v>435</v>
      </c>
      <c r="E429" s="1097">
        <v>0.95833333333333337</v>
      </c>
      <c r="F429" s="1097">
        <v>0</v>
      </c>
      <c r="G429" s="1097">
        <v>0</v>
      </c>
      <c r="H429" s="175"/>
      <c r="I429" s="169"/>
      <c r="J429" s="1099">
        <v>6.25E-2</v>
      </c>
      <c r="K429" s="1099"/>
      <c r="L429" s="1113"/>
      <c r="M429" s="516">
        <v>0.95833333333333337</v>
      </c>
      <c r="N429" s="168"/>
      <c r="O429" s="89"/>
      <c r="P429" s="89"/>
      <c r="Q429" s="89"/>
      <c r="R429" s="89"/>
      <c r="S429" s="89"/>
      <c r="T429" s="89"/>
      <c r="U429" s="89"/>
      <c r="V429" s="89"/>
      <c r="W429" s="89"/>
      <c r="X429" s="89"/>
      <c r="Y429" s="89"/>
      <c r="Z429" s="89"/>
    </row>
    <row r="430" spans="3:26" ht="24" x14ac:dyDescent="0.2">
      <c r="C430" s="89">
        <v>0</v>
      </c>
      <c r="D430" s="546" t="s">
        <v>436</v>
      </c>
      <c r="E430" s="184" t="s">
        <v>29</v>
      </c>
      <c r="F430" s="184" t="s">
        <v>28</v>
      </c>
      <c r="G430" s="184" t="s">
        <v>27</v>
      </c>
      <c r="H430" s="175" t="s">
        <v>793</v>
      </c>
      <c r="I430" s="169"/>
      <c r="J430" s="184"/>
      <c r="K430" s="184"/>
      <c r="L430" s="568"/>
      <c r="M430" s="227"/>
      <c r="N430" s="168"/>
      <c r="O430" s="89"/>
      <c r="P430" s="89"/>
      <c r="Q430" s="89"/>
      <c r="R430" s="89"/>
      <c r="S430" s="89"/>
      <c r="T430" s="89"/>
      <c r="U430" s="89"/>
      <c r="V430" s="89"/>
      <c r="W430" s="89"/>
      <c r="X430" s="89"/>
      <c r="Y430" s="89"/>
      <c r="Z430" s="89"/>
    </row>
    <row r="431" spans="3:26" ht="23" x14ac:dyDescent="0.2">
      <c r="C431" s="89">
        <v>0</v>
      </c>
      <c r="D431" s="561">
        <v>45505</v>
      </c>
      <c r="E431" s="186">
        <v>1.4</v>
      </c>
      <c r="F431" s="186">
        <v>1.34</v>
      </c>
      <c r="G431" s="186">
        <v>1.53</v>
      </c>
      <c r="H431" s="187">
        <v>0.95833333333333337</v>
      </c>
      <c r="I431" s="185"/>
      <c r="J431" s="201"/>
      <c r="K431" s="201"/>
      <c r="L431" s="569"/>
      <c r="M431" s="517"/>
      <c r="N431" s="168"/>
      <c r="O431" s="89"/>
      <c r="P431" s="89"/>
      <c r="Q431" s="89"/>
      <c r="R431" s="89"/>
      <c r="S431" s="89"/>
      <c r="T431" s="89"/>
      <c r="U431" s="89"/>
      <c r="V431" s="89"/>
      <c r="W431" s="89"/>
      <c r="X431" s="89"/>
      <c r="Y431" s="89"/>
      <c r="Z431" s="89"/>
    </row>
    <row r="432" spans="3:26" ht="23" x14ac:dyDescent="0.2">
      <c r="C432" s="89">
        <v>0</v>
      </c>
      <c r="D432" s="561">
        <v>45414</v>
      </c>
      <c r="E432" s="186">
        <v>1.53</v>
      </c>
      <c r="F432" s="186">
        <v>1.51</v>
      </c>
      <c r="G432" s="186">
        <v>1.45</v>
      </c>
      <c r="H432" s="187">
        <v>0.95833333333333337</v>
      </c>
      <c r="I432" s="185"/>
      <c r="J432" s="201"/>
      <c r="K432" s="201"/>
      <c r="L432" s="569"/>
      <c r="M432" s="517"/>
      <c r="N432" s="168"/>
      <c r="O432" s="89"/>
      <c r="P432" s="89"/>
      <c r="Q432" s="89"/>
      <c r="R432" s="89"/>
      <c r="S432" s="89"/>
      <c r="T432" s="89"/>
      <c r="U432" s="89"/>
      <c r="V432" s="89"/>
      <c r="W432" s="89"/>
      <c r="X432" s="89"/>
      <c r="Y432" s="89"/>
      <c r="Z432" s="89"/>
    </row>
    <row r="433" spans="3:26" ht="23" x14ac:dyDescent="0.2">
      <c r="C433" s="89">
        <v>0</v>
      </c>
      <c r="D433" s="561">
        <v>45323</v>
      </c>
      <c r="E433" s="186">
        <v>1.45</v>
      </c>
      <c r="F433" s="186">
        <v>1.28</v>
      </c>
      <c r="G433" s="186">
        <v>1.46</v>
      </c>
      <c r="H433" s="187">
        <v>0.95833333333333337</v>
      </c>
      <c r="I433" s="185"/>
      <c r="J433" s="201"/>
      <c r="K433" s="201"/>
      <c r="L433" s="569"/>
      <c r="M433" s="517"/>
      <c r="N433" s="168"/>
      <c r="O433" s="89"/>
      <c r="P433" s="89"/>
      <c r="Q433" s="89"/>
      <c r="R433" s="89"/>
      <c r="S433" s="89"/>
      <c r="T433" s="89"/>
      <c r="U433" s="89"/>
      <c r="V433" s="89"/>
      <c r="W433" s="89"/>
      <c r="X433" s="89"/>
      <c r="Y433" s="89"/>
      <c r="Z433" s="89"/>
    </row>
    <row r="434" spans="3:26" ht="23" x14ac:dyDescent="0.2">
      <c r="C434" s="89">
        <v>0</v>
      </c>
      <c r="D434" s="561">
        <v>45232</v>
      </c>
      <c r="E434" s="186">
        <v>1.46</v>
      </c>
      <c r="F434" s="186">
        <v>1.39</v>
      </c>
      <c r="G434" s="186">
        <v>1.26</v>
      </c>
      <c r="H434" s="187">
        <v>0.95833333333333337</v>
      </c>
      <c r="I434" s="185"/>
      <c r="J434" s="201"/>
      <c r="K434" s="201"/>
      <c r="L434" s="569"/>
      <c r="M434" s="517"/>
      <c r="N434" s="168"/>
      <c r="O434" s="89"/>
      <c r="P434" s="89"/>
      <c r="Q434" s="89"/>
      <c r="R434" s="89"/>
      <c r="S434" s="89"/>
      <c r="T434" s="89"/>
      <c r="U434" s="89"/>
      <c r="V434" s="89"/>
      <c r="W434" s="89"/>
      <c r="X434" s="89"/>
      <c r="Y434" s="89"/>
      <c r="Z434" s="89"/>
    </row>
    <row r="435" spans="3:26" ht="23" x14ac:dyDescent="0.2">
      <c r="C435" s="89">
        <v>0</v>
      </c>
      <c r="D435" s="561">
        <v>45141</v>
      </c>
      <c r="E435" s="186">
        <v>1.26</v>
      </c>
      <c r="F435" s="186">
        <v>1.19</v>
      </c>
      <c r="G435" s="186">
        <v>1.52</v>
      </c>
      <c r="H435" s="187">
        <v>0.95833333333333337</v>
      </c>
      <c r="I435" s="185"/>
      <c r="J435" s="201"/>
      <c r="K435" s="201"/>
      <c r="L435" s="569"/>
      <c r="M435" s="517"/>
      <c r="N435" s="168"/>
      <c r="O435" s="89"/>
      <c r="P435" s="89"/>
      <c r="Q435" s="89"/>
      <c r="R435" s="89"/>
      <c r="S435" s="89"/>
      <c r="T435" s="89"/>
      <c r="U435" s="89"/>
      <c r="V435" s="89"/>
      <c r="W435" s="89"/>
      <c r="X435" s="89"/>
      <c r="Y435" s="89"/>
      <c r="Z435" s="89"/>
    </row>
    <row r="436" spans="3:26" ht="23" x14ac:dyDescent="0.2">
      <c r="C436" s="89">
        <v>0</v>
      </c>
      <c r="D436" s="561">
        <v>45050</v>
      </c>
      <c r="E436" s="186">
        <v>1.52</v>
      </c>
      <c r="F436" s="186">
        <v>1.44</v>
      </c>
      <c r="G436" s="186">
        <v>1.88</v>
      </c>
      <c r="H436" s="187">
        <v>0.95833333333333337</v>
      </c>
      <c r="I436" s="185"/>
      <c r="J436" s="201"/>
      <c r="K436" s="201"/>
      <c r="L436" s="569"/>
      <c r="M436" s="517"/>
      <c r="N436" s="168"/>
      <c r="O436" s="89"/>
      <c r="P436" s="89"/>
      <c r="Q436" s="89"/>
      <c r="R436" s="89"/>
      <c r="S436" s="89"/>
      <c r="T436" s="89"/>
      <c r="U436" s="89"/>
      <c r="V436" s="89"/>
      <c r="W436" s="89"/>
      <c r="X436" s="89"/>
      <c r="Y436" s="89"/>
      <c r="Z436" s="89"/>
    </row>
    <row r="437" spans="3:26" ht="24" x14ac:dyDescent="0.2">
      <c r="C437" s="89" t="s">
        <v>105</v>
      </c>
      <c r="D437" s="557" t="s">
        <v>30</v>
      </c>
      <c r="E437" s="1088" t="s">
        <v>869</v>
      </c>
      <c r="F437" s="1088">
        <v>0</v>
      </c>
      <c r="G437" s="1088">
        <v>0</v>
      </c>
      <c r="H437" s="167" t="s">
        <v>790</v>
      </c>
      <c r="I437" s="166"/>
      <c r="J437" s="1114" t="s">
        <v>430</v>
      </c>
      <c r="K437" s="1115"/>
      <c r="L437" s="1116"/>
      <c r="M437" s="420" t="s">
        <v>431</v>
      </c>
      <c r="N437" s="168"/>
      <c r="O437" s="89"/>
      <c r="P437" s="89"/>
      <c r="Q437" s="89"/>
      <c r="R437" s="89"/>
      <c r="S437" s="89"/>
      <c r="T437" s="89"/>
      <c r="U437" s="89"/>
      <c r="V437" s="89"/>
      <c r="W437" s="89"/>
      <c r="X437" s="89"/>
      <c r="Y437" s="89"/>
      <c r="Z437" s="89"/>
    </row>
    <row r="438" spans="3:26" ht="24" x14ac:dyDescent="0.2">
      <c r="C438" s="89"/>
      <c r="D438" s="546" t="s">
        <v>432</v>
      </c>
      <c r="E438" s="1092"/>
      <c r="F438" s="1092"/>
      <c r="G438" s="1092"/>
      <c r="H438" s="170" t="s">
        <v>913</v>
      </c>
      <c r="I438" s="169"/>
      <c r="J438" s="1117"/>
      <c r="K438" s="1118"/>
      <c r="L438" s="1119"/>
      <c r="M438" s="227"/>
      <c r="N438" s="168"/>
      <c r="O438" s="89"/>
      <c r="P438" s="89"/>
      <c r="Q438" s="89"/>
      <c r="R438" s="89"/>
      <c r="S438" s="89"/>
      <c r="T438" s="89"/>
      <c r="U438" s="89"/>
      <c r="V438" s="89"/>
      <c r="W438" s="89"/>
      <c r="X438" s="89"/>
      <c r="Y438" s="89"/>
      <c r="Z438" s="89"/>
    </row>
    <row r="439" spans="3:26" ht="24" x14ac:dyDescent="0.2">
      <c r="C439" s="89"/>
      <c r="D439" s="546" t="s">
        <v>433</v>
      </c>
      <c r="E439" s="1096">
        <v>0.92</v>
      </c>
      <c r="F439" s="1096">
        <v>0</v>
      </c>
      <c r="G439" s="1096">
        <v>0</v>
      </c>
      <c r="H439" s="170" t="s">
        <v>913</v>
      </c>
      <c r="I439" s="169"/>
      <c r="J439" s="1036"/>
      <c r="K439" s="1037"/>
      <c r="L439" s="1112"/>
      <c r="M439" s="227"/>
      <c r="N439" s="168"/>
      <c r="O439" s="89"/>
      <c r="P439" s="89"/>
      <c r="Q439" s="89"/>
      <c r="R439" s="89"/>
      <c r="S439" s="89"/>
      <c r="T439" s="89"/>
      <c r="U439" s="89"/>
      <c r="V439" s="89"/>
      <c r="W439" s="89"/>
      <c r="X439" s="89"/>
      <c r="Y439" s="89"/>
      <c r="Z439" s="89"/>
    </row>
    <row r="440" spans="3:26" ht="24" x14ac:dyDescent="0.2">
      <c r="C440" s="89"/>
      <c r="D440" s="546" t="s">
        <v>434</v>
      </c>
      <c r="E440" s="1096">
        <v>0.7</v>
      </c>
      <c r="F440" s="1096">
        <v>0</v>
      </c>
      <c r="G440" s="1096">
        <v>0</v>
      </c>
      <c r="H440" s="175"/>
      <c r="I440" s="169"/>
      <c r="J440" s="1036"/>
      <c r="K440" s="1037"/>
      <c r="L440" s="1112"/>
      <c r="M440" s="227"/>
      <c r="N440" s="168"/>
      <c r="O440" s="89"/>
      <c r="P440" s="89"/>
      <c r="Q440" s="89"/>
      <c r="R440" s="89"/>
      <c r="S440" s="89"/>
      <c r="T440" s="89"/>
      <c r="U440" s="89"/>
      <c r="V440" s="89"/>
      <c r="W440" s="89"/>
      <c r="X440" s="89"/>
      <c r="Y440" s="89"/>
      <c r="Z440" s="89"/>
    </row>
    <row r="441" spans="3:26" ht="24" x14ac:dyDescent="0.2">
      <c r="C441" s="89"/>
      <c r="D441" s="546" t="s">
        <v>435</v>
      </c>
      <c r="E441" s="1097">
        <v>0.95833333333333337</v>
      </c>
      <c r="F441" s="1097">
        <v>0</v>
      </c>
      <c r="G441" s="1097">
        <v>0</v>
      </c>
      <c r="H441" s="175"/>
      <c r="I441" s="169"/>
      <c r="J441" s="1099">
        <v>6.25E-2</v>
      </c>
      <c r="K441" s="1099"/>
      <c r="L441" s="1113"/>
      <c r="M441" s="516">
        <v>0.95833333333333337</v>
      </c>
      <c r="N441" s="168"/>
      <c r="O441" s="89"/>
      <c r="P441" s="89"/>
      <c r="Q441" s="89"/>
      <c r="R441" s="89"/>
      <c r="S441" s="89"/>
      <c r="T441" s="89"/>
      <c r="U441" s="89"/>
      <c r="V441" s="89"/>
      <c r="W441" s="89"/>
      <c r="X441" s="89"/>
      <c r="Y441" s="89"/>
      <c r="Z441" s="89"/>
    </row>
    <row r="442" spans="3:26" ht="24" x14ac:dyDescent="0.2">
      <c r="C442" s="89"/>
      <c r="D442" s="546" t="s">
        <v>436</v>
      </c>
      <c r="E442" s="184" t="s">
        <v>29</v>
      </c>
      <c r="F442" s="184" t="s">
        <v>28</v>
      </c>
      <c r="G442" s="184" t="s">
        <v>27</v>
      </c>
      <c r="H442" s="175" t="s">
        <v>793</v>
      </c>
      <c r="I442" s="169"/>
      <c r="J442" s="184"/>
      <c r="K442" s="184"/>
      <c r="L442" s="568"/>
      <c r="M442" s="227"/>
      <c r="N442" s="168"/>
      <c r="O442" s="89"/>
      <c r="P442" s="89"/>
      <c r="Q442" s="89"/>
      <c r="R442" s="89"/>
      <c r="S442" s="89"/>
      <c r="T442" s="89"/>
      <c r="U442" s="89"/>
      <c r="V442" s="89"/>
      <c r="W442" s="89"/>
      <c r="X442" s="89"/>
      <c r="Y442" s="89"/>
      <c r="Z442" s="89"/>
    </row>
    <row r="443" spans="3:26" ht="23" x14ac:dyDescent="0.2">
      <c r="C443" s="89"/>
      <c r="D443" s="561">
        <v>45502</v>
      </c>
      <c r="E443" s="186">
        <v>0.5</v>
      </c>
      <c r="F443" s="186">
        <v>0.47</v>
      </c>
      <c r="G443" s="186">
        <v>0.57999999999999996</v>
      </c>
      <c r="H443" s="187">
        <v>0.95833333333333337</v>
      </c>
      <c r="I443" s="185"/>
      <c r="J443" s="201"/>
      <c r="K443" s="201"/>
      <c r="L443" s="569"/>
      <c r="M443" s="517"/>
      <c r="N443" s="168"/>
      <c r="O443" s="89"/>
      <c r="P443" s="89"/>
      <c r="Q443" s="89"/>
      <c r="R443" s="89"/>
      <c r="S443" s="89"/>
      <c r="T443" s="89"/>
      <c r="U443" s="89"/>
      <c r="V443" s="89"/>
      <c r="W443" s="89"/>
      <c r="X443" s="89"/>
      <c r="Y443" s="89"/>
      <c r="Z443" s="89"/>
    </row>
    <row r="444" spans="3:26" ht="23" x14ac:dyDescent="0.2">
      <c r="C444" s="89"/>
      <c r="D444" s="561">
        <v>45411</v>
      </c>
      <c r="E444" s="186">
        <v>0.43</v>
      </c>
      <c r="F444" s="186">
        <v>0.41</v>
      </c>
      <c r="G444" s="186">
        <v>0.6</v>
      </c>
      <c r="H444" s="187">
        <v>0.95833333333333337</v>
      </c>
      <c r="I444" s="185"/>
      <c r="J444" s="201"/>
      <c r="K444" s="201"/>
      <c r="L444" s="569"/>
      <c r="M444" s="517"/>
      <c r="N444" s="168"/>
      <c r="O444" s="89"/>
      <c r="P444" s="89"/>
      <c r="Q444" s="89"/>
      <c r="R444" s="89"/>
      <c r="S444" s="89"/>
      <c r="T444" s="89"/>
      <c r="U444" s="89"/>
      <c r="V444" s="89"/>
      <c r="W444" s="89"/>
      <c r="X444" s="89"/>
      <c r="Y444" s="89"/>
      <c r="Z444" s="89"/>
    </row>
    <row r="445" spans="3:26" ht="23" x14ac:dyDescent="0.2">
      <c r="C445" s="89"/>
      <c r="D445" s="561">
        <v>45320</v>
      </c>
      <c r="E445" s="186">
        <v>0.59</v>
      </c>
      <c r="F445" s="186">
        <v>0.57999999999999996</v>
      </c>
      <c r="G445" s="186">
        <v>0.69</v>
      </c>
      <c r="H445" s="187">
        <v>0.95833333333333337</v>
      </c>
      <c r="I445" s="185"/>
      <c r="J445" s="201"/>
      <c r="K445" s="201"/>
      <c r="L445" s="569"/>
      <c r="M445" s="517"/>
      <c r="N445" s="168"/>
      <c r="O445" s="89"/>
      <c r="P445" s="89"/>
      <c r="Q445" s="89"/>
      <c r="R445" s="89"/>
      <c r="S445" s="89"/>
      <c r="T445" s="89"/>
      <c r="U445" s="89"/>
      <c r="V445" s="89"/>
      <c r="W445" s="89"/>
      <c r="X445" s="89"/>
      <c r="Y445" s="89"/>
      <c r="Z445" s="89"/>
    </row>
    <row r="446" spans="3:26" ht="23" x14ac:dyDescent="0.2">
      <c r="C446" s="89"/>
      <c r="D446" s="561">
        <v>45229</v>
      </c>
      <c r="E446" s="186">
        <v>0.53</v>
      </c>
      <c r="F446" s="186">
        <v>0.49</v>
      </c>
      <c r="G446" s="186">
        <v>0.67</v>
      </c>
      <c r="H446" s="187">
        <v>0.95833333333333337</v>
      </c>
      <c r="I446" s="185"/>
      <c r="J446" s="201"/>
      <c r="K446" s="201"/>
      <c r="L446" s="569"/>
      <c r="M446" s="517"/>
      <c r="N446" s="168"/>
      <c r="O446" s="89"/>
      <c r="P446" s="89"/>
      <c r="Q446" s="89"/>
      <c r="R446" s="89"/>
      <c r="S446" s="89"/>
      <c r="T446" s="89"/>
      <c r="U446" s="89"/>
      <c r="V446" s="89"/>
      <c r="W446" s="89"/>
      <c r="X446" s="89"/>
      <c r="Y446" s="89"/>
      <c r="Z446" s="89"/>
    </row>
    <row r="447" spans="3:26" ht="23" x14ac:dyDescent="0.2">
      <c r="C447" s="89"/>
      <c r="D447" s="561">
        <v>45138</v>
      </c>
      <c r="E447" s="186">
        <v>0.4</v>
      </c>
      <c r="F447" s="186">
        <v>0.4</v>
      </c>
      <c r="G447" s="186">
        <v>1.05</v>
      </c>
      <c r="H447" s="187">
        <v>0.95833333333333337</v>
      </c>
      <c r="I447" s="185"/>
      <c r="J447" s="201"/>
      <c r="K447" s="201"/>
      <c r="L447" s="569"/>
      <c r="M447" s="517"/>
      <c r="N447" s="168"/>
      <c r="O447" s="89"/>
      <c r="P447" s="89"/>
      <c r="Q447" s="89"/>
      <c r="R447" s="89"/>
      <c r="S447" s="89"/>
      <c r="T447" s="89"/>
      <c r="U447" s="89"/>
      <c r="V447" s="89"/>
      <c r="W447" s="89"/>
      <c r="X447" s="89"/>
      <c r="Y447" s="89"/>
      <c r="Z447" s="89"/>
    </row>
    <row r="448" spans="3:26" ht="23" x14ac:dyDescent="0.2">
      <c r="C448" s="89"/>
      <c r="D448" s="561">
        <v>45047</v>
      </c>
      <c r="E448" s="186">
        <v>0.43</v>
      </c>
      <c r="F448" s="186">
        <v>0.42</v>
      </c>
      <c r="G448" s="186">
        <v>1.1299999999999999</v>
      </c>
      <c r="H448" s="187">
        <v>0.95833333333333337</v>
      </c>
      <c r="I448" s="185"/>
      <c r="J448" s="201"/>
      <c r="K448" s="201"/>
      <c r="L448" s="569"/>
      <c r="M448" s="517"/>
      <c r="N448" s="168"/>
      <c r="O448" s="89"/>
      <c r="P448" s="89"/>
      <c r="Q448" s="89"/>
      <c r="R448" s="89"/>
      <c r="S448" s="89"/>
      <c r="T448" s="89"/>
      <c r="U448" s="89"/>
      <c r="V448" s="89"/>
      <c r="W448" s="89"/>
      <c r="X448" s="89"/>
      <c r="Y448" s="89"/>
      <c r="Z448" s="89"/>
    </row>
    <row r="449" spans="3:26" ht="24" x14ac:dyDescent="0.2">
      <c r="C449" s="89" t="s">
        <v>105</v>
      </c>
      <c r="D449" s="557" t="s">
        <v>30</v>
      </c>
      <c r="E449" s="1088" t="s">
        <v>870</v>
      </c>
      <c r="F449" s="1088">
        <v>0</v>
      </c>
      <c r="G449" s="1088">
        <v>0</v>
      </c>
      <c r="H449" s="167" t="s">
        <v>790</v>
      </c>
      <c r="I449" s="166"/>
      <c r="J449" s="1114" t="s">
        <v>430</v>
      </c>
      <c r="K449" s="1115"/>
      <c r="L449" s="1116"/>
      <c r="M449" s="420" t="s">
        <v>431</v>
      </c>
      <c r="N449" s="168" t="s">
        <v>105</v>
      </c>
      <c r="O449" s="118" t="s">
        <v>800</v>
      </c>
      <c r="P449" s="118" t="s">
        <v>801</v>
      </c>
      <c r="Q449" s="118" t="s">
        <v>802</v>
      </c>
      <c r="R449" s="118" t="s">
        <v>803</v>
      </c>
      <c r="S449" s="118" t="s">
        <v>804</v>
      </c>
      <c r="T449" s="118" t="s">
        <v>805</v>
      </c>
      <c r="U449" s="118" t="s">
        <v>806</v>
      </c>
      <c r="V449" s="118" t="s">
        <v>807</v>
      </c>
      <c r="W449" s="118" t="s">
        <v>808</v>
      </c>
      <c r="X449" s="118" t="s">
        <v>809</v>
      </c>
      <c r="Y449" s="118" t="s">
        <v>75</v>
      </c>
      <c r="Z449" s="118" t="s">
        <v>75</v>
      </c>
    </row>
    <row r="450" spans="3:26" ht="24" x14ac:dyDescent="0.2">
      <c r="C450" s="89"/>
      <c r="D450" s="546" t="s">
        <v>432</v>
      </c>
      <c r="E450" s="1092"/>
      <c r="F450" s="1092"/>
      <c r="G450" s="1092"/>
      <c r="H450" s="170" t="s">
        <v>913</v>
      </c>
      <c r="I450" s="169"/>
      <c r="J450" s="1117"/>
      <c r="K450" s="1118"/>
      <c r="L450" s="1119"/>
      <c r="M450" s="227"/>
      <c r="N450" s="168"/>
      <c r="O450" s="119" t="s">
        <v>810</v>
      </c>
      <c r="P450" s="120">
        <v>0.1</v>
      </c>
      <c r="Q450" s="121">
        <v>7.81</v>
      </c>
      <c r="R450" s="122">
        <v>1</v>
      </c>
      <c r="S450" s="123"/>
      <c r="T450" s="119">
        <v>12.715</v>
      </c>
      <c r="U450" s="121">
        <v>-4.6399999999999997</v>
      </c>
      <c r="V450" s="120">
        <v>37</v>
      </c>
      <c r="W450" s="123"/>
      <c r="X450" s="123"/>
      <c r="Y450" s="124"/>
      <c r="Z450" s="124"/>
    </row>
    <row r="451" spans="3:26" ht="24" x14ac:dyDescent="0.2">
      <c r="C451" s="89"/>
      <c r="D451" s="546" t="s">
        <v>433</v>
      </c>
      <c r="E451" s="1096">
        <v>1.84</v>
      </c>
      <c r="F451" s="1096">
        <v>0</v>
      </c>
      <c r="G451" s="1096">
        <v>0</v>
      </c>
      <c r="H451" s="170" t="s">
        <v>913</v>
      </c>
      <c r="I451" s="169"/>
      <c r="J451" s="1036"/>
      <c r="K451" s="1037"/>
      <c r="L451" s="1112"/>
      <c r="M451" s="227"/>
      <c r="N451" s="168"/>
      <c r="O451" s="125"/>
      <c r="P451" s="125"/>
      <c r="Q451" s="125"/>
      <c r="R451" s="126"/>
      <c r="S451" s="127"/>
      <c r="T451" s="125"/>
      <c r="U451" s="125"/>
      <c r="V451" s="125"/>
      <c r="W451" s="127"/>
      <c r="X451" s="127"/>
      <c r="Y451" s="128"/>
      <c r="Z451" s="128"/>
    </row>
    <row r="452" spans="3:26" ht="24" x14ac:dyDescent="0.2">
      <c r="C452" s="89"/>
      <c r="D452" s="546" t="s">
        <v>434</v>
      </c>
      <c r="E452" s="1096">
        <v>1.55</v>
      </c>
      <c r="F452" s="1096">
        <v>0</v>
      </c>
      <c r="G452" s="1096">
        <v>0</v>
      </c>
      <c r="H452" s="175"/>
      <c r="I452" s="169"/>
      <c r="J452" s="1036"/>
      <c r="K452" s="1037"/>
      <c r="L452" s="1112"/>
      <c r="M452" s="227"/>
      <c r="N452" s="168"/>
      <c r="O452" s="129" t="s">
        <v>811</v>
      </c>
      <c r="P452" s="130">
        <v>0.5</v>
      </c>
      <c r="Q452" s="131">
        <v>14.205</v>
      </c>
      <c r="R452" s="132">
        <v>3</v>
      </c>
      <c r="S452" s="133">
        <v>1</v>
      </c>
      <c r="T452" s="129">
        <v>24.307500000000001</v>
      </c>
      <c r="U452" s="134">
        <v>-44.351867872591427</v>
      </c>
      <c r="V452" s="135">
        <v>185</v>
      </c>
      <c r="W452" s="136">
        <v>2.95</v>
      </c>
      <c r="X452" s="137">
        <v>130.83801022414471</v>
      </c>
      <c r="Y452" s="138"/>
      <c r="Z452" s="138"/>
    </row>
    <row r="453" spans="3:26" ht="24" x14ac:dyDescent="0.2">
      <c r="C453" s="89"/>
      <c r="D453" s="546" t="s">
        <v>435</v>
      </c>
      <c r="E453" s="1097">
        <v>0.95833333333333337</v>
      </c>
      <c r="F453" s="1097">
        <v>0</v>
      </c>
      <c r="G453" s="1097">
        <v>0</v>
      </c>
      <c r="H453" s="175"/>
      <c r="I453" s="169"/>
      <c r="J453" s="1099">
        <v>6.25E-2</v>
      </c>
      <c r="K453" s="1099"/>
      <c r="L453" s="1113"/>
      <c r="M453" s="516">
        <v>0.95833333333333337</v>
      </c>
      <c r="N453" s="168"/>
      <c r="O453" s="139" t="s">
        <v>812</v>
      </c>
      <c r="P453" s="140">
        <v>0.1</v>
      </c>
      <c r="Q453" s="141"/>
      <c r="R453" s="142">
        <v>3</v>
      </c>
      <c r="S453" s="143">
        <v>1</v>
      </c>
      <c r="T453" s="139"/>
      <c r="U453" s="144">
        <v>0</v>
      </c>
      <c r="V453" s="145">
        <v>37</v>
      </c>
      <c r="W453" s="146">
        <v>2.3650000000000002</v>
      </c>
      <c r="X453" s="147">
        <v>0</v>
      </c>
      <c r="Y453" s="148"/>
      <c r="Z453" s="148"/>
    </row>
    <row r="454" spans="3:26" ht="24" x14ac:dyDescent="0.2">
      <c r="C454" s="89"/>
      <c r="D454" s="546" t="s">
        <v>436</v>
      </c>
      <c r="E454" s="184" t="s">
        <v>29</v>
      </c>
      <c r="F454" s="184" t="s">
        <v>28</v>
      </c>
      <c r="G454" s="184" t="s">
        <v>27</v>
      </c>
      <c r="H454" s="175" t="s">
        <v>793</v>
      </c>
      <c r="I454" s="169"/>
      <c r="J454" s="184"/>
      <c r="K454" s="184"/>
      <c r="L454" s="568"/>
      <c r="M454" s="227"/>
      <c r="N454" s="168"/>
      <c r="O454" s="127"/>
      <c r="P454" s="149"/>
      <c r="Q454" s="127"/>
      <c r="R454" s="127"/>
      <c r="S454" s="127"/>
      <c r="T454" s="127"/>
      <c r="U454" s="150"/>
      <c r="V454" s="151"/>
      <c r="W454" s="127"/>
      <c r="X454" s="150"/>
      <c r="Y454" s="128"/>
      <c r="Z454" s="128"/>
    </row>
    <row r="455" spans="3:26" ht="23" x14ac:dyDescent="0.2">
      <c r="C455" s="89"/>
      <c r="D455" s="561">
        <v>45495</v>
      </c>
      <c r="E455" s="186">
        <v>1.89</v>
      </c>
      <c r="F455" s="186">
        <v>1.85</v>
      </c>
      <c r="G455" s="186">
        <v>1.44</v>
      </c>
      <c r="H455" s="187">
        <v>0.95833333333333337</v>
      </c>
      <c r="I455" s="185"/>
      <c r="J455" s="201"/>
      <c r="K455" s="201"/>
      <c r="L455" s="569"/>
      <c r="M455" s="517"/>
      <c r="N455" s="168"/>
      <c r="O455" s="152"/>
      <c r="P455" s="128"/>
      <c r="Q455" s="152"/>
      <c r="R455" s="152"/>
      <c r="S455" s="152"/>
      <c r="T455" s="152"/>
      <c r="U455" s="152"/>
      <c r="V455" s="152"/>
      <c r="W455" s="152"/>
      <c r="X455" s="152"/>
      <c r="Y455" s="128"/>
      <c r="Z455" s="128"/>
    </row>
    <row r="456" spans="3:26" ht="23" x14ac:dyDescent="0.2">
      <c r="C456" s="89"/>
      <c r="D456" s="561">
        <v>45406</v>
      </c>
      <c r="E456" s="186">
        <v>1.89</v>
      </c>
      <c r="F456" s="186">
        <v>1.49</v>
      </c>
      <c r="G456" s="186">
        <v>1.17</v>
      </c>
      <c r="H456" s="187">
        <v>0.95833333333333337</v>
      </c>
      <c r="I456" s="185"/>
      <c r="J456" s="201"/>
      <c r="K456" s="201"/>
      <c r="L456" s="569"/>
      <c r="M456" s="517"/>
      <c r="N456" s="168"/>
      <c r="O456" s="119" t="s">
        <v>813</v>
      </c>
      <c r="P456" s="120">
        <v>0.25</v>
      </c>
      <c r="Q456" s="153">
        <v>14.205</v>
      </c>
      <c r="R456" s="154">
        <v>3</v>
      </c>
      <c r="S456" s="123">
        <v>1</v>
      </c>
      <c r="T456" s="129">
        <v>24.307500000000001</v>
      </c>
      <c r="U456" s="155">
        <v>-22.175933936295714</v>
      </c>
      <c r="V456" s="156">
        <v>92.5</v>
      </c>
      <c r="W456" s="123">
        <v>2.95</v>
      </c>
      <c r="X456" s="157">
        <v>65.419005112072355</v>
      </c>
      <c r="Y456" s="158"/>
      <c r="Z456" s="158"/>
    </row>
    <row r="457" spans="3:26" ht="23" x14ac:dyDescent="0.2">
      <c r="C457" s="89"/>
      <c r="D457" s="561">
        <v>45320</v>
      </c>
      <c r="E457" s="186">
        <v>1.64</v>
      </c>
      <c r="F457" s="186">
        <v>1.6</v>
      </c>
      <c r="G457" s="186">
        <v>1.05</v>
      </c>
      <c r="H457" s="187">
        <v>0.95833333333333337</v>
      </c>
      <c r="I457" s="185"/>
      <c r="J457" s="201"/>
      <c r="K457" s="201"/>
      <c r="L457" s="569"/>
      <c r="M457" s="517"/>
      <c r="N457" s="168"/>
      <c r="O457" s="119"/>
      <c r="P457" s="120"/>
      <c r="Q457" s="153"/>
      <c r="R457" s="154"/>
      <c r="S457" s="123"/>
      <c r="T457" s="120"/>
      <c r="U457" s="155"/>
      <c r="V457" s="156"/>
      <c r="W457" s="123"/>
      <c r="X457" s="157"/>
      <c r="Y457" s="158"/>
      <c r="Z457" s="158"/>
    </row>
    <row r="458" spans="3:26" ht="23" x14ac:dyDescent="0.2">
      <c r="C458" s="89"/>
      <c r="D458" s="561">
        <v>45222</v>
      </c>
      <c r="E458" s="186">
        <v>1.55</v>
      </c>
      <c r="F458" s="186">
        <v>1.45</v>
      </c>
      <c r="G458" s="186">
        <v>1.06</v>
      </c>
      <c r="H458" s="187">
        <v>0.95833333333333337</v>
      </c>
      <c r="I458" s="185"/>
      <c r="J458" s="201"/>
      <c r="K458" s="201"/>
      <c r="L458" s="569"/>
      <c r="M458" s="517"/>
      <c r="N458" s="168"/>
      <c r="O458" s="119" t="s">
        <v>816</v>
      </c>
      <c r="P458" s="120"/>
      <c r="Q458" s="153"/>
      <c r="R458" s="154"/>
      <c r="S458" s="123"/>
      <c r="T458" s="120"/>
      <c r="U458" s="155">
        <v>0</v>
      </c>
      <c r="V458" s="156"/>
      <c r="W458" s="123"/>
      <c r="X458" s="157">
        <v>0</v>
      </c>
      <c r="Y458" s="158"/>
      <c r="Z458" s="158"/>
    </row>
    <row r="459" spans="3:26" ht="23" x14ac:dyDescent="0.2">
      <c r="C459" s="89"/>
      <c r="D459" s="561">
        <v>45131</v>
      </c>
      <c r="E459" s="186">
        <v>1.44</v>
      </c>
      <c r="F459" s="186">
        <v>1.32</v>
      </c>
      <c r="G459" s="186">
        <v>1.21</v>
      </c>
      <c r="H459" s="187">
        <v>0.95833333333333337</v>
      </c>
      <c r="I459" s="185"/>
      <c r="J459" s="201"/>
      <c r="K459" s="201"/>
      <c r="L459" s="569"/>
      <c r="M459" s="517"/>
      <c r="N459" s="168"/>
      <c r="O459" s="89"/>
      <c r="P459" s="89"/>
      <c r="Q459" s="89"/>
      <c r="R459" s="89"/>
      <c r="S459" s="89"/>
      <c r="T459" s="89"/>
      <c r="U459" s="89"/>
      <c r="V459" s="89"/>
      <c r="W459" s="89"/>
      <c r="X459" s="89"/>
      <c r="Y459" s="89"/>
      <c r="Z459" s="89"/>
    </row>
    <row r="460" spans="3:26" ht="23" x14ac:dyDescent="0.2">
      <c r="C460" s="89"/>
      <c r="D460" s="561">
        <v>45040</v>
      </c>
      <c r="E460" s="186">
        <v>1.17</v>
      </c>
      <c r="F460" s="186">
        <v>1.06</v>
      </c>
      <c r="G460" s="186">
        <v>1.23</v>
      </c>
      <c r="H460" s="187">
        <v>0.95833333333333337</v>
      </c>
      <c r="I460" s="185"/>
      <c r="J460" s="201"/>
      <c r="K460" s="201"/>
      <c r="L460" s="569"/>
      <c r="M460" s="517"/>
      <c r="N460" s="168"/>
      <c r="O460" s="89"/>
      <c r="P460" s="89"/>
      <c r="Q460" s="89"/>
      <c r="R460" s="89"/>
      <c r="S460" s="89"/>
      <c r="T460" s="89"/>
      <c r="U460" s="89"/>
      <c r="V460" s="89"/>
      <c r="W460" s="89"/>
      <c r="X460" s="89"/>
      <c r="Y460" s="89"/>
      <c r="Z460" s="89"/>
    </row>
    <row r="461" spans="3:26" ht="24" x14ac:dyDescent="0.2">
      <c r="C461" s="89" t="s">
        <v>105</v>
      </c>
      <c r="D461" s="557" t="s">
        <v>30</v>
      </c>
      <c r="E461" s="1088" t="s">
        <v>871</v>
      </c>
      <c r="F461" s="1088">
        <v>0</v>
      </c>
      <c r="G461" s="1088">
        <v>0</v>
      </c>
      <c r="H461" s="167" t="s">
        <v>790</v>
      </c>
      <c r="I461" s="166"/>
      <c r="J461" s="1114" t="s">
        <v>430</v>
      </c>
      <c r="K461" s="1115"/>
      <c r="L461" s="1116"/>
      <c r="M461" s="420" t="s">
        <v>431</v>
      </c>
      <c r="N461" s="168" t="s">
        <v>105</v>
      </c>
      <c r="O461" s="118" t="s">
        <v>800</v>
      </c>
      <c r="P461" s="118" t="s">
        <v>801</v>
      </c>
      <c r="Q461" s="118" t="s">
        <v>802</v>
      </c>
      <c r="R461" s="118" t="s">
        <v>803</v>
      </c>
      <c r="S461" s="118" t="s">
        <v>804</v>
      </c>
      <c r="T461" s="118" t="s">
        <v>805</v>
      </c>
      <c r="U461" s="118" t="s">
        <v>806</v>
      </c>
      <c r="V461" s="118" t="s">
        <v>807</v>
      </c>
      <c r="W461" s="118" t="s">
        <v>808</v>
      </c>
      <c r="X461" s="118" t="s">
        <v>809</v>
      </c>
      <c r="Y461" s="118" t="s">
        <v>75</v>
      </c>
      <c r="Z461" s="118" t="s">
        <v>75</v>
      </c>
    </row>
    <row r="462" spans="3:26" ht="24" x14ac:dyDescent="0.2">
      <c r="C462" s="89"/>
      <c r="D462" s="546" t="s">
        <v>432</v>
      </c>
      <c r="E462" s="1092"/>
      <c r="F462" s="1092"/>
      <c r="G462" s="1092"/>
      <c r="H462" s="170" t="s">
        <v>913</v>
      </c>
      <c r="I462" s="169"/>
      <c r="J462" s="1117"/>
      <c r="K462" s="1118"/>
      <c r="L462" s="1119"/>
      <c r="M462" s="227"/>
      <c r="N462" s="168"/>
      <c r="O462" s="119" t="s">
        <v>810</v>
      </c>
      <c r="P462" s="120">
        <v>0.1</v>
      </c>
      <c r="Q462" s="121">
        <v>6</v>
      </c>
      <c r="R462" s="122">
        <v>1</v>
      </c>
      <c r="S462" s="123"/>
      <c r="T462" s="119">
        <v>10</v>
      </c>
      <c r="U462" s="121">
        <v>-3.67</v>
      </c>
      <c r="V462" s="120">
        <v>37</v>
      </c>
      <c r="W462" s="123"/>
      <c r="X462" s="123"/>
      <c r="Y462" s="124"/>
      <c r="Z462" s="124"/>
    </row>
    <row r="463" spans="3:26" ht="24" x14ac:dyDescent="0.2">
      <c r="C463" s="89"/>
      <c r="D463" s="546" t="s">
        <v>433</v>
      </c>
      <c r="E463" s="1096">
        <v>3.1</v>
      </c>
      <c r="F463" s="1096">
        <v>0</v>
      </c>
      <c r="G463" s="1096">
        <v>0</v>
      </c>
      <c r="H463" s="170" t="s">
        <v>913</v>
      </c>
      <c r="I463" s="169"/>
      <c r="J463" s="1036"/>
      <c r="K463" s="1037"/>
      <c r="L463" s="1112"/>
      <c r="M463" s="227"/>
      <c r="N463" s="168"/>
      <c r="O463" s="125"/>
      <c r="P463" s="125"/>
      <c r="Q463" s="125"/>
      <c r="R463" s="126"/>
      <c r="S463" s="127"/>
      <c r="T463" s="125"/>
      <c r="U463" s="125"/>
      <c r="V463" s="125"/>
      <c r="W463" s="127"/>
      <c r="X463" s="127"/>
      <c r="Y463" s="128"/>
      <c r="Z463" s="128"/>
    </row>
    <row r="464" spans="3:26" ht="24" x14ac:dyDescent="0.2">
      <c r="C464" s="89"/>
      <c r="D464" s="546" t="s">
        <v>434</v>
      </c>
      <c r="E464" s="1096">
        <v>2.99</v>
      </c>
      <c r="F464" s="1096">
        <v>0</v>
      </c>
      <c r="G464" s="1096">
        <v>0</v>
      </c>
      <c r="H464" s="175"/>
      <c r="I464" s="169"/>
      <c r="J464" s="1036"/>
      <c r="K464" s="1037"/>
      <c r="L464" s="1112"/>
      <c r="M464" s="227"/>
      <c r="N464" s="168"/>
      <c r="O464" s="129" t="s">
        <v>811</v>
      </c>
      <c r="P464" s="130">
        <v>0.1</v>
      </c>
      <c r="Q464" s="131">
        <v>32.925699999999999</v>
      </c>
      <c r="R464" s="132">
        <v>1</v>
      </c>
      <c r="S464" s="133">
        <v>1</v>
      </c>
      <c r="T464" s="129">
        <v>50.388549999999995</v>
      </c>
      <c r="U464" s="134">
        <v>-18.492597849999999</v>
      </c>
      <c r="V464" s="135">
        <v>37</v>
      </c>
      <c r="W464" s="136">
        <v>3.72</v>
      </c>
      <c r="X464" s="137">
        <v>68.792464002000003</v>
      </c>
      <c r="Y464" s="138"/>
      <c r="Z464" s="138"/>
    </row>
    <row r="465" spans="3:26" ht="24" x14ac:dyDescent="0.2">
      <c r="C465" s="89"/>
      <c r="D465" s="546" t="s">
        <v>435</v>
      </c>
      <c r="E465" s="1097">
        <v>0.95833333333333337</v>
      </c>
      <c r="F465" s="1097">
        <v>0</v>
      </c>
      <c r="G465" s="1097">
        <v>0</v>
      </c>
      <c r="H465" s="175"/>
      <c r="I465" s="169"/>
      <c r="J465" s="1099">
        <v>6.25E-2</v>
      </c>
      <c r="K465" s="1099"/>
      <c r="L465" s="1113"/>
      <c r="M465" s="516">
        <v>0.95833333333333337</v>
      </c>
      <c r="N465" s="168"/>
      <c r="O465" s="139" t="s">
        <v>812</v>
      </c>
      <c r="P465" s="180">
        <v>0.1</v>
      </c>
      <c r="Q465" s="160">
        <v>32.925699999999999</v>
      </c>
      <c r="R465" s="181">
        <v>1</v>
      </c>
      <c r="S465" s="192">
        <v>1</v>
      </c>
      <c r="T465" s="182">
        <v>50.388549999999995</v>
      </c>
      <c r="U465" s="144">
        <v>-18.492597849999999</v>
      </c>
      <c r="V465" s="145">
        <v>91.8</v>
      </c>
      <c r="W465" s="193">
        <v>3.12</v>
      </c>
      <c r="X465" s="147">
        <v>57.696905291999997</v>
      </c>
      <c r="Y465" s="148"/>
      <c r="Z465" s="148"/>
    </row>
    <row r="466" spans="3:26" ht="24" x14ac:dyDescent="0.2">
      <c r="C466" s="89"/>
      <c r="D466" s="546" t="s">
        <v>436</v>
      </c>
      <c r="E466" s="184" t="s">
        <v>29</v>
      </c>
      <c r="F466" s="184" t="s">
        <v>28</v>
      </c>
      <c r="G466" s="184" t="s">
        <v>27</v>
      </c>
      <c r="H466" s="175" t="s">
        <v>793</v>
      </c>
      <c r="I466" s="169"/>
      <c r="J466" s="184"/>
      <c r="K466" s="184"/>
      <c r="L466" s="568"/>
      <c r="M466" s="227"/>
      <c r="N466" s="168"/>
      <c r="O466" s="127"/>
      <c r="P466" s="149"/>
      <c r="Q466" s="127"/>
      <c r="R466" s="127"/>
      <c r="S466" s="194"/>
      <c r="T466" s="127"/>
      <c r="U466" s="150"/>
      <c r="V466" s="151"/>
      <c r="W466" s="195"/>
      <c r="X466" s="150"/>
      <c r="Y466" s="128"/>
      <c r="Z466" s="128"/>
    </row>
    <row r="467" spans="3:26" ht="23" x14ac:dyDescent="0.2">
      <c r="C467" s="89"/>
      <c r="D467" s="561">
        <v>45503</v>
      </c>
      <c r="E467" s="186">
        <v>2.95</v>
      </c>
      <c r="F467" s="186">
        <v>2.94</v>
      </c>
      <c r="G467" s="186">
        <v>2.69</v>
      </c>
      <c r="H467" s="187">
        <v>0.95833333333333337</v>
      </c>
      <c r="I467" s="185"/>
      <c r="J467" s="201"/>
      <c r="K467" s="201"/>
      <c r="L467" s="569"/>
      <c r="M467" s="517"/>
      <c r="N467" s="168"/>
      <c r="O467" s="152"/>
      <c r="P467" s="128"/>
      <c r="Q467" s="152"/>
      <c r="R467" s="152"/>
      <c r="S467" s="194"/>
      <c r="T467" s="152"/>
      <c r="U467" s="152"/>
      <c r="V467" s="152"/>
      <c r="W467" s="197"/>
      <c r="X467" s="152"/>
      <c r="Y467" s="128"/>
      <c r="Z467" s="128"/>
    </row>
    <row r="468" spans="3:26" ht="23" x14ac:dyDescent="0.2">
      <c r="C468" s="89"/>
      <c r="D468" s="561">
        <v>45407</v>
      </c>
      <c r="E468" s="186">
        <v>2.94</v>
      </c>
      <c r="F468" s="186">
        <v>2.94</v>
      </c>
      <c r="G468" s="186">
        <v>2.4500000000000002</v>
      </c>
      <c r="H468" s="187">
        <v>0.95833333333333337</v>
      </c>
      <c r="I468" s="185"/>
      <c r="J468" s="201"/>
      <c r="K468" s="201"/>
      <c r="L468" s="569"/>
      <c r="M468" s="517"/>
      <c r="N468" s="168"/>
      <c r="O468" s="119" t="s">
        <v>813</v>
      </c>
      <c r="P468" s="202">
        <v>0.15</v>
      </c>
      <c r="Q468" s="153">
        <v>32.925699999999999</v>
      </c>
      <c r="R468" s="154">
        <v>1</v>
      </c>
      <c r="S468" s="198">
        <v>1</v>
      </c>
      <c r="T468" s="199">
        <v>50.388549999999995</v>
      </c>
      <c r="U468" s="155">
        <v>-27.738896774999994</v>
      </c>
      <c r="V468" s="156">
        <v>137.69999999999999</v>
      </c>
      <c r="W468" s="200">
        <v>3</v>
      </c>
      <c r="X468" s="157">
        <v>83.216690324999973</v>
      </c>
      <c r="Y468" s="158" t="s">
        <v>814</v>
      </c>
      <c r="Z468" s="158" t="s">
        <v>914</v>
      </c>
    </row>
    <row r="469" spans="3:26" ht="23" x14ac:dyDescent="0.2">
      <c r="C469" s="89"/>
      <c r="D469" s="561">
        <v>45321</v>
      </c>
      <c r="E469" s="186">
        <v>2.93</v>
      </c>
      <c r="F469" s="186">
        <v>2.78</v>
      </c>
      <c r="G469" s="186">
        <v>2.3199999999999998</v>
      </c>
      <c r="H469" s="187">
        <v>0.95833333333333337</v>
      </c>
      <c r="I469" s="185"/>
      <c r="J469" s="201"/>
      <c r="K469" s="201"/>
      <c r="L469" s="569"/>
      <c r="M469" s="517"/>
      <c r="N469" s="168"/>
      <c r="O469" s="119"/>
      <c r="P469" s="120"/>
      <c r="Q469" s="153"/>
      <c r="R469" s="154"/>
      <c r="S469" s="123"/>
      <c r="T469" s="120"/>
      <c r="U469" s="155"/>
      <c r="V469" s="156"/>
      <c r="W469" s="123"/>
      <c r="X469" s="157"/>
      <c r="Y469" s="158"/>
      <c r="Z469" s="158"/>
    </row>
    <row r="470" spans="3:26" ht="23" x14ac:dyDescent="0.2">
      <c r="C470" s="89"/>
      <c r="D470" s="561">
        <v>45223</v>
      </c>
      <c r="E470" s="186">
        <v>2.99</v>
      </c>
      <c r="F470" s="186">
        <v>2.65</v>
      </c>
      <c r="G470" s="186">
        <v>2.35</v>
      </c>
      <c r="H470" s="187">
        <v>0.95833333333333337</v>
      </c>
      <c r="I470" s="185"/>
      <c r="J470" s="201"/>
      <c r="K470" s="201"/>
      <c r="L470" s="569"/>
      <c r="M470" s="517"/>
      <c r="N470" s="168"/>
      <c r="O470" s="119" t="s">
        <v>816</v>
      </c>
      <c r="P470" s="120"/>
      <c r="Q470" s="153"/>
      <c r="R470" s="154"/>
      <c r="S470" s="123"/>
      <c r="T470" s="120"/>
      <c r="U470" s="155">
        <v>0</v>
      </c>
      <c r="V470" s="156"/>
      <c r="W470" s="123"/>
      <c r="X470" s="157">
        <v>0</v>
      </c>
      <c r="Y470" s="158"/>
      <c r="Z470" s="158"/>
    </row>
    <row r="471" spans="3:26" ht="23" x14ac:dyDescent="0.2">
      <c r="C471" s="89"/>
      <c r="D471" s="561">
        <v>45132</v>
      </c>
      <c r="E471" s="186">
        <v>2.69</v>
      </c>
      <c r="F471" s="186">
        <v>2.5499999999999998</v>
      </c>
      <c r="G471" s="186">
        <v>2.23</v>
      </c>
      <c r="H471" s="187">
        <v>0.95833333333333337</v>
      </c>
      <c r="I471" s="185"/>
      <c r="J471" s="201"/>
      <c r="K471" s="201"/>
      <c r="L471" s="569"/>
      <c r="M471" s="517"/>
      <c r="N471" s="168"/>
      <c r="O471" s="89"/>
      <c r="P471" s="89"/>
      <c r="Q471" s="89"/>
      <c r="R471" s="89"/>
      <c r="S471" s="89"/>
      <c r="T471" s="89"/>
      <c r="U471" s="89"/>
      <c r="V471" s="89"/>
      <c r="W471" s="89"/>
      <c r="X471" s="89"/>
      <c r="Y471" s="89"/>
      <c r="Z471" s="89"/>
    </row>
    <row r="472" spans="3:26" ht="23" x14ac:dyDescent="0.2">
      <c r="C472" s="89"/>
      <c r="D472" s="561">
        <v>45041</v>
      </c>
      <c r="E472" s="186">
        <v>2.4500000000000002</v>
      </c>
      <c r="F472" s="186">
        <v>2.2400000000000002</v>
      </c>
      <c r="G472" s="186">
        <v>2.2200000000000002</v>
      </c>
      <c r="H472" s="187">
        <v>0.95833333333333337</v>
      </c>
      <c r="I472" s="185"/>
      <c r="J472" s="201"/>
      <c r="K472" s="201"/>
      <c r="L472" s="569"/>
      <c r="M472" s="517"/>
      <c r="N472" s="168"/>
      <c r="O472" s="89"/>
      <c r="P472" s="89"/>
      <c r="Q472" s="89"/>
      <c r="R472" s="89"/>
      <c r="S472" s="89"/>
      <c r="T472" s="89"/>
      <c r="U472" s="89"/>
      <c r="V472" s="89"/>
      <c r="W472" s="89"/>
      <c r="X472" s="89"/>
      <c r="Y472" s="89"/>
      <c r="Z472" s="89"/>
    </row>
    <row r="473" spans="3:26" ht="24" x14ac:dyDescent="0.2">
      <c r="C473" s="89" t="s">
        <v>105</v>
      </c>
      <c r="D473" s="557" t="s">
        <v>30</v>
      </c>
      <c r="E473" s="1088" t="s">
        <v>872</v>
      </c>
      <c r="F473" s="1088">
        <v>0</v>
      </c>
      <c r="G473" s="1088">
        <v>0</v>
      </c>
      <c r="H473" s="167" t="s">
        <v>790</v>
      </c>
      <c r="I473" s="166"/>
      <c r="J473" s="1114" t="s">
        <v>430</v>
      </c>
      <c r="K473" s="1115"/>
      <c r="L473" s="1116"/>
      <c r="M473" s="420" t="s">
        <v>431</v>
      </c>
      <c r="N473" s="168" t="s">
        <v>105</v>
      </c>
      <c r="O473" s="118" t="s">
        <v>800</v>
      </c>
      <c r="P473" s="118" t="s">
        <v>801</v>
      </c>
      <c r="Q473" s="118" t="s">
        <v>802</v>
      </c>
      <c r="R473" s="118" t="s">
        <v>803</v>
      </c>
      <c r="S473" s="118" t="s">
        <v>804</v>
      </c>
      <c r="T473" s="118" t="s">
        <v>805</v>
      </c>
      <c r="U473" s="118" t="s">
        <v>806</v>
      </c>
      <c r="V473" s="118" t="s">
        <v>807</v>
      </c>
      <c r="W473" s="118" t="s">
        <v>808</v>
      </c>
      <c r="X473" s="118" t="s">
        <v>809</v>
      </c>
      <c r="Y473" s="118" t="s">
        <v>75</v>
      </c>
      <c r="Z473" s="118" t="s">
        <v>75</v>
      </c>
    </row>
    <row r="474" spans="3:26" ht="24" x14ac:dyDescent="0.2">
      <c r="C474" s="89"/>
      <c r="D474" s="546" t="s">
        <v>432</v>
      </c>
      <c r="E474" s="1092"/>
      <c r="F474" s="1092"/>
      <c r="G474" s="1092"/>
      <c r="H474" s="170" t="s">
        <v>913</v>
      </c>
      <c r="I474" s="169"/>
      <c r="J474" s="1117"/>
      <c r="K474" s="1118"/>
      <c r="L474" s="1119"/>
      <c r="M474" s="227"/>
      <c r="N474" s="168"/>
      <c r="O474" s="119" t="s">
        <v>810</v>
      </c>
      <c r="P474" s="120">
        <v>0.1</v>
      </c>
      <c r="Q474" s="121">
        <v>7.81</v>
      </c>
      <c r="R474" s="122">
        <v>1</v>
      </c>
      <c r="S474" s="123"/>
      <c r="T474" s="119">
        <v>12.715</v>
      </c>
      <c r="U474" s="121">
        <v>-4.6399999999999997</v>
      </c>
      <c r="V474" s="120">
        <v>37</v>
      </c>
      <c r="W474" s="123"/>
      <c r="X474" s="123"/>
      <c r="Y474" s="124"/>
      <c r="Z474" s="124"/>
    </row>
    <row r="475" spans="3:26" ht="24" x14ac:dyDescent="0.2">
      <c r="C475" s="89"/>
      <c r="D475" s="546" t="s">
        <v>433</v>
      </c>
      <c r="E475" s="1096">
        <v>5.21</v>
      </c>
      <c r="F475" s="1096">
        <v>0</v>
      </c>
      <c r="G475" s="1096">
        <v>0</v>
      </c>
      <c r="H475" s="170" t="s">
        <v>913</v>
      </c>
      <c r="I475" s="169"/>
      <c r="J475" s="1036"/>
      <c r="K475" s="1037"/>
      <c r="L475" s="1112"/>
      <c r="M475" s="227"/>
      <c r="N475" s="168"/>
      <c r="O475" s="125"/>
      <c r="P475" s="125"/>
      <c r="Q475" s="125"/>
      <c r="R475" s="126"/>
      <c r="S475" s="127"/>
      <c r="T475" s="125"/>
      <c r="U475" s="125"/>
      <c r="V475" s="125"/>
      <c r="W475" s="127"/>
      <c r="X475" s="127"/>
      <c r="Y475" s="128"/>
      <c r="Z475" s="128"/>
    </row>
    <row r="476" spans="3:26" ht="24" x14ac:dyDescent="0.2">
      <c r="C476" s="89"/>
      <c r="D476" s="546" t="s">
        <v>434</v>
      </c>
      <c r="E476" s="1096">
        <v>4.3899999999999997</v>
      </c>
      <c r="F476" s="1096">
        <v>0</v>
      </c>
      <c r="G476" s="1096">
        <v>0</v>
      </c>
      <c r="H476" s="175"/>
      <c r="I476" s="169"/>
      <c r="J476" s="1036"/>
      <c r="K476" s="1037"/>
      <c r="L476" s="1112"/>
      <c r="M476" s="227"/>
      <c r="N476" s="168"/>
      <c r="O476" s="129" t="s">
        <v>811</v>
      </c>
      <c r="P476" s="130">
        <v>0.5</v>
      </c>
      <c r="Q476" s="131">
        <v>14.205</v>
      </c>
      <c r="R476" s="132">
        <v>3</v>
      </c>
      <c r="S476" s="133">
        <v>1</v>
      </c>
      <c r="T476" s="129">
        <v>24.307500000000001</v>
      </c>
      <c r="U476" s="134">
        <v>-44.351867872591427</v>
      </c>
      <c r="V476" s="135">
        <v>185</v>
      </c>
      <c r="W476" s="136">
        <v>2.95</v>
      </c>
      <c r="X476" s="137">
        <v>130.83801022414471</v>
      </c>
      <c r="Y476" s="138"/>
      <c r="Z476" s="138"/>
    </row>
    <row r="477" spans="3:26" ht="24" x14ac:dyDescent="0.2">
      <c r="C477" s="89"/>
      <c r="D477" s="546" t="s">
        <v>435</v>
      </c>
      <c r="E477" s="1097">
        <v>0.95833333333333337</v>
      </c>
      <c r="F477" s="1097">
        <v>0</v>
      </c>
      <c r="G477" s="1097">
        <v>0</v>
      </c>
      <c r="H477" s="175"/>
      <c r="I477" s="169"/>
      <c r="J477" s="1099">
        <v>6.25E-2</v>
      </c>
      <c r="K477" s="1099"/>
      <c r="L477" s="1113"/>
      <c r="M477" s="516">
        <v>0.95833333333333337</v>
      </c>
      <c r="N477" s="168"/>
      <c r="O477" s="139" t="s">
        <v>812</v>
      </c>
      <c r="P477" s="140">
        <v>0.1</v>
      </c>
      <c r="Q477" s="141"/>
      <c r="R477" s="142">
        <v>3</v>
      </c>
      <c r="S477" s="143">
        <v>1</v>
      </c>
      <c r="T477" s="139"/>
      <c r="U477" s="144">
        <v>0</v>
      </c>
      <c r="V477" s="145">
        <v>37</v>
      </c>
      <c r="W477" s="146">
        <v>2.3650000000000002</v>
      </c>
      <c r="X477" s="147">
        <v>0</v>
      </c>
      <c r="Y477" s="148"/>
      <c r="Z477" s="148"/>
    </row>
    <row r="478" spans="3:26" ht="24" x14ac:dyDescent="0.2">
      <c r="C478" s="89"/>
      <c r="D478" s="546" t="s">
        <v>436</v>
      </c>
      <c r="E478" s="184" t="s">
        <v>29</v>
      </c>
      <c r="F478" s="184" t="s">
        <v>28</v>
      </c>
      <c r="G478" s="184" t="s">
        <v>27</v>
      </c>
      <c r="H478" s="175" t="s">
        <v>793</v>
      </c>
      <c r="I478" s="169"/>
      <c r="J478" s="184"/>
      <c r="K478" s="184"/>
      <c r="L478" s="568"/>
      <c r="M478" s="227"/>
      <c r="N478" s="168"/>
      <c r="O478" s="127"/>
      <c r="P478" s="149"/>
      <c r="Q478" s="127"/>
      <c r="R478" s="127"/>
      <c r="S478" s="127"/>
      <c r="T478" s="127"/>
      <c r="U478" s="150"/>
      <c r="V478" s="151"/>
      <c r="W478" s="127"/>
      <c r="X478" s="150"/>
      <c r="Y478" s="128"/>
      <c r="Z478" s="128"/>
    </row>
    <row r="479" spans="3:26" ht="23" x14ac:dyDescent="0.2">
      <c r="C479" s="89"/>
      <c r="D479" s="561">
        <v>45504</v>
      </c>
      <c r="E479" s="186">
        <v>5.16</v>
      </c>
      <c r="F479" s="186">
        <v>4.72</v>
      </c>
      <c r="G479" s="186">
        <v>2.98</v>
      </c>
      <c r="H479" s="187">
        <v>0.95833333333333337</v>
      </c>
      <c r="I479" s="185"/>
      <c r="J479" s="201"/>
      <c r="K479" s="201"/>
      <c r="L479" s="569"/>
      <c r="M479" s="517"/>
      <c r="N479" s="168"/>
      <c r="O479" s="207"/>
      <c r="P479" s="128"/>
      <c r="Q479" s="152"/>
      <c r="R479" s="152"/>
      <c r="S479" s="152"/>
      <c r="T479" s="152"/>
      <c r="U479" s="152"/>
      <c r="V479" s="152"/>
      <c r="W479" s="152"/>
      <c r="X479" s="152"/>
      <c r="Y479" s="128"/>
      <c r="Z479" s="128"/>
    </row>
    <row r="480" spans="3:26" ht="23" x14ac:dyDescent="0.2">
      <c r="C480" s="89"/>
      <c r="D480" s="561">
        <v>45406</v>
      </c>
      <c r="E480" s="186">
        <v>4.71</v>
      </c>
      <c r="F480" s="186">
        <v>4.32</v>
      </c>
      <c r="G480" s="186">
        <v>2.2000000000000002</v>
      </c>
      <c r="H480" s="187">
        <v>0.95833333333333337</v>
      </c>
      <c r="I480" s="185"/>
      <c r="J480" s="201"/>
      <c r="K480" s="201"/>
      <c r="L480" s="569"/>
      <c r="M480" s="517"/>
      <c r="N480" s="168"/>
      <c r="O480" s="119" t="s">
        <v>813</v>
      </c>
      <c r="P480" s="120">
        <v>0.25</v>
      </c>
      <c r="Q480" s="153">
        <v>14.205</v>
      </c>
      <c r="R480" s="154">
        <v>3</v>
      </c>
      <c r="S480" s="123">
        <v>1</v>
      </c>
      <c r="T480" s="129">
        <v>24.307500000000001</v>
      </c>
      <c r="U480" s="155">
        <v>-22.175933936295714</v>
      </c>
      <c r="V480" s="156">
        <v>92.5</v>
      </c>
      <c r="W480" s="123">
        <v>2.95</v>
      </c>
      <c r="X480" s="157">
        <v>65.419005112072355</v>
      </c>
      <c r="Y480" s="158"/>
      <c r="Z480" s="158"/>
    </row>
    <row r="481" spans="3:26" ht="23" x14ac:dyDescent="0.2">
      <c r="C481" s="89"/>
      <c r="D481" s="561">
        <v>45323</v>
      </c>
      <c r="E481" s="186">
        <v>5.33</v>
      </c>
      <c r="F481" s="186">
        <v>4.96</v>
      </c>
      <c r="G481" s="186">
        <v>1.76</v>
      </c>
      <c r="H481" s="187">
        <v>0.95833333333333337</v>
      </c>
      <c r="I481" s="185"/>
      <c r="J481" s="201"/>
      <c r="K481" s="201"/>
      <c r="L481" s="569"/>
      <c r="M481" s="517"/>
      <c r="N481" s="168"/>
      <c r="O481" s="119"/>
      <c r="P481" s="120"/>
      <c r="Q481" s="153"/>
      <c r="R481" s="154"/>
      <c r="S481" s="123"/>
      <c r="T481" s="120"/>
      <c r="U481" s="155"/>
      <c r="V481" s="156"/>
      <c r="W481" s="123"/>
      <c r="X481" s="157"/>
      <c r="Y481" s="158"/>
      <c r="Z481" s="158"/>
    </row>
    <row r="482" spans="3:26" ht="23" x14ac:dyDescent="0.2">
      <c r="C482" s="89"/>
      <c r="D482" s="561">
        <v>45224</v>
      </c>
      <c r="E482" s="186">
        <v>4.3899999999999997</v>
      </c>
      <c r="F482" s="186">
        <v>3.64</v>
      </c>
      <c r="G482" s="186">
        <v>1.64</v>
      </c>
      <c r="H482" s="187">
        <v>0.95833333333333337</v>
      </c>
      <c r="I482" s="185"/>
      <c r="J482" s="201"/>
      <c r="K482" s="201"/>
      <c r="L482" s="569"/>
      <c r="M482" s="517"/>
      <c r="N482" s="168"/>
      <c r="O482" s="119" t="s">
        <v>816</v>
      </c>
      <c r="P482" s="120"/>
      <c r="Q482" s="153"/>
      <c r="R482" s="154"/>
      <c r="S482" s="123"/>
      <c r="T482" s="120"/>
      <c r="U482" s="155">
        <v>0</v>
      </c>
      <c r="V482" s="156"/>
      <c r="W482" s="123"/>
      <c r="X482" s="157">
        <v>0</v>
      </c>
      <c r="Y482" s="158"/>
      <c r="Z482" s="158"/>
    </row>
    <row r="483" spans="3:26" ht="23" x14ac:dyDescent="0.2">
      <c r="C483" s="89"/>
      <c r="D483" s="561">
        <v>45133</v>
      </c>
      <c r="E483" s="186">
        <v>2.98</v>
      </c>
      <c r="F483" s="186">
        <v>2.91</v>
      </c>
      <c r="G483" s="186">
        <v>2.46</v>
      </c>
      <c r="H483" s="187">
        <v>0.95833333333333337</v>
      </c>
      <c r="I483" s="185"/>
      <c r="J483" s="201"/>
      <c r="K483" s="201"/>
      <c r="L483" s="569"/>
      <c r="M483" s="517"/>
      <c r="N483" s="168"/>
      <c r="O483" s="89"/>
      <c r="P483" s="89"/>
      <c r="Q483" s="89"/>
      <c r="R483" s="89"/>
      <c r="S483" s="89"/>
      <c r="T483" s="89"/>
      <c r="U483" s="89"/>
      <c r="V483" s="89"/>
      <c r="W483" s="89"/>
      <c r="X483" s="89"/>
      <c r="Y483" s="89"/>
      <c r="Z483" s="89"/>
    </row>
    <row r="484" spans="3:26" ht="23" x14ac:dyDescent="0.2">
      <c r="C484" s="89"/>
      <c r="D484" s="561">
        <v>45042</v>
      </c>
      <c r="E484" s="186">
        <v>2.2000000000000002</v>
      </c>
      <c r="F484" s="186">
        <v>2.02</v>
      </c>
      <c r="G484" s="186">
        <v>2.72</v>
      </c>
      <c r="H484" s="187">
        <v>0.95833333333333337</v>
      </c>
      <c r="I484" s="185"/>
      <c r="J484" s="201"/>
      <c r="K484" s="201"/>
      <c r="L484" s="569"/>
      <c r="M484" s="517"/>
      <c r="N484" s="168"/>
      <c r="O484" s="89"/>
      <c r="P484" s="89"/>
      <c r="Q484" s="89"/>
      <c r="R484" s="89"/>
      <c r="S484" s="89"/>
      <c r="T484" s="89"/>
      <c r="U484" s="89"/>
      <c r="V484" s="89"/>
      <c r="W484" s="89"/>
      <c r="X484" s="89"/>
      <c r="Y484" s="89"/>
      <c r="Z484" s="89"/>
    </row>
    <row r="485" spans="3:26" ht="24" x14ac:dyDescent="0.2">
      <c r="C485" s="89" t="s">
        <v>105</v>
      </c>
      <c r="D485" s="557" t="s">
        <v>30</v>
      </c>
      <c r="E485" s="1088" t="s">
        <v>854</v>
      </c>
      <c r="F485" s="1088">
        <v>0</v>
      </c>
      <c r="G485" s="1088">
        <v>0</v>
      </c>
      <c r="H485" s="167" t="s">
        <v>790</v>
      </c>
      <c r="I485" s="166"/>
      <c r="J485" s="1114" t="s">
        <v>430</v>
      </c>
      <c r="K485" s="1115"/>
      <c r="L485" s="1116"/>
      <c r="M485" s="420" t="s">
        <v>431</v>
      </c>
      <c r="N485" s="168" t="s">
        <v>105</v>
      </c>
      <c r="O485" s="89"/>
      <c r="P485" s="89"/>
      <c r="Q485" s="89"/>
      <c r="R485" s="89"/>
      <c r="S485" s="89"/>
      <c r="T485" s="89"/>
      <c r="U485" s="89"/>
      <c r="V485" s="89"/>
      <c r="W485" s="89"/>
      <c r="X485" s="89"/>
      <c r="Y485" s="89"/>
      <c r="Z485" s="89"/>
    </row>
    <row r="486" spans="3:26" ht="24" x14ac:dyDescent="0.2">
      <c r="C486" s="89"/>
      <c r="D486" s="546" t="s">
        <v>432</v>
      </c>
      <c r="E486" s="1092"/>
      <c r="F486" s="1092"/>
      <c r="G486" s="1092"/>
      <c r="H486" s="170" t="s">
        <v>913</v>
      </c>
      <c r="I486" s="169"/>
      <c r="J486" s="1117"/>
      <c r="K486" s="1118"/>
      <c r="L486" s="1119"/>
      <c r="M486" s="227"/>
      <c r="N486" s="168"/>
      <c r="O486" s="89"/>
      <c r="P486" s="89"/>
      <c r="Q486" s="89"/>
      <c r="R486" s="89"/>
      <c r="S486" s="89"/>
      <c r="T486" s="89"/>
      <c r="U486" s="89"/>
      <c r="V486" s="89"/>
      <c r="W486" s="89"/>
      <c r="X486" s="89"/>
      <c r="Y486" s="89"/>
      <c r="Z486" s="89"/>
    </row>
    <row r="487" spans="3:26" ht="24" x14ac:dyDescent="0.2">
      <c r="C487" s="89"/>
      <c r="D487" s="546" t="s">
        <v>433</v>
      </c>
      <c r="E487" s="1096">
        <v>1.1399999999999999</v>
      </c>
      <c r="F487" s="1096">
        <v>0</v>
      </c>
      <c r="G487" s="1096">
        <v>0</v>
      </c>
      <c r="H487" s="170" t="s">
        <v>913</v>
      </c>
      <c r="I487" s="169"/>
      <c r="J487" s="1036"/>
      <c r="K487" s="1037"/>
      <c r="L487" s="1112"/>
      <c r="M487" s="227"/>
      <c r="N487" s="168"/>
      <c r="O487" s="89"/>
      <c r="P487" s="89"/>
      <c r="Q487" s="89"/>
      <c r="R487" s="89"/>
      <c r="S487" s="89"/>
      <c r="T487" s="89"/>
      <c r="U487" s="89"/>
      <c r="V487" s="89"/>
      <c r="W487" s="89"/>
      <c r="X487" s="89"/>
      <c r="Y487" s="89"/>
      <c r="Z487" s="89"/>
    </row>
    <row r="488" spans="3:26" ht="24" x14ac:dyDescent="0.2">
      <c r="C488" s="89"/>
      <c r="D488" s="546" t="s">
        <v>434</v>
      </c>
      <c r="E488" s="1096">
        <v>0</v>
      </c>
      <c r="F488" s="1096">
        <v>0</v>
      </c>
      <c r="G488" s="1096">
        <v>0</v>
      </c>
      <c r="H488" s="175"/>
      <c r="I488" s="169"/>
      <c r="J488" s="1036"/>
      <c r="K488" s="1037"/>
      <c r="L488" s="1112"/>
      <c r="M488" s="227"/>
      <c r="N488" s="168"/>
      <c r="O488" s="89"/>
      <c r="P488" s="89"/>
      <c r="Q488" s="89"/>
      <c r="R488" s="89"/>
      <c r="S488" s="89"/>
      <c r="T488" s="89"/>
      <c r="U488" s="89"/>
      <c r="V488" s="89"/>
      <c r="W488" s="89"/>
      <c r="X488" s="89"/>
      <c r="Y488" s="89"/>
      <c r="Z488" s="89"/>
    </row>
    <row r="489" spans="3:26" ht="24" x14ac:dyDescent="0.2">
      <c r="C489" s="89"/>
      <c r="D489" s="546" t="s">
        <v>435</v>
      </c>
      <c r="E489" s="1097">
        <v>0.95833333333333337</v>
      </c>
      <c r="F489" s="1097">
        <v>0</v>
      </c>
      <c r="G489" s="1097">
        <v>0</v>
      </c>
      <c r="H489" s="175"/>
      <c r="I489" s="169"/>
      <c r="J489" s="1099">
        <v>6.25E-2</v>
      </c>
      <c r="K489" s="1099"/>
      <c r="L489" s="1113"/>
      <c r="M489" s="516">
        <v>0.95833333333333337</v>
      </c>
      <c r="N489" s="168"/>
      <c r="O489" s="89"/>
      <c r="P489" s="89"/>
      <c r="Q489" s="89"/>
      <c r="R489" s="89"/>
      <c r="S489" s="89"/>
      <c r="T489" s="89"/>
      <c r="U489" s="89"/>
      <c r="V489" s="89"/>
      <c r="W489" s="89"/>
      <c r="X489" s="89"/>
      <c r="Y489" s="89"/>
      <c r="Z489" s="89"/>
    </row>
    <row r="490" spans="3:26" ht="24" x14ac:dyDescent="0.2">
      <c r="C490" s="89"/>
      <c r="D490" s="546" t="s">
        <v>436</v>
      </c>
      <c r="E490" s="184" t="s">
        <v>29</v>
      </c>
      <c r="F490" s="184" t="s">
        <v>28</v>
      </c>
      <c r="G490" s="184" t="s">
        <v>27</v>
      </c>
      <c r="H490" s="175" t="s">
        <v>793</v>
      </c>
      <c r="I490" s="169"/>
      <c r="J490" s="184"/>
      <c r="K490" s="184"/>
      <c r="L490" s="568"/>
      <c r="M490" s="227"/>
      <c r="N490" s="168"/>
      <c r="O490" s="89"/>
      <c r="P490" s="89"/>
      <c r="Q490" s="89"/>
      <c r="R490" s="89"/>
      <c r="S490" s="89"/>
      <c r="T490" s="89"/>
      <c r="U490" s="89"/>
      <c r="V490" s="89"/>
      <c r="W490" s="89"/>
      <c r="X490" s="89"/>
      <c r="Y490" s="89"/>
      <c r="Z490" s="89"/>
    </row>
    <row r="491" spans="3:26" ht="23" x14ac:dyDescent="0.2">
      <c r="C491" s="89"/>
      <c r="D491" s="561">
        <v>45505</v>
      </c>
      <c r="E491" s="186">
        <v>1.26</v>
      </c>
      <c r="F491" s="186">
        <v>1.03</v>
      </c>
      <c r="G491" s="186">
        <v>0</v>
      </c>
      <c r="H491" s="187">
        <v>0.95833333333333337</v>
      </c>
      <c r="I491" s="185"/>
      <c r="J491" s="201"/>
      <c r="K491" s="201"/>
      <c r="L491" s="569"/>
      <c r="M491" s="517"/>
      <c r="N491" s="168"/>
      <c r="O491" s="89"/>
      <c r="P491" s="89"/>
      <c r="Q491" s="89"/>
      <c r="R491" s="89"/>
      <c r="S491" s="89"/>
      <c r="T491" s="89"/>
      <c r="U491" s="89"/>
      <c r="V491" s="89"/>
      <c r="W491" s="89"/>
      <c r="X491" s="89"/>
      <c r="Y491" s="89"/>
      <c r="Z491" s="89"/>
    </row>
    <row r="492" spans="3:26" ht="23" x14ac:dyDescent="0.2">
      <c r="C492" s="89"/>
      <c r="D492" s="561">
        <v>45412</v>
      </c>
      <c r="E492" s="186">
        <v>0.98</v>
      </c>
      <c r="F492" s="186">
        <v>0.84</v>
      </c>
      <c r="G492" s="186">
        <v>0</v>
      </c>
      <c r="H492" s="187">
        <v>0.95833333333333337</v>
      </c>
      <c r="I492" s="185"/>
      <c r="J492" s="201"/>
      <c r="K492" s="201"/>
      <c r="L492" s="569"/>
      <c r="M492" s="517"/>
      <c r="N492" s="168"/>
      <c r="O492" s="89"/>
      <c r="P492" s="89"/>
      <c r="Q492" s="89"/>
      <c r="R492" s="89"/>
      <c r="S492" s="89"/>
      <c r="T492" s="89"/>
      <c r="U492" s="89"/>
      <c r="V492" s="89"/>
      <c r="W492" s="89"/>
      <c r="X492" s="89"/>
      <c r="Y492" s="89"/>
      <c r="Z492" s="89"/>
    </row>
    <row r="493" spans="3:26" ht="23" x14ac:dyDescent="0.2">
      <c r="C493" s="89"/>
      <c r="D493" s="561">
        <v>45323</v>
      </c>
      <c r="E493" s="186">
        <v>1</v>
      </c>
      <c r="F493" s="186">
        <v>0.8</v>
      </c>
      <c r="G493" s="186">
        <v>0</v>
      </c>
      <c r="H493" s="187">
        <v>0.95833333333333337</v>
      </c>
      <c r="I493" s="185"/>
      <c r="J493" s="201"/>
      <c r="K493" s="201"/>
      <c r="L493" s="569"/>
      <c r="M493" s="517"/>
      <c r="N493" s="168"/>
      <c r="O493" s="89"/>
      <c r="P493" s="89"/>
      <c r="Q493" s="89"/>
      <c r="R493" s="89"/>
      <c r="S493" s="89"/>
      <c r="T493" s="89"/>
      <c r="U493" s="89"/>
      <c r="V493" s="89"/>
      <c r="W493" s="89"/>
      <c r="X493" s="89"/>
      <c r="Y493" s="89"/>
      <c r="Z493" s="89"/>
    </row>
    <row r="494" spans="3:26" ht="23" x14ac:dyDescent="0.2">
      <c r="C494" s="89"/>
      <c r="D494" s="561">
        <v>45225</v>
      </c>
      <c r="E494" s="186">
        <v>0.94</v>
      </c>
      <c r="F494" s="186">
        <v>0.57999999999999996</v>
      </c>
      <c r="G494" s="186">
        <v>0</v>
      </c>
      <c r="H494" s="187">
        <v>0.95833333333333337</v>
      </c>
      <c r="I494" s="185"/>
      <c r="J494" s="201"/>
      <c r="K494" s="201"/>
      <c r="L494" s="569"/>
      <c r="M494" s="517"/>
      <c r="N494" s="168"/>
      <c r="O494" s="89"/>
      <c r="P494" s="89"/>
      <c r="Q494" s="89"/>
      <c r="R494" s="89"/>
      <c r="S494" s="89"/>
      <c r="T494" s="89"/>
      <c r="U494" s="89"/>
      <c r="V494" s="89"/>
      <c r="W494" s="89"/>
      <c r="X494" s="89"/>
      <c r="Y494" s="89"/>
      <c r="Z494" s="89"/>
    </row>
    <row r="495" spans="3:26" ht="23" x14ac:dyDescent="0.2">
      <c r="C495" s="89"/>
      <c r="D495" s="561">
        <v>45141</v>
      </c>
      <c r="E495" s="186">
        <v>0.65</v>
      </c>
      <c r="F495" s="186">
        <v>0.35</v>
      </c>
      <c r="G495" s="186">
        <v>0</v>
      </c>
      <c r="H495" s="187">
        <v>0.95833333333333337</v>
      </c>
      <c r="I495" s="185"/>
      <c r="J495" s="201"/>
      <c r="K495" s="201"/>
      <c r="L495" s="569"/>
      <c r="M495" s="517"/>
      <c r="N495" s="168"/>
      <c r="O495" s="89"/>
      <c r="P495" s="89"/>
      <c r="Q495" s="89"/>
      <c r="R495" s="89"/>
      <c r="S495" s="89"/>
      <c r="T495" s="89"/>
      <c r="U495" s="89"/>
      <c r="V495" s="89"/>
      <c r="W495" s="89"/>
      <c r="X495" s="89"/>
      <c r="Y495" s="89"/>
      <c r="Z495" s="89"/>
    </row>
    <row r="496" spans="3:26" ht="23" x14ac:dyDescent="0.2">
      <c r="C496" s="89"/>
      <c r="D496" s="561">
        <v>45043</v>
      </c>
      <c r="E496" s="186">
        <v>0.31</v>
      </c>
      <c r="F496" s="186">
        <v>0.21</v>
      </c>
      <c r="G496" s="186">
        <v>0</v>
      </c>
      <c r="H496" s="187">
        <v>0.95833333333333337</v>
      </c>
      <c r="I496" s="185"/>
      <c r="J496" s="201"/>
      <c r="K496" s="201"/>
      <c r="L496" s="569"/>
      <c r="M496" s="517"/>
      <c r="N496" s="168"/>
      <c r="O496" s="89"/>
      <c r="P496" s="89"/>
      <c r="Q496" s="89"/>
      <c r="R496" s="89"/>
      <c r="S496" s="89"/>
      <c r="T496" s="89"/>
      <c r="U496" s="89"/>
      <c r="V496" s="89"/>
      <c r="W496" s="89"/>
      <c r="X496" s="89"/>
      <c r="Y496" s="89"/>
      <c r="Z496" s="89"/>
    </row>
    <row r="497" spans="2:26" ht="24" x14ac:dyDescent="0.2">
      <c r="C497" s="89" t="s">
        <v>105</v>
      </c>
      <c r="D497" s="557" t="s">
        <v>30</v>
      </c>
      <c r="E497" s="1088" t="s">
        <v>873</v>
      </c>
      <c r="F497" s="1088">
        <v>0</v>
      </c>
      <c r="G497" s="1088">
        <v>0</v>
      </c>
      <c r="H497" s="167" t="s">
        <v>790</v>
      </c>
      <c r="I497" s="166"/>
      <c r="J497" s="1114" t="s">
        <v>430</v>
      </c>
      <c r="K497" s="1115"/>
      <c r="L497" s="1116"/>
      <c r="M497" s="420" t="s">
        <v>431</v>
      </c>
      <c r="N497" s="168" t="s">
        <v>105</v>
      </c>
      <c r="O497" s="118" t="s">
        <v>800</v>
      </c>
      <c r="P497" s="118" t="s">
        <v>801</v>
      </c>
      <c r="Q497" s="118" t="s">
        <v>802</v>
      </c>
      <c r="R497" s="118" t="s">
        <v>803</v>
      </c>
      <c r="S497" s="118" t="s">
        <v>804</v>
      </c>
      <c r="T497" s="118" t="s">
        <v>805</v>
      </c>
      <c r="U497" s="118" t="s">
        <v>806</v>
      </c>
      <c r="V497" s="118" t="s">
        <v>807</v>
      </c>
      <c r="W497" s="118" t="s">
        <v>808</v>
      </c>
      <c r="X497" s="118" t="s">
        <v>809</v>
      </c>
      <c r="Y497" s="118" t="s">
        <v>75</v>
      </c>
      <c r="Z497" s="118" t="s">
        <v>75</v>
      </c>
    </row>
    <row r="498" spans="2:26" ht="24" x14ac:dyDescent="0.2">
      <c r="C498" s="89"/>
      <c r="D498" s="546" t="s">
        <v>432</v>
      </c>
      <c r="E498" s="1092"/>
      <c r="F498" s="1092"/>
      <c r="G498" s="1092"/>
      <c r="H498" s="170" t="s">
        <v>913</v>
      </c>
      <c r="I498" s="169"/>
      <c r="J498" s="1117"/>
      <c r="K498" s="1118"/>
      <c r="L498" s="1119"/>
      <c r="M498" s="227"/>
      <c r="N498" s="168"/>
      <c r="O498" s="119" t="s">
        <v>810</v>
      </c>
      <c r="P498" s="171">
        <v>0.1</v>
      </c>
      <c r="Q498" s="172">
        <v>2.1000000000000001E-2</v>
      </c>
      <c r="R498" s="173">
        <v>1.7000000000000001E-2</v>
      </c>
      <c r="S498" s="123"/>
      <c r="T498" s="119">
        <v>4.8500000000000001E-2</v>
      </c>
      <c r="U498" s="172">
        <v>-11.44</v>
      </c>
      <c r="V498" s="171">
        <v>91.8</v>
      </c>
      <c r="W498" s="174">
        <v>2</v>
      </c>
      <c r="X498" s="157">
        <v>22.88</v>
      </c>
      <c r="Y498" s="124"/>
      <c r="Z498" s="124"/>
    </row>
    <row r="499" spans="2:26" ht="24" x14ac:dyDescent="0.2">
      <c r="C499" s="89"/>
      <c r="D499" s="546" t="s">
        <v>433</v>
      </c>
      <c r="E499" s="1096">
        <v>1E-3</v>
      </c>
      <c r="F499" s="1096">
        <v>0</v>
      </c>
      <c r="G499" s="1096">
        <v>0</v>
      </c>
      <c r="H499" s="170" t="s">
        <v>913</v>
      </c>
      <c r="I499" s="169"/>
      <c r="J499" s="1036"/>
      <c r="K499" s="1037"/>
      <c r="L499" s="1112"/>
      <c r="M499" s="227"/>
      <c r="N499" s="168"/>
      <c r="O499" s="125"/>
      <c r="P499" s="125"/>
      <c r="Q499" s="125"/>
      <c r="R499" s="126"/>
      <c r="S499" s="127"/>
      <c r="T499" s="125"/>
      <c r="U499" s="125"/>
      <c r="V499" s="125"/>
      <c r="W499" s="127"/>
      <c r="X499" s="127"/>
      <c r="Y499" s="128"/>
      <c r="Z499" s="128"/>
    </row>
    <row r="500" spans="2:26" ht="24" x14ac:dyDescent="0.2">
      <c r="C500" s="89"/>
      <c r="D500" s="546" t="s">
        <v>434</v>
      </c>
      <c r="E500" s="1096">
        <v>1E-3</v>
      </c>
      <c r="F500" s="1096">
        <v>0</v>
      </c>
      <c r="G500" s="1096">
        <v>0</v>
      </c>
      <c r="H500" s="175"/>
      <c r="I500" s="169"/>
      <c r="J500" s="1036"/>
      <c r="K500" s="1037"/>
      <c r="L500" s="1112"/>
      <c r="M500" s="227"/>
      <c r="N500" s="168"/>
      <c r="O500" s="129" t="s">
        <v>811</v>
      </c>
      <c r="P500" s="176">
        <v>0.1</v>
      </c>
      <c r="Q500" s="177">
        <v>4.5600000000000002E-2</v>
      </c>
      <c r="R500" s="178">
        <v>1.7000000000000001E-2</v>
      </c>
      <c r="S500" s="133">
        <v>1</v>
      </c>
      <c r="T500" s="129">
        <v>8.5400000000000004E-2</v>
      </c>
      <c r="U500" s="134">
        <v>-20.14383505154639</v>
      </c>
      <c r="V500" s="135">
        <v>91.8</v>
      </c>
      <c r="W500" s="179">
        <v>4.83</v>
      </c>
      <c r="X500" s="137">
        <v>97.29472329896906</v>
      </c>
      <c r="Y500" s="138"/>
      <c r="Z500" s="138"/>
    </row>
    <row r="501" spans="2:26" ht="24" x14ac:dyDescent="0.2">
      <c r="C501" s="89"/>
      <c r="D501" s="546" t="s">
        <v>435</v>
      </c>
      <c r="E501" s="1097">
        <v>0.95833333333333337</v>
      </c>
      <c r="F501" s="1097">
        <v>0</v>
      </c>
      <c r="G501" s="1097">
        <v>0</v>
      </c>
      <c r="H501" s="175"/>
      <c r="I501" s="169"/>
      <c r="J501" s="1099">
        <v>0.77083333333333337</v>
      </c>
      <c r="K501" s="1099"/>
      <c r="L501" s="1113"/>
      <c r="M501" s="516">
        <v>0.95833333333333337</v>
      </c>
      <c r="N501" s="168"/>
      <c r="O501" s="139" t="s">
        <v>812</v>
      </c>
      <c r="P501" s="180">
        <v>0.2</v>
      </c>
      <c r="Q501" s="160">
        <v>3.5533333333333333E-2</v>
      </c>
      <c r="R501" s="181">
        <v>1.7000000000000001E-2</v>
      </c>
      <c r="S501" s="143">
        <v>0.3</v>
      </c>
      <c r="T501" s="182">
        <v>7.0300000000000001E-2</v>
      </c>
      <c r="U501" s="144">
        <v>-9.9492618556701036</v>
      </c>
      <c r="V501" s="145">
        <v>183.6</v>
      </c>
      <c r="W501" s="183">
        <v>5.8</v>
      </c>
      <c r="X501" s="147">
        <v>57.705718762886598</v>
      </c>
      <c r="Y501" s="148"/>
      <c r="Z501" s="148"/>
    </row>
    <row r="502" spans="2:26" ht="24" x14ac:dyDescent="0.2">
      <c r="C502" s="89"/>
      <c r="D502" s="546" t="s">
        <v>436</v>
      </c>
      <c r="E502" s="184" t="s">
        <v>29</v>
      </c>
      <c r="F502" s="184" t="s">
        <v>28</v>
      </c>
      <c r="G502" s="184" t="s">
        <v>27</v>
      </c>
      <c r="H502" s="175" t="s">
        <v>793</v>
      </c>
      <c r="I502" s="169"/>
      <c r="J502" s="184"/>
      <c r="K502" s="184"/>
      <c r="L502" s="568"/>
      <c r="M502" s="227"/>
      <c r="N502" s="168"/>
      <c r="O502" s="127"/>
      <c r="P502" s="149"/>
      <c r="Q502" s="208"/>
      <c r="R502" s="150">
        <v>2.4059381443298973</v>
      </c>
      <c r="S502" s="127"/>
      <c r="T502" s="127"/>
      <c r="U502" s="150">
        <v>141.5257731958763</v>
      </c>
      <c r="V502" s="151"/>
      <c r="W502" s="127"/>
      <c r="X502" s="150"/>
      <c r="Y502" s="128"/>
      <c r="Z502" s="128"/>
    </row>
    <row r="503" spans="2:26" ht="24" x14ac:dyDescent="0.2">
      <c r="C503" s="89"/>
      <c r="D503" s="561">
        <v>45558</v>
      </c>
      <c r="E503" s="186">
        <v>1E-3</v>
      </c>
      <c r="F503" s="186" t="s">
        <v>460</v>
      </c>
      <c r="G503" s="186">
        <v>0</v>
      </c>
      <c r="H503" s="187">
        <v>0.95833333333333337</v>
      </c>
      <c r="I503" s="185"/>
      <c r="J503" s="201"/>
      <c r="K503" s="201"/>
      <c r="L503" s="569"/>
      <c r="M503" s="517"/>
      <c r="N503" s="168"/>
      <c r="O503" s="152"/>
      <c r="P503" s="128"/>
      <c r="Q503" s="152"/>
      <c r="R503" s="152"/>
      <c r="S503" s="152"/>
      <c r="T503" s="152"/>
      <c r="U503" s="152"/>
      <c r="V503" s="152"/>
      <c r="W503" s="152"/>
      <c r="X503" s="152"/>
      <c r="Y503" s="128"/>
      <c r="Z503" s="128"/>
    </row>
    <row r="504" spans="2:26" ht="24" x14ac:dyDescent="0.2">
      <c r="C504" s="89"/>
      <c r="D504" s="561">
        <v>45530</v>
      </c>
      <c r="E504" s="186">
        <v>-1E-3</v>
      </c>
      <c r="F504" s="186" t="s">
        <v>462</v>
      </c>
      <c r="G504" s="186">
        <v>0</v>
      </c>
      <c r="H504" s="187">
        <v>0.95833333333333337</v>
      </c>
      <c r="I504" s="185"/>
      <c r="J504" s="201"/>
      <c r="K504" s="201"/>
      <c r="L504" s="569"/>
      <c r="M504" s="517"/>
      <c r="N504" s="168"/>
      <c r="O504" s="119" t="s">
        <v>813</v>
      </c>
      <c r="P504" s="188">
        <v>-0.15</v>
      </c>
      <c r="Q504" s="153">
        <v>3.5533333333333333E-2</v>
      </c>
      <c r="R504" s="154">
        <v>1.7000000000000001E-2</v>
      </c>
      <c r="S504" s="123">
        <v>-1.5</v>
      </c>
      <c r="T504" s="129">
        <v>7.0300000000000001E-2</v>
      </c>
      <c r="U504" s="155">
        <v>-37.309731958762882</v>
      </c>
      <c r="V504" s="156">
        <v>-137.69999999999999</v>
      </c>
      <c r="W504" s="123">
        <v>2</v>
      </c>
      <c r="X504" s="157">
        <v>74.619463917525763</v>
      </c>
      <c r="Y504" s="158"/>
      <c r="Z504" s="158"/>
    </row>
    <row r="505" spans="2:26" ht="24" x14ac:dyDescent="0.2">
      <c r="C505" s="89"/>
      <c r="D505" s="561">
        <v>45502</v>
      </c>
      <c r="E505" s="186">
        <v>0</v>
      </c>
      <c r="F505" s="186" t="s">
        <v>460</v>
      </c>
      <c r="G505" s="186">
        <v>3.0000000000000001E-3</v>
      </c>
      <c r="H505" s="187">
        <v>0.95833333333333337</v>
      </c>
      <c r="I505" s="185"/>
      <c r="J505" s="201"/>
      <c r="K505" s="201"/>
      <c r="L505" s="569"/>
      <c r="M505" s="517"/>
      <c r="N505" s="168"/>
      <c r="O505" s="119"/>
      <c r="P505" s="119"/>
      <c r="Q505" s="153"/>
      <c r="R505" s="154"/>
      <c r="S505" s="123"/>
      <c r="T505" s="171"/>
      <c r="U505" s="155"/>
      <c r="V505" s="156"/>
      <c r="W505" s="123"/>
      <c r="X505" s="157"/>
      <c r="Y505" s="158"/>
      <c r="Z505" s="158"/>
    </row>
    <row r="506" spans="2:26" ht="24" x14ac:dyDescent="0.2">
      <c r="C506" s="89"/>
      <c r="D506" s="561">
        <v>45467</v>
      </c>
      <c r="E506" s="186">
        <v>2E-3</v>
      </c>
      <c r="F506" s="186" t="s">
        <v>467</v>
      </c>
      <c r="G506" s="186">
        <v>1E-3</v>
      </c>
      <c r="H506" s="187">
        <v>0.95833333333333337</v>
      </c>
      <c r="I506" s="185"/>
      <c r="J506" s="201"/>
      <c r="K506" s="201"/>
      <c r="L506" s="569"/>
      <c r="M506" s="517"/>
      <c r="N506" s="168"/>
      <c r="O506" s="119" t="s">
        <v>816</v>
      </c>
      <c r="P506" s="120"/>
      <c r="Q506" s="153"/>
      <c r="R506" s="154"/>
      <c r="S506" s="123"/>
      <c r="T506" s="120"/>
      <c r="U506" s="155">
        <v>0</v>
      </c>
      <c r="V506" s="156"/>
      <c r="W506" s="123"/>
      <c r="X506" s="157">
        <v>0</v>
      </c>
      <c r="Y506" s="158"/>
      <c r="Z506" s="158"/>
    </row>
    <row r="507" spans="2:26" ht="24" x14ac:dyDescent="0.2">
      <c r="C507" s="89"/>
      <c r="D507" s="561">
        <v>45439</v>
      </c>
      <c r="E507" s="186">
        <v>1E-3</v>
      </c>
      <c r="F507" s="186" t="s">
        <v>903</v>
      </c>
      <c r="G507" s="186">
        <v>1.2E-2</v>
      </c>
      <c r="H507" s="187">
        <v>0.95833333333333337</v>
      </c>
      <c r="I507" s="185"/>
      <c r="J507" s="201"/>
      <c r="K507" s="201"/>
      <c r="L507" s="569"/>
      <c r="M507" s="517"/>
      <c r="N507" s="168"/>
      <c r="O507" s="89"/>
      <c r="P507" s="89"/>
      <c r="Q507" s="89"/>
      <c r="R507" s="89"/>
      <c r="S507" s="89"/>
      <c r="T507" s="89"/>
      <c r="U507" s="89"/>
      <c r="V507" s="89"/>
      <c r="W507" s="89"/>
      <c r="X507" s="89"/>
      <c r="Y507" s="89"/>
      <c r="Z507" s="89"/>
    </row>
    <row r="508" spans="2:26" ht="25" thickBot="1" x14ac:dyDescent="0.25">
      <c r="C508" s="89"/>
      <c r="D508" s="561">
        <v>45411</v>
      </c>
      <c r="E508" s="186">
        <v>1.2E-2</v>
      </c>
      <c r="F508" s="186" t="s">
        <v>462</v>
      </c>
      <c r="G508" s="186">
        <v>-1E-3</v>
      </c>
      <c r="H508" s="187">
        <v>0.95833333333333337</v>
      </c>
      <c r="I508" s="185"/>
      <c r="J508" s="201"/>
      <c r="K508" s="201"/>
      <c r="L508" s="569"/>
      <c r="M508" s="517"/>
      <c r="N508" s="168"/>
      <c r="O508" s="89"/>
      <c r="P508" s="89"/>
      <c r="Q508" s="89"/>
      <c r="R508" s="89"/>
      <c r="S508" s="89"/>
      <c r="T508" s="89"/>
      <c r="U508" s="89"/>
      <c r="V508" s="89"/>
      <c r="W508" s="89"/>
      <c r="X508" s="89"/>
      <c r="Y508" s="89"/>
      <c r="Z508" s="89"/>
    </row>
    <row r="509" spans="2:26" ht="49" thickBot="1" x14ac:dyDescent="0.25">
      <c r="B509" s="91" t="s">
        <v>429</v>
      </c>
      <c r="C509" s="91">
        <v>1</v>
      </c>
      <c r="D509" s="552" t="s">
        <v>30</v>
      </c>
      <c r="E509" s="1052" t="s">
        <v>915</v>
      </c>
      <c r="F509" s="1053"/>
      <c r="G509" s="1054"/>
      <c r="H509" s="217" t="s">
        <v>790</v>
      </c>
      <c r="I509" s="1055" t="s">
        <v>633</v>
      </c>
      <c r="J509" s="1056"/>
      <c r="K509" s="1057"/>
      <c r="L509" s="570" t="s">
        <v>430</v>
      </c>
      <c r="M509" s="518" t="s">
        <v>431</v>
      </c>
      <c r="N509" s="168" t="s">
        <v>105</v>
      </c>
      <c r="O509" s="118" t="s">
        <v>800</v>
      </c>
      <c r="P509" s="118" t="s">
        <v>801</v>
      </c>
      <c r="Q509" s="118" t="s">
        <v>802</v>
      </c>
      <c r="R509" s="118" t="s">
        <v>803</v>
      </c>
      <c r="S509" s="118" t="s">
        <v>804</v>
      </c>
      <c r="T509" s="118" t="s">
        <v>805</v>
      </c>
      <c r="U509" s="118" t="s">
        <v>806</v>
      </c>
      <c r="V509" s="118" t="s">
        <v>807</v>
      </c>
      <c r="W509" s="118" t="s">
        <v>808</v>
      </c>
      <c r="X509" s="118" t="s">
        <v>809</v>
      </c>
      <c r="Y509" s="118" t="s">
        <v>75</v>
      </c>
      <c r="Z509" s="118" t="s">
        <v>75</v>
      </c>
    </row>
    <row r="510" spans="2:26" ht="24" x14ac:dyDescent="0.2">
      <c r="C510"/>
      <c r="D510" s="544" t="s">
        <v>432</v>
      </c>
      <c r="E510" s="1024"/>
      <c r="F510" s="1025"/>
      <c r="G510" s="1026"/>
      <c r="H510" s="218" t="s">
        <v>904</v>
      </c>
      <c r="I510" s="1027" t="s">
        <v>916</v>
      </c>
      <c r="J510" s="962"/>
      <c r="K510" s="1028"/>
      <c r="L510" s="559"/>
      <c r="M510" s="519"/>
      <c r="N510" s="168"/>
      <c r="O510" s="119" t="s">
        <v>810</v>
      </c>
      <c r="P510" s="171">
        <v>0.1</v>
      </c>
      <c r="Q510" s="172">
        <v>1.9E-2</v>
      </c>
      <c r="R510" s="173">
        <v>2.199999999999136E-2</v>
      </c>
      <c r="S510" s="123"/>
      <c r="T510" s="119">
        <v>5.0499999999991357E-2</v>
      </c>
      <c r="U510" s="172">
        <v>-12.04</v>
      </c>
      <c r="V510" s="171">
        <v>60.5</v>
      </c>
      <c r="W510" s="174">
        <v>2</v>
      </c>
      <c r="X510" s="157">
        <v>24.08</v>
      </c>
      <c r="Y510" s="124"/>
      <c r="Z510" s="124"/>
    </row>
    <row r="511" spans="2:26" ht="24" x14ac:dyDescent="0.2">
      <c r="C511"/>
      <c r="D511" s="546" t="s">
        <v>433</v>
      </c>
      <c r="E511" s="1033">
        <v>4.3499999999999997E-2</v>
      </c>
      <c r="F511" s="1034"/>
      <c r="G511" s="1035"/>
      <c r="H511" s="218" t="s">
        <v>905</v>
      </c>
      <c r="I511" s="1029"/>
      <c r="J511" s="964"/>
      <c r="K511" s="1030"/>
      <c r="L511" s="559"/>
      <c r="M511" s="519"/>
      <c r="N511" s="168"/>
      <c r="O511" s="125"/>
      <c r="P511" s="125"/>
      <c r="Q511" s="125"/>
      <c r="R511" s="126"/>
      <c r="S511" s="127"/>
      <c r="T511" s="125"/>
      <c r="U511" s="125"/>
      <c r="V511" s="125"/>
      <c r="W511" s="127"/>
      <c r="X511" s="127"/>
      <c r="Y511" s="128"/>
      <c r="Z511" s="128"/>
    </row>
    <row r="512" spans="2:26" ht="24" x14ac:dyDescent="0.2">
      <c r="C512"/>
      <c r="D512" s="546" t="s">
        <v>434</v>
      </c>
      <c r="E512" s="1033">
        <v>4.3499999999999997E-2</v>
      </c>
      <c r="F512" s="1034"/>
      <c r="G512" s="1035"/>
      <c r="H512" s="219"/>
      <c r="I512" s="1029"/>
      <c r="J512" s="964"/>
      <c r="K512" s="1030"/>
      <c r="L512" s="559"/>
      <c r="M512" s="519"/>
      <c r="N512" s="168"/>
      <c r="O512" s="129" t="s">
        <v>811</v>
      </c>
      <c r="P512" s="176">
        <v>0.1</v>
      </c>
      <c r="Q512" s="177">
        <v>5.7299999999999997E-2</v>
      </c>
      <c r="R512" s="178">
        <v>0.05</v>
      </c>
      <c r="S512" s="133">
        <v>1</v>
      </c>
      <c r="T512" s="129">
        <v>0.13595000000000002</v>
      </c>
      <c r="U512" s="134">
        <v>-32.412633663371885</v>
      </c>
      <c r="V512" s="135">
        <v>60.5</v>
      </c>
      <c r="W512" s="179">
        <v>3.28</v>
      </c>
      <c r="X512" s="137">
        <v>106.31343841585978</v>
      </c>
      <c r="Y512" s="138"/>
      <c r="Z512" s="138"/>
    </row>
    <row r="513" spans="3:26" ht="25" thickBot="1" x14ac:dyDescent="0.25">
      <c r="C513"/>
      <c r="D513" s="547" t="s">
        <v>435</v>
      </c>
      <c r="E513" s="1039">
        <v>0.14583333333333334</v>
      </c>
      <c r="F513" s="1040"/>
      <c r="G513" s="1041"/>
      <c r="H513" s="219"/>
      <c r="I513" s="1029"/>
      <c r="J513" s="964"/>
      <c r="K513" s="1030"/>
      <c r="L513" s="560">
        <v>0.375</v>
      </c>
      <c r="M513" s="520">
        <v>0.22916666666666666</v>
      </c>
      <c r="N513" s="168"/>
      <c r="O513" s="139" t="s">
        <v>812</v>
      </c>
      <c r="P513" s="180">
        <v>0.1</v>
      </c>
      <c r="Q513" s="160">
        <v>7.0800000000000002E-2</v>
      </c>
      <c r="R513" s="181">
        <v>0.05</v>
      </c>
      <c r="S513" s="143">
        <v>1</v>
      </c>
      <c r="T513" s="182">
        <v>0.15620000000000001</v>
      </c>
      <c r="U513" s="144">
        <v>-37.240554455451914</v>
      </c>
      <c r="V513" s="145">
        <v>60.5</v>
      </c>
      <c r="W513" s="183">
        <v>2.97</v>
      </c>
      <c r="X513" s="147">
        <v>110.6044467326922</v>
      </c>
      <c r="Y513" s="148"/>
      <c r="Z513" s="148"/>
    </row>
    <row r="514" spans="3:26" ht="25" thickBot="1" x14ac:dyDescent="0.25">
      <c r="C514"/>
      <c r="D514" s="549" t="s">
        <v>436</v>
      </c>
      <c r="E514" s="93" t="s">
        <v>29</v>
      </c>
      <c r="F514" s="93" t="s">
        <v>28</v>
      </c>
      <c r="G514" s="94" t="s">
        <v>27</v>
      </c>
      <c r="H514" s="219" t="s">
        <v>793</v>
      </c>
      <c r="I514" s="1029"/>
      <c r="J514" s="964"/>
      <c r="K514" s="1030"/>
      <c r="L514" s="559"/>
      <c r="M514" s="519"/>
      <c r="N514" s="168"/>
      <c r="O514" s="127"/>
      <c r="P514" s="149"/>
      <c r="Q514" s="127"/>
      <c r="R514" s="127"/>
      <c r="S514" s="127"/>
      <c r="T514" s="127"/>
      <c r="U514" s="150"/>
      <c r="V514" s="151"/>
      <c r="W514" s="127"/>
      <c r="X514" s="150"/>
      <c r="Y514" s="128"/>
      <c r="Z514" s="128"/>
    </row>
    <row r="515" spans="3:26" ht="24" x14ac:dyDescent="0.2">
      <c r="C515"/>
      <c r="D515" s="550">
        <v>45559</v>
      </c>
      <c r="E515" s="99">
        <v>4.3499999999999997E-2</v>
      </c>
      <c r="F515" s="99" t="s">
        <v>938</v>
      </c>
      <c r="G515" s="99">
        <v>4.3499999999999997E-2</v>
      </c>
      <c r="H515" s="220">
        <v>0.1875</v>
      </c>
      <c r="I515" s="1029"/>
      <c r="J515" s="964"/>
      <c r="K515" s="1030"/>
      <c r="L515" s="559"/>
      <c r="M515" s="519"/>
      <c r="N515" s="168"/>
      <c r="O515" s="152"/>
      <c r="P515" s="128"/>
      <c r="Q515" s="152"/>
      <c r="R515" s="152"/>
      <c r="S515" s="152"/>
      <c r="T515" s="152"/>
      <c r="U515" s="152"/>
      <c r="V515" s="152"/>
      <c r="W515" s="152"/>
      <c r="X515" s="152"/>
      <c r="Y515" s="128"/>
      <c r="Z515" s="128"/>
    </row>
    <row r="516" spans="3:26" ht="24" x14ac:dyDescent="0.2">
      <c r="C516"/>
      <c r="D516" s="550">
        <v>45510</v>
      </c>
      <c r="E516" s="99">
        <v>4.3499999999999997E-2</v>
      </c>
      <c r="F516" s="99" t="s">
        <v>938</v>
      </c>
      <c r="G516" s="99">
        <v>4.3499999999999997E-2</v>
      </c>
      <c r="H516" s="220">
        <v>0.1875</v>
      </c>
      <c r="I516" s="1029"/>
      <c r="J516" s="964"/>
      <c r="K516" s="1030"/>
      <c r="L516" s="559"/>
      <c r="M516" s="519"/>
      <c r="N516" s="168"/>
      <c r="O516" s="119" t="s">
        <v>813</v>
      </c>
      <c r="P516" s="171">
        <v>0.1</v>
      </c>
      <c r="Q516" s="153">
        <v>6.4049999999999996E-2</v>
      </c>
      <c r="R516" s="154">
        <v>0.05</v>
      </c>
      <c r="S516" s="123">
        <v>1</v>
      </c>
      <c r="T516" s="129">
        <v>0.14607500000000001</v>
      </c>
      <c r="U516" s="155">
        <v>-34.826594059411903</v>
      </c>
      <c r="V516" s="156">
        <v>60.5</v>
      </c>
      <c r="W516" s="123">
        <v>2</v>
      </c>
      <c r="X516" s="157">
        <v>69.653188118823806</v>
      </c>
      <c r="Y516" s="158"/>
      <c r="Z516" s="158"/>
    </row>
    <row r="517" spans="3:26" ht="24" x14ac:dyDescent="0.2">
      <c r="C517"/>
      <c r="D517" s="550">
        <v>45461</v>
      </c>
      <c r="E517" s="99">
        <v>4.3499999999999997E-2</v>
      </c>
      <c r="F517" s="99" t="s">
        <v>938</v>
      </c>
      <c r="G517" s="99">
        <v>4.3499999999999997E-2</v>
      </c>
      <c r="H517" s="220">
        <v>0.1875</v>
      </c>
      <c r="I517" s="1029"/>
      <c r="J517" s="964"/>
      <c r="K517" s="1030"/>
      <c r="L517" s="562"/>
      <c r="M517" s="519"/>
      <c r="N517" s="168"/>
      <c r="O517" s="119"/>
      <c r="P517" s="119"/>
      <c r="Q517" s="153"/>
      <c r="R517" s="154"/>
      <c r="S517" s="123"/>
      <c r="T517" s="171"/>
      <c r="U517" s="155"/>
      <c r="V517" s="156"/>
      <c r="W517" s="123"/>
      <c r="X517" s="157"/>
      <c r="Y517" s="158"/>
      <c r="Z517" s="158"/>
    </row>
    <row r="518" spans="3:26" ht="24" x14ac:dyDescent="0.2">
      <c r="C518"/>
      <c r="D518" s="550">
        <v>45419</v>
      </c>
      <c r="E518" s="99">
        <v>4.3499999999999997E-2</v>
      </c>
      <c r="F518" s="99" t="s">
        <v>938</v>
      </c>
      <c r="G518" s="99">
        <v>4.3499999999999997E-2</v>
      </c>
      <c r="H518" s="220">
        <v>0.1875</v>
      </c>
      <c r="I518" s="1029"/>
      <c r="J518" s="964"/>
      <c r="K518" s="1030"/>
      <c r="L518" s="559"/>
      <c r="M518" s="519"/>
      <c r="N518" s="168"/>
      <c r="O518" s="119" t="s">
        <v>816</v>
      </c>
      <c r="P518" s="120"/>
      <c r="Q518" s="153"/>
      <c r="R518" s="154"/>
      <c r="S518" s="123"/>
      <c r="T518" s="120"/>
      <c r="U518" s="155">
        <v>0</v>
      </c>
      <c r="V518" s="156"/>
      <c r="W518" s="123"/>
      <c r="X518" s="157">
        <v>0</v>
      </c>
      <c r="Y518" s="158"/>
      <c r="Z518" s="158"/>
    </row>
    <row r="519" spans="3:26" ht="24" x14ac:dyDescent="0.2">
      <c r="C519"/>
      <c r="D519" s="550">
        <v>45370</v>
      </c>
      <c r="E519" s="99">
        <v>4.3499999999999997E-2</v>
      </c>
      <c r="F519" s="99" t="s">
        <v>938</v>
      </c>
      <c r="G519" s="99">
        <v>4.3499999999999997E-2</v>
      </c>
      <c r="H519" s="220">
        <v>0.14583333333333334</v>
      </c>
      <c r="I519" s="1029"/>
      <c r="J519" s="964"/>
      <c r="K519" s="1030"/>
      <c r="L519" s="559"/>
      <c r="M519" s="519"/>
      <c r="N519" s="168"/>
      <c r="O519" s="89"/>
      <c r="P519" s="89"/>
      <c r="Q519" s="89"/>
      <c r="R519" s="89"/>
      <c r="S519" s="89"/>
      <c r="T519" s="89"/>
      <c r="U519" s="89"/>
      <c r="V519" s="89"/>
      <c r="W519" s="89"/>
      <c r="X519" s="89"/>
      <c r="Y519" s="89"/>
      <c r="Z519" s="89"/>
    </row>
    <row r="520" spans="3:26" ht="25" thickBot="1" x14ac:dyDescent="0.25">
      <c r="C520"/>
      <c r="D520" s="550">
        <v>45328</v>
      </c>
      <c r="E520" s="99">
        <v>4.3499999999999997E-2</v>
      </c>
      <c r="F520" s="99" t="s">
        <v>938</v>
      </c>
      <c r="G520" s="99">
        <v>4.3499999999999997E-2</v>
      </c>
      <c r="H520" s="220">
        <v>0.14583333333333334</v>
      </c>
      <c r="I520" s="1079"/>
      <c r="J520" s="1080"/>
      <c r="K520" s="1081"/>
      <c r="L520" s="559"/>
      <c r="M520" s="519"/>
      <c r="N520" s="168"/>
      <c r="O520" s="89"/>
      <c r="P520" s="89"/>
      <c r="Q520" s="89"/>
      <c r="R520" s="89"/>
      <c r="S520" s="89"/>
      <c r="T520" s="89"/>
      <c r="U520" s="89"/>
      <c r="V520" s="89"/>
      <c r="W520" s="89"/>
      <c r="X520" s="89"/>
      <c r="Y520" s="89"/>
      <c r="Z520" s="89"/>
    </row>
    <row r="521" spans="3:26" ht="49" thickBot="1" x14ac:dyDescent="0.25">
      <c r="C521">
        <v>2</v>
      </c>
      <c r="D521" s="552" t="s">
        <v>30</v>
      </c>
      <c r="E521" s="1052" t="s">
        <v>917</v>
      </c>
      <c r="F521" s="1053"/>
      <c r="G521" s="1054"/>
      <c r="H521" s="221" t="s">
        <v>790</v>
      </c>
      <c r="I521" s="1076" t="s">
        <v>633</v>
      </c>
      <c r="J521" s="1077"/>
      <c r="K521" s="1078"/>
      <c r="L521" s="558" t="s">
        <v>430</v>
      </c>
      <c r="M521" s="521" t="s">
        <v>431</v>
      </c>
      <c r="N521" s="168" t="s">
        <v>105</v>
      </c>
      <c r="O521" s="118" t="s">
        <v>800</v>
      </c>
      <c r="P521" s="118" t="s">
        <v>801</v>
      </c>
      <c r="Q521" s="118" t="s">
        <v>802</v>
      </c>
      <c r="R521" s="118" t="s">
        <v>803</v>
      </c>
      <c r="S521" s="118" t="s">
        <v>804</v>
      </c>
      <c r="T521" s="118" t="s">
        <v>805</v>
      </c>
      <c r="U521" s="118" t="s">
        <v>806</v>
      </c>
      <c r="V521" s="118" t="s">
        <v>807</v>
      </c>
      <c r="W521" s="118" t="s">
        <v>808</v>
      </c>
      <c r="X521" s="118" t="s">
        <v>809</v>
      </c>
      <c r="Y521" s="118" t="s">
        <v>75</v>
      </c>
      <c r="Z521" s="118" t="s">
        <v>75</v>
      </c>
    </row>
    <row r="522" spans="3:26" ht="24" x14ac:dyDescent="0.2">
      <c r="C522"/>
      <c r="D522" s="544" t="s">
        <v>432</v>
      </c>
      <c r="E522" s="1024"/>
      <c r="F522" s="1025"/>
      <c r="G522" s="1026"/>
      <c r="H522" s="218" t="s">
        <v>795</v>
      </c>
      <c r="I522" s="1027" t="s">
        <v>918</v>
      </c>
      <c r="J522" s="962"/>
      <c r="K522" s="1028"/>
      <c r="L522" s="559"/>
      <c r="M522" s="519"/>
      <c r="N522" s="168"/>
      <c r="O522" s="119" t="s">
        <v>810</v>
      </c>
      <c r="P522" s="171">
        <v>0.1</v>
      </c>
      <c r="Q522" s="172">
        <v>0.03</v>
      </c>
      <c r="R522" s="173">
        <v>1.5999999999991132E-2</v>
      </c>
      <c r="S522" s="123"/>
      <c r="T522" s="119">
        <v>6.0999999999991131E-2</v>
      </c>
      <c r="U522" s="172">
        <v>-14.17</v>
      </c>
      <c r="V522" s="171">
        <v>91.8</v>
      </c>
      <c r="W522" s="174">
        <v>2</v>
      </c>
      <c r="X522" s="157">
        <v>28.34</v>
      </c>
      <c r="Y522" s="124"/>
      <c r="Z522" s="124"/>
    </row>
    <row r="523" spans="3:26" ht="24" x14ac:dyDescent="0.2">
      <c r="C523"/>
      <c r="D523" s="546" t="s">
        <v>433</v>
      </c>
      <c r="E523" s="1036">
        <v>0</v>
      </c>
      <c r="F523" s="1037"/>
      <c r="G523" s="1038"/>
      <c r="H523" s="218" t="s">
        <v>795</v>
      </c>
      <c r="I523" s="1029"/>
      <c r="J523" s="964"/>
      <c r="K523" s="1030"/>
      <c r="L523" s="559"/>
      <c r="M523" s="519"/>
      <c r="N523" s="168"/>
      <c r="O523" s="125"/>
      <c r="P523" s="125"/>
      <c r="Q523" s="125"/>
      <c r="R523" s="126"/>
      <c r="S523" s="127"/>
      <c r="T523" s="125"/>
      <c r="U523" s="125"/>
      <c r="V523" s="125"/>
      <c r="W523" s="127"/>
      <c r="X523" s="127"/>
      <c r="Y523" s="128"/>
      <c r="Z523" s="128"/>
    </row>
    <row r="524" spans="3:26" ht="24" x14ac:dyDescent="0.2">
      <c r="C524"/>
      <c r="D524" s="546" t="s">
        <v>434</v>
      </c>
      <c r="E524" s="1036">
        <v>0</v>
      </c>
      <c r="F524" s="1037"/>
      <c r="G524" s="1038"/>
      <c r="H524" s="219"/>
      <c r="I524" s="1029"/>
      <c r="J524" s="964"/>
      <c r="K524" s="1030"/>
      <c r="L524" s="559"/>
      <c r="M524" s="519"/>
      <c r="N524" s="168"/>
      <c r="O524" s="129" t="s">
        <v>811</v>
      </c>
      <c r="P524" s="176">
        <v>0.1</v>
      </c>
      <c r="Q524" s="177">
        <v>5.7000000000000002E-2</v>
      </c>
      <c r="R524" s="178">
        <v>7.0000000000000007E-2</v>
      </c>
      <c r="S524" s="133">
        <v>1</v>
      </c>
      <c r="T524" s="129">
        <v>0.15550000000000003</v>
      </c>
      <c r="U524" s="134">
        <v>-36.121885245906896</v>
      </c>
      <c r="V524" s="135">
        <v>60.5</v>
      </c>
      <c r="W524" s="179">
        <v>2.74</v>
      </c>
      <c r="X524" s="137">
        <v>98.973965573784895</v>
      </c>
      <c r="Y524" s="138"/>
      <c r="Z524" s="138">
        <v>4.4350000000000005</v>
      </c>
    </row>
    <row r="525" spans="3:26" ht="25" thickBot="1" x14ac:dyDescent="0.25">
      <c r="C525"/>
      <c r="D525" s="547" t="s">
        <v>435</v>
      </c>
      <c r="E525" s="1039">
        <v>0.41666666666666674</v>
      </c>
      <c r="F525" s="1040"/>
      <c r="G525" s="1041"/>
      <c r="H525" s="219"/>
      <c r="I525" s="1029"/>
      <c r="J525" s="964"/>
      <c r="K525" s="1030"/>
      <c r="L525" s="560">
        <v>0.64583333333333337</v>
      </c>
      <c r="M525" s="520">
        <v>0.5</v>
      </c>
      <c r="N525" s="168"/>
      <c r="O525" s="139" t="s">
        <v>812</v>
      </c>
      <c r="P525" s="180">
        <v>0.1</v>
      </c>
      <c r="Q525" s="160">
        <v>0.106</v>
      </c>
      <c r="R525" s="181">
        <v>7.0000000000000007E-2</v>
      </c>
      <c r="S525" s="143">
        <v>1</v>
      </c>
      <c r="T525" s="182">
        <v>0.22900000000000001</v>
      </c>
      <c r="U525" s="144">
        <v>-53.195573770499543</v>
      </c>
      <c r="V525" s="145">
        <v>60.5</v>
      </c>
      <c r="W525" s="183">
        <v>2.94</v>
      </c>
      <c r="X525" s="147">
        <v>156.39498688526865</v>
      </c>
      <c r="Y525" s="148"/>
      <c r="Z525" s="148"/>
    </row>
    <row r="526" spans="3:26" ht="25" thickBot="1" x14ac:dyDescent="0.25">
      <c r="C526"/>
      <c r="D526" s="549" t="s">
        <v>436</v>
      </c>
      <c r="E526" s="93" t="s">
        <v>29</v>
      </c>
      <c r="F526" s="93" t="s">
        <v>28</v>
      </c>
      <c r="G526" s="94" t="s">
        <v>27</v>
      </c>
      <c r="H526" s="219" t="s">
        <v>793</v>
      </c>
      <c r="I526" s="1029"/>
      <c r="J526" s="964"/>
      <c r="K526" s="1030"/>
      <c r="L526" s="559"/>
      <c r="M526" s="519"/>
      <c r="N526" s="168"/>
      <c r="O526" s="127"/>
      <c r="P526" s="149"/>
      <c r="Q526" s="127"/>
      <c r="R526" s="127"/>
      <c r="S526" s="127"/>
      <c r="T526" s="127"/>
      <c r="U526" s="150"/>
      <c r="V526" s="151"/>
      <c r="W526" s="127"/>
      <c r="X526" s="150"/>
      <c r="Y526" s="128"/>
      <c r="Z526" s="128"/>
    </row>
    <row r="527" spans="3:26" ht="23" x14ac:dyDescent="0.2">
      <c r="C527"/>
      <c r="D527" s="550">
        <v>44138</v>
      </c>
      <c r="E527" s="95">
        <v>0</v>
      </c>
      <c r="F527" s="95">
        <v>0</v>
      </c>
      <c r="G527" s="95">
        <v>0</v>
      </c>
      <c r="H527" s="222" t="s">
        <v>944</v>
      </c>
      <c r="I527" s="1029"/>
      <c r="J527" s="964"/>
      <c r="K527" s="1030"/>
      <c r="L527" s="559"/>
      <c r="M527" s="519"/>
      <c r="N527" s="168"/>
      <c r="O527" s="152"/>
      <c r="P527" s="128"/>
      <c r="Q527" s="152"/>
      <c r="R527" s="152"/>
      <c r="S527" s="152"/>
      <c r="T527" s="152"/>
      <c r="U527" s="152"/>
      <c r="V527" s="152"/>
      <c r="W527" s="152"/>
      <c r="X527" s="152"/>
      <c r="Y527" s="128"/>
      <c r="Z527" s="128"/>
    </row>
    <row r="528" spans="3:26" ht="23" x14ac:dyDescent="0.2">
      <c r="C528"/>
      <c r="D528" s="550">
        <v>42682</v>
      </c>
      <c r="E528" s="95">
        <v>0</v>
      </c>
      <c r="F528" s="95">
        <v>0</v>
      </c>
      <c r="G528" s="95">
        <v>0</v>
      </c>
      <c r="H528" s="222">
        <v>0.32291666666666669</v>
      </c>
      <c r="I528" s="1029"/>
      <c r="J528" s="964"/>
      <c r="K528" s="1030"/>
      <c r="L528" s="559" t="s">
        <v>945</v>
      </c>
      <c r="M528" s="519"/>
      <c r="N528" s="168"/>
      <c r="O528" s="119" t="s">
        <v>813</v>
      </c>
      <c r="P528" s="171">
        <v>0.1</v>
      </c>
      <c r="Q528" s="153">
        <v>8.1500000000000003E-2</v>
      </c>
      <c r="R528" s="154">
        <v>7.0000000000000007E-2</v>
      </c>
      <c r="S528" s="123">
        <v>1</v>
      </c>
      <c r="T528" s="129">
        <v>0.19225</v>
      </c>
      <c r="U528" s="155">
        <v>-44.658729508203216</v>
      </c>
      <c r="V528" s="156">
        <v>60.5</v>
      </c>
      <c r="W528" s="123">
        <v>2</v>
      </c>
      <c r="X528" s="157">
        <v>89.317459016406431</v>
      </c>
      <c r="Y528" s="158"/>
      <c r="Z528" s="158"/>
    </row>
    <row r="529" spans="3:26" ht="23" x14ac:dyDescent="0.2">
      <c r="C529"/>
      <c r="D529" s="550">
        <v>41219</v>
      </c>
      <c r="E529" s="95">
        <v>0</v>
      </c>
      <c r="F529" s="95">
        <v>0</v>
      </c>
      <c r="G529" s="95">
        <v>0</v>
      </c>
      <c r="H529" s="222" t="s">
        <v>946</v>
      </c>
      <c r="I529" s="1029"/>
      <c r="J529" s="964"/>
      <c r="K529" s="1030"/>
      <c r="L529" s="562"/>
      <c r="M529" s="519"/>
      <c r="N529" s="168"/>
      <c r="O529" s="119"/>
      <c r="P529" s="119"/>
      <c r="Q529" s="153"/>
      <c r="R529" s="154"/>
      <c r="S529" s="123"/>
      <c r="T529" s="171"/>
      <c r="U529" s="155"/>
      <c r="V529" s="156"/>
      <c r="W529" s="123"/>
      <c r="X529" s="157"/>
      <c r="Y529" s="158"/>
      <c r="Z529" s="158"/>
    </row>
    <row r="530" spans="3:26" ht="23" x14ac:dyDescent="0.2">
      <c r="C530"/>
      <c r="D530" s="550">
        <v>39756</v>
      </c>
      <c r="E530" s="95">
        <v>0</v>
      </c>
      <c r="F530" s="95">
        <v>0</v>
      </c>
      <c r="G530" s="95">
        <v>0</v>
      </c>
      <c r="H530" s="222" t="s">
        <v>946</v>
      </c>
      <c r="I530" s="1029"/>
      <c r="J530" s="964"/>
      <c r="K530" s="1030"/>
      <c r="L530" s="559"/>
      <c r="M530" s="519"/>
      <c r="N530" s="168"/>
      <c r="O530" s="119" t="s">
        <v>816</v>
      </c>
      <c r="P530" s="120"/>
      <c r="Q530" s="153"/>
      <c r="R530" s="154"/>
      <c r="S530" s="123"/>
      <c r="T530" s="120"/>
      <c r="U530" s="155">
        <v>0</v>
      </c>
      <c r="V530" s="156"/>
      <c r="W530" s="123"/>
      <c r="X530" s="157">
        <v>0</v>
      </c>
      <c r="Y530" s="158"/>
      <c r="Z530" s="158"/>
    </row>
    <row r="531" spans="3:26" ht="23" x14ac:dyDescent="0.2">
      <c r="C531"/>
      <c r="D531" s="550"/>
      <c r="E531" s="96"/>
      <c r="F531" s="96"/>
      <c r="G531" s="96"/>
      <c r="H531" s="220"/>
      <c r="I531" s="1029"/>
      <c r="J531" s="964"/>
      <c r="K531" s="1030"/>
      <c r="L531" s="559"/>
      <c r="M531" s="519"/>
      <c r="N531" s="168"/>
      <c r="O531" s="89"/>
      <c r="P531" s="89"/>
      <c r="Q531" s="89"/>
      <c r="R531" s="89"/>
      <c r="S531" s="89"/>
      <c r="T531" s="89"/>
      <c r="U531" s="89"/>
      <c r="V531" s="89"/>
      <c r="W531" s="89"/>
      <c r="X531" s="89"/>
      <c r="Y531" s="89"/>
      <c r="Z531" s="89"/>
    </row>
    <row r="532" spans="3:26" ht="24" thickBot="1" x14ac:dyDescent="0.25">
      <c r="C532"/>
      <c r="D532" s="550"/>
      <c r="E532" s="96"/>
      <c r="F532" s="96"/>
      <c r="G532" s="96"/>
      <c r="H532" s="220"/>
      <c r="I532" s="1079"/>
      <c r="J532" s="1080"/>
      <c r="K532" s="1081"/>
      <c r="L532" s="559"/>
      <c r="M532" s="519"/>
      <c r="N532" s="168"/>
      <c r="O532" s="89"/>
      <c r="P532" s="89"/>
      <c r="Q532" s="89"/>
      <c r="R532" s="89"/>
      <c r="S532" s="89"/>
      <c r="T532" s="89"/>
      <c r="U532" s="89"/>
      <c r="V532" s="89"/>
      <c r="W532" s="89"/>
      <c r="X532" s="89"/>
      <c r="Y532" s="89"/>
      <c r="Z532" s="89"/>
    </row>
    <row r="533" spans="3:26" ht="49" thickBot="1" x14ac:dyDescent="0.25">
      <c r="C533">
        <v>3</v>
      </c>
      <c r="D533" s="552" t="s">
        <v>30</v>
      </c>
      <c r="E533" s="1052" t="s">
        <v>919</v>
      </c>
      <c r="F533" s="1053"/>
      <c r="G533" s="1054"/>
      <c r="H533" s="221" t="s">
        <v>790</v>
      </c>
      <c r="I533" s="1076" t="s">
        <v>633</v>
      </c>
      <c r="J533" s="1077"/>
      <c r="K533" s="1078"/>
      <c r="L533" s="558" t="s">
        <v>430</v>
      </c>
      <c r="M533" s="521" t="s">
        <v>431</v>
      </c>
      <c r="N533" s="168" t="s">
        <v>105</v>
      </c>
      <c r="O533" s="118" t="s">
        <v>800</v>
      </c>
      <c r="P533" s="118" t="s">
        <v>801</v>
      </c>
      <c r="Q533" s="118" t="s">
        <v>802</v>
      </c>
      <c r="R533" s="118" t="s">
        <v>803</v>
      </c>
      <c r="S533" s="118" t="s">
        <v>804</v>
      </c>
      <c r="T533" s="118" t="s">
        <v>805</v>
      </c>
      <c r="U533" s="118" t="s">
        <v>806</v>
      </c>
      <c r="V533" s="118" t="s">
        <v>807</v>
      </c>
      <c r="W533" s="118" t="s">
        <v>808</v>
      </c>
      <c r="X533" s="118" t="s">
        <v>809</v>
      </c>
      <c r="Y533" s="118" t="s">
        <v>75</v>
      </c>
      <c r="Z533" s="118" t="s">
        <v>75</v>
      </c>
    </row>
    <row r="534" spans="3:26" ht="24" x14ac:dyDescent="0.2">
      <c r="C534"/>
      <c r="D534" s="544" t="s">
        <v>432</v>
      </c>
      <c r="E534" s="1024"/>
      <c r="F534" s="1025"/>
      <c r="G534" s="1026"/>
      <c r="H534" s="218" t="s">
        <v>794</v>
      </c>
      <c r="I534" s="1027" t="s">
        <v>716</v>
      </c>
      <c r="J534" s="962"/>
      <c r="K534" s="1028"/>
      <c r="L534" s="559"/>
      <c r="M534" s="519"/>
      <c r="N534" s="168"/>
      <c r="O534" s="119" t="s">
        <v>810</v>
      </c>
      <c r="P534" s="171">
        <v>0.1</v>
      </c>
      <c r="Q534" s="172">
        <v>0.03</v>
      </c>
      <c r="R534" s="173">
        <v>1.5999999999991132E-2</v>
      </c>
      <c r="S534" s="123"/>
      <c r="T534" s="119">
        <v>6.0999999999991131E-2</v>
      </c>
      <c r="U534" s="172">
        <v>-14.17</v>
      </c>
      <c r="V534" s="171">
        <v>91.8</v>
      </c>
      <c r="W534" s="174">
        <v>2</v>
      </c>
      <c r="X534" s="157">
        <v>28.34</v>
      </c>
      <c r="Y534" s="124"/>
      <c r="Z534" s="124"/>
    </row>
    <row r="535" spans="3:26" ht="24" x14ac:dyDescent="0.2">
      <c r="C535"/>
      <c r="D535" s="546" t="s">
        <v>433</v>
      </c>
      <c r="E535" s="1036">
        <v>55.3</v>
      </c>
      <c r="F535" s="1037"/>
      <c r="G535" s="1038"/>
      <c r="H535" s="218" t="s">
        <v>795</v>
      </c>
      <c r="I535" s="1029"/>
      <c r="J535" s="964"/>
      <c r="K535" s="1030"/>
      <c r="L535" s="559"/>
      <c r="M535" s="519"/>
      <c r="N535" s="168"/>
      <c r="O535" s="125"/>
      <c r="P535" s="125"/>
      <c r="Q535" s="125"/>
      <c r="R535" s="126"/>
      <c r="S535" s="127"/>
      <c r="T535" s="125"/>
      <c r="U535" s="125"/>
      <c r="V535" s="125"/>
      <c r="W535" s="127"/>
      <c r="X535" s="127"/>
      <c r="Y535" s="128"/>
      <c r="Z535" s="128"/>
    </row>
    <row r="536" spans="3:26" ht="24" x14ac:dyDescent="0.2">
      <c r="C536"/>
      <c r="D536" s="546" t="s">
        <v>434</v>
      </c>
      <c r="E536" s="1036">
        <v>55.2</v>
      </c>
      <c r="F536" s="1037"/>
      <c r="G536" s="1038"/>
      <c r="H536" s="219"/>
      <c r="I536" s="1029"/>
      <c r="J536" s="964"/>
      <c r="K536" s="1030"/>
      <c r="L536" s="559"/>
      <c r="M536" s="519"/>
      <c r="N536" s="168"/>
      <c r="O536" s="129" t="s">
        <v>811</v>
      </c>
      <c r="P536" s="176">
        <v>0.1</v>
      </c>
      <c r="Q536" s="177">
        <v>5.7000000000000002E-2</v>
      </c>
      <c r="R536" s="178">
        <v>7.0000000000000007E-2</v>
      </c>
      <c r="S536" s="133">
        <v>1</v>
      </c>
      <c r="T536" s="129">
        <v>0.15550000000000003</v>
      </c>
      <c r="U536" s="134">
        <v>-36.121885245906896</v>
      </c>
      <c r="V536" s="135">
        <v>60.5</v>
      </c>
      <c r="W536" s="179">
        <v>2.74</v>
      </c>
      <c r="X536" s="137">
        <v>98.973965573784895</v>
      </c>
      <c r="Y536" s="138"/>
      <c r="Z536" s="138">
        <v>4.4350000000000005</v>
      </c>
    </row>
    <row r="537" spans="3:26" ht="25" thickBot="1" x14ac:dyDescent="0.25">
      <c r="C537"/>
      <c r="D537" s="547" t="s">
        <v>435</v>
      </c>
      <c r="E537" s="1039">
        <v>0.625</v>
      </c>
      <c r="F537" s="1040"/>
      <c r="G537" s="1041"/>
      <c r="H537" s="219"/>
      <c r="I537" s="1029"/>
      <c r="J537" s="964"/>
      <c r="K537" s="1030"/>
      <c r="L537" s="560">
        <v>0.85416666666666663</v>
      </c>
      <c r="M537" s="520">
        <v>0.70833333333333326</v>
      </c>
      <c r="N537" s="168"/>
      <c r="O537" s="139" t="s">
        <v>812</v>
      </c>
      <c r="P537" s="180">
        <v>0.1</v>
      </c>
      <c r="Q537" s="160">
        <v>0.106</v>
      </c>
      <c r="R537" s="181">
        <v>7.0000000000000007E-2</v>
      </c>
      <c r="S537" s="143">
        <v>1</v>
      </c>
      <c r="T537" s="182">
        <v>0.22900000000000001</v>
      </c>
      <c r="U537" s="144">
        <v>-53.195573770499543</v>
      </c>
      <c r="V537" s="145">
        <v>60.5</v>
      </c>
      <c r="W537" s="183">
        <v>2.94</v>
      </c>
      <c r="X537" s="147">
        <v>156.39498688526865</v>
      </c>
      <c r="Y537" s="148"/>
      <c r="Z537" s="148"/>
    </row>
    <row r="538" spans="3:26" ht="25" thickBot="1" x14ac:dyDescent="0.25">
      <c r="C538"/>
      <c r="D538" s="549" t="s">
        <v>436</v>
      </c>
      <c r="E538" s="93" t="s">
        <v>29</v>
      </c>
      <c r="F538" s="93" t="s">
        <v>28</v>
      </c>
      <c r="G538" s="94" t="s">
        <v>27</v>
      </c>
      <c r="H538" s="219" t="s">
        <v>793</v>
      </c>
      <c r="I538" s="1029"/>
      <c r="J538" s="964"/>
      <c r="K538" s="1030"/>
      <c r="L538" s="559"/>
      <c r="M538" s="519"/>
      <c r="N538" s="168"/>
      <c r="O538" s="127"/>
      <c r="P538" s="149"/>
      <c r="Q538" s="127"/>
      <c r="R538" s="127"/>
      <c r="S538" s="127"/>
      <c r="T538" s="127"/>
      <c r="U538" s="150"/>
      <c r="V538" s="151"/>
      <c r="W538" s="127"/>
      <c r="X538" s="150"/>
      <c r="Y538" s="128"/>
      <c r="Z538" s="128"/>
    </row>
    <row r="539" spans="3:26" ht="24" x14ac:dyDescent="0.2">
      <c r="C539"/>
      <c r="D539" s="550">
        <v>45589</v>
      </c>
      <c r="E539" s="223">
        <v>55.3</v>
      </c>
      <c r="F539" s="223" t="s">
        <v>604</v>
      </c>
      <c r="G539" s="223">
        <v>55.2</v>
      </c>
      <c r="H539" s="220">
        <v>0.58333333333333337</v>
      </c>
      <c r="I539" s="1029"/>
      <c r="J539" s="964"/>
      <c r="K539" s="1030"/>
      <c r="L539" s="559"/>
      <c r="M539" s="519"/>
      <c r="N539" s="168"/>
      <c r="O539" s="152"/>
      <c r="P539" s="128"/>
      <c r="Q539" s="152"/>
      <c r="R539" s="152"/>
      <c r="S539" s="152"/>
      <c r="T539" s="152"/>
      <c r="U539" s="152"/>
      <c r="V539" s="152"/>
      <c r="W539" s="152"/>
      <c r="X539" s="152"/>
      <c r="Y539" s="128"/>
      <c r="Z539" s="128"/>
    </row>
    <row r="540" spans="3:26" ht="24" x14ac:dyDescent="0.2">
      <c r="C540"/>
      <c r="D540" s="550">
        <v>45568</v>
      </c>
      <c r="E540" s="223">
        <v>55.2</v>
      </c>
      <c r="F540" s="223" t="s">
        <v>759</v>
      </c>
      <c r="G540" s="223">
        <v>55.7</v>
      </c>
      <c r="H540" s="220">
        <v>0.58333333333333337</v>
      </c>
      <c r="I540" s="1029"/>
      <c r="J540" s="964"/>
      <c r="K540" s="1030"/>
      <c r="L540" s="559"/>
      <c r="M540" s="519"/>
      <c r="N540" s="168"/>
      <c r="O540" s="119" t="s">
        <v>813</v>
      </c>
      <c r="P540" s="171">
        <v>0.1</v>
      </c>
      <c r="Q540" s="153">
        <v>8.1500000000000003E-2</v>
      </c>
      <c r="R540" s="154">
        <v>7.0000000000000007E-2</v>
      </c>
      <c r="S540" s="123">
        <v>1</v>
      </c>
      <c r="T540" s="129">
        <v>0.19225</v>
      </c>
      <c r="U540" s="155">
        <v>-44.658729508203216</v>
      </c>
      <c r="V540" s="156">
        <v>60.5</v>
      </c>
      <c r="W540" s="123">
        <v>2</v>
      </c>
      <c r="X540" s="157">
        <v>89.317459016406431</v>
      </c>
      <c r="Y540" s="158"/>
      <c r="Z540" s="158"/>
    </row>
    <row r="541" spans="3:26" ht="24" x14ac:dyDescent="0.2">
      <c r="C541"/>
      <c r="D541" s="550">
        <v>45558</v>
      </c>
      <c r="E541" s="223">
        <v>55.4</v>
      </c>
      <c r="F541" s="223" t="s">
        <v>585</v>
      </c>
      <c r="G541" s="223">
        <v>55.7</v>
      </c>
      <c r="H541" s="220">
        <v>0.58333333333333337</v>
      </c>
      <c r="I541" s="1029"/>
      <c r="J541" s="964"/>
      <c r="K541" s="1030"/>
      <c r="L541" s="562"/>
      <c r="M541" s="519"/>
      <c r="N541" s="168"/>
      <c r="O541" s="119"/>
      <c r="P541" s="119"/>
      <c r="Q541" s="153"/>
      <c r="R541" s="154"/>
      <c r="S541" s="123"/>
      <c r="T541" s="171"/>
      <c r="U541" s="155"/>
      <c r="V541" s="156"/>
      <c r="W541" s="123"/>
      <c r="X541" s="157"/>
      <c r="Y541" s="158"/>
      <c r="Z541" s="158"/>
    </row>
    <row r="542" spans="3:26" ht="24" x14ac:dyDescent="0.2">
      <c r="C542"/>
      <c r="D542" s="550">
        <v>45540</v>
      </c>
      <c r="E542" s="223">
        <v>55.7</v>
      </c>
      <c r="F542" s="223" t="s">
        <v>586</v>
      </c>
      <c r="G542" s="223">
        <v>55</v>
      </c>
      <c r="H542" s="220">
        <v>0.58333333333333337</v>
      </c>
      <c r="I542" s="1029"/>
      <c r="J542" s="964"/>
      <c r="K542" s="1030"/>
      <c r="L542" s="559"/>
      <c r="M542" s="519"/>
      <c r="N542" s="168"/>
      <c r="O542" s="119" t="s">
        <v>816</v>
      </c>
      <c r="P542" s="120"/>
      <c r="Q542" s="153"/>
      <c r="R542" s="154"/>
      <c r="S542" s="123"/>
      <c r="T542" s="120"/>
      <c r="U542" s="155">
        <v>0</v>
      </c>
      <c r="V542" s="156"/>
      <c r="W542" s="123"/>
      <c r="X542" s="157">
        <v>0</v>
      </c>
      <c r="Y542" s="158"/>
      <c r="Z542" s="158"/>
    </row>
    <row r="543" spans="3:26" ht="24" x14ac:dyDescent="0.2">
      <c r="C543"/>
      <c r="D543" s="550">
        <v>45526</v>
      </c>
      <c r="E543" s="223">
        <v>55.2</v>
      </c>
      <c r="F543" s="223" t="s">
        <v>587</v>
      </c>
      <c r="G543" s="223">
        <v>55</v>
      </c>
      <c r="H543" s="220">
        <v>0.58333333333333337</v>
      </c>
      <c r="I543" s="1029"/>
      <c r="J543" s="964"/>
      <c r="K543" s="1030"/>
      <c r="L543" s="559"/>
      <c r="M543" s="519"/>
      <c r="N543" s="168"/>
      <c r="O543" s="89"/>
      <c r="P543" s="89"/>
      <c r="Q543" s="89"/>
      <c r="R543" s="89"/>
      <c r="S543" s="89"/>
      <c r="T543" s="89"/>
      <c r="U543" s="89"/>
      <c r="V543" s="89"/>
      <c r="W543" s="89"/>
      <c r="X543" s="89"/>
      <c r="Y543" s="89"/>
      <c r="Z543" s="89"/>
    </row>
    <row r="544" spans="3:26" ht="25" thickBot="1" x14ac:dyDescent="0.25">
      <c r="C544"/>
      <c r="D544" s="550">
        <v>45509</v>
      </c>
      <c r="E544" s="223">
        <v>55</v>
      </c>
      <c r="F544" s="223" t="s">
        <v>589</v>
      </c>
      <c r="G544" s="223">
        <v>55.3</v>
      </c>
      <c r="H544" s="220">
        <v>0.58333333333333337</v>
      </c>
      <c r="I544" s="1079"/>
      <c r="J544" s="1080"/>
      <c r="K544" s="1081"/>
      <c r="L544" s="559"/>
      <c r="M544" s="519"/>
      <c r="N544" s="168"/>
      <c r="O544" s="89"/>
      <c r="P544" s="89"/>
      <c r="Q544" s="89"/>
      <c r="R544" s="89"/>
      <c r="S544" s="89"/>
      <c r="T544" s="89"/>
      <c r="U544" s="89"/>
      <c r="V544" s="89"/>
      <c r="W544" s="89"/>
      <c r="X544" s="89"/>
      <c r="Y544" s="89"/>
      <c r="Z544" s="89"/>
    </row>
    <row r="545" spans="3:26" ht="49" thickBot="1" x14ac:dyDescent="0.25">
      <c r="C545">
        <v>4</v>
      </c>
      <c r="D545" s="552" t="s">
        <v>30</v>
      </c>
      <c r="E545" s="1052" t="s">
        <v>920</v>
      </c>
      <c r="F545" s="1053"/>
      <c r="G545" s="1054"/>
      <c r="H545" s="221" t="s">
        <v>790</v>
      </c>
      <c r="I545" s="1076" t="s">
        <v>633</v>
      </c>
      <c r="J545" s="1077"/>
      <c r="K545" s="1078"/>
      <c r="L545" s="558" t="s">
        <v>430</v>
      </c>
      <c r="M545" s="521" t="s">
        <v>431</v>
      </c>
      <c r="N545" s="168" t="s">
        <v>105</v>
      </c>
      <c r="O545" s="118" t="s">
        <v>800</v>
      </c>
      <c r="P545" s="118" t="s">
        <v>801</v>
      </c>
      <c r="Q545" s="118" t="s">
        <v>802</v>
      </c>
      <c r="R545" s="118" t="s">
        <v>803</v>
      </c>
      <c r="S545" s="118" t="s">
        <v>804</v>
      </c>
      <c r="T545" s="118" t="s">
        <v>805</v>
      </c>
      <c r="U545" s="118" t="s">
        <v>806</v>
      </c>
      <c r="V545" s="118" t="s">
        <v>807</v>
      </c>
      <c r="W545" s="118" t="s">
        <v>808</v>
      </c>
      <c r="X545" s="118" t="s">
        <v>809</v>
      </c>
      <c r="Y545" s="118" t="s">
        <v>75</v>
      </c>
      <c r="Z545" s="118" t="s">
        <v>75</v>
      </c>
    </row>
    <row r="546" spans="3:26" ht="24" x14ac:dyDescent="0.2">
      <c r="C546"/>
      <c r="D546" s="544" t="s">
        <v>432</v>
      </c>
      <c r="E546" s="1024"/>
      <c r="F546" s="1025"/>
      <c r="G546" s="1026"/>
      <c r="H546" s="218" t="s">
        <v>794</v>
      </c>
      <c r="I546" s="1027" t="s">
        <v>921</v>
      </c>
      <c r="J546" s="962"/>
      <c r="K546" s="1028"/>
      <c r="L546" s="559"/>
      <c r="M546" s="519"/>
      <c r="N546" s="168"/>
      <c r="O546" s="119" t="s">
        <v>810</v>
      </c>
      <c r="P546" s="171">
        <v>0.1</v>
      </c>
      <c r="Q546" s="172">
        <v>0.03</v>
      </c>
      <c r="R546" s="173">
        <v>1.5999999999991132E-2</v>
      </c>
      <c r="S546" s="123"/>
      <c r="T546" s="119">
        <v>6.0999999999991131E-2</v>
      </c>
      <c r="U546" s="172">
        <v>-14.17</v>
      </c>
      <c r="V546" s="171">
        <v>91.8</v>
      </c>
      <c r="W546" s="174">
        <v>2</v>
      </c>
      <c r="X546" s="157">
        <v>28.34</v>
      </c>
      <c r="Y546" s="124"/>
      <c r="Z546" s="124"/>
    </row>
    <row r="547" spans="3:26" ht="24" x14ac:dyDescent="0.2">
      <c r="C547"/>
      <c r="D547" s="546" t="s">
        <v>433</v>
      </c>
      <c r="E547" s="1036">
        <v>53.3</v>
      </c>
      <c r="F547" s="1037"/>
      <c r="G547" s="1038"/>
      <c r="H547" s="218" t="s">
        <v>795</v>
      </c>
      <c r="I547" s="1029"/>
      <c r="J547" s="964"/>
      <c r="K547" s="1030"/>
      <c r="L547" s="559"/>
      <c r="M547" s="519"/>
      <c r="N547" s="168"/>
      <c r="O547" s="125"/>
      <c r="P547" s="125"/>
      <c r="Q547" s="125"/>
      <c r="R547" s="126"/>
      <c r="S547" s="127"/>
      <c r="T547" s="125"/>
      <c r="U547" s="125"/>
      <c r="V547" s="125"/>
      <c r="W547" s="127"/>
      <c r="X547" s="127"/>
      <c r="Y547" s="128"/>
      <c r="Z547" s="128"/>
    </row>
    <row r="548" spans="3:26" ht="24" x14ac:dyDescent="0.2">
      <c r="C548"/>
      <c r="D548" s="546" t="s">
        <v>434</v>
      </c>
      <c r="E548" s="1036">
        <v>54.9</v>
      </c>
      <c r="F548" s="1037"/>
      <c r="G548" s="1038"/>
      <c r="H548" s="219"/>
      <c r="I548" s="1029"/>
      <c r="J548" s="964"/>
      <c r="K548" s="1030"/>
      <c r="L548" s="559"/>
      <c r="M548" s="519"/>
      <c r="N548" s="168"/>
      <c r="O548" s="129" t="s">
        <v>811</v>
      </c>
      <c r="P548" s="176">
        <v>0.05</v>
      </c>
      <c r="Q548" s="177">
        <v>7.51E-2</v>
      </c>
      <c r="R548" s="178">
        <v>7.0000000000000007E-2</v>
      </c>
      <c r="S548" s="133">
        <v>1</v>
      </c>
      <c r="T548" s="129">
        <v>0.18265000000000001</v>
      </c>
      <c r="U548" s="134">
        <v>-21.214348360658821</v>
      </c>
      <c r="V548" s="135">
        <v>30.25</v>
      </c>
      <c r="W548" s="179">
        <v>2.94</v>
      </c>
      <c r="X548" s="137">
        <v>62.370184180336935</v>
      </c>
      <c r="Y548" s="138"/>
      <c r="Z548" s="138">
        <v>4.4350000000000005</v>
      </c>
    </row>
    <row r="549" spans="3:26" ht="25" thickBot="1" x14ac:dyDescent="0.25">
      <c r="C549"/>
      <c r="D549" s="547" t="s">
        <v>435</v>
      </c>
      <c r="E549" s="1039">
        <v>0.625</v>
      </c>
      <c r="F549" s="1040"/>
      <c r="G549" s="1041"/>
      <c r="H549" s="219"/>
      <c r="I549" s="1029"/>
      <c r="J549" s="964"/>
      <c r="K549" s="1030"/>
      <c r="L549" s="560">
        <v>0.85416666666666663</v>
      </c>
      <c r="M549" s="520">
        <v>0.70833333333333326</v>
      </c>
      <c r="N549" s="168"/>
      <c r="O549" s="139" t="s">
        <v>812</v>
      </c>
      <c r="P549" s="180">
        <v>0.05</v>
      </c>
      <c r="Q549" s="160">
        <v>0.10166666666666667</v>
      </c>
      <c r="R549" s="181">
        <v>7.0000000000000007E-2</v>
      </c>
      <c r="S549" s="143">
        <v>1</v>
      </c>
      <c r="T549" s="182">
        <v>0.2225</v>
      </c>
      <c r="U549" s="144">
        <v>-25.842827868856215</v>
      </c>
      <c r="V549" s="145">
        <v>30.25</v>
      </c>
      <c r="W549" s="183">
        <v>3.19</v>
      </c>
      <c r="X549" s="147">
        <v>82.438620901651319</v>
      </c>
      <c r="Y549" s="148"/>
      <c r="Z549" s="148"/>
    </row>
    <row r="550" spans="3:26" ht="25" thickBot="1" x14ac:dyDescent="0.25">
      <c r="C550"/>
      <c r="D550" s="549" t="s">
        <v>436</v>
      </c>
      <c r="E550" s="93" t="s">
        <v>29</v>
      </c>
      <c r="F550" s="93" t="s">
        <v>28</v>
      </c>
      <c r="G550" s="94" t="s">
        <v>27</v>
      </c>
      <c r="H550" s="219" t="s">
        <v>793</v>
      </c>
      <c r="I550" s="1029"/>
      <c r="J550" s="964"/>
      <c r="K550" s="1030"/>
      <c r="L550" s="559"/>
      <c r="M550" s="519"/>
      <c r="N550" s="168"/>
      <c r="O550" s="127"/>
      <c r="P550" s="149"/>
      <c r="Q550" s="127"/>
      <c r="R550" s="127"/>
      <c r="S550" s="127"/>
      <c r="T550" s="127"/>
      <c r="U550" s="150"/>
      <c r="V550" s="151"/>
      <c r="W550" s="127"/>
      <c r="X550" s="150"/>
      <c r="Y550" s="128"/>
      <c r="Z550" s="128"/>
    </row>
    <row r="551" spans="3:26" ht="24" x14ac:dyDescent="0.2">
      <c r="C551"/>
      <c r="D551" s="550">
        <v>45568</v>
      </c>
      <c r="E551" s="223">
        <v>54.9</v>
      </c>
      <c r="F551" s="223" t="s">
        <v>506</v>
      </c>
      <c r="G551" s="223">
        <v>51.5</v>
      </c>
      <c r="H551" s="220">
        <v>0.58333333333333337</v>
      </c>
      <c r="I551" s="1029"/>
      <c r="J551" s="964"/>
      <c r="K551" s="1030"/>
      <c r="L551" s="559"/>
      <c r="M551" s="519"/>
      <c r="N551" s="168"/>
      <c r="O551" s="152"/>
      <c r="P551" s="128"/>
      <c r="Q551" s="152"/>
      <c r="R551" s="152"/>
      <c r="S551" s="152"/>
      <c r="T551" s="152"/>
      <c r="U551" s="152"/>
      <c r="V551" s="152"/>
      <c r="W551" s="152"/>
      <c r="X551" s="152"/>
      <c r="Y551" s="128"/>
      <c r="Z551" s="128"/>
    </row>
    <row r="552" spans="3:26" ht="24" x14ac:dyDescent="0.2">
      <c r="C552"/>
      <c r="D552" s="550">
        <v>45540</v>
      </c>
      <c r="E552" s="223">
        <v>51.5</v>
      </c>
      <c r="F552" s="223" t="s">
        <v>594</v>
      </c>
      <c r="G552" s="223">
        <v>51.4</v>
      </c>
      <c r="H552" s="220">
        <v>0.58333333333333337</v>
      </c>
      <c r="I552" s="1029"/>
      <c r="J552" s="964"/>
      <c r="K552" s="1030"/>
      <c r="L552" s="559"/>
      <c r="M552" s="519"/>
      <c r="N552" s="168"/>
      <c r="O552" s="119" t="s">
        <v>813</v>
      </c>
      <c r="P552" s="171">
        <v>-0.05</v>
      </c>
      <c r="Q552" s="153">
        <v>8.8383333333333342E-2</v>
      </c>
      <c r="R552" s="154">
        <v>7.0000000000000007E-2</v>
      </c>
      <c r="S552" s="123">
        <v>-1</v>
      </c>
      <c r="T552" s="129">
        <v>0.20257500000000001</v>
      </c>
      <c r="U552" s="155">
        <v>-23.528588114757518</v>
      </c>
      <c r="V552" s="156">
        <v>-30.25</v>
      </c>
      <c r="W552" s="123">
        <v>2.5</v>
      </c>
      <c r="X552" s="157">
        <v>58.821470286893799</v>
      </c>
      <c r="Y552" s="158"/>
      <c r="Z552" s="158"/>
    </row>
    <row r="553" spans="3:26" ht="24" x14ac:dyDescent="0.2">
      <c r="C553"/>
      <c r="D553" s="550">
        <v>45509</v>
      </c>
      <c r="E553" s="223">
        <v>51.4</v>
      </c>
      <c r="F553" s="223" t="s">
        <v>595</v>
      </c>
      <c r="G553" s="223">
        <v>48.8</v>
      </c>
      <c r="H553" s="220">
        <v>0.58333333333333337</v>
      </c>
      <c r="I553" s="1029"/>
      <c r="J553" s="964"/>
      <c r="K553" s="1030"/>
      <c r="L553" s="562"/>
      <c r="M553" s="519"/>
      <c r="N553" s="168"/>
      <c r="O553" s="119" t="s">
        <v>813</v>
      </c>
      <c r="P553" s="171">
        <v>0.05</v>
      </c>
      <c r="Q553" s="153">
        <v>8.8383333333333342E-2</v>
      </c>
      <c r="R553" s="154">
        <v>7.0000000000000007E-2</v>
      </c>
      <c r="S553" s="123">
        <v>1</v>
      </c>
      <c r="T553" s="129">
        <v>0.20257500000000001</v>
      </c>
      <c r="U553" s="155">
        <v>-23.528588114757518</v>
      </c>
      <c r="V553" s="156">
        <v>30.25</v>
      </c>
      <c r="W553" s="123">
        <v>2.5</v>
      </c>
      <c r="X553" s="157">
        <v>58.821470286893799</v>
      </c>
      <c r="Y553" s="158"/>
      <c r="Z553" s="158"/>
    </row>
    <row r="554" spans="3:26" ht="24" x14ac:dyDescent="0.2">
      <c r="C554"/>
      <c r="D554" s="550">
        <v>45476</v>
      </c>
      <c r="E554" s="223">
        <v>48.8</v>
      </c>
      <c r="F554" s="223" t="s">
        <v>596</v>
      </c>
      <c r="G554" s="223">
        <v>53.8</v>
      </c>
      <c r="H554" s="220">
        <v>0.58333333333333337</v>
      </c>
      <c r="I554" s="1029"/>
      <c r="J554" s="964"/>
      <c r="K554" s="1030"/>
      <c r="L554" s="559"/>
      <c r="M554" s="519"/>
      <c r="N554" s="168"/>
      <c r="O554" s="119" t="s">
        <v>816</v>
      </c>
      <c r="P554" s="120"/>
      <c r="Q554" s="153"/>
      <c r="R554" s="154"/>
      <c r="S554" s="123"/>
      <c r="T554" s="120"/>
      <c r="U554" s="155"/>
      <c r="V554" s="156"/>
      <c r="W554" s="123"/>
      <c r="X554" s="157"/>
      <c r="Y554" s="158"/>
      <c r="Z554" s="158"/>
    </row>
    <row r="555" spans="3:26" ht="24" x14ac:dyDescent="0.2">
      <c r="C555"/>
      <c r="D555" s="550">
        <v>45448</v>
      </c>
      <c r="E555" s="223">
        <v>53.8</v>
      </c>
      <c r="F555" s="223" t="s">
        <v>597</v>
      </c>
      <c r="G555" s="223">
        <v>49.4</v>
      </c>
      <c r="H555" s="220">
        <v>0.58333333333333337</v>
      </c>
      <c r="I555" s="1029"/>
      <c r="J555" s="964"/>
      <c r="K555" s="1030"/>
      <c r="L555" s="559"/>
      <c r="M555" s="519"/>
      <c r="N555" s="168"/>
      <c r="O555" s="89"/>
      <c r="P555" s="89"/>
      <c r="Q555" s="89"/>
      <c r="R555" s="89"/>
      <c r="S555" s="89"/>
      <c r="T555" s="89"/>
      <c r="U555" s="89"/>
      <c r="V555" s="89"/>
      <c r="W555" s="89"/>
      <c r="X555" s="89"/>
      <c r="Y555" s="89"/>
      <c r="Z555" s="89"/>
    </row>
    <row r="556" spans="3:26" ht="25" thickBot="1" x14ac:dyDescent="0.25">
      <c r="C556"/>
      <c r="D556" s="550">
        <v>45415</v>
      </c>
      <c r="E556" s="223">
        <v>49.4</v>
      </c>
      <c r="F556" s="223" t="s">
        <v>599</v>
      </c>
      <c r="G556" s="223">
        <v>51.4</v>
      </c>
      <c r="H556" s="220">
        <v>0.58333333333333337</v>
      </c>
      <c r="I556" s="1079"/>
      <c r="J556" s="1080"/>
      <c r="K556" s="1081"/>
      <c r="L556" s="559"/>
      <c r="M556" s="519"/>
      <c r="N556" s="168"/>
      <c r="O556" s="89"/>
      <c r="P556" s="89"/>
      <c r="Q556" s="89"/>
      <c r="R556" s="89"/>
      <c r="S556" s="89"/>
      <c r="T556" s="89"/>
      <c r="U556" s="89"/>
      <c r="V556" s="89"/>
      <c r="W556" s="89"/>
      <c r="X556" s="89"/>
      <c r="Y556" s="89"/>
      <c r="Z556" s="89"/>
    </row>
    <row r="557" spans="3:26" ht="49" thickBot="1" x14ac:dyDescent="0.25">
      <c r="C557">
        <v>5</v>
      </c>
      <c r="D557" s="552" t="s">
        <v>30</v>
      </c>
      <c r="E557" s="1052" t="s">
        <v>922</v>
      </c>
      <c r="F557" s="1053"/>
      <c r="G557" s="1054"/>
      <c r="H557" s="221" t="s">
        <v>790</v>
      </c>
      <c r="I557" s="1076" t="s">
        <v>633</v>
      </c>
      <c r="J557" s="1077"/>
      <c r="K557" s="1078"/>
      <c r="L557" s="558" t="s">
        <v>430</v>
      </c>
      <c r="M557" s="521" t="s">
        <v>431</v>
      </c>
      <c r="N557" s="168" t="s">
        <v>105</v>
      </c>
      <c r="O557" s="118" t="s">
        <v>800</v>
      </c>
      <c r="P557" s="118" t="s">
        <v>801</v>
      </c>
      <c r="Q557" s="118" t="s">
        <v>802</v>
      </c>
      <c r="R557" s="118" t="s">
        <v>803</v>
      </c>
      <c r="S557" s="118" t="s">
        <v>804</v>
      </c>
      <c r="T557" s="118" t="s">
        <v>805</v>
      </c>
      <c r="U557" s="118" t="s">
        <v>806</v>
      </c>
      <c r="V557" s="118" t="s">
        <v>807</v>
      </c>
      <c r="W557" s="118" t="s">
        <v>808</v>
      </c>
      <c r="X557" s="118" t="s">
        <v>809</v>
      </c>
      <c r="Y557" s="118" t="s">
        <v>75</v>
      </c>
      <c r="Z557" s="118" t="s">
        <v>75</v>
      </c>
    </row>
    <row r="558" spans="3:26" ht="24" x14ac:dyDescent="0.2">
      <c r="C558"/>
      <c r="D558" s="544" t="s">
        <v>432</v>
      </c>
      <c r="E558" s="1024"/>
      <c r="F558" s="1025"/>
      <c r="G558" s="1026"/>
      <c r="H558" s="218" t="s">
        <v>794</v>
      </c>
      <c r="I558" s="1027" t="s">
        <v>923</v>
      </c>
      <c r="J558" s="962"/>
      <c r="K558" s="1028"/>
      <c r="L558" s="559"/>
      <c r="M558" s="519"/>
      <c r="N558" s="168"/>
      <c r="O558" s="119" t="s">
        <v>810</v>
      </c>
      <c r="P558" s="171">
        <v>0.1</v>
      </c>
      <c r="Q558" s="172">
        <v>1.2999999999999999E-2</v>
      </c>
      <c r="R558" s="173">
        <v>2.199999999999136E-2</v>
      </c>
      <c r="S558" s="123"/>
      <c r="T558" s="119">
        <v>4.1499999999991363E-2</v>
      </c>
      <c r="U558" s="172">
        <v>-10.74</v>
      </c>
      <c r="V558" s="171">
        <v>60.23</v>
      </c>
      <c r="W558" s="171"/>
      <c r="X558" s="157"/>
      <c r="Y558" s="124"/>
      <c r="Z558" s="124"/>
    </row>
    <row r="559" spans="3:26" ht="24" x14ac:dyDescent="0.2">
      <c r="C559"/>
      <c r="D559" s="546" t="s">
        <v>433</v>
      </c>
      <c r="E559" s="1036">
        <v>0</v>
      </c>
      <c r="F559" s="1037"/>
      <c r="G559" s="1038"/>
      <c r="H559" s="218" t="s">
        <v>795</v>
      </c>
      <c r="I559" s="1029"/>
      <c r="J559" s="964"/>
      <c r="K559" s="1030"/>
      <c r="L559" s="559"/>
      <c r="M559" s="519"/>
      <c r="N559" s="168"/>
      <c r="O559" s="125"/>
      <c r="P559" s="125"/>
      <c r="Q559" s="125"/>
      <c r="R559" s="126"/>
      <c r="S559" s="127"/>
      <c r="T559" s="125"/>
      <c r="U559" s="125"/>
      <c r="V559" s="125"/>
      <c r="W559" s="125"/>
      <c r="X559" s="127"/>
      <c r="Y559" s="128"/>
      <c r="Z559" s="128"/>
    </row>
    <row r="560" spans="3:26" ht="24" x14ac:dyDescent="0.2">
      <c r="C560"/>
      <c r="D560" s="546" t="s">
        <v>434</v>
      </c>
      <c r="E560" s="1036">
        <v>59.4</v>
      </c>
      <c r="F560" s="1037"/>
      <c r="G560" s="1038"/>
      <c r="H560" s="219"/>
      <c r="I560" s="1029"/>
      <c r="J560" s="964"/>
      <c r="K560" s="1030"/>
      <c r="L560" s="559"/>
      <c r="M560" s="519"/>
      <c r="N560" s="168"/>
      <c r="O560" s="129" t="s">
        <v>811</v>
      </c>
      <c r="P560" s="176">
        <v>0.1</v>
      </c>
      <c r="Q560" s="177">
        <v>9.2700000000000005E-2</v>
      </c>
      <c r="R560" s="178">
        <v>2.4E-2</v>
      </c>
      <c r="S560" s="190">
        <v>1</v>
      </c>
      <c r="T560" s="129">
        <v>0.16305</v>
      </c>
      <c r="U560" s="134">
        <v>-42.196554216876251</v>
      </c>
      <c r="V560" s="135">
        <v>60.5</v>
      </c>
      <c r="W560" s="191">
        <v>4.95</v>
      </c>
      <c r="X560" s="137">
        <v>208.87294337353745</v>
      </c>
      <c r="Y560" s="138"/>
      <c r="Z560" s="138"/>
    </row>
    <row r="561" spans="3:26" ht="25" thickBot="1" x14ac:dyDescent="0.25">
      <c r="C561"/>
      <c r="D561" s="547" t="s">
        <v>435</v>
      </c>
      <c r="E561" s="1039">
        <v>0.625</v>
      </c>
      <c r="F561" s="1040"/>
      <c r="G561" s="1041"/>
      <c r="H561" s="219"/>
      <c r="I561" s="1029"/>
      <c r="J561" s="964"/>
      <c r="K561" s="1030"/>
      <c r="L561" s="560">
        <v>0.85416666666666663</v>
      </c>
      <c r="M561" s="520">
        <v>0.70833333333333326</v>
      </c>
      <c r="N561" s="168"/>
      <c r="O561" s="139" t="s">
        <v>812</v>
      </c>
      <c r="P561" s="180">
        <v>0.1</v>
      </c>
      <c r="Q561" s="160">
        <v>0.10253333333333335</v>
      </c>
      <c r="R561" s="181">
        <v>2.4E-2</v>
      </c>
      <c r="S561" s="192">
        <v>1</v>
      </c>
      <c r="T561" s="182">
        <v>0.17780000000000001</v>
      </c>
      <c r="U561" s="144">
        <v>-46.0137831325397</v>
      </c>
      <c r="V561" s="145">
        <v>60.5</v>
      </c>
      <c r="W561" s="193">
        <v>3.5933333333333337</v>
      </c>
      <c r="X561" s="147">
        <v>165.34286072292602</v>
      </c>
      <c r="Y561" s="148"/>
      <c r="Z561" s="148"/>
    </row>
    <row r="562" spans="3:26" ht="25" thickBot="1" x14ac:dyDescent="0.25">
      <c r="C562"/>
      <c r="D562" s="549" t="s">
        <v>436</v>
      </c>
      <c r="E562" s="93" t="s">
        <v>29</v>
      </c>
      <c r="F562" s="93" t="s">
        <v>28</v>
      </c>
      <c r="G562" s="94" t="s">
        <v>27</v>
      </c>
      <c r="H562" s="219" t="s">
        <v>793</v>
      </c>
      <c r="I562" s="1029"/>
      <c r="J562" s="964"/>
      <c r="K562" s="1030"/>
      <c r="L562" s="559"/>
      <c r="M562" s="519"/>
      <c r="N562" s="168"/>
      <c r="O562" s="127"/>
      <c r="P562" s="149"/>
      <c r="Q562" s="127"/>
      <c r="R562" s="127"/>
      <c r="S562" s="194"/>
      <c r="T562" s="127"/>
      <c r="U562" s="150"/>
      <c r="V562" s="151"/>
      <c r="W562" s="195"/>
      <c r="X562" s="150"/>
      <c r="Y562" s="128"/>
      <c r="Z562" s="128"/>
    </row>
    <row r="563" spans="3:26" ht="24" x14ac:dyDescent="0.2">
      <c r="C563"/>
      <c r="D563" s="550">
        <v>45568</v>
      </c>
      <c r="E563" s="223">
        <v>59.4</v>
      </c>
      <c r="F563" s="223" t="s">
        <v>943</v>
      </c>
      <c r="G563" s="223">
        <v>57.3</v>
      </c>
      <c r="H563" s="220">
        <v>0.58333333333333337</v>
      </c>
      <c r="I563" s="1029"/>
      <c r="J563" s="964"/>
      <c r="K563" s="1030"/>
      <c r="L563" s="559"/>
      <c r="M563" s="519"/>
      <c r="N563" s="168"/>
      <c r="O563" s="152"/>
      <c r="P563" s="128"/>
      <c r="Q563" s="152"/>
      <c r="R563" s="152"/>
      <c r="S563" s="194"/>
      <c r="T563" s="152"/>
      <c r="U563" s="152"/>
      <c r="V563" s="152"/>
      <c r="W563" s="197"/>
      <c r="X563" s="152"/>
      <c r="Y563" s="128"/>
      <c r="Z563" s="128"/>
    </row>
    <row r="564" spans="3:26" ht="24" x14ac:dyDescent="0.2">
      <c r="C564"/>
      <c r="D564" s="550">
        <v>45540</v>
      </c>
      <c r="E564" s="223">
        <v>57.3</v>
      </c>
      <c r="F564" s="223" t="s">
        <v>589</v>
      </c>
      <c r="G564" s="223">
        <v>57</v>
      </c>
      <c r="H564" s="220">
        <v>0.58333333333333337</v>
      </c>
      <c r="I564" s="1029"/>
      <c r="J564" s="964"/>
      <c r="K564" s="1030"/>
      <c r="L564" s="559"/>
      <c r="M564" s="519"/>
      <c r="N564" s="168"/>
      <c r="O564" s="119" t="s">
        <v>813</v>
      </c>
      <c r="P564" s="198">
        <v>0.1</v>
      </c>
      <c r="Q564" s="153">
        <v>0.10253333333333335</v>
      </c>
      <c r="R564" s="154">
        <v>2.4E-2</v>
      </c>
      <c r="S564" s="198">
        <v>1</v>
      </c>
      <c r="T564" s="199">
        <v>0.17780000000000001</v>
      </c>
      <c r="U564" s="155">
        <v>-46.0137831325397</v>
      </c>
      <c r="V564" s="156">
        <v>60.5</v>
      </c>
      <c r="W564" s="200">
        <v>3</v>
      </c>
      <c r="X564" s="157">
        <v>138.04134939761911</v>
      </c>
      <c r="Y564" s="158"/>
      <c r="Z564" s="158"/>
    </row>
    <row r="565" spans="3:26" ht="24" x14ac:dyDescent="0.2">
      <c r="C565"/>
      <c r="D565" s="550">
        <v>45509</v>
      </c>
      <c r="E565" s="223">
        <v>57</v>
      </c>
      <c r="F565" s="223" t="s">
        <v>589</v>
      </c>
      <c r="G565" s="223">
        <v>56.3</v>
      </c>
      <c r="H565" s="220">
        <v>0.58333333333333337</v>
      </c>
      <c r="I565" s="1029"/>
      <c r="J565" s="964"/>
      <c r="K565" s="1030"/>
      <c r="L565" s="562"/>
      <c r="M565" s="519"/>
      <c r="N565" s="168"/>
      <c r="O565" s="119"/>
      <c r="P565" s="120"/>
      <c r="Q565" s="153"/>
      <c r="R565" s="154"/>
      <c r="S565" s="143"/>
      <c r="T565" s="120"/>
      <c r="U565" s="155"/>
      <c r="V565" s="156"/>
      <c r="W565" s="123"/>
      <c r="X565" s="157"/>
      <c r="Y565" s="158"/>
      <c r="Z565" s="158"/>
    </row>
    <row r="566" spans="3:26" ht="24" x14ac:dyDescent="0.2">
      <c r="C566"/>
      <c r="D566" s="550">
        <v>45476</v>
      </c>
      <c r="E566" s="223">
        <v>56.3</v>
      </c>
      <c r="F566" s="223" t="s">
        <v>602</v>
      </c>
      <c r="G566" s="223">
        <v>58.1</v>
      </c>
      <c r="H566" s="220">
        <v>0.58333333333333337</v>
      </c>
      <c r="I566" s="1029"/>
      <c r="J566" s="964"/>
      <c r="K566" s="1030"/>
      <c r="L566" s="559"/>
      <c r="M566" s="519"/>
      <c r="N566" s="168"/>
      <c r="O566" s="119"/>
      <c r="P566" s="120"/>
      <c r="Q566" s="153"/>
      <c r="R566" s="154"/>
      <c r="S566" s="123"/>
      <c r="T566" s="120"/>
      <c r="U566" s="155"/>
      <c r="V566" s="156"/>
      <c r="W566" s="123"/>
      <c r="X566" s="157"/>
      <c r="Y566" s="158"/>
      <c r="Z566" s="158"/>
    </row>
    <row r="567" spans="3:26" ht="24" x14ac:dyDescent="0.2">
      <c r="C567"/>
      <c r="D567" s="550">
        <v>45448</v>
      </c>
      <c r="E567" s="223">
        <v>58.1</v>
      </c>
      <c r="F567" s="223" t="s">
        <v>603</v>
      </c>
      <c r="G567" s="223">
        <v>59.2</v>
      </c>
      <c r="H567" s="220">
        <v>0.58333333333333337</v>
      </c>
      <c r="I567" s="1029"/>
      <c r="J567" s="964"/>
      <c r="K567" s="1030"/>
      <c r="L567" s="559"/>
      <c r="M567" s="519"/>
      <c r="N567" s="168"/>
      <c r="O567" s="89"/>
      <c r="P567" s="89"/>
      <c r="Q567" s="89"/>
      <c r="R567" s="89"/>
      <c r="S567" s="89"/>
      <c r="T567" s="89"/>
      <c r="U567" s="89"/>
      <c r="V567" s="89"/>
      <c r="W567" s="89"/>
      <c r="X567" s="89"/>
      <c r="Y567" s="89"/>
      <c r="Z567" s="89"/>
    </row>
    <row r="568" spans="3:26" ht="25" thickBot="1" x14ac:dyDescent="0.25">
      <c r="C568"/>
      <c r="D568" s="550">
        <v>45415</v>
      </c>
      <c r="E568" s="223">
        <v>59.2</v>
      </c>
      <c r="F568" s="223" t="s">
        <v>604</v>
      </c>
      <c r="G568" s="223">
        <v>53.4</v>
      </c>
      <c r="H568" s="220">
        <v>0.58333333333333337</v>
      </c>
      <c r="I568" s="1079"/>
      <c r="J568" s="1080"/>
      <c r="K568" s="1081"/>
      <c r="L568" s="559"/>
      <c r="M568" s="519"/>
      <c r="N568" s="168"/>
      <c r="O568" s="89"/>
      <c r="P568" s="89"/>
      <c r="Q568" s="89"/>
      <c r="R568" s="89"/>
      <c r="S568" s="89"/>
      <c r="T568" s="89"/>
      <c r="U568" s="89"/>
      <c r="V568" s="89"/>
      <c r="W568" s="89"/>
      <c r="X568" s="89"/>
      <c r="Y568" s="89"/>
      <c r="Z568" s="89"/>
    </row>
    <row r="569" spans="3:26" ht="49" thickBot="1" x14ac:dyDescent="0.25">
      <c r="C569">
        <v>6</v>
      </c>
      <c r="D569" s="552" t="s">
        <v>30</v>
      </c>
      <c r="E569" s="1052" t="s">
        <v>52</v>
      </c>
      <c r="F569" s="1053"/>
      <c r="G569" s="1054"/>
      <c r="H569" s="221" t="s">
        <v>790</v>
      </c>
      <c r="I569" s="1076" t="s">
        <v>633</v>
      </c>
      <c r="J569" s="1077"/>
      <c r="K569" s="1078"/>
      <c r="L569" s="558" t="s">
        <v>430</v>
      </c>
      <c r="M569" s="521" t="s">
        <v>431</v>
      </c>
      <c r="N569" s="168" t="s">
        <v>105</v>
      </c>
      <c r="O569" s="118" t="s">
        <v>800</v>
      </c>
      <c r="P569" s="118" t="s">
        <v>801</v>
      </c>
      <c r="Q569" s="118" t="s">
        <v>802</v>
      </c>
      <c r="R569" s="118" t="s">
        <v>803</v>
      </c>
      <c r="S569" s="118" t="s">
        <v>804</v>
      </c>
      <c r="T569" s="118" t="s">
        <v>805</v>
      </c>
      <c r="U569" s="118" t="s">
        <v>806</v>
      </c>
      <c r="V569" s="118" t="s">
        <v>807</v>
      </c>
      <c r="W569" s="118" t="s">
        <v>808</v>
      </c>
      <c r="X569" s="118" t="s">
        <v>809</v>
      </c>
      <c r="Y569" s="118" t="s">
        <v>75</v>
      </c>
      <c r="Z569" s="118" t="s">
        <v>75</v>
      </c>
    </row>
    <row r="570" spans="3:26" ht="24" x14ac:dyDescent="0.2">
      <c r="C570" s="89"/>
      <c r="D570" s="544" t="s">
        <v>432</v>
      </c>
      <c r="E570" s="1024"/>
      <c r="F570" s="1025"/>
      <c r="G570" s="1026"/>
      <c r="H570" s="218" t="s">
        <v>794</v>
      </c>
      <c r="I570" s="1027" t="s">
        <v>924</v>
      </c>
      <c r="J570" s="962"/>
      <c r="K570" s="1028"/>
      <c r="L570" s="559"/>
      <c r="M570" s="519"/>
      <c r="N570" s="168"/>
      <c r="O570" s="119" t="s">
        <v>810</v>
      </c>
      <c r="P570" s="171">
        <v>0.1</v>
      </c>
      <c r="Q570" s="172">
        <v>2.1999999999999999E-2</v>
      </c>
      <c r="R570" s="173">
        <v>3.0000000000001137E-2</v>
      </c>
      <c r="S570" s="123"/>
      <c r="T570" s="119">
        <v>6.3000000000001138E-2</v>
      </c>
      <c r="U570" s="172">
        <v>-15.02</v>
      </c>
      <c r="V570" s="171">
        <v>99.37</v>
      </c>
      <c r="W570" s="171"/>
      <c r="X570" s="157"/>
      <c r="Y570" s="124"/>
      <c r="Z570" s="124"/>
    </row>
    <row r="571" spans="3:26" ht="24" x14ac:dyDescent="0.2">
      <c r="C571" s="89"/>
      <c r="D571" s="546" t="s">
        <v>433</v>
      </c>
      <c r="E571" s="1036">
        <v>0</v>
      </c>
      <c r="F571" s="1037"/>
      <c r="G571" s="1038"/>
      <c r="H571" s="218" t="s">
        <v>795</v>
      </c>
      <c r="I571" s="1029"/>
      <c r="J571" s="964"/>
      <c r="K571" s="1030"/>
      <c r="L571" s="559"/>
      <c r="M571" s="519"/>
      <c r="N571" s="168"/>
      <c r="O571" s="125"/>
      <c r="P571" s="125"/>
      <c r="Q571" s="125"/>
      <c r="R571" s="126"/>
      <c r="S571" s="127"/>
      <c r="T571" s="125"/>
      <c r="U571" s="125"/>
      <c r="V571" s="125"/>
      <c r="W571" s="125"/>
      <c r="X571" s="127"/>
      <c r="Y571" s="128"/>
      <c r="Z571" s="128"/>
    </row>
    <row r="572" spans="3:26" ht="24" x14ac:dyDescent="0.2">
      <c r="C572" s="89"/>
      <c r="D572" s="546" t="s">
        <v>434</v>
      </c>
      <c r="E572" s="1082">
        <v>4.0660000000000002E-2</v>
      </c>
      <c r="F572" s="1083"/>
      <c r="G572" s="1084"/>
      <c r="H572" s="219"/>
      <c r="I572" s="1029"/>
      <c r="J572" s="964"/>
      <c r="K572" s="1030"/>
      <c r="L572" s="559"/>
      <c r="M572" s="519"/>
      <c r="N572" s="168"/>
      <c r="O572" s="129" t="s">
        <v>811</v>
      </c>
      <c r="P572" s="176">
        <v>0.1</v>
      </c>
      <c r="Q572" s="177">
        <v>5.0599999999999999E-2</v>
      </c>
      <c r="R572" s="178">
        <v>3.0000000000001137E-2</v>
      </c>
      <c r="S572" s="190">
        <v>1</v>
      </c>
      <c r="T572" s="129">
        <v>0.10590000000000113</v>
      </c>
      <c r="U572" s="134">
        <v>-25.247904761904575</v>
      </c>
      <c r="V572" s="135">
        <v>99.37</v>
      </c>
      <c r="W572" s="191">
        <v>4.26</v>
      </c>
      <c r="X572" s="137">
        <v>107.55607428571348</v>
      </c>
      <c r="Y572" s="138"/>
      <c r="Z572" s="138">
        <v>4.4350000000000005</v>
      </c>
    </row>
    <row r="573" spans="3:26" ht="25" thickBot="1" x14ac:dyDescent="0.25">
      <c r="C573" s="89"/>
      <c r="D573" s="547" t="s">
        <v>435</v>
      </c>
      <c r="E573" s="1039">
        <v>0.75</v>
      </c>
      <c r="F573" s="1040"/>
      <c r="G573" s="1041"/>
      <c r="H573" s="219"/>
      <c r="I573" s="1029"/>
      <c r="J573" s="964"/>
      <c r="K573" s="1030"/>
      <c r="L573" s="560">
        <v>0.97916666666666663</v>
      </c>
      <c r="M573" s="520">
        <v>0.83333333333333326</v>
      </c>
      <c r="N573" s="168"/>
      <c r="O573" s="139" t="s">
        <v>812</v>
      </c>
      <c r="P573" s="180">
        <v>0.1</v>
      </c>
      <c r="Q573" s="160">
        <v>6.1533333333332579E-2</v>
      </c>
      <c r="R573" s="181">
        <v>3.0000000000001137E-2</v>
      </c>
      <c r="S573" s="192">
        <v>0.5</v>
      </c>
      <c r="T573" s="182">
        <v>0.12230000000000001</v>
      </c>
      <c r="U573" s="144">
        <v>-14.578936507936245</v>
      </c>
      <c r="V573" s="145">
        <v>99.37</v>
      </c>
      <c r="W573" s="193">
        <v>2.15</v>
      </c>
      <c r="X573" s="147">
        <v>31.344713492062926</v>
      </c>
      <c r="Y573" s="148"/>
      <c r="Z573" s="148"/>
    </row>
    <row r="574" spans="3:26" ht="25" thickBot="1" x14ac:dyDescent="0.25">
      <c r="C574" s="89"/>
      <c r="D574" s="549" t="s">
        <v>436</v>
      </c>
      <c r="E574" s="93" t="s">
        <v>29</v>
      </c>
      <c r="F574" s="93" t="s">
        <v>28</v>
      </c>
      <c r="G574" s="94" t="s">
        <v>27</v>
      </c>
      <c r="H574" s="219" t="s">
        <v>793</v>
      </c>
      <c r="I574" s="1029"/>
      <c r="J574" s="964"/>
      <c r="K574" s="1030"/>
      <c r="L574" s="563"/>
      <c r="M574" s="519"/>
      <c r="N574" s="168"/>
      <c r="O574" s="127"/>
      <c r="P574" s="149"/>
      <c r="Q574" s="127"/>
      <c r="R574" s="127"/>
      <c r="S574" s="194"/>
      <c r="T574" s="127"/>
      <c r="U574" s="150"/>
      <c r="V574" s="151"/>
      <c r="W574" s="195"/>
      <c r="X574" s="150"/>
      <c r="Y574" s="128"/>
      <c r="Z574" s="128"/>
    </row>
    <row r="575" spans="3:26" ht="24" x14ac:dyDescent="0.2">
      <c r="C575" s="89"/>
      <c r="D575" s="550">
        <v>45574</v>
      </c>
      <c r="E575" s="109">
        <v>4.0660000000000002E-2</v>
      </c>
      <c r="F575" s="109" t="s">
        <v>754</v>
      </c>
      <c r="G575" s="109">
        <v>3.6479999999999999E-2</v>
      </c>
      <c r="H575" s="224">
        <v>0.70833333333333337</v>
      </c>
      <c r="I575" s="1029"/>
      <c r="J575" s="964"/>
      <c r="K575" s="1030"/>
      <c r="L575" s="563"/>
      <c r="M575" s="519"/>
      <c r="N575" s="168"/>
      <c r="O575" s="152"/>
      <c r="P575" s="128"/>
      <c r="Q575" s="152"/>
      <c r="R575" s="152"/>
      <c r="S575" s="194"/>
      <c r="T575" s="152"/>
      <c r="U575" s="152"/>
      <c r="V575" s="152"/>
      <c r="W575" s="197"/>
      <c r="X575" s="152"/>
      <c r="Y575" s="128"/>
      <c r="Z575" s="128"/>
    </row>
    <row r="576" spans="3:26" ht="24" x14ac:dyDescent="0.2">
      <c r="C576" s="89"/>
      <c r="D576" s="550">
        <v>45546</v>
      </c>
      <c r="E576" s="109">
        <v>3.6479999999999999E-2</v>
      </c>
      <c r="F576" s="109" t="s">
        <v>754</v>
      </c>
      <c r="G576" s="109">
        <v>3.9600000000000003E-2</v>
      </c>
      <c r="H576" s="224">
        <v>0.70833333333333337</v>
      </c>
      <c r="I576" s="1029"/>
      <c r="J576" s="964"/>
      <c r="K576" s="1030"/>
      <c r="L576" s="563"/>
      <c r="M576" s="519"/>
      <c r="N576" s="168"/>
      <c r="O576" s="119" t="s">
        <v>813</v>
      </c>
      <c r="P576" s="198">
        <v>0.1</v>
      </c>
      <c r="Q576" s="153">
        <v>6.1533333333332579E-2</v>
      </c>
      <c r="R576" s="154">
        <v>3.0000000000001137E-2</v>
      </c>
      <c r="S576" s="198">
        <v>1</v>
      </c>
      <c r="T576" s="199">
        <v>0.12230000000000001</v>
      </c>
      <c r="U576" s="155">
        <v>-29.157873015872489</v>
      </c>
      <c r="V576" s="156">
        <v>99.37</v>
      </c>
      <c r="W576" s="200">
        <v>2.15</v>
      </c>
      <c r="X576" s="157">
        <v>62.689426984125852</v>
      </c>
      <c r="Y576" s="158"/>
      <c r="Z576" s="158"/>
    </row>
    <row r="577" spans="3:26" ht="24" x14ac:dyDescent="0.2">
      <c r="C577" s="89"/>
      <c r="D577" s="550">
        <v>45511</v>
      </c>
      <c r="E577" s="109">
        <v>3.9600000000000003E-2</v>
      </c>
      <c r="F577" s="109" t="s">
        <v>754</v>
      </c>
      <c r="G577" s="109">
        <v>4.2759999999999999E-2</v>
      </c>
      <c r="H577" s="224">
        <v>0.70833333333333337</v>
      </c>
      <c r="I577" s="1029"/>
      <c r="J577" s="964"/>
      <c r="K577" s="1030"/>
      <c r="L577" s="563"/>
      <c r="M577" s="519"/>
      <c r="N577" s="168"/>
      <c r="O577" s="119"/>
      <c r="P577" s="120"/>
      <c r="Q577" s="153"/>
      <c r="R577" s="154"/>
      <c r="S577" s="123"/>
      <c r="T577" s="120"/>
      <c r="U577" s="155"/>
      <c r="V577" s="156"/>
      <c r="W577" s="123"/>
      <c r="X577" s="157"/>
      <c r="Y577" s="158"/>
      <c r="Z577" s="158"/>
    </row>
    <row r="578" spans="3:26" ht="24" x14ac:dyDescent="0.2">
      <c r="C578" s="89"/>
      <c r="D578" s="550">
        <v>45483</v>
      </c>
      <c r="E578" s="109">
        <v>4.2759999999999999E-2</v>
      </c>
      <c r="F578" s="109" t="s">
        <v>754</v>
      </c>
      <c r="G578" s="109">
        <v>4.4380000000000003E-2</v>
      </c>
      <c r="H578" s="224">
        <v>0.70833333333333337</v>
      </c>
      <c r="I578" s="1029"/>
      <c r="J578" s="964"/>
      <c r="K578" s="1030"/>
      <c r="L578" s="563"/>
      <c r="M578" s="519"/>
      <c r="N578" s="168"/>
      <c r="O578" s="119" t="s">
        <v>816</v>
      </c>
      <c r="P578" s="120"/>
      <c r="Q578" s="153"/>
      <c r="R578" s="154"/>
      <c r="S578" s="123"/>
      <c r="T578" s="120"/>
      <c r="U578" s="155">
        <v>0</v>
      </c>
      <c r="V578" s="156"/>
      <c r="W578" s="123"/>
      <c r="X578" s="157">
        <v>0</v>
      </c>
      <c r="Y578" s="158"/>
      <c r="Z578" s="158"/>
    </row>
    <row r="579" spans="3:26" ht="24" x14ac:dyDescent="0.2">
      <c r="C579" s="89"/>
      <c r="D579" s="550">
        <v>45454</v>
      </c>
      <c r="E579" s="109">
        <v>4.4380000000000003E-2</v>
      </c>
      <c r="F579" s="109" t="s">
        <v>754</v>
      </c>
      <c r="G579" s="109">
        <v>4.4830000000000002E-2</v>
      </c>
      <c r="H579" s="224">
        <v>0.70833333333333337</v>
      </c>
      <c r="I579" s="1029"/>
      <c r="J579" s="964"/>
      <c r="K579" s="1030"/>
      <c r="L579" s="563"/>
      <c r="M579" s="519"/>
      <c r="N579" s="168"/>
      <c r="O579" s="89"/>
      <c r="P579" s="89"/>
      <c r="Q579" s="89"/>
      <c r="R579" s="89"/>
      <c r="S579" s="89"/>
      <c r="T579" s="89"/>
      <c r="U579" s="89"/>
      <c r="V579" s="89"/>
      <c r="W579" s="89"/>
      <c r="X579" s="89"/>
      <c r="Y579" s="89"/>
      <c r="Z579" s="89"/>
    </row>
    <row r="580" spans="3:26" ht="25" thickBot="1" x14ac:dyDescent="0.25">
      <c r="C580" s="89"/>
      <c r="D580" s="550">
        <v>45420</v>
      </c>
      <c r="E580" s="109">
        <v>4.4830000000000002E-2</v>
      </c>
      <c r="F580" s="109" t="s">
        <v>754</v>
      </c>
      <c r="G580" s="109">
        <v>4.5600000000000002E-2</v>
      </c>
      <c r="H580" s="224">
        <v>0.70833333333333337</v>
      </c>
      <c r="I580" s="1079"/>
      <c r="J580" s="1080"/>
      <c r="K580" s="1081"/>
      <c r="L580" s="563"/>
      <c r="M580" s="519"/>
      <c r="N580" s="168"/>
      <c r="O580" s="89"/>
      <c r="P580" s="89"/>
      <c r="Q580" s="89"/>
      <c r="R580" s="89"/>
      <c r="S580" s="89"/>
      <c r="T580" s="89"/>
      <c r="U580" s="89"/>
      <c r="V580" s="89"/>
      <c r="W580" s="89"/>
      <c r="X580" s="89"/>
      <c r="Y580" s="89"/>
      <c r="Z580" s="89"/>
    </row>
    <row r="581" spans="3:26" ht="49" thickBot="1" x14ac:dyDescent="0.25">
      <c r="C581">
        <v>7</v>
      </c>
      <c r="D581" s="552" t="s">
        <v>30</v>
      </c>
      <c r="E581" s="1052" t="s">
        <v>9</v>
      </c>
      <c r="F581" s="1053"/>
      <c r="G581" s="1054"/>
      <c r="H581" s="221" t="s">
        <v>790</v>
      </c>
      <c r="I581" s="1076" t="s">
        <v>633</v>
      </c>
      <c r="J581" s="1077"/>
      <c r="K581" s="1078"/>
      <c r="L581" s="558" t="s">
        <v>430</v>
      </c>
      <c r="M581" s="521" t="s">
        <v>431</v>
      </c>
      <c r="N581" s="168" t="s">
        <v>105</v>
      </c>
      <c r="O581" s="118" t="s">
        <v>800</v>
      </c>
      <c r="P581" s="118" t="s">
        <v>801</v>
      </c>
      <c r="Q581" s="118" t="s">
        <v>802</v>
      </c>
      <c r="R581" s="118" t="s">
        <v>803</v>
      </c>
      <c r="S581" s="118" t="s">
        <v>804</v>
      </c>
      <c r="T581" s="118" t="s">
        <v>805</v>
      </c>
      <c r="U581" s="118" t="s">
        <v>806</v>
      </c>
      <c r="V581" s="118" t="s">
        <v>807</v>
      </c>
      <c r="W581" s="118" t="s">
        <v>808</v>
      </c>
      <c r="X581" s="118" t="s">
        <v>809</v>
      </c>
      <c r="Y581" s="118" t="s">
        <v>75</v>
      </c>
      <c r="Z581" s="118" t="s">
        <v>75</v>
      </c>
    </row>
    <row r="582" spans="3:26" ht="24" x14ac:dyDescent="0.2">
      <c r="C582" s="89"/>
      <c r="D582" s="544" t="s">
        <v>432</v>
      </c>
      <c r="E582" s="1024"/>
      <c r="F582" s="1025"/>
      <c r="G582" s="1026"/>
      <c r="H582" s="218" t="s">
        <v>796</v>
      </c>
      <c r="I582" s="1027" t="s">
        <v>926</v>
      </c>
      <c r="J582" s="962"/>
      <c r="K582" s="1028"/>
      <c r="L582" s="559"/>
      <c r="M582" s="519"/>
      <c r="N582" s="168"/>
      <c r="O582" s="119" t="s">
        <v>810</v>
      </c>
      <c r="P582" s="171">
        <v>0.1</v>
      </c>
      <c r="Q582" s="172">
        <v>2.1999999999999999E-2</v>
      </c>
      <c r="R582" s="173">
        <v>3.0000000000001137E-2</v>
      </c>
      <c r="S582" s="123"/>
      <c r="T582" s="119">
        <v>6.3000000000001138E-2</v>
      </c>
      <c r="U582" s="172">
        <v>-15.02</v>
      </c>
      <c r="V582" s="171">
        <v>99.37</v>
      </c>
      <c r="W582" s="171"/>
      <c r="X582" s="157"/>
      <c r="Y582" s="124"/>
      <c r="Z582" s="124"/>
    </row>
    <row r="583" spans="3:26" ht="24" x14ac:dyDescent="0.2">
      <c r="C583" s="89"/>
      <c r="D583" s="546" t="s">
        <v>433</v>
      </c>
      <c r="E583" s="1036">
        <v>0</v>
      </c>
      <c r="F583" s="1037"/>
      <c r="G583" s="1038"/>
      <c r="H583" s="218" t="s">
        <v>796</v>
      </c>
      <c r="I583" s="1029"/>
      <c r="J583" s="964"/>
      <c r="K583" s="1030"/>
      <c r="L583" s="559"/>
      <c r="M583" s="519"/>
      <c r="N583" s="168"/>
      <c r="O583" s="125"/>
      <c r="P583" s="125"/>
      <c r="Q583" s="125"/>
      <c r="R583" s="126"/>
      <c r="S583" s="127"/>
      <c r="T583" s="125"/>
      <c r="U583" s="125"/>
      <c r="V583" s="125"/>
      <c r="W583" s="125"/>
      <c r="X583" s="127"/>
      <c r="Y583" s="128"/>
      <c r="Z583" s="128"/>
    </row>
    <row r="584" spans="3:26" ht="24" x14ac:dyDescent="0.2">
      <c r="C584" s="89"/>
      <c r="D584" s="546" t="s">
        <v>434</v>
      </c>
      <c r="E584" s="1033" t="s">
        <v>925</v>
      </c>
      <c r="F584" s="1034"/>
      <c r="G584" s="1035"/>
      <c r="H584" s="219"/>
      <c r="I584" s="1029"/>
      <c r="J584" s="964"/>
      <c r="K584" s="1030"/>
      <c r="L584" s="559"/>
      <c r="M584" s="519"/>
      <c r="N584" s="168"/>
      <c r="O584" s="129" t="s">
        <v>811</v>
      </c>
      <c r="P584" s="176">
        <v>0.1</v>
      </c>
      <c r="Q584" s="177">
        <v>6.4100000000000004E-2</v>
      </c>
      <c r="R584" s="178">
        <v>3.0000000000001137E-2</v>
      </c>
      <c r="S584" s="190">
        <v>1</v>
      </c>
      <c r="T584" s="129">
        <v>0.12615000000000115</v>
      </c>
      <c r="U584" s="134">
        <v>-30.075761904761638</v>
      </c>
      <c r="V584" s="135">
        <v>60.5</v>
      </c>
      <c r="W584" s="191">
        <v>2.39</v>
      </c>
      <c r="X584" s="137">
        <v>71.881070952380313</v>
      </c>
      <c r="Y584" s="138"/>
      <c r="Z584" s="138"/>
    </row>
    <row r="585" spans="3:26" ht="25" thickBot="1" x14ac:dyDescent="0.25">
      <c r="C585" s="89"/>
      <c r="D585" s="547" t="s">
        <v>435</v>
      </c>
      <c r="E585" s="1085">
        <v>0.72916666666666663</v>
      </c>
      <c r="F585" s="1086"/>
      <c r="G585" s="1087"/>
      <c r="H585" s="219"/>
      <c r="I585" s="1029"/>
      <c r="J585" s="964"/>
      <c r="K585" s="1030"/>
      <c r="L585" s="560">
        <v>0.875</v>
      </c>
      <c r="M585" s="520">
        <v>0.72916666666666663</v>
      </c>
      <c r="N585" s="168"/>
      <c r="O585" s="139" t="s">
        <v>812</v>
      </c>
      <c r="P585" s="180">
        <v>0.1</v>
      </c>
      <c r="Q585" s="160">
        <v>7.6066666666665908E-2</v>
      </c>
      <c r="R585" s="181">
        <v>3.0000000000001137E-2</v>
      </c>
      <c r="S585" s="192">
        <v>1</v>
      </c>
      <c r="T585" s="182">
        <v>0.14410000000000001</v>
      </c>
      <c r="U585" s="144">
        <v>-34.355269841269219</v>
      </c>
      <c r="V585" s="145">
        <v>60.5</v>
      </c>
      <c r="W585" s="193">
        <v>2.08</v>
      </c>
      <c r="X585" s="147">
        <v>71.458961269839975</v>
      </c>
      <c r="Y585" s="148"/>
      <c r="Z585" s="148"/>
    </row>
    <row r="586" spans="3:26" ht="25" thickBot="1" x14ac:dyDescent="0.25">
      <c r="C586" s="89"/>
      <c r="D586" s="549" t="s">
        <v>436</v>
      </c>
      <c r="E586" s="93" t="s">
        <v>29</v>
      </c>
      <c r="F586" s="93" t="s">
        <v>28</v>
      </c>
      <c r="G586" s="94" t="s">
        <v>27</v>
      </c>
      <c r="H586" s="219" t="s">
        <v>793</v>
      </c>
      <c r="I586" s="1029"/>
      <c r="J586" s="964"/>
      <c r="K586" s="1030"/>
      <c r="L586" s="559"/>
      <c r="M586" s="519"/>
      <c r="N586" s="168"/>
      <c r="O586" s="127"/>
      <c r="P586" s="149"/>
      <c r="Q586" s="127"/>
      <c r="R586" s="127"/>
      <c r="S586" s="194"/>
      <c r="T586" s="127"/>
      <c r="U586" s="150"/>
      <c r="V586" s="151"/>
      <c r="W586" s="195"/>
      <c r="X586" s="150"/>
      <c r="Y586" s="128"/>
      <c r="Z586" s="128"/>
    </row>
    <row r="587" spans="3:26" ht="24" x14ac:dyDescent="0.2">
      <c r="C587" s="89"/>
      <c r="D587" s="550">
        <v>45595</v>
      </c>
      <c r="E587" s="163" t="s">
        <v>925</v>
      </c>
      <c r="F587" s="163" t="s">
        <v>939</v>
      </c>
      <c r="G587" s="163" t="s">
        <v>839</v>
      </c>
      <c r="H587" s="224">
        <v>0.6875</v>
      </c>
      <c r="I587" s="1029"/>
      <c r="J587" s="964"/>
      <c r="K587" s="1030"/>
      <c r="L587" s="563"/>
      <c r="M587" s="519"/>
      <c r="N587" s="168"/>
      <c r="O587" s="152"/>
      <c r="P587" s="128"/>
      <c r="Q587" s="152"/>
      <c r="R587" s="152"/>
      <c r="S587" s="194"/>
      <c r="T587" s="152"/>
      <c r="U587" s="152"/>
      <c r="V587" s="152"/>
      <c r="W587" s="197"/>
      <c r="X587" s="152"/>
      <c r="Y587" s="128"/>
      <c r="Z587" s="128"/>
    </row>
    <row r="588" spans="3:26" ht="24" x14ac:dyDescent="0.2">
      <c r="C588" s="89"/>
      <c r="D588" s="550">
        <v>45588</v>
      </c>
      <c r="E588" s="163" t="s">
        <v>839</v>
      </c>
      <c r="F588" s="163" t="s">
        <v>891</v>
      </c>
      <c r="G588" s="163" t="s">
        <v>699</v>
      </c>
      <c r="H588" s="225">
        <v>0.6875</v>
      </c>
      <c r="I588" s="1029"/>
      <c r="J588" s="964"/>
      <c r="K588" s="1030"/>
      <c r="L588" s="563"/>
      <c r="M588" s="519"/>
      <c r="N588" s="168"/>
      <c r="O588" s="119" t="s">
        <v>813</v>
      </c>
      <c r="P588" s="198">
        <v>0.1</v>
      </c>
      <c r="Q588" s="153">
        <v>7.6066666666665908E-2</v>
      </c>
      <c r="R588" s="154">
        <v>3.0000000000001137E-2</v>
      </c>
      <c r="S588" s="198">
        <v>1</v>
      </c>
      <c r="T588" s="199">
        <v>0.14410000000000001</v>
      </c>
      <c r="U588" s="155">
        <v>-34.355269841269219</v>
      </c>
      <c r="V588" s="156">
        <v>60.5</v>
      </c>
      <c r="W588" s="200">
        <v>2.08</v>
      </c>
      <c r="X588" s="157">
        <v>71.458961269839975</v>
      </c>
      <c r="Y588" s="158"/>
      <c r="Z588" s="158"/>
    </row>
    <row r="589" spans="3:26" ht="24" x14ac:dyDescent="0.2">
      <c r="C589" s="89"/>
      <c r="D589" s="550">
        <v>45582</v>
      </c>
      <c r="E589" s="163" t="s">
        <v>699</v>
      </c>
      <c r="F589" s="163" t="s">
        <v>731</v>
      </c>
      <c r="G589" s="163" t="s">
        <v>677</v>
      </c>
      <c r="H589" s="220">
        <v>0.70833333333333337</v>
      </c>
      <c r="I589" s="1029"/>
      <c r="J589" s="964"/>
      <c r="K589" s="1030"/>
      <c r="L589" s="563"/>
      <c r="M589" s="519"/>
      <c r="N589" s="168"/>
      <c r="O589" s="119"/>
      <c r="P589" s="120"/>
      <c r="Q589" s="153"/>
      <c r="R589" s="154"/>
      <c r="S589" s="123"/>
      <c r="T589" s="120"/>
      <c r="U589" s="155"/>
      <c r="V589" s="156"/>
      <c r="W589" s="123"/>
      <c r="X589" s="157"/>
      <c r="Y589" s="158"/>
      <c r="Z589" s="158"/>
    </row>
    <row r="590" spans="3:26" ht="24" x14ac:dyDescent="0.2">
      <c r="C590" s="89"/>
      <c r="D590" s="550">
        <v>45574</v>
      </c>
      <c r="E590" s="163" t="s">
        <v>677</v>
      </c>
      <c r="F590" s="163" t="s">
        <v>732</v>
      </c>
      <c r="G590" s="163" t="s">
        <v>637</v>
      </c>
      <c r="H590" s="225">
        <v>0.6875</v>
      </c>
      <c r="I590" s="1029"/>
      <c r="J590" s="964"/>
      <c r="K590" s="1030"/>
      <c r="L590" s="563"/>
      <c r="M590" s="519"/>
      <c r="N590" s="168"/>
      <c r="O590" s="119"/>
      <c r="P590" s="120"/>
      <c r="Q590" s="153"/>
      <c r="R590" s="154"/>
      <c r="S590" s="123"/>
      <c r="T590" s="120"/>
      <c r="U590" s="155"/>
      <c r="V590" s="156"/>
      <c r="W590" s="123"/>
      <c r="X590" s="157"/>
      <c r="Y590" s="158"/>
      <c r="Z590" s="158"/>
    </row>
    <row r="591" spans="3:26" ht="24" x14ac:dyDescent="0.2">
      <c r="C591" s="89"/>
      <c r="D591" s="550">
        <v>45567</v>
      </c>
      <c r="E591" s="163" t="s">
        <v>637</v>
      </c>
      <c r="F591" s="163" t="s">
        <v>733</v>
      </c>
      <c r="G591" s="163" t="s">
        <v>380</v>
      </c>
      <c r="H591" s="225">
        <v>0.6875</v>
      </c>
      <c r="I591" s="1029"/>
      <c r="J591" s="964"/>
      <c r="K591" s="1030"/>
      <c r="L591" s="563"/>
      <c r="M591" s="519"/>
      <c r="N591" s="168"/>
      <c r="O591" s="89"/>
      <c r="P591" s="89"/>
      <c r="Q591" s="89"/>
      <c r="R591" s="89"/>
      <c r="S591" s="89"/>
      <c r="T591" s="89"/>
      <c r="U591" s="89"/>
      <c r="V591" s="89"/>
      <c r="W591" s="89"/>
      <c r="X591" s="89"/>
      <c r="Y591" s="89"/>
      <c r="Z591" s="89"/>
    </row>
    <row r="592" spans="3:26" ht="25" thickBot="1" x14ac:dyDescent="0.25">
      <c r="C592" s="89"/>
      <c r="D592" s="550">
        <v>45560</v>
      </c>
      <c r="E592" s="163" t="s">
        <v>380</v>
      </c>
      <c r="F592" s="163" t="s">
        <v>564</v>
      </c>
      <c r="G592" s="163" t="s">
        <v>337</v>
      </c>
      <c r="H592" s="225">
        <v>0.6875</v>
      </c>
      <c r="I592" s="1079"/>
      <c r="J592" s="1080"/>
      <c r="K592" s="1081"/>
      <c r="L592" s="563"/>
      <c r="M592" s="519"/>
      <c r="N592" s="168"/>
      <c r="O592" s="89"/>
      <c r="P592" s="89"/>
      <c r="Q592" s="89"/>
      <c r="R592" s="89"/>
      <c r="S592" s="89"/>
      <c r="T592" s="89"/>
      <c r="U592" s="89"/>
      <c r="V592" s="89"/>
      <c r="W592" s="89"/>
      <c r="X592" s="89"/>
      <c r="Y592" s="89"/>
      <c r="Z592" s="89"/>
    </row>
    <row r="593" spans="3:26" ht="49" thickBot="1" x14ac:dyDescent="0.25">
      <c r="C593">
        <v>8</v>
      </c>
      <c r="D593" s="552" t="s">
        <v>30</v>
      </c>
      <c r="E593" s="1052" t="s">
        <v>927</v>
      </c>
      <c r="F593" s="1053"/>
      <c r="G593" s="1054"/>
      <c r="H593" s="221" t="s">
        <v>790</v>
      </c>
      <c r="I593" s="1076" t="s">
        <v>633</v>
      </c>
      <c r="J593" s="1077"/>
      <c r="K593" s="1078"/>
      <c r="L593" s="558" t="s">
        <v>430</v>
      </c>
      <c r="M593" s="521" t="s">
        <v>431</v>
      </c>
      <c r="N593" s="168" t="s">
        <v>105</v>
      </c>
      <c r="O593" s="118" t="s">
        <v>800</v>
      </c>
      <c r="P593" s="118" t="s">
        <v>801</v>
      </c>
      <c r="Q593" s="118" t="s">
        <v>802</v>
      </c>
      <c r="R593" s="118" t="s">
        <v>803</v>
      </c>
      <c r="S593" s="118" t="s">
        <v>804</v>
      </c>
      <c r="T593" s="118" t="s">
        <v>805</v>
      </c>
      <c r="U593" s="118" t="s">
        <v>806</v>
      </c>
      <c r="V593" s="118" t="s">
        <v>807</v>
      </c>
      <c r="W593" s="118" t="s">
        <v>808</v>
      </c>
      <c r="X593" s="118" t="s">
        <v>809</v>
      </c>
      <c r="Y593" s="118" t="s">
        <v>75</v>
      </c>
      <c r="Z593" s="118" t="s">
        <v>75</v>
      </c>
    </row>
    <row r="594" spans="3:26" ht="24" x14ac:dyDescent="0.2">
      <c r="C594" s="89"/>
      <c r="D594" s="544" t="s">
        <v>432</v>
      </c>
      <c r="E594" s="1024"/>
      <c r="F594" s="1025"/>
      <c r="G594" s="1026"/>
      <c r="H594" s="218" t="s">
        <v>794</v>
      </c>
      <c r="I594" s="1027" t="s">
        <v>928</v>
      </c>
      <c r="J594" s="962"/>
      <c r="K594" s="1028"/>
      <c r="L594" s="559"/>
      <c r="M594" s="519"/>
      <c r="N594" s="168"/>
      <c r="O594" s="119" t="s">
        <v>810</v>
      </c>
      <c r="P594" s="171">
        <v>0.1</v>
      </c>
      <c r="Q594" s="172">
        <v>3.5999999999999997E-2</v>
      </c>
      <c r="R594" s="173">
        <v>2.6999999999986812E-2</v>
      </c>
      <c r="S594" s="123"/>
      <c r="T594" s="119">
        <v>8.0999999999986805E-2</v>
      </c>
      <c r="U594" s="172">
        <v>-22.8</v>
      </c>
      <c r="V594" s="171">
        <v>119.47</v>
      </c>
      <c r="W594" s="171"/>
      <c r="X594" s="157"/>
      <c r="Y594" s="124"/>
      <c r="Z594" s="124"/>
    </row>
    <row r="595" spans="3:26" ht="24" x14ac:dyDescent="0.2">
      <c r="C595" s="89"/>
      <c r="D595" s="546" t="s">
        <v>433</v>
      </c>
      <c r="E595" s="1036">
        <v>0</v>
      </c>
      <c r="F595" s="1037"/>
      <c r="G595" s="1038"/>
      <c r="H595" s="218" t="s">
        <v>795</v>
      </c>
      <c r="I595" s="1029"/>
      <c r="J595" s="964"/>
      <c r="K595" s="1030"/>
      <c r="L595" s="559"/>
      <c r="M595" s="519"/>
      <c r="N595" s="168"/>
      <c r="O595" s="125"/>
      <c r="P595" s="125"/>
      <c r="Q595" s="125"/>
      <c r="R595" s="126"/>
      <c r="S595" s="127"/>
      <c r="T595" s="125"/>
      <c r="U595" s="125"/>
      <c r="V595" s="125"/>
      <c r="W595" s="125"/>
      <c r="X595" s="127"/>
      <c r="Y595" s="128"/>
      <c r="Z595" s="128"/>
    </row>
    <row r="596" spans="3:26" ht="24" x14ac:dyDescent="0.2">
      <c r="C596" s="89"/>
      <c r="D596" s="546" t="s">
        <v>434</v>
      </c>
      <c r="E596" s="1082">
        <v>4.3889999999999998E-2</v>
      </c>
      <c r="F596" s="1083"/>
      <c r="G596" s="1084"/>
      <c r="H596" s="219"/>
      <c r="I596" s="1029"/>
      <c r="J596" s="964"/>
      <c r="K596" s="1030"/>
      <c r="L596" s="559"/>
      <c r="M596" s="519"/>
      <c r="N596" s="168"/>
      <c r="O596" s="129" t="s">
        <v>811</v>
      </c>
      <c r="P596" s="176">
        <v>0.1</v>
      </c>
      <c r="Q596" s="177">
        <v>6.4799999999999996E-2</v>
      </c>
      <c r="R596" s="178">
        <v>2.8000000000000001E-2</v>
      </c>
      <c r="S596" s="190">
        <v>1</v>
      </c>
      <c r="T596" s="129">
        <v>0.12520000000000001</v>
      </c>
      <c r="U596" s="134">
        <v>-35.241481481487227</v>
      </c>
      <c r="V596" s="135">
        <v>60.5</v>
      </c>
      <c r="W596" s="191">
        <v>4.17</v>
      </c>
      <c r="X596" s="137">
        <v>146.95697777780174</v>
      </c>
      <c r="Y596" s="138"/>
      <c r="Z596" s="138"/>
    </row>
    <row r="597" spans="3:26" ht="25" thickBot="1" x14ac:dyDescent="0.25">
      <c r="C597" s="89"/>
      <c r="D597" s="547" t="s">
        <v>435</v>
      </c>
      <c r="E597" s="1039">
        <v>0.83333333333333326</v>
      </c>
      <c r="F597" s="1040"/>
      <c r="G597" s="1041"/>
      <c r="H597" s="219"/>
      <c r="I597" s="1029"/>
      <c r="J597" s="964"/>
      <c r="K597" s="1030"/>
      <c r="L597" s="560">
        <v>0.97916666666666663</v>
      </c>
      <c r="M597" s="520">
        <v>0.83333333333333326</v>
      </c>
      <c r="N597" s="168"/>
      <c r="O597" s="139" t="s">
        <v>812</v>
      </c>
      <c r="P597" s="180">
        <v>0.05</v>
      </c>
      <c r="Q597" s="160">
        <v>7.1466666666666664E-2</v>
      </c>
      <c r="R597" s="181">
        <v>2.8000000000000001E-2</v>
      </c>
      <c r="S597" s="192">
        <v>1</v>
      </c>
      <c r="T597" s="182">
        <v>0.13519999999999999</v>
      </c>
      <c r="U597" s="144">
        <v>-19.028148148151246</v>
      </c>
      <c r="V597" s="145">
        <v>30.25</v>
      </c>
      <c r="W597" s="193">
        <v>4.7300000000000004</v>
      </c>
      <c r="X597" s="147">
        <v>90.003140740755398</v>
      </c>
      <c r="Y597" s="148"/>
      <c r="Z597" s="148"/>
    </row>
    <row r="598" spans="3:26" ht="25" thickBot="1" x14ac:dyDescent="0.25">
      <c r="C598" s="89"/>
      <c r="D598" s="549" t="s">
        <v>436</v>
      </c>
      <c r="E598" s="93" t="s">
        <v>29</v>
      </c>
      <c r="F598" s="93" t="s">
        <v>28</v>
      </c>
      <c r="G598" s="94" t="s">
        <v>27</v>
      </c>
      <c r="H598" s="219" t="s">
        <v>793</v>
      </c>
      <c r="I598" s="1029"/>
      <c r="J598" s="964"/>
      <c r="K598" s="1030"/>
      <c r="L598" s="559"/>
      <c r="M598" s="519"/>
      <c r="N598" s="168"/>
      <c r="O598" s="127"/>
      <c r="P598" s="149"/>
      <c r="Q598" s="127"/>
      <c r="R598" s="127"/>
      <c r="S598" s="194"/>
      <c r="T598" s="127"/>
      <c r="U598" s="150"/>
      <c r="V598" s="151"/>
      <c r="W598" s="195"/>
      <c r="X598" s="150"/>
      <c r="Y598" s="128"/>
      <c r="Z598" s="128"/>
    </row>
    <row r="599" spans="3:26" ht="24" x14ac:dyDescent="0.2">
      <c r="C599" s="89"/>
      <c r="D599" s="550">
        <v>45575</v>
      </c>
      <c r="E599" s="109">
        <v>4.3889999999999998E-2</v>
      </c>
      <c r="F599" s="109" t="s">
        <v>754</v>
      </c>
      <c r="G599" s="109">
        <v>4.0149999999999998E-2</v>
      </c>
      <c r="H599" s="224">
        <v>0.79166666666666663</v>
      </c>
      <c r="I599" s="1029"/>
      <c r="J599" s="964"/>
      <c r="K599" s="1030"/>
      <c r="L599" s="559"/>
      <c r="M599" s="519"/>
      <c r="N599" s="168"/>
      <c r="O599" s="152"/>
      <c r="P599" s="128"/>
      <c r="Q599" s="152"/>
      <c r="R599" s="152"/>
      <c r="S599" s="194"/>
      <c r="T599" s="152"/>
      <c r="U599" s="152"/>
      <c r="V599" s="152"/>
      <c r="W599" s="197"/>
      <c r="X599" s="152"/>
      <c r="Y599" s="128"/>
      <c r="Z599" s="128"/>
    </row>
    <row r="600" spans="3:26" ht="24" x14ac:dyDescent="0.2">
      <c r="C600" s="89"/>
      <c r="D600" s="550">
        <v>45547</v>
      </c>
      <c r="E600" s="109">
        <v>4.0149999999999998E-2</v>
      </c>
      <c r="F600" s="109" t="s">
        <v>754</v>
      </c>
      <c r="G600" s="109">
        <v>4.3139999999999998E-2</v>
      </c>
      <c r="H600" s="225">
        <v>0.79166666666666663</v>
      </c>
      <c r="I600" s="1029"/>
      <c r="J600" s="964"/>
      <c r="K600" s="1030"/>
      <c r="L600" s="559"/>
      <c r="M600" s="519"/>
      <c r="N600" s="168"/>
      <c r="O600" s="119" t="s">
        <v>813</v>
      </c>
      <c r="P600" s="198">
        <v>0.05</v>
      </c>
      <c r="Q600" s="153">
        <v>7.1466666666666664E-2</v>
      </c>
      <c r="R600" s="154">
        <v>2.8000000000000001E-2</v>
      </c>
      <c r="S600" s="198">
        <v>1</v>
      </c>
      <c r="T600" s="199">
        <v>0.13519999999999999</v>
      </c>
      <c r="U600" s="155">
        <v>-19.028148148151246</v>
      </c>
      <c r="V600" s="156">
        <v>30.25</v>
      </c>
      <c r="W600" s="200">
        <v>2</v>
      </c>
      <c r="X600" s="157">
        <v>38.056296296302492</v>
      </c>
      <c r="Y600" s="158"/>
      <c r="Z600" s="158" t="s">
        <v>814</v>
      </c>
    </row>
    <row r="601" spans="3:26" ht="24" x14ac:dyDescent="0.2">
      <c r="C601" s="89"/>
      <c r="D601" s="550">
        <v>45512</v>
      </c>
      <c r="E601" s="109">
        <v>4.3139999999999998E-2</v>
      </c>
      <c r="F601" s="109" t="s">
        <v>754</v>
      </c>
      <c r="G601" s="109">
        <v>4.4049999999999999E-2</v>
      </c>
      <c r="H601" s="225">
        <v>0.79166666666666663</v>
      </c>
      <c r="I601" s="1029"/>
      <c r="J601" s="964"/>
      <c r="K601" s="1030"/>
      <c r="L601" s="562"/>
      <c r="M601" s="519"/>
      <c r="N601" s="168"/>
      <c r="O601" s="119"/>
      <c r="P601" s="120"/>
      <c r="Q601" s="153"/>
      <c r="R601" s="154"/>
      <c r="S601" s="123"/>
      <c r="T601" s="120"/>
      <c r="U601" s="155"/>
      <c r="V601" s="156"/>
      <c r="W601" s="123"/>
      <c r="X601" s="157"/>
      <c r="Y601" s="158"/>
      <c r="Z601" s="158"/>
    </row>
    <row r="602" spans="3:26" ht="24" x14ac:dyDescent="0.2">
      <c r="C602" s="89"/>
      <c r="D602" s="550">
        <v>45484</v>
      </c>
      <c r="E602" s="109">
        <v>4.4049999999999999E-2</v>
      </c>
      <c r="F602" s="109" t="s">
        <v>754</v>
      </c>
      <c r="G602" s="109">
        <v>4.403E-2</v>
      </c>
      <c r="H602" s="225">
        <v>0.79166666666666663</v>
      </c>
      <c r="I602" s="1029"/>
      <c r="J602" s="964"/>
      <c r="K602" s="1030"/>
      <c r="L602" s="559"/>
      <c r="M602" s="519"/>
      <c r="N602" s="168"/>
      <c r="O602" s="119"/>
      <c r="P602" s="120"/>
      <c r="Q602" s="153"/>
      <c r="R602" s="154"/>
      <c r="S602" s="123"/>
      <c r="T602" s="120"/>
      <c r="U602" s="155"/>
      <c r="V602" s="156"/>
      <c r="W602" s="123"/>
      <c r="X602" s="157"/>
      <c r="Y602" s="158"/>
      <c r="Z602" s="158"/>
    </row>
    <row r="603" spans="3:26" ht="24" x14ac:dyDescent="0.2">
      <c r="C603" s="89"/>
      <c r="D603" s="550">
        <v>45456</v>
      </c>
      <c r="E603" s="109">
        <v>4.403E-2</v>
      </c>
      <c r="F603" s="109" t="s">
        <v>754</v>
      </c>
      <c r="G603" s="109">
        <v>4.6350000000000002E-2</v>
      </c>
      <c r="H603" s="225">
        <v>0.79166666666666663</v>
      </c>
      <c r="I603" s="1029"/>
      <c r="J603" s="964"/>
      <c r="K603" s="1030"/>
      <c r="L603" s="559"/>
      <c r="M603" s="519"/>
      <c r="N603" s="168"/>
      <c r="O603" s="89"/>
      <c r="P603" s="89"/>
      <c r="Q603" s="89"/>
      <c r="R603" s="89"/>
      <c r="S603" s="89"/>
      <c r="T603" s="89"/>
      <c r="U603" s="89"/>
      <c r="V603" s="89"/>
      <c r="W603" s="89"/>
      <c r="X603" s="89"/>
      <c r="Y603" s="89"/>
      <c r="Z603" s="89"/>
    </row>
    <row r="604" spans="3:26" ht="25" thickBot="1" x14ac:dyDescent="0.25">
      <c r="C604" s="89"/>
      <c r="D604" s="550">
        <v>45421</v>
      </c>
      <c r="E604" s="109">
        <v>4.6350000000000002E-2</v>
      </c>
      <c r="F604" s="109" t="s">
        <v>754</v>
      </c>
      <c r="G604" s="109">
        <v>4.6710000000000002E-2</v>
      </c>
      <c r="H604" s="225">
        <v>0.79166666666666663</v>
      </c>
      <c r="I604" s="1079"/>
      <c r="J604" s="1080"/>
      <c r="K604" s="1081"/>
      <c r="L604" s="559"/>
      <c r="M604" s="519"/>
      <c r="N604" s="168"/>
      <c r="O604" s="89"/>
      <c r="P604" s="89"/>
      <c r="Q604" s="89"/>
      <c r="R604" s="89"/>
      <c r="S604" s="89"/>
      <c r="T604" s="89"/>
      <c r="U604" s="89"/>
      <c r="V604" s="89"/>
      <c r="W604" s="89"/>
      <c r="X604" s="89"/>
      <c r="Y604" s="89"/>
      <c r="Z604" s="89"/>
    </row>
    <row r="605" spans="3:26" ht="49" thickBot="1" x14ac:dyDescent="0.25">
      <c r="C605">
        <v>9</v>
      </c>
      <c r="D605" s="552" t="s">
        <v>30</v>
      </c>
      <c r="E605" s="1052" t="s">
        <v>929</v>
      </c>
      <c r="F605" s="1053"/>
      <c r="G605" s="1054"/>
      <c r="H605" s="221" t="s">
        <v>790</v>
      </c>
      <c r="I605" s="1076" t="s">
        <v>633</v>
      </c>
      <c r="J605" s="1077"/>
      <c r="K605" s="1078"/>
      <c r="L605" s="558" t="s">
        <v>430</v>
      </c>
      <c r="M605" s="521" t="s">
        <v>431</v>
      </c>
      <c r="N605" s="168" t="s">
        <v>105</v>
      </c>
      <c r="O605" s="118" t="s">
        <v>800</v>
      </c>
      <c r="P605" s="118" t="s">
        <v>801</v>
      </c>
      <c r="Q605" s="118" t="s">
        <v>802</v>
      </c>
      <c r="R605" s="118" t="s">
        <v>803</v>
      </c>
      <c r="S605" s="118" t="s">
        <v>804</v>
      </c>
      <c r="T605" s="118" t="s">
        <v>805</v>
      </c>
      <c r="U605" s="118" t="s">
        <v>806</v>
      </c>
      <c r="V605" s="118" t="s">
        <v>807</v>
      </c>
      <c r="W605" s="118" t="s">
        <v>808</v>
      </c>
      <c r="X605" s="118" t="s">
        <v>809</v>
      </c>
      <c r="Y605" s="118" t="s">
        <v>75</v>
      </c>
      <c r="Z605" s="118" t="s">
        <v>75</v>
      </c>
    </row>
    <row r="606" spans="3:26" ht="24" x14ac:dyDescent="0.2">
      <c r="C606" s="89"/>
      <c r="D606" s="544" t="s">
        <v>432</v>
      </c>
      <c r="E606" s="1024"/>
      <c r="F606" s="1025"/>
      <c r="G606" s="1026"/>
      <c r="H606" s="218" t="s">
        <v>947</v>
      </c>
      <c r="I606" s="1027" t="s">
        <v>930</v>
      </c>
      <c r="J606" s="962"/>
      <c r="K606" s="1028"/>
      <c r="L606" s="559"/>
      <c r="M606" s="519"/>
      <c r="N606" s="168"/>
      <c r="O606" s="119" t="s">
        <v>810</v>
      </c>
      <c r="P606" s="171">
        <v>0.1</v>
      </c>
      <c r="Q606" s="172">
        <v>3.2000000000000001E-2</v>
      </c>
      <c r="R606" s="173">
        <v>1.8000000000000682E-2</v>
      </c>
      <c r="S606" s="123">
        <v>0</v>
      </c>
      <c r="T606" s="119">
        <v>5.0499999999991357E-2</v>
      </c>
      <c r="U606" s="172">
        <v>-16.61</v>
      </c>
      <c r="V606" s="171">
        <v>60.5</v>
      </c>
      <c r="W606" s="174">
        <v>2</v>
      </c>
      <c r="X606" s="157"/>
      <c r="Y606" s="124"/>
      <c r="Z606" s="124"/>
    </row>
    <row r="607" spans="3:26" ht="24" x14ac:dyDescent="0.2">
      <c r="C607" s="89"/>
      <c r="D607" s="546" t="s">
        <v>433</v>
      </c>
      <c r="E607" s="1033">
        <v>4.7500000000000001E-2</v>
      </c>
      <c r="F607" s="1034"/>
      <c r="G607" s="1035"/>
      <c r="H607" s="218" t="s">
        <v>908</v>
      </c>
      <c r="I607" s="1029"/>
      <c r="J607" s="964"/>
      <c r="K607" s="1030"/>
      <c r="L607" s="559"/>
      <c r="M607" s="519"/>
      <c r="N607" s="168"/>
      <c r="O607" s="125"/>
      <c r="P607" s="125"/>
      <c r="Q607" s="125"/>
      <c r="R607" s="126"/>
      <c r="S607" s="127"/>
      <c r="T607" s="125"/>
      <c r="U607" s="125"/>
      <c r="V607" s="125"/>
      <c r="W607" s="125"/>
      <c r="X607" s="127"/>
      <c r="Y607" s="128"/>
      <c r="Z607" s="128"/>
    </row>
    <row r="608" spans="3:26" ht="24" x14ac:dyDescent="0.2">
      <c r="C608" s="89"/>
      <c r="D608" s="546" t="s">
        <v>434</v>
      </c>
      <c r="E608" s="1033">
        <v>0.05</v>
      </c>
      <c r="F608" s="1034"/>
      <c r="G608" s="1035"/>
      <c r="H608" s="219"/>
      <c r="I608" s="1029"/>
      <c r="J608" s="964"/>
      <c r="K608" s="1030"/>
      <c r="L608" s="559"/>
      <c r="M608" s="519"/>
      <c r="N608" s="168"/>
      <c r="O608" s="129" t="s">
        <v>811</v>
      </c>
      <c r="P608" s="176">
        <v>0.1</v>
      </c>
      <c r="Q608" s="177">
        <v>0.1182</v>
      </c>
      <c r="R608" s="178">
        <v>1.7999999999999999E-2</v>
      </c>
      <c r="S608" s="190">
        <v>1</v>
      </c>
      <c r="T608" s="129">
        <v>0.1953</v>
      </c>
      <c r="U608" s="134">
        <v>-64.236297029713967</v>
      </c>
      <c r="V608" s="135">
        <v>60.5</v>
      </c>
      <c r="W608" s="191">
        <v>1.93</v>
      </c>
      <c r="X608" s="137">
        <v>123.97605326734795</v>
      </c>
      <c r="Y608" s="138"/>
      <c r="Z608" s="138"/>
    </row>
    <row r="609" spans="3:26" ht="25" thickBot="1" x14ac:dyDescent="0.25">
      <c r="C609" s="89"/>
      <c r="D609" s="547" t="s">
        <v>435</v>
      </c>
      <c r="E609" s="1039">
        <v>0.5</v>
      </c>
      <c r="F609" s="1040"/>
      <c r="G609" s="1041"/>
      <c r="H609" s="219"/>
      <c r="I609" s="1029"/>
      <c r="J609" s="964"/>
      <c r="K609" s="1030"/>
      <c r="L609" s="560">
        <v>0.72916666666666663</v>
      </c>
      <c r="M609" s="520">
        <v>0.58333333333333326</v>
      </c>
      <c r="N609" s="168"/>
      <c r="O609" s="139" t="s">
        <v>812</v>
      </c>
      <c r="P609" s="180">
        <v>0.1</v>
      </c>
      <c r="Q609" s="160">
        <v>0.12453333333333334</v>
      </c>
      <c r="R609" s="181">
        <v>1.7999999999999999E-2</v>
      </c>
      <c r="S609" s="192">
        <v>1</v>
      </c>
      <c r="T609" s="182">
        <v>0.20480000000000001</v>
      </c>
      <c r="U609" s="144">
        <v>-67.360950495061033</v>
      </c>
      <c r="V609" s="145">
        <v>60.5</v>
      </c>
      <c r="W609" s="193">
        <v>2.48</v>
      </c>
      <c r="X609" s="147">
        <v>167.05515722775135</v>
      </c>
      <c r="Y609" s="148"/>
      <c r="Z609" s="148"/>
    </row>
    <row r="610" spans="3:26" ht="25" thickBot="1" x14ac:dyDescent="0.25">
      <c r="C610" s="89"/>
      <c r="D610" s="549" t="s">
        <v>436</v>
      </c>
      <c r="E610" s="93" t="s">
        <v>29</v>
      </c>
      <c r="F610" s="93" t="s">
        <v>28</v>
      </c>
      <c r="G610" s="94" t="s">
        <v>27</v>
      </c>
      <c r="H610" s="219" t="s">
        <v>793</v>
      </c>
      <c r="I610" s="1029"/>
      <c r="J610" s="964"/>
      <c r="K610" s="1030"/>
      <c r="L610" s="559"/>
      <c r="M610" s="519"/>
      <c r="N610" s="168"/>
      <c r="O610" s="127"/>
      <c r="P610" s="149"/>
      <c r="Q610" s="127"/>
      <c r="R610" s="127"/>
      <c r="S610" s="194"/>
      <c r="T610" s="127"/>
      <c r="U610" s="150"/>
      <c r="V610" s="151"/>
      <c r="W610" s="195"/>
      <c r="X610" s="150"/>
      <c r="Y610" s="128"/>
      <c r="Z610" s="128"/>
    </row>
    <row r="611" spans="3:26" ht="24" x14ac:dyDescent="0.2">
      <c r="C611" s="89"/>
      <c r="D611" s="550">
        <v>45554</v>
      </c>
      <c r="E611" s="99">
        <v>0.05</v>
      </c>
      <c r="F611" s="99" t="s">
        <v>728</v>
      </c>
      <c r="G611" s="99">
        <v>0.05</v>
      </c>
      <c r="H611" s="224">
        <v>0.45833333333333331</v>
      </c>
      <c r="I611" s="1029"/>
      <c r="J611" s="964"/>
      <c r="K611" s="1030"/>
      <c r="L611" s="559"/>
      <c r="M611" s="519"/>
      <c r="N611" s="168"/>
      <c r="O611" s="152"/>
      <c r="P611" s="128"/>
      <c r="Q611" s="152"/>
      <c r="R611" s="152"/>
      <c r="S611" s="194"/>
      <c r="T611" s="152"/>
      <c r="U611" s="152"/>
      <c r="V611" s="152"/>
      <c r="W611" s="197"/>
      <c r="X611" s="152"/>
      <c r="Y611" s="128"/>
      <c r="Z611" s="128"/>
    </row>
    <row r="612" spans="3:26" ht="24" x14ac:dyDescent="0.2">
      <c r="C612" s="89"/>
      <c r="D612" s="550">
        <v>45505</v>
      </c>
      <c r="E612" s="99">
        <v>0.05</v>
      </c>
      <c r="F612" s="99" t="s">
        <v>728</v>
      </c>
      <c r="G612" s="99">
        <v>5.2499999999999998E-2</v>
      </c>
      <c r="H612" s="225">
        <v>0.45833333333333331</v>
      </c>
      <c r="I612" s="1029"/>
      <c r="J612" s="964"/>
      <c r="K612" s="1030"/>
      <c r="L612" s="559"/>
      <c r="M612" s="519"/>
      <c r="N612" s="168"/>
      <c r="O612" s="119" t="s">
        <v>813</v>
      </c>
      <c r="P612" s="202">
        <v>-0.1</v>
      </c>
      <c r="Q612" s="153">
        <v>0.05</v>
      </c>
      <c r="R612" s="154">
        <v>1.7999999999999999E-2</v>
      </c>
      <c r="S612" s="198">
        <v>-1</v>
      </c>
      <c r="T612" s="129">
        <v>9.3000000000000013E-2</v>
      </c>
      <c r="U612" s="155">
        <v>-30.588712871292365</v>
      </c>
      <c r="V612" s="156">
        <v>60.5</v>
      </c>
      <c r="W612" s="200">
        <v>1.5</v>
      </c>
      <c r="X612" s="157">
        <v>45.883069306938552</v>
      </c>
      <c r="Y612" s="158" t="s">
        <v>814</v>
      </c>
      <c r="Z612" s="158"/>
    </row>
    <row r="613" spans="3:26" ht="24" x14ac:dyDescent="0.2">
      <c r="C613" s="89"/>
      <c r="D613" s="550">
        <v>45463</v>
      </c>
      <c r="E613" s="99">
        <v>5.2499999999999998E-2</v>
      </c>
      <c r="F613" s="99" t="s">
        <v>940</v>
      </c>
      <c r="G613" s="99">
        <v>5.2499999999999998E-2</v>
      </c>
      <c r="H613" s="225">
        <v>0.45833333333333331</v>
      </c>
      <c r="I613" s="1029"/>
      <c r="J613" s="964"/>
      <c r="K613" s="1030"/>
      <c r="L613" s="562"/>
      <c r="M613" s="519"/>
      <c r="N613" s="168"/>
      <c r="O613" s="119"/>
      <c r="P613" s="120"/>
      <c r="Q613" s="153"/>
      <c r="R613" s="154"/>
      <c r="S613" s="123"/>
      <c r="T613" s="120"/>
      <c r="U613" s="155"/>
      <c r="V613" s="156"/>
      <c r="W613" s="123"/>
      <c r="X613" s="157"/>
      <c r="Y613" s="158"/>
      <c r="Z613" s="158"/>
    </row>
    <row r="614" spans="3:26" ht="24" x14ac:dyDescent="0.2">
      <c r="C614" s="89"/>
      <c r="D614" s="550">
        <v>45421</v>
      </c>
      <c r="E614" s="99">
        <v>5.2499999999999998E-2</v>
      </c>
      <c r="F614" s="99" t="s">
        <v>940</v>
      </c>
      <c r="G614" s="99">
        <v>5.2499999999999998E-2</v>
      </c>
      <c r="H614" s="225">
        <v>0.45833333333333331</v>
      </c>
      <c r="I614" s="1029"/>
      <c r="J614" s="964"/>
      <c r="K614" s="1030"/>
      <c r="L614" s="559"/>
      <c r="M614" s="519"/>
      <c r="N614" s="168"/>
      <c r="O614" s="119"/>
      <c r="P614" s="120"/>
      <c r="Q614" s="153"/>
      <c r="R614" s="154"/>
      <c r="S614" s="123"/>
      <c r="T614" s="120"/>
      <c r="U614" s="155"/>
      <c r="V614" s="156"/>
      <c r="W614" s="123"/>
      <c r="X614" s="157"/>
      <c r="Y614" s="158"/>
      <c r="Z614" s="158"/>
    </row>
    <row r="615" spans="3:26" ht="24" x14ac:dyDescent="0.2">
      <c r="C615" s="89"/>
      <c r="D615" s="550">
        <v>45372</v>
      </c>
      <c r="E615" s="99">
        <v>5.2499999999999998E-2</v>
      </c>
      <c r="F615" s="99" t="s">
        <v>940</v>
      </c>
      <c r="G615" s="99">
        <v>5.2499999999999998E-2</v>
      </c>
      <c r="H615" s="220">
        <v>0.5</v>
      </c>
      <c r="I615" s="1029"/>
      <c r="J615" s="964"/>
      <c r="K615" s="1030"/>
      <c r="L615" s="559"/>
      <c r="M615" s="519"/>
      <c r="N615" s="168"/>
      <c r="O615" s="89"/>
      <c r="P615" s="89"/>
      <c r="Q615" s="89"/>
      <c r="R615" s="89"/>
      <c r="S615" s="89"/>
      <c r="T615" s="89"/>
      <c r="U615" s="89"/>
      <c r="V615" s="89"/>
      <c r="W615" s="89"/>
      <c r="X615" s="89"/>
      <c r="Y615" s="89"/>
      <c r="Z615" s="89"/>
    </row>
    <row r="616" spans="3:26" ht="25" thickBot="1" x14ac:dyDescent="0.25">
      <c r="C616" s="89"/>
      <c r="D616" s="550">
        <v>45323</v>
      </c>
      <c r="E616" s="99">
        <v>5.2499999999999998E-2</v>
      </c>
      <c r="F616" s="99" t="s">
        <v>940</v>
      </c>
      <c r="G616" s="99">
        <v>5.2499999999999998E-2</v>
      </c>
      <c r="H616" s="225">
        <v>0.5</v>
      </c>
      <c r="I616" s="1079"/>
      <c r="J616" s="1080"/>
      <c r="K616" s="1081"/>
      <c r="L616" s="559"/>
      <c r="M616" s="519"/>
      <c r="N616" s="168"/>
      <c r="O616" s="89"/>
      <c r="P616" s="89"/>
      <c r="Q616" s="89"/>
      <c r="R616" s="89"/>
      <c r="S616" s="89"/>
      <c r="T616" s="89"/>
      <c r="U616" s="89"/>
      <c r="V616" s="89"/>
      <c r="W616" s="89"/>
      <c r="X616" s="89"/>
      <c r="Y616" s="89"/>
      <c r="Z616" s="89"/>
    </row>
    <row r="617" spans="3:26" ht="49" thickBot="1" x14ac:dyDescent="0.25">
      <c r="C617">
        <v>10</v>
      </c>
      <c r="D617" s="552" t="s">
        <v>30</v>
      </c>
      <c r="E617" s="1052" t="s">
        <v>14</v>
      </c>
      <c r="F617" s="1053"/>
      <c r="G617" s="1054"/>
      <c r="H617" s="221" t="s">
        <v>790</v>
      </c>
      <c r="I617" s="1076" t="s">
        <v>633</v>
      </c>
      <c r="J617" s="1077"/>
      <c r="K617" s="1078"/>
      <c r="L617" s="558" t="s">
        <v>430</v>
      </c>
      <c r="M617" s="521" t="s">
        <v>431</v>
      </c>
      <c r="N617" s="168" t="s">
        <v>105</v>
      </c>
      <c r="O617" s="118" t="s">
        <v>800</v>
      </c>
      <c r="P617" s="118" t="s">
        <v>801</v>
      </c>
      <c r="Q617" s="118" t="s">
        <v>802</v>
      </c>
      <c r="R617" s="118" t="s">
        <v>803</v>
      </c>
      <c r="S617" s="118" t="s">
        <v>804</v>
      </c>
      <c r="T617" s="118" t="s">
        <v>805</v>
      </c>
      <c r="U617" s="118" t="s">
        <v>806</v>
      </c>
      <c r="V617" s="118" t="s">
        <v>807</v>
      </c>
      <c r="W617" s="118" t="s">
        <v>808</v>
      </c>
      <c r="X617" s="118" t="s">
        <v>809</v>
      </c>
      <c r="Y617" s="118" t="s">
        <v>75</v>
      </c>
      <c r="Z617" s="118" t="s">
        <v>75</v>
      </c>
    </row>
    <row r="618" spans="3:26" ht="24" x14ac:dyDescent="0.2">
      <c r="C618" s="89"/>
      <c r="D618" s="544" t="s">
        <v>432</v>
      </c>
      <c r="E618" s="1058"/>
      <c r="F618" s="1059"/>
      <c r="G618" s="1060"/>
      <c r="H618" s="218" t="s">
        <v>794</v>
      </c>
      <c r="I618" s="1027" t="s">
        <v>933</v>
      </c>
      <c r="J618" s="962"/>
      <c r="K618" s="1028"/>
      <c r="L618" s="559"/>
      <c r="M618" s="519"/>
      <c r="N618" s="168"/>
      <c r="O618" s="119" t="s">
        <v>810</v>
      </c>
      <c r="P618" s="171">
        <v>0.1</v>
      </c>
      <c r="Q618" s="172">
        <v>1.9E-2</v>
      </c>
      <c r="R618" s="173">
        <v>1.8000000000000682E-2</v>
      </c>
      <c r="S618" s="123">
        <v>0</v>
      </c>
      <c r="T618" s="119">
        <v>6.0999999999991131E-2</v>
      </c>
      <c r="U618" s="172">
        <v>-10.78</v>
      </c>
      <c r="V618" s="171">
        <v>91.8</v>
      </c>
      <c r="W618" s="174">
        <v>2</v>
      </c>
      <c r="X618" s="157"/>
      <c r="Y618" s="124"/>
      <c r="Z618" s="124"/>
    </row>
    <row r="619" spans="3:26" ht="24" x14ac:dyDescent="0.2">
      <c r="C619" s="89"/>
      <c r="D619" s="546" t="s">
        <v>433</v>
      </c>
      <c r="E619" s="1033" t="s">
        <v>931</v>
      </c>
      <c r="F619" s="1034"/>
      <c r="G619" s="1035"/>
      <c r="H619" s="218" t="s">
        <v>795</v>
      </c>
      <c r="I619" s="1029"/>
      <c r="J619" s="964"/>
      <c r="K619" s="1030"/>
      <c r="L619" s="559"/>
      <c r="M619" s="519"/>
      <c r="N619" s="168"/>
      <c r="O619" s="125"/>
      <c r="P619" s="125"/>
      <c r="Q619" s="125"/>
      <c r="R619" s="126"/>
      <c r="S619" s="127"/>
      <c r="T619" s="125"/>
      <c r="U619" s="125"/>
      <c r="V619" s="125"/>
      <c r="W619" s="125"/>
      <c r="X619" s="127"/>
      <c r="Y619" s="128"/>
      <c r="Z619" s="128"/>
    </row>
    <row r="620" spans="3:26" ht="24" x14ac:dyDescent="0.2">
      <c r="C620" s="89"/>
      <c r="D620" s="546" t="s">
        <v>434</v>
      </c>
      <c r="E620" s="1033" t="s">
        <v>932</v>
      </c>
      <c r="F620" s="1034"/>
      <c r="G620" s="1035"/>
      <c r="H620" s="219"/>
      <c r="I620" s="1029"/>
      <c r="J620" s="964"/>
      <c r="K620" s="1030"/>
      <c r="L620" s="559"/>
      <c r="M620" s="519"/>
      <c r="N620" s="168"/>
      <c r="O620" s="129" t="s">
        <v>811</v>
      </c>
      <c r="P620" s="176">
        <v>0.1</v>
      </c>
      <c r="Q620" s="177">
        <v>6.8099999999999994E-2</v>
      </c>
      <c r="R620" s="178">
        <v>1.8000000000000682E-2</v>
      </c>
      <c r="S620" s="190">
        <v>1</v>
      </c>
      <c r="T620" s="129">
        <v>0.12015000000000067</v>
      </c>
      <c r="U620" s="134">
        <v>-21.233065573773697</v>
      </c>
      <c r="V620" s="135">
        <v>60.5</v>
      </c>
      <c r="W620" s="191">
        <v>1.77</v>
      </c>
      <c r="X620" s="137">
        <v>37.582526065579444</v>
      </c>
      <c r="Y620" s="138"/>
      <c r="Z620" s="138"/>
    </row>
    <row r="621" spans="3:26" ht="25" thickBot="1" x14ac:dyDescent="0.25">
      <c r="C621" s="89"/>
      <c r="D621" s="547" t="s">
        <v>435</v>
      </c>
      <c r="E621" s="1039">
        <v>0.5625</v>
      </c>
      <c r="F621" s="1040"/>
      <c r="G621" s="1041"/>
      <c r="H621" s="219"/>
      <c r="I621" s="1029"/>
      <c r="J621" s="964"/>
      <c r="K621" s="1030"/>
      <c r="L621" s="560">
        <v>0.79166666666666663</v>
      </c>
      <c r="M621" s="520">
        <v>0.64583333333333326</v>
      </c>
      <c r="N621" s="168"/>
      <c r="O621" s="139" t="s">
        <v>812</v>
      </c>
      <c r="P621" s="180">
        <v>0.1</v>
      </c>
      <c r="Q621" s="160">
        <v>0.11893333333333332</v>
      </c>
      <c r="R621" s="181">
        <v>1.4E-2</v>
      </c>
      <c r="S621" s="192">
        <v>1</v>
      </c>
      <c r="T621" s="182">
        <v>0.19239999999999999</v>
      </c>
      <c r="U621" s="144">
        <v>-34.001180327873797</v>
      </c>
      <c r="V621" s="145">
        <v>60.5</v>
      </c>
      <c r="W621" s="193">
        <v>3.08</v>
      </c>
      <c r="X621" s="147">
        <v>104.7236354098513</v>
      </c>
      <c r="Y621" s="148"/>
      <c r="Z621" s="148"/>
    </row>
    <row r="622" spans="3:26" ht="25" thickBot="1" x14ac:dyDescent="0.25">
      <c r="C622" s="89"/>
      <c r="D622" s="549" t="s">
        <v>436</v>
      </c>
      <c r="E622" s="93" t="s">
        <v>29</v>
      </c>
      <c r="F622" s="93" t="s">
        <v>28</v>
      </c>
      <c r="G622" s="94" t="s">
        <v>27</v>
      </c>
      <c r="H622" s="219" t="s">
        <v>793</v>
      </c>
      <c r="I622" s="1029"/>
      <c r="J622" s="964"/>
      <c r="K622" s="1030"/>
      <c r="L622" s="559"/>
      <c r="M622" s="519"/>
      <c r="N622" s="168"/>
      <c r="O622" s="127"/>
      <c r="P622" s="149"/>
      <c r="Q622" s="127"/>
      <c r="R622" s="127"/>
      <c r="S622" s="194"/>
      <c r="T622" s="127"/>
      <c r="U622" s="150"/>
      <c r="V622" s="151"/>
      <c r="W622" s="195"/>
      <c r="X622" s="150"/>
      <c r="Y622" s="128"/>
      <c r="Z622" s="128"/>
    </row>
    <row r="623" spans="3:26" ht="24" x14ac:dyDescent="0.2">
      <c r="C623" s="89"/>
      <c r="D623" s="550">
        <v>45596</v>
      </c>
      <c r="E623" s="96" t="s">
        <v>932</v>
      </c>
      <c r="F623" s="96" t="s">
        <v>941</v>
      </c>
      <c r="G623" s="96" t="s">
        <v>579</v>
      </c>
      <c r="H623" s="224">
        <v>0.52083333333333337</v>
      </c>
      <c r="I623" s="1029"/>
      <c r="J623" s="964"/>
      <c r="K623" s="1030"/>
      <c r="L623" s="559"/>
      <c r="M623" s="519"/>
      <c r="N623" s="168"/>
      <c r="O623" s="152"/>
      <c r="P623" s="128"/>
      <c r="Q623" s="152"/>
      <c r="R623" s="152"/>
      <c r="S623" s="194"/>
      <c r="T623" s="152"/>
      <c r="U623" s="152"/>
      <c r="V623" s="152"/>
      <c r="W623" s="197"/>
      <c r="X623" s="152"/>
      <c r="Y623" s="128"/>
      <c r="Z623" s="128"/>
    </row>
    <row r="624" spans="3:26" ht="24" x14ac:dyDescent="0.2">
      <c r="C624" s="89"/>
      <c r="D624" s="550">
        <v>45589</v>
      </c>
      <c r="E624" s="96" t="s">
        <v>209</v>
      </c>
      <c r="F624" s="96" t="s">
        <v>896</v>
      </c>
      <c r="G624" s="96" t="s">
        <v>897</v>
      </c>
      <c r="H624" s="225">
        <v>0.52083333333333337</v>
      </c>
      <c r="I624" s="1029"/>
      <c r="J624" s="964"/>
      <c r="K624" s="1030"/>
      <c r="L624" s="559"/>
      <c r="M624" s="519"/>
      <c r="N624" s="168"/>
      <c r="O624" s="119" t="s">
        <v>813</v>
      </c>
      <c r="P624" s="202">
        <v>0.1</v>
      </c>
      <c r="Q624" s="153">
        <v>0.03</v>
      </c>
      <c r="R624" s="154">
        <v>1.4E-2</v>
      </c>
      <c r="S624" s="198">
        <v>1</v>
      </c>
      <c r="T624" s="199">
        <v>0.19239999999999999</v>
      </c>
      <c r="U624" s="155">
        <v>-34.001180327873797</v>
      </c>
      <c r="V624" s="156">
        <v>60.5</v>
      </c>
      <c r="W624" s="200">
        <v>3</v>
      </c>
      <c r="X624" s="157">
        <v>102.00354098362139</v>
      </c>
      <c r="Y624" s="158" t="s">
        <v>814</v>
      </c>
      <c r="Z624" s="158"/>
    </row>
    <row r="625" spans="3:26" ht="24" x14ac:dyDescent="0.2">
      <c r="C625" s="89"/>
      <c r="D625" s="550">
        <v>45582</v>
      </c>
      <c r="E625" s="96" t="s">
        <v>171</v>
      </c>
      <c r="F625" s="96" t="s">
        <v>898</v>
      </c>
      <c r="G625" s="96" t="s">
        <v>692</v>
      </c>
      <c r="H625" s="225">
        <v>0.52083333333333337</v>
      </c>
      <c r="I625" s="1029"/>
      <c r="J625" s="964"/>
      <c r="K625" s="1030"/>
      <c r="L625" s="562"/>
      <c r="M625" s="519"/>
      <c r="N625" s="168"/>
      <c r="O625" s="119" t="s">
        <v>813</v>
      </c>
      <c r="P625" s="202">
        <v>-0.1</v>
      </c>
      <c r="Q625" s="153">
        <v>0.03</v>
      </c>
      <c r="R625" s="154">
        <v>1.4E-2</v>
      </c>
      <c r="S625" s="198">
        <v>-1</v>
      </c>
      <c r="T625" s="199">
        <v>0.19239999999999999</v>
      </c>
      <c r="U625" s="155">
        <v>-34.001180327873797</v>
      </c>
      <c r="V625" s="156">
        <v>60.5</v>
      </c>
      <c r="W625" s="200">
        <v>3</v>
      </c>
      <c r="X625" s="157">
        <v>102.00354098362139</v>
      </c>
      <c r="Y625" s="158" t="s">
        <v>814</v>
      </c>
      <c r="Z625" s="158"/>
    </row>
    <row r="626" spans="3:26" ht="24" x14ac:dyDescent="0.2">
      <c r="C626" s="89"/>
      <c r="D626" s="550">
        <v>45575</v>
      </c>
      <c r="E626" s="96" t="s">
        <v>678</v>
      </c>
      <c r="F626" s="96" t="s">
        <v>580</v>
      </c>
      <c r="G626" s="96" t="s">
        <v>638</v>
      </c>
      <c r="H626" s="225">
        <v>0.52083333333333337</v>
      </c>
      <c r="I626" s="1029"/>
      <c r="J626" s="964"/>
      <c r="K626" s="1030"/>
      <c r="L626" s="559"/>
      <c r="M626" s="519"/>
      <c r="N626" s="168"/>
      <c r="O626" s="119"/>
      <c r="P626" s="120"/>
      <c r="Q626" s="153"/>
      <c r="R626" s="154"/>
      <c r="S626" s="123"/>
      <c r="T626" s="120"/>
      <c r="U626" s="155"/>
      <c r="V626" s="156"/>
      <c r="W626" s="123"/>
      <c r="X626" s="157"/>
      <c r="Y626" s="158"/>
      <c r="Z626" s="158"/>
    </row>
    <row r="627" spans="3:26" ht="24" x14ac:dyDescent="0.2">
      <c r="C627" s="89"/>
      <c r="D627" s="550">
        <v>45568</v>
      </c>
      <c r="E627" s="96" t="s">
        <v>638</v>
      </c>
      <c r="F627" s="96" t="s">
        <v>734</v>
      </c>
      <c r="G627" s="96" t="s">
        <v>345</v>
      </c>
      <c r="H627" s="225">
        <v>0.52083333333333337</v>
      </c>
      <c r="I627" s="1029"/>
      <c r="J627" s="964"/>
      <c r="K627" s="1030"/>
      <c r="L627" s="559"/>
      <c r="M627" s="519"/>
      <c r="N627" s="168"/>
      <c r="O627" s="89"/>
      <c r="P627" s="89"/>
      <c r="Q627" s="89"/>
      <c r="R627" s="89"/>
      <c r="S627" s="89"/>
      <c r="T627" s="89"/>
      <c r="U627" s="89"/>
      <c r="V627" s="89"/>
      <c r="W627" s="89"/>
      <c r="X627" s="89"/>
      <c r="Y627" s="89"/>
      <c r="Z627" s="89"/>
    </row>
    <row r="628" spans="3:26" ht="25" thickBot="1" x14ac:dyDescent="0.25">
      <c r="C628" s="89"/>
      <c r="D628" s="550">
        <v>45561</v>
      </c>
      <c r="E628" s="96" t="s">
        <v>382</v>
      </c>
      <c r="F628" s="96" t="s">
        <v>574</v>
      </c>
      <c r="G628" s="96" t="s">
        <v>72</v>
      </c>
      <c r="H628" s="225">
        <v>0.52083333333333337</v>
      </c>
      <c r="I628" s="1079"/>
      <c r="J628" s="1080"/>
      <c r="K628" s="1081"/>
      <c r="L628" s="559"/>
      <c r="M628" s="519"/>
      <c r="N628" s="168"/>
      <c r="O628" s="89"/>
      <c r="P628" s="89"/>
      <c r="Q628" s="89"/>
      <c r="R628" s="89"/>
      <c r="S628" s="89"/>
      <c r="T628" s="89"/>
      <c r="U628" s="89"/>
      <c r="V628" s="89"/>
      <c r="W628" s="89"/>
      <c r="X628" s="89"/>
      <c r="Y628" s="89"/>
      <c r="Z628" s="89"/>
    </row>
    <row r="629" spans="3:26" ht="49" thickBot="1" x14ac:dyDescent="0.25">
      <c r="C629">
        <v>11</v>
      </c>
      <c r="D629" s="552" t="s">
        <v>30</v>
      </c>
      <c r="E629" s="1052" t="s">
        <v>127</v>
      </c>
      <c r="F629" s="1053"/>
      <c r="G629" s="1054"/>
      <c r="H629" s="221" t="s">
        <v>790</v>
      </c>
      <c r="I629" s="1076" t="s">
        <v>633</v>
      </c>
      <c r="J629" s="1077"/>
      <c r="K629" s="1078"/>
      <c r="L629" s="558" t="s">
        <v>430</v>
      </c>
      <c r="M629" s="521" t="s">
        <v>431</v>
      </c>
      <c r="N629" s="168" t="s">
        <v>105</v>
      </c>
      <c r="O629" s="118" t="s">
        <v>800</v>
      </c>
      <c r="P629" s="118" t="s">
        <v>801</v>
      </c>
      <c r="Q629" s="118" t="s">
        <v>802</v>
      </c>
      <c r="R629" s="118" t="s">
        <v>803</v>
      </c>
      <c r="S629" s="118" t="s">
        <v>804</v>
      </c>
      <c r="T629" s="118" t="s">
        <v>805</v>
      </c>
      <c r="U629" s="118" t="s">
        <v>806</v>
      </c>
      <c r="V629" s="118" t="s">
        <v>807</v>
      </c>
      <c r="W629" s="118" t="s">
        <v>808</v>
      </c>
      <c r="X629" s="118" t="s">
        <v>809</v>
      </c>
      <c r="Y629" s="118" t="s">
        <v>75</v>
      </c>
      <c r="Z629" s="118" t="s">
        <v>75</v>
      </c>
    </row>
    <row r="630" spans="3:26" ht="24" x14ac:dyDescent="0.2">
      <c r="C630" s="89"/>
      <c r="D630" s="544" t="s">
        <v>432</v>
      </c>
      <c r="E630" s="1024"/>
      <c r="F630" s="1025"/>
      <c r="G630" s="1026"/>
      <c r="H630" s="218" t="s">
        <v>794</v>
      </c>
      <c r="I630" s="1027" t="s">
        <v>934</v>
      </c>
      <c r="J630" s="962"/>
      <c r="K630" s="1028"/>
      <c r="L630" s="559"/>
      <c r="M630" s="519"/>
      <c r="N630" s="168"/>
      <c r="O630" s="119" t="s">
        <v>810</v>
      </c>
      <c r="P630" s="171">
        <v>0.1</v>
      </c>
      <c r="Q630" s="172">
        <v>1.9E-2</v>
      </c>
      <c r="R630" s="173">
        <v>1.8000000000000682E-2</v>
      </c>
      <c r="S630" s="123">
        <v>0</v>
      </c>
      <c r="T630" s="119">
        <v>6.0999999999991131E-2</v>
      </c>
      <c r="U630" s="172">
        <v>-10.78</v>
      </c>
      <c r="V630" s="171">
        <v>91.8</v>
      </c>
      <c r="W630" s="174">
        <v>2</v>
      </c>
      <c r="X630" s="157"/>
      <c r="Y630" s="124"/>
      <c r="Z630" s="124"/>
    </row>
    <row r="631" spans="3:26" ht="24" x14ac:dyDescent="0.2">
      <c r="C631" s="89"/>
      <c r="D631" s="546" t="s">
        <v>433</v>
      </c>
      <c r="E631" s="1033">
        <v>4.6199999999999998E-2</v>
      </c>
      <c r="F631" s="1034"/>
      <c r="G631" s="1035"/>
      <c r="H631" s="218" t="s">
        <v>795</v>
      </c>
      <c r="I631" s="1029"/>
      <c r="J631" s="964"/>
      <c r="K631" s="1030"/>
      <c r="L631" s="559"/>
      <c r="M631" s="519"/>
      <c r="N631" s="168"/>
      <c r="O631" s="125"/>
      <c r="P631" s="125"/>
      <c r="Q631" s="125"/>
      <c r="R631" s="126"/>
      <c r="S631" s="127"/>
      <c r="T631" s="125"/>
      <c r="U631" s="125"/>
      <c r="V631" s="125"/>
      <c r="W631" s="125"/>
      <c r="X631" s="127"/>
      <c r="Y631" s="128"/>
      <c r="Z631" s="128"/>
    </row>
    <row r="632" spans="3:26" ht="24" x14ac:dyDescent="0.2">
      <c r="C632" s="89"/>
      <c r="D632" s="546" t="s">
        <v>434</v>
      </c>
      <c r="E632" s="1033">
        <v>4.8800000000000003E-2</v>
      </c>
      <c r="F632" s="1034"/>
      <c r="G632" s="1035"/>
      <c r="H632" s="219"/>
      <c r="I632" s="1029"/>
      <c r="J632" s="964"/>
      <c r="K632" s="1030"/>
      <c r="L632" s="559"/>
      <c r="M632" s="519"/>
      <c r="N632" s="168"/>
      <c r="O632" s="129" t="s">
        <v>811</v>
      </c>
      <c r="P632" s="176">
        <v>0.1</v>
      </c>
      <c r="Q632" s="177">
        <v>6.8099999999999994E-2</v>
      </c>
      <c r="R632" s="178">
        <v>1.8000000000000682E-2</v>
      </c>
      <c r="S632" s="190">
        <v>1</v>
      </c>
      <c r="T632" s="129">
        <v>0.12015000000000067</v>
      </c>
      <c r="U632" s="134">
        <v>-21.233065573773697</v>
      </c>
      <c r="V632" s="135">
        <v>60.5</v>
      </c>
      <c r="W632" s="191">
        <v>1.77</v>
      </c>
      <c r="X632" s="137">
        <v>37.582526065579444</v>
      </c>
      <c r="Y632" s="138"/>
      <c r="Z632" s="138"/>
    </row>
    <row r="633" spans="3:26" ht="25" thickBot="1" x14ac:dyDescent="0.25">
      <c r="C633" s="89"/>
      <c r="D633" s="547" t="s">
        <v>435</v>
      </c>
      <c r="E633" s="1039">
        <v>0.79166666666666663</v>
      </c>
      <c r="F633" s="1040"/>
      <c r="G633" s="1041"/>
      <c r="H633" s="219"/>
      <c r="I633" s="1029"/>
      <c r="J633" s="964"/>
      <c r="K633" s="1030"/>
      <c r="L633" s="560">
        <v>2.0833333333333332E-2</v>
      </c>
      <c r="M633" s="520">
        <v>0.875</v>
      </c>
      <c r="N633" s="168"/>
      <c r="O633" s="139" t="s">
        <v>812</v>
      </c>
      <c r="P633" s="180">
        <v>0.1</v>
      </c>
      <c r="Q633" s="160">
        <v>0.11893333333333332</v>
      </c>
      <c r="R633" s="181">
        <v>1.4E-2</v>
      </c>
      <c r="S633" s="192">
        <v>1</v>
      </c>
      <c r="T633" s="182">
        <v>0.19239999999999999</v>
      </c>
      <c r="U633" s="144">
        <v>-34.001180327873797</v>
      </c>
      <c r="V633" s="145">
        <v>60.5</v>
      </c>
      <c r="W633" s="193">
        <v>3.08</v>
      </c>
      <c r="X633" s="147">
        <v>104.7236354098513</v>
      </c>
      <c r="Y633" s="148"/>
      <c r="Z633" s="148"/>
    </row>
    <row r="634" spans="3:26" ht="25" thickBot="1" x14ac:dyDescent="0.25">
      <c r="C634" s="89"/>
      <c r="D634" s="549" t="s">
        <v>436</v>
      </c>
      <c r="E634" s="93" t="s">
        <v>29</v>
      </c>
      <c r="F634" s="93" t="s">
        <v>28</v>
      </c>
      <c r="G634" s="94" t="s">
        <v>27</v>
      </c>
      <c r="H634" s="219" t="s">
        <v>793</v>
      </c>
      <c r="I634" s="1029"/>
      <c r="J634" s="964"/>
      <c r="K634" s="1030"/>
      <c r="L634" s="559"/>
      <c r="M634" s="519"/>
      <c r="N634" s="168"/>
      <c r="O634" s="127"/>
      <c r="P634" s="149"/>
      <c r="Q634" s="127"/>
      <c r="R634" s="127"/>
      <c r="S634" s="194"/>
      <c r="T634" s="127"/>
      <c r="U634" s="150"/>
      <c r="V634" s="151"/>
      <c r="W634" s="195"/>
      <c r="X634" s="150"/>
      <c r="Y634" s="128"/>
      <c r="Z634" s="128"/>
    </row>
    <row r="635" spans="3:26" ht="24" x14ac:dyDescent="0.2">
      <c r="C635" s="89"/>
      <c r="D635" s="550">
        <v>45553</v>
      </c>
      <c r="E635" s="96">
        <v>0.05</v>
      </c>
      <c r="F635" s="96" t="s">
        <v>940</v>
      </c>
      <c r="G635" s="96">
        <v>5.5E-2</v>
      </c>
      <c r="H635" s="225">
        <v>0.79166666666666663</v>
      </c>
      <c r="I635" s="1029"/>
      <c r="J635" s="964"/>
      <c r="K635" s="1030"/>
      <c r="L635" s="563"/>
      <c r="M635" s="519"/>
      <c r="N635" s="168"/>
      <c r="O635" s="152"/>
      <c r="P635" s="128"/>
      <c r="Q635" s="152"/>
      <c r="R635" s="152"/>
      <c r="S635" s="194"/>
      <c r="T635" s="152"/>
      <c r="U635" s="152"/>
      <c r="V635" s="152"/>
      <c r="W635" s="197"/>
      <c r="X635" s="152"/>
      <c r="Y635" s="128"/>
      <c r="Z635" s="128"/>
    </row>
    <row r="636" spans="3:26" ht="24" x14ac:dyDescent="0.2">
      <c r="C636" s="89"/>
      <c r="D636" s="550">
        <v>45504</v>
      </c>
      <c r="E636" s="96">
        <v>5.5E-2</v>
      </c>
      <c r="F636" s="96" t="s">
        <v>942</v>
      </c>
      <c r="G636" s="96">
        <v>5.5E-2</v>
      </c>
      <c r="H636" s="225">
        <v>0.79166666666666663</v>
      </c>
      <c r="I636" s="1029"/>
      <c r="J636" s="964"/>
      <c r="K636" s="1030"/>
      <c r="L636" s="563"/>
      <c r="M636" s="519"/>
      <c r="N636" s="168"/>
      <c r="O636" s="119" t="s">
        <v>813</v>
      </c>
      <c r="P636" s="202">
        <v>0.1</v>
      </c>
      <c r="Q636" s="153">
        <v>0.03</v>
      </c>
      <c r="R636" s="154">
        <v>1.4E-2</v>
      </c>
      <c r="S636" s="198">
        <v>1</v>
      </c>
      <c r="T636" s="199">
        <v>0.19239999999999999</v>
      </c>
      <c r="U636" s="155">
        <v>-34.001180327873797</v>
      </c>
      <c r="V636" s="156">
        <v>60.5</v>
      </c>
      <c r="W636" s="200">
        <v>3</v>
      </c>
      <c r="X636" s="157">
        <v>102.00354098362139</v>
      </c>
      <c r="Y636" s="158" t="s">
        <v>814</v>
      </c>
      <c r="Z636" s="158"/>
    </row>
    <row r="637" spans="3:26" ht="24" x14ac:dyDescent="0.2">
      <c r="C637" s="89"/>
      <c r="D637" s="550">
        <v>45455</v>
      </c>
      <c r="E637" s="96">
        <v>5.5E-2</v>
      </c>
      <c r="F637" s="96" t="s">
        <v>942</v>
      </c>
      <c r="G637" s="96">
        <v>5.5E-2</v>
      </c>
      <c r="H637" s="225">
        <v>0.79166666666666663</v>
      </c>
      <c r="I637" s="1029"/>
      <c r="J637" s="964"/>
      <c r="K637" s="1030"/>
      <c r="L637" s="563"/>
      <c r="M637" s="519"/>
      <c r="N637" s="168"/>
      <c r="O637" s="119" t="s">
        <v>813</v>
      </c>
      <c r="P637" s="202">
        <v>-0.1</v>
      </c>
      <c r="Q637" s="153">
        <v>0.03</v>
      </c>
      <c r="R637" s="154">
        <v>1.4E-2</v>
      </c>
      <c r="S637" s="198">
        <v>-1</v>
      </c>
      <c r="T637" s="199">
        <v>0.19239999999999999</v>
      </c>
      <c r="U637" s="155">
        <v>-34.001180327873797</v>
      </c>
      <c r="V637" s="156">
        <v>60.5</v>
      </c>
      <c r="W637" s="200">
        <v>3</v>
      </c>
      <c r="X637" s="157">
        <v>102.00354098362139</v>
      </c>
      <c r="Y637" s="158" t="s">
        <v>814</v>
      </c>
      <c r="Z637" s="158"/>
    </row>
    <row r="638" spans="3:26" ht="24" x14ac:dyDescent="0.2">
      <c r="C638" s="89"/>
      <c r="D638" s="550">
        <v>45413</v>
      </c>
      <c r="E638" s="96">
        <v>5.5E-2</v>
      </c>
      <c r="F638" s="96" t="s">
        <v>942</v>
      </c>
      <c r="G638" s="96">
        <v>5.5E-2</v>
      </c>
      <c r="H638" s="225">
        <v>0.79166666666666663</v>
      </c>
      <c r="I638" s="1029"/>
      <c r="J638" s="964"/>
      <c r="K638" s="1030"/>
      <c r="L638" s="563"/>
      <c r="M638" s="519"/>
      <c r="N638" s="168"/>
      <c r="O638" s="119"/>
      <c r="P638" s="120"/>
      <c r="Q638" s="153"/>
      <c r="R638" s="154"/>
      <c r="S638" s="123"/>
      <c r="T638" s="120"/>
      <c r="U638" s="155"/>
      <c r="V638" s="156"/>
      <c r="W638" s="123"/>
      <c r="X638" s="157"/>
      <c r="Y638" s="158"/>
      <c r="Z638" s="158"/>
    </row>
    <row r="639" spans="3:26" ht="24" x14ac:dyDescent="0.2">
      <c r="C639" s="89"/>
      <c r="D639" s="550">
        <v>45371</v>
      </c>
      <c r="E639" s="96">
        <v>5.5E-2</v>
      </c>
      <c r="F639" s="96" t="s">
        <v>942</v>
      </c>
      <c r="G639" s="96">
        <v>5.5E-2</v>
      </c>
      <c r="H639" s="225">
        <v>0.79166666666666663</v>
      </c>
      <c r="I639" s="1029"/>
      <c r="J639" s="964"/>
      <c r="K639" s="1030"/>
      <c r="L639" s="563"/>
      <c r="M639" s="519"/>
      <c r="N639" s="168"/>
      <c r="O639" s="89"/>
      <c r="P639" s="89"/>
      <c r="Q639" s="89"/>
      <c r="R639" s="89"/>
      <c r="S639" s="89"/>
      <c r="T639" s="89"/>
      <c r="U639" s="89"/>
      <c r="V639" s="89"/>
      <c r="W639" s="89"/>
      <c r="X639" s="89"/>
      <c r="Y639" s="89"/>
      <c r="Z639" s="89"/>
    </row>
    <row r="640" spans="3:26" ht="25" thickBot="1" x14ac:dyDescent="0.25">
      <c r="C640" s="89"/>
      <c r="D640" s="550">
        <v>45322</v>
      </c>
      <c r="E640" s="96">
        <v>5.5E-2</v>
      </c>
      <c r="F640" s="96" t="s">
        <v>942</v>
      </c>
      <c r="G640" s="96">
        <v>5.5E-2</v>
      </c>
      <c r="H640" s="225">
        <v>0.83333333333333326</v>
      </c>
      <c r="I640" s="1079"/>
      <c r="J640" s="1080"/>
      <c r="K640" s="1081"/>
      <c r="L640" s="563"/>
      <c r="M640" s="519"/>
      <c r="N640" s="168"/>
      <c r="O640" s="89"/>
      <c r="P640" s="89"/>
      <c r="Q640" s="89"/>
      <c r="R640" s="89"/>
      <c r="S640" s="89"/>
      <c r="T640" s="89"/>
      <c r="U640" s="89"/>
      <c r="V640" s="89"/>
      <c r="W640" s="89"/>
      <c r="X640" s="89"/>
      <c r="Y640" s="89"/>
      <c r="Z640" s="89"/>
    </row>
    <row r="641" spans="3:26" ht="49" thickBot="1" x14ac:dyDescent="0.25">
      <c r="C641">
        <v>12</v>
      </c>
      <c r="D641" s="552" t="s">
        <v>30</v>
      </c>
      <c r="E641" s="1052" t="s">
        <v>125</v>
      </c>
      <c r="F641" s="1053"/>
      <c r="G641" s="1054"/>
      <c r="H641" s="221" t="s">
        <v>790</v>
      </c>
      <c r="I641" s="1076" t="s">
        <v>633</v>
      </c>
      <c r="J641" s="1077"/>
      <c r="K641" s="1078"/>
      <c r="L641" s="558" t="s">
        <v>430</v>
      </c>
      <c r="M641" s="521" t="s">
        <v>431</v>
      </c>
      <c r="N641" s="168" t="s">
        <v>105</v>
      </c>
      <c r="O641" s="118" t="s">
        <v>800</v>
      </c>
      <c r="P641" s="118" t="s">
        <v>801</v>
      </c>
      <c r="Q641" s="118" t="s">
        <v>802</v>
      </c>
      <c r="R641" s="118" t="s">
        <v>803</v>
      </c>
      <c r="S641" s="118" t="s">
        <v>804</v>
      </c>
      <c r="T641" s="118" t="s">
        <v>805</v>
      </c>
      <c r="U641" s="118" t="s">
        <v>806</v>
      </c>
      <c r="V641" s="118" t="s">
        <v>807</v>
      </c>
      <c r="W641" s="118" t="s">
        <v>808</v>
      </c>
      <c r="X641" s="118" t="s">
        <v>809</v>
      </c>
      <c r="Y641" s="118" t="s">
        <v>75</v>
      </c>
      <c r="Z641" s="118" t="s">
        <v>75</v>
      </c>
    </row>
    <row r="642" spans="3:26" ht="24" x14ac:dyDescent="0.2">
      <c r="C642" s="89"/>
      <c r="D642" s="544" t="s">
        <v>432</v>
      </c>
      <c r="E642" s="1024"/>
      <c r="F642" s="1025"/>
      <c r="G642" s="1026"/>
      <c r="H642" s="218" t="s">
        <v>794</v>
      </c>
      <c r="I642" s="1027" t="s">
        <v>935</v>
      </c>
      <c r="J642" s="962"/>
      <c r="K642" s="1028"/>
      <c r="L642" s="559"/>
      <c r="M642" s="519"/>
      <c r="N642" s="168"/>
      <c r="O642" s="119" t="s">
        <v>810</v>
      </c>
      <c r="P642" s="120">
        <v>0.1</v>
      </c>
      <c r="Q642" s="121">
        <v>3.9E-2</v>
      </c>
      <c r="R642" s="122">
        <v>2.1000000000015007E-2</v>
      </c>
      <c r="S642" s="123"/>
      <c r="T642" s="119">
        <v>7.9500000000015003E-2</v>
      </c>
      <c r="U642" s="121">
        <v>-18.989999999999998</v>
      </c>
      <c r="V642" s="120">
        <v>91.8</v>
      </c>
      <c r="W642" s="123"/>
      <c r="X642" s="123"/>
      <c r="Y642" s="124"/>
      <c r="Z642" s="124"/>
    </row>
    <row r="643" spans="3:26" ht="24" x14ac:dyDescent="0.2">
      <c r="C643" s="89"/>
      <c r="D643" s="546" t="s">
        <v>433</v>
      </c>
      <c r="E643" s="1061">
        <v>0</v>
      </c>
      <c r="F643" s="1062"/>
      <c r="G643" s="1063"/>
      <c r="H643" s="218" t="s">
        <v>795</v>
      </c>
      <c r="I643" s="1029"/>
      <c r="J643" s="964"/>
      <c r="K643" s="1030"/>
      <c r="L643" s="559"/>
      <c r="M643" s="519"/>
      <c r="N643" s="168"/>
      <c r="O643" s="125"/>
      <c r="P643" s="125"/>
      <c r="Q643" s="125"/>
      <c r="R643" s="126"/>
      <c r="S643" s="127"/>
      <c r="T643" s="125"/>
      <c r="U643" s="125"/>
      <c r="V643" s="125"/>
      <c r="W643" s="127"/>
      <c r="X643" s="127"/>
      <c r="Y643" s="128"/>
      <c r="Z643" s="128"/>
    </row>
    <row r="644" spans="3:26" ht="24" x14ac:dyDescent="0.2">
      <c r="C644" s="89"/>
      <c r="D644" s="546" t="s">
        <v>434</v>
      </c>
      <c r="E644" s="1061">
        <v>0</v>
      </c>
      <c r="F644" s="1062"/>
      <c r="G644" s="1063"/>
      <c r="H644" s="219"/>
      <c r="I644" s="1029"/>
      <c r="J644" s="964"/>
      <c r="K644" s="1030"/>
      <c r="L644" s="559"/>
      <c r="M644" s="519"/>
      <c r="N644" s="168"/>
      <c r="O644" s="129" t="s">
        <v>811</v>
      </c>
      <c r="P644" s="130">
        <v>0.1</v>
      </c>
      <c r="Q644" s="131">
        <v>7.22E-2</v>
      </c>
      <c r="R644" s="132">
        <v>1.4999999999999999E-2</v>
      </c>
      <c r="S644" s="133">
        <v>1</v>
      </c>
      <c r="T644" s="129">
        <v>0.12330000000000001</v>
      </c>
      <c r="U644" s="134">
        <v>-29.452415094334064</v>
      </c>
      <c r="V644" s="135">
        <v>60.5</v>
      </c>
      <c r="W644" s="136">
        <v>4.88</v>
      </c>
      <c r="X644" s="137">
        <v>143.72778566035024</v>
      </c>
      <c r="Y644" s="138"/>
      <c r="Z644" s="138">
        <v>4.4350000000000005</v>
      </c>
    </row>
    <row r="645" spans="3:26" ht="25" thickBot="1" x14ac:dyDescent="0.25">
      <c r="C645" s="89"/>
      <c r="D645" s="547" t="s">
        <v>435</v>
      </c>
      <c r="E645" s="1039">
        <v>0.79166666666666663</v>
      </c>
      <c r="F645" s="1040"/>
      <c r="G645" s="1041"/>
      <c r="H645" s="219"/>
      <c r="I645" s="1029"/>
      <c r="J645" s="964"/>
      <c r="K645" s="1030"/>
      <c r="L645" s="560">
        <v>2.0833333333333332E-2</v>
      </c>
      <c r="M645" s="520">
        <v>0.875</v>
      </c>
      <c r="N645" s="168"/>
      <c r="O645" s="139" t="s">
        <v>812</v>
      </c>
      <c r="P645" s="140">
        <v>0.1</v>
      </c>
      <c r="Q645" s="141">
        <v>4.0533333333333338E-2</v>
      </c>
      <c r="R645" s="142">
        <v>1.4999999999999999E-2</v>
      </c>
      <c r="S645" s="143">
        <v>0.5</v>
      </c>
      <c r="T645" s="139">
        <v>7.5800000000000006E-2</v>
      </c>
      <c r="U645" s="144">
        <v>-9.0530943396209338</v>
      </c>
      <c r="V645" s="145">
        <v>60.5</v>
      </c>
      <c r="W645" s="146">
        <v>2.3650000000000002</v>
      </c>
      <c r="X645" s="147">
        <v>21.41056811320351</v>
      </c>
      <c r="Y645" s="148"/>
      <c r="Z645" s="148"/>
    </row>
    <row r="646" spans="3:26" ht="25" thickBot="1" x14ac:dyDescent="0.25">
      <c r="C646" s="89"/>
      <c r="D646" s="549" t="s">
        <v>436</v>
      </c>
      <c r="E646" s="93" t="s">
        <v>29</v>
      </c>
      <c r="F646" s="93" t="s">
        <v>28</v>
      </c>
      <c r="G646" s="94" t="s">
        <v>27</v>
      </c>
      <c r="H646" s="219" t="s">
        <v>793</v>
      </c>
      <c r="I646" s="1029"/>
      <c r="J646" s="964"/>
      <c r="K646" s="1030"/>
      <c r="L646" s="559"/>
      <c r="M646" s="519"/>
      <c r="N646" s="168"/>
      <c r="O646" s="127"/>
      <c r="P646" s="149"/>
      <c r="Q646" s="127"/>
      <c r="R646" s="127"/>
      <c r="S646" s="127"/>
      <c r="T646" s="127"/>
      <c r="U646" s="150"/>
      <c r="V646" s="151"/>
      <c r="W646" s="127"/>
      <c r="X646" s="150"/>
      <c r="Y646" s="128"/>
      <c r="Z646" s="128"/>
    </row>
    <row r="647" spans="3:26" ht="24" x14ac:dyDescent="0.2">
      <c r="C647" s="89"/>
      <c r="D647" s="550">
        <v>45553</v>
      </c>
      <c r="E647" s="97">
        <v>0</v>
      </c>
      <c r="F647" s="97" t="s">
        <v>754</v>
      </c>
      <c r="G647" s="97">
        <v>0</v>
      </c>
      <c r="H647" s="225">
        <v>0.79166666666666663</v>
      </c>
      <c r="I647" s="1029"/>
      <c r="J647" s="964"/>
      <c r="K647" s="1030"/>
      <c r="L647" s="559"/>
      <c r="M647" s="519"/>
      <c r="N647" s="168"/>
      <c r="O647" s="152"/>
      <c r="P647" s="128"/>
      <c r="Q647" s="152"/>
      <c r="R647" s="152"/>
      <c r="S647" s="152"/>
      <c r="T647" s="152"/>
      <c r="U647" s="152"/>
      <c r="V647" s="152"/>
      <c r="W647" s="152"/>
      <c r="X647" s="152"/>
      <c r="Y647" s="128"/>
      <c r="Z647" s="128"/>
    </row>
    <row r="648" spans="3:26" ht="24" x14ac:dyDescent="0.2">
      <c r="C648" s="89"/>
      <c r="D648" s="550">
        <v>45504</v>
      </c>
      <c r="E648" s="97">
        <v>0</v>
      </c>
      <c r="F648" s="97" t="s">
        <v>754</v>
      </c>
      <c r="G648" s="97">
        <v>0</v>
      </c>
      <c r="H648" s="225">
        <v>0.79166666666666663</v>
      </c>
      <c r="I648" s="1029"/>
      <c r="J648" s="964"/>
      <c r="K648" s="1030"/>
      <c r="L648" s="559"/>
      <c r="M648" s="519"/>
      <c r="N648" s="168"/>
      <c r="O648" s="119" t="s">
        <v>813</v>
      </c>
      <c r="P648" s="120">
        <v>0.25</v>
      </c>
      <c r="Q648" s="153">
        <v>4.0533333333333338E-2</v>
      </c>
      <c r="R648" s="154">
        <v>1.4999999999999999E-2</v>
      </c>
      <c r="S648" s="123">
        <v>0.5</v>
      </c>
      <c r="T648" s="120">
        <v>7.5800000000000006E-2</v>
      </c>
      <c r="U648" s="155">
        <v>-22.632735849052334</v>
      </c>
      <c r="V648" s="156">
        <v>151.25</v>
      </c>
      <c r="W648" s="123">
        <v>2</v>
      </c>
      <c r="X648" s="157">
        <v>45.265471698104669</v>
      </c>
      <c r="Y648" s="158" t="s">
        <v>814</v>
      </c>
      <c r="Z648" s="158"/>
    </row>
    <row r="649" spans="3:26" ht="24" x14ac:dyDescent="0.2">
      <c r="C649" s="89"/>
      <c r="D649" s="550">
        <v>45455</v>
      </c>
      <c r="E649" s="97">
        <v>0</v>
      </c>
      <c r="F649" s="97" t="s">
        <v>754</v>
      </c>
      <c r="G649" s="97">
        <v>0</v>
      </c>
      <c r="H649" s="225">
        <v>0.79166666666666663</v>
      </c>
      <c r="I649" s="1029"/>
      <c r="J649" s="964"/>
      <c r="K649" s="1030"/>
      <c r="L649" s="562"/>
      <c r="M649" s="519"/>
      <c r="N649" s="168"/>
      <c r="O649" s="119" t="s">
        <v>813</v>
      </c>
      <c r="P649" s="120">
        <v>0.25</v>
      </c>
      <c r="Q649" s="153">
        <v>4.0533333333333338E-2</v>
      </c>
      <c r="R649" s="154">
        <v>1.4999999999999999E-2</v>
      </c>
      <c r="S649" s="123">
        <v>0.5</v>
      </c>
      <c r="T649" s="120">
        <v>7.5800000000000006E-2</v>
      </c>
      <c r="U649" s="155">
        <v>-22.009959016396646</v>
      </c>
      <c r="V649" s="156">
        <v>151.25</v>
      </c>
      <c r="W649" s="123">
        <v>2</v>
      </c>
      <c r="X649" s="157">
        <v>44.019918032793292</v>
      </c>
      <c r="Y649" s="158"/>
      <c r="Z649" s="158"/>
    </row>
    <row r="650" spans="3:26" ht="24" x14ac:dyDescent="0.2">
      <c r="C650" s="89"/>
      <c r="D650" s="550">
        <v>45413</v>
      </c>
      <c r="E650" s="97">
        <v>0</v>
      </c>
      <c r="F650" s="97" t="s">
        <v>754</v>
      </c>
      <c r="G650" s="97">
        <v>0</v>
      </c>
      <c r="H650" s="225">
        <v>0.79166666666666663</v>
      </c>
      <c r="I650" s="1029"/>
      <c r="J650" s="964"/>
      <c r="K650" s="1030"/>
      <c r="L650" s="559"/>
      <c r="M650" s="519"/>
      <c r="N650" s="168"/>
      <c r="O650" s="119" t="s">
        <v>816</v>
      </c>
      <c r="P650" s="120"/>
      <c r="Q650" s="153"/>
      <c r="R650" s="154"/>
      <c r="S650" s="123"/>
      <c r="T650" s="120"/>
      <c r="U650" s="155">
        <v>-22.009959016396646</v>
      </c>
      <c r="V650" s="156"/>
      <c r="W650" s="123"/>
      <c r="X650" s="157">
        <v>44.019918032793292</v>
      </c>
      <c r="Y650" s="158"/>
      <c r="Z650" s="158"/>
    </row>
    <row r="651" spans="3:26" ht="24" x14ac:dyDescent="0.2">
      <c r="C651" s="89"/>
      <c r="D651" s="550">
        <v>45371</v>
      </c>
      <c r="E651" s="97">
        <v>0</v>
      </c>
      <c r="F651" s="97" t="s">
        <v>754</v>
      </c>
      <c r="G651" s="97">
        <v>0</v>
      </c>
      <c r="H651" s="225">
        <v>0.79166666666666663</v>
      </c>
      <c r="I651" s="1029"/>
      <c r="J651" s="964"/>
      <c r="K651" s="1030"/>
      <c r="L651" s="559"/>
      <c r="M651" s="519"/>
      <c r="N651" s="168"/>
      <c r="O651" s="89"/>
      <c r="P651" s="89"/>
      <c r="Q651" s="89"/>
      <c r="R651" s="89"/>
      <c r="S651" s="89"/>
      <c r="T651" s="89"/>
      <c r="U651" s="89"/>
      <c r="V651" s="89"/>
      <c r="W651" s="89"/>
      <c r="X651" s="89"/>
      <c r="Y651" s="89"/>
      <c r="Z651" s="89"/>
    </row>
    <row r="652" spans="3:26" ht="24" thickBot="1" x14ac:dyDescent="0.25">
      <c r="C652" s="89"/>
      <c r="D652" s="550">
        <v>45322</v>
      </c>
      <c r="E652" s="97">
        <v>0</v>
      </c>
      <c r="F652" s="97">
        <v>0</v>
      </c>
      <c r="G652" s="97">
        <v>0</v>
      </c>
      <c r="H652" s="225">
        <v>0.83333333333333326</v>
      </c>
      <c r="I652" s="1031"/>
      <c r="J652" s="966"/>
      <c r="K652" s="1032"/>
      <c r="L652" s="571"/>
      <c r="M652" s="522"/>
      <c r="N652" s="168"/>
      <c r="O652" s="89"/>
      <c r="P652" s="89"/>
      <c r="Q652" s="89"/>
      <c r="R652" s="89"/>
      <c r="S652" s="89"/>
      <c r="T652" s="89"/>
      <c r="U652" s="89"/>
      <c r="V652" s="89"/>
      <c r="W652" s="89"/>
      <c r="X652" s="89"/>
      <c r="Y652" s="89"/>
      <c r="Z652" s="89"/>
    </row>
    <row r="653" spans="3:26" ht="49" thickBot="1" x14ac:dyDescent="0.25">
      <c r="C653">
        <v>13</v>
      </c>
      <c r="D653" s="552" t="s">
        <v>30</v>
      </c>
      <c r="E653" s="1052" t="s">
        <v>129</v>
      </c>
      <c r="F653" s="1053"/>
      <c r="G653" s="1054"/>
      <c r="H653" s="226" t="s">
        <v>790</v>
      </c>
      <c r="I653" s="1064" t="s">
        <v>633</v>
      </c>
      <c r="J653" s="1065"/>
      <c r="K653" s="1066"/>
      <c r="L653" s="572" t="s">
        <v>430</v>
      </c>
      <c r="M653" s="226" t="s">
        <v>431</v>
      </c>
      <c r="N653" s="168" t="s">
        <v>105</v>
      </c>
      <c r="O653" s="118" t="s">
        <v>800</v>
      </c>
      <c r="P653" s="118" t="s">
        <v>801</v>
      </c>
      <c r="Q653" s="118" t="s">
        <v>802</v>
      </c>
      <c r="R653" s="118" t="s">
        <v>803</v>
      </c>
      <c r="S653" s="118" t="s">
        <v>804</v>
      </c>
      <c r="T653" s="118" t="s">
        <v>805</v>
      </c>
      <c r="U653" s="118" t="s">
        <v>806</v>
      </c>
      <c r="V653" s="118" t="s">
        <v>807</v>
      </c>
      <c r="W653" s="118" t="s">
        <v>808</v>
      </c>
      <c r="X653" s="118" t="s">
        <v>809</v>
      </c>
      <c r="Y653" s="118" t="s">
        <v>75</v>
      </c>
      <c r="Z653" s="118" t="s">
        <v>75</v>
      </c>
    </row>
    <row r="654" spans="3:26" ht="24" x14ac:dyDescent="0.2">
      <c r="C654" s="89"/>
      <c r="D654" s="544" t="s">
        <v>432</v>
      </c>
      <c r="E654" s="1024"/>
      <c r="F654" s="1025"/>
      <c r="G654" s="1026"/>
      <c r="H654" s="218" t="s">
        <v>794</v>
      </c>
      <c r="I654" s="1067" t="s">
        <v>936</v>
      </c>
      <c r="J654" s="1068"/>
      <c r="K654" s="1069"/>
      <c r="L654" s="559"/>
      <c r="M654" s="513"/>
      <c r="N654" s="168"/>
      <c r="O654" s="119" t="s">
        <v>810</v>
      </c>
      <c r="P654" s="120">
        <v>0.1</v>
      </c>
      <c r="Q654" s="121">
        <v>3.9E-2</v>
      </c>
      <c r="R654" s="122">
        <v>2.1000000000015007E-2</v>
      </c>
      <c r="S654" s="123"/>
      <c r="T654" s="119">
        <v>7.9500000000015003E-2</v>
      </c>
      <c r="U654" s="121">
        <v>-18.989999999999998</v>
      </c>
      <c r="V654" s="120">
        <v>91.8</v>
      </c>
      <c r="W654" s="123"/>
      <c r="X654" s="123"/>
      <c r="Y654" s="124"/>
      <c r="Z654" s="124"/>
    </row>
    <row r="655" spans="3:26" ht="24" x14ac:dyDescent="0.2">
      <c r="C655" s="89"/>
      <c r="D655" s="546" t="s">
        <v>433</v>
      </c>
      <c r="E655" s="1061">
        <v>0</v>
      </c>
      <c r="F655" s="1062"/>
      <c r="G655" s="1063"/>
      <c r="H655" s="218" t="s">
        <v>795</v>
      </c>
      <c r="I655" s="1070"/>
      <c r="J655" s="1071"/>
      <c r="K655" s="1072"/>
      <c r="L655" s="559"/>
      <c r="M655" s="513"/>
      <c r="N655" s="168"/>
      <c r="O655" s="125"/>
      <c r="P655" s="125"/>
      <c r="Q655" s="125"/>
      <c r="R655" s="126"/>
      <c r="S655" s="127"/>
      <c r="T655" s="125"/>
      <c r="U655" s="125"/>
      <c r="V655" s="125"/>
      <c r="W655" s="127"/>
      <c r="X655" s="127"/>
      <c r="Y655" s="128"/>
      <c r="Z655" s="128"/>
    </row>
    <row r="656" spans="3:26" ht="24" x14ac:dyDescent="0.2">
      <c r="C656" s="89"/>
      <c r="D656" s="546" t="s">
        <v>434</v>
      </c>
      <c r="E656" s="1061">
        <v>0</v>
      </c>
      <c r="F656" s="1062"/>
      <c r="G656" s="1063"/>
      <c r="H656" s="227"/>
      <c r="I656" s="1070"/>
      <c r="J656" s="1071"/>
      <c r="K656" s="1072"/>
      <c r="L656" s="559"/>
      <c r="M656" s="513"/>
      <c r="N656" s="168"/>
      <c r="O656" s="129" t="s">
        <v>811</v>
      </c>
      <c r="P656" s="130">
        <v>0.1</v>
      </c>
      <c r="Q656" s="131">
        <v>7.22E-2</v>
      </c>
      <c r="R656" s="132">
        <v>1.4999999999999999E-2</v>
      </c>
      <c r="S656" s="133">
        <v>1</v>
      </c>
      <c r="T656" s="129">
        <v>0.12330000000000001</v>
      </c>
      <c r="U656" s="134">
        <v>-29.452415094334064</v>
      </c>
      <c r="V656" s="135">
        <v>60.5</v>
      </c>
      <c r="W656" s="136">
        <v>4.88</v>
      </c>
      <c r="X656" s="137">
        <v>143.72778566035024</v>
      </c>
      <c r="Y656" s="138"/>
      <c r="Z656" s="138">
        <v>4.4350000000000005</v>
      </c>
    </row>
    <row r="657" spans="2:40" ht="25" thickBot="1" x14ac:dyDescent="0.25">
      <c r="C657" s="89"/>
      <c r="D657" s="547" t="s">
        <v>435</v>
      </c>
      <c r="E657" s="1039">
        <v>0.8125</v>
      </c>
      <c r="F657" s="1040"/>
      <c r="G657" s="1041"/>
      <c r="H657" s="227"/>
      <c r="I657" s="1070"/>
      <c r="J657" s="1071"/>
      <c r="K657" s="1072"/>
      <c r="L657" s="560">
        <v>4.1666666666666664E-2</v>
      </c>
      <c r="M657" s="514">
        <v>0.89583333333333337</v>
      </c>
      <c r="N657" s="168"/>
      <c r="O657" s="139" t="s">
        <v>812</v>
      </c>
      <c r="P657" s="140">
        <v>0.1</v>
      </c>
      <c r="Q657" s="141">
        <v>4.0533333333333338E-2</v>
      </c>
      <c r="R657" s="142">
        <v>1.4999999999999999E-2</v>
      </c>
      <c r="S657" s="143">
        <v>0.5</v>
      </c>
      <c r="T657" s="139">
        <v>7.5800000000000006E-2</v>
      </c>
      <c r="U657" s="144">
        <v>-9.0530943396209338</v>
      </c>
      <c r="V657" s="145">
        <v>60.5</v>
      </c>
      <c r="W657" s="146">
        <v>2.3650000000000002</v>
      </c>
      <c r="X657" s="147">
        <v>21.41056811320351</v>
      </c>
      <c r="Y657" s="148"/>
      <c r="Z657" s="148"/>
    </row>
    <row r="658" spans="2:40" ht="25" thickBot="1" x14ac:dyDescent="0.25">
      <c r="C658" s="89"/>
      <c r="D658" s="549" t="s">
        <v>436</v>
      </c>
      <c r="E658" s="93" t="s">
        <v>29</v>
      </c>
      <c r="F658" s="93" t="s">
        <v>28</v>
      </c>
      <c r="G658" s="94" t="s">
        <v>27</v>
      </c>
      <c r="H658" s="227" t="s">
        <v>793</v>
      </c>
      <c r="I658" s="1070"/>
      <c r="J658" s="1071"/>
      <c r="K658" s="1072"/>
      <c r="L658" s="559"/>
      <c r="M658" s="513"/>
      <c r="N658" s="168"/>
      <c r="O658" s="127"/>
      <c r="P658" s="149"/>
      <c r="Q658" s="127"/>
      <c r="R658" s="127"/>
      <c r="S658" s="127"/>
      <c r="T658" s="127"/>
      <c r="U658" s="150"/>
      <c r="V658" s="151"/>
      <c r="W658" s="127"/>
      <c r="X658" s="150"/>
      <c r="Y658" s="128"/>
      <c r="Z658" s="128"/>
    </row>
    <row r="659" spans="2:40" ht="24" x14ac:dyDescent="0.2">
      <c r="C659" s="89"/>
      <c r="D659" s="550">
        <v>45553</v>
      </c>
      <c r="E659" s="97">
        <v>0</v>
      </c>
      <c r="F659" s="97" t="s">
        <v>754</v>
      </c>
      <c r="G659" s="98">
        <v>0</v>
      </c>
      <c r="H659" s="225">
        <v>0.8125</v>
      </c>
      <c r="I659" s="1070"/>
      <c r="J659" s="1071"/>
      <c r="K659" s="1072"/>
      <c r="L659" s="559"/>
      <c r="M659" s="513"/>
      <c r="N659" s="168"/>
      <c r="O659" s="152"/>
      <c r="P659" s="128"/>
      <c r="Q659" s="152"/>
      <c r="R659" s="152"/>
      <c r="S659" s="152"/>
      <c r="T659" s="152"/>
      <c r="U659" s="152"/>
      <c r="V659" s="152"/>
      <c r="W659" s="152"/>
      <c r="X659" s="152"/>
      <c r="Y659" s="128"/>
      <c r="Z659" s="128"/>
    </row>
    <row r="660" spans="2:40" ht="24" x14ac:dyDescent="0.2">
      <c r="C660" s="89"/>
      <c r="D660" s="550">
        <v>45504</v>
      </c>
      <c r="E660" s="97">
        <v>0</v>
      </c>
      <c r="F660" s="97" t="s">
        <v>754</v>
      </c>
      <c r="G660" s="98">
        <v>0</v>
      </c>
      <c r="H660" s="225">
        <v>0.8125</v>
      </c>
      <c r="I660" s="1070"/>
      <c r="J660" s="1071"/>
      <c r="K660" s="1072"/>
      <c r="L660" s="559"/>
      <c r="M660" s="513"/>
      <c r="N660" s="168"/>
      <c r="O660" s="119" t="s">
        <v>813</v>
      </c>
      <c r="P660" s="120">
        <v>0.25</v>
      </c>
      <c r="Q660" s="153">
        <v>4.0533333333333338E-2</v>
      </c>
      <c r="R660" s="154">
        <v>1.4999999999999999E-2</v>
      </c>
      <c r="S660" s="123">
        <v>0.5</v>
      </c>
      <c r="T660" s="120">
        <v>7.5800000000000006E-2</v>
      </c>
      <c r="U660" s="155">
        <v>-22.632735849052334</v>
      </c>
      <c r="V660" s="156">
        <v>151.25</v>
      </c>
      <c r="W660" s="123">
        <v>2</v>
      </c>
      <c r="X660" s="157">
        <v>45.265471698104669</v>
      </c>
      <c r="Y660" s="158" t="s">
        <v>814</v>
      </c>
      <c r="Z660" s="158"/>
    </row>
    <row r="661" spans="2:40" ht="24" x14ac:dyDescent="0.2">
      <c r="C661" s="89"/>
      <c r="D661" s="550">
        <v>45455</v>
      </c>
      <c r="E661" s="97">
        <v>0</v>
      </c>
      <c r="F661" s="97" t="s">
        <v>754</v>
      </c>
      <c r="G661" s="98">
        <v>0</v>
      </c>
      <c r="H661" s="225">
        <v>0.8125</v>
      </c>
      <c r="I661" s="1070"/>
      <c r="J661" s="1071"/>
      <c r="K661" s="1072"/>
      <c r="L661" s="562"/>
      <c r="M661" s="513"/>
      <c r="N661" s="168"/>
      <c r="O661" s="119" t="s">
        <v>813</v>
      </c>
      <c r="P661" s="120">
        <v>0.25</v>
      </c>
      <c r="Q661" s="153">
        <v>4.0533333333333338E-2</v>
      </c>
      <c r="R661" s="154">
        <v>1.4999999999999999E-2</v>
      </c>
      <c r="S661" s="123">
        <v>0.5</v>
      </c>
      <c r="T661" s="120">
        <v>7.5800000000000006E-2</v>
      </c>
      <c r="U661" s="155">
        <v>-22.009959016396646</v>
      </c>
      <c r="V661" s="156">
        <v>151.25</v>
      </c>
      <c r="W661" s="123">
        <v>2</v>
      </c>
      <c r="X661" s="157">
        <v>44.019918032793292</v>
      </c>
      <c r="Y661" s="158"/>
      <c r="Z661" s="158"/>
    </row>
    <row r="662" spans="2:40" ht="24" x14ac:dyDescent="0.2">
      <c r="C662" s="89"/>
      <c r="D662" s="550">
        <v>45413</v>
      </c>
      <c r="E662" s="97">
        <v>0</v>
      </c>
      <c r="F662" s="97" t="s">
        <v>754</v>
      </c>
      <c r="G662" s="98">
        <v>0</v>
      </c>
      <c r="H662" s="225">
        <v>0.8125</v>
      </c>
      <c r="I662" s="1070"/>
      <c r="J662" s="1071"/>
      <c r="K662" s="1072"/>
      <c r="L662" s="559"/>
      <c r="M662" s="513"/>
      <c r="N662" s="168"/>
      <c r="O662" s="119" t="s">
        <v>816</v>
      </c>
      <c r="P662" s="120"/>
      <c r="Q662" s="153"/>
      <c r="R662" s="154"/>
      <c r="S662" s="123"/>
      <c r="T662" s="120"/>
      <c r="U662" s="155">
        <v>-22.009959016396646</v>
      </c>
      <c r="V662" s="156"/>
      <c r="W662" s="123"/>
      <c r="X662" s="157">
        <v>44.019918032793292</v>
      </c>
      <c r="Y662" s="158"/>
      <c r="Z662" s="158"/>
    </row>
    <row r="663" spans="2:40" ht="24" x14ac:dyDescent="0.2">
      <c r="C663" s="89"/>
      <c r="D663" s="550">
        <v>45371</v>
      </c>
      <c r="E663" s="97">
        <v>0</v>
      </c>
      <c r="F663" s="97" t="s">
        <v>754</v>
      </c>
      <c r="G663" s="98">
        <v>0</v>
      </c>
      <c r="H663" s="225">
        <v>0.8125</v>
      </c>
      <c r="I663" s="1070"/>
      <c r="J663" s="1071"/>
      <c r="K663" s="1072"/>
      <c r="L663" s="559"/>
      <c r="M663" s="513"/>
      <c r="N663" s="168"/>
      <c r="O663" s="89"/>
      <c r="P663" s="89"/>
      <c r="Q663" s="89"/>
      <c r="R663" s="89"/>
      <c r="S663" s="89"/>
      <c r="T663" s="89"/>
      <c r="U663" s="89"/>
      <c r="V663" s="89"/>
      <c r="W663" s="89"/>
      <c r="X663" s="89"/>
      <c r="Y663" s="89"/>
      <c r="Z663" s="89"/>
    </row>
    <row r="664" spans="2:40" ht="25" thickBot="1" x14ac:dyDescent="0.25">
      <c r="C664" s="89"/>
      <c r="D664" s="556">
        <v>45322</v>
      </c>
      <c r="E664" s="164">
        <v>0</v>
      </c>
      <c r="F664" s="164" t="s">
        <v>754</v>
      </c>
      <c r="G664" s="228">
        <v>0</v>
      </c>
      <c r="H664" s="225">
        <v>0.85416666666666663</v>
      </c>
      <c r="I664" s="1073"/>
      <c r="J664" s="1074"/>
      <c r="K664" s="1075"/>
      <c r="L664" s="559"/>
      <c r="M664" s="513"/>
      <c r="N664" s="168"/>
      <c r="O664" s="89"/>
      <c r="P664" s="89"/>
      <c r="Q664" s="89"/>
      <c r="R664" s="89"/>
      <c r="S664" s="89"/>
      <c r="T664" s="89"/>
      <c r="U664" s="89"/>
      <c r="V664" s="89"/>
      <c r="W664" s="89"/>
      <c r="X664" s="89"/>
      <c r="Y664" s="89"/>
      <c r="Z664" s="89"/>
    </row>
    <row r="665" spans="2:40" ht="49" thickBot="1" x14ac:dyDescent="0.25">
      <c r="B665" s="91" t="s">
        <v>429</v>
      </c>
      <c r="C665" s="91">
        <v>1</v>
      </c>
      <c r="D665" s="552" t="s">
        <v>30</v>
      </c>
      <c r="E665" s="1052" t="s">
        <v>948</v>
      </c>
      <c r="F665" s="1053"/>
      <c r="G665" s="1054"/>
      <c r="H665" s="217" t="s">
        <v>790</v>
      </c>
      <c r="I665" s="1055" t="s">
        <v>633</v>
      </c>
      <c r="J665" s="1056"/>
      <c r="K665" s="1057"/>
      <c r="L665" s="570" t="s">
        <v>430</v>
      </c>
      <c r="M665" s="518" t="s">
        <v>431</v>
      </c>
      <c r="N665" s="168" t="s">
        <v>105</v>
      </c>
      <c r="O665" s="118" t="s">
        <v>800</v>
      </c>
      <c r="P665" s="118" t="s">
        <v>801</v>
      </c>
      <c r="Q665" s="118" t="s">
        <v>802</v>
      </c>
      <c r="R665" s="118" t="s">
        <v>803</v>
      </c>
      <c r="S665" s="118" t="s">
        <v>804</v>
      </c>
      <c r="T665" s="118" t="s">
        <v>805</v>
      </c>
      <c r="U665" s="118" t="s">
        <v>806</v>
      </c>
      <c r="V665" s="118" t="s">
        <v>807</v>
      </c>
      <c r="W665" s="118" t="s">
        <v>808</v>
      </c>
      <c r="X665" s="118" t="s">
        <v>809</v>
      </c>
      <c r="Y665" s="118" t="s">
        <v>75</v>
      </c>
      <c r="Z665" s="118" t="s">
        <v>75</v>
      </c>
      <c r="AA665" s="89"/>
      <c r="AB665" s="89"/>
      <c r="AC665" s="89"/>
      <c r="AD665" s="89"/>
      <c r="AE665" s="89"/>
      <c r="AF665" s="89"/>
      <c r="AG665" s="89"/>
      <c r="AH665" s="89"/>
      <c r="AI665" s="89"/>
      <c r="AJ665" s="89"/>
      <c r="AK665" s="89"/>
      <c r="AL665" s="89"/>
      <c r="AM665" s="89"/>
      <c r="AN665" s="89"/>
    </row>
    <row r="666" spans="2:40" ht="24" x14ac:dyDescent="0.2">
      <c r="C666" s="91"/>
      <c r="D666" s="544" t="s">
        <v>432</v>
      </c>
      <c r="E666" s="1024"/>
      <c r="F666" s="1025"/>
      <c r="G666" s="1026"/>
      <c r="H666" s="218" t="s">
        <v>909</v>
      </c>
      <c r="I666" s="1027" t="s">
        <v>949</v>
      </c>
      <c r="J666" s="962"/>
      <c r="K666" s="1028"/>
      <c r="L666" s="559"/>
      <c r="M666" s="519"/>
      <c r="N666" s="168"/>
      <c r="O666" s="119" t="s">
        <v>810</v>
      </c>
      <c r="P666" s="171">
        <v>0.1</v>
      </c>
      <c r="Q666" s="172">
        <v>1.9E-2</v>
      </c>
      <c r="R666" s="173">
        <v>2.199999999999136E-2</v>
      </c>
      <c r="S666" s="123"/>
      <c r="T666" s="119">
        <v>5.0499999999991357E-2</v>
      </c>
      <c r="U666" s="172">
        <v>-12.04</v>
      </c>
      <c r="V666" s="171">
        <v>60.5</v>
      </c>
      <c r="W666" s="174">
        <v>2</v>
      </c>
      <c r="X666" s="157">
        <v>24.08</v>
      </c>
      <c r="Y666" s="124"/>
      <c r="Z666" s="124"/>
      <c r="AA666" s="89"/>
      <c r="AB666" s="89"/>
      <c r="AC666" s="89"/>
      <c r="AD666" s="89"/>
      <c r="AE666" s="89"/>
      <c r="AF666" s="89"/>
      <c r="AG666" s="89"/>
      <c r="AH666" s="89"/>
      <c r="AI666" s="89"/>
      <c r="AJ666" s="89"/>
      <c r="AK666" s="89"/>
      <c r="AL666" s="89"/>
      <c r="AM666" s="89"/>
      <c r="AN666" s="89"/>
    </row>
    <row r="667" spans="2:40" ht="24" x14ac:dyDescent="0.2">
      <c r="C667" s="91"/>
      <c r="D667" s="546" t="s">
        <v>433</v>
      </c>
      <c r="E667" s="1033">
        <v>4.0000000000000001E-3</v>
      </c>
      <c r="F667" s="1034"/>
      <c r="G667" s="1035"/>
      <c r="H667" s="218" t="s">
        <v>910</v>
      </c>
      <c r="I667" s="1029"/>
      <c r="J667" s="964"/>
      <c r="K667" s="1030"/>
      <c r="L667" s="559"/>
      <c r="M667" s="519"/>
      <c r="N667" s="168"/>
      <c r="O667" s="125"/>
      <c r="P667" s="125"/>
      <c r="Q667" s="125"/>
      <c r="R667" s="126"/>
      <c r="S667" s="127"/>
      <c r="T667" s="125"/>
      <c r="U667" s="125"/>
      <c r="V667" s="125"/>
      <c r="W667" s="127"/>
      <c r="X667" s="127"/>
      <c r="Y667" s="128"/>
      <c r="Z667" s="128"/>
      <c r="AA667" s="89"/>
      <c r="AB667" s="89"/>
      <c r="AC667" s="89"/>
      <c r="AD667" s="89"/>
      <c r="AE667" s="89"/>
      <c r="AF667" s="89"/>
      <c r="AG667" s="89"/>
      <c r="AH667" s="89"/>
      <c r="AI667" s="89"/>
      <c r="AJ667" s="89"/>
      <c r="AK667" s="89"/>
      <c r="AL667" s="89"/>
      <c r="AM667" s="89"/>
      <c r="AN667" s="89"/>
    </row>
    <row r="668" spans="2:40" ht="24" x14ac:dyDescent="0.2">
      <c r="C668" s="91"/>
      <c r="D668" s="546" t="s">
        <v>434</v>
      </c>
      <c r="E668" s="1033">
        <v>0</v>
      </c>
      <c r="F668" s="1034"/>
      <c r="G668" s="1035"/>
      <c r="H668" s="219"/>
      <c r="I668" s="1029"/>
      <c r="J668" s="964"/>
      <c r="K668" s="1030"/>
      <c r="L668" s="559"/>
      <c r="M668" s="519"/>
      <c r="N668" s="168"/>
      <c r="O668" s="129" t="s">
        <v>811</v>
      </c>
      <c r="P668" s="176">
        <v>0.1</v>
      </c>
      <c r="Q668" s="177">
        <v>5.7299999999999997E-2</v>
      </c>
      <c r="R668" s="178">
        <v>0.05</v>
      </c>
      <c r="S668" s="133">
        <v>1</v>
      </c>
      <c r="T668" s="129">
        <v>0.13595000000000002</v>
      </c>
      <c r="U668" s="134">
        <v>-32.412633663371885</v>
      </c>
      <c r="V668" s="135">
        <v>60.5</v>
      </c>
      <c r="W668" s="179">
        <v>3.28</v>
      </c>
      <c r="X668" s="137">
        <v>106.31343841585978</v>
      </c>
      <c r="Y668" s="138"/>
      <c r="Z668" s="138"/>
      <c r="AA668" s="89"/>
      <c r="AB668" s="89"/>
      <c r="AC668" s="89"/>
      <c r="AD668" s="89"/>
      <c r="AE668" s="89"/>
      <c r="AF668" s="89"/>
      <c r="AG668" s="89"/>
      <c r="AH668" s="89"/>
      <c r="AI668" s="89"/>
      <c r="AJ668" s="89"/>
      <c r="AK668" s="89"/>
      <c r="AL668" s="89"/>
      <c r="AM668" s="89"/>
      <c r="AN668" s="89"/>
    </row>
    <row r="669" spans="2:40" ht="25" thickBot="1" x14ac:dyDescent="0.25">
      <c r="C669" s="91"/>
      <c r="D669" s="547" t="s">
        <v>435</v>
      </c>
      <c r="E669" s="1039">
        <v>0.29166666666666674</v>
      </c>
      <c r="F669" s="1040"/>
      <c r="G669" s="1041"/>
      <c r="H669" s="219"/>
      <c r="I669" s="1029"/>
      <c r="J669" s="964"/>
      <c r="K669" s="1030"/>
      <c r="L669" s="560">
        <v>0.52083333333333337</v>
      </c>
      <c r="M669" s="520">
        <v>0.375</v>
      </c>
      <c r="N669" s="168"/>
      <c r="O669" s="139" t="s">
        <v>812</v>
      </c>
      <c r="P669" s="180">
        <v>0.1</v>
      </c>
      <c r="Q669" s="160">
        <v>7.0800000000000002E-2</v>
      </c>
      <c r="R669" s="181">
        <v>0.05</v>
      </c>
      <c r="S669" s="143">
        <v>1</v>
      </c>
      <c r="T669" s="182">
        <v>0.15620000000000001</v>
      </c>
      <c r="U669" s="144">
        <v>-37.240554455451914</v>
      </c>
      <c r="V669" s="145">
        <v>60.5</v>
      </c>
      <c r="W669" s="183">
        <v>2.97</v>
      </c>
      <c r="X669" s="147">
        <v>110.6044467326922</v>
      </c>
      <c r="Y669" s="148"/>
      <c r="Z669" s="148"/>
      <c r="AA669" s="89"/>
      <c r="AB669" s="89"/>
      <c r="AC669" s="89"/>
      <c r="AD669" s="89"/>
      <c r="AE669" s="89"/>
      <c r="AF669" s="89"/>
      <c r="AG669" s="89"/>
      <c r="AH669" s="89"/>
      <c r="AI669" s="89"/>
      <c r="AJ669" s="89"/>
      <c r="AK669" s="89"/>
      <c r="AL669" s="89"/>
      <c r="AM669" s="89"/>
      <c r="AN669" s="89"/>
    </row>
    <row r="670" spans="2:40" ht="25" thickBot="1" x14ac:dyDescent="0.25">
      <c r="C670" s="91"/>
      <c r="D670" s="549" t="s">
        <v>436</v>
      </c>
      <c r="E670" s="93" t="s">
        <v>29</v>
      </c>
      <c r="F670" s="93" t="s">
        <v>28</v>
      </c>
      <c r="G670" s="94" t="s">
        <v>27</v>
      </c>
      <c r="H670" s="230" t="s">
        <v>793</v>
      </c>
      <c r="I670" s="1029"/>
      <c r="J670" s="964"/>
      <c r="K670" s="1030"/>
      <c r="L670" s="573" t="s">
        <v>1002</v>
      </c>
      <c r="M670" s="523"/>
      <c r="N670" s="168"/>
      <c r="O670" s="127"/>
      <c r="P670" s="149"/>
      <c r="Q670" s="127"/>
      <c r="R670" s="127"/>
      <c r="S670" s="127"/>
      <c r="T670" s="127"/>
      <c r="U670" s="150"/>
      <c r="V670" s="151"/>
      <c r="W670" s="127"/>
      <c r="X670" s="150"/>
      <c r="Y670" s="128"/>
      <c r="Z670" s="128"/>
      <c r="AA670" s="89"/>
      <c r="AB670" s="89"/>
      <c r="AC670" s="89"/>
      <c r="AD670" s="89"/>
      <c r="AE670" s="89"/>
      <c r="AF670" s="89"/>
      <c r="AG670" s="89"/>
      <c r="AH670" s="89"/>
      <c r="AI670" s="89"/>
      <c r="AJ670" s="89"/>
      <c r="AK670" s="89"/>
      <c r="AL670" s="89"/>
      <c r="AM670" s="89"/>
      <c r="AN670" s="89"/>
    </row>
    <row r="671" spans="2:40" ht="24" x14ac:dyDescent="0.2">
      <c r="C671" s="91"/>
      <c r="D671" s="550">
        <v>45595</v>
      </c>
      <c r="E671" s="99">
        <v>4.0000000000000001E-3</v>
      </c>
      <c r="F671" s="99" t="s">
        <v>460</v>
      </c>
      <c r="G671" s="99">
        <v>0</v>
      </c>
      <c r="H671" s="224">
        <v>0.54166666666666663</v>
      </c>
      <c r="I671" s="1029"/>
      <c r="J671" s="964"/>
      <c r="K671" s="1030"/>
      <c r="L671" s="574">
        <v>0.33333333333333331</v>
      </c>
      <c r="M671" s="524"/>
      <c r="N671" s="168"/>
      <c r="O671" s="152"/>
      <c r="P671" s="128"/>
      <c r="Q671" s="152"/>
      <c r="R671" s="152"/>
      <c r="S671" s="152"/>
      <c r="T671" s="152"/>
      <c r="U671" s="152"/>
      <c r="V671" s="152"/>
      <c r="W671" s="152"/>
      <c r="X671" s="152"/>
      <c r="Y671" s="128"/>
      <c r="Z671" s="128"/>
      <c r="AA671" s="89"/>
      <c r="AB671" s="89"/>
      <c r="AC671" s="89"/>
      <c r="AD671" s="89"/>
      <c r="AE671" s="89"/>
      <c r="AF671" s="89"/>
      <c r="AG671" s="89"/>
      <c r="AH671" s="89"/>
      <c r="AI671" s="89"/>
      <c r="AJ671" s="89"/>
      <c r="AK671" s="89"/>
      <c r="AL671" s="89"/>
      <c r="AM671" s="89"/>
      <c r="AN671" s="89"/>
    </row>
    <row r="672" spans="2:40" ht="24" x14ac:dyDescent="0.2">
      <c r="C672" s="91"/>
      <c r="D672" s="550">
        <v>45576</v>
      </c>
      <c r="E672" s="99">
        <v>0</v>
      </c>
      <c r="F672" s="99" t="s">
        <v>458</v>
      </c>
      <c r="G672" s="99">
        <v>-1E-3</v>
      </c>
      <c r="H672" s="224">
        <v>0.25</v>
      </c>
      <c r="I672" s="1029"/>
      <c r="J672" s="964"/>
      <c r="K672" s="1030"/>
      <c r="L672" s="574">
        <v>4.1666666666666664E-2</v>
      </c>
      <c r="M672" s="525"/>
      <c r="N672" s="168"/>
      <c r="O672" s="119" t="s">
        <v>813</v>
      </c>
      <c r="P672" s="171">
        <v>0.1</v>
      </c>
      <c r="Q672" s="153">
        <v>6.4049999999999996E-2</v>
      </c>
      <c r="R672" s="154">
        <v>0.05</v>
      </c>
      <c r="S672" s="123">
        <v>1</v>
      </c>
      <c r="T672" s="129">
        <v>0.14607500000000001</v>
      </c>
      <c r="U672" s="155">
        <v>-34.826594059411903</v>
      </c>
      <c r="V672" s="156">
        <v>60.5</v>
      </c>
      <c r="W672" s="123">
        <v>2</v>
      </c>
      <c r="X672" s="157">
        <v>69.653188118823806</v>
      </c>
      <c r="Y672" s="158"/>
      <c r="Z672" s="158"/>
      <c r="AA672" s="89"/>
      <c r="AB672" s="89"/>
      <c r="AC672" s="89"/>
      <c r="AD672" s="89"/>
      <c r="AE672" s="89"/>
      <c r="AF672" s="89"/>
      <c r="AG672" s="89"/>
      <c r="AH672" s="89"/>
      <c r="AI672" s="89"/>
      <c r="AJ672" s="89"/>
      <c r="AK672" s="89"/>
      <c r="AL672" s="89"/>
      <c r="AM672" s="89"/>
      <c r="AN672" s="89"/>
    </row>
    <row r="673" spans="3:40" ht="24" x14ac:dyDescent="0.2">
      <c r="C673" s="91"/>
      <c r="D673" s="550">
        <v>45565</v>
      </c>
      <c r="E673" s="99">
        <v>0</v>
      </c>
      <c r="F673" s="99" t="s">
        <v>462</v>
      </c>
      <c r="G673" s="99">
        <v>-1E-3</v>
      </c>
      <c r="H673" s="224">
        <v>0.5</v>
      </c>
      <c r="I673" s="1029"/>
      <c r="J673" s="964"/>
      <c r="K673" s="1030"/>
      <c r="L673" s="574">
        <v>0.29166666666666669</v>
      </c>
      <c r="M673" s="519"/>
      <c r="N673" s="168"/>
      <c r="O673" s="119"/>
      <c r="P673" s="119"/>
      <c r="Q673" s="153"/>
      <c r="R673" s="154"/>
      <c r="S673" s="123"/>
      <c r="T673" s="171"/>
      <c r="U673" s="155"/>
      <c r="V673" s="156"/>
      <c r="W673" s="123"/>
      <c r="X673" s="157"/>
      <c r="Y673" s="158"/>
      <c r="Z673" s="158"/>
      <c r="AA673" s="89"/>
      <c r="AB673" s="89"/>
      <c r="AC673" s="89"/>
      <c r="AD673" s="89"/>
      <c r="AE673" s="89"/>
      <c r="AF673" s="89"/>
      <c r="AG673" s="89"/>
      <c r="AH673" s="89"/>
      <c r="AI673" s="89"/>
      <c r="AJ673" s="89"/>
      <c r="AK673" s="89"/>
      <c r="AL673" s="89"/>
      <c r="AM673" s="89"/>
      <c r="AN673" s="89"/>
    </row>
    <row r="674" spans="3:40" ht="24" x14ac:dyDescent="0.2">
      <c r="C674" s="91"/>
      <c r="D674" s="550">
        <v>45545</v>
      </c>
      <c r="E674" s="99">
        <v>-1E-3</v>
      </c>
      <c r="F674" s="99" t="s">
        <v>456</v>
      </c>
      <c r="G674" s="99">
        <v>3.0000000000000001E-3</v>
      </c>
      <c r="H674" s="224">
        <v>0.25</v>
      </c>
      <c r="I674" s="1029"/>
      <c r="J674" s="964"/>
      <c r="K674" s="1030"/>
      <c r="L674" s="574">
        <v>4.1666666666666664E-2</v>
      </c>
      <c r="M674" s="519"/>
      <c r="N674" s="168"/>
      <c r="O674" s="119" t="s">
        <v>816</v>
      </c>
      <c r="P674" s="120"/>
      <c r="Q674" s="153"/>
      <c r="R674" s="154"/>
      <c r="S674" s="123"/>
      <c r="T674" s="120"/>
      <c r="U674" s="155">
        <v>0</v>
      </c>
      <c r="V674" s="156"/>
      <c r="W674" s="123"/>
      <c r="X674" s="157">
        <v>0</v>
      </c>
      <c r="Y674" s="158"/>
      <c r="Z674" s="158"/>
      <c r="AA674" s="89"/>
      <c r="AB674" s="89"/>
      <c r="AC674" s="89"/>
      <c r="AD674" s="89"/>
      <c r="AE674" s="89"/>
      <c r="AF674" s="89"/>
      <c r="AG674" s="89"/>
      <c r="AH674" s="89"/>
      <c r="AI674" s="89"/>
      <c r="AJ674" s="89"/>
      <c r="AK674" s="89"/>
      <c r="AL674" s="89"/>
      <c r="AM674" s="89"/>
      <c r="AN674" s="89"/>
    </row>
    <row r="675" spans="3:40" ht="24" x14ac:dyDescent="0.2">
      <c r="C675" s="91"/>
      <c r="D675" s="550">
        <v>45533</v>
      </c>
      <c r="E675" s="99">
        <v>-1E-3</v>
      </c>
      <c r="F675" s="99" t="s">
        <v>458</v>
      </c>
      <c r="G675" s="99">
        <v>3.0000000000000001E-3</v>
      </c>
      <c r="H675" s="224">
        <v>0.5</v>
      </c>
      <c r="I675" s="1029"/>
      <c r="J675" s="964"/>
      <c r="K675" s="1030"/>
      <c r="L675" s="574">
        <v>0.29166666666666669</v>
      </c>
      <c r="M675" s="519"/>
      <c r="N675" s="168"/>
      <c r="O675" s="89"/>
      <c r="P675" s="89"/>
      <c r="Q675" s="89"/>
      <c r="R675" s="89"/>
      <c r="S675" s="89"/>
      <c r="T675" s="89"/>
      <c r="U675" s="89"/>
      <c r="V675" s="89"/>
      <c r="W675" s="89"/>
      <c r="X675" s="89"/>
      <c r="Y675" s="89"/>
      <c r="Z675" s="89"/>
      <c r="AA675" s="89"/>
      <c r="AB675" s="89"/>
      <c r="AC675" s="89"/>
      <c r="AD675" s="89"/>
      <c r="AE675" s="89"/>
      <c r="AF675" s="89"/>
      <c r="AG675" s="89"/>
      <c r="AH675" s="89"/>
      <c r="AI675" s="89"/>
      <c r="AJ675" s="89"/>
      <c r="AK675" s="89"/>
      <c r="AL675" s="89"/>
      <c r="AM675" s="89"/>
      <c r="AN675" s="89"/>
    </row>
    <row r="676" spans="3:40" ht="25" thickBot="1" x14ac:dyDescent="0.25">
      <c r="C676" s="91"/>
      <c r="D676" s="550">
        <v>45513</v>
      </c>
      <c r="E676" s="99">
        <v>3.0000000000000001E-3</v>
      </c>
      <c r="F676" s="99" t="s">
        <v>467</v>
      </c>
      <c r="G676" s="99">
        <v>1E-3</v>
      </c>
      <c r="H676" s="231">
        <v>0.25</v>
      </c>
      <c r="I676" s="1031"/>
      <c r="J676" s="966"/>
      <c r="K676" s="1032"/>
      <c r="L676" s="575">
        <v>4.1666666666666664E-2</v>
      </c>
      <c r="M676" s="522"/>
      <c r="N676" s="168"/>
      <c r="O676" s="89"/>
      <c r="P676" s="89"/>
      <c r="Q676" s="89"/>
      <c r="R676" s="89"/>
      <c r="S676" s="89"/>
      <c r="T676" s="89"/>
      <c r="U676" s="89"/>
      <c r="V676" s="89"/>
      <c r="W676" s="89"/>
      <c r="X676" s="89"/>
      <c r="Y676" s="89"/>
      <c r="Z676" s="89"/>
      <c r="AA676" s="89"/>
      <c r="AB676" s="89"/>
      <c r="AC676" s="89"/>
      <c r="AD676" s="89"/>
      <c r="AE676" s="89"/>
      <c r="AF676" s="89"/>
      <c r="AG676" s="89"/>
      <c r="AH676" s="89"/>
      <c r="AI676" s="89"/>
      <c r="AJ676" s="89"/>
      <c r="AK676" s="89"/>
      <c r="AL676" s="89"/>
      <c r="AM676" s="89"/>
      <c r="AN676" s="89"/>
    </row>
    <row r="677" spans="3:40" ht="49" thickBot="1" x14ac:dyDescent="0.25">
      <c r="C677" s="91">
        <v>2</v>
      </c>
      <c r="D677" s="552" t="s">
        <v>30</v>
      </c>
      <c r="E677" s="1052" t="s">
        <v>950</v>
      </c>
      <c r="F677" s="1053"/>
      <c r="G677" s="1054"/>
      <c r="H677" s="217" t="s">
        <v>790</v>
      </c>
      <c r="I677" s="1055" t="s">
        <v>633</v>
      </c>
      <c r="J677" s="1056"/>
      <c r="K677" s="1057"/>
      <c r="L677" s="570" t="s">
        <v>430</v>
      </c>
      <c r="M677" s="518" t="s">
        <v>431</v>
      </c>
      <c r="N677" s="168" t="s">
        <v>105</v>
      </c>
      <c r="O677" s="118" t="s">
        <v>800</v>
      </c>
      <c r="P677" s="118" t="s">
        <v>801</v>
      </c>
      <c r="Q677" s="118" t="s">
        <v>802</v>
      </c>
      <c r="R677" s="118" t="s">
        <v>803</v>
      </c>
      <c r="S677" s="118" t="s">
        <v>804</v>
      </c>
      <c r="T677" s="118" t="s">
        <v>805</v>
      </c>
      <c r="U677" s="118" t="s">
        <v>806</v>
      </c>
      <c r="V677" s="118" t="s">
        <v>807</v>
      </c>
      <c r="W677" s="118" t="s">
        <v>808</v>
      </c>
      <c r="X677" s="118" t="s">
        <v>809</v>
      </c>
      <c r="Y677" s="118" t="s">
        <v>75</v>
      </c>
      <c r="Z677" s="118" t="s">
        <v>75</v>
      </c>
      <c r="AA677" s="89"/>
      <c r="AB677" s="89"/>
      <c r="AC677" s="89"/>
      <c r="AD677" s="89"/>
      <c r="AE677" s="89"/>
      <c r="AF677" s="89"/>
      <c r="AG677" s="89"/>
      <c r="AH677" s="89"/>
      <c r="AI677" s="89"/>
      <c r="AJ677" s="89"/>
      <c r="AK677" s="89"/>
      <c r="AL677" s="89"/>
      <c r="AM677" s="89"/>
      <c r="AN677" s="89"/>
    </row>
    <row r="678" spans="3:40" ht="24" x14ac:dyDescent="0.2">
      <c r="C678" s="91"/>
      <c r="D678" s="544" t="s">
        <v>432</v>
      </c>
      <c r="E678" s="1024"/>
      <c r="F678" s="1025"/>
      <c r="G678" s="1026"/>
      <c r="H678" s="218" t="s">
        <v>794</v>
      </c>
      <c r="I678" s="1027" t="s">
        <v>951</v>
      </c>
      <c r="J678" s="962"/>
      <c r="K678" s="1028"/>
      <c r="L678" s="559"/>
      <c r="M678" s="519"/>
      <c r="N678" s="168"/>
      <c r="O678" s="119" t="s">
        <v>810</v>
      </c>
      <c r="P678" s="171">
        <v>0.1</v>
      </c>
      <c r="Q678" s="172">
        <v>0.03</v>
      </c>
      <c r="R678" s="173">
        <v>1.5999999999991132E-2</v>
      </c>
      <c r="S678" s="123"/>
      <c r="T678" s="119">
        <v>6.0999999999991131E-2</v>
      </c>
      <c r="U678" s="172">
        <v>-14.17</v>
      </c>
      <c r="V678" s="171">
        <v>91.8</v>
      </c>
      <c r="W678" s="174">
        <v>2</v>
      </c>
      <c r="X678" s="157">
        <v>28.34</v>
      </c>
      <c r="Y678" s="124"/>
      <c r="Z678" s="124"/>
      <c r="AA678" s="89"/>
      <c r="AB678" s="89"/>
      <c r="AC678" s="89"/>
      <c r="AD678" s="89"/>
      <c r="AE678" s="89"/>
      <c r="AF678" s="89"/>
      <c r="AG678" s="89"/>
      <c r="AH678" s="89"/>
      <c r="AI678" s="89"/>
      <c r="AJ678" s="89"/>
      <c r="AK678" s="89"/>
      <c r="AL678" s="89"/>
      <c r="AM678" s="89"/>
      <c r="AN678" s="89"/>
    </row>
    <row r="679" spans="3:40" ht="24" x14ac:dyDescent="0.2">
      <c r="C679" s="91"/>
      <c r="D679" s="546" t="s">
        <v>433</v>
      </c>
      <c r="E679" s="1033">
        <v>3.0000000000000001E-3</v>
      </c>
      <c r="F679" s="1034"/>
      <c r="G679" s="1035"/>
      <c r="H679" s="218" t="s">
        <v>795</v>
      </c>
      <c r="I679" s="1029"/>
      <c r="J679" s="964"/>
      <c r="K679" s="1030"/>
      <c r="L679" s="559"/>
      <c r="M679" s="519"/>
      <c r="N679" s="168"/>
      <c r="O679" s="125"/>
      <c r="P679" s="125"/>
      <c r="Q679" s="125"/>
      <c r="R679" s="126"/>
      <c r="S679" s="127"/>
      <c r="T679" s="125"/>
      <c r="U679" s="125"/>
      <c r="V679" s="125"/>
      <c r="W679" s="127"/>
      <c r="X679" s="127"/>
      <c r="Y679" s="128"/>
      <c r="Z679" s="128"/>
      <c r="AA679" s="89"/>
      <c r="AB679" s="89"/>
      <c r="AC679" s="89"/>
      <c r="AD679" s="89"/>
      <c r="AE679" s="89"/>
      <c r="AF679" s="89"/>
      <c r="AG679" s="89"/>
      <c r="AH679" s="89"/>
      <c r="AI679" s="89"/>
      <c r="AJ679" s="89"/>
      <c r="AK679" s="89"/>
      <c r="AL679" s="89"/>
      <c r="AM679" s="89"/>
      <c r="AN679" s="89"/>
    </row>
    <row r="680" spans="3:40" ht="24" x14ac:dyDescent="0.2">
      <c r="C680" s="91"/>
      <c r="D680" s="546" t="s">
        <v>434</v>
      </c>
      <c r="E680" s="1033">
        <v>3.0000000000000001E-3</v>
      </c>
      <c r="F680" s="1034"/>
      <c r="G680" s="1035"/>
      <c r="H680" s="219"/>
      <c r="I680" s="1029"/>
      <c r="J680" s="964"/>
      <c r="K680" s="1030"/>
      <c r="L680" s="559"/>
      <c r="M680" s="519"/>
      <c r="N680" s="168"/>
      <c r="O680" s="129" t="s">
        <v>811</v>
      </c>
      <c r="P680" s="176">
        <v>0.1</v>
      </c>
      <c r="Q680" s="177">
        <v>5.7000000000000002E-2</v>
      </c>
      <c r="R680" s="178">
        <v>7.0000000000000007E-2</v>
      </c>
      <c r="S680" s="133">
        <v>1</v>
      </c>
      <c r="T680" s="129">
        <v>0.15550000000000003</v>
      </c>
      <c r="U680" s="134">
        <v>-36.121885245906896</v>
      </c>
      <c r="V680" s="135">
        <v>60.5</v>
      </c>
      <c r="W680" s="179">
        <v>2.74</v>
      </c>
      <c r="X680" s="137">
        <v>98.973965573784895</v>
      </c>
      <c r="Y680" s="138"/>
      <c r="Z680" s="138">
        <v>4.4350000000000005</v>
      </c>
      <c r="AA680" s="89"/>
      <c r="AB680" s="89"/>
      <c r="AC680" s="89"/>
      <c r="AD680" s="89"/>
      <c r="AE680" s="89"/>
      <c r="AF680" s="89"/>
      <c r="AG680" s="89"/>
      <c r="AH680" s="89"/>
      <c r="AI680" s="89"/>
      <c r="AJ680" s="89"/>
      <c r="AK680" s="89"/>
      <c r="AL680" s="89"/>
      <c r="AM680" s="89"/>
      <c r="AN680" s="89"/>
    </row>
    <row r="681" spans="3:40" ht="25" thickBot="1" x14ac:dyDescent="0.25">
      <c r="C681" s="91"/>
      <c r="D681" s="547" t="s">
        <v>435</v>
      </c>
      <c r="E681" s="1039">
        <v>0.5625</v>
      </c>
      <c r="F681" s="1040"/>
      <c r="G681" s="1041"/>
      <c r="H681" s="219"/>
      <c r="I681" s="1029"/>
      <c r="J681" s="964"/>
      <c r="K681" s="1030"/>
      <c r="L681" s="560">
        <v>0.79166666666666663</v>
      </c>
      <c r="M681" s="520">
        <v>0.64583333333333326</v>
      </c>
      <c r="N681" s="168"/>
      <c r="O681" s="139" t="s">
        <v>812</v>
      </c>
      <c r="P681" s="180">
        <v>0.1</v>
      </c>
      <c r="Q681" s="160">
        <v>0.106</v>
      </c>
      <c r="R681" s="181">
        <v>7.0000000000000007E-2</v>
      </c>
      <c r="S681" s="143">
        <v>1</v>
      </c>
      <c r="T681" s="182">
        <v>0.22900000000000001</v>
      </c>
      <c r="U681" s="144">
        <v>-53.195573770499543</v>
      </c>
      <c r="V681" s="145">
        <v>60.5</v>
      </c>
      <c r="W681" s="183">
        <v>4.0600000000000005</v>
      </c>
      <c r="X681" s="147">
        <v>215.97402950822817</v>
      </c>
      <c r="Y681" s="148"/>
      <c r="Z681" s="148"/>
      <c r="AA681" s="89"/>
      <c r="AB681" s="89"/>
      <c r="AC681" s="89"/>
      <c r="AD681" s="89"/>
      <c r="AE681" s="89"/>
      <c r="AF681" s="89"/>
      <c r="AG681" s="89"/>
      <c r="AH681" s="89"/>
      <c r="AI681" s="89"/>
      <c r="AJ681" s="89"/>
      <c r="AK681" s="89"/>
      <c r="AL681" s="89"/>
      <c r="AM681" s="89"/>
      <c r="AN681" s="89"/>
    </row>
    <row r="682" spans="3:40" ht="25" thickBot="1" x14ac:dyDescent="0.25">
      <c r="C682" s="91"/>
      <c r="D682" s="549" t="s">
        <v>436</v>
      </c>
      <c r="E682" s="93" t="s">
        <v>29</v>
      </c>
      <c r="F682" s="93" t="s">
        <v>28</v>
      </c>
      <c r="G682" s="94" t="s">
        <v>27</v>
      </c>
      <c r="H682" s="230" t="s">
        <v>793</v>
      </c>
      <c r="I682" s="1029"/>
      <c r="J682" s="964"/>
      <c r="K682" s="1030"/>
      <c r="L682" s="573" t="s">
        <v>1002</v>
      </c>
      <c r="M682" s="523"/>
      <c r="N682" s="168"/>
      <c r="O682" s="127"/>
      <c r="P682" s="149"/>
      <c r="Q682" s="127"/>
      <c r="R682" s="127"/>
      <c r="S682" s="127"/>
      <c r="T682" s="127"/>
      <c r="U682" s="150"/>
      <c r="V682" s="151"/>
      <c r="W682" s="127"/>
      <c r="X682" s="150"/>
      <c r="Y682" s="128"/>
      <c r="Z682" s="128"/>
      <c r="AA682" s="89"/>
      <c r="AB682" s="89"/>
      <c r="AC682" s="89"/>
      <c r="AD682" s="89"/>
      <c r="AE682" s="89"/>
      <c r="AF682" s="89"/>
      <c r="AG682" s="89"/>
      <c r="AH682" s="89"/>
      <c r="AI682" s="89"/>
      <c r="AJ682" s="89"/>
      <c r="AK682" s="89"/>
      <c r="AL682" s="89"/>
      <c r="AM682" s="89"/>
      <c r="AN682" s="89"/>
    </row>
    <row r="683" spans="3:40" ht="24" x14ac:dyDescent="0.2">
      <c r="C683" s="91"/>
      <c r="D683" s="550">
        <v>45575</v>
      </c>
      <c r="E683" s="99">
        <v>3.0000000000000001E-3</v>
      </c>
      <c r="F683" s="99" t="s">
        <v>460</v>
      </c>
      <c r="G683" s="99">
        <v>3.0000000000000001E-3</v>
      </c>
      <c r="H683" s="224">
        <v>0.52083333333333337</v>
      </c>
      <c r="I683" s="1029"/>
      <c r="J683" s="964"/>
      <c r="K683" s="1030"/>
      <c r="L683" s="574">
        <v>0.3125</v>
      </c>
      <c r="M683" s="524"/>
      <c r="N683" s="168"/>
      <c r="O683" s="152"/>
      <c r="P683" s="128"/>
      <c r="Q683" s="152"/>
      <c r="R683" s="152"/>
      <c r="S683" s="152"/>
      <c r="T683" s="152"/>
      <c r="U683" s="152"/>
      <c r="V683" s="152"/>
      <c r="W683" s="152"/>
      <c r="X683" s="152"/>
      <c r="Y683" s="128"/>
      <c r="Z683" s="128"/>
      <c r="AA683" s="89"/>
      <c r="AB683" s="89"/>
      <c r="AC683" s="89"/>
      <c r="AD683" s="89"/>
      <c r="AE683" s="89"/>
      <c r="AF683" s="89"/>
      <c r="AG683" s="89"/>
      <c r="AH683" s="89"/>
      <c r="AI683" s="89"/>
      <c r="AJ683" s="89"/>
      <c r="AK683" s="89"/>
      <c r="AL683" s="89"/>
      <c r="AM683" s="89"/>
      <c r="AN683" s="89"/>
    </row>
    <row r="684" spans="3:40" ht="24" x14ac:dyDescent="0.2">
      <c r="C684" s="91"/>
      <c r="D684" s="550">
        <v>45546</v>
      </c>
      <c r="E684" s="99">
        <v>3.0000000000000001E-3</v>
      </c>
      <c r="F684" s="99" t="s">
        <v>460</v>
      </c>
      <c r="G684" s="99">
        <v>2E-3</v>
      </c>
      <c r="H684" s="224">
        <v>0.52083333333333337</v>
      </c>
      <c r="I684" s="1029"/>
      <c r="J684" s="964"/>
      <c r="K684" s="1030"/>
      <c r="L684" s="574">
        <v>0.3125</v>
      </c>
      <c r="M684" s="525"/>
      <c r="N684" s="168"/>
      <c r="O684" s="119" t="s">
        <v>813</v>
      </c>
      <c r="P684" s="171">
        <v>0.1</v>
      </c>
      <c r="Q684" s="153">
        <v>8.1500000000000003E-2</v>
      </c>
      <c r="R684" s="154">
        <v>7.0000000000000007E-2</v>
      </c>
      <c r="S684" s="123">
        <v>1</v>
      </c>
      <c r="T684" s="129">
        <v>0.19225</v>
      </c>
      <c r="U684" s="155">
        <v>-44.658729508203216</v>
      </c>
      <c r="V684" s="156">
        <v>60.5</v>
      </c>
      <c r="W684" s="123">
        <v>2</v>
      </c>
      <c r="X684" s="157">
        <v>89.317459016406431</v>
      </c>
      <c r="Y684" s="158"/>
      <c r="Z684" s="158"/>
      <c r="AA684" s="89"/>
      <c r="AB684" s="89"/>
      <c r="AC684" s="89"/>
      <c r="AD684" s="89"/>
      <c r="AE684" s="89"/>
      <c r="AF684" s="89"/>
      <c r="AG684" s="89"/>
      <c r="AH684" s="89"/>
      <c r="AI684" s="89"/>
      <c r="AJ684" s="89"/>
      <c r="AK684" s="89"/>
      <c r="AL684" s="89"/>
      <c r="AM684" s="89"/>
      <c r="AN684" s="89"/>
    </row>
    <row r="685" spans="3:40" ht="24" x14ac:dyDescent="0.2">
      <c r="C685" s="91"/>
      <c r="D685" s="550">
        <v>45518</v>
      </c>
      <c r="E685" s="99">
        <v>2E-3</v>
      </c>
      <c r="F685" s="99" t="s">
        <v>460</v>
      </c>
      <c r="G685" s="99">
        <v>1E-3</v>
      </c>
      <c r="H685" s="224">
        <v>0.52083333333333337</v>
      </c>
      <c r="I685" s="1029"/>
      <c r="J685" s="964"/>
      <c r="K685" s="1030"/>
      <c r="L685" s="574">
        <v>0.3125</v>
      </c>
      <c r="M685" s="519"/>
      <c r="N685" s="168"/>
      <c r="O685" s="119"/>
      <c r="P685" s="119"/>
      <c r="Q685" s="153"/>
      <c r="R685" s="154"/>
      <c r="S685" s="123"/>
      <c r="T685" s="171"/>
      <c r="U685" s="155"/>
      <c r="V685" s="156"/>
      <c r="W685" s="123"/>
      <c r="X685" s="157"/>
      <c r="Y685" s="158"/>
      <c r="Z685" s="158"/>
      <c r="AA685" s="89"/>
      <c r="AB685" s="89"/>
      <c r="AC685" s="89"/>
      <c r="AD685" s="89"/>
      <c r="AE685" s="89"/>
      <c r="AF685" s="89"/>
      <c r="AG685" s="89"/>
      <c r="AH685" s="89"/>
      <c r="AI685" s="89"/>
      <c r="AJ685" s="89"/>
      <c r="AK685" s="89"/>
      <c r="AL685" s="89"/>
      <c r="AM685" s="89"/>
      <c r="AN685" s="89"/>
    </row>
    <row r="686" spans="3:40" ht="24" x14ac:dyDescent="0.2">
      <c r="C686" s="91"/>
      <c r="D686" s="550">
        <v>45484</v>
      </c>
      <c r="E686" s="99">
        <v>1E-3</v>
      </c>
      <c r="F686" s="99" t="s">
        <v>460</v>
      </c>
      <c r="G686" s="99">
        <v>2E-3</v>
      </c>
      <c r="H686" s="224">
        <v>0.52083333333333337</v>
      </c>
      <c r="I686" s="1029"/>
      <c r="J686" s="964"/>
      <c r="K686" s="1030"/>
      <c r="L686" s="574">
        <v>0.3125</v>
      </c>
      <c r="M686" s="519"/>
      <c r="N686" s="168"/>
      <c r="O686" s="119" t="s">
        <v>816</v>
      </c>
      <c r="P686" s="120"/>
      <c r="Q686" s="153"/>
      <c r="R686" s="154"/>
      <c r="S686" s="123"/>
      <c r="T686" s="120"/>
      <c r="U686" s="155">
        <v>0</v>
      </c>
      <c r="V686" s="156"/>
      <c r="W686" s="123"/>
      <c r="X686" s="157">
        <v>0</v>
      </c>
      <c r="Y686" s="158"/>
      <c r="Z686" s="158"/>
      <c r="AA686" s="89"/>
      <c r="AB686" s="89"/>
      <c r="AC686" s="89"/>
      <c r="AD686" s="89"/>
      <c r="AE686" s="89"/>
      <c r="AF686" s="89"/>
      <c r="AG686" s="89"/>
      <c r="AH686" s="89"/>
      <c r="AI686" s="89"/>
      <c r="AJ686" s="89"/>
      <c r="AK686" s="89"/>
      <c r="AL686" s="89"/>
      <c r="AM686" s="89"/>
      <c r="AN686" s="89"/>
    </row>
    <row r="687" spans="3:40" ht="24" x14ac:dyDescent="0.2">
      <c r="C687" s="91"/>
      <c r="D687" s="550">
        <v>45455</v>
      </c>
      <c r="E687" s="99">
        <v>2E-3</v>
      </c>
      <c r="F687" s="99" t="s">
        <v>467</v>
      </c>
      <c r="G687" s="99">
        <v>3.0000000000000001E-3</v>
      </c>
      <c r="H687" s="224">
        <v>0.52083333333333337</v>
      </c>
      <c r="I687" s="1029"/>
      <c r="J687" s="964"/>
      <c r="K687" s="1030"/>
      <c r="L687" s="574">
        <v>0.3125</v>
      </c>
      <c r="M687" s="519"/>
      <c r="N687" s="168"/>
      <c r="O687" s="89"/>
      <c r="P687" s="89"/>
      <c r="Q687" s="89"/>
      <c r="R687" s="89"/>
      <c r="S687" s="89"/>
      <c r="T687" s="89"/>
      <c r="U687" s="89"/>
      <c r="V687" s="89"/>
      <c r="W687" s="89"/>
      <c r="X687" s="89"/>
      <c r="Y687" s="89"/>
      <c r="Z687" s="89"/>
      <c r="AA687" s="89"/>
      <c r="AB687" s="89"/>
      <c r="AC687" s="89"/>
      <c r="AD687" s="89"/>
      <c r="AE687" s="89"/>
      <c r="AF687" s="89"/>
      <c r="AG687" s="89"/>
      <c r="AH687" s="89"/>
      <c r="AI687" s="89"/>
      <c r="AJ687" s="89"/>
      <c r="AK687" s="89"/>
      <c r="AL687" s="89"/>
      <c r="AM687" s="89"/>
      <c r="AN687" s="89"/>
    </row>
    <row r="688" spans="3:40" ht="25" thickBot="1" x14ac:dyDescent="0.25">
      <c r="C688" s="91"/>
      <c r="D688" s="550">
        <v>45427</v>
      </c>
      <c r="E688" s="99">
        <v>3.0000000000000001E-3</v>
      </c>
      <c r="F688" s="99" t="s">
        <v>467</v>
      </c>
      <c r="G688" s="99">
        <v>4.0000000000000001E-3</v>
      </c>
      <c r="H688" s="231">
        <v>0.52083333333333337</v>
      </c>
      <c r="I688" s="1031"/>
      <c r="J688" s="966"/>
      <c r="K688" s="1032"/>
      <c r="L688" s="575">
        <v>0.3125</v>
      </c>
      <c r="M688" s="522"/>
      <c r="N688" s="168"/>
      <c r="O688" s="89"/>
      <c r="P688" s="89"/>
      <c r="Q688" s="89"/>
      <c r="R688" s="89"/>
      <c r="S688" s="89"/>
      <c r="T688" s="89"/>
      <c r="U688" s="89"/>
      <c r="V688" s="89"/>
      <c r="W688" s="89"/>
      <c r="X688" s="89"/>
      <c r="Y688" s="89"/>
      <c r="Z688" s="89"/>
      <c r="AA688" s="89"/>
      <c r="AB688" s="89"/>
      <c r="AC688" s="89"/>
      <c r="AD688" s="89"/>
      <c r="AE688" s="89"/>
      <c r="AF688" s="89"/>
      <c r="AG688" s="89"/>
      <c r="AH688" s="89"/>
      <c r="AI688" s="89"/>
      <c r="AJ688" s="89"/>
      <c r="AK688" s="89"/>
      <c r="AL688" s="89"/>
      <c r="AM688" s="89"/>
      <c r="AN688" s="89"/>
    </row>
    <row r="689" spans="3:40" ht="49" thickBot="1" x14ac:dyDescent="0.25">
      <c r="C689" s="91">
        <v>3</v>
      </c>
      <c r="D689" s="552" t="s">
        <v>30</v>
      </c>
      <c r="E689" s="1052" t="s">
        <v>952</v>
      </c>
      <c r="F689" s="1053"/>
      <c r="G689" s="1054"/>
      <c r="H689" s="217" t="s">
        <v>790</v>
      </c>
      <c r="I689" s="1055" t="s">
        <v>633</v>
      </c>
      <c r="J689" s="1056"/>
      <c r="K689" s="1057"/>
      <c r="L689" s="570" t="s">
        <v>430</v>
      </c>
      <c r="M689" s="518" t="s">
        <v>431</v>
      </c>
      <c r="N689" s="168" t="s">
        <v>105</v>
      </c>
      <c r="O689" s="118" t="s">
        <v>800</v>
      </c>
      <c r="P689" s="118" t="s">
        <v>801</v>
      </c>
      <c r="Q689" s="118" t="s">
        <v>802</v>
      </c>
      <c r="R689" s="118" t="s">
        <v>803</v>
      </c>
      <c r="S689" s="118" t="s">
        <v>804</v>
      </c>
      <c r="T689" s="118" t="s">
        <v>805</v>
      </c>
      <c r="U689" s="118" t="s">
        <v>806</v>
      </c>
      <c r="V689" s="118" t="s">
        <v>807</v>
      </c>
      <c r="W689" s="118" t="s">
        <v>808</v>
      </c>
      <c r="X689" s="118" t="s">
        <v>809</v>
      </c>
      <c r="Y689" s="118" t="s">
        <v>75</v>
      </c>
      <c r="Z689" s="118" t="s">
        <v>75</v>
      </c>
      <c r="AA689" s="89"/>
      <c r="AB689" s="89"/>
      <c r="AC689" s="89"/>
      <c r="AD689" s="89"/>
      <c r="AE689" s="89"/>
      <c r="AF689" s="89"/>
      <c r="AG689" s="89"/>
      <c r="AH689" s="89"/>
      <c r="AI689" s="89"/>
      <c r="AJ689" s="89"/>
      <c r="AK689" s="89"/>
      <c r="AL689" s="89"/>
      <c r="AM689" s="89"/>
      <c r="AN689" s="89"/>
    </row>
    <row r="690" spans="3:40" ht="24" x14ac:dyDescent="0.2">
      <c r="C690" s="91"/>
      <c r="D690" s="544" t="s">
        <v>432</v>
      </c>
      <c r="E690" s="1058"/>
      <c r="F690" s="1059"/>
      <c r="G690" s="1060"/>
      <c r="H690" s="218" t="s">
        <v>794</v>
      </c>
      <c r="I690" s="1027" t="s">
        <v>953</v>
      </c>
      <c r="J690" s="962"/>
      <c r="K690" s="1028"/>
      <c r="L690" s="559"/>
      <c r="M690" s="519"/>
      <c r="N690" s="168"/>
      <c r="O690" s="119" t="s">
        <v>810</v>
      </c>
      <c r="P690" s="171">
        <v>0.1</v>
      </c>
      <c r="Q690" s="172">
        <v>2.7E-2</v>
      </c>
      <c r="R690" s="173">
        <v>1.5999999999991132E-2</v>
      </c>
      <c r="S690" s="123"/>
      <c r="T690" s="119">
        <v>5.6499999999991134E-2</v>
      </c>
      <c r="U690" s="172">
        <v>-13.31</v>
      </c>
      <c r="V690" s="171">
        <v>91.8</v>
      </c>
      <c r="W690" s="174">
        <v>2</v>
      </c>
      <c r="X690" s="157">
        <v>26.62</v>
      </c>
      <c r="Y690" s="124"/>
      <c r="Z690" s="124"/>
      <c r="AA690" s="89"/>
      <c r="AB690" s="89"/>
      <c r="AC690" s="89"/>
      <c r="AD690" s="89"/>
      <c r="AE690" s="89"/>
      <c r="AF690" s="89"/>
      <c r="AG690" s="89"/>
      <c r="AH690" s="89"/>
      <c r="AI690" s="89"/>
      <c r="AJ690" s="89"/>
      <c r="AK690" s="89"/>
      <c r="AL690" s="89"/>
      <c r="AM690" s="89"/>
      <c r="AN690" s="89"/>
    </row>
    <row r="691" spans="3:40" ht="24" x14ac:dyDescent="0.2">
      <c r="C691" s="91"/>
      <c r="D691" s="546" t="s">
        <v>433</v>
      </c>
      <c r="E691" s="1033">
        <v>2.4E-2</v>
      </c>
      <c r="F691" s="1034"/>
      <c r="G691" s="1035"/>
      <c r="H691" s="218" t="s">
        <v>795</v>
      </c>
      <c r="I691" s="1029"/>
      <c r="J691" s="964"/>
      <c r="K691" s="1030"/>
      <c r="L691" s="559"/>
      <c r="M691" s="519"/>
      <c r="N691" s="168"/>
      <c r="O691" s="125"/>
      <c r="P691" s="125"/>
      <c r="Q691" s="125"/>
      <c r="R691" s="126"/>
      <c r="S691" s="127"/>
      <c r="T691" s="125"/>
      <c r="U691" s="125"/>
      <c r="V691" s="125"/>
      <c r="W691" s="127"/>
      <c r="X691" s="127"/>
      <c r="Y691" s="128"/>
      <c r="Z691" s="128"/>
      <c r="AA691" s="89"/>
      <c r="AB691" s="89"/>
      <c r="AC691" s="89"/>
      <c r="AD691" s="89"/>
      <c r="AE691" s="89"/>
      <c r="AF691" s="89"/>
      <c r="AG691" s="89"/>
      <c r="AH691" s="89"/>
      <c r="AI691" s="89"/>
      <c r="AJ691" s="89"/>
      <c r="AK691" s="89"/>
      <c r="AL691" s="89"/>
      <c r="AM691" s="89"/>
      <c r="AN691" s="89"/>
    </row>
    <row r="692" spans="3:40" ht="24" x14ac:dyDescent="0.2">
      <c r="C692" s="91"/>
      <c r="D692" s="546" t="s">
        <v>434</v>
      </c>
      <c r="E692" s="1033">
        <v>2.4E-2</v>
      </c>
      <c r="F692" s="1034"/>
      <c r="G692" s="1035"/>
      <c r="H692" s="219"/>
      <c r="I692" s="1029"/>
      <c r="J692" s="964"/>
      <c r="K692" s="1030"/>
      <c r="L692" s="559"/>
      <c r="M692" s="519"/>
      <c r="N692" s="168"/>
      <c r="O692" s="129" t="s">
        <v>811</v>
      </c>
      <c r="P692" s="176">
        <v>0.1</v>
      </c>
      <c r="Q692" s="177">
        <v>8.3099999999999993E-2</v>
      </c>
      <c r="R692" s="178">
        <v>1.7000000000000001E-2</v>
      </c>
      <c r="S692" s="133">
        <v>1</v>
      </c>
      <c r="T692" s="129">
        <v>0.14165</v>
      </c>
      <c r="U692" s="134">
        <v>-33.369230088500814</v>
      </c>
      <c r="V692" s="135">
        <v>60.5</v>
      </c>
      <c r="W692" s="179">
        <v>5.49</v>
      </c>
      <c r="X692" s="137">
        <v>183.19707318586947</v>
      </c>
      <c r="Y692" s="138"/>
      <c r="Z692" s="138">
        <v>4.4350000000000005</v>
      </c>
      <c r="AA692" s="89"/>
      <c r="AB692" s="89"/>
      <c r="AC692" s="89"/>
      <c r="AD692" s="89"/>
      <c r="AE692" s="89"/>
      <c r="AF692" s="89"/>
      <c r="AG692" s="89"/>
      <c r="AH692" s="89"/>
      <c r="AI692" s="89"/>
      <c r="AJ692" s="89"/>
      <c r="AK692" s="89"/>
      <c r="AL692" s="89"/>
      <c r="AM692" s="89"/>
      <c r="AN692" s="89"/>
    </row>
    <row r="693" spans="3:40" ht="25" thickBot="1" x14ac:dyDescent="0.25">
      <c r="C693" s="91"/>
      <c r="D693" s="547" t="s">
        <v>435</v>
      </c>
      <c r="E693" s="1039">
        <v>0.5625</v>
      </c>
      <c r="F693" s="1040"/>
      <c r="G693" s="1041"/>
      <c r="H693" s="219"/>
      <c r="I693" s="1029"/>
      <c r="J693" s="964"/>
      <c r="K693" s="1030"/>
      <c r="L693" s="560">
        <v>0.79166666666666663</v>
      </c>
      <c r="M693" s="520">
        <v>0.64583333333333326</v>
      </c>
      <c r="N693" s="168"/>
      <c r="O693" s="139" t="s">
        <v>812</v>
      </c>
      <c r="P693" s="180">
        <v>0.1</v>
      </c>
      <c r="Q693" s="160">
        <v>9.1333333333333336E-2</v>
      </c>
      <c r="R693" s="181">
        <v>1.7000000000000001E-2</v>
      </c>
      <c r="S693" s="143">
        <v>1</v>
      </c>
      <c r="T693" s="182">
        <v>0.154</v>
      </c>
      <c r="U693" s="144">
        <v>-36.278584070802154</v>
      </c>
      <c r="V693" s="145">
        <v>60.5</v>
      </c>
      <c r="W693" s="183">
        <v>4.0600000000000005</v>
      </c>
      <c r="X693" s="147">
        <v>147.29105132745676</v>
      </c>
      <c r="Y693" s="148"/>
      <c r="Z693" s="148"/>
      <c r="AA693" s="89"/>
      <c r="AB693" s="89"/>
      <c r="AC693" s="89"/>
      <c r="AD693" s="89"/>
      <c r="AE693" s="89"/>
      <c r="AF693" s="89"/>
      <c r="AG693" s="89"/>
      <c r="AH693" s="89"/>
      <c r="AI693" s="89"/>
      <c r="AJ693" s="89"/>
      <c r="AK693" s="89"/>
      <c r="AL693" s="89"/>
      <c r="AM693" s="89"/>
      <c r="AN693" s="89"/>
    </row>
    <row r="694" spans="3:40" ht="25" thickBot="1" x14ac:dyDescent="0.25">
      <c r="C694" s="91"/>
      <c r="D694" s="549" t="s">
        <v>436</v>
      </c>
      <c r="E694" s="93" t="s">
        <v>29</v>
      </c>
      <c r="F694" s="93" t="s">
        <v>28</v>
      </c>
      <c r="G694" s="94" t="s">
        <v>27</v>
      </c>
      <c r="H694" s="230" t="s">
        <v>793</v>
      </c>
      <c r="I694" s="1029"/>
      <c r="J694" s="964"/>
      <c r="K694" s="1030"/>
      <c r="L694" s="573" t="s">
        <v>1002</v>
      </c>
      <c r="M694" s="523"/>
      <c r="N694" s="168"/>
      <c r="O694" s="127"/>
      <c r="P694" s="149"/>
      <c r="Q694" s="127"/>
      <c r="R694" s="127"/>
      <c r="S694" s="127"/>
      <c r="T694" s="127"/>
      <c r="U694" s="150"/>
      <c r="V694" s="151"/>
      <c r="W694" s="127"/>
      <c r="X694" s="150"/>
      <c r="Y694" s="128"/>
      <c r="Z694" s="128"/>
      <c r="AA694" s="89"/>
      <c r="AB694" s="89"/>
      <c r="AC694" s="89"/>
      <c r="AD694" s="89"/>
      <c r="AE694" s="89"/>
      <c r="AF694" s="89"/>
      <c r="AG694" s="89"/>
      <c r="AH694" s="89"/>
      <c r="AI694" s="89"/>
      <c r="AJ694" s="89"/>
      <c r="AK694" s="89"/>
      <c r="AL694" s="89"/>
      <c r="AM694" s="89"/>
      <c r="AN694" s="89"/>
    </row>
    <row r="695" spans="3:40" ht="24" x14ac:dyDescent="0.2">
      <c r="C695" s="91"/>
      <c r="D695" s="550">
        <v>45575</v>
      </c>
      <c r="E695" s="99">
        <v>2.4E-2</v>
      </c>
      <c r="F695" s="99" t="s">
        <v>971</v>
      </c>
      <c r="G695" s="99">
        <v>2.5000000000000001E-2</v>
      </c>
      <c r="H695" s="224">
        <v>0.52083333333333337</v>
      </c>
      <c r="I695" s="1029"/>
      <c r="J695" s="964"/>
      <c r="K695" s="1030"/>
      <c r="L695" s="574">
        <v>0.3125</v>
      </c>
      <c r="M695" s="524"/>
      <c r="N695" s="168"/>
      <c r="O695" s="152"/>
      <c r="P695" s="128"/>
      <c r="Q695" s="152"/>
      <c r="R695" s="152"/>
      <c r="S695" s="152"/>
      <c r="T695" s="152"/>
      <c r="U695" s="152"/>
      <c r="V695" s="152"/>
      <c r="W695" s="152"/>
      <c r="X695" s="152"/>
      <c r="Y695" s="128"/>
      <c r="Z695" s="128"/>
      <c r="AA695" s="89"/>
      <c r="AB695" s="89"/>
      <c r="AC695" s="89"/>
      <c r="AD695" s="89"/>
      <c r="AE695" s="89"/>
      <c r="AF695" s="89"/>
      <c r="AG695" s="89"/>
      <c r="AH695" s="89"/>
      <c r="AI695" s="89"/>
      <c r="AJ695" s="89"/>
      <c r="AK695" s="89"/>
      <c r="AL695" s="89"/>
      <c r="AM695" s="89"/>
      <c r="AN695" s="89"/>
    </row>
    <row r="696" spans="3:40" ht="24" x14ac:dyDescent="0.2">
      <c r="C696" s="91"/>
      <c r="D696" s="550">
        <v>45546</v>
      </c>
      <c r="E696" s="99">
        <v>2.5000000000000001E-2</v>
      </c>
      <c r="F696" s="99" t="s">
        <v>495</v>
      </c>
      <c r="G696" s="99">
        <v>2.9000000000000001E-2</v>
      </c>
      <c r="H696" s="224">
        <v>0.52083333333333337</v>
      </c>
      <c r="I696" s="1029"/>
      <c r="J696" s="964"/>
      <c r="K696" s="1030"/>
      <c r="L696" s="574">
        <v>0.3125</v>
      </c>
      <c r="M696" s="525"/>
      <c r="N696" s="168"/>
      <c r="O696" s="119" t="s">
        <v>813</v>
      </c>
      <c r="P696" s="171">
        <v>0.1</v>
      </c>
      <c r="Q696" s="153">
        <v>8.7216666666666665E-2</v>
      </c>
      <c r="R696" s="154">
        <v>1.7000000000000001E-2</v>
      </c>
      <c r="S696" s="123">
        <v>1</v>
      </c>
      <c r="T696" s="129">
        <v>0.14782499999999998</v>
      </c>
      <c r="U696" s="155">
        <v>-34.823907079651477</v>
      </c>
      <c r="V696" s="156">
        <v>60.5</v>
      </c>
      <c r="W696" s="123">
        <v>2</v>
      </c>
      <c r="X696" s="157">
        <v>69.647814159302953</v>
      </c>
      <c r="Y696" s="158"/>
      <c r="Z696" s="158"/>
      <c r="AA696" s="89"/>
      <c r="AB696" s="89"/>
      <c r="AC696" s="89"/>
      <c r="AD696" s="89"/>
      <c r="AE696" s="89"/>
      <c r="AF696" s="89"/>
      <c r="AG696" s="89"/>
      <c r="AH696" s="89"/>
      <c r="AI696" s="89"/>
      <c r="AJ696" s="89"/>
      <c r="AK696" s="89"/>
      <c r="AL696" s="89"/>
      <c r="AM696" s="89"/>
      <c r="AN696" s="89"/>
    </row>
    <row r="697" spans="3:40" ht="24" x14ac:dyDescent="0.2">
      <c r="C697" s="91"/>
      <c r="D697" s="550">
        <v>45518</v>
      </c>
      <c r="E697" s="99">
        <v>2.9000000000000001E-2</v>
      </c>
      <c r="F697" s="99" t="s">
        <v>669</v>
      </c>
      <c r="G697" s="99">
        <v>0.03</v>
      </c>
      <c r="H697" s="224">
        <v>0.52083333333333337</v>
      </c>
      <c r="I697" s="1029"/>
      <c r="J697" s="964"/>
      <c r="K697" s="1030"/>
      <c r="L697" s="574">
        <v>0.3125</v>
      </c>
      <c r="M697" s="519"/>
      <c r="N697" s="168"/>
      <c r="O697" s="119"/>
      <c r="P697" s="119"/>
      <c r="Q697" s="153"/>
      <c r="R697" s="154"/>
      <c r="S697" s="123"/>
      <c r="T697" s="171"/>
      <c r="U697" s="155"/>
      <c r="V697" s="156"/>
      <c r="W697" s="123"/>
      <c r="X697" s="157"/>
      <c r="Y697" s="158"/>
      <c r="Z697" s="158"/>
      <c r="AA697" s="89"/>
      <c r="AB697" s="89"/>
      <c r="AC697" s="89"/>
      <c r="AD697" s="89"/>
      <c r="AE697" s="89"/>
      <c r="AF697" s="89"/>
      <c r="AG697" s="89"/>
      <c r="AH697" s="89"/>
      <c r="AI697" s="89"/>
      <c r="AJ697" s="89"/>
      <c r="AK697" s="89"/>
      <c r="AL697" s="89"/>
      <c r="AM697" s="89"/>
      <c r="AN697" s="89"/>
    </row>
    <row r="698" spans="3:40" ht="24" x14ac:dyDescent="0.2">
      <c r="C698" s="91"/>
      <c r="D698" s="550">
        <v>45484</v>
      </c>
      <c r="E698" s="99">
        <v>0.03</v>
      </c>
      <c r="F698" s="99" t="s">
        <v>668</v>
      </c>
      <c r="G698" s="99">
        <v>3.3000000000000002E-2</v>
      </c>
      <c r="H698" s="224">
        <v>0.52083333333333337</v>
      </c>
      <c r="I698" s="1029"/>
      <c r="J698" s="964"/>
      <c r="K698" s="1030"/>
      <c r="L698" s="574">
        <v>0.3125</v>
      </c>
      <c r="M698" s="519"/>
      <c r="N698" s="168"/>
      <c r="O698" s="119" t="s">
        <v>816</v>
      </c>
      <c r="P698" s="120"/>
      <c r="Q698" s="153"/>
      <c r="R698" s="154"/>
      <c r="S698" s="123"/>
      <c r="T698" s="120"/>
      <c r="U698" s="155">
        <v>0</v>
      </c>
      <c r="V698" s="156"/>
      <c r="W698" s="123"/>
      <c r="X698" s="157">
        <v>0</v>
      </c>
      <c r="Y698" s="158"/>
      <c r="Z698" s="158"/>
      <c r="AA698" s="89"/>
      <c r="AB698" s="89"/>
      <c r="AC698" s="89"/>
      <c r="AD698" s="89"/>
      <c r="AE698" s="89"/>
      <c r="AF698" s="89"/>
      <c r="AG698" s="89"/>
      <c r="AH698" s="89"/>
      <c r="AI698" s="89"/>
      <c r="AJ698" s="89"/>
      <c r="AK698" s="89"/>
      <c r="AL698" s="89"/>
      <c r="AM698" s="89"/>
      <c r="AN698" s="89"/>
    </row>
    <row r="699" spans="3:40" ht="24" x14ac:dyDescent="0.2">
      <c r="C699" s="91"/>
      <c r="D699" s="550">
        <v>45455</v>
      </c>
      <c r="E699" s="99">
        <v>3.3000000000000002E-2</v>
      </c>
      <c r="F699" s="99" t="s">
        <v>882</v>
      </c>
      <c r="G699" s="99">
        <v>3.4000000000000002E-2</v>
      </c>
      <c r="H699" s="224">
        <v>0.52083333333333337</v>
      </c>
      <c r="I699" s="1029"/>
      <c r="J699" s="964"/>
      <c r="K699" s="1030"/>
      <c r="L699" s="574">
        <v>0.3125</v>
      </c>
      <c r="M699" s="519"/>
      <c r="N699" s="168"/>
      <c r="O699" s="89"/>
      <c r="P699" s="89"/>
      <c r="Q699" s="89"/>
      <c r="R699" s="89"/>
      <c r="S699" s="89"/>
      <c r="T699" s="89"/>
      <c r="U699" s="89"/>
      <c r="V699" s="89"/>
      <c r="W699" s="89"/>
      <c r="X699" s="89"/>
      <c r="Y699" s="89"/>
      <c r="Z699" s="89"/>
      <c r="AA699" s="89"/>
      <c r="AB699" s="89"/>
      <c r="AC699" s="89"/>
      <c r="AD699" s="89"/>
      <c r="AE699" s="89"/>
      <c r="AF699" s="89"/>
      <c r="AG699" s="89"/>
      <c r="AH699" s="89"/>
      <c r="AI699" s="89"/>
      <c r="AJ699" s="89"/>
      <c r="AK699" s="89"/>
      <c r="AL699" s="89"/>
      <c r="AM699" s="89"/>
      <c r="AN699" s="89"/>
    </row>
    <row r="700" spans="3:40" ht="25" thickBot="1" x14ac:dyDescent="0.25">
      <c r="C700" s="91"/>
      <c r="D700" s="550">
        <v>45427</v>
      </c>
      <c r="E700" s="99">
        <v>3.4000000000000002E-2</v>
      </c>
      <c r="F700" s="99" t="s">
        <v>882</v>
      </c>
      <c r="G700" s="99">
        <v>3.5000000000000003E-2</v>
      </c>
      <c r="H700" s="231">
        <v>0.52083333333333337</v>
      </c>
      <c r="I700" s="1031"/>
      <c r="J700" s="966"/>
      <c r="K700" s="1032"/>
      <c r="L700" s="575">
        <v>0.3125</v>
      </c>
      <c r="M700" s="522"/>
      <c r="N700" s="168"/>
      <c r="O700" s="89"/>
      <c r="P700" s="89"/>
      <c r="Q700" s="89"/>
      <c r="R700" s="89"/>
      <c r="S700" s="89"/>
      <c r="T700" s="89"/>
      <c r="U700" s="89"/>
      <c r="V700" s="89"/>
      <c r="W700" s="89"/>
      <c r="X700" s="89"/>
      <c r="Y700" s="89"/>
      <c r="Z700" s="89"/>
      <c r="AA700" s="89"/>
      <c r="AB700" s="89"/>
      <c r="AC700" s="89"/>
      <c r="AD700" s="89"/>
      <c r="AE700" s="89"/>
      <c r="AF700" s="89"/>
      <c r="AG700" s="89"/>
      <c r="AH700" s="89"/>
      <c r="AI700" s="89"/>
      <c r="AJ700" s="89"/>
      <c r="AK700" s="89"/>
      <c r="AL700" s="89"/>
      <c r="AM700" s="89"/>
      <c r="AN700" s="89"/>
    </row>
    <row r="701" spans="3:40" ht="49" thickBot="1" x14ac:dyDescent="0.25">
      <c r="C701" s="91">
        <v>4</v>
      </c>
      <c r="D701" s="552" t="s">
        <v>30</v>
      </c>
      <c r="E701" s="1052" t="s">
        <v>954</v>
      </c>
      <c r="F701" s="1053"/>
      <c r="G701" s="1054"/>
      <c r="H701" s="217" t="s">
        <v>790</v>
      </c>
      <c r="I701" s="1055" t="s">
        <v>633</v>
      </c>
      <c r="J701" s="1056"/>
      <c r="K701" s="1057"/>
      <c r="L701" s="570" t="s">
        <v>430</v>
      </c>
      <c r="M701" s="518" t="s">
        <v>431</v>
      </c>
      <c r="N701" s="168" t="s">
        <v>105</v>
      </c>
      <c r="O701" s="118" t="s">
        <v>800</v>
      </c>
      <c r="P701" s="118" t="s">
        <v>801</v>
      </c>
      <c r="Q701" s="118" t="s">
        <v>802</v>
      </c>
      <c r="R701" s="118" t="s">
        <v>803</v>
      </c>
      <c r="S701" s="118" t="s">
        <v>804</v>
      </c>
      <c r="T701" s="118" t="s">
        <v>805</v>
      </c>
      <c r="U701" s="118" t="s">
        <v>806</v>
      </c>
      <c r="V701" s="118" t="s">
        <v>807</v>
      </c>
      <c r="W701" s="118" t="s">
        <v>808</v>
      </c>
      <c r="X701" s="118" t="s">
        <v>809</v>
      </c>
      <c r="Y701" s="118" t="s">
        <v>75</v>
      </c>
      <c r="Z701" s="118" t="s">
        <v>75</v>
      </c>
      <c r="AA701" s="89"/>
      <c r="AB701" s="89"/>
      <c r="AC701" s="89"/>
      <c r="AD701" s="89"/>
      <c r="AE701" s="89"/>
      <c r="AF701" s="89"/>
      <c r="AG701" s="89"/>
      <c r="AH701" s="89"/>
      <c r="AI701" s="89"/>
      <c r="AJ701" s="89"/>
      <c r="AK701" s="89"/>
      <c r="AL701" s="89"/>
      <c r="AM701" s="89"/>
      <c r="AN701" s="89"/>
    </row>
    <row r="702" spans="3:40" ht="24" x14ac:dyDescent="0.2">
      <c r="C702" s="91"/>
      <c r="D702" s="544" t="s">
        <v>432</v>
      </c>
      <c r="E702" s="1024"/>
      <c r="F702" s="1025"/>
      <c r="G702" s="1026"/>
      <c r="H702" s="218" t="s">
        <v>794</v>
      </c>
      <c r="I702" s="1027" t="s">
        <v>953</v>
      </c>
      <c r="J702" s="962"/>
      <c r="K702" s="1028"/>
      <c r="L702" s="559"/>
      <c r="M702" s="519"/>
      <c r="N702" s="168"/>
      <c r="O702" s="119" t="s">
        <v>810</v>
      </c>
      <c r="P702" s="171">
        <v>0.1</v>
      </c>
      <c r="Q702" s="172">
        <v>0.03</v>
      </c>
      <c r="R702" s="173">
        <v>1.5999999999991132E-2</v>
      </c>
      <c r="S702" s="123"/>
      <c r="T702" s="119">
        <v>6.0999999999991131E-2</v>
      </c>
      <c r="U702" s="172">
        <v>-14.17</v>
      </c>
      <c r="V702" s="171">
        <v>91.8</v>
      </c>
      <c r="W702" s="174">
        <v>2</v>
      </c>
      <c r="X702" s="157">
        <v>28.34</v>
      </c>
      <c r="Y702" s="124"/>
      <c r="Z702" s="124"/>
      <c r="AA702" s="89"/>
      <c r="AB702" s="89"/>
      <c r="AC702" s="89"/>
      <c r="AD702" s="89"/>
      <c r="AE702" s="89"/>
      <c r="AF702" s="89"/>
      <c r="AG702" s="89"/>
      <c r="AH702" s="89"/>
      <c r="AI702" s="89"/>
      <c r="AJ702" s="89"/>
      <c r="AK702" s="89"/>
      <c r="AL702" s="89"/>
      <c r="AM702" s="89"/>
      <c r="AN702" s="89"/>
    </row>
    <row r="703" spans="3:40" ht="24" x14ac:dyDescent="0.2">
      <c r="C703" s="91"/>
      <c r="D703" s="546" t="s">
        <v>433</v>
      </c>
      <c r="E703" s="1033">
        <v>2E-3</v>
      </c>
      <c r="F703" s="1034"/>
      <c r="G703" s="1035"/>
      <c r="H703" s="218" t="s">
        <v>795</v>
      </c>
      <c r="I703" s="1029"/>
      <c r="J703" s="964"/>
      <c r="K703" s="1030"/>
      <c r="L703" s="559"/>
      <c r="M703" s="519"/>
      <c r="N703" s="168"/>
      <c r="O703" s="125"/>
      <c r="P703" s="125"/>
      <c r="Q703" s="125"/>
      <c r="R703" s="126"/>
      <c r="S703" s="127"/>
      <c r="T703" s="125"/>
      <c r="U703" s="125"/>
      <c r="V703" s="125"/>
      <c r="W703" s="127"/>
      <c r="X703" s="127"/>
      <c r="Y703" s="128"/>
      <c r="Z703" s="128"/>
      <c r="AA703" s="89"/>
      <c r="AB703" s="89"/>
      <c r="AC703" s="89"/>
      <c r="AD703" s="89"/>
      <c r="AE703" s="89"/>
      <c r="AF703" s="89"/>
      <c r="AG703" s="89"/>
      <c r="AH703" s="89"/>
      <c r="AI703" s="89"/>
      <c r="AJ703" s="89"/>
      <c r="AK703" s="89"/>
      <c r="AL703" s="89"/>
      <c r="AM703" s="89"/>
      <c r="AN703" s="89"/>
    </row>
    <row r="704" spans="3:40" ht="24" x14ac:dyDescent="0.2">
      <c r="C704" s="91"/>
      <c r="D704" s="546" t="s">
        <v>434</v>
      </c>
      <c r="E704" s="1033">
        <v>2E-3</v>
      </c>
      <c r="F704" s="1034"/>
      <c r="G704" s="1035"/>
      <c r="H704" s="219"/>
      <c r="I704" s="1029"/>
      <c r="J704" s="964"/>
      <c r="K704" s="1030"/>
      <c r="L704" s="559"/>
      <c r="M704" s="519"/>
      <c r="N704" s="168"/>
      <c r="O704" s="129" t="s">
        <v>811</v>
      </c>
      <c r="P704" s="176">
        <v>0.05</v>
      </c>
      <c r="Q704" s="177">
        <v>7.51E-2</v>
      </c>
      <c r="R704" s="178">
        <v>7.0000000000000007E-2</v>
      </c>
      <c r="S704" s="133">
        <v>1</v>
      </c>
      <c r="T704" s="129">
        <v>0.18265000000000001</v>
      </c>
      <c r="U704" s="134">
        <v>-21.214348360658821</v>
      </c>
      <c r="V704" s="135">
        <v>30.25</v>
      </c>
      <c r="W704" s="179">
        <v>2.94</v>
      </c>
      <c r="X704" s="137">
        <v>62.370184180336935</v>
      </c>
      <c r="Y704" s="138"/>
      <c r="Z704" s="138">
        <v>4.4350000000000005</v>
      </c>
      <c r="AA704" s="89"/>
      <c r="AB704" s="89"/>
      <c r="AC704" s="89"/>
      <c r="AD704" s="89"/>
      <c r="AE704" s="89"/>
      <c r="AF704" s="89"/>
      <c r="AG704" s="89"/>
      <c r="AH704" s="89"/>
      <c r="AI704" s="89"/>
      <c r="AJ704" s="89"/>
      <c r="AK704" s="89"/>
      <c r="AL704" s="89"/>
      <c r="AM704" s="89"/>
      <c r="AN704" s="89"/>
    </row>
    <row r="705" spans="3:40" ht="25" thickBot="1" x14ac:dyDescent="0.25">
      <c r="C705" s="91"/>
      <c r="D705" s="547" t="s">
        <v>435</v>
      </c>
      <c r="E705" s="1039">
        <v>0.5625</v>
      </c>
      <c r="F705" s="1040"/>
      <c r="G705" s="1041"/>
      <c r="H705" s="219"/>
      <c r="I705" s="1029"/>
      <c r="J705" s="964"/>
      <c r="K705" s="1030"/>
      <c r="L705" s="560">
        <v>0.79166666666666663</v>
      </c>
      <c r="M705" s="520">
        <v>0.64583333333333326</v>
      </c>
      <c r="N705" s="168"/>
      <c r="O705" s="139" t="s">
        <v>812</v>
      </c>
      <c r="P705" s="180">
        <v>0.05</v>
      </c>
      <c r="Q705" s="160">
        <v>0.10166666666666667</v>
      </c>
      <c r="R705" s="181">
        <v>7.0000000000000007E-2</v>
      </c>
      <c r="S705" s="143">
        <v>1</v>
      </c>
      <c r="T705" s="182">
        <v>0.2225</v>
      </c>
      <c r="U705" s="144">
        <v>-25.842827868856215</v>
      </c>
      <c r="V705" s="145">
        <v>30.25</v>
      </c>
      <c r="W705" s="183">
        <v>3.19</v>
      </c>
      <c r="X705" s="147">
        <v>82.438620901651319</v>
      </c>
      <c r="Y705" s="148"/>
      <c r="Z705" s="148"/>
      <c r="AA705" s="89"/>
      <c r="AB705" s="89"/>
      <c r="AC705" s="89"/>
      <c r="AD705" s="89"/>
      <c r="AE705" s="89"/>
      <c r="AF705" s="89"/>
      <c r="AG705" s="89"/>
      <c r="AH705" s="89"/>
      <c r="AI705" s="89"/>
      <c r="AJ705" s="89"/>
      <c r="AK705" s="89"/>
      <c r="AL705" s="89"/>
      <c r="AM705" s="89"/>
      <c r="AN705" s="89"/>
    </row>
    <row r="706" spans="3:40" ht="25" thickBot="1" x14ac:dyDescent="0.25">
      <c r="C706" s="91"/>
      <c r="D706" s="549" t="s">
        <v>436</v>
      </c>
      <c r="E706" s="93" t="s">
        <v>29</v>
      </c>
      <c r="F706" s="93" t="s">
        <v>28</v>
      </c>
      <c r="G706" s="94" t="s">
        <v>27</v>
      </c>
      <c r="H706" s="230" t="s">
        <v>793</v>
      </c>
      <c r="I706" s="1029"/>
      <c r="J706" s="964"/>
      <c r="K706" s="1030"/>
      <c r="L706" s="573" t="s">
        <v>1002</v>
      </c>
      <c r="M706" s="523"/>
      <c r="N706" s="168"/>
      <c r="O706" s="127"/>
      <c r="P706" s="149"/>
      <c r="Q706" s="127"/>
      <c r="R706" s="127"/>
      <c r="S706" s="127"/>
      <c r="T706" s="127"/>
      <c r="U706" s="150"/>
      <c r="V706" s="151"/>
      <c r="W706" s="127"/>
      <c r="X706" s="150"/>
      <c r="Y706" s="128"/>
      <c r="Z706" s="128"/>
      <c r="AA706" s="89"/>
      <c r="AB706" s="89"/>
      <c r="AC706" s="89"/>
      <c r="AD706" s="89"/>
      <c r="AE706" s="89"/>
      <c r="AF706" s="89"/>
      <c r="AG706" s="89"/>
      <c r="AH706" s="89"/>
      <c r="AI706" s="89"/>
      <c r="AJ706" s="89"/>
      <c r="AK706" s="89"/>
      <c r="AL706" s="89"/>
      <c r="AM706" s="89"/>
      <c r="AN706" s="89"/>
    </row>
    <row r="707" spans="3:40" ht="24" x14ac:dyDescent="0.2">
      <c r="C707" s="91"/>
      <c r="D707" s="550">
        <v>45575</v>
      </c>
      <c r="E707" s="99">
        <v>2E-3</v>
      </c>
      <c r="F707" s="99" t="s">
        <v>462</v>
      </c>
      <c r="G707" s="99">
        <v>2E-3</v>
      </c>
      <c r="H707" s="224">
        <v>0.52083333333333337</v>
      </c>
      <c r="I707" s="1029"/>
      <c r="J707" s="964"/>
      <c r="K707" s="1030"/>
      <c r="L707" s="574">
        <v>0.3125</v>
      </c>
      <c r="M707" s="524"/>
      <c r="N707" s="168"/>
      <c r="O707" s="152"/>
      <c r="P707" s="128"/>
      <c r="Q707" s="152"/>
      <c r="R707" s="152"/>
      <c r="S707" s="152"/>
      <c r="T707" s="152"/>
      <c r="U707" s="152"/>
      <c r="V707" s="152"/>
      <c r="W707" s="152"/>
      <c r="X707" s="152"/>
      <c r="Y707" s="128"/>
      <c r="Z707" s="128"/>
      <c r="AA707" s="89"/>
      <c r="AB707" s="89"/>
      <c r="AC707" s="89"/>
      <c r="AD707" s="89"/>
      <c r="AE707" s="89"/>
      <c r="AF707" s="89"/>
      <c r="AG707" s="89"/>
      <c r="AH707" s="89"/>
      <c r="AI707" s="89"/>
      <c r="AJ707" s="89"/>
      <c r="AK707" s="89"/>
      <c r="AL707" s="89"/>
      <c r="AM707" s="89"/>
      <c r="AN707" s="89"/>
    </row>
    <row r="708" spans="3:40" ht="24" x14ac:dyDescent="0.2">
      <c r="C708" s="91"/>
      <c r="D708" s="550">
        <v>45546</v>
      </c>
      <c r="E708" s="99">
        <v>2E-3</v>
      </c>
      <c r="F708" s="99" t="s">
        <v>460</v>
      </c>
      <c r="G708" s="99">
        <v>2E-3</v>
      </c>
      <c r="H708" s="224">
        <v>0.52083333333333337</v>
      </c>
      <c r="I708" s="1029"/>
      <c r="J708" s="964"/>
      <c r="K708" s="1030"/>
      <c r="L708" s="574">
        <v>0.3125</v>
      </c>
      <c r="M708" s="525"/>
      <c r="N708" s="168"/>
      <c r="O708" s="119" t="s">
        <v>813</v>
      </c>
      <c r="P708" s="171">
        <v>-0.05</v>
      </c>
      <c r="Q708" s="153">
        <v>8.8383333333333342E-2</v>
      </c>
      <c r="R708" s="154">
        <v>7.0000000000000007E-2</v>
      </c>
      <c r="S708" s="123">
        <v>-1</v>
      </c>
      <c r="T708" s="129">
        <v>0.20257500000000001</v>
      </c>
      <c r="U708" s="155">
        <v>-23.528588114757518</v>
      </c>
      <c r="V708" s="156">
        <v>-30.25</v>
      </c>
      <c r="W708" s="123">
        <v>2.5</v>
      </c>
      <c r="X708" s="157">
        <v>58.821470286893799</v>
      </c>
      <c r="Y708" s="158"/>
      <c r="Z708" s="158"/>
      <c r="AA708" s="89"/>
      <c r="AB708" s="89"/>
      <c r="AC708" s="89"/>
      <c r="AD708" s="89"/>
      <c r="AE708" s="89"/>
      <c r="AF708" s="89"/>
      <c r="AG708" s="89"/>
      <c r="AH708" s="89"/>
      <c r="AI708" s="89"/>
      <c r="AJ708" s="89"/>
      <c r="AK708" s="89"/>
      <c r="AL708" s="89"/>
      <c r="AM708" s="89"/>
      <c r="AN708" s="89"/>
    </row>
    <row r="709" spans="3:40" ht="24" x14ac:dyDescent="0.2">
      <c r="C709" s="91"/>
      <c r="D709" s="550">
        <v>45518</v>
      </c>
      <c r="E709" s="99">
        <v>2E-3</v>
      </c>
      <c r="F709" s="99" t="s">
        <v>460</v>
      </c>
      <c r="G709" s="99">
        <v>-1E-3</v>
      </c>
      <c r="H709" s="224">
        <v>0.52083333333333337</v>
      </c>
      <c r="I709" s="1029"/>
      <c r="J709" s="964"/>
      <c r="K709" s="1030"/>
      <c r="L709" s="574">
        <v>0.3125</v>
      </c>
      <c r="M709" s="519"/>
      <c r="N709" s="168"/>
      <c r="O709" s="119" t="s">
        <v>813</v>
      </c>
      <c r="P709" s="171">
        <v>0.05</v>
      </c>
      <c r="Q709" s="153">
        <v>8.8383333333333342E-2</v>
      </c>
      <c r="R709" s="154">
        <v>7.0000000000000007E-2</v>
      </c>
      <c r="S709" s="123">
        <v>1</v>
      </c>
      <c r="T709" s="129">
        <v>0.20257500000000001</v>
      </c>
      <c r="U709" s="155">
        <v>-23.528588114757518</v>
      </c>
      <c r="V709" s="156">
        <v>30.25</v>
      </c>
      <c r="W709" s="123">
        <v>2.5</v>
      </c>
      <c r="X709" s="157">
        <v>58.821470286893799</v>
      </c>
      <c r="Y709" s="158"/>
      <c r="Z709" s="158"/>
      <c r="AA709" s="89"/>
      <c r="AB709" s="89"/>
      <c r="AC709" s="89"/>
      <c r="AD709" s="89"/>
      <c r="AE709" s="89"/>
      <c r="AF709" s="89"/>
      <c r="AG709" s="89"/>
      <c r="AH709" s="89"/>
      <c r="AI709" s="89"/>
      <c r="AJ709" s="89"/>
      <c r="AK709" s="89"/>
      <c r="AL709" s="89"/>
      <c r="AM709" s="89"/>
      <c r="AN709" s="89"/>
    </row>
    <row r="710" spans="3:40" ht="24" x14ac:dyDescent="0.2">
      <c r="C710" s="91"/>
      <c r="D710" s="550">
        <v>45484</v>
      </c>
      <c r="E710" s="99">
        <v>-1E-3</v>
      </c>
      <c r="F710" s="99" t="s">
        <v>462</v>
      </c>
      <c r="G710" s="99">
        <v>0</v>
      </c>
      <c r="H710" s="224">
        <v>0.52083333333333337</v>
      </c>
      <c r="I710" s="1029"/>
      <c r="J710" s="964"/>
      <c r="K710" s="1030"/>
      <c r="L710" s="574">
        <v>0.3125</v>
      </c>
      <c r="M710" s="519"/>
      <c r="N710" s="168"/>
      <c r="O710" s="119" t="s">
        <v>816</v>
      </c>
      <c r="P710" s="120"/>
      <c r="Q710" s="153"/>
      <c r="R710" s="154"/>
      <c r="S710" s="123"/>
      <c r="T710" s="120"/>
      <c r="U710" s="155"/>
      <c r="V710" s="156"/>
      <c r="W710" s="123"/>
      <c r="X710" s="157"/>
      <c r="Y710" s="158"/>
      <c r="Z710" s="158"/>
      <c r="AA710" s="89"/>
      <c r="AB710" s="89"/>
      <c r="AC710" s="89"/>
      <c r="AD710" s="89"/>
      <c r="AE710" s="89"/>
      <c r="AF710" s="89"/>
      <c r="AG710" s="89"/>
      <c r="AH710" s="89"/>
      <c r="AI710" s="89"/>
      <c r="AJ710" s="89"/>
      <c r="AK710" s="89"/>
      <c r="AL710" s="89"/>
      <c r="AM710" s="89"/>
      <c r="AN710" s="89"/>
    </row>
    <row r="711" spans="3:40" ht="24" x14ac:dyDescent="0.2">
      <c r="C711" s="91"/>
      <c r="D711" s="550">
        <v>45455</v>
      </c>
      <c r="E711" s="99">
        <v>0</v>
      </c>
      <c r="F711" s="99" t="s">
        <v>462</v>
      </c>
      <c r="G711" s="99">
        <v>3.0000000000000001E-3</v>
      </c>
      <c r="H711" s="224">
        <v>0.52083333333333337</v>
      </c>
      <c r="I711" s="1029"/>
      <c r="J711" s="964"/>
      <c r="K711" s="1030"/>
      <c r="L711" s="574">
        <v>0.3125</v>
      </c>
      <c r="M711" s="519"/>
      <c r="N711" s="168"/>
      <c r="O711" s="89"/>
      <c r="P711" s="89"/>
      <c r="Q711" s="89"/>
      <c r="R711" s="89"/>
      <c r="S711" s="89"/>
      <c r="T711" s="89"/>
      <c r="U711" s="89"/>
      <c r="V711" s="89"/>
      <c r="W711" s="89"/>
      <c r="X711" s="89"/>
      <c r="Y711" s="89"/>
      <c r="Z711" s="89"/>
      <c r="AA711" s="89"/>
      <c r="AB711" s="89"/>
      <c r="AC711" s="89"/>
      <c r="AD711" s="89"/>
      <c r="AE711" s="89"/>
      <c r="AF711" s="89"/>
      <c r="AG711" s="89"/>
      <c r="AH711" s="89"/>
      <c r="AI711" s="89"/>
      <c r="AJ711" s="89"/>
      <c r="AK711" s="89"/>
      <c r="AL711" s="89"/>
      <c r="AM711" s="89"/>
      <c r="AN711" s="89"/>
    </row>
    <row r="712" spans="3:40" ht="25" thickBot="1" x14ac:dyDescent="0.25">
      <c r="C712" s="91"/>
      <c r="D712" s="550">
        <v>45427</v>
      </c>
      <c r="E712" s="99">
        <v>3.0000000000000001E-3</v>
      </c>
      <c r="F712" s="99" t="s">
        <v>452</v>
      </c>
      <c r="G712" s="99">
        <v>4.0000000000000001E-3</v>
      </c>
      <c r="H712" s="231">
        <v>0.52083333333333337</v>
      </c>
      <c r="I712" s="1031"/>
      <c r="J712" s="966"/>
      <c r="K712" s="1032"/>
      <c r="L712" s="575">
        <v>0.3125</v>
      </c>
      <c r="M712" s="522"/>
      <c r="N712" s="168"/>
      <c r="O712" s="89"/>
      <c r="P712" s="89"/>
      <c r="Q712" s="89"/>
      <c r="R712" s="89"/>
      <c r="S712" s="89"/>
      <c r="T712" s="89"/>
      <c r="U712" s="89"/>
      <c r="V712" s="89"/>
      <c r="W712" s="89"/>
      <c r="X712" s="89"/>
      <c r="Y712" s="89"/>
      <c r="Z712" s="89"/>
      <c r="AA712" s="89"/>
      <c r="AB712" s="89"/>
      <c r="AC712" s="89"/>
      <c r="AD712" s="89"/>
      <c r="AE712" s="89"/>
      <c r="AF712" s="89"/>
      <c r="AG712" s="89"/>
      <c r="AH712" s="89"/>
      <c r="AI712" s="89"/>
      <c r="AJ712" s="89"/>
      <c r="AK712" s="89"/>
      <c r="AL712" s="89"/>
      <c r="AM712" s="89"/>
      <c r="AN712" s="89"/>
    </row>
    <row r="713" spans="3:40" ht="49" thickBot="1" x14ac:dyDescent="0.25">
      <c r="C713" s="91">
        <v>5</v>
      </c>
      <c r="D713" s="552" t="s">
        <v>30</v>
      </c>
      <c r="E713" s="1052" t="s">
        <v>14</v>
      </c>
      <c r="F713" s="1053"/>
      <c r="G713" s="1054"/>
      <c r="H713" s="217" t="s">
        <v>790</v>
      </c>
      <c r="I713" s="1055" t="s">
        <v>633</v>
      </c>
      <c r="J713" s="1056"/>
      <c r="K713" s="1057"/>
      <c r="L713" s="570" t="s">
        <v>430</v>
      </c>
      <c r="M713" s="518" t="s">
        <v>431</v>
      </c>
      <c r="N713" s="168" t="s">
        <v>105</v>
      </c>
      <c r="O713" s="118" t="s">
        <v>800</v>
      </c>
      <c r="P713" s="118" t="s">
        <v>801</v>
      </c>
      <c r="Q713" s="118" t="s">
        <v>802</v>
      </c>
      <c r="R713" s="118" t="s">
        <v>803</v>
      </c>
      <c r="S713" s="118" t="s">
        <v>804</v>
      </c>
      <c r="T713" s="118" t="s">
        <v>805</v>
      </c>
      <c r="U713" s="118" t="s">
        <v>806</v>
      </c>
      <c r="V713" s="118" t="s">
        <v>807</v>
      </c>
      <c r="W713" s="118" t="s">
        <v>808</v>
      </c>
      <c r="X713" s="118" t="s">
        <v>809</v>
      </c>
      <c r="Y713" s="118" t="s">
        <v>75</v>
      </c>
      <c r="Z713" s="118" t="s">
        <v>75</v>
      </c>
      <c r="AA713" s="89"/>
      <c r="AB713" s="89"/>
      <c r="AC713" s="89"/>
      <c r="AD713" s="89"/>
      <c r="AE713" s="89"/>
      <c r="AF713" s="89"/>
      <c r="AG713" s="89"/>
      <c r="AH713" s="89"/>
      <c r="AI713" s="89"/>
      <c r="AJ713" s="89"/>
      <c r="AK713" s="89"/>
      <c r="AL713" s="89"/>
      <c r="AM713" s="89"/>
      <c r="AN713" s="89"/>
    </row>
    <row r="714" spans="3:40" ht="24" x14ac:dyDescent="0.2">
      <c r="C714" s="91"/>
      <c r="D714" s="544" t="s">
        <v>432</v>
      </c>
      <c r="E714" s="1024"/>
      <c r="F714" s="1025"/>
      <c r="G714" s="1026"/>
      <c r="H714" s="218" t="s">
        <v>794</v>
      </c>
      <c r="I714" s="1027" t="s">
        <v>955</v>
      </c>
      <c r="J714" s="962"/>
      <c r="K714" s="1028"/>
      <c r="L714" s="559"/>
      <c r="M714" s="519"/>
      <c r="N714" s="168"/>
      <c r="O714" s="119" t="s">
        <v>810</v>
      </c>
      <c r="P714" s="171">
        <v>0.1</v>
      </c>
      <c r="Q714" s="172">
        <v>1.2999999999999999E-2</v>
      </c>
      <c r="R714" s="173">
        <v>2.199999999999136E-2</v>
      </c>
      <c r="S714" s="123"/>
      <c r="T714" s="119">
        <v>4.1499999999991363E-2</v>
      </c>
      <c r="U714" s="172">
        <v>-10.74</v>
      </c>
      <c r="V714" s="171">
        <v>60.23</v>
      </c>
      <c r="W714" s="171"/>
      <c r="X714" s="157"/>
      <c r="Y714" s="124"/>
      <c r="Z714" s="124"/>
      <c r="AA714" s="89"/>
      <c r="AB714" s="89"/>
      <c r="AC714" s="89"/>
      <c r="AD714" s="89"/>
      <c r="AE714" s="89"/>
      <c r="AF714" s="89"/>
      <c r="AG714" s="89"/>
      <c r="AH714" s="89"/>
      <c r="AI714" s="89"/>
      <c r="AJ714" s="89"/>
      <c r="AK714" s="89"/>
      <c r="AL714" s="89"/>
      <c r="AM714" s="89"/>
      <c r="AN714" s="89"/>
    </row>
    <row r="715" spans="3:40" ht="24" x14ac:dyDescent="0.2">
      <c r="C715" s="91"/>
      <c r="D715" s="546" t="s">
        <v>433</v>
      </c>
      <c r="E715" s="1033" t="s">
        <v>72</v>
      </c>
      <c r="F715" s="1034"/>
      <c r="G715" s="1035"/>
      <c r="H715" s="218" t="s">
        <v>795</v>
      </c>
      <c r="I715" s="1029"/>
      <c r="J715" s="964"/>
      <c r="K715" s="1030"/>
      <c r="L715" s="559"/>
      <c r="M715" s="519"/>
      <c r="N715" s="168"/>
      <c r="O715" s="125"/>
      <c r="P715" s="125"/>
      <c r="Q715" s="125"/>
      <c r="R715" s="126"/>
      <c r="S715" s="127"/>
      <c r="T715" s="125"/>
      <c r="U715" s="125"/>
      <c r="V715" s="125"/>
      <c r="W715" s="125"/>
      <c r="X715" s="127"/>
      <c r="Y715" s="128"/>
      <c r="Z715" s="128"/>
      <c r="AA715" s="89"/>
      <c r="AB715" s="89"/>
      <c r="AC715" s="89"/>
      <c r="AD715" s="89"/>
      <c r="AE715" s="89"/>
      <c r="AF715" s="89"/>
      <c r="AG715" s="89"/>
      <c r="AH715" s="89"/>
      <c r="AI715" s="89"/>
      <c r="AJ715" s="89"/>
      <c r="AK715" s="89"/>
      <c r="AL715" s="89"/>
      <c r="AM715" s="89"/>
      <c r="AN715" s="89"/>
    </row>
    <row r="716" spans="3:40" ht="24" x14ac:dyDescent="0.2">
      <c r="C716" s="91"/>
      <c r="D716" s="546" t="s">
        <v>434</v>
      </c>
      <c r="E716" s="1033" t="s">
        <v>413</v>
      </c>
      <c r="F716" s="1034"/>
      <c r="G716" s="1035"/>
      <c r="H716" s="219"/>
      <c r="I716" s="1029"/>
      <c r="J716" s="964"/>
      <c r="K716" s="1030"/>
      <c r="L716" s="559"/>
      <c r="M716" s="519"/>
      <c r="N716" s="168"/>
      <c r="O716" s="129" t="s">
        <v>811</v>
      </c>
      <c r="P716" s="176">
        <v>0.1</v>
      </c>
      <c r="Q716" s="177">
        <v>9.2700000000000005E-2</v>
      </c>
      <c r="R716" s="178">
        <v>2.4E-2</v>
      </c>
      <c r="S716" s="190">
        <v>1</v>
      </c>
      <c r="T716" s="129">
        <v>0.16305</v>
      </c>
      <c r="U716" s="134">
        <v>-42.196554216876251</v>
      </c>
      <c r="V716" s="135">
        <v>60.5</v>
      </c>
      <c r="W716" s="191">
        <v>4.95</v>
      </c>
      <c r="X716" s="137">
        <v>208.87294337353745</v>
      </c>
      <c r="Y716" s="138"/>
      <c r="Z716" s="138"/>
      <c r="AA716" s="89"/>
      <c r="AB716" s="89"/>
      <c r="AC716" s="89"/>
      <c r="AD716" s="89"/>
      <c r="AE716" s="89"/>
      <c r="AF716" s="89"/>
      <c r="AG716" s="89"/>
      <c r="AH716" s="89"/>
      <c r="AI716" s="89"/>
      <c r="AJ716" s="89"/>
      <c r="AK716" s="89"/>
      <c r="AL716" s="89"/>
      <c r="AM716" s="89"/>
      <c r="AN716" s="89"/>
    </row>
    <row r="717" spans="3:40" ht="25" thickBot="1" x14ac:dyDescent="0.25">
      <c r="C717" s="91"/>
      <c r="D717" s="547" t="s">
        <v>435</v>
      </c>
      <c r="E717" s="1039">
        <v>0.5625</v>
      </c>
      <c r="F717" s="1040"/>
      <c r="G717" s="1041"/>
      <c r="H717" s="219"/>
      <c r="I717" s="1029"/>
      <c r="J717" s="964"/>
      <c r="K717" s="1030"/>
      <c r="L717" s="560">
        <v>0.79166666666666663</v>
      </c>
      <c r="M717" s="520">
        <v>0.64583333333333326</v>
      </c>
      <c r="N717" s="168"/>
      <c r="O717" s="139" t="s">
        <v>812</v>
      </c>
      <c r="P717" s="180">
        <v>0.1</v>
      </c>
      <c r="Q717" s="160">
        <v>0.10253333333333335</v>
      </c>
      <c r="R717" s="181">
        <v>2.4E-2</v>
      </c>
      <c r="S717" s="192">
        <v>1</v>
      </c>
      <c r="T717" s="182">
        <v>0.17780000000000001</v>
      </c>
      <c r="U717" s="144">
        <v>-46.0137831325397</v>
      </c>
      <c r="V717" s="145">
        <v>60.5</v>
      </c>
      <c r="W717" s="193">
        <v>3.5933333333333337</v>
      </c>
      <c r="X717" s="147">
        <v>165.34286072292602</v>
      </c>
      <c r="Y717" s="148"/>
      <c r="Z717" s="148"/>
      <c r="AA717" s="89"/>
      <c r="AB717" s="89"/>
      <c r="AC717" s="89"/>
      <c r="AD717" s="89"/>
      <c r="AE717" s="89"/>
      <c r="AF717" s="89"/>
      <c r="AG717" s="89"/>
      <c r="AH717" s="89"/>
      <c r="AI717" s="89"/>
      <c r="AJ717" s="89"/>
      <c r="AK717" s="89"/>
      <c r="AL717" s="89"/>
      <c r="AM717" s="89"/>
      <c r="AN717" s="89"/>
    </row>
    <row r="718" spans="3:40" ht="25" thickBot="1" x14ac:dyDescent="0.25">
      <c r="C718" s="91"/>
      <c r="D718" s="549" t="s">
        <v>436</v>
      </c>
      <c r="E718" s="93" t="s">
        <v>29</v>
      </c>
      <c r="F718" s="93" t="s">
        <v>28</v>
      </c>
      <c r="G718" s="94" t="s">
        <v>27</v>
      </c>
      <c r="H718" s="230" t="s">
        <v>793</v>
      </c>
      <c r="I718" s="1029"/>
      <c r="J718" s="964"/>
      <c r="K718" s="1030"/>
      <c r="L718" s="573" t="s">
        <v>1002</v>
      </c>
      <c r="M718" s="523"/>
      <c r="N718" s="168"/>
      <c r="O718" s="127"/>
      <c r="P718" s="149"/>
      <c r="Q718" s="127"/>
      <c r="R718" s="127"/>
      <c r="S718" s="194"/>
      <c r="T718" s="127"/>
      <c r="U718" s="150"/>
      <c r="V718" s="151"/>
      <c r="W718" s="195"/>
      <c r="X718" s="150"/>
      <c r="Y718" s="128"/>
      <c r="Z718" s="128"/>
      <c r="AA718" s="89"/>
      <c r="AB718" s="89"/>
      <c r="AC718" s="89"/>
      <c r="AD718" s="89"/>
      <c r="AE718" s="89"/>
      <c r="AF718" s="89"/>
      <c r="AG718" s="89"/>
      <c r="AH718" s="89"/>
      <c r="AI718" s="89"/>
      <c r="AJ718" s="89"/>
      <c r="AK718" s="89"/>
      <c r="AL718" s="89"/>
      <c r="AM718" s="89"/>
      <c r="AN718" s="89"/>
    </row>
    <row r="719" spans="3:40" ht="24" x14ac:dyDescent="0.2">
      <c r="C719" s="91"/>
      <c r="D719" s="550">
        <v>45603</v>
      </c>
      <c r="E719" s="99" t="s">
        <v>972</v>
      </c>
      <c r="F719" s="99" t="s">
        <v>973</v>
      </c>
      <c r="G719" s="99" t="s">
        <v>974</v>
      </c>
      <c r="H719" s="224">
        <v>0.5625</v>
      </c>
      <c r="I719" s="1029"/>
      <c r="J719" s="964"/>
      <c r="K719" s="1030"/>
      <c r="L719" s="574">
        <v>0.35416666666666669</v>
      </c>
      <c r="M719" s="524"/>
      <c r="N719" s="168"/>
      <c r="O719" s="152"/>
      <c r="P719" s="128"/>
      <c r="Q719" s="152"/>
      <c r="R719" s="152"/>
      <c r="S719" s="194"/>
      <c r="T719" s="152"/>
      <c r="U719" s="152"/>
      <c r="V719" s="152"/>
      <c r="W719" s="197"/>
      <c r="X719" s="152"/>
      <c r="Y719" s="128"/>
      <c r="Z719" s="128"/>
      <c r="AA719" s="89"/>
      <c r="AB719" s="89"/>
      <c r="AC719" s="89"/>
      <c r="AD719" s="89"/>
      <c r="AE719" s="89"/>
      <c r="AF719" s="89"/>
      <c r="AG719" s="89"/>
      <c r="AH719" s="89"/>
      <c r="AI719" s="89"/>
      <c r="AJ719" s="89"/>
      <c r="AK719" s="89"/>
      <c r="AL719" s="89"/>
      <c r="AM719" s="89"/>
      <c r="AN719" s="89"/>
    </row>
    <row r="720" spans="3:40" ht="24" x14ac:dyDescent="0.2">
      <c r="C720" s="91"/>
      <c r="D720" s="550">
        <v>45596</v>
      </c>
      <c r="E720" s="99" t="s">
        <v>975</v>
      </c>
      <c r="F720" s="99" t="s">
        <v>976</v>
      </c>
      <c r="G720" s="99" t="s">
        <v>977</v>
      </c>
      <c r="H720" s="224">
        <v>0.52083333333333337</v>
      </c>
      <c r="I720" s="1029"/>
      <c r="J720" s="964"/>
      <c r="K720" s="1030"/>
      <c r="L720" s="574">
        <v>0.3125</v>
      </c>
      <c r="M720" s="525"/>
      <c r="N720" s="168"/>
      <c r="O720" s="119" t="s">
        <v>813</v>
      </c>
      <c r="P720" s="198">
        <v>0.1</v>
      </c>
      <c r="Q720" s="153">
        <v>0.10253333333333335</v>
      </c>
      <c r="R720" s="154">
        <v>2.4E-2</v>
      </c>
      <c r="S720" s="198">
        <v>1</v>
      </c>
      <c r="T720" s="199">
        <v>0.17780000000000001</v>
      </c>
      <c r="U720" s="155">
        <v>-46.0137831325397</v>
      </c>
      <c r="V720" s="156">
        <v>60.5</v>
      </c>
      <c r="W720" s="200">
        <v>3</v>
      </c>
      <c r="X720" s="157">
        <v>138.04134939761911</v>
      </c>
      <c r="Y720" s="158"/>
      <c r="Z720" s="158"/>
      <c r="AA720" s="89"/>
      <c r="AB720" s="89"/>
      <c r="AC720" s="89"/>
      <c r="AD720" s="89"/>
      <c r="AE720" s="89"/>
      <c r="AF720" s="89"/>
      <c r="AG720" s="89"/>
      <c r="AH720" s="89"/>
      <c r="AI720" s="89"/>
      <c r="AJ720" s="89"/>
      <c r="AK720" s="89"/>
      <c r="AL720" s="89"/>
      <c r="AM720" s="89"/>
      <c r="AN720" s="89"/>
    </row>
    <row r="721" spans="3:40" ht="24" x14ac:dyDescent="0.2">
      <c r="C721" s="91"/>
      <c r="D721" s="550">
        <v>45589</v>
      </c>
      <c r="E721" s="99" t="s">
        <v>978</v>
      </c>
      <c r="F721" s="99" t="s">
        <v>979</v>
      </c>
      <c r="G721" s="99" t="s">
        <v>980</v>
      </c>
      <c r="H721" s="224">
        <v>0.52083333333333337</v>
      </c>
      <c r="I721" s="1029"/>
      <c r="J721" s="964"/>
      <c r="K721" s="1030"/>
      <c r="L721" s="574">
        <v>0.3125</v>
      </c>
      <c r="M721" s="519"/>
      <c r="N721" s="168"/>
      <c r="O721" s="119"/>
      <c r="P721" s="120"/>
      <c r="Q721" s="153"/>
      <c r="R721" s="154"/>
      <c r="S721" s="143"/>
      <c r="T721" s="120"/>
      <c r="U721" s="155"/>
      <c r="V721" s="156"/>
      <c r="W721" s="123"/>
      <c r="X721" s="157"/>
      <c r="Y721" s="158"/>
      <c r="Z721" s="158"/>
      <c r="AA721" s="89"/>
      <c r="AB721" s="89"/>
      <c r="AC721" s="89"/>
      <c r="AD721" s="89"/>
      <c r="AE721" s="89"/>
      <c r="AF721" s="89"/>
      <c r="AG721" s="89"/>
      <c r="AH721" s="89"/>
      <c r="AI721" s="89"/>
      <c r="AJ721" s="89"/>
      <c r="AK721" s="89"/>
      <c r="AL721" s="89"/>
      <c r="AM721" s="89"/>
      <c r="AN721" s="89"/>
    </row>
    <row r="722" spans="3:40" ht="24" x14ac:dyDescent="0.2">
      <c r="C722" s="91"/>
      <c r="D722" s="550">
        <v>45582</v>
      </c>
      <c r="E722" s="99" t="s">
        <v>981</v>
      </c>
      <c r="F722" s="99" t="s">
        <v>981</v>
      </c>
      <c r="G722" s="99" t="s">
        <v>982</v>
      </c>
      <c r="H722" s="224">
        <v>0.52083333333333337</v>
      </c>
      <c r="I722" s="1029"/>
      <c r="J722" s="964"/>
      <c r="K722" s="1030"/>
      <c r="L722" s="574">
        <v>0.3125</v>
      </c>
      <c r="M722" s="519"/>
      <c r="N722" s="168"/>
      <c r="O722" s="119"/>
      <c r="P722" s="120"/>
      <c r="Q722" s="153"/>
      <c r="R722" s="154"/>
      <c r="S722" s="123"/>
      <c r="T722" s="120"/>
      <c r="U722" s="155"/>
      <c r="V722" s="156"/>
      <c r="W722" s="123"/>
      <c r="X722" s="157"/>
      <c r="Y722" s="158"/>
      <c r="Z722" s="158"/>
      <c r="AA722" s="89"/>
      <c r="AB722" s="89"/>
      <c r="AC722" s="89"/>
      <c r="AD722" s="89"/>
      <c r="AE722" s="89"/>
      <c r="AF722" s="89"/>
      <c r="AG722" s="89"/>
      <c r="AH722" s="89"/>
      <c r="AI722" s="89"/>
      <c r="AJ722" s="89"/>
      <c r="AK722" s="89"/>
      <c r="AL722" s="89"/>
      <c r="AM722" s="89"/>
      <c r="AN722" s="89"/>
    </row>
    <row r="723" spans="3:40" ht="24" x14ac:dyDescent="0.2">
      <c r="C723" s="91"/>
      <c r="D723" s="550">
        <v>45575</v>
      </c>
      <c r="E723" s="99" t="s">
        <v>983</v>
      </c>
      <c r="F723" s="99" t="s">
        <v>984</v>
      </c>
      <c r="G723" s="99" t="s">
        <v>985</v>
      </c>
      <c r="H723" s="224">
        <v>0.52083333333333337</v>
      </c>
      <c r="I723" s="1029"/>
      <c r="J723" s="964"/>
      <c r="K723" s="1030"/>
      <c r="L723" s="574">
        <v>0.3125</v>
      </c>
      <c r="M723" s="519"/>
      <c r="N723" s="168"/>
      <c r="O723" s="89"/>
      <c r="P723" s="89"/>
      <c r="Q723" s="89"/>
      <c r="R723" s="89"/>
      <c r="S723" s="89"/>
      <c r="T723" s="89"/>
      <c r="U723" s="89"/>
      <c r="V723" s="89"/>
      <c r="W723" s="89"/>
      <c r="X723" s="89"/>
      <c r="Y723" s="89"/>
      <c r="Z723" s="89"/>
      <c r="AA723" s="89"/>
      <c r="AB723" s="89"/>
      <c r="AC723" s="89"/>
      <c r="AD723" s="89"/>
      <c r="AE723" s="89"/>
      <c r="AF723" s="89"/>
      <c r="AG723" s="89"/>
      <c r="AH723" s="89"/>
      <c r="AI723" s="89"/>
      <c r="AJ723" s="89"/>
      <c r="AK723" s="89"/>
      <c r="AL723" s="89"/>
      <c r="AM723" s="89"/>
      <c r="AN723" s="89"/>
    </row>
    <row r="724" spans="3:40" ht="25" thickBot="1" x14ac:dyDescent="0.25">
      <c r="C724" s="91"/>
      <c r="D724" s="550">
        <v>45568</v>
      </c>
      <c r="E724" s="99" t="s">
        <v>985</v>
      </c>
      <c r="F724" s="99" t="s">
        <v>986</v>
      </c>
      <c r="G724" s="99" t="s">
        <v>987</v>
      </c>
      <c r="H724" s="231">
        <v>0.52083333333333337</v>
      </c>
      <c r="I724" s="1031"/>
      <c r="J724" s="966"/>
      <c r="K724" s="1032"/>
      <c r="L724" s="575">
        <v>0.3125</v>
      </c>
      <c r="M724" s="522"/>
      <c r="N724" s="168"/>
      <c r="O724" s="89"/>
      <c r="P724" s="89"/>
      <c r="Q724" s="89"/>
      <c r="R724" s="89"/>
      <c r="S724" s="89"/>
      <c r="T724" s="89"/>
      <c r="U724" s="89"/>
      <c r="V724" s="89"/>
      <c r="W724" s="89"/>
      <c r="X724" s="89"/>
      <c r="Y724" s="89"/>
      <c r="Z724" s="89"/>
      <c r="AA724" s="89"/>
      <c r="AB724" s="89"/>
      <c r="AC724" s="89"/>
      <c r="AD724" s="89"/>
      <c r="AE724" s="89"/>
      <c r="AF724" s="89"/>
      <c r="AG724" s="89"/>
      <c r="AH724" s="89"/>
      <c r="AI724" s="89"/>
      <c r="AJ724" s="89"/>
      <c r="AK724" s="89"/>
      <c r="AL724" s="89"/>
      <c r="AM724" s="89"/>
      <c r="AN724" s="89"/>
    </row>
    <row r="725" spans="3:40" ht="49" thickBot="1" x14ac:dyDescent="0.25">
      <c r="C725" s="91">
        <v>6</v>
      </c>
      <c r="D725" s="552" t="s">
        <v>30</v>
      </c>
      <c r="E725" s="1052" t="s">
        <v>956</v>
      </c>
      <c r="F725" s="1053"/>
      <c r="G725" s="1054"/>
      <c r="H725" s="217" t="s">
        <v>790</v>
      </c>
      <c r="I725" s="1055" t="s">
        <v>633</v>
      </c>
      <c r="J725" s="1056"/>
      <c r="K725" s="1057"/>
      <c r="L725" s="570" t="s">
        <v>430</v>
      </c>
      <c r="M725" s="518" t="s">
        <v>431</v>
      </c>
      <c r="N725" s="168" t="s">
        <v>105</v>
      </c>
      <c r="O725" s="118" t="s">
        <v>800</v>
      </c>
      <c r="P725" s="118" t="s">
        <v>801</v>
      </c>
      <c r="Q725" s="118" t="s">
        <v>802</v>
      </c>
      <c r="R725" s="118" t="s">
        <v>803</v>
      </c>
      <c r="S725" s="118" t="s">
        <v>804</v>
      </c>
      <c r="T725" s="118" t="s">
        <v>805</v>
      </c>
      <c r="U725" s="118" t="s">
        <v>806</v>
      </c>
      <c r="V725" s="118" t="s">
        <v>807</v>
      </c>
      <c r="W725" s="118" t="s">
        <v>808</v>
      </c>
      <c r="X725" s="118" t="s">
        <v>809</v>
      </c>
      <c r="Y725" s="118" t="s">
        <v>75</v>
      </c>
      <c r="Z725" s="118" t="s">
        <v>75</v>
      </c>
      <c r="AA725" s="89"/>
      <c r="AB725" s="89"/>
      <c r="AC725" s="89"/>
      <c r="AD725" s="89"/>
      <c r="AE725" s="89"/>
      <c r="AF725" s="89"/>
      <c r="AG725" s="89"/>
      <c r="AH725" s="89"/>
      <c r="AI725" s="89"/>
      <c r="AJ725" s="89"/>
      <c r="AK725" s="89"/>
      <c r="AL725" s="89"/>
      <c r="AM725" s="89"/>
      <c r="AN725" s="89"/>
    </row>
    <row r="726" spans="3:40" ht="24" x14ac:dyDescent="0.2">
      <c r="C726" s="168"/>
      <c r="D726" s="544" t="s">
        <v>432</v>
      </c>
      <c r="E726" s="1024"/>
      <c r="F726" s="1025"/>
      <c r="G726" s="1026"/>
      <c r="H726" s="218" t="s">
        <v>794</v>
      </c>
      <c r="I726" s="1027" t="s">
        <v>957</v>
      </c>
      <c r="J726" s="962"/>
      <c r="K726" s="1028"/>
      <c r="L726" s="559"/>
      <c r="M726" s="519"/>
      <c r="N726" s="168"/>
      <c r="O726" s="119" t="s">
        <v>810</v>
      </c>
      <c r="P726" s="171">
        <v>0.1</v>
      </c>
      <c r="Q726" s="172">
        <v>2.7E-2</v>
      </c>
      <c r="R726" s="173">
        <v>1.5999999999991132E-2</v>
      </c>
      <c r="S726" s="123"/>
      <c r="T726" s="119">
        <v>5.6499999999991134E-2</v>
      </c>
      <c r="U726" s="172">
        <v>-13.31</v>
      </c>
      <c r="V726" s="171">
        <v>91.8</v>
      </c>
      <c r="W726" s="174">
        <v>2</v>
      </c>
      <c r="X726" s="157">
        <v>26.62</v>
      </c>
      <c r="Y726" s="124"/>
      <c r="Z726" s="124"/>
      <c r="AA726" s="89"/>
      <c r="AB726" s="89"/>
      <c r="AC726" s="89"/>
      <c r="AD726" s="89"/>
      <c r="AE726" s="89"/>
      <c r="AF726" s="89"/>
      <c r="AG726" s="89"/>
      <c r="AH726" s="89"/>
      <c r="AI726" s="89"/>
      <c r="AJ726" s="89"/>
      <c r="AK726" s="89"/>
      <c r="AL726" s="89"/>
      <c r="AM726" s="89"/>
      <c r="AN726" s="89"/>
    </row>
    <row r="727" spans="3:40" ht="24" x14ac:dyDescent="0.2">
      <c r="C727" s="168"/>
      <c r="D727" s="546" t="s">
        <v>433</v>
      </c>
      <c r="E727" s="1033">
        <v>2E-3</v>
      </c>
      <c r="F727" s="1034"/>
      <c r="G727" s="1035"/>
      <c r="H727" s="218" t="s">
        <v>795</v>
      </c>
      <c r="I727" s="1029"/>
      <c r="J727" s="964"/>
      <c r="K727" s="1030"/>
      <c r="L727" s="559"/>
      <c r="M727" s="519"/>
      <c r="N727" s="168"/>
      <c r="O727" s="125"/>
      <c r="P727" s="125"/>
      <c r="Q727" s="125"/>
      <c r="R727" s="126"/>
      <c r="S727" s="127"/>
      <c r="T727" s="125"/>
      <c r="U727" s="125"/>
      <c r="V727" s="125"/>
      <c r="W727" s="127"/>
      <c r="X727" s="127"/>
      <c r="Y727" s="128"/>
      <c r="Z727" s="128"/>
      <c r="AA727" s="89"/>
      <c r="AB727" s="89"/>
      <c r="AC727" s="89"/>
      <c r="AD727" s="89"/>
      <c r="AE727" s="89"/>
      <c r="AF727" s="89"/>
      <c r="AG727" s="89"/>
      <c r="AH727" s="89"/>
      <c r="AI727" s="89"/>
      <c r="AJ727" s="89"/>
      <c r="AK727" s="89"/>
      <c r="AL727" s="89"/>
      <c r="AM727" s="89"/>
      <c r="AN727" s="89"/>
    </row>
    <row r="728" spans="3:40" ht="24" x14ac:dyDescent="0.2">
      <c r="C728" s="168"/>
      <c r="D728" s="546" t="s">
        <v>434</v>
      </c>
      <c r="E728" s="1033">
        <v>0</v>
      </c>
      <c r="F728" s="1034"/>
      <c r="G728" s="1035"/>
      <c r="H728" s="219"/>
      <c r="I728" s="1029"/>
      <c r="J728" s="964"/>
      <c r="K728" s="1030"/>
      <c r="L728" s="559"/>
      <c r="M728" s="519"/>
      <c r="N728" s="168"/>
      <c r="O728" s="129" t="s">
        <v>811</v>
      </c>
      <c r="P728" s="176">
        <v>0.1</v>
      </c>
      <c r="Q728" s="177">
        <v>4.7899999999999998E-2</v>
      </c>
      <c r="R728" s="178">
        <v>1.7000000000000001E-2</v>
      </c>
      <c r="S728" s="133">
        <v>1</v>
      </c>
      <c r="T728" s="129">
        <v>8.8849999999999998E-2</v>
      </c>
      <c r="U728" s="134">
        <v>-20.93085840708293</v>
      </c>
      <c r="V728" s="135">
        <v>60.5</v>
      </c>
      <c r="W728" s="179">
        <v>2.2000000000000002</v>
      </c>
      <c r="X728" s="137">
        <v>46.047888495582448</v>
      </c>
      <c r="Y728" s="138"/>
      <c r="Z728" s="138">
        <v>4.4350000000000005</v>
      </c>
      <c r="AA728" s="89"/>
      <c r="AB728" s="89"/>
      <c r="AC728" s="89"/>
      <c r="AD728" s="89"/>
      <c r="AE728" s="89"/>
      <c r="AF728" s="89"/>
      <c r="AG728" s="89"/>
      <c r="AH728" s="89"/>
      <c r="AI728" s="89"/>
      <c r="AJ728" s="89"/>
      <c r="AK728" s="89"/>
      <c r="AL728" s="89"/>
      <c r="AM728" s="89"/>
      <c r="AN728" s="89"/>
    </row>
    <row r="729" spans="3:40" ht="25" thickBot="1" x14ac:dyDescent="0.25">
      <c r="C729" s="168"/>
      <c r="D729" s="547" t="s">
        <v>435</v>
      </c>
      <c r="E729" s="1039">
        <v>0.5625</v>
      </c>
      <c r="F729" s="1040"/>
      <c r="G729" s="1041"/>
      <c r="H729" s="219"/>
      <c r="I729" s="1029"/>
      <c r="J729" s="964"/>
      <c r="K729" s="1030"/>
      <c r="L729" s="560">
        <v>0.79166666666666663</v>
      </c>
      <c r="M729" s="520">
        <v>0.64583333333333326</v>
      </c>
      <c r="N729" s="168"/>
      <c r="O729" s="139" t="s">
        <v>812</v>
      </c>
      <c r="P729" s="180">
        <v>0.1</v>
      </c>
      <c r="Q729" s="160">
        <v>7.2866666666666663E-2</v>
      </c>
      <c r="R729" s="181">
        <v>1.7000000000000001E-2</v>
      </c>
      <c r="S729" s="143">
        <v>1</v>
      </c>
      <c r="T729" s="182">
        <v>0.1263</v>
      </c>
      <c r="U729" s="144">
        <v>-29.753150442482543</v>
      </c>
      <c r="V729" s="145">
        <v>60.5</v>
      </c>
      <c r="W729" s="232">
        <v>3.282</v>
      </c>
      <c r="X729" s="147">
        <v>97.649839752227706</v>
      </c>
      <c r="Y729" s="148"/>
      <c r="Z729" s="148"/>
      <c r="AA729" s="89"/>
      <c r="AB729" s="89"/>
      <c r="AC729" s="89"/>
      <c r="AD729" s="89"/>
      <c r="AE729" s="89"/>
      <c r="AF729" s="89"/>
      <c r="AG729" s="89"/>
      <c r="AH729" s="89"/>
      <c r="AI729" s="89"/>
      <c r="AJ729" s="89"/>
      <c r="AK729" s="89"/>
      <c r="AL729" s="89"/>
      <c r="AM729" s="89"/>
      <c r="AN729" s="89"/>
    </row>
    <row r="730" spans="3:40" ht="25" thickBot="1" x14ac:dyDescent="0.25">
      <c r="C730" s="168"/>
      <c r="D730" s="549" t="s">
        <v>436</v>
      </c>
      <c r="E730" s="93" t="s">
        <v>29</v>
      </c>
      <c r="F730" s="93" t="s">
        <v>28</v>
      </c>
      <c r="G730" s="94" t="s">
        <v>27</v>
      </c>
      <c r="H730" s="230" t="s">
        <v>793</v>
      </c>
      <c r="I730" s="1029"/>
      <c r="J730" s="964"/>
      <c r="K730" s="1030"/>
      <c r="L730" s="573" t="s">
        <v>1002</v>
      </c>
      <c r="M730" s="523"/>
      <c r="N730" s="168"/>
      <c r="O730" s="127"/>
      <c r="P730" s="149"/>
      <c r="Q730" s="127"/>
      <c r="R730" s="127"/>
      <c r="S730" s="127"/>
      <c r="T730" s="127"/>
      <c r="U730" s="150"/>
      <c r="V730" s="151"/>
      <c r="W730" s="127"/>
      <c r="X730" s="150"/>
      <c r="Y730" s="128"/>
      <c r="Z730" s="128"/>
      <c r="AA730" s="89"/>
      <c r="AB730" s="89"/>
      <c r="AC730" s="89"/>
      <c r="AD730" s="89"/>
      <c r="AE730" s="89"/>
      <c r="AF730" s="89"/>
      <c r="AG730" s="89"/>
      <c r="AH730" s="89"/>
      <c r="AI730" s="89"/>
      <c r="AJ730" s="89"/>
      <c r="AK730" s="89"/>
      <c r="AL730" s="89"/>
      <c r="AM730" s="89"/>
      <c r="AN730" s="89"/>
    </row>
    <row r="731" spans="3:40" ht="24" x14ac:dyDescent="0.2">
      <c r="C731" s="168"/>
      <c r="D731" s="550">
        <v>45576</v>
      </c>
      <c r="E731" s="99">
        <v>0</v>
      </c>
      <c r="F731" s="99" t="s">
        <v>462</v>
      </c>
      <c r="G731" s="99">
        <v>2E-3</v>
      </c>
      <c r="H731" s="224">
        <v>0.52083333333333337</v>
      </c>
      <c r="I731" s="1029"/>
      <c r="J731" s="964"/>
      <c r="K731" s="1030"/>
      <c r="L731" s="574">
        <v>0.3125</v>
      </c>
      <c r="M731" s="524"/>
      <c r="N731" s="168"/>
      <c r="O731" s="152"/>
      <c r="P731" s="128"/>
      <c r="Q731" s="152"/>
      <c r="R731" s="152"/>
      <c r="S731" s="152"/>
      <c r="T731" s="152"/>
      <c r="U731" s="152"/>
      <c r="V731" s="152"/>
      <c r="W731" s="152"/>
      <c r="X731" s="152"/>
      <c r="Y731" s="128"/>
      <c r="Z731" s="128"/>
      <c r="AA731" s="89"/>
      <c r="AB731" s="89"/>
      <c r="AC731" s="89"/>
      <c r="AD731" s="89"/>
      <c r="AE731" s="89"/>
      <c r="AF731" s="89"/>
      <c r="AG731" s="89"/>
      <c r="AH731" s="89"/>
      <c r="AI731" s="89"/>
      <c r="AJ731" s="89"/>
      <c r="AK731" s="89"/>
      <c r="AL731" s="89"/>
      <c r="AM731" s="89"/>
      <c r="AN731" s="89"/>
    </row>
    <row r="732" spans="3:40" ht="24" x14ac:dyDescent="0.2">
      <c r="C732" s="168"/>
      <c r="D732" s="550">
        <v>45547</v>
      </c>
      <c r="E732" s="99">
        <v>2E-3</v>
      </c>
      <c r="F732" s="99" t="s">
        <v>462</v>
      </c>
      <c r="G732" s="99">
        <v>0</v>
      </c>
      <c r="H732" s="224">
        <v>0.52083333333333337</v>
      </c>
      <c r="I732" s="1029"/>
      <c r="J732" s="964"/>
      <c r="K732" s="1030"/>
      <c r="L732" s="574">
        <v>0.3125</v>
      </c>
      <c r="M732" s="525"/>
      <c r="N732" s="168"/>
      <c r="O732" s="119" t="s">
        <v>813</v>
      </c>
      <c r="P732" s="171">
        <v>0.1</v>
      </c>
      <c r="Q732" s="153">
        <v>6.0383333333333331E-2</v>
      </c>
      <c r="R732" s="154">
        <v>1.7000000000000001E-2</v>
      </c>
      <c r="S732" s="123">
        <v>1</v>
      </c>
      <c r="T732" s="129">
        <v>0.10757499999999999</v>
      </c>
      <c r="U732" s="155">
        <v>-25.342004424782736</v>
      </c>
      <c r="V732" s="156">
        <v>60.5</v>
      </c>
      <c r="W732" s="123">
        <v>2</v>
      </c>
      <c r="X732" s="157">
        <v>50.684008849565473</v>
      </c>
      <c r="Y732" s="158"/>
      <c r="Z732" s="158"/>
      <c r="AA732" s="89"/>
      <c r="AB732" s="89"/>
      <c r="AC732" s="89"/>
      <c r="AD732" s="89"/>
      <c r="AE732" s="89"/>
      <c r="AF732" s="89"/>
      <c r="AG732" s="89"/>
      <c r="AH732" s="89"/>
      <c r="AI732" s="89"/>
      <c r="AJ732" s="89"/>
      <c r="AK732" s="89"/>
      <c r="AL732" s="89"/>
      <c r="AM732" s="89"/>
      <c r="AN732" s="89"/>
    </row>
    <row r="733" spans="3:40" ht="24" x14ac:dyDescent="0.2">
      <c r="C733" s="168"/>
      <c r="D733" s="550">
        <v>45517</v>
      </c>
      <c r="E733" s="99">
        <v>1E-3</v>
      </c>
      <c r="F733" s="99" t="s">
        <v>460</v>
      </c>
      <c r="G733" s="99">
        <v>2E-3</v>
      </c>
      <c r="H733" s="224">
        <v>0.52083333333333337</v>
      </c>
      <c r="I733" s="1029"/>
      <c r="J733" s="964"/>
      <c r="K733" s="1030"/>
      <c r="L733" s="574">
        <v>0.3125</v>
      </c>
      <c r="M733" s="519"/>
      <c r="N733" s="168"/>
      <c r="O733" s="119" t="s">
        <v>813</v>
      </c>
      <c r="P733" s="171">
        <v>0.1</v>
      </c>
      <c r="Q733" s="153">
        <v>7.2866666666666663E-2</v>
      </c>
      <c r="R733" s="154">
        <v>0</v>
      </c>
      <c r="S733" s="123">
        <v>1</v>
      </c>
      <c r="T733" s="129">
        <v>0.10929999999999999</v>
      </c>
      <c r="U733" s="155">
        <v>-25.748371681419972</v>
      </c>
      <c r="V733" s="156">
        <v>60.5</v>
      </c>
      <c r="W733" s="123">
        <v>2</v>
      </c>
      <c r="X733" s="157">
        <v>51.496743362839943</v>
      </c>
      <c r="Y733" s="158"/>
      <c r="Z733" s="158"/>
      <c r="AA733" s="89"/>
      <c r="AB733" s="89"/>
      <c r="AC733" s="89"/>
      <c r="AD733" s="89"/>
      <c r="AE733" s="89"/>
      <c r="AF733" s="89"/>
      <c r="AG733" s="89"/>
      <c r="AH733" s="89"/>
      <c r="AI733" s="89"/>
      <c r="AJ733" s="89"/>
      <c r="AK733" s="89"/>
      <c r="AL733" s="89"/>
      <c r="AM733" s="89"/>
      <c r="AN733" s="89"/>
    </row>
    <row r="734" spans="3:40" ht="24" x14ac:dyDescent="0.2">
      <c r="C734" s="168"/>
      <c r="D734" s="550">
        <v>45485</v>
      </c>
      <c r="E734" s="99">
        <v>2E-3</v>
      </c>
      <c r="F734" s="99" t="s">
        <v>462</v>
      </c>
      <c r="G734" s="99">
        <v>0</v>
      </c>
      <c r="H734" s="224">
        <v>0.52083333333333337</v>
      </c>
      <c r="I734" s="1029"/>
      <c r="J734" s="964"/>
      <c r="K734" s="1030"/>
      <c r="L734" s="574">
        <v>0.3125</v>
      </c>
      <c r="M734" s="519"/>
      <c r="N734" s="168"/>
      <c r="O734" s="119" t="s">
        <v>816</v>
      </c>
      <c r="P734" s="120"/>
      <c r="Q734" s="153"/>
      <c r="R734" s="154"/>
      <c r="S734" s="123"/>
      <c r="T734" s="120"/>
      <c r="U734" s="155"/>
      <c r="V734" s="156"/>
      <c r="W734" s="123"/>
      <c r="X734" s="157"/>
      <c r="Y734" s="158"/>
      <c r="Z734" s="158"/>
      <c r="AA734" s="89"/>
      <c r="AB734" s="89"/>
      <c r="AC734" s="89"/>
      <c r="AD734" s="89"/>
      <c r="AE734" s="89"/>
      <c r="AF734" s="89"/>
      <c r="AG734" s="89"/>
      <c r="AH734" s="89"/>
      <c r="AI734" s="89"/>
      <c r="AJ734" s="89"/>
      <c r="AK734" s="89"/>
      <c r="AL734" s="89"/>
      <c r="AM734" s="89"/>
      <c r="AN734" s="89"/>
    </row>
    <row r="735" spans="3:40" ht="24" x14ac:dyDescent="0.2">
      <c r="C735" s="168"/>
      <c r="D735" s="550">
        <v>45456</v>
      </c>
      <c r="E735" s="99">
        <v>-2E-3</v>
      </c>
      <c r="F735" s="99" t="s">
        <v>462</v>
      </c>
      <c r="G735" s="99">
        <v>5.0000000000000001E-3</v>
      </c>
      <c r="H735" s="224">
        <v>0.52083333333333337</v>
      </c>
      <c r="I735" s="1029"/>
      <c r="J735" s="964"/>
      <c r="K735" s="1030"/>
      <c r="L735" s="574">
        <v>0.3125</v>
      </c>
      <c r="M735" s="519"/>
      <c r="N735" s="168"/>
      <c r="O735" s="89"/>
      <c r="P735" s="89"/>
      <c r="Q735" s="89"/>
      <c r="R735" s="89"/>
      <c r="S735" s="89"/>
      <c r="T735" s="89"/>
      <c r="U735" s="89"/>
      <c r="V735" s="89"/>
      <c r="W735" s="89"/>
      <c r="X735" s="89"/>
      <c r="Y735" s="89"/>
      <c r="Z735" s="89"/>
      <c r="AA735" s="89"/>
      <c r="AB735" s="89"/>
      <c r="AC735" s="89"/>
      <c r="AD735" s="89"/>
      <c r="AE735" s="89"/>
      <c r="AF735" s="89"/>
      <c r="AG735" s="89"/>
      <c r="AH735" s="89"/>
      <c r="AI735" s="89"/>
      <c r="AJ735" s="89"/>
      <c r="AK735" s="89"/>
      <c r="AL735" s="89"/>
      <c r="AM735" s="89"/>
      <c r="AN735" s="89"/>
    </row>
    <row r="736" spans="3:40" ht="25" thickBot="1" x14ac:dyDescent="0.25">
      <c r="C736" s="168"/>
      <c r="D736" s="550">
        <v>45426</v>
      </c>
      <c r="E736" s="99">
        <v>5.0000000000000001E-3</v>
      </c>
      <c r="F736" s="99" t="s">
        <v>467</v>
      </c>
      <c r="G736" s="99">
        <v>-1E-3</v>
      </c>
      <c r="H736" s="231">
        <v>0.52083333333333337</v>
      </c>
      <c r="I736" s="1031"/>
      <c r="J736" s="966"/>
      <c r="K736" s="1032"/>
      <c r="L736" s="575">
        <v>0.3125</v>
      </c>
      <c r="M736" s="522"/>
      <c r="N736" s="168"/>
      <c r="O736" s="89"/>
      <c r="P736" s="89"/>
      <c r="Q736" s="89"/>
      <c r="R736" s="89"/>
      <c r="S736" s="89"/>
      <c r="T736" s="89"/>
      <c r="U736" s="89"/>
      <c r="V736" s="89"/>
      <c r="W736" s="89"/>
      <c r="X736" s="89"/>
      <c r="Y736" s="89"/>
      <c r="Z736" s="89"/>
      <c r="AA736" s="89"/>
      <c r="AB736" s="89"/>
      <c r="AC736" s="89"/>
      <c r="AD736" s="89"/>
      <c r="AE736" s="89"/>
      <c r="AF736" s="89"/>
      <c r="AG736" s="89"/>
      <c r="AH736" s="89"/>
      <c r="AI736" s="89"/>
      <c r="AJ736" s="89"/>
      <c r="AK736" s="89"/>
      <c r="AL736" s="89"/>
      <c r="AM736" s="89"/>
      <c r="AN736" s="89"/>
    </row>
    <row r="737" spans="3:40" ht="49" thickBot="1" x14ac:dyDescent="0.25">
      <c r="C737" s="91">
        <v>7</v>
      </c>
      <c r="D737" s="552" t="s">
        <v>30</v>
      </c>
      <c r="E737" s="1052" t="s">
        <v>9</v>
      </c>
      <c r="F737" s="1053"/>
      <c r="G737" s="1054"/>
      <c r="H737" s="217" t="s">
        <v>790</v>
      </c>
      <c r="I737" s="1055" t="s">
        <v>633</v>
      </c>
      <c r="J737" s="1056"/>
      <c r="K737" s="1057"/>
      <c r="L737" s="570" t="s">
        <v>430</v>
      </c>
      <c r="M737" s="518" t="s">
        <v>431</v>
      </c>
      <c r="N737" s="168" t="s">
        <v>105</v>
      </c>
      <c r="O737" s="118" t="s">
        <v>800</v>
      </c>
      <c r="P737" s="118" t="s">
        <v>801</v>
      </c>
      <c r="Q737" s="118" t="s">
        <v>802</v>
      </c>
      <c r="R737" s="118" t="s">
        <v>803</v>
      </c>
      <c r="S737" s="118" t="s">
        <v>804</v>
      </c>
      <c r="T737" s="118" t="s">
        <v>805</v>
      </c>
      <c r="U737" s="118" t="s">
        <v>806</v>
      </c>
      <c r="V737" s="118" t="s">
        <v>807</v>
      </c>
      <c r="W737" s="118" t="s">
        <v>808</v>
      </c>
      <c r="X737" s="118" t="s">
        <v>809</v>
      </c>
      <c r="Y737" s="118" t="s">
        <v>75</v>
      </c>
      <c r="Z737" s="118" t="s">
        <v>75</v>
      </c>
      <c r="AA737" s="89"/>
      <c r="AB737" s="89"/>
      <c r="AC737" s="89"/>
      <c r="AD737" s="89"/>
      <c r="AE737" s="89"/>
      <c r="AF737" s="89"/>
      <c r="AG737" s="89"/>
      <c r="AH737" s="89"/>
      <c r="AI737" s="89"/>
      <c r="AJ737" s="89"/>
      <c r="AK737" s="89"/>
      <c r="AL737" s="89"/>
      <c r="AM737" s="89"/>
      <c r="AN737" s="89"/>
    </row>
    <row r="738" spans="3:40" ht="24" x14ac:dyDescent="0.2">
      <c r="C738" s="168"/>
      <c r="D738" s="544" t="s">
        <v>432</v>
      </c>
      <c r="E738" s="1024"/>
      <c r="F738" s="1025"/>
      <c r="G738" s="1026"/>
      <c r="H738" s="218" t="s">
        <v>796</v>
      </c>
      <c r="I738" s="1027" t="s">
        <v>926</v>
      </c>
      <c r="J738" s="962"/>
      <c r="K738" s="1028"/>
      <c r="L738" s="559"/>
      <c r="M738" s="519"/>
      <c r="N738" s="168"/>
      <c r="O738" s="119" t="s">
        <v>810</v>
      </c>
      <c r="P738" s="171">
        <v>0.1</v>
      </c>
      <c r="Q738" s="172">
        <v>2.1999999999999999E-2</v>
      </c>
      <c r="R738" s="173">
        <v>3.0000000000001137E-2</v>
      </c>
      <c r="S738" s="123"/>
      <c r="T738" s="119">
        <v>6.3000000000001138E-2</v>
      </c>
      <c r="U738" s="172">
        <v>-15.02</v>
      </c>
      <c r="V738" s="171">
        <v>99.37</v>
      </c>
      <c r="W738" s="171"/>
      <c r="X738" s="157"/>
      <c r="Y738" s="124"/>
      <c r="Z738" s="124"/>
      <c r="AA738" s="89"/>
      <c r="AB738" s="89"/>
      <c r="AC738" s="89"/>
      <c r="AD738" s="89"/>
      <c r="AE738" s="89"/>
      <c r="AF738" s="89"/>
      <c r="AG738" s="89"/>
      <c r="AH738" s="89"/>
      <c r="AI738" s="89"/>
      <c r="AJ738" s="89"/>
      <c r="AK738" s="89"/>
      <c r="AL738" s="89"/>
      <c r="AM738" s="89"/>
      <c r="AN738" s="89"/>
    </row>
    <row r="739" spans="3:40" ht="24" x14ac:dyDescent="0.2">
      <c r="C739" s="168"/>
      <c r="D739" s="546" t="s">
        <v>433</v>
      </c>
      <c r="E739" s="1033"/>
      <c r="F739" s="1034"/>
      <c r="G739" s="1035"/>
      <c r="H739" s="218" t="s">
        <v>796</v>
      </c>
      <c r="I739" s="1029"/>
      <c r="J739" s="964"/>
      <c r="K739" s="1030"/>
      <c r="L739" s="559"/>
      <c r="M739" s="519"/>
      <c r="N739" s="168"/>
      <c r="O739" s="125"/>
      <c r="P739" s="125"/>
      <c r="Q739" s="125"/>
      <c r="R739" s="126"/>
      <c r="S739" s="127"/>
      <c r="T739" s="125"/>
      <c r="U739" s="125"/>
      <c r="V739" s="125"/>
      <c r="W739" s="125"/>
      <c r="X739" s="127"/>
      <c r="Y739" s="128"/>
      <c r="Z739" s="128"/>
      <c r="AA739" s="89"/>
      <c r="AB739" s="89"/>
      <c r="AC739" s="89"/>
      <c r="AD739" s="89"/>
      <c r="AE739" s="89"/>
      <c r="AF739" s="89"/>
      <c r="AG739" s="89"/>
      <c r="AH739" s="89"/>
      <c r="AI739" s="89"/>
      <c r="AJ739" s="89"/>
      <c r="AK739" s="89"/>
      <c r="AL739" s="89"/>
      <c r="AM739" s="89"/>
      <c r="AN739" s="89"/>
    </row>
    <row r="740" spans="3:40" ht="24" x14ac:dyDescent="0.2">
      <c r="C740" s="168"/>
      <c r="D740" s="546" t="s">
        <v>434</v>
      </c>
      <c r="E740" s="1033" t="s">
        <v>958</v>
      </c>
      <c r="F740" s="1034"/>
      <c r="G740" s="1035"/>
      <c r="H740" s="219"/>
      <c r="I740" s="1029"/>
      <c r="J740" s="964"/>
      <c r="K740" s="1030"/>
      <c r="L740" s="559"/>
      <c r="M740" s="519"/>
      <c r="N740" s="168"/>
      <c r="O740" s="129" t="s">
        <v>811</v>
      </c>
      <c r="P740" s="176">
        <v>0.1</v>
      </c>
      <c r="Q740" s="177">
        <v>6.4100000000000004E-2</v>
      </c>
      <c r="R740" s="178">
        <v>3.0000000000001137E-2</v>
      </c>
      <c r="S740" s="190">
        <v>1</v>
      </c>
      <c r="T740" s="129">
        <v>0.12615000000000115</v>
      </c>
      <c r="U740" s="134">
        <v>-30.075761904761638</v>
      </c>
      <c r="V740" s="135">
        <v>60.5</v>
      </c>
      <c r="W740" s="191">
        <v>2.39</v>
      </c>
      <c r="X740" s="137">
        <v>71.881070952380313</v>
      </c>
      <c r="Y740" s="138"/>
      <c r="Z740" s="138"/>
      <c r="AA740" s="89"/>
      <c r="AB740" s="89"/>
      <c r="AC740" s="89"/>
      <c r="AD740" s="89"/>
      <c r="AE740" s="89"/>
      <c r="AF740" s="89"/>
      <c r="AG740" s="89"/>
      <c r="AH740" s="89"/>
      <c r="AI740" s="89"/>
      <c r="AJ740" s="89"/>
      <c r="AK740" s="89"/>
      <c r="AL740" s="89"/>
      <c r="AM740" s="89"/>
      <c r="AN740" s="89"/>
    </row>
    <row r="741" spans="3:40" ht="25" thickBot="1" x14ac:dyDescent="0.25">
      <c r="C741" s="168"/>
      <c r="D741" s="547" t="s">
        <v>435</v>
      </c>
      <c r="E741" s="1039">
        <v>0.66666666666666674</v>
      </c>
      <c r="F741" s="1040"/>
      <c r="G741" s="1041"/>
      <c r="H741" s="233"/>
      <c r="I741" s="1029"/>
      <c r="J741" s="964"/>
      <c r="K741" s="1030"/>
      <c r="L741" s="560">
        <v>0.89583333333333337</v>
      </c>
      <c r="M741" s="520">
        <v>0.75</v>
      </c>
      <c r="N741" s="168"/>
      <c r="O741" s="139" t="s">
        <v>812</v>
      </c>
      <c r="P741" s="180">
        <v>0.1</v>
      </c>
      <c r="Q741" s="160">
        <v>7.6066666666665908E-2</v>
      </c>
      <c r="R741" s="181">
        <v>3.0000000000001137E-2</v>
      </c>
      <c r="S741" s="192">
        <v>1</v>
      </c>
      <c r="T741" s="182">
        <v>0.14410000000000001</v>
      </c>
      <c r="U741" s="144">
        <v>-34.355269841269219</v>
      </c>
      <c r="V741" s="145">
        <v>60.5</v>
      </c>
      <c r="W741" s="193">
        <v>2.08</v>
      </c>
      <c r="X741" s="147">
        <v>71.458961269839975</v>
      </c>
      <c r="Y741" s="148"/>
      <c r="Z741" s="148"/>
      <c r="AA741" s="89"/>
      <c r="AB741" s="89"/>
      <c r="AC741" s="89"/>
      <c r="AD741" s="89"/>
      <c r="AE741" s="89"/>
      <c r="AF741" s="89"/>
      <c r="AG741" s="89"/>
      <c r="AH741" s="89"/>
      <c r="AI741" s="89"/>
      <c r="AJ741" s="89"/>
      <c r="AK741" s="89"/>
      <c r="AL741" s="89"/>
      <c r="AM741" s="89"/>
      <c r="AN741" s="89"/>
    </row>
    <row r="742" spans="3:40" ht="25" thickBot="1" x14ac:dyDescent="0.25">
      <c r="C742" s="168"/>
      <c r="D742" s="549" t="s">
        <v>436</v>
      </c>
      <c r="E742" s="93" t="s">
        <v>29</v>
      </c>
      <c r="F742" s="93" t="s">
        <v>28</v>
      </c>
      <c r="G742" s="94" t="s">
        <v>27</v>
      </c>
      <c r="H742" s="230" t="s">
        <v>793</v>
      </c>
      <c r="I742" s="1029"/>
      <c r="J742" s="964"/>
      <c r="K742" s="1030"/>
      <c r="L742" s="573" t="s">
        <v>1002</v>
      </c>
      <c r="M742" s="523" t="s">
        <v>1003</v>
      </c>
      <c r="N742" s="168"/>
      <c r="O742" s="127"/>
      <c r="P742" s="149"/>
      <c r="Q742" s="127"/>
      <c r="R742" s="127"/>
      <c r="S742" s="194"/>
      <c r="T742" s="127"/>
      <c r="U742" s="150"/>
      <c r="V742" s="151"/>
      <c r="W742" s="195"/>
      <c r="X742" s="150"/>
      <c r="Y742" s="128"/>
      <c r="Z742" s="128"/>
      <c r="AA742" s="89"/>
      <c r="AB742" s="89"/>
      <c r="AC742" s="89"/>
      <c r="AD742" s="89"/>
      <c r="AE742" s="89"/>
      <c r="AF742" s="89"/>
      <c r="AG742" s="89"/>
      <c r="AH742" s="89"/>
      <c r="AI742" s="89"/>
      <c r="AJ742" s="89"/>
      <c r="AK742" s="89"/>
      <c r="AL742" s="89"/>
      <c r="AM742" s="89"/>
      <c r="AN742" s="89"/>
    </row>
    <row r="743" spans="3:40" ht="24" x14ac:dyDescent="0.2">
      <c r="C743" s="168"/>
      <c r="D743" s="550">
        <v>45602</v>
      </c>
      <c r="E743" s="99" t="s">
        <v>988</v>
      </c>
      <c r="F743" s="99" t="s">
        <v>989</v>
      </c>
      <c r="G743" s="99" t="s">
        <v>990</v>
      </c>
      <c r="H743" s="224">
        <v>0.72916666666666674</v>
      </c>
      <c r="I743" s="1029"/>
      <c r="J743" s="964"/>
      <c r="K743" s="1030"/>
      <c r="L743" s="574">
        <v>0.4375</v>
      </c>
      <c r="M743" s="526">
        <v>0.64583333333333337</v>
      </c>
      <c r="N743" s="168"/>
      <c r="O743" s="152"/>
      <c r="P743" s="128"/>
      <c r="Q743" s="152"/>
      <c r="R743" s="152"/>
      <c r="S743" s="194"/>
      <c r="T743" s="152"/>
      <c r="U743" s="152"/>
      <c r="V743" s="152"/>
      <c r="W743" s="197"/>
      <c r="X743" s="152"/>
      <c r="Y743" s="128"/>
      <c r="Z743" s="128"/>
      <c r="AA743" s="89"/>
      <c r="AB743" s="89"/>
      <c r="AC743" s="89"/>
      <c r="AD743" s="89"/>
      <c r="AE743" s="89"/>
      <c r="AF743" s="89"/>
      <c r="AG743" s="89"/>
      <c r="AH743" s="89"/>
      <c r="AI743" s="89"/>
      <c r="AJ743" s="89"/>
      <c r="AK743" s="89"/>
      <c r="AL743" s="89"/>
      <c r="AM743" s="89"/>
      <c r="AN743" s="89"/>
    </row>
    <row r="744" spans="3:40" ht="24" x14ac:dyDescent="0.2">
      <c r="C744" s="168"/>
      <c r="D744" s="550">
        <v>45595</v>
      </c>
      <c r="E744" s="99" t="s">
        <v>990</v>
      </c>
      <c r="F744" s="99" t="s">
        <v>991</v>
      </c>
      <c r="G744" s="99" t="s">
        <v>992</v>
      </c>
      <c r="H744" s="224">
        <v>0.6875</v>
      </c>
      <c r="I744" s="1029"/>
      <c r="J744" s="964"/>
      <c r="K744" s="1030"/>
      <c r="L744" s="574">
        <v>0.39583333333333331</v>
      </c>
      <c r="M744" s="526">
        <v>0.60416666666666663</v>
      </c>
      <c r="N744" s="168"/>
      <c r="O744" s="119" t="s">
        <v>813</v>
      </c>
      <c r="P744" s="198">
        <v>0.1</v>
      </c>
      <c r="Q744" s="153">
        <v>7.6066666666665908E-2</v>
      </c>
      <c r="R744" s="154">
        <v>3.0000000000001137E-2</v>
      </c>
      <c r="S744" s="198">
        <v>1</v>
      </c>
      <c r="T744" s="199">
        <v>0.14410000000000001</v>
      </c>
      <c r="U744" s="155">
        <v>-34.355269841269219</v>
      </c>
      <c r="V744" s="156">
        <v>60.5</v>
      </c>
      <c r="W744" s="200">
        <v>2.08</v>
      </c>
      <c r="X744" s="157">
        <v>71.458961269839975</v>
      </c>
      <c r="Y744" s="158"/>
      <c r="Z744" s="158"/>
      <c r="AA744" s="89"/>
      <c r="AB744" s="89"/>
      <c r="AC744" s="89"/>
      <c r="AD744" s="89"/>
      <c r="AE744" s="89"/>
      <c r="AF744" s="89"/>
      <c r="AG744" s="89"/>
      <c r="AH744" s="89"/>
      <c r="AI744" s="89"/>
      <c r="AJ744" s="89"/>
      <c r="AK744" s="89"/>
      <c r="AL744" s="89"/>
      <c r="AM744" s="89"/>
      <c r="AN744" s="89"/>
    </row>
    <row r="745" spans="3:40" ht="24" x14ac:dyDescent="0.2">
      <c r="C745" s="168"/>
      <c r="D745" s="550">
        <v>45588</v>
      </c>
      <c r="E745" s="99" t="s">
        <v>992</v>
      </c>
      <c r="F745" s="99" t="s">
        <v>993</v>
      </c>
      <c r="G745" s="99" t="s">
        <v>994</v>
      </c>
      <c r="H745" s="224">
        <v>0.6875</v>
      </c>
      <c r="I745" s="1029"/>
      <c r="J745" s="964"/>
      <c r="K745" s="1030"/>
      <c r="L745" s="574">
        <v>0.39583333333333331</v>
      </c>
      <c r="M745" s="526">
        <v>0.60416666666666663</v>
      </c>
      <c r="N745" s="168"/>
      <c r="O745" s="119"/>
      <c r="P745" s="120"/>
      <c r="Q745" s="153"/>
      <c r="R745" s="154"/>
      <c r="S745" s="123"/>
      <c r="T745" s="120"/>
      <c r="U745" s="155"/>
      <c r="V745" s="156"/>
      <c r="W745" s="123"/>
      <c r="X745" s="157"/>
      <c r="Y745" s="158"/>
      <c r="Z745" s="158"/>
      <c r="AA745" s="89"/>
      <c r="AB745" s="89"/>
      <c r="AC745" s="89"/>
      <c r="AD745" s="89"/>
      <c r="AE745" s="89"/>
      <c r="AF745" s="89"/>
      <c r="AG745" s="89"/>
      <c r="AH745" s="89"/>
      <c r="AI745" s="89"/>
      <c r="AJ745" s="89"/>
      <c r="AK745" s="89"/>
      <c r="AL745" s="89"/>
      <c r="AM745" s="89"/>
      <c r="AN745" s="89"/>
    </row>
    <row r="746" spans="3:40" ht="24" x14ac:dyDescent="0.2">
      <c r="C746" s="168"/>
      <c r="D746" s="550">
        <v>45582</v>
      </c>
      <c r="E746" s="99" t="s">
        <v>994</v>
      </c>
      <c r="F746" s="99" t="s">
        <v>995</v>
      </c>
      <c r="G746" s="99" t="s">
        <v>996</v>
      </c>
      <c r="H746" s="224">
        <v>0.70833333333333337</v>
      </c>
      <c r="I746" s="1029"/>
      <c r="J746" s="964"/>
      <c r="K746" s="1030"/>
      <c r="L746" s="574">
        <v>0.41666666666666669</v>
      </c>
      <c r="M746" s="526">
        <v>0.625</v>
      </c>
      <c r="N746" s="168"/>
      <c r="O746" s="119"/>
      <c r="P746" s="120"/>
      <c r="Q746" s="153"/>
      <c r="R746" s="154"/>
      <c r="S746" s="123"/>
      <c r="T746" s="120"/>
      <c r="U746" s="155"/>
      <c r="V746" s="156"/>
      <c r="W746" s="123"/>
      <c r="X746" s="157"/>
      <c r="Y746" s="158"/>
      <c r="Z746" s="158"/>
      <c r="AA746" s="89"/>
      <c r="AB746" s="89"/>
      <c r="AC746" s="89"/>
      <c r="AD746" s="89"/>
      <c r="AE746" s="89"/>
      <c r="AF746" s="89"/>
      <c r="AG746" s="89"/>
      <c r="AH746" s="89"/>
      <c r="AI746" s="89"/>
      <c r="AJ746" s="89"/>
      <c r="AK746" s="89"/>
      <c r="AL746" s="89"/>
      <c r="AM746" s="89"/>
      <c r="AN746" s="89"/>
    </row>
    <row r="747" spans="3:40" ht="24" x14ac:dyDescent="0.2">
      <c r="C747" s="168"/>
      <c r="D747" s="550">
        <v>45574</v>
      </c>
      <c r="E747" s="99" t="s">
        <v>996</v>
      </c>
      <c r="F747" s="99" t="s">
        <v>997</v>
      </c>
      <c r="G747" s="99" t="s">
        <v>998</v>
      </c>
      <c r="H747" s="224">
        <v>0.6875</v>
      </c>
      <c r="I747" s="1029"/>
      <c r="J747" s="964"/>
      <c r="K747" s="1030"/>
      <c r="L747" s="574">
        <v>0.39583333333333331</v>
      </c>
      <c r="M747" s="526">
        <v>0.60416666666666663</v>
      </c>
      <c r="N747" s="168"/>
      <c r="O747" s="89"/>
      <c r="P747" s="89"/>
      <c r="Q747" s="89"/>
      <c r="R747" s="89"/>
      <c r="S747" s="89"/>
      <c r="T747" s="89"/>
      <c r="U747" s="89"/>
      <c r="V747" s="89"/>
      <c r="W747" s="89"/>
      <c r="X747" s="89"/>
      <c r="Y747" s="89"/>
      <c r="Z747" s="89"/>
      <c r="AA747" s="89"/>
      <c r="AB747" s="89"/>
      <c r="AC747" s="89"/>
      <c r="AD747" s="89"/>
      <c r="AE747" s="89"/>
      <c r="AF747" s="89"/>
      <c r="AG747" s="89"/>
      <c r="AH747" s="89"/>
      <c r="AI747" s="89"/>
      <c r="AJ747" s="89"/>
      <c r="AK747" s="89"/>
      <c r="AL747" s="89"/>
      <c r="AM747" s="89"/>
      <c r="AN747" s="89"/>
    </row>
    <row r="748" spans="3:40" ht="25" thickBot="1" x14ac:dyDescent="0.25">
      <c r="C748" s="168"/>
      <c r="D748" s="550">
        <v>45567</v>
      </c>
      <c r="E748" s="99" t="s">
        <v>998</v>
      </c>
      <c r="F748" s="99" t="s">
        <v>999</v>
      </c>
      <c r="G748" s="99" t="s">
        <v>1000</v>
      </c>
      <c r="H748" s="224">
        <v>0.6875</v>
      </c>
      <c r="I748" s="1031"/>
      <c r="J748" s="966"/>
      <c r="K748" s="1032"/>
      <c r="L748" s="575">
        <v>0.39583333333333331</v>
      </c>
      <c r="M748" s="526">
        <v>0.60416666666666663</v>
      </c>
      <c r="N748" s="168"/>
      <c r="O748" s="89"/>
      <c r="P748" s="89"/>
      <c r="Q748" s="89"/>
      <c r="R748" s="89"/>
      <c r="S748" s="89"/>
      <c r="T748" s="89"/>
      <c r="U748" s="89"/>
      <c r="V748" s="89"/>
      <c r="W748" s="89"/>
      <c r="X748" s="89"/>
      <c r="Y748" s="89"/>
      <c r="Z748" s="89"/>
      <c r="AA748" s="89"/>
      <c r="AB748" s="89"/>
      <c r="AC748" s="89"/>
      <c r="AD748" s="89"/>
      <c r="AE748" s="89"/>
      <c r="AF748" s="89"/>
      <c r="AG748" s="89"/>
      <c r="AH748" s="89"/>
      <c r="AI748" s="89"/>
      <c r="AJ748" s="89"/>
      <c r="AK748" s="89"/>
      <c r="AL748" s="89"/>
      <c r="AM748" s="89"/>
      <c r="AN748" s="89"/>
    </row>
    <row r="749" spans="3:40" ht="49" thickBot="1" x14ac:dyDescent="0.25">
      <c r="C749" s="91">
        <v>8</v>
      </c>
      <c r="D749" s="552" t="s">
        <v>30</v>
      </c>
      <c r="E749" s="1052" t="s">
        <v>959</v>
      </c>
      <c r="F749" s="1053"/>
      <c r="G749" s="1054"/>
      <c r="H749" s="217" t="s">
        <v>790</v>
      </c>
      <c r="I749" s="1055" t="s">
        <v>633</v>
      </c>
      <c r="J749" s="1056"/>
      <c r="K749" s="1057"/>
      <c r="L749" s="570" t="s">
        <v>430</v>
      </c>
      <c r="M749" s="518" t="s">
        <v>431</v>
      </c>
      <c r="N749" s="168" t="s">
        <v>105</v>
      </c>
      <c r="O749" s="118" t="s">
        <v>800</v>
      </c>
      <c r="P749" s="118" t="s">
        <v>801</v>
      </c>
      <c r="Q749" s="118" t="s">
        <v>802</v>
      </c>
      <c r="R749" s="118" t="s">
        <v>803</v>
      </c>
      <c r="S749" s="118" t="s">
        <v>804</v>
      </c>
      <c r="T749" s="118" t="s">
        <v>805</v>
      </c>
      <c r="U749" s="118" t="s">
        <v>806</v>
      </c>
      <c r="V749" s="118" t="s">
        <v>807</v>
      </c>
      <c r="W749" s="118" t="s">
        <v>808</v>
      </c>
      <c r="X749" s="118" t="s">
        <v>809</v>
      </c>
      <c r="Y749" s="118" t="s">
        <v>75</v>
      </c>
      <c r="Z749" s="118" t="s">
        <v>75</v>
      </c>
      <c r="AA749" s="89"/>
      <c r="AB749" s="89"/>
      <c r="AC749" s="89"/>
      <c r="AD749" s="89"/>
      <c r="AE749" s="89"/>
      <c r="AF749" s="89"/>
      <c r="AG749" s="89"/>
      <c r="AH749" s="89"/>
      <c r="AI749" s="89"/>
      <c r="AJ749" s="89"/>
      <c r="AK749" s="89"/>
      <c r="AL749" s="89"/>
      <c r="AM749" s="89"/>
      <c r="AN749" s="89"/>
    </row>
    <row r="750" spans="3:40" ht="24" x14ac:dyDescent="0.2">
      <c r="C750" s="168"/>
      <c r="D750" s="544" t="s">
        <v>432</v>
      </c>
      <c r="E750" s="1024"/>
      <c r="F750" s="1025"/>
      <c r="G750" s="1026"/>
      <c r="H750" s="218" t="s">
        <v>794</v>
      </c>
      <c r="I750" s="1027" t="s">
        <v>960</v>
      </c>
      <c r="J750" s="962"/>
      <c r="K750" s="1028"/>
      <c r="L750" s="559"/>
      <c r="M750" s="519"/>
      <c r="N750" s="168"/>
      <c r="O750" s="119" t="s">
        <v>810</v>
      </c>
      <c r="P750" s="171">
        <v>0.1</v>
      </c>
      <c r="Q750" s="172">
        <v>2.7E-2</v>
      </c>
      <c r="R750" s="173">
        <v>1.5999999999991132E-2</v>
      </c>
      <c r="S750" s="123"/>
      <c r="T750" s="119">
        <v>5.6499999999991134E-2</v>
      </c>
      <c r="U750" s="172">
        <v>-13.31</v>
      </c>
      <c r="V750" s="171">
        <v>91.8</v>
      </c>
      <c r="W750" s="174">
        <v>2</v>
      </c>
      <c r="X750" s="157">
        <v>26.62</v>
      </c>
      <c r="Y750" s="124"/>
      <c r="Z750" s="124"/>
      <c r="AA750" s="89"/>
      <c r="AB750" s="89"/>
      <c r="AC750" s="89"/>
      <c r="AD750" s="89"/>
      <c r="AE750" s="89"/>
      <c r="AF750" s="89"/>
      <c r="AG750" s="89"/>
      <c r="AH750" s="89"/>
      <c r="AI750" s="89"/>
      <c r="AJ750" s="89"/>
      <c r="AK750" s="89"/>
      <c r="AL750" s="89"/>
      <c r="AM750" s="89"/>
      <c r="AN750" s="89"/>
    </row>
    <row r="751" spans="3:40" ht="24" x14ac:dyDescent="0.2">
      <c r="C751" s="168"/>
      <c r="D751" s="546" t="s">
        <v>433</v>
      </c>
      <c r="E751" s="1033">
        <v>2E-3</v>
      </c>
      <c r="F751" s="1034"/>
      <c r="G751" s="1035"/>
      <c r="H751" s="218" t="s">
        <v>795</v>
      </c>
      <c r="I751" s="1029"/>
      <c r="J751" s="964"/>
      <c r="K751" s="1030"/>
      <c r="L751" s="559"/>
      <c r="M751" s="519"/>
      <c r="N751" s="168"/>
      <c r="O751" s="125"/>
      <c r="P751" s="125"/>
      <c r="Q751" s="125"/>
      <c r="R751" s="126"/>
      <c r="S751" s="127"/>
      <c r="T751" s="125"/>
      <c r="U751" s="125"/>
      <c r="V751" s="125"/>
      <c r="W751" s="127"/>
      <c r="X751" s="127"/>
      <c r="Y751" s="128"/>
      <c r="Z751" s="128"/>
      <c r="AA751" s="89"/>
      <c r="AB751" s="89"/>
      <c r="AC751" s="89"/>
      <c r="AD751" s="89"/>
      <c r="AE751" s="89"/>
      <c r="AF751" s="89"/>
      <c r="AG751" s="89"/>
      <c r="AH751" s="89"/>
      <c r="AI751" s="89"/>
      <c r="AJ751" s="89"/>
      <c r="AK751" s="89"/>
      <c r="AL751" s="89"/>
      <c r="AM751" s="89"/>
      <c r="AN751" s="89"/>
    </row>
    <row r="752" spans="3:40" ht="24" x14ac:dyDescent="0.2">
      <c r="C752" s="168"/>
      <c r="D752" s="546" t="s">
        <v>434</v>
      </c>
      <c r="E752" s="1033">
        <v>7.0000000000000001E-3</v>
      </c>
      <c r="F752" s="1034"/>
      <c r="G752" s="1035"/>
      <c r="H752" s="219"/>
      <c r="I752" s="1029"/>
      <c r="J752" s="964"/>
      <c r="K752" s="1030"/>
      <c r="L752" s="559"/>
      <c r="M752" s="519"/>
      <c r="N752" s="168"/>
      <c r="O752" s="129" t="s">
        <v>811</v>
      </c>
      <c r="P752" s="176">
        <v>0.1</v>
      </c>
      <c r="Q752" s="177">
        <v>4.0500000000000001E-2</v>
      </c>
      <c r="R752" s="178">
        <v>1.7000000000000001E-2</v>
      </c>
      <c r="S752" s="133">
        <v>1</v>
      </c>
      <c r="T752" s="129">
        <v>7.775E-2</v>
      </c>
      <c r="U752" s="134">
        <v>-18.315973451330308</v>
      </c>
      <c r="V752" s="135">
        <v>60.5</v>
      </c>
      <c r="W752" s="179">
        <v>3.27</v>
      </c>
      <c r="X752" s="137">
        <v>59.893233185850107</v>
      </c>
      <c r="Y752" s="138"/>
      <c r="Z752" s="138">
        <v>4.4350000000000005</v>
      </c>
      <c r="AA752" s="89"/>
      <c r="AB752" s="89"/>
      <c r="AC752" s="89"/>
      <c r="AD752" s="89"/>
      <c r="AE752" s="89"/>
      <c r="AF752" s="89"/>
      <c r="AG752" s="89"/>
      <c r="AH752" s="89"/>
      <c r="AI752" s="89"/>
      <c r="AJ752" s="89"/>
      <c r="AK752" s="89"/>
      <c r="AL752" s="89"/>
      <c r="AM752" s="89"/>
      <c r="AN752" s="89"/>
    </row>
    <row r="753" spans="3:40" ht="25" thickBot="1" x14ac:dyDescent="0.25">
      <c r="C753" s="168"/>
      <c r="D753" s="547" t="s">
        <v>435</v>
      </c>
      <c r="E753" s="1039">
        <v>7.6388888888888867E-2</v>
      </c>
      <c r="F753" s="1040"/>
      <c r="G753" s="1041"/>
      <c r="H753" s="219"/>
      <c r="I753" s="1029"/>
      <c r="J753" s="964"/>
      <c r="K753" s="1030"/>
      <c r="L753" s="560">
        <v>0.22222222222222221</v>
      </c>
      <c r="M753" s="520">
        <v>7.6388888888888867E-2</v>
      </c>
      <c r="N753" s="168"/>
      <c r="O753" s="139" t="s">
        <v>812</v>
      </c>
      <c r="P753" s="180">
        <v>0.1</v>
      </c>
      <c r="Q753" s="160">
        <v>2.5266666666666663E-2</v>
      </c>
      <c r="R753" s="181">
        <v>1.7000000000000001E-2</v>
      </c>
      <c r="S753" s="143">
        <v>1</v>
      </c>
      <c r="T753" s="182">
        <v>5.4899999999999997E-2</v>
      </c>
      <c r="U753" s="144">
        <v>-12.933079646019728</v>
      </c>
      <c r="V753" s="145">
        <v>60.5</v>
      </c>
      <c r="W753" s="232">
        <v>2.2200000000000002</v>
      </c>
      <c r="X753" s="147">
        <v>28.711436814163797</v>
      </c>
      <c r="Y753" s="148"/>
      <c r="Z753" s="148"/>
      <c r="AA753" s="89"/>
      <c r="AB753" s="89"/>
      <c r="AC753" s="89"/>
      <c r="AD753" s="89"/>
      <c r="AE753" s="89"/>
      <c r="AF753" s="89"/>
      <c r="AG753" s="89"/>
      <c r="AH753" s="89"/>
      <c r="AI753" s="89"/>
      <c r="AJ753" s="89"/>
      <c r="AK753" s="89"/>
      <c r="AL753" s="89"/>
      <c r="AM753" s="89"/>
      <c r="AN753" s="89"/>
    </row>
    <row r="754" spans="3:40" ht="25" thickBot="1" x14ac:dyDescent="0.25">
      <c r="C754" s="168"/>
      <c r="D754" s="549" t="s">
        <v>436</v>
      </c>
      <c r="E754" s="93" t="s">
        <v>29</v>
      </c>
      <c r="F754" s="93" t="s">
        <v>28</v>
      </c>
      <c r="G754" s="94" t="s">
        <v>27</v>
      </c>
      <c r="H754" s="230" t="s">
        <v>793</v>
      </c>
      <c r="I754" s="1029"/>
      <c r="J754" s="964"/>
      <c r="K754" s="1030"/>
      <c r="L754" s="573" t="s">
        <v>1002</v>
      </c>
      <c r="M754" s="523"/>
      <c r="N754" s="168"/>
      <c r="O754" s="127"/>
      <c r="P754" s="149"/>
      <c r="Q754" s="127"/>
      <c r="R754" s="127"/>
      <c r="S754" s="127"/>
      <c r="T754" s="127"/>
      <c r="U754" s="150"/>
      <c r="V754" s="151"/>
      <c r="W754" s="127"/>
      <c r="X754" s="150"/>
      <c r="Y754" s="128"/>
      <c r="Z754" s="128"/>
      <c r="AA754" s="89"/>
      <c r="AB754" s="89"/>
      <c r="AC754" s="89"/>
      <c r="AD754" s="89"/>
      <c r="AE754" s="89"/>
      <c r="AF754" s="89"/>
      <c r="AG754" s="89"/>
      <c r="AH754" s="89"/>
      <c r="AI754" s="89"/>
      <c r="AJ754" s="89"/>
      <c r="AK754" s="89"/>
      <c r="AL754" s="89"/>
      <c r="AM754" s="89"/>
      <c r="AN754" s="89"/>
    </row>
    <row r="755" spans="3:40" ht="24" x14ac:dyDescent="0.2">
      <c r="C755" s="168"/>
      <c r="D755" s="550">
        <v>45542</v>
      </c>
      <c r="E755" s="99">
        <v>7.0000000000000001E-3</v>
      </c>
      <c r="F755" s="99" t="s">
        <v>1001</v>
      </c>
      <c r="G755" s="99">
        <v>-6.0000000000000001E-3</v>
      </c>
      <c r="H755" s="224">
        <v>0.99305555555555558</v>
      </c>
      <c r="I755" s="1029"/>
      <c r="J755" s="964"/>
      <c r="K755" s="1030"/>
      <c r="L755" s="574">
        <v>0.78472222222222221</v>
      </c>
      <c r="M755" s="524"/>
      <c r="N755" s="168"/>
      <c r="O755" s="152"/>
      <c r="P755" s="128"/>
      <c r="Q755" s="152"/>
      <c r="R755" s="152"/>
      <c r="S755" s="152"/>
      <c r="T755" s="152"/>
      <c r="U755" s="152"/>
      <c r="V755" s="152"/>
      <c r="W755" s="152"/>
      <c r="X755" s="152"/>
      <c r="Y755" s="128"/>
      <c r="Z755" s="128"/>
      <c r="AA755" s="89"/>
      <c r="AB755" s="89"/>
      <c r="AC755" s="89"/>
      <c r="AD755" s="89"/>
      <c r="AE755" s="89"/>
      <c r="AF755" s="89"/>
      <c r="AG755" s="89"/>
      <c r="AH755" s="89"/>
      <c r="AI755" s="89"/>
      <c r="AJ755" s="89"/>
      <c r="AK755" s="89"/>
      <c r="AL755" s="89"/>
      <c r="AM755" s="89"/>
      <c r="AN755" s="89"/>
    </row>
    <row r="756" spans="3:40" ht="24" x14ac:dyDescent="0.2">
      <c r="C756" s="168"/>
      <c r="D756" s="550">
        <v>45517</v>
      </c>
      <c r="E756" s="99">
        <v>8.0000000000000002E-3</v>
      </c>
      <c r="F756" s="99" t="s">
        <v>449</v>
      </c>
      <c r="G756" s="99">
        <v>-6.0000000000000001E-3</v>
      </c>
      <c r="H756" s="224">
        <v>0.99305555555555558</v>
      </c>
      <c r="I756" s="1029"/>
      <c r="J756" s="964"/>
      <c r="K756" s="1030"/>
      <c r="L756" s="574">
        <v>0.78472222222222221</v>
      </c>
      <c r="M756" s="525"/>
      <c r="N756" s="168"/>
      <c r="O756" s="119" t="s">
        <v>813</v>
      </c>
      <c r="P756" s="171">
        <v>0.1</v>
      </c>
      <c r="Q756" s="153">
        <v>3.2883333333333334E-2</v>
      </c>
      <c r="R756" s="154">
        <v>1.7000000000000001E-2</v>
      </c>
      <c r="S756" s="123">
        <v>1</v>
      </c>
      <c r="T756" s="129">
        <v>6.6324999999999995E-2</v>
      </c>
      <c r="U756" s="155">
        <v>-15.624526548675018</v>
      </c>
      <c r="V756" s="156">
        <v>60.5</v>
      </c>
      <c r="W756" s="123">
        <v>2</v>
      </c>
      <c r="X756" s="157">
        <v>31.249053097350036</v>
      </c>
      <c r="Y756" s="158"/>
      <c r="Z756" s="158"/>
      <c r="AA756" s="89"/>
      <c r="AB756" s="89"/>
      <c r="AC756" s="89"/>
      <c r="AD756" s="89"/>
      <c r="AE756" s="89"/>
      <c r="AF756" s="89"/>
      <c r="AG756" s="89"/>
      <c r="AH756" s="89"/>
      <c r="AI756" s="89"/>
      <c r="AJ756" s="89"/>
      <c r="AK756" s="89"/>
      <c r="AL756" s="89"/>
      <c r="AM756" s="89"/>
      <c r="AN756" s="89"/>
    </row>
    <row r="757" spans="3:40" ht="24" x14ac:dyDescent="0.2">
      <c r="C757" s="168"/>
      <c r="D757" s="550">
        <v>45451</v>
      </c>
      <c r="E757" s="99">
        <v>-5.0000000000000001E-3</v>
      </c>
      <c r="F757" s="99" t="s">
        <v>782</v>
      </c>
      <c r="G757" s="99">
        <v>1E-3</v>
      </c>
      <c r="H757" s="224">
        <v>0.99305555555555558</v>
      </c>
      <c r="I757" s="1029"/>
      <c r="J757" s="964"/>
      <c r="K757" s="1030"/>
      <c r="L757" s="574">
        <v>0.78472222222222221</v>
      </c>
      <c r="M757" s="519"/>
      <c r="N757" s="168"/>
      <c r="O757" s="119"/>
      <c r="P757" s="171"/>
      <c r="Q757" s="153"/>
      <c r="R757" s="154"/>
      <c r="S757" s="123"/>
      <c r="T757" s="129"/>
      <c r="U757" s="155"/>
      <c r="V757" s="156"/>
      <c r="W757" s="123"/>
      <c r="X757" s="157"/>
      <c r="Y757" s="158"/>
      <c r="Z757" s="158"/>
      <c r="AA757" s="89"/>
      <c r="AB757" s="89"/>
      <c r="AC757" s="89"/>
      <c r="AD757" s="89"/>
      <c r="AE757" s="89"/>
      <c r="AF757" s="89"/>
      <c r="AG757" s="89"/>
      <c r="AH757" s="89"/>
      <c r="AI757" s="89"/>
      <c r="AJ757" s="89"/>
      <c r="AK757" s="89"/>
      <c r="AL757" s="89"/>
      <c r="AM757" s="89"/>
      <c r="AN757" s="89"/>
    </row>
    <row r="758" spans="3:40" ht="24" x14ac:dyDescent="0.2">
      <c r="C758" s="168"/>
      <c r="D758" s="550">
        <v>45426</v>
      </c>
      <c r="E758" s="99">
        <v>-5.0000000000000001E-3</v>
      </c>
      <c r="F758" s="99" t="s">
        <v>454</v>
      </c>
      <c r="G758" s="99">
        <v>0</v>
      </c>
      <c r="H758" s="224">
        <v>0.99305555555555558</v>
      </c>
      <c r="I758" s="1029"/>
      <c r="J758" s="964"/>
      <c r="K758" s="1030"/>
      <c r="L758" s="574">
        <v>0.78472222222222221</v>
      </c>
      <c r="M758" s="519"/>
      <c r="N758" s="168"/>
      <c r="O758" s="119"/>
      <c r="P758" s="120"/>
      <c r="Q758" s="153"/>
      <c r="R758" s="154"/>
      <c r="S758" s="123"/>
      <c r="T758" s="120"/>
      <c r="U758" s="155"/>
      <c r="V758" s="156"/>
      <c r="W758" s="123"/>
      <c r="X758" s="157"/>
      <c r="Y758" s="158"/>
      <c r="Z758" s="158"/>
      <c r="AA758" s="89"/>
      <c r="AB758" s="89"/>
      <c r="AC758" s="89"/>
      <c r="AD758" s="89"/>
      <c r="AE758" s="89"/>
      <c r="AF758" s="89"/>
      <c r="AG758" s="89"/>
      <c r="AH758" s="89"/>
      <c r="AI758" s="89"/>
      <c r="AJ758" s="89"/>
      <c r="AK758" s="89"/>
      <c r="AL758" s="89"/>
      <c r="AM758" s="89"/>
      <c r="AN758" s="89"/>
    </row>
    <row r="759" spans="3:40" ht="24" x14ac:dyDescent="0.2">
      <c r="C759" s="168"/>
      <c r="D759" s="550">
        <v>45360</v>
      </c>
      <c r="E759" s="99">
        <v>1E-3</v>
      </c>
      <c r="F759" s="99" t="s">
        <v>456</v>
      </c>
      <c r="G759" s="99">
        <v>-7.0000000000000001E-3</v>
      </c>
      <c r="H759" s="224">
        <v>0.99305555555555558</v>
      </c>
      <c r="I759" s="1029"/>
      <c r="J759" s="964"/>
      <c r="K759" s="1030"/>
      <c r="L759" s="574">
        <v>0.78472222222222221</v>
      </c>
      <c r="M759" s="519"/>
      <c r="N759" s="168"/>
      <c r="O759" s="89"/>
      <c r="P759" s="89"/>
      <c r="Q759" s="89"/>
      <c r="R759" s="89"/>
      <c r="S759" s="89"/>
      <c r="T759" s="89"/>
      <c r="U759" s="89"/>
      <c r="V759" s="89"/>
      <c r="W759" s="89"/>
      <c r="X759" s="89"/>
      <c r="Y759" s="89"/>
      <c r="Z759" s="89"/>
      <c r="AA759" s="89"/>
      <c r="AB759" s="89"/>
      <c r="AC759" s="89"/>
      <c r="AD759" s="89"/>
      <c r="AE759" s="89"/>
      <c r="AF759" s="89"/>
      <c r="AG759" s="89"/>
      <c r="AH759" s="89"/>
      <c r="AI759" s="89"/>
      <c r="AJ759" s="89"/>
      <c r="AK759" s="89"/>
      <c r="AL759" s="89"/>
      <c r="AM759" s="89"/>
      <c r="AN759" s="89"/>
    </row>
    <row r="760" spans="3:40" ht="25" thickBot="1" x14ac:dyDescent="0.25">
      <c r="C760" s="168"/>
      <c r="D760" s="550">
        <v>45335</v>
      </c>
      <c r="E760" s="99">
        <v>-1E-3</v>
      </c>
      <c r="F760" s="99" t="s">
        <v>460</v>
      </c>
      <c r="G760" s="99">
        <v>-8.0000000000000002E-3</v>
      </c>
      <c r="H760" s="224">
        <v>0.99305555555555558</v>
      </c>
      <c r="I760" s="1031"/>
      <c r="J760" s="966"/>
      <c r="K760" s="1032"/>
      <c r="L760" s="574">
        <v>0.78472222222222221</v>
      </c>
      <c r="M760" s="522"/>
      <c r="N760" s="168"/>
      <c r="O760" s="89"/>
      <c r="P760" s="89"/>
      <c r="Q760" s="89"/>
      <c r="R760" s="89"/>
      <c r="S760" s="89"/>
      <c r="T760" s="89"/>
      <c r="U760" s="89"/>
      <c r="V760" s="89"/>
      <c r="W760" s="89"/>
      <c r="X760" s="89"/>
      <c r="Y760" s="89"/>
      <c r="Z760" s="89"/>
      <c r="AA760" s="89"/>
      <c r="AB760" s="89"/>
      <c r="AC760" s="89"/>
      <c r="AD760" s="89"/>
      <c r="AE760" s="89"/>
      <c r="AF760" s="89"/>
      <c r="AG760" s="89"/>
      <c r="AH760" s="89"/>
      <c r="AI760" s="89"/>
      <c r="AJ760" s="89"/>
      <c r="AK760" s="89"/>
      <c r="AL760" s="89"/>
      <c r="AM760" s="89"/>
      <c r="AN760" s="89"/>
    </row>
    <row r="761" spans="3:40" ht="49" thickBot="1" x14ac:dyDescent="0.25">
      <c r="C761" s="91">
        <v>9</v>
      </c>
      <c r="D761" s="552" t="s">
        <v>30</v>
      </c>
      <c r="E761" s="1052" t="s">
        <v>961</v>
      </c>
      <c r="F761" s="1053"/>
      <c r="G761" s="1054"/>
      <c r="H761" s="217" t="s">
        <v>790</v>
      </c>
      <c r="I761" s="1055" t="s">
        <v>633</v>
      </c>
      <c r="J761" s="1056"/>
      <c r="K761" s="1057"/>
      <c r="L761" s="570" t="s">
        <v>430</v>
      </c>
      <c r="M761" s="518" t="s">
        <v>431</v>
      </c>
      <c r="N761" s="168" t="s">
        <v>105</v>
      </c>
      <c r="O761" s="118" t="s">
        <v>800</v>
      </c>
      <c r="P761" s="118" t="s">
        <v>801</v>
      </c>
      <c r="Q761" s="118" t="s">
        <v>802</v>
      </c>
      <c r="R761" s="118" t="s">
        <v>803</v>
      </c>
      <c r="S761" s="118" t="s">
        <v>804</v>
      </c>
      <c r="T761" s="118" t="s">
        <v>805</v>
      </c>
      <c r="U761" s="118" t="s">
        <v>806</v>
      </c>
      <c r="V761" s="118" t="s">
        <v>807</v>
      </c>
      <c r="W761" s="118" t="s">
        <v>808</v>
      </c>
      <c r="X761" s="118" t="s">
        <v>809</v>
      </c>
      <c r="Y761" s="118" t="s">
        <v>75</v>
      </c>
      <c r="Z761" s="118" t="s">
        <v>75</v>
      </c>
      <c r="AA761" s="89"/>
      <c r="AB761" s="89"/>
      <c r="AC761" s="89"/>
      <c r="AD761" s="89"/>
      <c r="AE761" s="89"/>
      <c r="AF761" s="89"/>
      <c r="AG761" s="89"/>
      <c r="AH761" s="89"/>
      <c r="AI761" s="89"/>
      <c r="AJ761" s="89"/>
      <c r="AK761" s="89"/>
      <c r="AL761" s="89"/>
      <c r="AM761" s="89"/>
      <c r="AN761" s="89"/>
    </row>
    <row r="762" spans="3:40" ht="24" x14ac:dyDescent="0.2">
      <c r="C762" s="168"/>
      <c r="D762" s="544" t="s">
        <v>432</v>
      </c>
      <c r="E762" s="1024"/>
      <c r="F762" s="1025"/>
      <c r="G762" s="1026"/>
      <c r="H762" s="218" t="s">
        <v>947</v>
      </c>
      <c r="I762" s="1027" t="s">
        <v>962</v>
      </c>
      <c r="J762" s="962"/>
      <c r="K762" s="1028"/>
      <c r="L762" s="559"/>
      <c r="M762" s="519"/>
      <c r="N762" s="168"/>
      <c r="O762" s="119" t="s">
        <v>810</v>
      </c>
      <c r="P762" s="171">
        <v>0.1</v>
      </c>
      <c r="Q762" s="172">
        <v>3.2000000000000001E-2</v>
      </c>
      <c r="R762" s="173">
        <v>1.8000000000000682E-2</v>
      </c>
      <c r="S762" s="123">
        <v>0</v>
      </c>
      <c r="T762" s="119">
        <v>5.0499999999991357E-2</v>
      </c>
      <c r="U762" s="172">
        <v>-16.61</v>
      </c>
      <c r="V762" s="171">
        <v>60.5</v>
      </c>
      <c r="W762" s="174">
        <v>2</v>
      </c>
      <c r="X762" s="157"/>
      <c r="Y762" s="124"/>
      <c r="Z762" s="124"/>
      <c r="AA762" s="89"/>
      <c r="AB762" s="89"/>
      <c r="AC762" s="89"/>
      <c r="AD762" s="89"/>
      <c r="AE762" s="89"/>
      <c r="AF762" s="89"/>
      <c r="AG762" s="89"/>
      <c r="AH762" s="89"/>
      <c r="AI762" s="89"/>
      <c r="AJ762" s="89"/>
      <c r="AK762" s="89"/>
      <c r="AL762" s="89"/>
      <c r="AM762" s="89"/>
      <c r="AN762" s="89"/>
    </row>
    <row r="763" spans="3:40" ht="24" x14ac:dyDescent="0.2">
      <c r="C763" s="168"/>
      <c r="D763" s="546" t="s">
        <v>433</v>
      </c>
      <c r="E763" s="1033">
        <v>1E-3</v>
      </c>
      <c r="F763" s="1034"/>
      <c r="G763" s="1035"/>
      <c r="H763" s="218" t="s">
        <v>908</v>
      </c>
      <c r="I763" s="1029"/>
      <c r="J763" s="964"/>
      <c r="K763" s="1030"/>
      <c r="L763" s="559"/>
      <c r="M763" s="519"/>
      <c r="N763" s="168"/>
      <c r="O763" s="125"/>
      <c r="P763" s="125"/>
      <c r="Q763" s="125"/>
      <c r="R763" s="126"/>
      <c r="S763" s="127"/>
      <c r="T763" s="125"/>
      <c r="U763" s="125"/>
      <c r="V763" s="125"/>
      <c r="W763" s="125"/>
      <c r="X763" s="127"/>
      <c r="Y763" s="128"/>
      <c r="Z763" s="128"/>
      <c r="AA763" s="89"/>
      <c r="AB763" s="89"/>
      <c r="AC763" s="89"/>
      <c r="AD763" s="89"/>
      <c r="AE763" s="89"/>
      <c r="AF763" s="89"/>
      <c r="AG763" s="89"/>
      <c r="AH763" s="89"/>
      <c r="AI763" s="89"/>
      <c r="AJ763" s="89"/>
      <c r="AK763" s="89"/>
      <c r="AL763" s="89"/>
      <c r="AM763" s="89"/>
      <c r="AN763" s="89"/>
    </row>
    <row r="764" spans="3:40" ht="24" x14ac:dyDescent="0.2">
      <c r="C764" s="168"/>
      <c r="D764" s="546" t="s">
        <v>434</v>
      </c>
      <c r="E764" s="1033">
        <v>7.0000000000000001E-3</v>
      </c>
      <c r="F764" s="1034"/>
      <c r="G764" s="1035"/>
      <c r="H764" s="219"/>
      <c r="I764" s="1029"/>
      <c r="J764" s="964"/>
      <c r="K764" s="1030"/>
      <c r="L764" s="559"/>
      <c r="M764" s="519"/>
      <c r="N764" s="168"/>
      <c r="O764" s="129" t="s">
        <v>811</v>
      </c>
      <c r="P764" s="176">
        <v>0.1</v>
      </c>
      <c r="Q764" s="177">
        <v>0.1182</v>
      </c>
      <c r="R764" s="178">
        <v>1.7999999999999999E-2</v>
      </c>
      <c r="S764" s="190">
        <v>1</v>
      </c>
      <c r="T764" s="129">
        <v>0.1953</v>
      </c>
      <c r="U764" s="134">
        <v>-64.236297029713967</v>
      </c>
      <c r="V764" s="135">
        <v>60.5</v>
      </c>
      <c r="W764" s="191">
        <v>1.93</v>
      </c>
      <c r="X764" s="137">
        <v>123.97605326734795</v>
      </c>
      <c r="Y764" s="138"/>
      <c r="Z764" s="138"/>
      <c r="AA764" s="89"/>
      <c r="AB764" s="89"/>
      <c r="AC764" s="89"/>
      <c r="AD764" s="89"/>
      <c r="AE764" s="89"/>
      <c r="AF764" s="89"/>
      <c r="AG764" s="89"/>
      <c r="AH764" s="89"/>
      <c r="AI764" s="89"/>
      <c r="AJ764" s="89"/>
      <c r="AK764" s="89"/>
      <c r="AL764" s="89"/>
      <c r="AM764" s="89"/>
      <c r="AN764" s="89"/>
    </row>
    <row r="765" spans="3:40" ht="25" thickBot="1" x14ac:dyDescent="0.25">
      <c r="C765" s="168"/>
      <c r="D765" s="547" t="s">
        <v>435</v>
      </c>
      <c r="E765" s="1039">
        <v>0.29166666666666674</v>
      </c>
      <c r="F765" s="1040"/>
      <c r="G765" s="1041"/>
      <c r="H765" s="219"/>
      <c r="I765" s="1029"/>
      <c r="J765" s="964"/>
      <c r="K765" s="1030"/>
      <c r="L765" s="560">
        <v>0.52083333333333337</v>
      </c>
      <c r="M765" s="520">
        <v>0.375</v>
      </c>
      <c r="N765" s="168"/>
      <c r="O765" s="139" t="s">
        <v>812</v>
      </c>
      <c r="P765" s="180">
        <v>0.1</v>
      </c>
      <c r="Q765" s="160">
        <v>0.12453333333333334</v>
      </c>
      <c r="R765" s="181">
        <v>1.7999999999999999E-2</v>
      </c>
      <c r="S765" s="192">
        <v>1</v>
      </c>
      <c r="T765" s="182">
        <v>0.20480000000000001</v>
      </c>
      <c r="U765" s="144">
        <v>-67.360950495061033</v>
      </c>
      <c r="V765" s="145">
        <v>60.5</v>
      </c>
      <c r="W765" s="193">
        <v>2.48</v>
      </c>
      <c r="X765" s="147">
        <v>167.05515722775135</v>
      </c>
      <c r="Y765" s="148"/>
      <c r="Z765" s="148"/>
      <c r="AA765" s="89"/>
      <c r="AB765" s="89"/>
      <c r="AC765" s="89"/>
      <c r="AD765" s="89"/>
      <c r="AE765" s="89"/>
      <c r="AF765" s="89"/>
      <c r="AG765" s="89"/>
      <c r="AH765" s="89"/>
      <c r="AI765" s="89"/>
      <c r="AJ765" s="89"/>
      <c r="AK765" s="89"/>
      <c r="AL765" s="89"/>
      <c r="AM765" s="89"/>
      <c r="AN765" s="89"/>
    </row>
    <row r="766" spans="3:40" ht="25" thickBot="1" x14ac:dyDescent="0.25">
      <c r="C766" s="168"/>
      <c r="D766" s="549" t="s">
        <v>436</v>
      </c>
      <c r="E766" s="93" t="s">
        <v>29</v>
      </c>
      <c r="F766" s="93" t="s">
        <v>28</v>
      </c>
      <c r="G766" s="94" t="s">
        <v>27</v>
      </c>
      <c r="H766" s="230" t="s">
        <v>793</v>
      </c>
      <c r="I766" s="1029"/>
      <c r="J766" s="964"/>
      <c r="K766" s="1030"/>
      <c r="L766" s="573" t="s">
        <v>1002</v>
      </c>
      <c r="M766" s="523"/>
      <c r="N766" s="168"/>
      <c r="O766" s="127"/>
      <c r="P766" s="149"/>
      <c r="Q766" s="127"/>
      <c r="R766" s="127"/>
      <c r="S766" s="194"/>
      <c r="T766" s="127"/>
      <c r="U766" s="150"/>
      <c r="V766" s="151"/>
      <c r="W766" s="195"/>
      <c r="X766" s="150"/>
      <c r="Y766" s="128"/>
      <c r="Z766" s="128"/>
      <c r="AA766" s="89"/>
      <c r="AB766" s="89"/>
      <c r="AC766" s="89"/>
      <c r="AD766" s="89"/>
      <c r="AE766" s="89"/>
      <c r="AF766" s="89"/>
      <c r="AG766" s="89"/>
      <c r="AH766" s="89"/>
      <c r="AI766" s="89"/>
      <c r="AJ766" s="89"/>
      <c r="AK766" s="89"/>
      <c r="AL766" s="89"/>
      <c r="AM766" s="89"/>
      <c r="AN766" s="89"/>
    </row>
    <row r="767" spans="3:40" ht="24" x14ac:dyDescent="0.2">
      <c r="C767" s="168"/>
      <c r="D767" s="550">
        <v>45565</v>
      </c>
      <c r="E767" s="99">
        <v>7.0000000000000001E-3</v>
      </c>
      <c r="F767" s="99" t="s">
        <v>459</v>
      </c>
      <c r="G767" s="99">
        <v>3.0000000000000001E-3</v>
      </c>
      <c r="H767" s="224">
        <v>0.25</v>
      </c>
      <c r="I767" s="1029"/>
      <c r="J767" s="964"/>
      <c r="K767" s="1030"/>
      <c r="L767" s="574">
        <v>4.1666666666666664E-2</v>
      </c>
      <c r="M767" s="524"/>
      <c r="N767" s="168"/>
      <c r="O767" s="152"/>
      <c r="P767" s="128"/>
      <c r="Q767" s="152"/>
      <c r="R767" s="152"/>
      <c r="S767" s="194"/>
      <c r="T767" s="152"/>
      <c r="U767" s="152"/>
      <c r="V767" s="152"/>
      <c r="W767" s="197"/>
      <c r="X767" s="152"/>
      <c r="Y767" s="128"/>
      <c r="Z767" s="128"/>
      <c r="AA767" s="89"/>
      <c r="AB767" s="89"/>
      <c r="AC767" s="89"/>
      <c r="AD767" s="89"/>
      <c r="AE767" s="89"/>
      <c r="AF767" s="89"/>
      <c r="AG767" s="89"/>
      <c r="AH767" s="89"/>
      <c r="AI767" s="89"/>
      <c r="AJ767" s="89"/>
      <c r="AK767" s="89"/>
      <c r="AL767" s="89"/>
      <c r="AM767" s="89"/>
      <c r="AN767" s="89"/>
    </row>
    <row r="768" spans="3:40" ht="24" x14ac:dyDescent="0.2">
      <c r="C768" s="168"/>
      <c r="D768" s="550">
        <v>45519</v>
      </c>
      <c r="E768" s="99">
        <v>8.9999999999999993E-3</v>
      </c>
      <c r="F768" s="99" t="s">
        <v>459</v>
      </c>
      <c r="G768" s="99">
        <v>3.0000000000000001E-3</v>
      </c>
      <c r="H768" s="224">
        <v>0.25</v>
      </c>
      <c r="I768" s="1029"/>
      <c r="J768" s="964"/>
      <c r="K768" s="1030"/>
      <c r="L768" s="574">
        <v>4.1666666666666664E-2</v>
      </c>
      <c r="M768" s="525"/>
      <c r="N768" s="168"/>
      <c r="O768" s="119" t="s">
        <v>813</v>
      </c>
      <c r="P768" s="202">
        <v>-0.1</v>
      </c>
      <c r="Q768" s="153">
        <v>0.05</v>
      </c>
      <c r="R768" s="154">
        <v>1.7999999999999999E-2</v>
      </c>
      <c r="S768" s="198">
        <v>-1</v>
      </c>
      <c r="T768" s="129">
        <v>9.3000000000000013E-2</v>
      </c>
      <c r="U768" s="155">
        <v>-30.588712871292365</v>
      </c>
      <c r="V768" s="156">
        <v>60.5</v>
      </c>
      <c r="W768" s="200">
        <v>1.5</v>
      </c>
      <c r="X768" s="157">
        <v>45.883069306938552</v>
      </c>
      <c r="Y768" s="158" t="s">
        <v>814</v>
      </c>
      <c r="Z768" s="158"/>
      <c r="AA768" s="89"/>
      <c r="AB768" s="89"/>
      <c r="AC768" s="89"/>
      <c r="AD768" s="89"/>
      <c r="AE768" s="89"/>
      <c r="AF768" s="89"/>
      <c r="AG768" s="89"/>
      <c r="AH768" s="89"/>
      <c r="AI768" s="89"/>
      <c r="AJ768" s="89"/>
      <c r="AK768" s="89"/>
      <c r="AL768" s="89"/>
      <c r="AM768" s="89"/>
      <c r="AN768" s="89"/>
    </row>
    <row r="769" spans="3:40" ht="24" x14ac:dyDescent="0.2">
      <c r="C769" s="168"/>
      <c r="D769" s="550">
        <v>45471</v>
      </c>
      <c r="E769" s="99">
        <v>3.0000000000000001E-3</v>
      </c>
      <c r="F769" s="99" t="s">
        <v>460</v>
      </c>
      <c r="G769" s="99">
        <v>-2E-3</v>
      </c>
      <c r="H769" s="224">
        <v>0.25</v>
      </c>
      <c r="I769" s="1029"/>
      <c r="J769" s="964"/>
      <c r="K769" s="1030"/>
      <c r="L769" s="574">
        <v>4.1666666666666664E-2</v>
      </c>
      <c r="M769" s="519"/>
      <c r="N769" s="168"/>
      <c r="O769" s="119"/>
      <c r="P769" s="120"/>
      <c r="Q769" s="153"/>
      <c r="R769" s="154"/>
      <c r="S769" s="123"/>
      <c r="T769" s="120"/>
      <c r="U769" s="155"/>
      <c r="V769" s="156"/>
      <c r="W769" s="123"/>
      <c r="X769" s="157"/>
      <c r="Y769" s="158"/>
      <c r="Z769" s="158"/>
      <c r="AA769" s="89"/>
      <c r="AB769" s="89"/>
      <c r="AC769" s="89"/>
      <c r="AD769" s="89"/>
      <c r="AE769" s="89"/>
      <c r="AF769" s="89"/>
      <c r="AG769" s="89"/>
      <c r="AH769" s="89"/>
      <c r="AI769" s="89"/>
      <c r="AJ769" s="89"/>
      <c r="AK769" s="89"/>
      <c r="AL769" s="89"/>
      <c r="AM769" s="89"/>
      <c r="AN769" s="89"/>
    </row>
    <row r="770" spans="3:40" ht="24" x14ac:dyDescent="0.2">
      <c r="C770" s="168"/>
      <c r="D770" s="550">
        <v>45422</v>
      </c>
      <c r="E770" s="99">
        <v>2E-3</v>
      </c>
      <c r="F770" s="99" t="s">
        <v>458</v>
      </c>
      <c r="G770" s="99">
        <v>-2E-3</v>
      </c>
      <c r="H770" s="224">
        <v>0.25</v>
      </c>
      <c r="I770" s="1029"/>
      <c r="J770" s="964"/>
      <c r="K770" s="1030"/>
      <c r="L770" s="574">
        <v>4.1666666666666664E-2</v>
      </c>
      <c r="M770" s="519"/>
      <c r="N770" s="168"/>
      <c r="O770" s="119"/>
      <c r="P770" s="120"/>
      <c r="Q770" s="153"/>
      <c r="R770" s="154"/>
      <c r="S770" s="123"/>
      <c r="T770" s="120"/>
      <c r="U770" s="155"/>
      <c r="V770" s="156"/>
      <c r="W770" s="123"/>
      <c r="X770" s="157"/>
      <c r="Y770" s="158"/>
      <c r="Z770" s="158"/>
      <c r="AA770" s="89"/>
      <c r="AB770" s="89"/>
      <c r="AC770" s="89"/>
      <c r="AD770" s="89"/>
      <c r="AE770" s="89"/>
      <c r="AF770" s="89"/>
      <c r="AG770" s="89"/>
      <c r="AH770" s="89"/>
      <c r="AI770" s="89"/>
      <c r="AJ770" s="89"/>
      <c r="AK770" s="89"/>
      <c r="AL770" s="89"/>
      <c r="AM770" s="89"/>
      <c r="AN770" s="89"/>
    </row>
    <row r="771" spans="3:40" ht="24" x14ac:dyDescent="0.2">
      <c r="C771" s="168"/>
      <c r="D771" s="550">
        <v>45379</v>
      </c>
      <c r="E771" s="99">
        <v>-2E-3</v>
      </c>
      <c r="F771" s="99" t="s">
        <v>461</v>
      </c>
      <c r="G771" s="99">
        <v>3.0000000000000001E-3</v>
      </c>
      <c r="H771" s="224">
        <v>0.29166666666666669</v>
      </c>
      <c r="I771" s="1029"/>
      <c r="J771" s="964"/>
      <c r="K771" s="1030"/>
      <c r="L771" s="574">
        <v>8.3333333333333329E-2</v>
      </c>
      <c r="M771" s="519"/>
      <c r="N771" s="168"/>
      <c r="O771" s="89"/>
      <c r="P771" s="89"/>
      <c r="Q771" s="89"/>
      <c r="R771" s="89"/>
      <c r="S771" s="89"/>
      <c r="T771" s="89"/>
      <c r="U771" s="89"/>
      <c r="V771" s="89"/>
      <c r="W771" s="89"/>
      <c r="X771" s="89"/>
      <c r="Y771" s="89"/>
      <c r="Z771" s="89"/>
      <c r="AA771" s="89"/>
      <c r="AB771" s="89"/>
      <c r="AC771" s="89"/>
      <c r="AD771" s="89"/>
      <c r="AE771" s="89"/>
      <c r="AF771" s="89"/>
      <c r="AG771" s="89"/>
      <c r="AH771" s="89"/>
      <c r="AI771" s="89"/>
      <c r="AJ771" s="89"/>
      <c r="AK771" s="89"/>
      <c r="AL771" s="89"/>
      <c r="AM771" s="89"/>
      <c r="AN771" s="89"/>
    </row>
    <row r="772" spans="3:40" ht="25" thickBot="1" x14ac:dyDescent="0.25">
      <c r="C772" s="168"/>
      <c r="D772" s="550">
        <v>45337</v>
      </c>
      <c r="E772" s="99">
        <v>-2E-3</v>
      </c>
      <c r="F772" s="99" t="s">
        <v>462</v>
      </c>
      <c r="G772" s="99">
        <v>2E-3</v>
      </c>
      <c r="H772" s="224">
        <v>0.29166666666666669</v>
      </c>
      <c r="I772" s="1031"/>
      <c r="J772" s="966"/>
      <c r="K772" s="1032"/>
      <c r="L772" s="574">
        <v>8.3333333333333329E-2</v>
      </c>
      <c r="M772" s="522"/>
      <c r="N772" s="168"/>
      <c r="O772" s="89"/>
      <c r="P772" s="89"/>
      <c r="Q772" s="89"/>
      <c r="R772" s="89"/>
      <c r="S772" s="89"/>
      <c r="T772" s="89"/>
      <c r="U772" s="89"/>
      <c r="V772" s="89"/>
      <c r="W772" s="89"/>
      <c r="X772" s="89"/>
      <c r="Y772" s="89"/>
      <c r="Z772" s="89"/>
      <c r="AA772" s="89"/>
      <c r="AB772" s="89"/>
      <c r="AC772" s="89"/>
      <c r="AD772" s="89"/>
      <c r="AE772" s="89"/>
      <c r="AF772" s="89"/>
      <c r="AG772" s="89"/>
      <c r="AH772" s="89"/>
      <c r="AI772" s="89"/>
      <c r="AJ772" s="89"/>
      <c r="AK772" s="89"/>
      <c r="AL772" s="89"/>
      <c r="AM772" s="89"/>
      <c r="AN772" s="89"/>
    </row>
    <row r="773" spans="3:40" ht="49" thickBot="1" x14ac:dyDescent="0.25">
      <c r="C773" s="91">
        <v>10</v>
      </c>
      <c r="D773" s="552" t="s">
        <v>30</v>
      </c>
      <c r="E773" s="1052" t="s">
        <v>963</v>
      </c>
      <c r="F773" s="1053"/>
      <c r="G773" s="1054"/>
      <c r="H773" s="217" t="s">
        <v>790</v>
      </c>
      <c r="I773" s="1055" t="s">
        <v>633</v>
      </c>
      <c r="J773" s="1056"/>
      <c r="K773" s="1057"/>
      <c r="L773" s="570" t="s">
        <v>430</v>
      </c>
      <c r="M773" s="518" t="s">
        <v>431</v>
      </c>
      <c r="N773" s="168" t="s">
        <v>105</v>
      </c>
      <c r="O773" s="118" t="s">
        <v>800</v>
      </c>
      <c r="P773" s="118" t="s">
        <v>801</v>
      </c>
      <c r="Q773" s="118" t="s">
        <v>802</v>
      </c>
      <c r="R773" s="118" t="s">
        <v>803</v>
      </c>
      <c r="S773" s="118" t="s">
        <v>804</v>
      </c>
      <c r="T773" s="118" t="s">
        <v>805</v>
      </c>
      <c r="U773" s="118" t="s">
        <v>806</v>
      </c>
      <c r="V773" s="118" t="s">
        <v>807</v>
      </c>
      <c r="W773" s="118" t="s">
        <v>808</v>
      </c>
      <c r="X773" s="118" t="s">
        <v>809</v>
      </c>
      <c r="Y773" s="118" t="s">
        <v>75</v>
      </c>
      <c r="Z773" s="118" t="s">
        <v>75</v>
      </c>
      <c r="AA773" s="89"/>
      <c r="AB773" s="168" t="s">
        <v>105</v>
      </c>
      <c r="AC773" s="118" t="s">
        <v>800</v>
      </c>
      <c r="AD773" s="118" t="s">
        <v>801</v>
      </c>
      <c r="AE773" s="118" t="s">
        <v>802</v>
      </c>
      <c r="AF773" s="118" t="s">
        <v>803</v>
      </c>
      <c r="AG773" s="118" t="s">
        <v>804</v>
      </c>
      <c r="AH773" s="118" t="s">
        <v>805</v>
      </c>
      <c r="AI773" s="118" t="s">
        <v>806</v>
      </c>
      <c r="AJ773" s="118" t="s">
        <v>807</v>
      </c>
      <c r="AK773" s="118" t="s">
        <v>808</v>
      </c>
      <c r="AL773" s="118" t="s">
        <v>809</v>
      </c>
      <c r="AM773" s="118" t="s">
        <v>75</v>
      </c>
      <c r="AN773" s="118" t="s">
        <v>75</v>
      </c>
    </row>
    <row r="774" spans="3:40" ht="24" x14ac:dyDescent="0.2">
      <c r="C774" s="168"/>
      <c r="D774" s="544" t="s">
        <v>432</v>
      </c>
      <c r="E774" s="1024"/>
      <c r="F774" s="1025"/>
      <c r="G774" s="1026"/>
      <c r="H774" s="218" t="s">
        <v>947</v>
      </c>
      <c r="I774" s="1027" t="s">
        <v>964</v>
      </c>
      <c r="J774" s="962"/>
      <c r="K774" s="1028"/>
      <c r="L774" s="559"/>
      <c r="M774" s="519"/>
      <c r="N774" s="168"/>
      <c r="O774" s="119" t="s">
        <v>810</v>
      </c>
      <c r="P774" s="171">
        <v>0.1</v>
      </c>
      <c r="Q774" s="172">
        <v>4.9000000000000002E-2</v>
      </c>
      <c r="R774" s="173">
        <v>1.5000000000014779E-2</v>
      </c>
      <c r="S774" s="123">
        <v>0</v>
      </c>
      <c r="T774" s="119">
        <v>6.0999999999991131E-2</v>
      </c>
      <c r="U774" s="172">
        <v>-21.14</v>
      </c>
      <c r="V774" s="171">
        <v>91.8</v>
      </c>
      <c r="W774" s="174">
        <v>2</v>
      </c>
      <c r="X774" s="157"/>
      <c r="Y774" s="124"/>
      <c r="Z774" s="124"/>
      <c r="AA774" s="89"/>
      <c r="AB774" s="168"/>
      <c r="AC774" s="119" t="s">
        <v>810</v>
      </c>
      <c r="AD774" s="171">
        <v>0</v>
      </c>
      <c r="AE774" s="172">
        <v>4.9000000000000002E-2</v>
      </c>
      <c r="AF774" s="173">
        <v>1.5000000000014779E-2</v>
      </c>
      <c r="AG774" s="123">
        <v>0</v>
      </c>
      <c r="AH774" s="123">
        <v>6.0999999999991131E-2</v>
      </c>
      <c r="AI774" s="172">
        <v>-21.14</v>
      </c>
      <c r="AJ774" s="171">
        <v>0</v>
      </c>
      <c r="AK774" s="174">
        <v>0</v>
      </c>
      <c r="AL774" s="157"/>
      <c r="AM774" s="124"/>
      <c r="AN774" s="124"/>
    </row>
    <row r="775" spans="3:40" ht="24" x14ac:dyDescent="0.2">
      <c r="C775" s="168"/>
      <c r="D775" s="546" t="s">
        <v>433</v>
      </c>
      <c r="E775" s="1033">
        <v>2E-3</v>
      </c>
      <c r="F775" s="1034"/>
      <c r="G775" s="1035"/>
      <c r="H775" s="218" t="s">
        <v>908</v>
      </c>
      <c r="I775" s="1029"/>
      <c r="J775" s="964"/>
      <c r="K775" s="1030"/>
      <c r="L775" s="559"/>
      <c r="M775" s="519"/>
      <c r="N775" s="168"/>
      <c r="O775" s="125"/>
      <c r="P775" s="125"/>
      <c r="Q775" s="125"/>
      <c r="R775" s="126"/>
      <c r="S775" s="127"/>
      <c r="T775" s="125"/>
      <c r="U775" s="125"/>
      <c r="V775" s="125"/>
      <c r="W775" s="125"/>
      <c r="X775" s="127"/>
      <c r="Y775" s="128"/>
      <c r="Z775" s="128"/>
      <c r="AA775" s="89"/>
      <c r="AB775" s="168"/>
      <c r="AC775" s="125"/>
      <c r="AD775" s="125"/>
      <c r="AE775" s="125"/>
      <c r="AF775" s="126"/>
      <c r="AG775" s="127"/>
      <c r="AH775" s="125"/>
      <c r="AI775" s="125"/>
      <c r="AJ775" s="125"/>
      <c r="AK775" s="125"/>
      <c r="AL775" s="127"/>
      <c r="AM775" s="128"/>
      <c r="AN775" s="128"/>
    </row>
    <row r="776" spans="3:40" ht="24" x14ac:dyDescent="0.2">
      <c r="C776" s="168"/>
      <c r="D776" s="546" t="s">
        <v>434</v>
      </c>
      <c r="E776" s="1033">
        <v>2E-3</v>
      </c>
      <c r="F776" s="1034"/>
      <c r="G776" s="1035"/>
      <c r="H776" s="219"/>
      <c r="I776" s="1029"/>
      <c r="J776" s="964"/>
      <c r="K776" s="1030"/>
      <c r="L776" s="559"/>
      <c r="M776" s="519"/>
      <c r="N776" s="168"/>
      <c r="O776" s="129" t="s">
        <v>811</v>
      </c>
      <c r="P776" s="176">
        <v>0.1</v>
      </c>
      <c r="Q776" s="177">
        <v>9.1399999999999995E-2</v>
      </c>
      <c r="R776" s="178">
        <v>0.02</v>
      </c>
      <c r="S776" s="190">
        <v>1</v>
      </c>
      <c r="T776" s="129">
        <v>0.15709999999999999</v>
      </c>
      <c r="U776" s="134">
        <v>-54.444163934434144</v>
      </c>
      <c r="V776" s="135">
        <v>60.5</v>
      </c>
      <c r="W776" s="191">
        <v>7.02</v>
      </c>
      <c r="X776" s="137">
        <v>382.19803081972765</v>
      </c>
      <c r="Y776" s="138"/>
      <c r="Z776" s="138"/>
      <c r="AA776" s="89"/>
      <c r="AB776" s="168"/>
      <c r="AC776" s="129" t="s">
        <v>811</v>
      </c>
      <c r="AD776" s="176">
        <v>0.1</v>
      </c>
      <c r="AE776" s="177">
        <v>9.1399999999999995E-2</v>
      </c>
      <c r="AF776" s="178">
        <v>0.02</v>
      </c>
      <c r="AG776" s="190">
        <v>1</v>
      </c>
      <c r="AH776" s="129">
        <v>0.15709999999999999</v>
      </c>
      <c r="AI776" s="134">
        <v>-54.444163934434144</v>
      </c>
      <c r="AJ776" s="135">
        <v>60.5</v>
      </c>
      <c r="AK776" s="191">
        <v>7.02</v>
      </c>
      <c r="AL776" s="137">
        <v>382.19803081972765</v>
      </c>
      <c r="AM776" s="138"/>
      <c r="AN776" s="138"/>
    </row>
    <row r="777" spans="3:40" ht="25" thickBot="1" x14ac:dyDescent="0.25">
      <c r="C777" s="168"/>
      <c r="D777" s="547" t="s">
        <v>435</v>
      </c>
      <c r="E777" s="1039">
        <v>0.29166666666666674</v>
      </c>
      <c r="F777" s="1040"/>
      <c r="G777" s="1041"/>
      <c r="H777" s="219"/>
      <c r="I777" s="1029"/>
      <c r="J777" s="964"/>
      <c r="K777" s="1030"/>
      <c r="L777" s="560">
        <v>0.52083333333333337</v>
      </c>
      <c r="M777" s="520">
        <v>0.375</v>
      </c>
      <c r="N777" s="168"/>
      <c r="O777" s="139" t="s">
        <v>812</v>
      </c>
      <c r="P777" s="180">
        <v>0.1</v>
      </c>
      <c r="Q777" s="160">
        <v>5.673333333333333E-2</v>
      </c>
      <c r="R777" s="181">
        <v>0.02</v>
      </c>
      <c r="S777" s="192">
        <v>1</v>
      </c>
      <c r="T777" s="182">
        <v>0.1051</v>
      </c>
      <c r="U777" s="144">
        <v>-36.423180327874149</v>
      </c>
      <c r="V777" s="145">
        <v>60.5</v>
      </c>
      <c r="W777" s="193">
        <v>2.31</v>
      </c>
      <c r="X777" s="147">
        <v>84.137546557389285</v>
      </c>
      <c r="Y777" s="148"/>
      <c r="Z777" s="148"/>
      <c r="AA777" s="89"/>
      <c r="AB777" s="168"/>
      <c r="AC777" s="139" t="s">
        <v>812</v>
      </c>
      <c r="AD777" s="180">
        <v>0.1</v>
      </c>
      <c r="AE777" s="160">
        <v>5.673333333333333E-2</v>
      </c>
      <c r="AF777" s="181">
        <v>0.02</v>
      </c>
      <c r="AG777" s="192">
        <v>1</v>
      </c>
      <c r="AH777" s="182">
        <v>0.1051</v>
      </c>
      <c r="AI777" s="144">
        <v>-36.423180327874149</v>
      </c>
      <c r="AJ777" s="145">
        <v>60.5</v>
      </c>
      <c r="AK777" s="193">
        <v>2.31</v>
      </c>
      <c r="AL777" s="147">
        <v>84.137546557389285</v>
      </c>
      <c r="AM777" s="148"/>
      <c r="AN777" s="148"/>
    </row>
    <row r="778" spans="3:40" ht="25" thickBot="1" x14ac:dyDescent="0.25">
      <c r="C778" s="168"/>
      <c r="D778" s="549" t="s">
        <v>436</v>
      </c>
      <c r="E778" s="93" t="s">
        <v>29</v>
      </c>
      <c r="F778" s="93" t="s">
        <v>28</v>
      </c>
      <c r="G778" s="94" t="s">
        <v>27</v>
      </c>
      <c r="H778" s="230" t="s">
        <v>793</v>
      </c>
      <c r="I778" s="1029"/>
      <c r="J778" s="964"/>
      <c r="K778" s="1030"/>
      <c r="L778" s="573" t="s">
        <v>1002</v>
      </c>
      <c r="M778" s="523"/>
      <c r="N778" s="168"/>
      <c r="O778" s="127"/>
      <c r="P778" s="149"/>
      <c r="Q778" s="127"/>
      <c r="R778" s="127"/>
      <c r="S778" s="194"/>
      <c r="T778" s="127"/>
      <c r="U778" s="150"/>
      <c r="V778" s="151"/>
      <c r="W778" s="195"/>
      <c r="X778" s="150"/>
      <c r="Y778" s="128"/>
      <c r="Z778" s="128"/>
      <c r="AA778" s="89"/>
      <c r="AB778" s="168"/>
      <c r="AC778" s="127"/>
      <c r="AD778" s="149"/>
      <c r="AE778" s="127"/>
      <c r="AF778" s="127"/>
      <c r="AG778" s="194"/>
      <c r="AH778" s="127"/>
      <c r="AI778" s="150"/>
      <c r="AJ778" s="151"/>
      <c r="AK778" s="195"/>
      <c r="AL778" s="150"/>
      <c r="AM778" s="128"/>
      <c r="AN778" s="128"/>
    </row>
    <row r="779" spans="3:40" ht="24" x14ac:dyDescent="0.2">
      <c r="C779" s="168"/>
      <c r="D779" s="550">
        <v>45565</v>
      </c>
      <c r="E779" s="99">
        <v>5.0000000000000001E-3</v>
      </c>
      <c r="F779" s="99" t="s">
        <v>449</v>
      </c>
      <c r="G779" s="99">
        <v>7.0000000000000001E-3</v>
      </c>
      <c r="H779" s="224">
        <v>0.25</v>
      </c>
      <c r="I779" s="1029"/>
      <c r="J779" s="964"/>
      <c r="K779" s="1030"/>
      <c r="L779" s="574">
        <v>4.1666666666666664E-2</v>
      </c>
      <c r="M779" s="524"/>
      <c r="N779" s="168"/>
      <c r="O779" s="152"/>
      <c r="P779" s="128"/>
      <c r="Q779" s="152"/>
      <c r="R779" s="152"/>
      <c r="S779" s="194"/>
      <c r="T779" s="152"/>
      <c r="U779" s="152"/>
      <c r="V779" s="152"/>
      <c r="W779" s="197"/>
      <c r="X779" s="152"/>
      <c r="Y779" s="128"/>
      <c r="Z779" s="128"/>
      <c r="AA779" s="89"/>
      <c r="AB779" s="168"/>
      <c r="AC779" s="152"/>
      <c r="AD779" s="128"/>
      <c r="AE779" s="152"/>
      <c r="AF779" s="152"/>
      <c r="AG779" s="194"/>
      <c r="AH779" s="152"/>
      <c r="AI779" s="152"/>
      <c r="AJ779" s="152"/>
      <c r="AK779" s="197"/>
      <c r="AL779" s="152"/>
      <c r="AM779" s="128"/>
      <c r="AN779" s="128"/>
    </row>
    <row r="780" spans="3:40" ht="24" x14ac:dyDescent="0.2">
      <c r="C780" s="168"/>
      <c r="D780" s="550">
        <v>45519</v>
      </c>
      <c r="E780" s="99">
        <v>6.0000000000000001E-3</v>
      </c>
      <c r="F780" s="99" t="s">
        <v>449</v>
      </c>
      <c r="G780" s="99">
        <v>7.0000000000000001E-3</v>
      </c>
      <c r="H780" s="224">
        <v>0.25</v>
      </c>
      <c r="I780" s="1029"/>
      <c r="J780" s="964"/>
      <c r="K780" s="1030"/>
      <c r="L780" s="574">
        <v>4.1666666666666664E-2</v>
      </c>
      <c r="M780" s="525"/>
      <c r="N780" s="168"/>
      <c r="O780" s="119" t="s">
        <v>813</v>
      </c>
      <c r="P780" s="202">
        <v>0.05</v>
      </c>
      <c r="Q780" s="153">
        <v>6.5711111111111109E-2</v>
      </c>
      <c r="R780" s="154">
        <v>0.02</v>
      </c>
      <c r="S780" s="198">
        <v>1.5</v>
      </c>
      <c r="T780" s="129">
        <v>0.11856666666666667</v>
      </c>
      <c r="U780" s="155">
        <v>-30.817614754102841</v>
      </c>
      <c r="V780" s="156">
        <v>30.25</v>
      </c>
      <c r="W780" s="200">
        <v>2</v>
      </c>
      <c r="X780" s="157">
        <v>61.635229508205683</v>
      </c>
      <c r="Y780" s="158"/>
      <c r="Z780" s="158"/>
      <c r="AA780" s="89"/>
      <c r="AB780" s="168"/>
      <c r="AC780" s="119" t="s">
        <v>813</v>
      </c>
      <c r="AD780" s="202">
        <v>0.05</v>
      </c>
      <c r="AE780" s="153">
        <v>6.5711111111111109E-2</v>
      </c>
      <c r="AF780" s="154">
        <v>0.02</v>
      </c>
      <c r="AG780" s="198">
        <v>1.5</v>
      </c>
      <c r="AH780" s="129">
        <v>0.11856666666666667</v>
      </c>
      <c r="AI780" s="155">
        <v>-30.817614754102841</v>
      </c>
      <c r="AJ780" s="156">
        <v>30.25</v>
      </c>
      <c r="AK780" s="200">
        <v>2</v>
      </c>
      <c r="AL780" s="157">
        <v>61.635229508205683</v>
      </c>
      <c r="AM780" s="234">
        <v>-3.0817614754102842E-3</v>
      </c>
      <c r="AN780" s="235" t="s">
        <v>1004</v>
      </c>
    </row>
    <row r="781" spans="3:40" ht="24" x14ac:dyDescent="0.2">
      <c r="C781" s="168"/>
      <c r="D781" s="550">
        <v>45471</v>
      </c>
      <c r="E781" s="99">
        <v>7.0000000000000001E-3</v>
      </c>
      <c r="F781" s="99" t="s">
        <v>449</v>
      </c>
      <c r="G781" s="99">
        <v>-3.0000000000000001E-3</v>
      </c>
      <c r="H781" s="224">
        <v>0.25</v>
      </c>
      <c r="I781" s="1029"/>
      <c r="J781" s="964"/>
      <c r="K781" s="1030"/>
      <c r="L781" s="574">
        <v>4.1666666666666664E-2</v>
      </c>
      <c r="M781" s="519"/>
      <c r="N781" s="168"/>
      <c r="O781" s="119"/>
      <c r="P781" s="202"/>
      <c r="Q781" s="153"/>
      <c r="R781" s="154"/>
      <c r="S781" s="198"/>
      <c r="T781" s="199"/>
      <c r="U781" s="155"/>
      <c r="V781" s="156"/>
      <c r="W781" s="200"/>
      <c r="X781" s="157"/>
      <c r="Y781" s="158"/>
      <c r="Z781" s="158"/>
      <c r="AA781" s="89"/>
      <c r="AB781" s="168"/>
      <c r="AC781" s="119"/>
      <c r="AD781" s="202"/>
      <c r="AE781" s="153"/>
      <c r="AF781" s="154"/>
      <c r="AG781" s="198"/>
      <c r="AH781" s="199"/>
      <c r="AI781" s="89"/>
      <c r="AJ781" s="156"/>
      <c r="AK781" s="200"/>
      <c r="AL781" s="157"/>
      <c r="AM781" s="158"/>
      <c r="AN781" s="158"/>
    </row>
    <row r="782" spans="3:40" ht="24" x14ac:dyDescent="0.2">
      <c r="C782" s="168"/>
      <c r="D782" s="550">
        <v>45422</v>
      </c>
      <c r="E782" s="99">
        <v>6.0000000000000001E-3</v>
      </c>
      <c r="F782" s="99" t="s">
        <v>452</v>
      </c>
      <c r="G782" s="99">
        <v>-3.0000000000000001E-3</v>
      </c>
      <c r="H782" s="224">
        <v>0.25</v>
      </c>
      <c r="I782" s="1029"/>
      <c r="J782" s="964"/>
      <c r="K782" s="1030"/>
      <c r="L782" s="574">
        <v>4.1666666666666664E-2</v>
      </c>
      <c r="M782" s="519"/>
      <c r="N782" s="168"/>
      <c r="O782" s="119"/>
      <c r="P782" s="120"/>
      <c r="Q782" s="153"/>
      <c r="R782" s="154"/>
      <c r="S782" s="123"/>
      <c r="T782" s="120"/>
      <c r="U782" s="155"/>
      <c r="V782" s="156"/>
      <c r="W782" s="123"/>
      <c r="X782" s="157"/>
      <c r="Y782" s="158"/>
      <c r="Z782" s="158"/>
      <c r="AA782" s="89"/>
      <c r="AB782" s="168"/>
      <c r="AC782" s="119"/>
      <c r="AD782" s="120"/>
      <c r="AE782" s="153"/>
      <c r="AF782" s="154"/>
      <c r="AG782" s="123"/>
      <c r="AH782" s="120"/>
      <c r="AI782" s="155"/>
      <c r="AJ782" s="156"/>
      <c r="AK782" s="123"/>
      <c r="AL782" s="157"/>
      <c r="AM782" s="158"/>
      <c r="AN782" s="158"/>
    </row>
    <row r="783" spans="3:40" ht="24" x14ac:dyDescent="0.2">
      <c r="C783" s="168"/>
      <c r="D783" s="550">
        <v>45379</v>
      </c>
      <c r="E783" s="99">
        <v>-3.0000000000000001E-3</v>
      </c>
      <c r="F783" s="99" t="s">
        <v>454</v>
      </c>
      <c r="G783" s="99">
        <v>-1E-3</v>
      </c>
      <c r="H783" s="224">
        <v>0.25</v>
      </c>
      <c r="I783" s="1029"/>
      <c r="J783" s="964"/>
      <c r="K783" s="1030"/>
      <c r="L783" s="574">
        <v>4.1666666666666664E-2</v>
      </c>
      <c r="M783" s="519"/>
      <c r="N783" s="168"/>
      <c r="O783" s="89"/>
      <c r="P783" s="89"/>
      <c r="Q783" s="89"/>
      <c r="R783" s="89"/>
      <c r="S783" s="89"/>
      <c r="T783" s="89"/>
      <c r="U783" s="89"/>
      <c r="V783" s="89"/>
      <c r="W783" s="89"/>
      <c r="X783" s="89"/>
      <c r="Y783" s="89"/>
      <c r="Z783" s="89"/>
      <c r="AA783" s="89"/>
      <c r="AB783" s="89"/>
      <c r="AC783" s="89"/>
      <c r="AD783" s="89"/>
      <c r="AE783" s="89"/>
      <c r="AF783" s="89"/>
      <c r="AG783" s="89"/>
      <c r="AH783" s="89"/>
      <c r="AI783" s="89"/>
      <c r="AJ783" s="89"/>
      <c r="AK783" s="89"/>
      <c r="AL783" s="89"/>
      <c r="AM783" s="89"/>
      <c r="AN783" s="89"/>
    </row>
    <row r="784" spans="3:40" ht="25" thickBot="1" x14ac:dyDescent="0.25">
      <c r="C784" s="168"/>
      <c r="D784" s="556">
        <v>45337</v>
      </c>
      <c r="E784" s="236">
        <v>-3.0000000000000001E-3</v>
      </c>
      <c r="F784" s="236" t="s">
        <v>456</v>
      </c>
      <c r="G784" s="236">
        <v>-1E-3</v>
      </c>
      <c r="H784" s="231">
        <v>0.25</v>
      </c>
      <c r="I784" s="1031"/>
      <c r="J784" s="966"/>
      <c r="K784" s="1032"/>
      <c r="L784" s="575">
        <v>4.1666666666666664E-2</v>
      </c>
      <c r="M784" s="522"/>
      <c r="N784" s="168"/>
      <c r="O784" s="89"/>
      <c r="P784" s="89"/>
      <c r="Q784" s="89"/>
      <c r="R784" s="89"/>
      <c r="S784" s="89"/>
      <c r="T784" s="89"/>
      <c r="U784" s="89"/>
      <c r="V784" s="89"/>
      <c r="W784" s="89"/>
      <c r="X784" s="89"/>
      <c r="Y784" s="89"/>
      <c r="Z784" s="89"/>
      <c r="AA784" s="89"/>
      <c r="AB784" s="89"/>
      <c r="AC784" s="89"/>
      <c r="AD784" s="89"/>
      <c r="AE784" s="89"/>
      <c r="AF784" s="89"/>
      <c r="AG784" s="89"/>
      <c r="AH784" s="89"/>
      <c r="AI784" s="89"/>
      <c r="AJ784" s="89"/>
      <c r="AK784" s="89"/>
      <c r="AL784" s="89"/>
      <c r="AM784" s="89"/>
      <c r="AN784" s="89"/>
    </row>
    <row r="785" spans="3:40" ht="49" thickBot="1" x14ac:dyDescent="0.25">
      <c r="C785" s="91">
        <v>11</v>
      </c>
      <c r="D785" s="552" t="s">
        <v>30</v>
      </c>
      <c r="E785" s="1052" t="s">
        <v>965</v>
      </c>
      <c r="F785" s="1053"/>
      <c r="G785" s="1054"/>
      <c r="H785" s="217" t="s">
        <v>790</v>
      </c>
      <c r="I785" s="1055" t="s">
        <v>633</v>
      </c>
      <c r="J785" s="1056"/>
      <c r="K785" s="1057"/>
      <c r="L785" s="570" t="s">
        <v>430</v>
      </c>
      <c r="M785" s="518" t="s">
        <v>431</v>
      </c>
      <c r="N785" s="168" t="s">
        <v>105</v>
      </c>
      <c r="O785" s="118" t="s">
        <v>800</v>
      </c>
      <c r="P785" s="118" t="s">
        <v>801</v>
      </c>
      <c r="Q785" s="118" t="s">
        <v>802</v>
      </c>
      <c r="R785" s="118" t="s">
        <v>803</v>
      </c>
      <c r="S785" s="118" t="s">
        <v>804</v>
      </c>
      <c r="T785" s="118" t="s">
        <v>805</v>
      </c>
      <c r="U785" s="118" t="s">
        <v>806</v>
      </c>
      <c r="V785" s="118" t="s">
        <v>807</v>
      </c>
      <c r="W785" s="118" t="s">
        <v>808</v>
      </c>
      <c r="X785" s="118" t="s">
        <v>809</v>
      </c>
      <c r="Y785" s="118" t="s">
        <v>75</v>
      </c>
      <c r="Z785" s="118" t="s">
        <v>75</v>
      </c>
      <c r="AA785" s="89"/>
      <c r="AB785" s="89"/>
      <c r="AC785" s="89"/>
      <c r="AD785" s="89"/>
      <c r="AE785" s="89"/>
      <c r="AF785" s="89"/>
      <c r="AG785" s="89"/>
      <c r="AH785" s="89"/>
      <c r="AI785" s="89"/>
      <c r="AJ785" s="89"/>
      <c r="AK785" s="89"/>
      <c r="AL785" s="89"/>
      <c r="AM785" s="89"/>
      <c r="AN785" s="89"/>
    </row>
    <row r="786" spans="3:40" ht="24" x14ac:dyDescent="0.2">
      <c r="C786" s="168"/>
      <c r="D786" s="544" t="s">
        <v>432</v>
      </c>
      <c r="E786" s="1024"/>
      <c r="F786" s="1025"/>
      <c r="G786" s="1026"/>
      <c r="H786" s="218" t="s">
        <v>947</v>
      </c>
      <c r="I786" s="1027" t="s">
        <v>966</v>
      </c>
      <c r="J786" s="962"/>
      <c r="K786" s="1028"/>
      <c r="L786" s="559"/>
      <c r="M786" s="519"/>
      <c r="N786" s="168"/>
      <c r="O786" s="119" t="s">
        <v>810</v>
      </c>
      <c r="P786" s="171">
        <v>0.1</v>
      </c>
      <c r="Q786" s="172">
        <v>1.9E-2</v>
      </c>
      <c r="R786" s="173">
        <v>1.8000000000000682E-2</v>
      </c>
      <c r="S786" s="123">
        <v>0</v>
      </c>
      <c r="T786" s="119">
        <v>5.6499999999991134E-2</v>
      </c>
      <c r="U786" s="172">
        <v>-10.78</v>
      </c>
      <c r="V786" s="171">
        <v>91.8</v>
      </c>
      <c r="W786" s="174">
        <v>2</v>
      </c>
      <c r="X786" s="157"/>
      <c r="Y786" s="124"/>
      <c r="Z786" s="124"/>
      <c r="AA786" s="89"/>
      <c r="AB786" s="89"/>
      <c r="AC786" s="89"/>
      <c r="AD786" s="89"/>
      <c r="AE786" s="89"/>
      <c r="AF786" s="89"/>
      <c r="AG786" s="89"/>
      <c r="AH786" s="89"/>
      <c r="AI786" s="89"/>
      <c r="AJ786" s="89"/>
      <c r="AK786" s="89"/>
      <c r="AL786" s="89"/>
      <c r="AM786" s="89"/>
      <c r="AN786" s="89"/>
    </row>
    <row r="787" spans="3:40" ht="24" x14ac:dyDescent="0.2">
      <c r="C787" s="168"/>
      <c r="D787" s="546" t="s">
        <v>433</v>
      </c>
      <c r="E787" s="1033">
        <v>2E-3</v>
      </c>
      <c r="F787" s="1034"/>
      <c r="G787" s="1035"/>
      <c r="H787" s="218" t="s">
        <v>908</v>
      </c>
      <c r="I787" s="1029"/>
      <c r="J787" s="964"/>
      <c r="K787" s="1030"/>
      <c r="L787" s="559"/>
      <c r="M787" s="519"/>
      <c r="N787" s="168"/>
      <c r="O787" s="125"/>
      <c r="P787" s="125"/>
      <c r="Q787" s="125"/>
      <c r="R787" s="126"/>
      <c r="S787" s="127"/>
      <c r="T787" s="125"/>
      <c r="U787" s="125"/>
      <c r="V787" s="125"/>
      <c r="W787" s="125"/>
      <c r="X787" s="127"/>
      <c r="Y787" s="128"/>
      <c r="Z787" s="128"/>
      <c r="AA787" s="89"/>
      <c r="AB787" s="89"/>
      <c r="AC787" s="89"/>
      <c r="AD787" s="89"/>
      <c r="AE787" s="89"/>
      <c r="AF787" s="89"/>
      <c r="AG787" s="89"/>
      <c r="AH787" s="89"/>
      <c r="AI787" s="89"/>
      <c r="AJ787" s="89"/>
      <c r="AK787" s="89"/>
      <c r="AL787" s="89"/>
      <c r="AM787" s="89"/>
      <c r="AN787" s="89"/>
    </row>
    <row r="788" spans="3:40" ht="24" x14ac:dyDescent="0.2">
      <c r="C788" s="168"/>
      <c r="D788" s="546" t="s">
        <v>434</v>
      </c>
      <c r="E788" s="1033">
        <v>5.0000000000000001E-3</v>
      </c>
      <c r="F788" s="1034"/>
      <c r="G788" s="1035"/>
      <c r="H788" s="219"/>
      <c r="I788" s="1029"/>
      <c r="J788" s="964"/>
      <c r="K788" s="1030"/>
      <c r="L788" s="559"/>
      <c r="M788" s="519"/>
      <c r="N788" s="168"/>
      <c r="O788" s="129" t="s">
        <v>811</v>
      </c>
      <c r="P788" s="176">
        <v>0.1</v>
      </c>
      <c r="Q788" s="177">
        <v>6.8099999999999994E-2</v>
      </c>
      <c r="R788" s="178">
        <v>1.8000000000000682E-2</v>
      </c>
      <c r="S788" s="190">
        <v>1</v>
      </c>
      <c r="T788" s="129">
        <v>0.12015000000000067</v>
      </c>
      <c r="U788" s="134">
        <v>-22.924194690269211</v>
      </c>
      <c r="V788" s="135">
        <v>60.5</v>
      </c>
      <c r="W788" s="191">
        <v>1.77</v>
      </c>
      <c r="X788" s="137">
        <v>40.575824601776503</v>
      </c>
      <c r="Y788" s="138"/>
      <c r="Z788" s="138"/>
      <c r="AA788" s="89"/>
      <c r="AB788" s="89"/>
      <c r="AC788" s="89"/>
      <c r="AD788" s="89"/>
      <c r="AE788" s="89"/>
      <c r="AF788" s="89"/>
      <c r="AG788" s="89"/>
      <c r="AH788" s="89"/>
      <c r="AI788" s="89"/>
      <c r="AJ788" s="89"/>
      <c r="AK788" s="89"/>
      <c r="AL788" s="89"/>
      <c r="AM788" s="89"/>
      <c r="AN788" s="89"/>
    </row>
    <row r="789" spans="3:40" ht="25" thickBot="1" x14ac:dyDescent="0.25">
      <c r="C789" s="168"/>
      <c r="D789" s="547" t="s">
        <v>435</v>
      </c>
      <c r="E789" s="1039">
        <v>0.29166666666666674</v>
      </c>
      <c r="F789" s="1040"/>
      <c r="G789" s="1041"/>
      <c r="H789" s="219"/>
      <c r="I789" s="1029"/>
      <c r="J789" s="964"/>
      <c r="K789" s="1030"/>
      <c r="L789" s="560">
        <v>0.52083333333333337</v>
      </c>
      <c r="M789" s="520">
        <v>0.375</v>
      </c>
      <c r="N789" s="168"/>
      <c r="O789" s="139" t="s">
        <v>812</v>
      </c>
      <c r="P789" s="180">
        <v>0.1</v>
      </c>
      <c r="Q789" s="160">
        <v>0.11893333333333332</v>
      </c>
      <c r="R789" s="181">
        <v>1.4E-2</v>
      </c>
      <c r="S789" s="192">
        <v>1</v>
      </c>
      <c r="T789" s="182">
        <v>0.19239999999999999</v>
      </c>
      <c r="U789" s="144">
        <v>-36.709238938058853</v>
      </c>
      <c r="V789" s="145">
        <v>60.5</v>
      </c>
      <c r="W789" s="193">
        <v>3.08</v>
      </c>
      <c r="X789" s="147">
        <v>113.06445592922127</v>
      </c>
      <c r="Y789" s="148"/>
      <c r="Z789" s="148"/>
      <c r="AA789" s="89"/>
      <c r="AB789" s="89"/>
      <c r="AC789" s="89"/>
      <c r="AD789" s="89"/>
      <c r="AE789" s="89"/>
      <c r="AF789" s="89"/>
      <c r="AG789" s="89"/>
      <c r="AH789" s="89"/>
      <c r="AI789" s="89"/>
      <c r="AJ789" s="89"/>
      <c r="AK789" s="89"/>
      <c r="AL789" s="89"/>
      <c r="AM789" s="89"/>
      <c r="AN789" s="89"/>
    </row>
    <row r="790" spans="3:40" ht="25" thickBot="1" x14ac:dyDescent="0.25">
      <c r="C790" s="168"/>
      <c r="D790" s="549" t="s">
        <v>436</v>
      </c>
      <c r="E790" s="93" t="s">
        <v>29</v>
      </c>
      <c r="F790" s="93" t="s">
        <v>28</v>
      </c>
      <c r="G790" s="94" t="s">
        <v>27</v>
      </c>
      <c r="H790" s="230" t="s">
        <v>793</v>
      </c>
      <c r="I790" s="1029"/>
      <c r="J790" s="964"/>
      <c r="K790" s="1030"/>
      <c r="L790" s="573"/>
      <c r="M790" s="523"/>
      <c r="N790" s="168"/>
      <c r="O790" s="127"/>
      <c r="P790" s="149"/>
      <c r="Q790" s="127"/>
      <c r="R790" s="127"/>
      <c r="S790" s="194"/>
      <c r="T790" s="127"/>
      <c r="U790" s="150"/>
      <c r="V790" s="151"/>
      <c r="W790" s="195"/>
      <c r="X790" s="150"/>
      <c r="Y790" s="128"/>
      <c r="Z790" s="128"/>
      <c r="AA790" s="89"/>
      <c r="AB790" s="89"/>
      <c r="AC790" s="89"/>
      <c r="AD790" s="89"/>
      <c r="AE790" s="89"/>
      <c r="AF790" s="89"/>
      <c r="AG790" s="89"/>
      <c r="AH790" s="89"/>
      <c r="AI790" s="89"/>
      <c r="AJ790" s="89"/>
      <c r="AK790" s="89"/>
      <c r="AL790" s="89"/>
      <c r="AM790" s="89"/>
      <c r="AN790" s="89"/>
    </row>
    <row r="791" spans="3:40" ht="24" x14ac:dyDescent="0.2">
      <c r="C791" s="168"/>
      <c r="D791" s="550">
        <v>45565</v>
      </c>
      <c r="E791" s="99">
        <v>5.0000000000000001E-3</v>
      </c>
      <c r="F791" s="99" t="s">
        <v>449</v>
      </c>
      <c r="G791" s="99">
        <v>7.0000000000000001E-3</v>
      </c>
      <c r="H791" s="224">
        <v>0.25</v>
      </c>
      <c r="I791" s="1029"/>
      <c r="J791" s="964"/>
      <c r="K791" s="1030"/>
      <c r="L791" s="574">
        <v>4.1666666666666664E-2</v>
      </c>
      <c r="M791" s="524"/>
      <c r="N791" s="168"/>
      <c r="O791" s="152"/>
      <c r="P791" s="128"/>
      <c r="Q791" s="152"/>
      <c r="R791" s="152"/>
      <c r="S791" s="194"/>
      <c r="T791" s="152"/>
      <c r="U791" s="152"/>
      <c r="V791" s="152"/>
      <c r="W791" s="197"/>
      <c r="X791" s="152"/>
      <c r="Y791" s="128"/>
      <c r="Z791" s="128"/>
      <c r="AA791" s="89"/>
      <c r="AB791" s="237">
        <v>8.3333333333333329E-2</v>
      </c>
      <c r="AC791" s="89"/>
      <c r="AD791" s="89"/>
      <c r="AE791" s="89"/>
      <c r="AF791" s="89"/>
      <c r="AG791" s="89"/>
      <c r="AH791" s="89"/>
      <c r="AI791" s="89"/>
      <c r="AJ791" s="89"/>
      <c r="AK791" s="89"/>
      <c r="AL791" s="89"/>
      <c r="AM791" s="89"/>
      <c r="AN791" s="89"/>
    </row>
    <row r="792" spans="3:40" ht="24" x14ac:dyDescent="0.2">
      <c r="C792" s="168"/>
      <c r="D792" s="550">
        <v>45519</v>
      </c>
      <c r="E792" s="99">
        <v>6.0000000000000001E-3</v>
      </c>
      <c r="F792" s="99" t="s">
        <v>449</v>
      </c>
      <c r="G792" s="99">
        <v>7.0000000000000001E-3</v>
      </c>
      <c r="H792" s="224">
        <v>0.25</v>
      </c>
      <c r="I792" s="1029"/>
      <c r="J792" s="964"/>
      <c r="K792" s="1030"/>
      <c r="L792" s="574">
        <v>4.1666666666666664E-2</v>
      </c>
      <c r="M792" s="525"/>
      <c r="N792" s="168"/>
      <c r="O792" s="119" t="s">
        <v>813</v>
      </c>
      <c r="P792" s="202">
        <v>0.1</v>
      </c>
      <c r="Q792" s="153">
        <v>0.03</v>
      </c>
      <c r="R792" s="154">
        <v>1.4E-2</v>
      </c>
      <c r="S792" s="198">
        <v>1</v>
      </c>
      <c r="T792" s="199">
        <v>0.19239999999999999</v>
      </c>
      <c r="U792" s="155">
        <v>-36.709238938058853</v>
      </c>
      <c r="V792" s="156">
        <v>60.5</v>
      </c>
      <c r="W792" s="200">
        <v>3</v>
      </c>
      <c r="X792" s="157">
        <v>110.12771681417655</v>
      </c>
      <c r="Y792" s="158" t="s">
        <v>814</v>
      </c>
      <c r="Z792" s="158"/>
      <c r="AA792" s="89"/>
      <c r="AB792" s="237">
        <v>0.33333333333333331</v>
      </c>
      <c r="AC792" s="89"/>
      <c r="AD792" s="89"/>
      <c r="AE792" s="89"/>
      <c r="AF792" s="89"/>
      <c r="AG792" s="89"/>
      <c r="AH792" s="89"/>
      <c r="AI792" s="89"/>
      <c r="AJ792" s="89"/>
      <c r="AK792" s="89"/>
      <c r="AL792" s="89"/>
      <c r="AM792" s="89"/>
      <c r="AN792" s="89"/>
    </row>
    <row r="793" spans="3:40" ht="24" x14ac:dyDescent="0.2">
      <c r="C793" s="168"/>
      <c r="D793" s="550">
        <v>45471</v>
      </c>
      <c r="E793" s="99">
        <v>7.0000000000000001E-3</v>
      </c>
      <c r="F793" s="99" t="s">
        <v>449</v>
      </c>
      <c r="G793" s="99">
        <v>-3.0000000000000001E-3</v>
      </c>
      <c r="H793" s="224">
        <v>0.25</v>
      </c>
      <c r="I793" s="1029"/>
      <c r="J793" s="964"/>
      <c r="K793" s="1030"/>
      <c r="L793" s="574">
        <v>4.1666666666666664E-2</v>
      </c>
      <c r="M793" s="519"/>
      <c r="N793" s="168"/>
      <c r="O793" s="119" t="s">
        <v>813</v>
      </c>
      <c r="P793" s="202">
        <v>-0.1</v>
      </c>
      <c r="Q793" s="153">
        <v>0.03</v>
      </c>
      <c r="R793" s="154">
        <v>1.4E-2</v>
      </c>
      <c r="S793" s="198">
        <v>-1</v>
      </c>
      <c r="T793" s="199">
        <v>0.19239999999999999</v>
      </c>
      <c r="U793" s="155">
        <v>-36.709238938058853</v>
      </c>
      <c r="V793" s="156">
        <v>60.5</v>
      </c>
      <c r="W793" s="200">
        <v>3</v>
      </c>
      <c r="X793" s="157">
        <v>110.12771681417655</v>
      </c>
      <c r="Y793" s="158" t="s">
        <v>814</v>
      </c>
      <c r="Z793" s="158"/>
      <c r="AA793" s="89"/>
      <c r="AB793" s="237">
        <v>8.3333333333333329E-2</v>
      </c>
      <c r="AC793" s="89"/>
      <c r="AD793" s="89"/>
      <c r="AE793" s="89"/>
      <c r="AF793" s="89"/>
      <c r="AG793" s="89"/>
      <c r="AH793" s="89"/>
      <c r="AI793" s="89"/>
      <c r="AJ793" s="89"/>
      <c r="AK793" s="89"/>
      <c r="AL793" s="89"/>
      <c r="AM793" s="89"/>
      <c r="AN793" s="89"/>
    </row>
    <row r="794" spans="3:40" ht="24" x14ac:dyDescent="0.2">
      <c r="C794" s="168"/>
      <c r="D794" s="550">
        <v>45422</v>
      </c>
      <c r="E794" s="99">
        <v>6.0000000000000001E-3</v>
      </c>
      <c r="F794" s="99" t="s">
        <v>452</v>
      </c>
      <c r="G794" s="99">
        <v>-3.0000000000000001E-3</v>
      </c>
      <c r="H794" s="224">
        <v>0.25</v>
      </c>
      <c r="I794" s="1029"/>
      <c r="J794" s="964"/>
      <c r="K794" s="1030"/>
      <c r="L794" s="574">
        <v>4.1666666666666664E-2</v>
      </c>
      <c r="M794" s="519"/>
      <c r="N794" s="168"/>
      <c r="O794" s="119"/>
      <c r="P794" s="120"/>
      <c r="Q794" s="153"/>
      <c r="R794" s="154"/>
      <c r="S794" s="123"/>
      <c r="T794" s="120"/>
      <c r="U794" s="155"/>
      <c r="V794" s="156"/>
      <c r="W794" s="123"/>
      <c r="X794" s="157"/>
      <c r="Y794" s="158"/>
      <c r="Z794" s="158"/>
      <c r="AA794" s="89"/>
      <c r="AB794" s="237">
        <v>0.33333333333333331</v>
      </c>
      <c r="AC794" s="89"/>
      <c r="AD794" s="89"/>
      <c r="AE794" s="89"/>
      <c r="AF794" s="89"/>
      <c r="AG794" s="89"/>
      <c r="AH794" s="89"/>
      <c r="AI794" s="89"/>
      <c r="AJ794" s="89"/>
      <c r="AK794" s="89"/>
      <c r="AL794" s="89"/>
      <c r="AM794" s="89"/>
      <c r="AN794" s="89"/>
    </row>
    <row r="795" spans="3:40" ht="24" x14ac:dyDescent="0.2">
      <c r="C795" s="168"/>
      <c r="D795" s="550">
        <v>45379</v>
      </c>
      <c r="E795" s="99">
        <v>-3.0000000000000001E-3</v>
      </c>
      <c r="F795" s="99" t="s">
        <v>454</v>
      </c>
      <c r="G795" s="99">
        <v>-1E-3</v>
      </c>
      <c r="H795" s="224">
        <v>0.29166666666666669</v>
      </c>
      <c r="I795" s="1029"/>
      <c r="J795" s="964"/>
      <c r="K795" s="1030"/>
      <c r="L795" s="574">
        <v>8.3333333333333329E-2</v>
      </c>
      <c r="M795" s="519"/>
      <c r="N795" s="168"/>
      <c r="O795" s="89"/>
      <c r="P795" s="89"/>
      <c r="Q795" s="89"/>
      <c r="R795" s="89"/>
      <c r="S795" s="89"/>
      <c r="T795" s="89"/>
      <c r="U795" s="89"/>
      <c r="V795" s="89"/>
      <c r="W795" s="89"/>
      <c r="X795" s="89"/>
      <c r="Y795" s="89"/>
      <c r="Z795" s="89"/>
      <c r="AA795" s="89"/>
      <c r="AB795" s="237">
        <v>8.3333333333333329E-2</v>
      </c>
      <c r="AC795" s="89"/>
      <c r="AD795" s="89"/>
      <c r="AE795" s="89"/>
      <c r="AF795" s="89"/>
      <c r="AG795" s="89"/>
      <c r="AH795" s="89"/>
      <c r="AI795" s="89"/>
      <c r="AJ795" s="89"/>
      <c r="AK795" s="89"/>
      <c r="AL795" s="89"/>
      <c r="AM795" s="89"/>
      <c r="AN795" s="89"/>
    </row>
    <row r="796" spans="3:40" ht="25" thickBot="1" x14ac:dyDescent="0.25">
      <c r="C796" s="168"/>
      <c r="D796" s="556">
        <v>45337</v>
      </c>
      <c r="E796" s="236">
        <v>-3.0000000000000001E-3</v>
      </c>
      <c r="F796" s="236" t="s">
        <v>456</v>
      </c>
      <c r="G796" s="236">
        <v>-1E-3</v>
      </c>
      <c r="H796" s="231">
        <v>0.29166666666666669</v>
      </c>
      <c r="I796" s="1031"/>
      <c r="J796" s="966"/>
      <c r="K796" s="1032"/>
      <c r="L796" s="575">
        <v>8.3333333333333329E-2</v>
      </c>
      <c r="M796" s="522"/>
      <c r="N796" s="168"/>
      <c r="O796" s="89"/>
      <c r="P796" s="89"/>
      <c r="Q796" s="89"/>
      <c r="R796" s="89"/>
      <c r="S796" s="89"/>
      <c r="T796" s="89"/>
      <c r="U796" s="89"/>
      <c r="V796" s="89"/>
      <c r="W796" s="89"/>
      <c r="X796" s="89"/>
      <c r="Y796" s="89"/>
      <c r="Z796" s="89"/>
      <c r="AA796" s="89"/>
      <c r="AB796" s="237">
        <v>0.33333333333333331</v>
      </c>
      <c r="AC796" s="89"/>
      <c r="AD796" s="89"/>
      <c r="AE796" s="89"/>
      <c r="AF796" s="89"/>
      <c r="AG796" s="89"/>
      <c r="AH796" s="89"/>
      <c r="AI796" s="89"/>
      <c r="AJ796" s="89"/>
      <c r="AK796" s="89"/>
      <c r="AL796" s="89"/>
      <c r="AM796" s="89"/>
      <c r="AN796" s="89"/>
    </row>
    <row r="797" spans="3:40" ht="49" thickBot="1" x14ac:dyDescent="0.25">
      <c r="C797" s="91">
        <v>12</v>
      </c>
      <c r="D797" s="552" t="s">
        <v>30</v>
      </c>
      <c r="E797" s="1052" t="s">
        <v>967</v>
      </c>
      <c r="F797" s="1053"/>
      <c r="G797" s="1054"/>
      <c r="H797" s="217" t="s">
        <v>790</v>
      </c>
      <c r="I797" s="1055" t="s">
        <v>633</v>
      </c>
      <c r="J797" s="1056"/>
      <c r="K797" s="1057"/>
      <c r="L797" s="570" t="s">
        <v>430</v>
      </c>
      <c r="M797" s="518" t="s">
        <v>431</v>
      </c>
      <c r="N797" s="168" t="s">
        <v>105</v>
      </c>
      <c r="O797" s="118" t="s">
        <v>800</v>
      </c>
      <c r="P797" s="118" t="s">
        <v>801</v>
      </c>
      <c r="Q797" s="118" t="s">
        <v>802</v>
      </c>
      <c r="R797" s="118" t="s">
        <v>803</v>
      </c>
      <c r="S797" s="118" t="s">
        <v>804</v>
      </c>
      <c r="T797" s="118" t="s">
        <v>805</v>
      </c>
      <c r="U797" s="118" t="s">
        <v>806</v>
      </c>
      <c r="V797" s="118" t="s">
        <v>807</v>
      </c>
      <c r="W797" s="118" t="s">
        <v>808</v>
      </c>
      <c r="X797" s="118" t="s">
        <v>809</v>
      </c>
      <c r="Y797" s="118" t="s">
        <v>75</v>
      </c>
      <c r="Z797" s="118" t="s">
        <v>75</v>
      </c>
      <c r="AA797" s="89"/>
      <c r="AB797" s="89"/>
      <c r="AC797" s="89"/>
      <c r="AD797" s="89"/>
      <c r="AE797" s="89"/>
      <c r="AF797" s="89"/>
      <c r="AG797" s="89"/>
      <c r="AH797" s="89"/>
      <c r="AI797" s="89"/>
      <c r="AJ797" s="89"/>
      <c r="AK797" s="89"/>
      <c r="AL797" s="89"/>
      <c r="AM797" s="89"/>
      <c r="AN797" s="89"/>
    </row>
    <row r="798" spans="3:40" ht="24" x14ac:dyDescent="0.2">
      <c r="C798" s="168"/>
      <c r="D798" s="544" t="s">
        <v>432</v>
      </c>
      <c r="E798" s="1024"/>
      <c r="F798" s="1025"/>
      <c r="G798" s="1026"/>
      <c r="H798" s="218" t="s">
        <v>794</v>
      </c>
      <c r="I798" s="1027" t="s">
        <v>691</v>
      </c>
      <c r="J798" s="962"/>
      <c r="K798" s="1028"/>
      <c r="L798" s="559"/>
      <c r="M798" s="519"/>
      <c r="N798" s="168"/>
      <c r="O798" s="119" t="s">
        <v>810</v>
      </c>
      <c r="P798" s="120">
        <v>0.1</v>
      </c>
      <c r="Q798" s="121">
        <v>3.9E-2</v>
      </c>
      <c r="R798" s="122">
        <v>2.1000000000015007E-2</v>
      </c>
      <c r="S798" s="123"/>
      <c r="T798" s="119">
        <v>7.9500000000015003E-2</v>
      </c>
      <c r="U798" s="121">
        <v>-18.989999999999998</v>
      </c>
      <c r="V798" s="120">
        <v>91.8</v>
      </c>
      <c r="W798" s="123"/>
      <c r="X798" s="123"/>
      <c r="Y798" s="124"/>
      <c r="Z798" s="124"/>
      <c r="AA798" s="89"/>
      <c r="AB798" s="89"/>
      <c r="AC798" s="89"/>
      <c r="AD798" s="89"/>
      <c r="AE798" s="89"/>
      <c r="AF798" s="89"/>
      <c r="AG798" s="89"/>
      <c r="AH798" s="89"/>
      <c r="AI798" s="89"/>
      <c r="AJ798" s="89"/>
      <c r="AK798" s="89"/>
      <c r="AL798" s="89"/>
      <c r="AM798" s="89"/>
      <c r="AN798" s="89"/>
    </row>
    <row r="799" spans="3:40" ht="24" x14ac:dyDescent="0.2">
      <c r="C799" s="168"/>
      <c r="D799" s="546" t="s">
        <v>433</v>
      </c>
      <c r="E799" s="1033">
        <v>2E-3</v>
      </c>
      <c r="F799" s="1034"/>
      <c r="G799" s="1035"/>
      <c r="H799" s="218" t="s">
        <v>795</v>
      </c>
      <c r="I799" s="1029"/>
      <c r="J799" s="964"/>
      <c r="K799" s="1030"/>
      <c r="L799" s="559"/>
      <c r="M799" s="519"/>
      <c r="N799" s="168"/>
      <c r="O799" s="125"/>
      <c r="P799" s="125"/>
      <c r="Q799" s="125"/>
      <c r="R799" s="126"/>
      <c r="S799" s="127"/>
      <c r="T799" s="125"/>
      <c r="U799" s="125"/>
      <c r="V799" s="125"/>
      <c r="W799" s="127"/>
      <c r="X799" s="127"/>
      <c r="Y799" s="128"/>
      <c r="Z799" s="128"/>
      <c r="AA799" s="89"/>
      <c r="AB799" s="89"/>
      <c r="AC799" s="89"/>
      <c r="AD799" s="89"/>
      <c r="AE799" s="89"/>
      <c r="AF799" s="89"/>
      <c r="AG799" s="89"/>
      <c r="AH799" s="89"/>
      <c r="AI799" s="89"/>
      <c r="AJ799" s="89"/>
      <c r="AK799" s="89"/>
      <c r="AL799" s="89"/>
      <c r="AM799" s="89"/>
      <c r="AN799" s="89"/>
    </row>
    <row r="800" spans="3:40" ht="24" x14ac:dyDescent="0.2">
      <c r="C800" s="168"/>
      <c r="D800" s="546" t="s">
        <v>434</v>
      </c>
      <c r="E800" s="1033">
        <v>5.0000000000000001E-3</v>
      </c>
      <c r="F800" s="1034"/>
      <c r="G800" s="1035"/>
      <c r="H800" s="219"/>
      <c r="I800" s="1029"/>
      <c r="J800" s="964"/>
      <c r="K800" s="1030"/>
      <c r="L800" s="559"/>
      <c r="M800" s="519"/>
      <c r="N800" s="168"/>
      <c r="O800" s="129" t="s">
        <v>811</v>
      </c>
      <c r="P800" s="130">
        <v>0.1</v>
      </c>
      <c r="Q800" s="131">
        <v>7.22E-2</v>
      </c>
      <c r="R800" s="132">
        <v>1.4999999999999999E-2</v>
      </c>
      <c r="S800" s="133">
        <v>1</v>
      </c>
      <c r="T800" s="129">
        <v>0.12330000000000001</v>
      </c>
      <c r="U800" s="134">
        <v>-29.452415094334064</v>
      </c>
      <c r="V800" s="135">
        <v>60.5</v>
      </c>
      <c r="W800" s="136">
        <v>4.88</v>
      </c>
      <c r="X800" s="137">
        <v>143.72778566035024</v>
      </c>
      <c r="Y800" s="138"/>
      <c r="Z800" s="138">
        <v>4.4350000000000005</v>
      </c>
      <c r="AA800" s="89"/>
      <c r="AB800" s="89"/>
      <c r="AC800" s="89"/>
      <c r="AD800" s="89"/>
      <c r="AE800" s="89"/>
      <c r="AF800" s="89"/>
      <c r="AG800" s="89"/>
      <c r="AH800" s="89"/>
      <c r="AI800" s="89"/>
      <c r="AJ800" s="89"/>
      <c r="AK800" s="89"/>
      <c r="AL800" s="89"/>
      <c r="AM800" s="89"/>
      <c r="AN800" s="89"/>
    </row>
    <row r="801" spans="3:40" ht="25" thickBot="1" x14ac:dyDescent="0.25">
      <c r="C801" s="168"/>
      <c r="D801" s="547" t="s">
        <v>435</v>
      </c>
      <c r="E801" s="1039">
        <v>0.5625</v>
      </c>
      <c r="F801" s="1040"/>
      <c r="G801" s="1041"/>
      <c r="H801" s="219"/>
      <c r="I801" s="1029"/>
      <c r="J801" s="964"/>
      <c r="K801" s="1030"/>
      <c r="L801" s="560">
        <v>0.79166666666666663</v>
      </c>
      <c r="M801" s="520">
        <v>0.64583333333333326</v>
      </c>
      <c r="N801" s="168"/>
      <c r="O801" s="139" t="s">
        <v>812</v>
      </c>
      <c r="P801" s="140">
        <v>0.1</v>
      </c>
      <c r="Q801" s="141">
        <v>4.0533333333333338E-2</v>
      </c>
      <c r="R801" s="142">
        <v>1.4999999999999999E-2</v>
      </c>
      <c r="S801" s="143">
        <v>0.5</v>
      </c>
      <c r="T801" s="139">
        <v>7.5800000000000006E-2</v>
      </c>
      <c r="U801" s="144">
        <v>-9.0530943396209338</v>
      </c>
      <c r="V801" s="145">
        <v>60.5</v>
      </c>
      <c r="W801" s="146">
        <v>2.3650000000000002</v>
      </c>
      <c r="X801" s="147">
        <v>21.41056811320351</v>
      </c>
      <c r="Y801" s="148"/>
      <c r="Z801" s="148"/>
      <c r="AA801" s="89"/>
      <c r="AB801" s="89"/>
      <c r="AC801" s="89"/>
      <c r="AD801" s="89"/>
      <c r="AE801" s="89"/>
      <c r="AF801" s="89"/>
      <c r="AG801" s="89"/>
      <c r="AH801" s="89"/>
      <c r="AI801" s="89"/>
      <c r="AJ801" s="89"/>
      <c r="AK801" s="89"/>
      <c r="AL801" s="89"/>
      <c r="AM801" s="89"/>
      <c r="AN801" s="89"/>
    </row>
    <row r="802" spans="3:40" ht="25" thickBot="1" x14ac:dyDescent="0.25">
      <c r="C802" s="168"/>
      <c r="D802" s="549" t="s">
        <v>436</v>
      </c>
      <c r="E802" s="93" t="s">
        <v>29</v>
      </c>
      <c r="F802" s="93" t="s">
        <v>28</v>
      </c>
      <c r="G802" s="94" t="s">
        <v>27</v>
      </c>
      <c r="H802" s="230" t="s">
        <v>793</v>
      </c>
      <c r="I802" s="1029"/>
      <c r="J802" s="964"/>
      <c r="K802" s="1030"/>
      <c r="L802" s="573"/>
      <c r="M802" s="523"/>
      <c r="N802" s="168"/>
      <c r="O802" s="127"/>
      <c r="P802" s="149"/>
      <c r="Q802" s="127"/>
      <c r="R802" s="127"/>
      <c r="S802" s="127"/>
      <c r="T802" s="127"/>
      <c r="U802" s="150"/>
      <c r="V802" s="151"/>
      <c r="W802" s="127"/>
      <c r="X802" s="150"/>
      <c r="Y802" s="128"/>
      <c r="Z802" s="128"/>
      <c r="AA802" s="89"/>
      <c r="AB802" s="89"/>
      <c r="AC802" s="89"/>
      <c r="AD802" s="89"/>
      <c r="AE802" s="89"/>
      <c r="AF802" s="89"/>
      <c r="AG802" s="89"/>
      <c r="AH802" s="89"/>
      <c r="AI802" s="89"/>
      <c r="AJ802" s="89"/>
      <c r="AK802" s="89"/>
      <c r="AL802" s="89"/>
      <c r="AM802" s="89"/>
      <c r="AN802" s="89"/>
    </row>
    <row r="803" spans="3:40" ht="24" x14ac:dyDescent="0.2">
      <c r="C803" s="168"/>
      <c r="D803" s="550">
        <v>45582</v>
      </c>
      <c r="E803" s="99">
        <v>5.0000000000000001E-3</v>
      </c>
      <c r="F803" s="99" t="s">
        <v>462</v>
      </c>
      <c r="G803" s="99">
        <v>2E-3</v>
      </c>
      <c r="H803" s="224">
        <v>0.52083333333333337</v>
      </c>
      <c r="I803" s="1029"/>
      <c r="J803" s="964"/>
      <c r="K803" s="1030"/>
      <c r="L803" s="574">
        <v>0.3125</v>
      </c>
      <c r="M803" s="524"/>
      <c r="N803" s="168"/>
      <c r="O803" s="152"/>
      <c r="P803" s="128"/>
      <c r="Q803" s="152"/>
      <c r="R803" s="152"/>
      <c r="S803" s="152"/>
      <c r="T803" s="152"/>
      <c r="U803" s="152"/>
      <c r="V803" s="152"/>
      <c r="W803" s="152"/>
      <c r="X803" s="152"/>
      <c r="Y803" s="128"/>
      <c r="Z803" s="128"/>
      <c r="AA803" s="89"/>
      <c r="AB803" s="89"/>
      <c r="AC803" s="89"/>
      <c r="AD803" s="89"/>
      <c r="AE803" s="89"/>
      <c r="AF803" s="89"/>
      <c r="AG803" s="89"/>
      <c r="AH803" s="89"/>
      <c r="AI803" s="89"/>
      <c r="AJ803" s="89"/>
      <c r="AK803" s="89"/>
      <c r="AL803" s="89"/>
      <c r="AM803" s="89"/>
      <c r="AN803" s="89"/>
    </row>
    <row r="804" spans="3:40" ht="24" x14ac:dyDescent="0.2">
      <c r="C804" s="168"/>
      <c r="D804" s="550">
        <v>45552</v>
      </c>
      <c r="E804" s="99">
        <v>1E-3</v>
      </c>
      <c r="F804" s="99" t="s">
        <v>460</v>
      </c>
      <c r="G804" s="99">
        <v>4.0000000000000001E-3</v>
      </c>
      <c r="H804" s="224">
        <v>0.52083333333333337</v>
      </c>
      <c r="I804" s="1029"/>
      <c r="J804" s="964"/>
      <c r="K804" s="1030"/>
      <c r="L804" s="574">
        <v>0.3125</v>
      </c>
      <c r="M804" s="525"/>
      <c r="N804" s="168"/>
      <c r="O804" s="119" t="s">
        <v>813</v>
      </c>
      <c r="P804" s="120">
        <v>0.25</v>
      </c>
      <c r="Q804" s="153">
        <v>4.0533333333333338E-2</v>
      </c>
      <c r="R804" s="154">
        <v>1.4999999999999999E-2</v>
      </c>
      <c r="S804" s="123">
        <v>0.5</v>
      </c>
      <c r="T804" s="120">
        <v>7.5800000000000006E-2</v>
      </c>
      <c r="U804" s="155">
        <v>-22.632735849052334</v>
      </c>
      <c r="V804" s="156">
        <v>151.25</v>
      </c>
      <c r="W804" s="123">
        <v>2</v>
      </c>
      <c r="X804" s="157">
        <v>45.265471698104669</v>
      </c>
      <c r="Y804" s="158" t="s">
        <v>814</v>
      </c>
      <c r="Z804" s="158"/>
      <c r="AA804" s="89"/>
      <c r="AB804" s="89"/>
      <c r="AC804" s="89"/>
      <c r="AD804" s="89"/>
      <c r="AE804" s="89"/>
      <c r="AF804" s="89"/>
      <c r="AG804" s="89"/>
      <c r="AH804" s="89"/>
      <c r="AI804" s="89"/>
      <c r="AJ804" s="89"/>
      <c r="AK804" s="89"/>
      <c r="AL804" s="89"/>
      <c r="AM804" s="89"/>
      <c r="AN804" s="89"/>
    </row>
    <row r="805" spans="3:40" ht="24" x14ac:dyDescent="0.2">
      <c r="C805" s="168"/>
      <c r="D805" s="550">
        <v>45519</v>
      </c>
      <c r="E805" s="99">
        <v>4.0000000000000001E-3</v>
      </c>
      <c r="F805" s="99" t="s">
        <v>462</v>
      </c>
      <c r="G805" s="99">
        <v>5.0000000000000001E-3</v>
      </c>
      <c r="H805" s="224">
        <v>0.52083333333333337</v>
      </c>
      <c r="I805" s="1029"/>
      <c r="J805" s="964"/>
      <c r="K805" s="1030"/>
      <c r="L805" s="574">
        <v>0.3125</v>
      </c>
      <c r="M805" s="519"/>
      <c r="N805" s="168"/>
      <c r="O805" s="119" t="s">
        <v>813</v>
      </c>
      <c r="P805" s="120">
        <v>0.25</v>
      </c>
      <c r="Q805" s="153">
        <v>4.0533333333333338E-2</v>
      </c>
      <c r="R805" s="154">
        <v>1.4999999999999999E-2</v>
      </c>
      <c r="S805" s="123">
        <v>0.5</v>
      </c>
      <c r="T805" s="120">
        <v>7.5800000000000006E-2</v>
      </c>
      <c r="U805" s="155">
        <v>-22.009959016396646</v>
      </c>
      <c r="V805" s="156">
        <v>151.25</v>
      </c>
      <c r="W805" s="123">
        <v>2</v>
      </c>
      <c r="X805" s="157">
        <v>44.019918032793292</v>
      </c>
      <c r="Y805" s="158"/>
      <c r="Z805" s="158"/>
      <c r="AA805" s="89"/>
      <c r="AB805" s="89"/>
      <c r="AC805" s="89"/>
      <c r="AD805" s="89"/>
      <c r="AE805" s="89"/>
      <c r="AF805" s="89"/>
      <c r="AG805" s="89"/>
      <c r="AH805" s="89"/>
      <c r="AI805" s="89"/>
      <c r="AJ805" s="89"/>
      <c r="AK805" s="89"/>
      <c r="AL805" s="89"/>
      <c r="AM805" s="89"/>
      <c r="AN805" s="89"/>
    </row>
    <row r="806" spans="3:40" ht="24" x14ac:dyDescent="0.2">
      <c r="C806" s="168"/>
      <c r="D806" s="550">
        <v>45489</v>
      </c>
      <c r="E806" s="99">
        <v>4.0000000000000001E-3</v>
      </c>
      <c r="F806" s="99" t="s">
        <v>462</v>
      </c>
      <c r="G806" s="99">
        <v>1E-3</v>
      </c>
      <c r="H806" s="224">
        <v>0.52083333333333337</v>
      </c>
      <c r="I806" s="1029"/>
      <c r="J806" s="964"/>
      <c r="K806" s="1030"/>
      <c r="L806" s="574">
        <v>0.3125</v>
      </c>
      <c r="M806" s="519"/>
      <c r="N806" s="168"/>
      <c r="O806" s="119" t="s">
        <v>816</v>
      </c>
      <c r="P806" s="120"/>
      <c r="Q806" s="153"/>
      <c r="R806" s="154"/>
      <c r="S806" s="123"/>
      <c r="T806" s="120"/>
      <c r="U806" s="155">
        <v>-22.009959016396646</v>
      </c>
      <c r="V806" s="156"/>
      <c r="W806" s="123"/>
      <c r="X806" s="157">
        <v>44.019918032793292</v>
      </c>
      <c r="Y806" s="158"/>
      <c r="Z806" s="158"/>
      <c r="AA806" s="89"/>
      <c r="AB806" s="89"/>
      <c r="AC806" s="89"/>
      <c r="AD806" s="89"/>
      <c r="AE806" s="89"/>
      <c r="AF806" s="89"/>
      <c r="AG806" s="89"/>
      <c r="AH806" s="89"/>
      <c r="AI806" s="89"/>
      <c r="AJ806" s="89"/>
      <c r="AK806" s="89"/>
      <c r="AL806" s="89"/>
      <c r="AM806" s="89"/>
      <c r="AN806" s="89"/>
    </row>
    <row r="807" spans="3:40" ht="24" x14ac:dyDescent="0.2">
      <c r="C807" s="168"/>
      <c r="D807" s="550">
        <v>45461</v>
      </c>
      <c r="E807" s="99">
        <v>-1E-3</v>
      </c>
      <c r="F807" s="99" t="s">
        <v>460</v>
      </c>
      <c r="G807" s="99">
        <v>-1E-3</v>
      </c>
      <c r="H807" s="224">
        <v>0.52083333333333337</v>
      </c>
      <c r="I807" s="1029"/>
      <c r="J807" s="964"/>
      <c r="K807" s="1030"/>
      <c r="L807" s="574">
        <v>0.3125</v>
      </c>
      <c r="M807" s="519"/>
      <c r="N807" s="168"/>
      <c r="O807" s="89"/>
      <c r="P807" s="89"/>
      <c r="Q807" s="89"/>
      <c r="R807" s="89"/>
      <c r="S807" s="89"/>
      <c r="T807" s="89"/>
      <c r="U807" s="89"/>
      <c r="V807" s="89"/>
      <c r="W807" s="89"/>
      <c r="X807" s="89"/>
      <c r="Y807" s="89"/>
      <c r="Z807" s="89"/>
      <c r="AA807" s="89"/>
      <c r="AB807" s="89"/>
      <c r="AC807" s="89"/>
      <c r="AD807" s="89"/>
      <c r="AE807" s="89"/>
      <c r="AF807" s="89"/>
      <c r="AG807" s="89"/>
      <c r="AH807" s="89"/>
      <c r="AI807" s="89"/>
      <c r="AJ807" s="89"/>
      <c r="AK807" s="89"/>
      <c r="AL807" s="89"/>
      <c r="AM807" s="89"/>
      <c r="AN807" s="89"/>
    </row>
    <row r="808" spans="3:40" ht="25" thickBot="1" x14ac:dyDescent="0.25">
      <c r="C808" s="168"/>
      <c r="D808" s="556">
        <v>45427</v>
      </c>
      <c r="E808" s="236">
        <v>2E-3</v>
      </c>
      <c r="F808" s="236" t="s">
        <v>460</v>
      </c>
      <c r="G808" s="236">
        <v>8.9999999999999993E-3</v>
      </c>
      <c r="H808" s="231">
        <v>0.52083333333333337</v>
      </c>
      <c r="I808" s="1031"/>
      <c r="J808" s="966"/>
      <c r="K808" s="1032"/>
      <c r="L808" s="575">
        <v>0.3125</v>
      </c>
      <c r="M808" s="522"/>
      <c r="N808" s="168"/>
      <c r="O808" s="89"/>
      <c r="P808" s="89"/>
      <c r="Q808" s="89"/>
      <c r="R808" s="89"/>
      <c r="S808" s="89"/>
      <c r="T808" s="89"/>
      <c r="U808" s="89"/>
      <c r="V808" s="89"/>
      <c r="W808" s="89"/>
      <c r="X808" s="89"/>
      <c r="Y808" s="89"/>
      <c r="Z808" s="89"/>
      <c r="AA808" s="89"/>
      <c r="AB808" s="89"/>
      <c r="AC808" s="89"/>
      <c r="AD808" s="89"/>
      <c r="AE808" s="89"/>
      <c r="AF808" s="89"/>
      <c r="AG808" s="89"/>
      <c r="AH808" s="89"/>
      <c r="AI808" s="89"/>
      <c r="AJ808" s="89"/>
      <c r="AK808" s="89"/>
      <c r="AL808" s="89"/>
      <c r="AM808" s="89"/>
      <c r="AN808" s="89"/>
    </row>
    <row r="809" spans="3:40" ht="49" thickBot="1" x14ac:dyDescent="0.25">
      <c r="C809" s="91">
        <v>13</v>
      </c>
      <c r="D809" s="552" t="s">
        <v>30</v>
      </c>
      <c r="E809" s="1052" t="s">
        <v>968</v>
      </c>
      <c r="F809" s="1053"/>
      <c r="G809" s="1054"/>
      <c r="H809" s="217" t="s">
        <v>790</v>
      </c>
      <c r="I809" s="1055" t="s">
        <v>633</v>
      </c>
      <c r="J809" s="1056"/>
      <c r="K809" s="1057"/>
      <c r="L809" s="570" t="s">
        <v>430</v>
      </c>
      <c r="M809" s="518" t="s">
        <v>431</v>
      </c>
      <c r="N809" s="168" t="s">
        <v>105</v>
      </c>
      <c r="O809" s="118" t="s">
        <v>800</v>
      </c>
      <c r="P809" s="118" t="s">
        <v>801</v>
      </c>
      <c r="Q809" s="118" t="s">
        <v>802</v>
      </c>
      <c r="R809" s="118" t="s">
        <v>803</v>
      </c>
      <c r="S809" s="118" t="s">
        <v>804</v>
      </c>
      <c r="T809" s="118" t="s">
        <v>805</v>
      </c>
      <c r="U809" s="118" t="s">
        <v>806</v>
      </c>
      <c r="V809" s="118" t="s">
        <v>807</v>
      </c>
      <c r="W809" s="118" t="s">
        <v>808</v>
      </c>
      <c r="X809" s="118" t="s">
        <v>809</v>
      </c>
      <c r="Y809" s="118" t="s">
        <v>75</v>
      </c>
      <c r="Z809" s="118" t="s">
        <v>75</v>
      </c>
      <c r="AA809" s="89"/>
      <c r="AB809" s="89"/>
      <c r="AC809" s="89"/>
      <c r="AD809" s="89"/>
      <c r="AE809" s="89"/>
      <c r="AF809" s="89"/>
      <c r="AG809" s="89"/>
      <c r="AH809" s="89"/>
      <c r="AI809" s="89"/>
      <c r="AJ809" s="89"/>
      <c r="AK809" s="89"/>
      <c r="AL809" s="89"/>
      <c r="AM809" s="89"/>
      <c r="AN809" s="89"/>
    </row>
    <row r="810" spans="3:40" ht="24" x14ac:dyDescent="0.2">
      <c r="C810" s="168"/>
      <c r="D810" s="544" t="s">
        <v>432</v>
      </c>
      <c r="E810" s="1024"/>
      <c r="F810" s="1025"/>
      <c r="G810" s="1026"/>
      <c r="H810" s="218" t="s">
        <v>794</v>
      </c>
      <c r="I810" s="1027" t="s">
        <v>969</v>
      </c>
      <c r="J810" s="962"/>
      <c r="K810" s="1028"/>
      <c r="L810" s="559"/>
      <c r="M810" s="519"/>
      <c r="N810" s="168"/>
      <c r="O810" s="119" t="s">
        <v>810</v>
      </c>
      <c r="P810" s="171">
        <v>0.1</v>
      </c>
      <c r="Q810" s="172">
        <v>2.7E-2</v>
      </c>
      <c r="R810" s="173">
        <v>1.5999999999991132E-2</v>
      </c>
      <c r="S810" s="123"/>
      <c r="T810" s="119">
        <v>5.6499999999991134E-2</v>
      </c>
      <c r="U810" s="172">
        <v>-13.31</v>
      </c>
      <c r="V810" s="171">
        <v>91.8</v>
      </c>
      <c r="W810" s="174">
        <v>2</v>
      </c>
      <c r="X810" s="157">
        <v>26.62</v>
      </c>
      <c r="Y810" s="124"/>
      <c r="Z810" s="124"/>
      <c r="AA810" s="89"/>
      <c r="AB810" s="89"/>
      <c r="AC810" s="89"/>
      <c r="AD810" s="89"/>
      <c r="AE810" s="89"/>
      <c r="AF810" s="89"/>
      <c r="AG810" s="89"/>
      <c r="AH810" s="89"/>
      <c r="AI810" s="89"/>
      <c r="AJ810" s="89"/>
      <c r="AK810" s="89"/>
      <c r="AL810" s="89"/>
      <c r="AM810" s="89"/>
      <c r="AN810" s="89"/>
    </row>
    <row r="811" spans="3:40" ht="24" x14ac:dyDescent="0.2">
      <c r="C811" s="168"/>
      <c r="D811" s="546" t="s">
        <v>433</v>
      </c>
      <c r="E811" s="1033">
        <v>3.0000000000000001E-3</v>
      </c>
      <c r="F811" s="1034"/>
      <c r="G811" s="1035"/>
      <c r="H811" s="218" t="s">
        <v>795</v>
      </c>
      <c r="I811" s="1029"/>
      <c r="J811" s="964"/>
      <c r="K811" s="1030"/>
      <c r="L811" s="559"/>
      <c r="M811" s="519"/>
      <c r="N811" s="168"/>
      <c r="O811" s="125"/>
      <c r="P811" s="125"/>
      <c r="Q811" s="125"/>
      <c r="R811" s="126"/>
      <c r="S811" s="127"/>
      <c r="T811" s="125"/>
      <c r="U811" s="125"/>
      <c r="V811" s="125"/>
      <c r="W811" s="127"/>
      <c r="X811" s="127"/>
      <c r="Y811" s="128"/>
      <c r="Z811" s="128"/>
      <c r="AA811" s="89"/>
      <c r="AB811" s="89"/>
      <c r="AC811" s="89"/>
      <c r="AD811" s="89"/>
      <c r="AE811" s="89"/>
      <c r="AF811" s="89"/>
      <c r="AG811" s="89"/>
      <c r="AH811" s="89"/>
      <c r="AI811" s="89"/>
      <c r="AJ811" s="89"/>
      <c r="AK811" s="89"/>
      <c r="AL811" s="89"/>
      <c r="AM811" s="89"/>
      <c r="AN811" s="89"/>
    </row>
    <row r="812" spans="3:40" ht="24" x14ac:dyDescent="0.2">
      <c r="C812" s="168"/>
      <c r="D812" s="546" t="s">
        <v>434</v>
      </c>
      <c r="E812" s="1033">
        <v>4.0000000000000001E-3</v>
      </c>
      <c r="F812" s="1034"/>
      <c r="G812" s="1035"/>
      <c r="H812" s="219"/>
      <c r="I812" s="1029"/>
      <c r="J812" s="964"/>
      <c r="K812" s="1030"/>
      <c r="L812" s="559"/>
      <c r="M812" s="519"/>
      <c r="N812" s="168"/>
      <c r="O812" s="129" t="s">
        <v>811</v>
      </c>
      <c r="P812" s="176">
        <v>0.1</v>
      </c>
      <c r="Q812" s="177">
        <v>7.6399999999999996E-2</v>
      </c>
      <c r="R812" s="178">
        <v>1.7000000000000001E-2</v>
      </c>
      <c r="S812" s="133">
        <v>1</v>
      </c>
      <c r="T812" s="129">
        <v>0.13159999999999999</v>
      </c>
      <c r="U812" s="134">
        <v>-31.00169911504911</v>
      </c>
      <c r="V812" s="135">
        <v>60.5</v>
      </c>
      <c r="W812" s="238">
        <v>4.3600000000000003</v>
      </c>
      <c r="X812" s="137">
        <v>135.16740814161412</v>
      </c>
      <c r="Y812" s="138"/>
      <c r="Z812" s="138">
        <v>4.4350000000000005</v>
      </c>
      <c r="AA812" s="89"/>
      <c r="AB812" s="89"/>
      <c r="AC812" s="89"/>
      <c r="AD812" s="89"/>
      <c r="AE812" s="89"/>
      <c r="AF812" s="89"/>
      <c r="AG812" s="89"/>
      <c r="AH812" s="89"/>
      <c r="AI812" s="89"/>
      <c r="AJ812" s="89"/>
      <c r="AK812" s="89"/>
      <c r="AL812" s="89"/>
      <c r="AM812" s="89"/>
      <c r="AN812" s="89"/>
    </row>
    <row r="813" spans="3:40" ht="25" thickBot="1" x14ac:dyDescent="0.25">
      <c r="C813" s="168"/>
      <c r="D813" s="547" t="s">
        <v>435</v>
      </c>
      <c r="E813" s="1039">
        <v>0.5625</v>
      </c>
      <c r="F813" s="1040"/>
      <c r="G813" s="1041"/>
      <c r="H813" s="219"/>
      <c r="I813" s="1029"/>
      <c r="J813" s="964"/>
      <c r="K813" s="1030"/>
      <c r="L813" s="560">
        <v>0.79166666666666663</v>
      </c>
      <c r="M813" s="520">
        <v>0.64583333333333326</v>
      </c>
      <c r="N813" s="168"/>
      <c r="O813" s="139" t="s">
        <v>812</v>
      </c>
      <c r="P813" s="180">
        <v>0.1</v>
      </c>
      <c r="Q813" s="160">
        <v>6.6799999999999998E-2</v>
      </c>
      <c r="R813" s="181">
        <v>1.7000000000000001E-2</v>
      </c>
      <c r="S813" s="143">
        <v>1.5</v>
      </c>
      <c r="T813" s="182">
        <v>0.1172</v>
      </c>
      <c r="U813" s="144">
        <v>-41.414123893811812</v>
      </c>
      <c r="V813" s="145">
        <v>60.5</v>
      </c>
      <c r="W813" s="232">
        <v>5.9039999999999999</v>
      </c>
      <c r="X813" s="147">
        <v>244.50898746906495</v>
      </c>
      <c r="Y813" s="148"/>
      <c r="Z813" s="148"/>
      <c r="AA813" s="89"/>
      <c r="AB813" s="89"/>
      <c r="AC813" s="89"/>
      <c r="AD813" s="89"/>
      <c r="AE813" s="89"/>
      <c r="AF813" s="89"/>
      <c r="AG813" s="89"/>
      <c r="AH813" s="89"/>
      <c r="AI813" s="89"/>
      <c r="AJ813" s="89"/>
      <c r="AK813" s="89"/>
      <c r="AL813" s="89"/>
      <c r="AM813" s="89"/>
      <c r="AN813" s="89"/>
    </row>
    <row r="814" spans="3:40" ht="25" thickBot="1" x14ac:dyDescent="0.25">
      <c r="C814" s="168"/>
      <c r="D814" s="549" t="s">
        <v>436</v>
      </c>
      <c r="E814" s="93" t="s">
        <v>29</v>
      </c>
      <c r="F814" s="93" t="s">
        <v>28</v>
      </c>
      <c r="G814" s="94" t="s">
        <v>27</v>
      </c>
      <c r="H814" s="230" t="s">
        <v>793</v>
      </c>
      <c r="I814" s="1029"/>
      <c r="J814" s="964"/>
      <c r="K814" s="1030"/>
      <c r="L814" s="573"/>
      <c r="M814" s="523"/>
      <c r="N814" s="168"/>
      <c r="O814" s="127"/>
      <c r="P814" s="149"/>
      <c r="Q814" s="127"/>
      <c r="R814" s="127"/>
      <c r="S814" s="127"/>
      <c r="T814" s="127"/>
      <c r="U814" s="150"/>
      <c r="V814" s="151"/>
      <c r="W814" s="127"/>
      <c r="X814" s="150"/>
      <c r="Y814" s="128"/>
      <c r="Z814" s="128"/>
      <c r="AA814" s="89"/>
      <c r="AB814" s="89"/>
      <c r="AC814" s="89"/>
      <c r="AD814" s="89"/>
      <c r="AE814" s="89"/>
      <c r="AF814" s="89"/>
      <c r="AG814" s="89"/>
      <c r="AH814" s="89"/>
      <c r="AI814" s="89"/>
      <c r="AJ814" s="89"/>
      <c r="AK814" s="89"/>
      <c r="AL814" s="89"/>
      <c r="AM814" s="89"/>
      <c r="AN814" s="89"/>
    </row>
    <row r="815" spans="3:40" ht="24" x14ac:dyDescent="0.2">
      <c r="C815" s="168"/>
      <c r="D815" s="550">
        <v>45582</v>
      </c>
      <c r="E815" s="99">
        <v>4.0000000000000001E-3</v>
      </c>
      <c r="F815" s="99" t="s">
        <v>467</v>
      </c>
      <c r="G815" s="99">
        <v>1E-3</v>
      </c>
      <c r="H815" s="224">
        <v>0.52083333333333337</v>
      </c>
      <c r="I815" s="1029"/>
      <c r="J815" s="964"/>
      <c r="K815" s="1030"/>
      <c r="L815" s="574">
        <v>0.3125</v>
      </c>
      <c r="M815" s="524"/>
      <c r="N815" s="168"/>
      <c r="O815" s="152"/>
      <c r="P815" s="128"/>
      <c r="Q815" s="152"/>
      <c r="R815" s="152"/>
      <c r="S815" s="152"/>
      <c r="T815" s="152"/>
      <c r="U815" s="152"/>
      <c r="V815" s="152"/>
      <c r="W815" s="152"/>
      <c r="X815" s="152"/>
      <c r="Y815" s="128"/>
      <c r="Z815" s="128"/>
      <c r="AA815" s="89"/>
      <c r="AB815" s="89"/>
      <c r="AC815" s="89"/>
      <c r="AD815" s="89"/>
      <c r="AE815" s="89"/>
      <c r="AF815" s="89"/>
      <c r="AG815" s="89"/>
      <c r="AH815" s="89"/>
      <c r="AI815" s="89"/>
      <c r="AJ815" s="89"/>
      <c r="AK815" s="89"/>
      <c r="AL815" s="89"/>
      <c r="AM815" s="89"/>
      <c r="AN815" s="89"/>
    </row>
    <row r="816" spans="3:40" ht="24" x14ac:dyDescent="0.2">
      <c r="C816" s="168"/>
      <c r="D816" s="550">
        <v>45552</v>
      </c>
      <c r="E816" s="99">
        <v>1E-3</v>
      </c>
      <c r="F816" s="99" t="s">
        <v>461</v>
      </c>
      <c r="G816" s="99">
        <v>1.0999999999999999E-2</v>
      </c>
      <c r="H816" s="224">
        <v>0.52083333333333337</v>
      </c>
      <c r="I816" s="1029"/>
      <c r="J816" s="964"/>
      <c r="K816" s="1030"/>
      <c r="L816" s="574">
        <v>0.3125</v>
      </c>
      <c r="M816" s="525"/>
      <c r="N816" s="168"/>
      <c r="O816" s="119" t="s">
        <v>813</v>
      </c>
      <c r="P816" s="171">
        <v>0.06</v>
      </c>
      <c r="Q816" s="153">
        <v>7.1599999999999997E-2</v>
      </c>
      <c r="R816" s="154">
        <v>1.7000000000000001E-2</v>
      </c>
      <c r="S816" s="123">
        <v>2</v>
      </c>
      <c r="T816" s="129">
        <v>0.1244</v>
      </c>
      <c r="U816" s="155">
        <v>-35.166669026554196</v>
      </c>
      <c r="V816" s="156">
        <v>36.299999999999997</v>
      </c>
      <c r="W816" s="239">
        <v>4</v>
      </c>
      <c r="X816" s="157">
        <v>140.66667610621678</v>
      </c>
      <c r="Y816" s="158"/>
      <c r="Z816" s="158"/>
      <c r="AA816" s="89"/>
      <c r="AB816" s="89"/>
      <c r="AC816" s="89"/>
      <c r="AD816" s="89"/>
      <c r="AE816" s="89"/>
      <c r="AF816" s="89"/>
      <c r="AG816" s="89"/>
      <c r="AH816" s="89"/>
      <c r="AI816" s="89"/>
      <c r="AJ816" s="89"/>
      <c r="AK816" s="89"/>
      <c r="AL816" s="89"/>
      <c r="AM816" s="89"/>
      <c r="AN816" s="89"/>
    </row>
    <row r="817" spans="2:40" ht="24" x14ac:dyDescent="0.2">
      <c r="C817" s="168"/>
      <c r="D817" s="550">
        <v>45519</v>
      </c>
      <c r="E817" s="99">
        <v>0.01</v>
      </c>
      <c r="F817" s="99" t="s">
        <v>452</v>
      </c>
      <c r="G817" s="99">
        <v>-2E-3</v>
      </c>
      <c r="H817" s="224">
        <v>0.52083333333333337</v>
      </c>
      <c r="I817" s="1029"/>
      <c r="J817" s="964"/>
      <c r="K817" s="1030"/>
      <c r="L817" s="574">
        <v>0.3125</v>
      </c>
      <c r="M817" s="519"/>
      <c r="N817" s="168"/>
      <c r="O817" s="119" t="s">
        <v>813</v>
      </c>
      <c r="P817" s="171">
        <v>0.06</v>
      </c>
      <c r="Q817" s="153">
        <v>7.1599999999999997E-2</v>
      </c>
      <c r="R817" s="154">
        <v>1.7000000000000001E-2</v>
      </c>
      <c r="S817" s="123">
        <v>2</v>
      </c>
      <c r="T817" s="129">
        <v>0.1244</v>
      </c>
      <c r="U817" s="155">
        <v>-35.166669026554196</v>
      </c>
      <c r="V817" s="156">
        <v>36.299999999999997</v>
      </c>
      <c r="W817" s="239">
        <v>4</v>
      </c>
      <c r="X817" s="157">
        <v>140.66667610621678</v>
      </c>
      <c r="Y817" s="158"/>
      <c r="Z817" s="158"/>
      <c r="AA817" s="89"/>
      <c r="AB817" s="89"/>
      <c r="AC817" s="89"/>
      <c r="AD817" s="89"/>
      <c r="AE817" s="89"/>
      <c r="AF817" s="89"/>
      <c r="AG817" s="89"/>
      <c r="AH817" s="89"/>
      <c r="AI817" s="89"/>
      <c r="AJ817" s="89"/>
      <c r="AK817" s="89"/>
      <c r="AL817" s="89"/>
      <c r="AM817" s="89"/>
      <c r="AN817" s="89"/>
    </row>
    <row r="818" spans="2:40" ht="24" x14ac:dyDescent="0.2">
      <c r="C818" s="168"/>
      <c r="D818" s="550">
        <v>45489</v>
      </c>
      <c r="E818" s="99">
        <v>0</v>
      </c>
      <c r="F818" s="99" t="s">
        <v>454</v>
      </c>
      <c r="G818" s="99">
        <v>3.0000000000000001E-3</v>
      </c>
      <c r="H818" s="224">
        <v>0.52083333333333337</v>
      </c>
      <c r="I818" s="1029"/>
      <c r="J818" s="964"/>
      <c r="K818" s="1030"/>
      <c r="L818" s="574">
        <v>0.3125</v>
      </c>
      <c r="M818" s="519"/>
      <c r="N818" s="168"/>
      <c r="O818" s="119" t="s">
        <v>816</v>
      </c>
      <c r="P818" s="120"/>
      <c r="Q818" s="153"/>
      <c r="R818" s="154"/>
      <c r="S818" s="123"/>
      <c r="T818" s="120"/>
      <c r="U818" s="155"/>
      <c r="V818" s="156"/>
      <c r="W818" s="123"/>
      <c r="X818" s="157"/>
      <c r="Y818" s="158"/>
      <c r="Z818" s="158"/>
      <c r="AA818" s="89"/>
      <c r="AB818" s="89"/>
      <c r="AC818" s="89"/>
      <c r="AD818" s="89"/>
      <c r="AE818" s="89"/>
      <c r="AF818" s="89"/>
      <c r="AG818" s="89"/>
      <c r="AH818" s="89"/>
      <c r="AI818" s="89"/>
      <c r="AJ818" s="89"/>
      <c r="AK818" s="89"/>
      <c r="AL818" s="89"/>
      <c r="AM818" s="89"/>
      <c r="AN818" s="89"/>
    </row>
    <row r="819" spans="2:40" ht="24" x14ac:dyDescent="0.2">
      <c r="C819" s="168"/>
      <c r="D819" s="550">
        <v>45461</v>
      </c>
      <c r="E819" s="99">
        <v>1E-3</v>
      </c>
      <c r="F819" s="99" t="s">
        <v>467</v>
      </c>
      <c r="G819" s="99">
        <v>-2E-3</v>
      </c>
      <c r="H819" s="224">
        <v>0.52083333333333337</v>
      </c>
      <c r="I819" s="1029"/>
      <c r="J819" s="964"/>
      <c r="K819" s="1030"/>
      <c r="L819" s="574">
        <v>0.3125</v>
      </c>
      <c r="M819" s="519"/>
      <c r="N819" s="168"/>
      <c r="O819" s="89"/>
      <c r="P819" s="89"/>
      <c r="Q819" s="89"/>
      <c r="R819" s="89"/>
      <c r="S819" s="89"/>
      <c r="T819" s="89"/>
      <c r="U819" s="89"/>
      <c r="V819" s="89"/>
      <c r="W819" s="89"/>
      <c r="X819" s="89"/>
      <c r="Y819" s="89"/>
      <c r="Z819" s="89"/>
      <c r="AA819" s="89"/>
      <c r="AB819" s="89"/>
      <c r="AC819" s="89"/>
      <c r="AD819" s="89"/>
      <c r="AE819" s="89"/>
      <c r="AF819" s="89"/>
      <c r="AG819" s="89"/>
      <c r="AH819" s="89"/>
      <c r="AI819" s="89"/>
      <c r="AJ819" s="89"/>
      <c r="AK819" s="89"/>
      <c r="AL819" s="89"/>
      <c r="AM819" s="89"/>
      <c r="AN819" s="89"/>
    </row>
    <row r="820" spans="2:40" ht="25" thickBot="1" x14ac:dyDescent="0.25">
      <c r="C820" s="168"/>
      <c r="D820" s="556">
        <v>45427</v>
      </c>
      <c r="E820" s="236">
        <v>0</v>
      </c>
      <c r="F820" s="236" t="s">
        <v>452</v>
      </c>
      <c r="G820" s="236">
        <v>6.0000000000000001E-3</v>
      </c>
      <c r="H820" s="231">
        <v>0.52083333333333337</v>
      </c>
      <c r="I820" s="1031"/>
      <c r="J820" s="966"/>
      <c r="K820" s="1032"/>
      <c r="L820" s="575">
        <v>0.3125</v>
      </c>
      <c r="M820" s="522"/>
      <c r="N820" s="168"/>
      <c r="O820" s="89"/>
      <c r="P820" s="89"/>
      <c r="Q820" s="89"/>
      <c r="R820" s="89"/>
      <c r="S820" s="89"/>
      <c r="T820" s="89"/>
      <c r="U820" s="89"/>
      <c r="V820" s="89"/>
      <c r="W820" s="89"/>
      <c r="X820" s="89"/>
      <c r="Y820" s="89"/>
      <c r="Z820" s="89"/>
      <c r="AA820" s="89"/>
      <c r="AB820" s="89"/>
      <c r="AC820" s="89"/>
      <c r="AD820" s="89"/>
      <c r="AE820" s="89"/>
      <c r="AF820" s="89"/>
      <c r="AG820" s="89"/>
      <c r="AH820" s="89"/>
      <c r="AI820" s="89"/>
      <c r="AJ820" s="89"/>
      <c r="AK820" s="89"/>
      <c r="AL820" s="89"/>
      <c r="AM820" s="89"/>
      <c r="AN820" s="89"/>
    </row>
    <row r="821" spans="2:40" ht="49" thickBot="1" x14ac:dyDescent="0.25">
      <c r="B821" s="91" t="s">
        <v>105</v>
      </c>
      <c r="C821" s="91">
        <v>1</v>
      </c>
      <c r="D821" s="552" t="s">
        <v>30</v>
      </c>
      <c r="E821" s="1052" t="s">
        <v>1005</v>
      </c>
      <c r="F821" s="1053"/>
      <c r="G821" s="1054"/>
      <c r="H821" s="217" t="s">
        <v>790</v>
      </c>
      <c r="I821" s="1055" t="s">
        <v>633</v>
      </c>
      <c r="J821" s="1056"/>
      <c r="K821" s="1057"/>
      <c r="L821" s="570" t="s">
        <v>430</v>
      </c>
      <c r="M821" s="518" t="s">
        <v>431</v>
      </c>
      <c r="N821" s="168" t="s">
        <v>105</v>
      </c>
      <c r="O821" s="118" t="s">
        <v>800</v>
      </c>
      <c r="P821" s="118" t="s">
        <v>801</v>
      </c>
      <c r="Q821" s="118" t="s">
        <v>802</v>
      </c>
      <c r="R821" s="118" t="s">
        <v>803</v>
      </c>
      <c r="S821" s="118" t="s">
        <v>804</v>
      </c>
      <c r="T821" s="118" t="s">
        <v>805</v>
      </c>
      <c r="U821" s="118" t="s">
        <v>806</v>
      </c>
      <c r="V821" s="118" t="s">
        <v>807</v>
      </c>
      <c r="W821" s="118" t="s">
        <v>808</v>
      </c>
      <c r="X821" s="118" t="s">
        <v>809</v>
      </c>
      <c r="Y821" s="118" t="s">
        <v>75</v>
      </c>
      <c r="Z821" s="118" t="s">
        <v>75</v>
      </c>
    </row>
    <row r="822" spans="2:40" ht="24" x14ac:dyDescent="0.2">
      <c r="C822" s="91"/>
      <c r="D822" s="544" t="s">
        <v>432</v>
      </c>
      <c r="E822" s="1024"/>
      <c r="F822" s="1025"/>
      <c r="G822" s="1026"/>
      <c r="H822" s="218" t="s">
        <v>906</v>
      </c>
      <c r="I822" s="1027" t="s">
        <v>1006</v>
      </c>
      <c r="J822" s="962"/>
      <c r="K822" s="1028"/>
      <c r="L822" s="559"/>
      <c r="M822" s="519"/>
      <c r="N822" s="168"/>
      <c r="O822" s="119" t="s">
        <v>810</v>
      </c>
      <c r="P822" s="171">
        <v>0.1</v>
      </c>
      <c r="Q822" s="172">
        <v>2.1000000000000001E-4</v>
      </c>
      <c r="R822" s="173">
        <v>1.4000000000002899E-4</v>
      </c>
      <c r="S822" s="123"/>
      <c r="T822" s="119">
        <v>4.55000000000029E-4</v>
      </c>
      <c r="U822" s="172">
        <v>-16.510000000000002</v>
      </c>
      <c r="V822" s="171">
        <v>60.5</v>
      </c>
      <c r="W822" s="174">
        <v>2</v>
      </c>
      <c r="X822" s="157">
        <v>33.020000000000003</v>
      </c>
      <c r="Y822" s="124"/>
      <c r="Z822" s="124"/>
    </row>
    <row r="823" spans="2:40" ht="24" x14ac:dyDescent="0.2">
      <c r="C823" s="91"/>
      <c r="D823" s="546" t="s">
        <v>433</v>
      </c>
      <c r="E823" s="1033">
        <v>0.02</v>
      </c>
      <c r="F823" s="1034"/>
      <c r="G823" s="1035"/>
      <c r="H823" s="218" t="s">
        <v>907</v>
      </c>
      <c r="I823" s="1029"/>
      <c r="J823" s="964"/>
      <c r="K823" s="1030"/>
      <c r="L823" s="559"/>
      <c r="M823" s="519"/>
      <c r="N823" s="168"/>
      <c r="O823" s="125"/>
      <c r="P823" s="125"/>
      <c r="Q823" s="125"/>
      <c r="R823" s="126"/>
      <c r="S823" s="127"/>
      <c r="T823" s="125"/>
      <c r="U823" s="125"/>
      <c r="V823" s="125"/>
      <c r="W823" s="127"/>
      <c r="X823" s="127"/>
      <c r="Y823" s="128"/>
      <c r="Z823" s="128"/>
    </row>
    <row r="824" spans="2:40" ht="24" x14ac:dyDescent="0.2">
      <c r="C824" s="91"/>
      <c r="D824" s="546" t="s">
        <v>434</v>
      </c>
      <c r="E824" s="1033">
        <v>0.02</v>
      </c>
      <c r="F824" s="1034"/>
      <c r="G824" s="1035"/>
      <c r="H824" s="219"/>
      <c r="I824" s="1029"/>
      <c r="J824" s="964"/>
      <c r="K824" s="1030"/>
      <c r="L824" s="559"/>
      <c r="M824" s="519"/>
      <c r="N824" s="168"/>
      <c r="O824" s="129" t="s">
        <v>811</v>
      </c>
      <c r="P824" s="176">
        <v>0.1</v>
      </c>
      <c r="Q824" s="177">
        <v>2.9999999999999997E-4</v>
      </c>
      <c r="R824" s="178">
        <v>2.0000000000000001E-4</v>
      </c>
      <c r="S824" s="133">
        <v>1</v>
      </c>
      <c r="T824" s="129">
        <v>6.4999999999999997E-4</v>
      </c>
      <c r="U824" s="134">
        <v>-23.585714285712783</v>
      </c>
      <c r="V824" s="135">
        <v>60.5</v>
      </c>
      <c r="W824" s="179">
        <v>1.48</v>
      </c>
      <c r="X824" s="137">
        <v>34.906857142854918</v>
      </c>
      <c r="Y824" s="138"/>
      <c r="Z824" s="138"/>
    </row>
    <row r="825" spans="2:40" ht="25" thickBot="1" x14ac:dyDescent="0.25">
      <c r="C825" s="91"/>
      <c r="D825" s="547" t="s">
        <v>435</v>
      </c>
      <c r="E825" s="1039">
        <v>0.41666666666666674</v>
      </c>
      <c r="F825" s="1040"/>
      <c r="G825" s="1041"/>
      <c r="H825" s="233">
        <v>0.2083333333333334</v>
      </c>
      <c r="I825" s="1029"/>
      <c r="J825" s="964"/>
      <c r="K825" s="1030"/>
      <c r="L825" s="560">
        <v>0.64583333333333337</v>
      </c>
      <c r="M825" s="520">
        <v>0.5</v>
      </c>
      <c r="N825" s="168"/>
      <c r="O825" s="139" t="s">
        <v>812</v>
      </c>
      <c r="P825" s="180">
        <v>0.1</v>
      </c>
      <c r="Q825" s="160">
        <v>2.6666666666666663E-4</v>
      </c>
      <c r="R825" s="181">
        <v>2.0000000000000001E-4</v>
      </c>
      <c r="S825" s="143">
        <v>1</v>
      </c>
      <c r="T825" s="182">
        <v>5.9999999999999995E-4</v>
      </c>
      <c r="U825" s="144">
        <v>-21.771428571427183</v>
      </c>
      <c r="V825" s="145">
        <v>60.5</v>
      </c>
      <c r="W825" s="183">
        <v>1.75</v>
      </c>
      <c r="X825" s="147">
        <v>38.099999999997571</v>
      </c>
      <c r="Y825" s="148"/>
      <c r="Z825" s="148"/>
    </row>
    <row r="826" spans="2:40" ht="25" thickBot="1" x14ac:dyDescent="0.25">
      <c r="C826" s="91"/>
      <c r="D826" s="549" t="s">
        <v>436</v>
      </c>
      <c r="E826" s="93" t="s">
        <v>29</v>
      </c>
      <c r="F826" s="93" t="s">
        <v>28</v>
      </c>
      <c r="G826" s="94" t="s">
        <v>27</v>
      </c>
      <c r="H826" s="230" t="s">
        <v>793</v>
      </c>
      <c r="I826" s="1029"/>
      <c r="J826" s="964"/>
      <c r="K826" s="1030"/>
      <c r="L826" s="573" t="s">
        <v>1002</v>
      </c>
      <c r="M826" s="523"/>
      <c r="N826" s="168"/>
      <c r="O826" s="127"/>
      <c r="P826" s="149"/>
      <c r="Q826" s="127"/>
      <c r="R826" s="127"/>
      <c r="S826" s="127"/>
      <c r="T826" s="127"/>
      <c r="U826" s="150"/>
      <c r="V826" s="151"/>
      <c r="W826" s="127"/>
      <c r="X826" s="150"/>
      <c r="Y826" s="128"/>
      <c r="Z826" s="128"/>
    </row>
    <row r="827" spans="2:40" ht="24" x14ac:dyDescent="0.2">
      <c r="C827" s="91"/>
      <c r="D827" s="550">
        <v>45596</v>
      </c>
      <c r="E827" s="99">
        <v>0.02</v>
      </c>
      <c r="F827" s="99" t="s">
        <v>789</v>
      </c>
      <c r="G827" s="99">
        <v>1.7000000000000001E-2</v>
      </c>
      <c r="H827" s="224">
        <v>0.41666666666666674</v>
      </c>
      <c r="I827" s="1029"/>
      <c r="J827" s="964"/>
      <c r="K827" s="1030"/>
      <c r="L827" s="574">
        <v>0.2083333333333334</v>
      </c>
      <c r="M827" s="524"/>
      <c r="N827" s="168"/>
      <c r="O827" s="152"/>
      <c r="P827" s="128"/>
      <c r="Q827" s="152"/>
      <c r="R827" s="152"/>
      <c r="S827" s="152"/>
      <c r="T827" s="152"/>
      <c r="U827" s="152"/>
      <c r="V827" s="152"/>
      <c r="W827" s="152"/>
      <c r="X827" s="152"/>
      <c r="Y827" s="128"/>
      <c r="Z827" s="128"/>
    </row>
    <row r="828" spans="2:40" ht="24" x14ac:dyDescent="0.2">
      <c r="C828" s="91"/>
      <c r="D828" s="550">
        <v>45582</v>
      </c>
      <c r="E828" s="99">
        <v>1.7000000000000001E-2</v>
      </c>
      <c r="F828" s="99" t="s">
        <v>895</v>
      </c>
      <c r="G828" s="99">
        <v>2.1999999999999999E-2</v>
      </c>
      <c r="H828" s="224">
        <v>0.375</v>
      </c>
      <c r="I828" s="1029"/>
      <c r="J828" s="964"/>
      <c r="K828" s="1030"/>
      <c r="L828" s="574">
        <v>0.16666666666666666</v>
      </c>
      <c r="M828" s="525"/>
      <c r="N828" s="168"/>
      <c r="O828" s="119" t="s">
        <v>813</v>
      </c>
      <c r="P828" s="171">
        <v>-0.05</v>
      </c>
      <c r="Q828" s="153">
        <v>2.833333333333333E-4</v>
      </c>
      <c r="R828" s="154">
        <v>2.0000000000000001E-4</v>
      </c>
      <c r="S828" s="123">
        <v>-1</v>
      </c>
      <c r="T828" s="129">
        <v>6.249999999999999E-4</v>
      </c>
      <c r="U828" s="155">
        <v>-11.339285714284991</v>
      </c>
      <c r="V828" s="156">
        <v>-30.25</v>
      </c>
      <c r="W828" s="123">
        <v>1.5</v>
      </c>
      <c r="X828" s="157">
        <v>17.008928571427486</v>
      </c>
      <c r="Y828" s="158"/>
      <c r="Z828" s="158" t="s">
        <v>1055</v>
      </c>
    </row>
    <row r="829" spans="2:40" ht="24" x14ac:dyDescent="0.2">
      <c r="C829" s="91"/>
      <c r="D829" s="550">
        <v>45566</v>
      </c>
      <c r="E829" s="99">
        <v>1.7999999999999999E-2</v>
      </c>
      <c r="F829" s="99" t="s">
        <v>895</v>
      </c>
      <c r="G829" s="99">
        <v>2.1999999999999999E-2</v>
      </c>
      <c r="H829" s="224">
        <v>0.375</v>
      </c>
      <c r="I829" s="1029"/>
      <c r="J829" s="964"/>
      <c r="K829" s="1030"/>
      <c r="L829" s="574">
        <v>0.16666666666666666</v>
      </c>
      <c r="M829" s="519"/>
      <c r="N829" s="168"/>
      <c r="O829" s="119"/>
      <c r="P829" s="171"/>
      <c r="Q829" s="153"/>
      <c r="R829" s="154"/>
      <c r="S829" s="123"/>
      <c r="T829" s="129"/>
      <c r="U829" s="155"/>
      <c r="V829" s="156"/>
      <c r="W829" s="123"/>
      <c r="X829" s="157"/>
      <c r="Y829" s="158"/>
      <c r="Z829" s="158"/>
    </row>
    <row r="830" spans="2:40" ht="24" x14ac:dyDescent="0.2">
      <c r="C830" s="91"/>
      <c r="D830" s="550">
        <v>45553</v>
      </c>
      <c r="E830" s="99">
        <v>2.1999999999999999E-2</v>
      </c>
      <c r="F830" s="99" t="s">
        <v>490</v>
      </c>
      <c r="G830" s="99">
        <v>2.5999999999999999E-2</v>
      </c>
      <c r="H830" s="224">
        <v>0.375</v>
      </c>
      <c r="I830" s="1029"/>
      <c r="J830" s="964"/>
      <c r="K830" s="1030"/>
      <c r="L830" s="574">
        <v>0.16666666666666666</v>
      </c>
      <c r="M830" s="519"/>
      <c r="N830" s="168"/>
      <c r="O830" s="119"/>
      <c r="P830" s="120"/>
      <c r="Q830" s="153"/>
      <c r="R830" s="154"/>
      <c r="S830" s="123"/>
      <c r="T830" s="120"/>
      <c r="U830" s="155"/>
      <c r="V830" s="156"/>
      <c r="W830" s="123"/>
      <c r="X830" s="157"/>
      <c r="Y830" s="158"/>
      <c r="Z830" s="158"/>
    </row>
    <row r="831" spans="2:40" ht="24" x14ac:dyDescent="0.2">
      <c r="C831" s="91"/>
      <c r="D831" s="550">
        <v>45534</v>
      </c>
      <c r="E831" s="99">
        <v>2.1999999999999999E-2</v>
      </c>
      <c r="F831" s="99" t="s">
        <v>490</v>
      </c>
      <c r="G831" s="99">
        <v>2.5999999999999999E-2</v>
      </c>
      <c r="H831" s="224">
        <v>0.375</v>
      </c>
      <c r="I831" s="1029"/>
      <c r="J831" s="964"/>
      <c r="K831" s="1030"/>
      <c r="L831" s="574">
        <v>0.16666666666666666</v>
      </c>
      <c r="M831" s="519"/>
      <c r="N831" s="168"/>
      <c r="O831" s="89"/>
      <c r="P831" s="89"/>
      <c r="Q831" s="89"/>
      <c r="R831" s="89"/>
      <c r="S831" s="89"/>
      <c r="T831" s="89"/>
      <c r="U831" s="89"/>
      <c r="V831" s="89"/>
      <c r="W831" s="89"/>
      <c r="X831" s="89"/>
      <c r="Y831" s="89"/>
      <c r="Z831" s="89"/>
    </row>
    <row r="832" spans="2:40" ht="25" thickBot="1" x14ac:dyDescent="0.25">
      <c r="C832" s="91"/>
      <c r="D832" s="550">
        <v>45524</v>
      </c>
      <c r="E832" s="99">
        <v>2.5999999999999999E-2</v>
      </c>
      <c r="F832" s="99" t="s">
        <v>493</v>
      </c>
      <c r="G832" s="99">
        <v>2.5000000000000001E-2</v>
      </c>
      <c r="H832" s="231">
        <v>0.375</v>
      </c>
      <c r="I832" s="1031"/>
      <c r="J832" s="966"/>
      <c r="K832" s="1032"/>
      <c r="L832" s="574">
        <v>0.16666666666666666</v>
      </c>
      <c r="M832" s="522"/>
      <c r="N832" s="168"/>
      <c r="O832" s="89"/>
      <c r="P832" s="89"/>
      <c r="Q832" s="89"/>
      <c r="R832" s="89"/>
      <c r="S832" s="89"/>
      <c r="T832" s="89"/>
      <c r="U832" s="89"/>
      <c r="V832" s="89"/>
      <c r="W832" s="89"/>
      <c r="X832" s="89"/>
      <c r="Y832" s="89"/>
      <c r="Z832" s="89"/>
    </row>
    <row r="833" spans="3:26" ht="49" thickBot="1" x14ac:dyDescent="0.25">
      <c r="C833" s="91">
        <v>2</v>
      </c>
      <c r="D833" s="552" t="s">
        <v>30</v>
      </c>
      <c r="E833" s="1052" t="s">
        <v>1007</v>
      </c>
      <c r="F833" s="1053"/>
      <c r="G833" s="1054"/>
      <c r="H833" s="217" t="s">
        <v>790</v>
      </c>
      <c r="I833" s="1055" t="s">
        <v>633</v>
      </c>
      <c r="J833" s="1056"/>
      <c r="K833" s="1057"/>
      <c r="L833" s="570" t="s">
        <v>430</v>
      </c>
      <c r="M833" s="518" t="s">
        <v>431</v>
      </c>
      <c r="N833" s="168" t="s">
        <v>105</v>
      </c>
      <c r="O833" s="118" t="s">
        <v>800</v>
      </c>
      <c r="P833" s="118" t="s">
        <v>801</v>
      </c>
      <c r="Q833" s="118" t="s">
        <v>802</v>
      </c>
      <c r="R833" s="118" t="s">
        <v>803</v>
      </c>
      <c r="S833" s="118" t="s">
        <v>804</v>
      </c>
      <c r="T833" s="118" t="s">
        <v>805</v>
      </c>
      <c r="U833" s="118" t="s">
        <v>806</v>
      </c>
      <c r="V833" s="118" t="s">
        <v>807</v>
      </c>
      <c r="W833" s="118" t="s">
        <v>808</v>
      </c>
      <c r="X833" s="118" t="s">
        <v>809</v>
      </c>
      <c r="Y833" s="118" t="s">
        <v>75</v>
      </c>
      <c r="Z833" s="118" t="s">
        <v>75</v>
      </c>
    </row>
    <row r="834" spans="3:26" ht="24" x14ac:dyDescent="0.2">
      <c r="C834" s="91"/>
      <c r="D834" s="544" t="s">
        <v>432</v>
      </c>
      <c r="E834" s="1024"/>
      <c r="F834" s="1025"/>
      <c r="G834" s="1026"/>
      <c r="H834" s="218" t="s">
        <v>1056</v>
      </c>
      <c r="I834" s="1027" t="s">
        <v>1008</v>
      </c>
      <c r="J834" s="962"/>
      <c r="K834" s="1028"/>
      <c r="L834" s="559"/>
      <c r="M834" s="519"/>
      <c r="N834" s="168"/>
      <c r="O834" s="119" t="s">
        <v>810</v>
      </c>
      <c r="P834" s="171">
        <v>0.1</v>
      </c>
      <c r="Q834" s="172">
        <v>2.0000000000000001E-4</v>
      </c>
      <c r="R834" s="173">
        <v>1.7000000000000348E-4</v>
      </c>
      <c r="S834" s="123"/>
      <c r="T834" s="119">
        <v>4.7000000000000351E-4</v>
      </c>
      <c r="U834" s="172">
        <v>-12.97</v>
      </c>
      <c r="V834" s="171">
        <v>60.5</v>
      </c>
      <c r="W834" s="174">
        <v>2</v>
      </c>
      <c r="X834" s="157">
        <v>25.94</v>
      </c>
      <c r="Y834" s="124"/>
      <c r="Z834" s="124"/>
    </row>
    <row r="835" spans="3:26" ht="24" x14ac:dyDescent="0.2">
      <c r="C835" s="91"/>
      <c r="D835" s="546" t="s">
        <v>433</v>
      </c>
      <c r="E835" s="1033">
        <v>0</v>
      </c>
      <c r="F835" s="1034"/>
      <c r="G835" s="1035"/>
      <c r="H835" s="218" t="s">
        <v>1057</v>
      </c>
      <c r="I835" s="1029"/>
      <c r="J835" s="964"/>
      <c r="K835" s="1030"/>
      <c r="L835" s="559"/>
      <c r="M835" s="519"/>
      <c r="N835" s="168"/>
      <c r="O835" s="125"/>
      <c r="P835" s="125"/>
      <c r="Q835" s="125"/>
      <c r="R835" s="126"/>
      <c r="S835" s="127"/>
      <c r="T835" s="125"/>
      <c r="U835" s="125"/>
      <c r="V835" s="125"/>
      <c r="W835" s="127"/>
      <c r="X835" s="127"/>
      <c r="Y835" s="128"/>
      <c r="Z835" s="128"/>
    </row>
    <row r="836" spans="3:26" ht="24" x14ac:dyDescent="0.2">
      <c r="C836" s="91"/>
      <c r="D836" s="546" t="s">
        <v>434</v>
      </c>
      <c r="E836" s="1033">
        <v>1.6E-2</v>
      </c>
      <c r="F836" s="1034"/>
      <c r="G836" s="1035"/>
      <c r="H836" s="219"/>
      <c r="I836" s="1029"/>
      <c r="J836" s="964"/>
      <c r="K836" s="1030"/>
      <c r="L836" s="559"/>
      <c r="M836" s="519"/>
      <c r="N836" s="168"/>
      <c r="O836" s="129" t="s">
        <v>811</v>
      </c>
      <c r="P836" s="176">
        <v>0.1</v>
      </c>
      <c r="Q836" s="177">
        <v>5.9999999999999995E-4</v>
      </c>
      <c r="R836" s="178">
        <v>2.5000000000000001E-4</v>
      </c>
      <c r="S836" s="133">
        <v>1</v>
      </c>
      <c r="T836" s="129">
        <v>1.15E-3</v>
      </c>
      <c r="U836" s="134">
        <v>-31.735106382978486</v>
      </c>
      <c r="V836" s="135">
        <v>60.5</v>
      </c>
      <c r="W836" s="179">
        <v>3.28</v>
      </c>
      <c r="X836" s="137">
        <v>104.09114893616943</v>
      </c>
      <c r="Y836" s="138"/>
      <c r="Z836" s="138"/>
    </row>
    <row r="837" spans="3:26" ht="25" thickBot="1" x14ac:dyDescent="0.25">
      <c r="C837" s="91"/>
      <c r="D837" s="547" t="s">
        <v>435</v>
      </c>
      <c r="E837" s="1039">
        <v>0.5625</v>
      </c>
      <c r="F837" s="1040"/>
      <c r="G837" s="1041"/>
      <c r="H837" s="233">
        <v>0.35416666666666663</v>
      </c>
      <c r="I837" s="1029"/>
      <c r="J837" s="964"/>
      <c r="K837" s="1030"/>
      <c r="L837" s="560">
        <v>0.79166666666666663</v>
      </c>
      <c r="M837" s="520">
        <v>0.64583333333333326</v>
      </c>
      <c r="N837" s="168"/>
      <c r="O837" s="139" t="s">
        <v>812</v>
      </c>
      <c r="P837" s="180">
        <v>0.1</v>
      </c>
      <c r="Q837" s="160">
        <v>6.333333333333333E-4</v>
      </c>
      <c r="R837" s="181">
        <v>2.5000000000000001E-4</v>
      </c>
      <c r="S837" s="143">
        <v>1</v>
      </c>
      <c r="T837" s="182">
        <v>1.1999999999999999E-3</v>
      </c>
      <c r="U837" s="144">
        <v>-33.114893617021025</v>
      </c>
      <c r="V837" s="145">
        <v>60.5</v>
      </c>
      <c r="W837" s="183">
        <v>2.97</v>
      </c>
      <c r="X837" s="147">
        <v>98.351234042552448</v>
      </c>
      <c r="Y837" s="148"/>
      <c r="Z837" s="148"/>
    </row>
    <row r="838" spans="3:26" ht="25" thickBot="1" x14ac:dyDescent="0.25">
      <c r="C838" s="91"/>
      <c r="D838" s="549" t="s">
        <v>436</v>
      </c>
      <c r="E838" s="93" t="s">
        <v>29</v>
      </c>
      <c r="F838" s="93" t="s">
        <v>28</v>
      </c>
      <c r="G838" s="94" t="s">
        <v>27</v>
      </c>
      <c r="H838" s="230" t="s">
        <v>793</v>
      </c>
      <c r="I838" s="1029"/>
      <c r="J838" s="964"/>
      <c r="K838" s="1030"/>
      <c r="L838" s="573" t="s">
        <v>1002</v>
      </c>
      <c r="M838" s="523"/>
      <c r="N838" s="168"/>
      <c r="O838" s="127"/>
      <c r="P838" s="149"/>
      <c r="Q838" s="127"/>
      <c r="R838" s="127"/>
      <c r="S838" s="127"/>
      <c r="T838" s="127"/>
      <c r="U838" s="150"/>
      <c r="V838" s="151"/>
      <c r="W838" s="127"/>
      <c r="X838" s="150"/>
      <c r="Y838" s="128"/>
      <c r="Z838" s="128"/>
    </row>
    <row r="839" spans="3:26" ht="24" x14ac:dyDescent="0.2">
      <c r="C839" s="91"/>
      <c r="D839" s="550">
        <v>45580</v>
      </c>
      <c r="E839" s="99">
        <v>1.6E-2</v>
      </c>
      <c r="F839" s="99" t="s">
        <v>895</v>
      </c>
      <c r="G839" s="99">
        <v>0.02</v>
      </c>
      <c r="H839" s="224">
        <v>0.52083333333333337</v>
      </c>
      <c r="I839" s="1029"/>
      <c r="J839" s="964"/>
      <c r="K839" s="1030"/>
      <c r="L839" s="574">
        <v>0.3125</v>
      </c>
      <c r="M839" s="524"/>
      <c r="N839" s="168"/>
      <c r="O839" s="152"/>
      <c r="P839" s="128"/>
      <c r="Q839" s="152"/>
      <c r="R839" s="152"/>
      <c r="S839" s="152"/>
      <c r="T839" s="152"/>
      <c r="U839" s="152"/>
      <c r="V839" s="152"/>
      <c r="W839" s="152"/>
      <c r="X839" s="152"/>
      <c r="Y839" s="128"/>
      <c r="Z839" s="128"/>
    </row>
    <row r="840" spans="3:26" ht="24" x14ac:dyDescent="0.2">
      <c r="C840" s="91"/>
      <c r="D840" s="550">
        <v>45552</v>
      </c>
      <c r="E840" s="99">
        <v>0.02</v>
      </c>
      <c r="F840" s="99" t="s">
        <v>754</v>
      </c>
      <c r="G840" s="99">
        <v>2.5000000000000001E-2</v>
      </c>
      <c r="H840" s="224">
        <v>0.52083333333333337</v>
      </c>
      <c r="I840" s="1029"/>
      <c r="J840" s="964"/>
      <c r="K840" s="1030"/>
      <c r="L840" s="574">
        <v>0.3125</v>
      </c>
      <c r="M840" s="525"/>
      <c r="N840" s="168"/>
      <c r="O840" s="119" t="s">
        <v>813</v>
      </c>
      <c r="P840" s="171">
        <v>0.05</v>
      </c>
      <c r="Q840" s="153">
        <v>6.1666666666666662E-4</v>
      </c>
      <c r="R840" s="154">
        <v>2.5000000000000001E-4</v>
      </c>
      <c r="S840" s="123">
        <v>1</v>
      </c>
      <c r="T840" s="129">
        <v>1.1749999999999998E-3</v>
      </c>
      <c r="U840" s="155">
        <v>-16.212499999999878</v>
      </c>
      <c r="V840" s="156">
        <v>30.25</v>
      </c>
      <c r="W840" s="123">
        <v>2</v>
      </c>
      <c r="X840" s="157">
        <v>32.424999999999756</v>
      </c>
      <c r="Y840" s="158"/>
      <c r="Z840" s="158"/>
    </row>
    <row r="841" spans="3:26" ht="24" x14ac:dyDescent="0.2">
      <c r="C841" s="91"/>
      <c r="D841" s="550">
        <v>45524</v>
      </c>
      <c r="E841" s="99">
        <v>2.5000000000000001E-2</v>
      </c>
      <c r="F841" s="99" t="s">
        <v>495</v>
      </c>
      <c r="G841" s="99">
        <v>2.7E-2</v>
      </c>
      <c r="H841" s="224">
        <v>0.52083333333333337</v>
      </c>
      <c r="I841" s="1029"/>
      <c r="J841" s="964"/>
      <c r="K841" s="1030"/>
      <c r="L841" s="574">
        <v>0.3125</v>
      </c>
      <c r="M841" s="519"/>
      <c r="N841" s="168"/>
      <c r="O841" s="119" t="s">
        <v>813</v>
      </c>
      <c r="P841" s="171">
        <v>0.05</v>
      </c>
      <c r="Q841" s="153">
        <v>6.1666666666666662E-4</v>
      </c>
      <c r="R841" s="154">
        <v>2.5000000000000001E-4</v>
      </c>
      <c r="S841" s="123">
        <v>1</v>
      </c>
      <c r="T841" s="129">
        <v>1.1749999999999998E-3</v>
      </c>
      <c r="U841" s="155">
        <v>-16.212499999999878</v>
      </c>
      <c r="V841" s="156">
        <v>30.25</v>
      </c>
      <c r="W841" s="123">
        <v>2</v>
      </c>
      <c r="X841" s="157">
        <v>32.424999999999756</v>
      </c>
      <c r="Y841" s="158"/>
      <c r="Z841" s="158"/>
    </row>
    <row r="842" spans="3:26" ht="24" x14ac:dyDescent="0.2">
      <c r="C842" s="91"/>
      <c r="D842" s="550">
        <v>45489</v>
      </c>
      <c r="E842" s="99">
        <v>2.7E-2</v>
      </c>
      <c r="F842" s="99" t="s">
        <v>754</v>
      </c>
      <c r="G842" s="99">
        <v>2.9000000000000001E-2</v>
      </c>
      <c r="H842" s="224">
        <v>0.52083333333333337</v>
      </c>
      <c r="I842" s="1029"/>
      <c r="J842" s="964"/>
      <c r="K842" s="1030"/>
      <c r="L842" s="574">
        <v>0.3125</v>
      </c>
      <c r="M842" s="519"/>
      <c r="N842" s="168"/>
      <c r="O842" s="119"/>
      <c r="P842" s="120"/>
      <c r="Q842" s="153"/>
      <c r="R842" s="154"/>
      <c r="S842" s="123"/>
      <c r="T842" s="120"/>
      <c r="U842" s="155"/>
      <c r="V842" s="156"/>
      <c r="W842" s="123"/>
      <c r="X842" s="157"/>
      <c r="Y842" s="158"/>
      <c r="Z842" s="158"/>
    </row>
    <row r="843" spans="3:26" ht="24" x14ac:dyDescent="0.2">
      <c r="C843" s="91"/>
      <c r="D843" s="550">
        <v>45468</v>
      </c>
      <c r="E843" s="99">
        <v>2.9000000000000001E-2</v>
      </c>
      <c r="F843" s="99" t="s">
        <v>493</v>
      </c>
      <c r="G843" s="99">
        <v>2.7E-2</v>
      </c>
      <c r="H843" s="224">
        <v>0.52083333333333337</v>
      </c>
      <c r="I843" s="1029"/>
      <c r="J843" s="964"/>
      <c r="K843" s="1030"/>
      <c r="L843" s="574">
        <v>0.3125</v>
      </c>
      <c r="M843" s="519"/>
      <c r="N843" s="168"/>
      <c r="O843" s="89"/>
      <c r="P843" s="89"/>
      <c r="Q843" s="89"/>
      <c r="R843" s="89"/>
      <c r="S843" s="89"/>
      <c r="T843" s="89"/>
      <c r="U843" s="89"/>
      <c r="V843" s="89"/>
      <c r="W843" s="89"/>
      <c r="X843" s="89"/>
      <c r="Y843" s="89"/>
      <c r="Z843" s="89"/>
    </row>
    <row r="844" spans="3:26" ht="25" thickBot="1" x14ac:dyDescent="0.25">
      <c r="C844" s="91"/>
      <c r="D844" s="550">
        <v>45433</v>
      </c>
      <c r="E844" s="99">
        <v>2.7E-2</v>
      </c>
      <c r="F844" s="99" t="s">
        <v>665</v>
      </c>
      <c r="G844" s="99">
        <v>2.9000000000000001E-2</v>
      </c>
      <c r="H844" s="231">
        <v>0.52083333333333337</v>
      </c>
      <c r="I844" s="1031"/>
      <c r="J844" s="966"/>
      <c r="K844" s="1032"/>
      <c r="L844" s="574">
        <v>0.3125</v>
      </c>
      <c r="M844" s="522"/>
      <c r="N844" s="168"/>
      <c r="O844" s="89"/>
      <c r="P844" s="89"/>
      <c r="Q844" s="89"/>
      <c r="R844" s="89"/>
      <c r="S844" s="89"/>
      <c r="T844" s="89"/>
      <c r="U844" s="89"/>
      <c r="V844" s="89"/>
      <c r="W844" s="89"/>
      <c r="X844" s="89"/>
      <c r="Y844" s="89"/>
      <c r="Z844" s="89"/>
    </row>
    <row r="845" spans="3:26" ht="49" thickBot="1" x14ac:dyDescent="0.25">
      <c r="C845" s="91">
        <v>3</v>
      </c>
      <c r="D845" s="552" t="s">
        <v>30</v>
      </c>
      <c r="E845" s="1052" t="s">
        <v>1009</v>
      </c>
      <c r="F845" s="1053"/>
      <c r="G845" s="1054"/>
      <c r="H845" s="217" t="s">
        <v>790</v>
      </c>
      <c r="I845" s="1055" t="s">
        <v>633</v>
      </c>
      <c r="J845" s="1056"/>
      <c r="K845" s="1057"/>
      <c r="L845" s="570" t="s">
        <v>430</v>
      </c>
      <c r="M845" s="518" t="s">
        <v>431</v>
      </c>
      <c r="N845" s="168" t="s">
        <v>105</v>
      </c>
      <c r="O845" s="118" t="s">
        <v>800</v>
      </c>
      <c r="P845" s="118" t="s">
        <v>801</v>
      </c>
      <c r="Q845" s="118" t="s">
        <v>802</v>
      </c>
      <c r="R845" s="118" t="s">
        <v>803</v>
      </c>
      <c r="S845" s="118" t="s">
        <v>804</v>
      </c>
      <c r="T845" s="118" t="s">
        <v>805</v>
      </c>
      <c r="U845" s="118" t="s">
        <v>806</v>
      </c>
      <c r="V845" s="118" t="s">
        <v>807</v>
      </c>
      <c r="W845" s="118" t="s">
        <v>808</v>
      </c>
      <c r="X845" s="118" t="s">
        <v>809</v>
      </c>
      <c r="Y845" s="118" t="s">
        <v>75</v>
      </c>
      <c r="Z845" s="118" t="s">
        <v>75</v>
      </c>
    </row>
    <row r="846" spans="3:26" ht="24" x14ac:dyDescent="0.2">
      <c r="C846" s="91"/>
      <c r="D846" s="544" t="s">
        <v>432</v>
      </c>
      <c r="E846" s="1024"/>
      <c r="F846" s="1025"/>
      <c r="G846" s="1026"/>
      <c r="H846" s="218" t="s">
        <v>1058</v>
      </c>
      <c r="I846" s="1027" t="s">
        <v>1010</v>
      </c>
      <c r="J846" s="962"/>
      <c r="K846" s="1028"/>
      <c r="L846" s="559"/>
      <c r="M846" s="519"/>
      <c r="N846" s="168"/>
      <c r="O846" s="119" t="s">
        <v>810</v>
      </c>
      <c r="P846" s="171">
        <v>0.1</v>
      </c>
      <c r="Q846" s="172">
        <v>1.07</v>
      </c>
      <c r="R846" s="173">
        <v>2.6999999999998181</v>
      </c>
      <c r="S846" s="123"/>
      <c r="T846" s="119">
        <v>4.3049999999998185</v>
      </c>
      <c r="U846" s="172">
        <v>-2</v>
      </c>
      <c r="V846" s="171">
        <v>91.8</v>
      </c>
      <c r="W846" s="174">
        <v>2</v>
      </c>
      <c r="X846" s="157">
        <v>4</v>
      </c>
      <c r="Y846" s="124"/>
      <c r="Z846" s="124"/>
    </row>
    <row r="847" spans="3:26" ht="24" x14ac:dyDescent="0.2">
      <c r="C847" s="91"/>
      <c r="D847" s="546" t="s">
        <v>433</v>
      </c>
      <c r="E847" s="1033"/>
      <c r="F847" s="1034"/>
      <c r="G847" s="1035"/>
      <c r="H847" s="218" t="s">
        <v>1058</v>
      </c>
      <c r="I847" s="1029"/>
      <c r="J847" s="964"/>
      <c r="K847" s="1030"/>
      <c r="L847" s="559"/>
      <c r="M847" s="519"/>
      <c r="N847" s="168"/>
      <c r="O847" s="125"/>
      <c r="P847" s="125"/>
      <c r="Q847" s="125"/>
      <c r="R847" s="126"/>
      <c r="S847" s="127"/>
      <c r="T847" s="125"/>
      <c r="U847" s="125"/>
      <c r="V847" s="125"/>
      <c r="W847" s="127"/>
      <c r="X847" s="127"/>
      <c r="Y847" s="128"/>
      <c r="Z847" s="128"/>
    </row>
    <row r="848" spans="3:26" ht="24" x14ac:dyDescent="0.2">
      <c r="C848" s="91"/>
      <c r="D848" s="546" t="s">
        <v>434</v>
      </c>
      <c r="E848" s="1033">
        <v>1.7000000000000001E-2</v>
      </c>
      <c r="F848" s="1034"/>
      <c r="G848" s="1035"/>
      <c r="H848" s="219"/>
      <c r="I848" s="1029"/>
      <c r="J848" s="964"/>
      <c r="K848" s="1030"/>
      <c r="L848" s="559"/>
      <c r="M848" s="519"/>
      <c r="N848" s="168"/>
      <c r="O848" s="129" t="s">
        <v>811</v>
      </c>
      <c r="P848" s="176">
        <v>0.65</v>
      </c>
      <c r="Q848" s="177">
        <v>5.5713999999999997</v>
      </c>
      <c r="R848" s="178">
        <v>2.7</v>
      </c>
      <c r="S848" s="133">
        <v>1</v>
      </c>
      <c r="T848" s="129">
        <v>11.057099999999998</v>
      </c>
      <c r="U848" s="134">
        <v>-33.38961672474008</v>
      </c>
      <c r="V848" s="135">
        <v>393.25</v>
      </c>
      <c r="W848" s="179">
        <v>5.31</v>
      </c>
      <c r="X848" s="137">
        <v>177.29886480836981</v>
      </c>
      <c r="Y848" s="138"/>
      <c r="Z848" s="138"/>
    </row>
    <row r="849" spans="3:26" ht="25" thickBot="1" x14ac:dyDescent="0.25">
      <c r="C849" s="91"/>
      <c r="D849" s="547" t="s">
        <v>435</v>
      </c>
      <c r="E849" s="1039">
        <v>0.29166666666666674</v>
      </c>
      <c r="F849" s="1040"/>
      <c r="G849" s="1041"/>
      <c r="H849" s="233">
        <v>8.3333333333333398E-2</v>
      </c>
      <c r="I849" s="1029"/>
      <c r="J849" s="964"/>
      <c r="K849" s="1030"/>
      <c r="L849" s="560">
        <v>0.52083333333333337</v>
      </c>
      <c r="M849" s="520">
        <v>0.375</v>
      </c>
      <c r="N849" s="168"/>
      <c r="O849" s="139" t="s">
        <v>812</v>
      </c>
      <c r="P849" s="180">
        <v>0.65</v>
      </c>
      <c r="Q849" s="160">
        <v>4.056</v>
      </c>
      <c r="R849" s="181">
        <v>2.7</v>
      </c>
      <c r="S849" s="143">
        <v>1</v>
      </c>
      <c r="T849" s="182">
        <v>8.7840000000000007</v>
      </c>
      <c r="U849" s="144">
        <v>-26.525435540070806</v>
      </c>
      <c r="V849" s="145">
        <v>393.25</v>
      </c>
      <c r="W849" s="183">
        <v>4.0679999999999996</v>
      </c>
      <c r="X849" s="147">
        <v>107.90547177700803</v>
      </c>
      <c r="Y849" s="148"/>
      <c r="Z849" s="148"/>
    </row>
    <row r="850" spans="3:26" ht="25" thickBot="1" x14ac:dyDescent="0.25">
      <c r="C850" s="91"/>
      <c r="D850" s="549" t="s">
        <v>436</v>
      </c>
      <c r="E850" s="93" t="s">
        <v>29</v>
      </c>
      <c r="F850" s="93" t="s">
        <v>28</v>
      </c>
      <c r="G850" s="94" t="s">
        <v>27</v>
      </c>
      <c r="H850" s="230" t="s">
        <v>793</v>
      </c>
      <c r="I850" s="1029"/>
      <c r="J850" s="964"/>
      <c r="K850" s="1030"/>
      <c r="L850" s="573" t="s">
        <v>1002</v>
      </c>
      <c r="M850" s="523"/>
      <c r="N850" s="168"/>
      <c r="O850" s="127"/>
      <c r="P850" s="149"/>
      <c r="Q850" s="127"/>
      <c r="R850" s="127"/>
      <c r="S850" s="127"/>
      <c r="T850" s="127"/>
      <c r="U850" s="150"/>
      <c r="V850" s="151"/>
      <c r="W850" s="127"/>
      <c r="X850" s="150"/>
      <c r="Y850" s="128"/>
      <c r="Z850" s="128"/>
    </row>
    <row r="851" spans="3:26" ht="24" x14ac:dyDescent="0.2">
      <c r="C851" s="91"/>
      <c r="D851" s="550">
        <v>45581</v>
      </c>
      <c r="E851" s="99">
        <v>1.7000000000000001E-2</v>
      </c>
      <c r="F851" s="99" t="s">
        <v>789</v>
      </c>
      <c r="G851" s="99">
        <v>2.1999999999999999E-2</v>
      </c>
      <c r="H851" s="224">
        <v>0.25</v>
      </c>
      <c r="I851" s="1029"/>
      <c r="J851" s="964"/>
      <c r="K851" s="1030"/>
      <c r="L851" s="574">
        <v>4.1666666666666664E-2</v>
      </c>
      <c r="M851" s="524"/>
      <c r="N851" s="168"/>
      <c r="O851" s="152"/>
      <c r="P851" s="128"/>
      <c r="Q851" s="152"/>
      <c r="R851" s="152"/>
      <c r="S851" s="152"/>
      <c r="T851" s="152"/>
      <c r="U851" s="152"/>
      <c r="V851" s="152"/>
      <c r="W851" s="152"/>
      <c r="X851" s="152"/>
      <c r="Y851" s="128"/>
      <c r="Z851" s="128"/>
    </row>
    <row r="852" spans="3:26" ht="24" x14ac:dyDescent="0.2">
      <c r="C852" s="91"/>
      <c r="D852" s="550">
        <v>45553</v>
      </c>
      <c r="E852" s="99">
        <v>2.1999999999999999E-2</v>
      </c>
      <c r="F852" s="99" t="s">
        <v>490</v>
      </c>
      <c r="G852" s="99">
        <v>2.1999999999999999E-2</v>
      </c>
      <c r="H852" s="224">
        <v>0.25</v>
      </c>
      <c r="I852" s="1029"/>
      <c r="J852" s="964"/>
      <c r="K852" s="1030"/>
      <c r="L852" s="574">
        <v>4.1666666666666664E-2</v>
      </c>
      <c r="M852" s="525"/>
      <c r="N852" s="168"/>
      <c r="O852" s="119" t="s">
        <v>813</v>
      </c>
      <c r="P852" s="171">
        <v>0.65</v>
      </c>
      <c r="Q852" s="153">
        <v>4.8136999999999999</v>
      </c>
      <c r="R852" s="154">
        <v>2.7</v>
      </c>
      <c r="S852" s="123">
        <v>1</v>
      </c>
      <c r="T852" s="129">
        <v>9.9205499999999986</v>
      </c>
      <c r="U852" s="155">
        <v>-29.957526132405437</v>
      </c>
      <c r="V852" s="156">
        <v>393.25</v>
      </c>
      <c r="W852" s="123">
        <v>4</v>
      </c>
      <c r="X852" s="157">
        <v>119.83010452962175</v>
      </c>
      <c r="Y852" s="158"/>
      <c r="Z852" s="158"/>
    </row>
    <row r="853" spans="3:26" ht="24" x14ac:dyDescent="0.2">
      <c r="C853" s="91"/>
      <c r="D853" s="550">
        <v>45518</v>
      </c>
      <c r="E853" s="99">
        <v>2.1999999999999999E-2</v>
      </c>
      <c r="F853" s="99" t="s">
        <v>971</v>
      </c>
      <c r="G853" s="99">
        <v>0.02</v>
      </c>
      <c r="H853" s="224">
        <v>0.25</v>
      </c>
      <c r="I853" s="1029"/>
      <c r="J853" s="964"/>
      <c r="K853" s="1030"/>
      <c r="L853" s="574">
        <v>4.1666666666666664E-2</v>
      </c>
      <c r="M853" s="519"/>
      <c r="N853" s="168"/>
      <c r="O853" s="119" t="s">
        <v>813</v>
      </c>
      <c r="P853" s="171">
        <v>0.65</v>
      </c>
      <c r="Q853" s="153">
        <v>4.8136999999999999</v>
      </c>
      <c r="R853" s="154">
        <v>2.7</v>
      </c>
      <c r="S853" s="123">
        <v>1</v>
      </c>
      <c r="T853" s="129">
        <v>9.9205499999999986</v>
      </c>
      <c r="U853" s="155">
        <v>-29.957526132405437</v>
      </c>
      <c r="V853" s="156">
        <v>393.25</v>
      </c>
      <c r="W853" s="123">
        <v>4</v>
      </c>
      <c r="X853" s="157">
        <v>119.83010452962175</v>
      </c>
      <c r="Y853" s="158"/>
      <c r="Z853" s="158"/>
    </row>
    <row r="854" spans="3:26" ht="24" x14ac:dyDescent="0.2">
      <c r="C854" s="91"/>
      <c r="D854" s="550">
        <v>45490</v>
      </c>
      <c r="E854" s="99">
        <v>0.02</v>
      </c>
      <c r="F854" s="99" t="s">
        <v>789</v>
      </c>
      <c r="G854" s="99">
        <v>0.02</v>
      </c>
      <c r="H854" s="224">
        <v>0.25</v>
      </c>
      <c r="I854" s="1029"/>
      <c r="J854" s="964"/>
      <c r="K854" s="1030"/>
      <c r="L854" s="574">
        <v>4.1666666666666664E-2</v>
      </c>
      <c r="M854" s="519"/>
      <c r="N854" s="168"/>
      <c r="O854" s="119"/>
      <c r="P854" s="120"/>
      <c r="Q854" s="153"/>
      <c r="R854" s="154"/>
      <c r="S854" s="123"/>
      <c r="T854" s="120"/>
      <c r="U854" s="155"/>
      <c r="V854" s="156"/>
      <c r="W854" s="123"/>
      <c r="X854" s="157"/>
      <c r="Y854" s="158"/>
      <c r="Z854" s="158"/>
    </row>
    <row r="855" spans="3:26" ht="24" x14ac:dyDescent="0.2">
      <c r="C855" s="91"/>
      <c r="D855" s="550">
        <v>45462</v>
      </c>
      <c r="E855" s="99">
        <v>0.02</v>
      </c>
      <c r="F855" s="99" t="s">
        <v>788</v>
      </c>
      <c r="G855" s="99">
        <v>2.3E-2</v>
      </c>
      <c r="H855" s="224">
        <v>0.25</v>
      </c>
      <c r="I855" s="1029"/>
      <c r="J855" s="964"/>
      <c r="K855" s="1030"/>
      <c r="L855" s="574">
        <v>4.1666666666666664E-2</v>
      </c>
      <c r="M855" s="519"/>
      <c r="N855" s="168"/>
      <c r="O855" s="89"/>
      <c r="P855" s="89"/>
      <c r="Q855" s="89"/>
      <c r="R855" s="89"/>
      <c r="S855" s="89"/>
      <c r="T855" s="89"/>
      <c r="U855" s="89"/>
      <c r="V855" s="89"/>
      <c r="W855" s="89"/>
      <c r="X855" s="89"/>
      <c r="Y855" s="89"/>
      <c r="Z855" s="89"/>
    </row>
    <row r="856" spans="3:26" ht="25" thickBot="1" x14ac:dyDescent="0.25">
      <c r="C856" s="91"/>
      <c r="D856" s="550">
        <v>45434</v>
      </c>
      <c r="E856" s="99">
        <v>2.3E-2</v>
      </c>
      <c r="F856" s="99" t="s">
        <v>1028</v>
      </c>
      <c r="G856" s="99">
        <v>3.2000000000000001E-2</v>
      </c>
      <c r="H856" s="231">
        <v>0.25</v>
      </c>
      <c r="I856" s="1031"/>
      <c r="J856" s="966"/>
      <c r="K856" s="1032"/>
      <c r="L856" s="574">
        <v>4.1666666666666664E-2</v>
      </c>
      <c r="M856" s="522"/>
      <c r="N856" s="168"/>
      <c r="O856" s="89"/>
      <c r="P856" s="89"/>
      <c r="Q856" s="89"/>
      <c r="R856" s="89"/>
      <c r="S856" s="89"/>
      <c r="T856" s="89"/>
      <c r="U856" s="89"/>
      <c r="V856" s="89"/>
      <c r="W856" s="89"/>
      <c r="X856" s="89"/>
      <c r="Y856" s="89"/>
      <c r="Z856" s="89"/>
    </row>
    <row r="857" spans="3:26" ht="49" thickBot="1" x14ac:dyDescent="0.25">
      <c r="C857" s="91">
        <v>4</v>
      </c>
      <c r="D857" s="552" t="s">
        <v>30</v>
      </c>
      <c r="E857" s="1052" t="s">
        <v>9</v>
      </c>
      <c r="F857" s="1053"/>
      <c r="G857" s="1054"/>
      <c r="H857" s="217" t="s">
        <v>790</v>
      </c>
      <c r="I857" s="1055" t="s">
        <v>633</v>
      </c>
      <c r="J857" s="1056"/>
      <c r="K857" s="1057"/>
      <c r="L857" s="570" t="s">
        <v>430</v>
      </c>
      <c r="M857" s="518" t="s">
        <v>431</v>
      </c>
      <c r="N857" s="168" t="s">
        <v>105</v>
      </c>
      <c r="O857" s="118" t="s">
        <v>800</v>
      </c>
      <c r="P857" s="118" t="s">
        <v>801</v>
      </c>
      <c r="Q857" s="118" t="s">
        <v>802</v>
      </c>
      <c r="R857" s="118" t="s">
        <v>803</v>
      </c>
      <c r="S857" s="118" t="s">
        <v>804</v>
      </c>
      <c r="T857" s="118" t="s">
        <v>805</v>
      </c>
      <c r="U857" s="118" t="s">
        <v>806</v>
      </c>
      <c r="V857" s="118" t="s">
        <v>807</v>
      </c>
      <c r="W857" s="118" t="s">
        <v>808</v>
      </c>
      <c r="X857" s="118" t="s">
        <v>809</v>
      </c>
      <c r="Y857" s="118" t="s">
        <v>75</v>
      </c>
      <c r="Z857" s="118" t="s">
        <v>75</v>
      </c>
    </row>
    <row r="858" spans="3:26" ht="24" x14ac:dyDescent="0.2">
      <c r="C858" s="91"/>
      <c r="D858" s="544" t="s">
        <v>432</v>
      </c>
      <c r="E858" s="1058"/>
      <c r="F858" s="1059"/>
      <c r="G858" s="1060"/>
      <c r="H858" s="218" t="s">
        <v>796</v>
      </c>
      <c r="I858" s="1027" t="s">
        <v>926</v>
      </c>
      <c r="J858" s="962"/>
      <c r="K858" s="1028"/>
      <c r="L858" s="559"/>
      <c r="M858" s="519"/>
      <c r="N858" s="168"/>
      <c r="O858" s="119" t="s">
        <v>810</v>
      </c>
      <c r="P858" s="171">
        <v>0.1</v>
      </c>
      <c r="Q858" s="172">
        <v>2.7E-2</v>
      </c>
      <c r="R858" s="173">
        <v>1.5999999999991132E-2</v>
      </c>
      <c r="S858" s="123"/>
      <c r="T858" s="119">
        <v>5.6499999999991134E-2</v>
      </c>
      <c r="U858" s="172">
        <v>-13.31</v>
      </c>
      <c r="V858" s="171">
        <v>91.8</v>
      </c>
      <c r="W858" s="174">
        <v>2</v>
      </c>
      <c r="X858" s="157">
        <v>26.62</v>
      </c>
      <c r="Y858" s="124"/>
      <c r="Z858" s="124"/>
    </row>
    <row r="859" spans="3:26" ht="24" x14ac:dyDescent="0.2">
      <c r="C859" s="91"/>
      <c r="D859" s="546" t="s">
        <v>433</v>
      </c>
      <c r="E859" s="1033"/>
      <c r="F859" s="1034"/>
      <c r="G859" s="1035"/>
      <c r="H859" s="218" t="s">
        <v>796</v>
      </c>
      <c r="I859" s="1029"/>
      <c r="J859" s="964"/>
      <c r="K859" s="1030"/>
      <c r="L859" s="559"/>
      <c r="M859" s="519"/>
      <c r="N859" s="168"/>
      <c r="O859" s="125"/>
      <c r="P859" s="125"/>
      <c r="Q859" s="125"/>
      <c r="R859" s="126"/>
      <c r="S859" s="127"/>
      <c r="T859" s="125"/>
      <c r="U859" s="125"/>
      <c r="V859" s="125"/>
      <c r="W859" s="127"/>
      <c r="X859" s="127"/>
      <c r="Y859" s="128"/>
      <c r="Z859" s="128"/>
    </row>
    <row r="860" spans="3:26" ht="24" x14ac:dyDescent="0.2">
      <c r="C860" s="91"/>
      <c r="D860" s="546" t="s">
        <v>434</v>
      </c>
      <c r="E860" s="1033" t="s">
        <v>1011</v>
      </c>
      <c r="F860" s="1034"/>
      <c r="G860" s="1035"/>
      <c r="H860" s="219"/>
      <c r="I860" s="1029"/>
      <c r="J860" s="964"/>
      <c r="K860" s="1030"/>
      <c r="L860" s="559"/>
      <c r="M860" s="519"/>
      <c r="N860" s="168"/>
      <c r="O860" s="129" t="s">
        <v>811</v>
      </c>
      <c r="P860" s="176">
        <v>0.1</v>
      </c>
      <c r="Q860" s="177">
        <v>8.3099999999999993E-2</v>
      </c>
      <c r="R860" s="178">
        <v>1.7000000000000001E-2</v>
      </c>
      <c r="S860" s="133">
        <v>1</v>
      </c>
      <c r="T860" s="129">
        <v>0.14165</v>
      </c>
      <c r="U860" s="134">
        <v>-33.369230088500814</v>
      </c>
      <c r="V860" s="135">
        <v>60.5</v>
      </c>
      <c r="W860" s="179">
        <v>5.49</v>
      </c>
      <c r="X860" s="137">
        <v>183.19707318586947</v>
      </c>
      <c r="Y860" s="138"/>
      <c r="Z860" s="138">
        <v>4.4350000000000005</v>
      </c>
    </row>
    <row r="861" spans="3:26" ht="25" thickBot="1" x14ac:dyDescent="0.25">
      <c r="C861" s="91"/>
      <c r="D861" s="547" t="s">
        <v>435</v>
      </c>
      <c r="E861" s="1039">
        <v>0.64583333333333337</v>
      </c>
      <c r="F861" s="1040"/>
      <c r="G861" s="1041"/>
      <c r="H861" s="233">
        <v>0.4375</v>
      </c>
      <c r="I861" s="1029"/>
      <c r="J861" s="964"/>
      <c r="K861" s="1030"/>
      <c r="L861" s="560">
        <v>0.875</v>
      </c>
      <c r="M861" s="520">
        <v>0.72916666666666663</v>
      </c>
      <c r="N861" s="168"/>
      <c r="O861" s="139" t="s">
        <v>812</v>
      </c>
      <c r="P861" s="180">
        <v>0.1</v>
      </c>
      <c r="Q861" s="160">
        <v>9.1333333333333336E-2</v>
      </c>
      <c r="R861" s="181">
        <v>1.7000000000000001E-2</v>
      </c>
      <c r="S861" s="143">
        <v>1</v>
      </c>
      <c r="T861" s="182">
        <v>0.154</v>
      </c>
      <c r="U861" s="144">
        <v>-36.278584070802154</v>
      </c>
      <c r="V861" s="145">
        <v>60.5</v>
      </c>
      <c r="W861" s="183">
        <v>4.0600000000000005</v>
      </c>
      <c r="X861" s="147">
        <v>147.29105132745676</v>
      </c>
      <c r="Y861" s="148"/>
      <c r="Z861" s="148"/>
    </row>
    <row r="862" spans="3:26" ht="25" thickBot="1" x14ac:dyDescent="0.25">
      <c r="C862" s="91"/>
      <c r="D862" s="549" t="s">
        <v>436</v>
      </c>
      <c r="E862" s="93" t="s">
        <v>29</v>
      </c>
      <c r="F862" s="93" t="s">
        <v>28</v>
      </c>
      <c r="G862" s="94" t="s">
        <v>27</v>
      </c>
      <c r="H862" s="230" t="s">
        <v>793</v>
      </c>
      <c r="I862" s="1029"/>
      <c r="J862" s="964"/>
      <c r="K862" s="1030"/>
      <c r="L862" s="573" t="s">
        <v>1002</v>
      </c>
      <c r="M862" s="523"/>
      <c r="N862" s="168"/>
      <c r="O862" s="127"/>
      <c r="P862" s="149"/>
      <c r="Q862" s="127"/>
      <c r="R862" s="127"/>
      <c r="S862" s="127"/>
      <c r="T862" s="127"/>
      <c r="U862" s="150"/>
      <c r="V862" s="151"/>
      <c r="W862" s="127"/>
      <c r="X862" s="150"/>
      <c r="Y862" s="128"/>
      <c r="Z862" s="128"/>
    </row>
    <row r="863" spans="3:26" ht="24" x14ac:dyDescent="0.2">
      <c r="C863" s="91"/>
      <c r="D863" s="550">
        <v>45610</v>
      </c>
      <c r="E863" s="99" t="s">
        <v>1029</v>
      </c>
      <c r="F863" s="99" t="s">
        <v>1030</v>
      </c>
      <c r="G863" s="99" t="s">
        <v>988</v>
      </c>
      <c r="H863" s="224">
        <v>0.66666666666666663</v>
      </c>
      <c r="I863" s="1029"/>
      <c r="J863" s="964"/>
      <c r="K863" s="1030"/>
      <c r="L863" s="574">
        <v>0.45833333333333331</v>
      </c>
      <c r="M863" s="524"/>
      <c r="N863" s="168"/>
      <c r="O863" s="152"/>
      <c r="P863" s="128"/>
      <c r="Q863" s="152"/>
      <c r="R863" s="152"/>
      <c r="S863" s="152"/>
      <c r="T863" s="152"/>
      <c r="U863" s="152"/>
      <c r="V863" s="152"/>
      <c r="W863" s="152"/>
      <c r="X863" s="152"/>
      <c r="Y863" s="128"/>
      <c r="Z863" s="128"/>
    </row>
    <row r="864" spans="3:26" ht="24" x14ac:dyDescent="0.2">
      <c r="C864" s="91"/>
      <c r="D864" s="550">
        <v>45602</v>
      </c>
      <c r="E864" s="99" t="s">
        <v>988</v>
      </c>
      <c r="F864" s="99" t="s">
        <v>989</v>
      </c>
      <c r="G864" s="99" t="s">
        <v>990</v>
      </c>
      <c r="H864" s="224">
        <v>0.64583333333333337</v>
      </c>
      <c r="I864" s="1029"/>
      <c r="J864" s="964"/>
      <c r="K864" s="1030"/>
      <c r="L864" s="574">
        <v>0.4375</v>
      </c>
      <c r="M864" s="525"/>
      <c r="N864" s="168"/>
      <c r="O864" s="119" t="s">
        <v>813</v>
      </c>
      <c r="P864" s="171">
        <v>0.1</v>
      </c>
      <c r="Q864" s="153">
        <v>8.7216666666666665E-2</v>
      </c>
      <c r="R864" s="154">
        <v>1.7000000000000001E-2</v>
      </c>
      <c r="S864" s="123">
        <v>1</v>
      </c>
      <c r="T864" s="129">
        <v>0.14782499999999998</v>
      </c>
      <c r="U864" s="155">
        <v>-34.823907079651477</v>
      </c>
      <c r="V864" s="156">
        <v>60.5</v>
      </c>
      <c r="W864" s="123">
        <v>2</v>
      </c>
      <c r="X864" s="157">
        <v>69.647814159302953</v>
      </c>
      <c r="Y864" s="158"/>
      <c r="Z864" s="158"/>
    </row>
    <row r="865" spans="3:26" ht="24" x14ac:dyDescent="0.2">
      <c r="C865" s="91"/>
      <c r="D865" s="550">
        <v>45595</v>
      </c>
      <c r="E865" s="99" t="s">
        <v>990</v>
      </c>
      <c r="F865" s="99" t="s">
        <v>991</v>
      </c>
      <c r="G865" s="99" t="s">
        <v>992</v>
      </c>
      <c r="H865" s="224">
        <v>0.60416666666666663</v>
      </c>
      <c r="I865" s="1029"/>
      <c r="J865" s="964"/>
      <c r="K865" s="1030"/>
      <c r="L865" s="574">
        <v>0.39583333333333331</v>
      </c>
      <c r="M865" s="519"/>
      <c r="N865" s="168"/>
      <c r="O865" s="119"/>
      <c r="P865" s="119"/>
      <c r="Q865" s="153"/>
      <c r="R865" s="154"/>
      <c r="S865" s="123"/>
      <c r="T865" s="171"/>
      <c r="U865" s="155"/>
      <c r="V865" s="156"/>
      <c r="W865" s="123"/>
      <c r="X865" s="157"/>
      <c r="Y865" s="158"/>
      <c r="Z865" s="158"/>
    </row>
    <row r="866" spans="3:26" ht="24" x14ac:dyDescent="0.2">
      <c r="C866" s="91"/>
      <c r="D866" s="550">
        <v>45588</v>
      </c>
      <c r="E866" s="99" t="s">
        <v>992</v>
      </c>
      <c r="F866" s="99" t="s">
        <v>993</v>
      </c>
      <c r="G866" s="99" t="s">
        <v>994</v>
      </c>
      <c r="H866" s="224">
        <v>0.60416666666666663</v>
      </c>
      <c r="I866" s="1029"/>
      <c r="J866" s="964"/>
      <c r="K866" s="1030"/>
      <c r="L866" s="574">
        <v>0.39583333333333331</v>
      </c>
      <c r="M866" s="519"/>
      <c r="N866" s="168"/>
      <c r="O866" s="119" t="s">
        <v>816</v>
      </c>
      <c r="P866" s="120"/>
      <c r="Q866" s="153"/>
      <c r="R866" s="154"/>
      <c r="S866" s="123"/>
      <c r="T866" s="120"/>
      <c r="U866" s="155">
        <v>0</v>
      </c>
      <c r="V866" s="156"/>
      <c r="W866" s="123"/>
      <c r="X866" s="157">
        <v>0</v>
      </c>
      <c r="Y866" s="158"/>
      <c r="Z866" s="158"/>
    </row>
    <row r="867" spans="3:26" ht="24" x14ac:dyDescent="0.2">
      <c r="C867" s="91"/>
      <c r="D867" s="550">
        <v>45582</v>
      </c>
      <c r="E867" s="99" t="s">
        <v>994</v>
      </c>
      <c r="F867" s="99" t="s">
        <v>995</v>
      </c>
      <c r="G867" s="99" t="s">
        <v>996</v>
      </c>
      <c r="H867" s="224">
        <v>0.625</v>
      </c>
      <c r="I867" s="1029"/>
      <c r="J867" s="964"/>
      <c r="K867" s="1030"/>
      <c r="L867" s="574">
        <v>0.41666666666666669</v>
      </c>
      <c r="M867" s="519"/>
      <c r="N867" s="168"/>
      <c r="O867" s="89"/>
      <c r="P867" s="89"/>
      <c r="Q867" s="89"/>
      <c r="R867" s="89"/>
      <c r="S867" s="89"/>
      <c r="T867" s="89"/>
      <c r="U867" s="89"/>
      <c r="V867" s="89"/>
      <c r="W867" s="89"/>
      <c r="X867" s="89"/>
      <c r="Y867" s="89"/>
      <c r="Z867" s="89"/>
    </row>
    <row r="868" spans="3:26" ht="25" thickBot="1" x14ac:dyDescent="0.25">
      <c r="C868" s="91"/>
      <c r="D868" s="550">
        <v>45574</v>
      </c>
      <c r="E868" s="99" t="s">
        <v>996</v>
      </c>
      <c r="F868" s="99" t="s">
        <v>997</v>
      </c>
      <c r="G868" s="99" t="s">
        <v>998</v>
      </c>
      <c r="H868" s="231">
        <v>0.60416666666666663</v>
      </c>
      <c r="I868" s="1031"/>
      <c r="J868" s="966"/>
      <c r="K868" s="1032"/>
      <c r="L868" s="574">
        <v>0.39583333333333331</v>
      </c>
      <c r="M868" s="522"/>
      <c r="N868" s="168"/>
      <c r="O868" s="89"/>
      <c r="P868" s="89"/>
      <c r="Q868" s="89"/>
      <c r="R868" s="89"/>
      <c r="S868" s="89"/>
      <c r="T868" s="89"/>
      <c r="U868" s="89"/>
      <c r="V868" s="89"/>
      <c r="W868" s="89"/>
      <c r="X868" s="89"/>
      <c r="Y868" s="89"/>
      <c r="Z868" s="89"/>
    </row>
    <row r="869" spans="3:26" ht="49" thickBot="1" x14ac:dyDescent="0.25">
      <c r="C869" s="91">
        <v>5</v>
      </c>
      <c r="D869" s="552" t="s">
        <v>30</v>
      </c>
      <c r="E869" s="1052" t="s">
        <v>1012</v>
      </c>
      <c r="F869" s="1053"/>
      <c r="G869" s="1054"/>
      <c r="H869" s="217" t="s">
        <v>790</v>
      </c>
      <c r="I869" s="1055" t="s">
        <v>633</v>
      </c>
      <c r="J869" s="1056"/>
      <c r="K869" s="1057"/>
      <c r="L869" s="570" t="s">
        <v>430</v>
      </c>
      <c r="M869" s="518" t="s">
        <v>431</v>
      </c>
      <c r="N869" s="168" t="s">
        <v>105</v>
      </c>
      <c r="O869" s="118" t="s">
        <v>800</v>
      </c>
      <c r="P869" s="118" t="s">
        <v>801</v>
      </c>
      <c r="Q869" s="118" t="s">
        <v>802</v>
      </c>
      <c r="R869" s="118" t="s">
        <v>803</v>
      </c>
      <c r="S869" s="118" t="s">
        <v>804</v>
      </c>
      <c r="T869" s="118" t="s">
        <v>805</v>
      </c>
      <c r="U869" s="118" t="s">
        <v>806</v>
      </c>
      <c r="V869" s="118" t="s">
        <v>807</v>
      </c>
      <c r="W869" s="118" t="s">
        <v>808</v>
      </c>
      <c r="X869" s="118" t="s">
        <v>809</v>
      </c>
      <c r="Y869" s="118" t="s">
        <v>75</v>
      </c>
      <c r="Z869" s="118" t="s">
        <v>75</v>
      </c>
    </row>
    <row r="870" spans="3:26" ht="24" x14ac:dyDescent="0.2">
      <c r="C870" s="91"/>
      <c r="D870" s="544" t="s">
        <v>432</v>
      </c>
      <c r="E870" s="1058"/>
      <c r="F870" s="1059"/>
      <c r="G870" s="1060"/>
      <c r="H870" s="218" t="s">
        <v>1059</v>
      </c>
      <c r="I870" s="1027" t="s">
        <v>1013</v>
      </c>
      <c r="J870" s="962"/>
      <c r="K870" s="1028"/>
      <c r="L870" s="559"/>
      <c r="M870" s="519"/>
      <c r="N870" s="168"/>
      <c r="O870" s="119" t="s">
        <v>810</v>
      </c>
      <c r="P870" s="171">
        <v>0.1</v>
      </c>
      <c r="Q870" s="172">
        <v>1.82</v>
      </c>
      <c r="R870" s="173">
        <v>3</v>
      </c>
      <c r="S870" s="123"/>
      <c r="T870" s="119">
        <v>5.73</v>
      </c>
      <c r="U870" s="172">
        <v>-2.16</v>
      </c>
      <c r="V870" s="171">
        <v>91.8</v>
      </c>
      <c r="W870" s="174">
        <v>2</v>
      </c>
      <c r="X870" s="157">
        <v>4.32</v>
      </c>
      <c r="Y870" s="124"/>
      <c r="Z870" s="124"/>
    </row>
    <row r="871" spans="3:26" ht="24" x14ac:dyDescent="0.2">
      <c r="C871" s="91"/>
      <c r="D871" s="546" t="s">
        <v>433</v>
      </c>
      <c r="E871" s="1036">
        <v>32.97</v>
      </c>
      <c r="F871" s="1037"/>
      <c r="G871" s="1038"/>
      <c r="H871" s="218" t="s">
        <v>1059</v>
      </c>
      <c r="I871" s="1029"/>
      <c r="J871" s="964"/>
      <c r="K871" s="1030"/>
      <c r="L871" s="559"/>
      <c r="M871" s="519"/>
      <c r="N871" s="168"/>
      <c r="O871" s="125"/>
      <c r="P871" s="125"/>
      <c r="Q871" s="125"/>
      <c r="R871" s="126"/>
      <c r="S871" s="127"/>
      <c r="T871" s="125"/>
      <c r="U871" s="125"/>
      <c r="V871" s="125"/>
      <c r="W871" s="127"/>
      <c r="X871" s="127"/>
      <c r="Y871" s="128"/>
      <c r="Z871" s="128"/>
    </row>
    <row r="872" spans="3:26" ht="24" x14ac:dyDescent="0.2">
      <c r="C872" s="91"/>
      <c r="D872" s="546" t="s">
        <v>434</v>
      </c>
      <c r="E872" s="1033"/>
      <c r="F872" s="1034"/>
      <c r="G872" s="1035"/>
      <c r="H872" s="219"/>
      <c r="I872" s="1029"/>
      <c r="J872" s="964"/>
      <c r="K872" s="1030"/>
      <c r="L872" s="559"/>
      <c r="M872" s="519"/>
      <c r="N872" s="168"/>
      <c r="O872" s="129" t="s">
        <v>811</v>
      </c>
      <c r="P872" s="176">
        <v>0.15</v>
      </c>
      <c r="Q872" s="177">
        <v>20.9971</v>
      </c>
      <c r="R872" s="178">
        <v>3</v>
      </c>
      <c r="S872" s="133">
        <v>1</v>
      </c>
      <c r="T872" s="129">
        <v>34.495649999999998</v>
      </c>
      <c r="U872" s="134">
        <v>-19.505393717277485</v>
      </c>
      <c r="V872" s="135">
        <v>90.749999999999986</v>
      </c>
      <c r="W872" s="179">
        <v>8.0299999999999994</v>
      </c>
      <c r="X872" s="137">
        <v>156.62831154973819</v>
      </c>
      <c r="Y872" s="138"/>
      <c r="Z872" s="138"/>
    </row>
    <row r="873" spans="3:26" ht="25" thickBot="1" x14ac:dyDescent="0.25">
      <c r="C873" s="91"/>
      <c r="D873" s="547" t="s">
        <v>435</v>
      </c>
      <c r="E873" s="1039">
        <v>1</v>
      </c>
      <c r="F873" s="1040"/>
      <c r="G873" s="1041"/>
      <c r="H873" s="233"/>
      <c r="I873" s="1029"/>
      <c r="J873" s="964"/>
      <c r="K873" s="1030"/>
      <c r="L873" s="560">
        <v>0.10416666666666667</v>
      </c>
      <c r="M873" s="520">
        <v>1</v>
      </c>
      <c r="N873" s="168"/>
      <c r="O873" s="139" t="s">
        <v>812</v>
      </c>
      <c r="P873" s="180">
        <v>0.25</v>
      </c>
      <c r="Q873" s="160">
        <v>13.426666666666668</v>
      </c>
      <c r="R873" s="181">
        <v>3</v>
      </c>
      <c r="S873" s="143">
        <v>1</v>
      </c>
      <c r="T873" s="182">
        <v>23.14</v>
      </c>
      <c r="U873" s="144">
        <v>-21.807329842931939</v>
      </c>
      <c r="V873" s="145">
        <v>151.25</v>
      </c>
      <c r="W873" s="183">
        <v>4.75</v>
      </c>
      <c r="X873" s="147">
        <v>103.5848167539267</v>
      </c>
      <c r="Y873" s="148"/>
      <c r="Z873" s="148"/>
    </row>
    <row r="874" spans="3:26" ht="25" thickBot="1" x14ac:dyDescent="0.25">
      <c r="C874" s="91"/>
      <c r="D874" s="549" t="s">
        <v>436</v>
      </c>
      <c r="E874" s="93" t="s">
        <v>29</v>
      </c>
      <c r="F874" s="93" t="s">
        <v>28</v>
      </c>
      <c r="G874" s="94" t="s">
        <v>27</v>
      </c>
      <c r="H874" s="230" t="s">
        <v>793</v>
      </c>
      <c r="I874" s="1029"/>
      <c r="J874" s="964"/>
      <c r="K874" s="1030"/>
      <c r="L874" s="573" t="s">
        <v>1002</v>
      </c>
      <c r="M874" s="523"/>
      <c r="N874" s="168"/>
      <c r="O874" s="127"/>
      <c r="P874" s="149"/>
      <c r="Q874" s="127"/>
      <c r="R874" s="127"/>
      <c r="S874" s="127"/>
      <c r="T874" s="127"/>
      <c r="U874" s="150"/>
      <c r="V874" s="151"/>
      <c r="W874" s="127"/>
      <c r="X874" s="150"/>
      <c r="Y874" s="128"/>
      <c r="Z874" s="128"/>
    </row>
    <row r="875" spans="3:26" ht="23" x14ac:dyDescent="0.2">
      <c r="C875" s="91"/>
      <c r="D875" s="550">
        <v>45532</v>
      </c>
      <c r="E875" s="95">
        <v>0.68</v>
      </c>
      <c r="F875" s="95">
        <v>0.64</v>
      </c>
      <c r="G875" s="99"/>
      <c r="H875" s="224">
        <v>0.95833333333333337</v>
      </c>
      <c r="I875" s="1029"/>
      <c r="J875" s="964"/>
      <c r="K875" s="1030"/>
      <c r="L875" s="574">
        <v>0</v>
      </c>
      <c r="M875" s="524"/>
      <c r="N875" s="168"/>
      <c r="O875" s="152"/>
      <c r="P875" s="128"/>
      <c r="Q875" s="152"/>
      <c r="R875" s="152"/>
      <c r="S875" s="152"/>
      <c r="T875" s="152"/>
      <c r="U875" s="152"/>
      <c r="V875" s="152"/>
      <c r="W875" s="152"/>
      <c r="X875" s="152"/>
      <c r="Y875" s="128"/>
      <c r="Z875" s="128"/>
    </row>
    <row r="876" spans="3:26" ht="23" x14ac:dyDescent="0.2">
      <c r="C876" s="91"/>
      <c r="D876" s="550">
        <v>45434</v>
      </c>
      <c r="E876" s="95">
        <v>0.61</v>
      </c>
      <c r="F876" s="95">
        <v>0.55000000000000004</v>
      </c>
      <c r="G876" s="99"/>
      <c r="H876" s="224">
        <v>0.95833333333333337</v>
      </c>
      <c r="I876" s="1029"/>
      <c r="J876" s="964"/>
      <c r="K876" s="1030"/>
      <c r="L876" s="574">
        <v>0</v>
      </c>
      <c r="M876" s="525"/>
      <c r="N876" s="168"/>
      <c r="O876" s="119" t="s">
        <v>813</v>
      </c>
      <c r="P876" s="171">
        <v>0.1</v>
      </c>
      <c r="Q876" s="153">
        <v>17.211883333333333</v>
      </c>
      <c r="R876" s="154">
        <v>3</v>
      </c>
      <c r="S876" s="123">
        <v>1.5</v>
      </c>
      <c r="T876" s="129">
        <v>28.817824999999999</v>
      </c>
      <c r="U876" s="155">
        <v>-16.294895811518327</v>
      </c>
      <c r="V876" s="156">
        <v>60.5</v>
      </c>
      <c r="W876" s="123">
        <v>2</v>
      </c>
      <c r="X876" s="157">
        <v>32.589791623036653</v>
      </c>
      <c r="Y876" s="158"/>
      <c r="Z876" s="158"/>
    </row>
    <row r="877" spans="3:26" ht="23" x14ac:dyDescent="0.2">
      <c r="C877" s="91"/>
      <c r="D877" s="550">
        <v>45343</v>
      </c>
      <c r="E877" s="95">
        <v>0.52</v>
      </c>
      <c r="F877" s="95">
        <v>0.46</v>
      </c>
      <c r="G877" s="99"/>
      <c r="H877" s="224">
        <v>0</v>
      </c>
      <c r="I877" s="1029"/>
      <c r="J877" s="964"/>
      <c r="K877" s="1030"/>
      <c r="L877" s="574">
        <v>0</v>
      </c>
      <c r="M877" s="519"/>
      <c r="N877" s="168"/>
      <c r="O877" s="119" t="s">
        <v>813</v>
      </c>
      <c r="P877" s="171">
        <v>0.1</v>
      </c>
      <c r="Q877" s="153">
        <v>17.211883333333333</v>
      </c>
      <c r="R877" s="154">
        <v>3</v>
      </c>
      <c r="S877" s="123">
        <v>1.5</v>
      </c>
      <c r="T877" s="129">
        <v>28.817824999999999</v>
      </c>
      <c r="U877" s="155">
        <v>-16.294895811518327</v>
      </c>
      <c r="V877" s="156">
        <v>60.5</v>
      </c>
      <c r="W877" s="123">
        <v>2</v>
      </c>
      <c r="X877" s="157">
        <v>32.589791623036653</v>
      </c>
      <c r="Y877" s="158"/>
      <c r="Z877" s="158"/>
    </row>
    <row r="878" spans="3:26" ht="23" x14ac:dyDescent="0.2">
      <c r="C878" s="91"/>
      <c r="D878" s="550">
        <v>45251</v>
      </c>
      <c r="E878" s="95">
        <v>0.4</v>
      </c>
      <c r="F878" s="95">
        <v>0.34</v>
      </c>
      <c r="G878" s="99"/>
      <c r="H878" s="224">
        <v>0</v>
      </c>
      <c r="I878" s="1029"/>
      <c r="J878" s="964"/>
      <c r="K878" s="1030"/>
      <c r="L878" s="574">
        <v>0</v>
      </c>
      <c r="M878" s="519"/>
      <c r="N878" s="168"/>
      <c r="O878" s="119"/>
      <c r="P878" s="120"/>
      <c r="Q878" s="153"/>
      <c r="R878" s="154"/>
      <c r="S878" s="123"/>
      <c r="T878" s="120"/>
      <c r="U878" s="155"/>
      <c r="V878" s="156"/>
      <c r="W878" s="123"/>
      <c r="X878" s="157"/>
      <c r="Y878" s="158"/>
      <c r="Z878" s="158"/>
    </row>
    <row r="879" spans="3:26" ht="23" x14ac:dyDescent="0.2">
      <c r="C879" s="91"/>
      <c r="D879" s="550">
        <v>45161</v>
      </c>
      <c r="E879" s="95">
        <v>0.27</v>
      </c>
      <c r="F879" s="95">
        <v>0.21</v>
      </c>
      <c r="G879" s="99"/>
      <c r="H879" s="224">
        <v>0.95833333333333337</v>
      </c>
      <c r="I879" s="1029"/>
      <c r="J879" s="964"/>
      <c r="K879" s="1030"/>
      <c r="L879" s="574">
        <v>0</v>
      </c>
      <c r="M879" s="519"/>
      <c r="N879" s="168"/>
      <c r="O879" s="89"/>
      <c r="P879" s="89"/>
      <c r="Q879" s="89"/>
      <c r="R879" s="89"/>
      <c r="S879" s="89"/>
      <c r="T879" s="89"/>
      <c r="U879" s="89"/>
      <c r="V879" s="89"/>
      <c r="W879" s="89"/>
      <c r="X879" s="89"/>
      <c r="Y879" s="89"/>
      <c r="Z879" s="89"/>
    </row>
    <row r="880" spans="3:26" ht="24" thickBot="1" x14ac:dyDescent="0.25">
      <c r="C880" s="91"/>
      <c r="D880" s="550">
        <v>45070</v>
      </c>
      <c r="E880" s="95">
        <v>0.11</v>
      </c>
      <c r="F880" s="95">
        <v>0.09</v>
      </c>
      <c r="G880" s="99"/>
      <c r="H880" s="224">
        <v>0.95833333333333337</v>
      </c>
      <c r="I880" s="1031"/>
      <c r="J880" s="966"/>
      <c r="K880" s="1032"/>
      <c r="L880" s="574">
        <v>0</v>
      </c>
      <c r="M880" s="522"/>
      <c r="N880" s="168"/>
      <c r="O880" s="89"/>
      <c r="P880" s="89"/>
      <c r="Q880" s="89"/>
      <c r="R880" s="89"/>
      <c r="S880" s="89"/>
      <c r="T880" s="89"/>
      <c r="U880" s="89"/>
      <c r="V880" s="89"/>
      <c r="W880" s="89"/>
      <c r="X880" s="89"/>
      <c r="Y880" s="89"/>
      <c r="Z880" s="89"/>
    </row>
    <row r="881" spans="3:26" ht="49" thickBot="1" x14ac:dyDescent="0.25">
      <c r="C881" s="91">
        <v>6</v>
      </c>
      <c r="D881" s="552" t="s">
        <v>30</v>
      </c>
      <c r="E881" s="1052" t="s">
        <v>14</v>
      </c>
      <c r="F881" s="1053"/>
      <c r="G881" s="1054"/>
      <c r="H881" s="217" t="s">
        <v>790</v>
      </c>
      <c r="I881" s="1055" t="s">
        <v>633</v>
      </c>
      <c r="J881" s="1056"/>
      <c r="K881" s="1057"/>
      <c r="L881" s="570" t="s">
        <v>430</v>
      </c>
      <c r="M881" s="518" t="s">
        <v>431</v>
      </c>
      <c r="N881" s="168" t="s">
        <v>105</v>
      </c>
      <c r="O881" s="118" t="s">
        <v>800</v>
      </c>
      <c r="P881" s="118" t="s">
        <v>801</v>
      </c>
      <c r="Q881" s="118" t="s">
        <v>802</v>
      </c>
      <c r="R881" s="118" t="s">
        <v>803</v>
      </c>
      <c r="S881" s="118" t="s">
        <v>804</v>
      </c>
      <c r="T881" s="118" t="s">
        <v>805</v>
      </c>
      <c r="U881" s="118" t="s">
        <v>806</v>
      </c>
      <c r="V881" s="118" t="s">
        <v>807</v>
      </c>
      <c r="W881" s="118" t="s">
        <v>808</v>
      </c>
      <c r="X881" s="118" t="s">
        <v>809</v>
      </c>
      <c r="Y881" s="118" t="s">
        <v>75</v>
      </c>
      <c r="Z881" s="118" t="s">
        <v>75</v>
      </c>
    </row>
    <row r="882" spans="3:26" ht="24" x14ac:dyDescent="0.2">
      <c r="C882" s="91"/>
      <c r="D882" s="544" t="s">
        <v>432</v>
      </c>
      <c r="E882" s="1024"/>
      <c r="F882" s="1025"/>
      <c r="G882" s="1026"/>
      <c r="H882" s="218" t="s">
        <v>906</v>
      </c>
      <c r="I882" s="1027" t="s">
        <v>955</v>
      </c>
      <c r="J882" s="962"/>
      <c r="K882" s="1028"/>
      <c r="L882" s="559"/>
      <c r="M882" s="519"/>
      <c r="N882" s="168"/>
      <c r="O882" s="119" t="s">
        <v>810</v>
      </c>
      <c r="P882" s="171">
        <v>0.1</v>
      </c>
      <c r="Q882" s="172">
        <v>0.03</v>
      </c>
      <c r="R882" s="173">
        <v>1.5999999999991132E-2</v>
      </c>
      <c r="S882" s="123"/>
      <c r="T882" s="119">
        <v>6.0999999999991131E-2</v>
      </c>
      <c r="U882" s="172">
        <v>-14.17</v>
      </c>
      <c r="V882" s="171">
        <v>91.8</v>
      </c>
      <c r="W882" s="174">
        <v>2</v>
      </c>
      <c r="X882" s="157">
        <v>28.34</v>
      </c>
      <c r="Y882" s="124"/>
      <c r="Z882" s="124"/>
    </row>
    <row r="883" spans="3:26" ht="24" x14ac:dyDescent="0.2">
      <c r="C883" s="91"/>
      <c r="D883" s="546" t="s">
        <v>433</v>
      </c>
      <c r="E883" s="1033" t="s">
        <v>1014</v>
      </c>
      <c r="F883" s="1034"/>
      <c r="G883" s="1035"/>
      <c r="H883" s="218" t="s">
        <v>907</v>
      </c>
      <c r="I883" s="1029"/>
      <c r="J883" s="964"/>
      <c r="K883" s="1030"/>
      <c r="L883" s="559"/>
      <c r="M883" s="519"/>
      <c r="N883" s="168"/>
      <c r="O883" s="125"/>
      <c r="P883" s="125"/>
      <c r="Q883" s="125"/>
      <c r="R883" s="126"/>
      <c r="S883" s="127"/>
      <c r="T883" s="125"/>
      <c r="U883" s="125"/>
      <c r="V883" s="125"/>
      <c r="W883" s="127"/>
      <c r="X883" s="127"/>
      <c r="Y883" s="128"/>
      <c r="Z883" s="128"/>
    </row>
    <row r="884" spans="3:26" ht="24" x14ac:dyDescent="0.2">
      <c r="C884" s="91"/>
      <c r="D884" s="546" t="s">
        <v>434</v>
      </c>
      <c r="E884" s="1033" t="s">
        <v>1015</v>
      </c>
      <c r="F884" s="1034"/>
      <c r="G884" s="1035"/>
      <c r="H884" s="219"/>
      <c r="I884" s="1029"/>
      <c r="J884" s="964"/>
      <c r="K884" s="1030"/>
      <c r="L884" s="559"/>
      <c r="M884" s="519"/>
      <c r="N884" s="168"/>
      <c r="O884" s="129" t="s">
        <v>811</v>
      </c>
      <c r="P884" s="176">
        <v>0.05</v>
      </c>
      <c r="Q884" s="177">
        <v>7.51E-2</v>
      </c>
      <c r="R884" s="178">
        <v>7.0000000000000007E-2</v>
      </c>
      <c r="S884" s="133">
        <v>1</v>
      </c>
      <c r="T884" s="129">
        <v>0.18265000000000001</v>
      </c>
      <c r="U884" s="134">
        <v>-21.214348360658821</v>
      </c>
      <c r="V884" s="135">
        <v>30.25</v>
      </c>
      <c r="W884" s="179">
        <v>2.94</v>
      </c>
      <c r="X884" s="137">
        <v>62.370184180336935</v>
      </c>
      <c r="Y884" s="138"/>
      <c r="Z884" s="138">
        <v>4.4350000000000005</v>
      </c>
    </row>
    <row r="885" spans="3:26" ht="25" thickBot="1" x14ac:dyDescent="0.25">
      <c r="C885" s="91"/>
      <c r="D885" s="547" t="s">
        <v>435</v>
      </c>
      <c r="E885" s="1039">
        <v>0.5625</v>
      </c>
      <c r="F885" s="1040"/>
      <c r="G885" s="1041"/>
      <c r="H885" s="233">
        <v>0.35416666666666663</v>
      </c>
      <c r="I885" s="1029"/>
      <c r="J885" s="964"/>
      <c r="K885" s="1030"/>
      <c r="L885" s="560">
        <v>0.79166666666666663</v>
      </c>
      <c r="M885" s="520">
        <v>0.64583333333333326</v>
      </c>
      <c r="N885" s="168"/>
      <c r="O885" s="139" t="s">
        <v>812</v>
      </c>
      <c r="P885" s="180">
        <v>0.05</v>
      </c>
      <c r="Q885" s="160">
        <v>0.10166666666666667</v>
      </c>
      <c r="R885" s="181">
        <v>7.0000000000000007E-2</v>
      </c>
      <c r="S885" s="143">
        <v>1</v>
      </c>
      <c r="T885" s="182">
        <v>0.2225</v>
      </c>
      <c r="U885" s="144">
        <v>-25.842827868856215</v>
      </c>
      <c r="V885" s="145">
        <v>30.25</v>
      </c>
      <c r="W885" s="183">
        <v>3.19</v>
      </c>
      <c r="X885" s="147">
        <v>82.438620901651319</v>
      </c>
      <c r="Y885" s="148"/>
      <c r="Z885" s="148"/>
    </row>
    <row r="886" spans="3:26" ht="25" thickBot="1" x14ac:dyDescent="0.25">
      <c r="C886" s="91"/>
      <c r="D886" s="549" t="s">
        <v>436</v>
      </c>
      <c r="E886" s="93" t="s">
        <v>29</v>
      </c>
      <c r="F886" s="93" t="s">
        <v>28</v>
      </c>
      <c r="G886" s="94" t="s">
        <v>27</v>
      </c>
      <c r="H886" s="230" t="s">
        <v>793</v>
      </c>
      <c r="I886" s="1029"/>
      <c r="J886" s="964"/>
      <c r="K886" s="1030"/>
      <c r="L886" s="573" t="s">
        <v>1002</v>
      </c>
      <c r="M886" s="523"/>
      <c r="N886" s="168"/>
      <c r="O886" s="127"/>
      <c r="P886" s="149"/>
      <c r="Q886" s="127"/>
      <c r="R886" s="127"/>
      <c r="S886" s="127"/>
      <c r="T886" s="127"/>
      <c r="U886" s="150"/>
      <c r="V886" s="151"/>
      <c r="W886" s="127"/>
      <c r="X886" s="150"/>
      <c r="Y886" s="128"/>
      <c r="Z886" s="128"/>
    </row>
    <row r="887" spans="3:26" ht="24" x14ac:dyDescent="0.2">
      <c r="C887" s="91"/>
      <c r="D887" s="550">
        <v>45610</v>
      </c>
      <c r="E887" s="99" t="s">
        <v>1031</v>
      </c>
      <c r="F887" s="99" t="s">
        <v>1032</v>
      </c>
      <c r="G887" s="99" t="s">
        <v>972</v>
      </c>
      <c r="H887" s="224">
        <v>0.5625</v>
      </c>
      <c r="I887" s="1029"/>
      <c r="J887" s="964"/>
      <c r="K887" s="1030"/>
      <c r="L887" s="574">
        <v>0.35416666666666663</v>
      </c>
      <c r="M887" s="524"/>
      <c r="N887" s="168"/>
      <c r="O887" s="152"/>
      <c r="P887" s="128"/>
      <c r="Q887" s="152"/>
      <c r="R887" s="152"/>
      <c r="S887" s="152"/>
      <c r="T887" s="152"/>
      <c r="U887" s="152"/>
      <c r="V887" s="152"/>
      <c r="W887" s="152"/>
      <c r="X887" s="152"/>
      <c r="Y887" s="128"/>
      <c r="Z887" s="128"/>
    </row>
    <row r="888" spans="3:26" ht="24" x14ac:dyDescent="0.2">
      <c r="C888" s="91"/>
      <c r="D888" s="550">
        <v>45603</v>
      </c>
      <c r="E888" s="99" t="s">
        <v>972</v>
      </c>
      <c r="F888" s="99" t="s">
        <v>973</v>
      </c>
      <c r="G888" s="99" t="s">
        <v>974</v>
      </c>
      <c r="H888" s="224">
        <v>0.5625</v>
      </c>
      <c r="I888" s="1029"/>
      <c r="J888" s="964"/>
      <c r="K888" s="1030"/>
      <c r="L888" s="574">
        <v>0.35416666666666663</v>
      </c>
      <c r="M888" s="525"/>
      <c r="N888" s="168"/>
      <c r="O888" s="119" t="s">
        <v>813</v>
      </c>
      <c r="P888" s="171">
        <v>-0.05</v>
      </c>
      <c r="Q888" s="153">
        <v>8.8383333333333342E-2</v>
      </c>
      <c r="R888" s="154">
        <v>7.0000000000000007E-2</v>
      </c>
      <c r="S888" s="123">
        <v>-1</v>
      </c>
      <c r="T888" s="129">
        <v>0.20257500000000001</v>
      </c>
      <c r="U888" s="155">
        <v>-23.528588114757518</v>
      </c>
      <c r="V888" s="156">
        <v>-30.25</v>
      </c>
      <c r="W888" s="123">
        <v>2.5</v>
      </c>
      <c r="X888" s="157">
        <v>58.821470286893799</v>
      </c>
      <c r="Y888" s="158"/>
      <c r="Z888" s="158"/>
    </row>
    <row r="889" spans="3:26" ht="24" x14ac:dyDescent="0.2">
      <c r="C889" s="91"/>
      <c r="D889" s="550">
        <v>45596</v>
      </c>
      <c r="E889" s="99" t="s">
        <v>975</v>
      </c>
      <c r="F889" s="99" t="s">
        <v>976</v>
      </c>
      <c r="G889" s="99" t="s">
        <v>977</v>
      </c>
      <c r="H889" s="224">
        <v>0.52083333333333337</v>
      </c>
      <c r="I889" s="1029"/>
      <c r="J889" s="964"/>
      <c r="K889" s="1030"/>
      <c r="L889" s="574">
        <v>0.3125</v>
      </c>
      <c r="M889" s="519"/>
      <c r="N889" s="168"/>
      <c r="O889" s="119" t="s">
        <v>813</v>
      </c>
      <c r="P889" s="171">
        <v>0.05</v>
      </c>
      <c r="Q889" s="153">
        <v>8.8383333333333342E-2</v>
      </c>
      <c r="R889" s="154">
        <v>7.0000000000000007E-2</v>
      </c>
      <c r="S889" s="123">
        <v>1</v>
      </c>
      <c r="T889" s="129">
        <v>0.20257500000000001</v>
      </c>
      <c r="U889" s="155">
        <v>-23.528588114757518</v>
      </c>
      <c r="V889" s="156">
        <v>30.25</v>
      </c>
      <c r="W889" s="123">
        <v>2.5</v>
      </c>
      <c r="X889" s="157">
        <v>58.821470286893799</v>
      </c>
      <c r="Y889" s="158"/>
      <c r="Z889" s="158"/>
    </row>
    <row r="890" spans="3:26" ht="24" x14ac:dyDescent="0.2">
      <c r="C890" s="91"/>
      <c r="D890" s="550">
        <v>45589</v>
      </c>
      <c r="E890" s="99" t="s">
        <v>978</v>
      </c>
      <c r="F890" s="99" t="s">
        <v>979</v>
      </c>
      <c r="G890" s="99" t="s">
        <v>980</v>
      </c>
      <c r="H890" s="224">
        <v>0.52083333333333337</v>
      </c>
      <c r="I890" s="1029"/>
      <c r="J890" s="964"/>
      <c r="K890" s="1030"/>
      <c r="L890" s="574">
        <v>0.3125</v>
      </c>
      <c r="M890" s="519"/>
      <c r="N890" s="168"/>
      <c r="O890" s="119" t="s">
        <v>816</v>
      </c>
      <c r="P890" s="120"/>
      <c r="Q890" s="153"/>
      <c r="R890" s="154"/>
      <c r="S890" s="123"/>
      <c r="T890" s="120"/>
      <c r="U890" s="155"/>
      <c r="V890" s="156"/>
      <c r="W890" s="123"/>
      <c r="X890" s="157"/>
      <c r="Y890" s="158"/>
      <c r="Z890" s="158"/>
    </row>
    <row r="891" spans="3:26" ht="24" x14ac:dyDescent="0.2">
      <c r="C891" s="91"/>
      <c r="D891" s="550">
        <v>45582</v>
      </c>
      <c r="E891" s="99" t="s">
        <v>981</v>
      </c>
      <c r="F891" s="99" t="s">
        <v>981</v>
      </c>
      <c r="G891" s="99" t="s">
        <v>982</v>
      </c>
      <c r="H891" s="224">
        <v>0.52083333333333337</v>
      </c>
      <c r="I891" s="1029"/>
      <c r="J891" s="964"/>
      <c r="K891" s="1030"/>
      <c r="L891" s="574">
        <v>0.3125</v>
      </c>
      <c r="M891" s="519"/>
      <c r="N891" s="168"/>
      <c r="O891" s="89"/>
      <c r="P891" s="89"/>
      <c r="Q891" s="89"/>
      <c r="R891" s="89"/>
      <c r="S891" s="89"/>
      <c r="T891" s="89"/>
      <c r="U891" s="89"/>
      <c r="V891" s="89"/>
      <c r="W891" s="89"/>
      <c r="X891" s="89"/>
      <c r="Y891" s="89"/>
      <c r="Z891" s="89"/>
    </row>
    <row r="892" spans="3:26" ht="25" thickBot="1" x14ac:dyDescent="0.25">
      <c r="C892" s="91"/>
      <c r="D892" s="550">
        <v>45575</v>
      </c>
      <c r="E892" s="99" t="s">
        <v>983</v>
      </c>
      <c r="F892" s="99" t="s">
        <v>984</v>
      </c>
      <c r="G892" s="99" t="s">
        <v>985</v>
      </c>
      <c r="H892" s="231">
        <v>0.52083333333333337</v>
      </c>
      <c r="I892" s="1031"/>
      <c r="J892" s="966"/>
      <c r="K892" s="1032"/>
      <c r="L892" s="575">
        <v>0.3125</v>
      </c>
      <c r="M892" s="522"/>
      <c r="N892" s="168"/>
      <c r="O892" s="89"/>
      <c r="P892" s="89"/>
      <c r="Q892" s="89"/>
      <c r="R892" s="89"/>
      <c r="S892" s="89"/>
      <c r="T892" s="89"/>
      <c r="U892" s="89"/>
      <c r="V892" s="89"/>
      <c r="W892" s="89"/>
      <c r="X892" s="89"/>
      <c r="Y892" s="89"/>
      <c r="Z892" s="89"/>
    </row>
    <row r="893" spans="3:26" ht="49" thickBot="1" x14ac:dyDescent="0.25">
      <c r="C893" s="91">
        <v>7</v>
      </c>
      <c r="D893" s="552" t="s">
        <v>30</v>
      </c>
      <c r="E893" s="1052" t="s">
        <v>1016</v>
      </c>
      <c r="F893" s="1053"/>
      <c r="G893" s="1054"/>
      <c r="H893" s="217" t="s">
        <v>790</v>
      </c>
      <c r="I893" s="1055" t="s">
        <v>633</v>
      </c>
      <c r="J893" s="1056"/>
      <c r="K893" s="1057"/>
      <c r="L893" s="570" t="s">
        <v>430</v>
      </c>
      <c r="M893" s="518" t="s">
        <v>431</v>
      </c>
      <c r="N893" s="168" t="s">
        <v>105</v>
      </c>
      <c r="O893" s="118" t="s">
        <v>800</v>
      </c>
      <c r="P893" s="118" t="s">
        <v>801</v>
      </c>
      <c r="Q893" s="118" t="s">
        <v>802</v>
      </c>
      <c r="R893" s="118" t="s">
        <v>803</v>
      </c>
      <c r="S893" s="118" t="s">
        <v>804</v>
      </c>
      <c r="T893" s="118" t="s">
        <v>805</v>
      </c>
      <c r="U893" s="118" t="s">
        <v>806</v>
      </c>
      <c r="V893" s="118" t="s">
        <v>807</v>
      </c>
      <c r="W893" s="118" t="s">
        <v>808</v>
      </c>
      <c r="X893" s="118" t="s">
        <v>809</v>
      </c>
      <c r="Y893" s="118" t="s">
        <v>75</v>
      </c>
      <c r="Z893" s="118" t="s">
        <v>75</v>
      </c>
    </row>
    <row r="894" spans="3:26" ht="24" x14ac:dyDescent="0.2">
      <c r="C894" s="91"/>
      <c r="D894" s="544" t="s">
        <v>432</v>
      </c>
      <c r="E894" s="1024"/>
      <c r="F894" s="1025"/>
      <c r="G894" s="1026"/>
      <c r="H894" s="218" t="s">
        <v>906</v>
      </c>
      <c r="I894" s="1027" t="s">
        <v>1017</v>
      </c>
      <c r="J894" s="962"/>
      <c r="K894" s="1028"/>
      <c r="L894" s="559"/>
      <c r="M894" s="519"/>
      <c r="N894" s="168"/>
      <c r="O894" s="119" t="s">
        <v>810</v>
      </c>
      <c r="P894" s="171">
        <v>0.1</v>
      </c>
      <c r="Q894" s="172">
        <v>3.9E-2</v>
      </c>
      <c r="R894" s="173">
        <v>1.7000000000024329E-2</v>
      </c>
      <c r="S894" s="123"/>
      <c r="T894" s="119">
        <v>7.5500000000024325E-2</v>
      </c>
      <c r="U894" s="172">
        <v>-17.670000000000002</v>
      </c>
      <c r="V894" s="171">
        <v>60.23</v>
      </c>
      <c r="W894" s="171"/>
      <c r="X894" s="157"/>
      <c r="Y894" s="124"/>
      <c r="Z894" s="124"/>
    </row>
    <row r="895" spans="3:26" ht="24" x14ac:dyDescent="0.2">
      <c r="C895" s="91"/>
      <c r="D895" s="546" t="s">
        <v>433</v>
      </c>
      <c r="E895" s="1033"/>
      <c r="F895" s="1034"/>
      <c r="G895" s="1035"/>
      <c r="H895" s="218" t="s">
        <v>907</v>
      </c>
      <c r="I895" s="1029"/>
      <c r="J895" s="964"/>
      <c r="K895" s="1030"/>
      <c r="L895" s="559"/>
      <c r="M895" s="519"/>
      <c r="N895" s="168"/>
      <c r="O895" s="125"/>
      <c r="P895" s="125"/>
      <c r="Q895" s="125"/>
      <c r="R895" s="126"/>
      <c r="S895" s="127"/>
      <c r="T895" s="125"/>
      <c r="U895" s="125"/>
      <c r="V895" s="125"/>
      <c r="W895" s="125"/>
      <c r="X895" s="127"/>
      <c r="Y895" s="128"/>
      <c r="Z895" s="128"/>
    </row>
    <row r="896" spans="3:26" ht="24" x14ac:dyDescent="0.2">
      <c r="C896" s="91"/>
      <c r="D896" s="546" t="s">
        <v>434</v>
      </c>
      <c r="E896" s="1036">
        <v>10.3</v>
      </c>
      <c r="F896" s="1037"/>
      <c r="G896" s="1038"/>
      <c r="H896" s="219"/>
      <c r="I896" s="1029"/>
      <c r="J896" s="964"/>
      <c r="K896" s="1030"/>
      <c r="L896" s="559"/>
      <c r="M896" s="519"/>
      <c r="N896" s="168"/>
      <c r="O896" s="129" t="s">
        <v>811</v>
      </c>
      <c r="P896" s="176">
        <v>0.1</v>
      </c>
      <c r="Q896" s="177">
        <v>7.6399999999999996E-2</v>
      </c>
      <c r="R896" s="178">
        <v>1.7000000000000001E-2</v>
      </c>
      <c r="S896" s="190">
        <v>1</v>
      </c>
      <c r="T896" s="129">
        <v>0.13159999999999999</v>
      </c>
      <c r="U896" s="134">
        <v>-30.799629139062926</v>
      </c>
      <c r="V896" s="135">
        <v>60.5</v>
      </c>
      <c r="W896" s="191">
        <v>4.29</v>
      </c>
      <c r="X896" s="137">
        <v>132.13040900657995</v>
      </c>
      <c r="Y896" s="138"/>
      <c r="Z896" s="138"/>
    </row>
    <row r="897" spans="3:26" ht="25" thickBot="1" x14ac:dyDescent="0.25">
      <c r="C897" s="91"/>
      <c r="D897" s="547" t="s">
        <v>435</v>
      </c>
      <c r="E897" s="1039">
        <v>0.5625</v>
      </c>
      <c r="F897" s="1040"/>
      <c r="G897" s="1041"/>
      <c r="H897" s="233">
        <v>0.35416666666666663</v>
      </c>
      <c r="I897" s="1029"/>
      <c r="J897" s="964"/>
      <c r="K897" s="1030"/>
      <c r="L897" s="560">
        <v>0.79166666666666663</v>
      </c>
      <c r="M897" s="520">
        <v>0.64583333333333326</v>
      </c>
      <c r="N897" s="168"/>
      <c r="O897" s="139" t="s">
        <v>812</v>
      </c>
      <c r="P897" s="180">
        <v>0.1</v>
      </c>
      <c r="Q897" s="160">
        <v>6.5266666666666667E-2</v>
      </c>
      <c r="R897" s="181">
        <v>1.7000000000000001E-2</v>
      </c>
      <c r="S897" s="192">
        <v>1</v>
      </c>
      <c r="T897" s="182">
        <v>0.1149</v>
      </c>
      <c r="U897" s="144">
        <v>-26.891165562905247</v>
      </c>
      <c r="V897" s="145">
        <v>60.5</v>
      </c>
      <c r="W897" s="193">
        <v>4.9249999999999998</v>
      </c>
      <c r="X897" s="147">
        <v>132.43899039730834</v>
      </c>
      <c r="Y897" s="148"/>
      <c r="Z897" s="148"/>
    </row>
    <row r="898" spans="3:26" ht="25" thickBot="1" x14ac:dyDescent="0.25">
      <c r="C898" s="91"/>
      <c r="D898" s="549" t="s">
        <v>436</v>
      </c>
      <c r="E898" s="212" t="s">
        <v>29</v>
      </c>
      <c r="F898" s="212" t="s">
        <v>28</v>
      </c>
      <c r="G898" s="213" t="s">
        <v>27</v>
      </c>
      <c r="H898" s="230" t="s">
        <v>793</v>
      </c>
      <c r="I898" s="1029"/>
      <c r="J898" s="964"/>
      <c r="K898" s="1030"/>
      <c r="L898" s="573" t="s">
        <v>1002</v>
      </c>
      <c r="M898" s="523"/>
      <c r="N898" s="168"/>
      <c r="O898" s="127"/>
      <c r="P898" s="149"/>
      <c r="Q898" s="127"/>
      <c r="R898" s="127"/>
      <c r="S898" s="194"/>
      <c r="T898" s="127"/>
      <c r="U898" s="150"/>
      <c r="V898" s="151"/>
      <c r="W898" s="195"/>
      <c r="X898" s="150"/>
      <c r="Y898" s="128"/>
      <c r="Z898" s="128"/>
    </row>
    <row r="899" spans="3:26" ht="24" x14ac:dyDescent="0.2">
      <c r="C899" s="91"/>
      <c r="D899" s="550">
        <v>45582</v>
      </c>
      <c r="E899" s="216">
        <v>10.3</v>
      </c>
      <c r="F899" s="216" t="s">
        <v>1033</v>
      </c>
      <c r="G899" s="216">
        <v>1.7</v>
      </c>
      <c r="H899" s="224">
        <v>0.52083333333333337</v>
      </c>
      <c r="I899" s="1029"/>
      <c r="J899" s="964"/>
      <c r="K899" s="1030"/>
      <c r="L899" s="574">
        <v>0.3125</v>
      </c>
      <c r="M899" s="524"/>
      <c r="N899" s="168"/>
      <c r="O899" s="152"/>
      <c r="P899" s="128"/>
      <c r="Q899" s="152"/>
      <c r="R899" s="152"/>
      <c r="S899" s="194"/>
      <c r="T899" s="152"/>
      <c r="U899" s="152"/>
      <c r="V899" s="152"/>
      <c r="W899" s="197"/>
      <c r="X899" s="152"/>
      <c r="Y899" s="128"/>
      <c r="Z899" s="128"/>
    </row>
    <row r="900" spans="3:26" ht="24" x14ac:dyDescent="0.2">
      <c r="C900" s="91"/>
      <c r="D900" s="550">
        <v>45554</v>
      </c>
      <c r="E900" s="216">
        <v>1.7</v>
      </c>
      <c r="F900" s="216" t="s">
        <v>1034</v>
      </c>
      <c r="G900" s="216">
        <v>-7</v>
      </c>
      <c r="H900" s="224">
        <v>0.52083333333333337</v>
      </c>
      <c r="I900" s="1029"/>
      <c r="J900" s="964"/>
      <c r="K900" s="1030"/>
      <c r="L900" s="574">
        <v>0.3125</v>
      </c>
      <c r="M900" s="525"/>
      <c r="N900" s="168"/>
      <c r="O900" s="119" t="s">
        <v>813</v>
      </c>
      <c r="P900" s="198">
        <v>0.1</v>
      </c>
      <c r="Q900" s="153">
        <v>6.5266666666666667E-2</v>
      </c>
      <c r="R900" s="154">
        <v>1.7000000000000001E-2</v>
      </c>
      <c r="S900" s="198">
        <v>1</v>
      </c>
      <c r="T900" s="199">
        <v>0.1149</v>
      </c>
      <c r="U900" s="155">
        <v>-26.891165562905247</v>
      </c>
      <c r="V900" s="156">
        <v>60.5</v>
      </c>
      <c r="W900" s="200">
        <v>3</v>
      </c>
      <c r="X900" s="157">
        <v>80.673496688715744</v>
      </c>
      <c r="Y900" s="158"/>
      <c r="Z900" s="158"/>
    </row>
    <row r="901" spans="3:26" ht="24" x14ac:dyDescent="0.2">
      <c r="C901" s="91"/>
      <c r="D901" s="550">
        <v>45519</v>
      </c>
      <c r="E901" s="216">
        <v>-7</v>
      </c>
      <c r="F901" s="216" t="s">
        <v>1035</v>
      </c>
      <c r="G901" s="216">
        <v>13.9</v>
      </c>
      <c r="H901" s="224">
        <v>0.52083333333333337</v>
      </c>
      <c r="I901" s="1029"/>
      <c r="J901" s="964"/>
      <c r="K901" s="1030"/>
      <c r="L901" s="574">
        <v>0.3125</v>
      </c>
      <c r="M901" s="519"/>
      <c r="N901" s="168"/>
      <c r="O901" s="119" t="s">
        <v>813</v>
      </c>
      <c r="P901" s="198">
        <v>0.1</v>
      </c>
      <c r="Q901" s="153">
        <v>6.5266666666666667E-2</v>
      </c>
      <c r="R901" s="154">
        <v>1.7000000000000001E-2</v>
      </c>
      <c r="S901" s="198">
        <v>1</v>
      </c>
      <c r="T901" s="199">
        <v>0.1149</v>
      </c>
      <c r="U901" s="155">
        <v>-26.891165562905247</v>
      </c>
      <c r="V901" s="156">
        <v>60.5</v>
      </c>
      <c r="W901" s="200">
        <v>3</v>
      </c>
      <c r="X901" s="157">
        <v>80.673496688715744</v>
      </c>
      <c r="Y901" s="158"/>
      <c r="Z901" s="158"/>
    </row>
    <row r="902" spans="3:26" ht="24" x14ac:dyDescent="0.2">
      <c r="C902" s="91"/>
      <c r="D902" s="550">
        <v>45491</v>
      </c>
      <c r="E902" s="216">
        <v>13.9</v>
      </c>
      <c r="F902" s="216" t="s">
        <v>1036</v>
      </c>
      <c r="G902" s="216">
        <v>1.3</v>
      </c>
      <c r="H902" s="224">
        <v>0.52083333333333337</v>
      </c>
      <c r="I902" s="1029"/>
      <c r="J902" s="964"/>
      <c r="K902" s="1030"/>
      <c r="L902" s="574">
        <v>0.3125</v>
      </c>
      <c r="M902" s="519"/>
      <c r="N902" s="168"/>
      <c r="O902" s="119"/>
      <c r="P902" s="120"/>
      <c r="Q902" s="153"/>
      <c r="R902" s="154"/>
      <c r="S902" s="123"/>
      <c r="T902" s="120"/>
      <c r="U902" s="155"/>
      <c r="V902" s="156"/>
      <c r="W902" s="123"/>
      <c r="X902" s="157"/>
      <c r="Y902" s="158"/>
      <c r="Z902" s="158"/>
    </row>
    <row r="903" spans="3:26" ht="24" x14ac:dyDescent="0.2">
      <c r="C903" s="91"/>
      <c r="D903" s="550">
        <v>45463</v>
      </c>
      <c r="E903" s="216">
        <v>1.3</v>
      </c>
      <c r="F903" s="216" t="s">
        <v>1037</v>
      </c>
      <c r="G903" s="216">
        <v>4.5</v>
      </c>
      <c r="H903" s="224">
        <v>0.52083333333333337</v>
      </c>
      <c r="I903" s="1029"/>
      <c r="J903" s="964"/>
      <c r="K903" s="1030"/>
      <c r="L903" s="574">
        <v>0.3125</v>
      </c>
      <c r="M903" s="519"/>
      <c r="N903" s="168"/>
      <c r="O903" s="89"/>
      <c r="P903" s="89"/>
      <c r="Q903" s="89"/>
      <c r="R903" s="89"/>
      <c r="S903" s="89"/>
      <c r="T903" s="89"/>
      <c r="U903" s="89"/>
      <c r="V903" s="89"/>
      <c r="W903" s="89"/>
      <c r="X903" s="89"/>
      <c r="Y903" s="89"/>
      <c r="Z903" s="89"/>
    </row>
    <row r="904" spans="3:26" ht="25" thickBot="1" x14ac:dyDescent="0.25">
      <c r="C904" s="91"/>
      <c r="D904" s="550">
        <v>45428</v>
      </c>
      <c r="E904" s="216">
        <v>4.5</v>
      </c>
      <c r="F904" s="216" t="s">
        <v>1038</v>
      </c>
      <c r="G904" s="216">
        <v>15.5</v>
      </c>
      <c r="H904" s="231">
        <v>0.52083333333333337</v>
      </c>
      <c r="I904" s="1031"/>
      <c r="J904" s="966"/>
      <c r="K904" s="1032"/>
      <c r="L904" s="575">
        <v>0.3125</v>
      </c>
      <c r="M904" s="522"/>
      <c r="N904" s="168"/>
      <c r="O904" s="89"/>
      <c r="P904" s="89"/>
      <c r="Q904" s="89"/>
      <c r="R904" s="89"/>
      <c r="S904" s="89"/>
      <c r="T904" s="89"/>
      <c r="U904" s="89"/>
      <c r="V904" s="89"/>
      <c r="W904" s="89"/>
      <c r="X904" s="89"/>
      <c r="Y904" s="89"/>
      <c r="Z904" s="89"/>
    </row>
    <row r="905" spans="3:26" ht="49" thickBot="1" x14ac:dyDescent="0.25">
      <c r="C905" s="91">
        <v>8</v>
      </c>
      <c r="D905" s="552" t="s">
        <v>30</v>
      </c>
      <c r="E905" s="1052" t="s">
        <v>1018</v>
      </c>
      <c r="F905" s="1053"/>
      <c r="G905" s="1054"/>
      <c r="H905" s="217" t="s">
        <v>790</v>
      </c>
      <c r="I905" s="1055" t="s">
        <v>633</v>
      </c>
      <c r="J905" s="1056"/>
      <c r="K905" s="1057"/>
      <c r="L905" s="570" t="s">
        <v>430</v>
      </c>
      <c r="M905" s="518" t="s">
        <v>431</v>
      </c>
      <c r="N905" s="168" t="s">
        <v>105</v>
      </c>
      <c r="O905" s="118" t="s">
        <v>800</v>
      </c>
      <c r="P905" s="118" t="s">
        <v>801</v>
      </c>
      <c r="Q905" s="118" t="s">
        <v>802</v>
      </c>
      <c r="R905" s="118" t="s">
        <v>803</v>
      </c>
      <c r="S905" s="118" t="s">
        <v>804</v>
      </c>
      <c r="T905" s="118" t="s">
        <v>805</v>
      </c>
      <c r="U905" s="118" t="s">
        <v>806</v>
      </c>
      <c r="V905" s="118" t="s">
        <v>807</v>
      </c>
      <c r="W905" s="118" t="s">
        <v>808</v>
      </c>
      <c r="X905" s="118" t="s">
        <v>809</v>
      </c>
      <c r="Y905" s="118" t="s">
        <v>75</v>
      </c>
      <c r="Z905" s="118" t="s">
        <v>75</v>
      </c>
    </row>
    <row r="906" spans="3:26" ht="24" x14ac:dyDescent="0.2">
      <c r="C906" s="168"/>
      <c r="D906" s="544" t="s">
        <v>432</v>
      </c>
      <c r="E906" s="1024"/>
      <c r="F906" s="1025"/>
      <c r="G906" s="1026"/>
      <c r="H906" s="218" t="s">
        <v>906</v>
      </c>
      <c r="I906" s="1027" t="s">
        <v>1020</v>
      </c>
      <c r="J906" s="962"/>
      <c r="K906" s="1028"/>
      <c r="L906" s="559"/>
      <c r="M906" s="519"/>
      <c r="N906" s="168"/>
      <c r="O906" s="119" t="s">
        <v>810</v>
      </c>
      <c r="P906" s="171">
        <v>0.1</v>
      </c>
      <c r="Q906" s="172">
        <v>3.9E-2</v>
      </c>
      <c r="R906" s="173">
        <v>1.7000000000024329E-2</v>
      </c>
      <c r="S906" s="123"/>
      <c r="T906" s="119">
        <v>7.5500000000024325E-2</v>
      </c>
      <c r="U906" s="172">
        <v>-17.670000000000002</v>
      </c>
      <c r="V906" s="171">
        <v>60.23</v>
      </c>
      <c r="W906" s="171"/>
      <c r="X906" s="157"/>
      <c r="Y906" s="124"/>
      <c r="Z906" s="124"/>
    </row>
    <row r="907" spans="3:26" ht="24" x14ac:dyDescent="0.2">
      <c r="C907" s="168"/>
      <c r="D907" s="546" t="s">
        <v>433</v>
      </c>
      <c r="E907" s="1033" t="s">
        <v>707</v>
      </c>
      <c r="F907" s="1034"/>
      <c r="G907" s="1035"/>
      <c r="H907" s="218" t="s">
        <v>907</v>
      </c>
      <c r="I907" s="1029"/>
      <c r="J907" s="964"/>
      <c r="K907" s="1030"/>
      <c r="L907" s="559"/>
      <c r="M907" s="519"/>
      <c r="N907" s="168"/>
      <c r="O907" s="125"/>
      <c r="P907" s="125"/>
      <c r="Q907" s="125"/>
      <c r="R907" s="126"/>
      <c r="S907" s="127"/>
      <c r="T907" s="125"/>
      <c r="U907" s="125"/>
      <c r="V907" s="125"/>
      <c r="W907" s="125"/>
      <c r="X907" s="127"/>
      <c r="Y907" s="128"/>
      <c r="Z907" s="128"/>
    </row>
    <row r="908" spans="3:26" ht="24" x14ac:dyDescent="0.2">
      <c r="C908" s="168"/>
      <c r="D908" s="546" t="s">
        <v>434</v>
      </c>
      <c r="E908" s="1033" t="s">
        <v>1019</v>
      </c>
      <c r="F908" s="1034"/>
      <c r="G908" s="1035"/>
      <c r="H908" s="219"/>
      <c r="I908" s="1029"/>
      <c r="J908" s="964"/>
      <c r="K908" s="1030"/>
      <c r="L908" s="559"/>
      <c r="M908" s="519"/>
      <c r="N908" s="168"/>
      <c r="O908" s="129" t="s">
        <v>811</v>
      </c>
      <c r="P908" s="176">
        <v>0.1</v>
      </c>
      <c r="Q908" s="177">
        <v>3.9100000000000003E-2</v>
      </c>
      <c r="R908" s="178">
        <v>1.4E-2</v>
      </c>
      <c r="S908" s="190">
        <v>1</v>
      </c>
      <c r="T908" s="129">
        <v>7.2650000000000006E-2</v>
      </c>
      <c r="U908" s="134">
        <v>-17.002986754961412</v>
      </c>
      <c r="V908" s="135">
        <v>60.5</v>
      </c>
      <c r="W908" s="191">
        <v>4.29</v>
      </c>
      <c r="X908" s="137">
        <v>72.942813178784462</v>
      </c>
      <c r="Y908" s="138"/>
      <c r="Z908" s="138"/>
    </row>
    <row r="909" spans="3:26" ht="25" thickBot="1" x14ac:dyDescent="0.25">
      <c r="C909" s="168"/>
      <c r="D909" s="547" t="s">
        <v>435</v>
      </c>
      <c r="E909" s="1039">
        <v>0.625</v>
      </c>
      <c r="F909" s="1040"/>
      <c r="G909" s="1041"/>
      <c r="H909" s="233">
        <v>0.41666666666666663</v>
      </c>
      <c r="I909" s="1029"/>
      <c r="J909" s="964"/>
      <c r="K909" s="1030"/>
      <c r="L909" s="560">
        <v>0.85416666666666663</v>
      </c>
      <c r="M909" s="520">
        <v>0.70833333333333326</v>
      </c>
      <c r="N909" s="168"/>
      <c r="O909" s="139" t="s">
        <v>812</v>
      </c>
      <c r="P909" s="180">
        <v>0.1</v>
      </c>
      <c r="Q909" s="160">
        <v>4.9933333333333337E-2</v>
      </c>
      <c r="R909" s="181">
        <v>1.4E-2</v>
      </c>
      <c r="S909" s="192">
        <v>1</v>
      </c>
      <c r="T909" s="182">
        <v>8.8900000000000007E-2</v>
      </c>
      <c r="U909" s="144">
        <v>-20.806132450324426</v>
      </c>
      <c r="V909" s="145">
        <v>60.5</v>
      </c>
      <c r="W909" s="193">
        <v>4.9249999999999998</v>
      </c>
      <c r="X909" s="147">
        <v>102.47020231784779</v>
      </c>
      <c r="Y909" s="148"/>
      <c r="Z909" s="148"/>
    </row>
    <row r="910" spans="3:26" ht="25" thickBot="1" x14ac:dyDescent="0.25">
      <c r="C910" s="168"/>
      <c r="D910" s="549" t="s">
        <v>436</v>
      </c>
      <c r="E910" s="93" t="s">
        <v>29</v>
      </c>
      <c r="F910" s="93" t="s">
        <v>28</v>
      </c>
      <c r="G910" s="94" t="s">
        <v>27</v>
      </c>
      <c r="H910" s="230" t="s">
        <v>793</v>
      </c>
      <c r="I910" s="1029"/>
      <c r="J910" s="964"/>
      <c r="K910" s="1030"/>
      <c r="L910" s="573" t="s">
        <v>1002</v>
      </c>
      <c r="M910" s="523"/>
      <c r="N910" s="168"/>
      <c r="O910" s="127"/>
      <c r="P910" s="149"/>
      <c r="Q910" s="127"/>
      <c r="R910" s="127"/>
      <c r="S910" s="194"/>
      <c r="T910" s="127"/>
      <c r="U910" s="150"/>
      <c r="V910" s="151"/>
      <c r="W910" s="195"/>
      <c r="X910" s="150"/>
      <c r="Y910" s="128"/>
      <c r="Z910" s="128"/>
    </row>
    <row r="911" spans="3:26" ht="24" x14ac:dyDescent="0.2">
      <c r="C911" s="168"/>
      <c r="D911" s="550">
        <v>45588</v>
      </c>
      <c r="E911" s="99" t="s">
        <v>1039</v>
      </c>
      <c r="F911" s="99" t="s">
        <v>1040</v>
      </c>
      <c r="G911" s="99" t="s">
        <v>1040</v>
      </c>
      <c r="H911" s="224">
        <v>0.58333333333333337</v>
      </c>
      <c r="I911" s="1029"/>
      <c r="J911" s="964"/>
      <c r="K911" s="1030"/>
      <c r="L911" s="574">
        <v>0.375</v>
      </c>
      <c r="M911" s="524"/>
      <c r="N911" s="168"/>
      <c r="O911" s="152"/>
      <c r="P911" s="128"/>
      <c r="Q911" s="152"/>
      <c r="R911" s="152"/>
      <c r="S911" s="194"/>
      <c r="T911" s="152"/>
      <c r="U911" s="152"/>
      <c r="V911" s="152"/>
      <c r="W911" s="197"/>
      <c r="X911" s="152"/>
      <c r="Y911" s="128"/>
      <c r="Z911" s="128"/>
    </row>
    <row r="912" spans="3:26" ht="24" x14ac:dyDescent="0.2">
      <c r="C912" s="168"/>
      <c r="D912" s="550">
        <v>45554</v>
      </c>
      <c r="E912" s="99" t="s">
        <v>1041</v>
      </c>
      <c r="F912" s="99" t="s">
        <v>1042</v>
      </c>
      <c r="G912" s="99" t="s">
        <v>1043</v>
      </c>
      <c r="H912" s="224">
        <v>0.58333333333333337</v>
      </c>
      <c r="I912" s="1029"/>
      <c r="J912" s="964"/>
      <c r="K912" s="1030"/>
      <c r="L912" s="574">
        <v>0.375</v>
      </c>
      <c r="M912" s="525"/>
      <c r="N912" s="168"/>
      <c r="O912" s="119" t="s">
        <v>813</v>
      </c>
      <c r="P912" s="198">
        <v>0.1</v>
      </c>
      <c r="Q912" s="153">
        <v>4.9933333333333337E-2</v>
      </c>
      <c r="R912" s="154">
        <v>1.4E-2</v>
      </c>
      <c r="S912" s="198">
        <v>1</v>
      </c>
      <c r="T912" s="199">
        <v>8.8900000000000007E-2</v>
      </c>
      <c r="U912" s="155">
        <v>-20.806132450324426</v>
      </c>
      <c r="V912" s="156">
        <v>60.5</v>
      </c>
      <c r="W912" s="200">
        <v>2</v>
      </c>
      <c r="X912" s="157">
        <v>41.612264900648853</v>
      </c>
      <c r="Y912" s="158"/>
      <c r="Z912" s="158"/>
    </row>
    <row r="913" spans="3:26" ht="24" x14ac:dyDescent="0.2">
      <c r="C913" s="168"/>
      <c r="D913" s="550">
        <v>45526</v>
      </c>
      <c r="E913" s="99" t="s">
        <v>1044</v>
      </c>
      <c r="F913" s="99" t="s">
        <v>1045</v>
      </c>
      <c r="G913" s="99" t="s">
        <v>1046</v>
      </c>
      <c r="H913" s="224">
        <v>0.58333333333333337</v>
      </c>
      <c r="I913" s="1029"/>
      <c r="J913" s="964"/>
      <c r="K913" s="1030"/>
      <c r="L913" s="574">
        <v>0.375</v>
      </c>
      <c r="M913" s="519"/>
      <c r="N913" s="168"/>
      <c r="O913" s="119" t="s">
        <v>813</v>
      </c>
      <c r="P913" s="198">
        <v>0.1</v>
      </c>
      <c r="Q913" s="153">
        <v>4.9933333333333337E-2</v>
      </c>
      <c r="R913" s="154">
        <v>1.4E-2</v>
      </c>
      <c r="S913" s="198">
        <v>1</v>
      </c>
      <c r="T913" s="199">
        <v>8.8900000000000007E-2</v>
      </c>
      <c r="U913" s="155">
        <v>-20.806132450324426</v>
      </c>
      <c r="V913" s="156">
        <v>60.5</v>
      </c>
      <c r="W913" s="200">
        <v>2</v>
      </c>
      <c r="X913" s="157">
        <v>41.612264900648853</v>
      </c>
      <c r="Y913" s="158"/>
      <c r="Z913" s="158"/>
    </row>
    <row r="914" spans="3:26" ht="24" x14ac:dyDescent="0.2">
      <c r="C914" s="168"/>
      <c r="D914" s="550">
        <v>45496</v>
      </c>
      <c r="E914" s="99" t="s">
        <v>1047</v>
      </c>
      <c r="F914" s="99" t="s">
        <v>1048</v>
      </c>
      <c r="G914" s="99" t="s">
        <v>1049</v>
      </c>
      <c r="H914" s="224">
        <v>0.58333333333333337</v>
      </c>
      <c r="I914" s="1029"/>
      <c r="J914" s="964"/>
      <c r="K914" s="1030"/>
      <c r="L914" s="574">
        <v>0.375</v>
      </c>
      <c r="M914" s="519"/>
      <c r="N914" s="168"/>
      <c r="O914" s="119"/>
      <c r="P914" s="120"/>
      <c r="Q914" s="153"/>
      <c r="R914" s="154"/>
      <c r="S914" s="123"/>
      <c r="T914" s="120"/>
      <c r="U914" s="155"/>
      <c r="V914" s="156"/>
      <c r="W914" s="123"/>
      <c r="X914" s="157"/>
      <c r="Y914" s="158"/>
      <c r="Z914" s="158"/>
    </row>
    <row r="915" spans="3:26" ht="24" x14ac:dyDescent="0.2">
      <c r="C915" s="168"/>
      <c r="D915" s="550">
        <v>45464</v>
      </c>
      <c r="E915" s="99" t="s">
        <v>1049</v>
      </c>
      <c r="F915" s="99" t="s">
        <v>1050</v>
      </c>
      <c r="G915" s="99" t="s">
        <v>1051</v>
      </c>
      <c r="H915" s="224">
        <v>0.58333333333333337</v>
      </c>
      <c r="I915" s="1029"/>
      <c r="J915" s="964"/>
      <c r="K915" s="1030"/>
      <c r="L915" s="574">
        <v>0.375</v>
      </c>
      <c r="M915" s="519"/>
      <c r="N915" s="168"/>
      <c r="O915" s="89"/>
      <c r="P915" s="89"/>
      <c r="Q915" s="89"/>
      <c r="R915" s="89"/>
      <c r="S915" s="89"/>
      <c r="T915" s="89"/>
      <c r="U915" s="89"/>
      <c r="V915" s="89"/>
      <c r="W915" s="89"/>
      <c r="X915" s="89"/>
      <c r="Y915" s="89"/>
      <c r="Z915" s="89"/>
    </row>
    <row r="916" spans="3:26" ht="25" thickBot="1" x14ac:dyDescent="0.25">
      <c r="C916" s="168"/>
      <c r="D916" s="550">
        <v>45434</v>
      </c>
      <c r="E916" s="99" t="s">
        <v>1051</v>
      </c>
      <c r="F916" s="99" t="s">
        <v>1052</v>
      </c>
      <c r="G916" s="99" t="s">
        <v>1053</v>
      </c>
      <c r="H916" s="231">
        <v>0.58333333333333337</v>
      </c>
      <c r="I916" s="1031"/>
      <c r="J916" s="966"/>
      <c r="K916" s="1032"/>
      <c r="L916" s="574">
        <v>0.375</v>
      </c>
      <c r="M916" s="522"/>
      <c r="N916" s="168"/>
      <c r="O916" s="89"/>
      <c r="P916" s="89"/>
      <c r="Q916" s="89"/>
      <c r="R916" s="89"/>
      <c r="S916" s="89"/>
      <c r="T916" s="89"/>
      <c r="U916" s="89"/>
      <c r="V916" s="89"/>
      <c r="W916" s="89"/>
      <c r="X916" s="89"/>
      <c r="Y916" s="89"/>
      <c r="Z916" s="89"/>
    </row>
    <row r="917" spans="3:26" ht="49" thickBot="1" x14ac:dyDescent="0.25">
      <c r="C917" s="91">
        <v>9</v>
      </c>
      <c r="D917" s="552" t="s">
        <v>30</v>
      </c>
      <c r="E917" s="1052" t="s">
        <v>1021</v>
      </c>
      <c r="F917" s="1053"/>
      <c r="G917" s="1054"/>
      <c r="H917" s="217" t="s">
        <v>790</v>
      </c>
      <c r="I917" s="1055" t="s">
        <v>633</v>
      </c>
      <c r="J917" s="1056"/>
      <c r="K917" s="1057"/>
      <c r="L917" s="570" t="s">
        <v>430</v>
      </c>
      <c r="M917" s="518" t="s">
        <v>431</v>
      </c>
      <c r="N917" s="168" t="s">
        <v>105</v>
      </c>
      <c r="O917" s="118" t="s">
        <v>800</v>
      </c>
      <c r="P917" s="118" t="s">
        <v>801</v>
      </c>
      <c r="Q917" s="118" t="s">
        <v>802</v>
      </c>
      <c r="R917" s="118" t="s">
        <v>803</v>
      </c>
      <c r="S917" s="118" t="s">
        <v>804</v>
      </c>
      <c r="T917" s="118" t="s">
        <v>805</v>
      </c>
      <c r="U917" s="118" t="s">
        <v>806</v>
      </c>
      <c r="V917" s="118" t="s">
        <v>807</v>
      </c>
      <c r="W917" s="118" t="s">
        <v>808</v>
      </c>
      <c r="X917" s="118" t="s">
        <v>809</v>
      </c>
      <c r="Y917" s="118" t="s">
        <v>75</v>
      </c>
      <c r="Z917" s="118" t="s">
        <v>75</v>
      </c>
    </row>
    <row r="918" spans="3:26" ht="24" x14ac:dyDescent="0.2">
      <c r="C918" s="168"/>
      <c r="D918" s="544" t="s">
        <v>432</v>
      </c>
      <c r="E918" s="1024"/>
      <c r="F918" s="1025"/>
      <c r="G918" s="1026"/>
      <c r="H918" s="218" t="s">
        <v>906</v>
      </c>
      <c r="I918" s="1027" t="s">
        <v>1022</v>
      </c>
      <c r="J918" s="962"/>
      <c r="K918" s="1028"/>
      <c r="L918" s="559"/>
      <c r="M918" s="519"/>
      <c r="N918" s="168"/>
      <c r="O918" s="119" t="s">
        <v>810</v>
      </c>
      <c r="P918" s="171">
        <v>0.1</v>
      </c>
      <c r="Q918" s="172">
        <v>2.1999999999999999E-2</v>
      </c>
      <c r="R918" s="173">
        <v>3.0000000000001137E-2</v>
      </c>
      <c r="S918" s="123"/>
      <c r="T918" s="119">
        <v>6.3000000000001138E-2</v>
      </c>
      <c r="U918" s="172">
        <v>-15.02</v>
      </c>
      <c r="V918" s="171">
        <v>99.37</v>
      </c>
      <c r="W918" s="171"/>
      <c r="X918" s="157"/>
      <c r="Y918" s="124"/>
      <c r="Z918" s="124"/>
    </row>
    <row r="919" spans="3:26" ht="24" x14ac:dyDescent="0.2">
      <c r="C919" s="168"/>
      <c r="D919" s="546" t="s">
        <v>433</v>
      </c>
      <c r="E919" s="1033"/>
      <c r="F919" s="1034"/>
      <c r="G919" s="1035"/>
      <c r="H919" s="218" t="s">
        <v>907</v>
      </c>
      <c r="I919" s="1029"/>
      <c r="J919" s="964"/>
      <c r="K919" s="1030"/>
      <c r="L919" s="559"/>
      <c r="M919" s="519"/>
      <c r="N919" s="168"/>
      <c r="O919" s="125"/>
      <c r="P919" s="125"/>
      <c r="Q919" s="125"/>
      <c r="R919" s="126"/>
      <c r="S919" s="127"/>
      <c r="T919" s="125"/>
      <c r="U919" s="125"/>
      <c r="V919" s="125"/>
      <c r="W919" s="125"/>
      <c r="X919" s="127"/>
      <c r="Y919" s="128"/>
      <c r="Z919" s="128"/>
    </row>
    <row r="920" spans="3:26" ht="24" x14ac:dyDescent="0.2">
      <c r="C920" s="168"/>
      <c r="D920" s="546" t="s">
        <v>434</v>
      </c>
      <c r="E920" s="1033">
        <v>2E-3</v>
      </c>
      <c r="F920" s="1034"/>
      <c r="G920" s="1035"/>
      <c r="H920" s="219"/>
      <c r="I920" s="1029"/>
      <c r="J920" s="964"/>
      <c r="K920" s="1030"/>
      <c r="L920" s="559"/>
      <c r="M920" s="519"/>
      <c r="N920" s="168"/>
      <c r="O920" s="129" t="s">
        <v>811</v>
      </c>
      <c r="P920" s="176">
        <v>0.1</v>
      </c>
      <c r="Q920" s="177">
        <v>6.4100000000000004E-2</v>
      </c>
      <c r="R920" s="178">
        <v>3.0000000000001137E-2</v>
      </c>
      <c r="S920" s="190">
        <v>1</v>
      </c>
      <c r="T920" s="129">
        <v>0.12615000000000115</v>
      </c>
      <c r="U920" s="134">
        <v>-30.075761904761638</v>
      </c>
      <c r="V920" s="135">
        <v>60.5</v>
      </c>
      <c r="W920" s="191">
        <v>2.39</v>
      </c>
      <c r="X920" s="137">
        <v>71.881070952380313</v>
      </c>
      <c r="Y920" s="138"/>
      <c r="Z920" s="138"/>
    </row>
    <row r="921" spans="3:26" ht="25" thickBot="1" x14ac:dyDescent="0.25">
      <c r="C921" s="168"/>
      <c r="D921" s="547" t="s">
        <v>435</v>
      </c>
      <c r="E921" s="1039">
        <v>0.29166666666666674</v>
      </c>
      <c r="F921" s="1040"/>
      <c r="G921" s="1041"/>
      <c r="H921" s="233">
        <v>8.3333333333333398E-2</v>
      </c>
      <c r="I921" s="1029"/>
      <c r="J921" s="964"/>
      <c r="K921" s="1030"/>
      <c r="L921" s="560">
        <v>0.52083333333333337</v>
      </c>
      <c r="M921" s="520">
        <v>0.375</v>
      </c>
      <c r="N921" s="168"/>
      <c r="O921" s="139" t="s">
        <v>812</v>
      </c>
      <c r="P921" s="180">
        <v>0.1</v>
      </c>
      <c r="Q921" s="160">
        <v>7.6066666666665908E-2</v>
      </c>
      <c r="R921" s="181">
        <v>3.0000000000001137E-2</v>
      </c>
      <c r="S921" s="192">
        <v>1</v>
      </c>
      <c r="T921" s="182">
        <v>0.14410000000000001</v>
      </c>
      <c r="U921" s="144">
        <v>-34.355269841269219</v>
      </c>
      <c r="V921" s="145">
        <v>60.5</v>
      </c>
      <c r="W921" s="193">
        <v>2.08</v>
      </c>
      <c r="X921" s="147">
        <v>71.458961269839975</v>
      </c>
      <c r="Y921" s="148"/>
      <c r="Z921" s="148"/>
    </row>
    <row r="922" spans="3:26" ht="25" thickBot="1" x14ac:dyDescent="0.25">
      <c r="C922" s="168"/>
      <c r="D922" s="549" t="s">
        <v>436</v>
      </c>
      <c r="E922" s="93" t="s">
        <v>29</v>
      </c>
      <c r="F922" s="93" t="s">
        <v>28</v>
      </c>
      <c r="G922" s="94" t="s">
        <v>27</v>
      </c>
      <c r="H922" s="230" t="s">
        <v>793</v>
      </c>
      <c r="I922" s="1029"/>
      <c r="J922" s="964"/>
      <c r="K922" s="1030"/>
      <c r="L922" s="573" t="s">
        <v>1002</v>
      </c>
      <c r="M922" s="523" t="s">
        <v>1003</v>
      </c>
      <c r="N922" s="168"/>
      <c r="O922" s="127"/>
      <c r="P922" s="149"/>
      <c r="Q922" s="127"/>
      <c r="R922" s="127"/>
      <c r="S922" s="194"/>
      <c r="T922" s="127"/>
      <c r="U922" s="150"/>
      <c r="V922" s="151"/>
      <c r="W922" s="195"/>
      <c r="X922" s="150"/>
      <c r="Y922" s="128"/>
      <c r="Z922" s="128"/>
    </row>
    <row r="923" spans="3:26" ht="24" x14ac:dyDescent="0.2">
      <c r="C923" s="168"/>
      <c r="D923" s="550">
        <v>45595</v>
      </c>
      <c r="E923" s="99">
        <v>2E-3</v>
      </c>
      <c r="F923" s="99" t="s">
        <v>456</v>
      </c>
      <c r="G923" s="99">
        <v>-3.0000000000000001E-3</v>
      </c>
      <c r="H923" s="224">
        <v>0.45833333333333337</v>
      </c>
      <c r="I923" s="1029"/>
      <c r="J923" s="964"/>
      <c r="K923" s="1030"/>
      <c r="L923" s="574">
        <v>0.16666666666666666</v>
      </c>
      <c r="M923" s="526">
        <v>0.37500000000000006</v>
      </c>
      <c r="N923" s="168"/>
      <c r="O923" s="152"/>
      <c r="P923" s="128"/>
      <c r="Q923" s="152"/>
      <c r="R923" s="152"/>
      <c r="S923" s="194"/>
      <c r="T923" s="152"/>
      <c r="U923" s="152"/>
      <c r="V923" s="152"/>
      <c r="W923" s="197"/>
      <c r="X923" s="152"/>
      <c r="Y923" s="128"/>
      <c r="Z923" s="128"/>
    </row>
    <row r="924" spans="3:26" ht="24" x14ac:dyDescent="0.2">
      <c r="C924" s="168"/>
      <c r="D924" s="550">
        <v>45531</v>
      </c>
      <c r="E924" s="99">
        <v>-1E-3</v>
      </c>
      <c r="F924" s="99" t="s">
        <v>456</v>
      </c>
      <c r="G924" s="99">
        <v>2E-3</v>
      </c>
      <c r="H924" s="224">
        <v>0.33333333333333337</v>
      </c>
      <c r="I924" s="1029"/>
      <c r="J924" s="964"/>
      <c r="K924" s="1030"/>
      <c r="L924" s="574">
        <v>4.1666666666666664E-2</v>
      </c>
      <c r="M924" s="526">
        <v>0.25000000000000006</v>
      </c>
      <c r="N924" s="168"/>
      <c r="O924" s="119" t="s">
        <v>813</v>
      </c>
      <c r="P924" s="198">
        <v>0.1</v>
      </c>
      <c r="Q924" s="153">
        <v>7.6066666666665908E-2</v>
      </c>
      <c r="R924" s="154">
        <v>3.0000000000001137E-2</v>
      </c>
      <c r="S924" s="198">
        <v>1</v>
      </c>
      <c r="T924" s="199">
        <v>0.14410000000000001</v>
      </c>
      <c r="U924" s="155">
        <v>-34.355269841269219</v>
      </c>
      <c r="V924" s="156">
        <v>60.5</v>
      </c>
      <c r="W924" s="200">
        <v>2.08</v>
      </c>
      <c r="X924" s="157">
        <v>71.458961269839975</v>
      </c>
      <c r="Y924" s="158"/>
      <c r="Z924" s="158"/>
    </row>
    <row r="925" spans="3:26" ht="24" x14ac:dyDescent="0.2">
      <c r="C925" s="168"/>
      <c r="D925" s="550">
        <v>45503</v>
      </c>
      <c r="E925" s="99">
        <v>-1E-3</v>
      </c>
      <c r="F925" s="99" t="s">
        <v>462</v>
      </c>
      <c r="G925" s="99">
        <v>2E-3</v>
      </c>
      <c r="H925" s="224">
        <v>0.41666666666666669</v>
      </c>
      <c r="I925" s="1029"/>
      <c r="J925" s="964"/>
      <c r="K925" s="1030"/>
      <c r="L925" s="574">
        <v>0.125</v>
      </c>
      <c r="M925" s="526">
        <v>0.33333333333333337</v>
      </c>
      <c r="N925" s="168"/>
      <c r="O925" s="119"/>
      <c r="P925" s="120"/>
      <c r="Q925" s="153"/>
      <c r="R925" s="154"/>
      <c r="S925" s="123"/>
      <c r="T925" s="120"/>
      <c r="U925" s="155"/>
      <c r="V925" s="156"/>
      <c r="W925" s="123"/>
      <c r="X925" s="157"/>
      <c r="Y925" s="158"/>
      <c r="Z925" s="158"/>
    </row>
    <row r="926" spans="3:26" ht="24" x14ac:dyDescent="0.2">
      <c r="C926" s="168"/>
      <c r="D926" s="550">
        <v>45436</v>
      </c>
      <c r="E926" s="99">
        <v>2E-3</v>
      </c>
      <c r="F926" s="99" t="s">
        <v>460</v>
      </c>
      <c r="G926" s="99">
        <v>-3.0000000000000001E-3</v>
      </c>
      <c r="H926" s="224">
        <v>0.33333333333333337</v>
      </c>
      <c r="I926" s="1029"/>
      <c r="J926" s="964"/>
      <c r="K926" s="1030"/>
      <c r="L926" s="574">
        <v>4.1666666666666664E-2</v>
      </c>
      <c r="M926" s="526">
        <v>0.25000000000000006</v>
      </c>
      <c r="N926" s="168"/>
      <c r="O926" s="119"/>
      <c r="P926" s="120"/>
      <c r="Q926" s="153"/>
      <c r="R926" s="154"/>
      <c r="S926" s="123"/>
      <c r="T926" s="120"/>
      <c r="U926" s="155"/>
      <c r="V926" s="156"/>
      <c r="W926" s="123"/>
      <c r="X926" s="157"/>
      <c r="Y926" s="158"/>
      <c r="Z926" s="158"/>
    </row>
    <row r="927" spans="3:26" ht="24" x14ac:dyDescent="0.2">
      <c r="C927" s="168"/>
      <c r="D927" s="550">
        <v>45412</v>
      </c>
      <c r="E927" s="99">
        <v>2E-3</v>
      </c>
      <c r="F927" s="99" t="s">
        <v>462</v>
      </c>
      <c r="G927" s="99">
        <v>-5.0000000000000001E-3</v>
      </c>
      <c r="H927" s="224">
        <v>0.41666666666666669</v>
      </c>
      <c r="I927" s="1029"/>
      <c r="J927" s="964"/>
      <c r="K927" s="1030"/>
      <c r="L927" s="574">
        <v>0.125</v>
      </c>
      <c r="M927" s="526">
        <v>0.33333333333333337</v>
      </c>
      <c r="N927" s="168"/>
      <c r="O927" s="89"/>
      <c r="P927" s="89"/>
      <c r="Q927" s="89"/>
      <c r="R927" s="89"/>
      <c r="S927" s="89"/>
      <c r="T927" s="89"/>
      <c r="U927" s="89"/>
      <c r="V927" s="89"/>
      <c r="W927" s="89"/>
      <c r="X927" s="89"/>
      <c r="Y927" s="89"/>
      <c r="Z927" s="89"/>
    </row>
    <row r="928" spans="3:26" ht="25" thickBot="1" x14ac:dyDescent="0.25">
      <c r="C928" s="168"/>
      <c r="D928" s="550">
        <v>45345</v>
      </c>
      <c r="E928" s="99">
        <v>-3.0000000000000001E-3</v>
      </c>
      <c r="F928" s="99" t="s">
        <v>454</v>
      </c>
      <c r="G928" s="99">
        <v>-1E-3</v>
      </c>
      <c r="H928" s="224">
        <v>0.375</v>
      </c>
      <c r="I928" s="1031"/>
      <c r="J928" s="966"/>
      <c r="K928" s="1032"/>
      <c r="L928" s="575">
        <v>8.3333333333333329E-2</v>
      </c>
      <c r="M928" s="526">
        <v>0.29166666666666669</v>
      </c>
      <c r="N928" s="168"/>
      <c r="O928" s="89"/>
      <c r="P928" s="89"/>
      <c r="Q928" s="89"/>
      <c r="R928" s="89"/>
      <c r="S928" s="89"/>
      <c r="T928" s="89"/>
      <c r="U928" s="89"/>
      <c r="V928" s="89"/>
      <c r="W928" s="89"/>
      <c r="X928" s="89"/>
      <c r="Y928" s="89"/>
      <c r="Z928" s="89"/>
    </row>
    <row r="929" spans="3:26" ht="49" thickBot="1" x14ac:dyDescent="0.25">
      <c r="C929" s="91">
        <v>10</v>
      </c>
      <c r="D929" s="552" t="s">
        <v>30</v>
      </c>
      <c r="E929" s="1052" t="s">
        <v>1023</v>
      </c>
      <c r="F929" s="1053"/>
      <c r="G929" s="1054"/>
      <c r="H929" s="217" t="s">
        <v>790</v>
      </c>
      <c r="I929" s="1055" t="s">
        <v>633</v>
      </c>
      <c r="J929" s="1056"/>
      <c r="K929" s="1057"/>
      <c r="L929" s="570" t="s">
        <v>430</v>
      </c>
      <c r="M929" s="518" t="s">
        <v>431</v>
      </c>
      <c r="N929" s="168" t="s">
        <v>105</v>
      </c>
      <c r="O929" s="118" t="s">
        <v>800</v>
      </c>
      <c r="P929" s="118" t="s">
        <v>801</v>
      </c>
      <c r="Q929" s="118" t="s">
        <v>802</v>
      </c>
      <c r="R929" s="118" t="s">
        <v>803</v>
      </c>
      <c r="S929" s="118" t="s">
        <v>804</v>
      </c>
      <c r="T929" s="118" t="s">
        <v>805</v>
      </c>
      <c r="U929" s="118" t="s">
        <v>806</v>
      </c>
      <c r="V929" s="118" t="s">
        <v>807</v>
      </c>
      <c r="W929" s="118" t="s">
        <v>808</v>
      </c>
      <c r="X929" s="118" t="s">
        <v>809</v>
      </c>
      <c r="Y929" s="118" t="s">
        <v>75</v>
      </c>
      <c r="Z929" s="118" t="s">
        <v>75</v>
      </c>
    </row>
    <row r="930" spans="3:26" ht="24" x14ac:dyDescent="0.2">
      <c r="C930" s="168"/>
      <c r="D930" s="544" t="s">
        <v>432</v>
      </c>
      <c r="E930" s="1024"/>
      <c r="F930" s="1025"/>
      <c r="G930" s="1026"/>
      <c r="H930" s="218" t="s">
        <v>906</v>
      </c>
      <c r="I930" s="1027" t="s">
        <v>1024</v>
      </c>
      <c r="J930" s="962"/>
      <c r="K930" s="1028"/>
      <c r="L930" s="559"/>
      <c r="M930" s="519"/>
      <c r="N930" s="168"/>
      <c r="O930" s="119" t="s">
        <v>810</v>
      </c>
      <c r="P930" s="171">
        <v>0.1</v>
      </c>
      <c r="Q930" s="172">
        <v>2.7E-2</v>
      </c>
      <c r="R930" s="173">
        <v>1.5999999999991132E-2</v>
      </c>
      <c r="S930" s="123"/>
      <c r="T930" s="119">
        <v>5.6499999999991134E-2</v>
      </c>
      <c r="U930" s="172">
        <v>-13.31</v>
      </c>
      <c r="V930" s="171">
        <v>91.8</v>
      </c>
      <c r="W930" s="174">
        <v>2</v>
      </c>
      <c r="X930" s="157">
        <v>26.62</v>
      </c>
      <c r="Y930" s="124"/>
      <c r="Z930" s="124"/>
    </row>
    <row r="931" spans="3:26" ht="24" x14ac:dyDescent="0.2">
      <c r="C931" s="168"/>
      <c r="D931" s="546" t="s">
        <v>433</v>
      </c>
      <c r="E931" s="1033"/>
      <c r="F931" s="1034"/>
      <c r="G931" s="1035"/>
      <c r="H931" s="218" t="s">
        <v>907</v>
      </c>
      <c r="I931" s="1029"/>
      <c r="J931" s="964"/>
      <c r="K931" s="1030"/>
      <c r="L931" s="559"/>
      <c r="M931" s="519"/>
      <c r="N931" s="168"/>
      <c r="O931" s="125"/>
      <c r="P931" s="125"/>
      <c r="Q931" s="125"/>
      <c r="R931" s="126"/>
      <c r="S931" s="127"/>
      <c r="T931" s="125"/>
      <c r="U931" s="125"/>
      <c r="V931" s="125"/>
      <c r="W931" s="127"/>
      <c r="X931" s="127"/>
      <c r="Y931" s="128"/>
      <c r="Z931" s="128"/>
    </row>
    <row r="932" spans="3:26" ht="24" x14ac:dyDescent="0.2">
      <c r="C932" s="168"/>
      <c r="D932" s="546" t="s">
        <v>434</v>
      </c>
      <c r="E932" s="1036">
        <v>48.5</v>
      </c>
      <c r="F932" s="1037"/>
      <c r="G932" s="1038"/>
      <c r="H932" s="219"/>
      <c r="I932" s="1029"/>
      <c r="J932" s="964"/>
      <c r="K932" s="1030"/>
      <c r="L932" s="559"/>
      <c r="M932" s="519"/>
      <c r="N932" s="168"/>
      <c r="O932" s="129" t="s">
        <v>811</v>
      </c>
      <c r="P932" s="176">
        <v>0.1</v>
      </c>
      <c r="Q932" s="177">
        <v>4.0500000000000001E-2</v>
      </c>
      <c r="R932" s="178">
        <v>1.7000000000000001E-2</v>
      </c>
      <c r="S932" s="133">
        <v>1</v>
      </c>
      <c r="T932" s="129">
        <v>7.775E-2</v>
      </c>
      <c r="U932" s="134">
        <v>-18.315973451330308</v>
      </c>
      <c r="V932" s="135">
        <v>60.5</v>
      </c>
      <c r="W932" s="179">
        <v>3.27</v>
      </c>
      <c r="X932" s="137">
        <v>59.893233185850107</v>
      </c>
      <c r="Y932" s="138"/>
      <c r="Z932" s="138">
        <v>4.4350000000000005</v>
      </c>
    </row>
    <row r="933" spans="3:26" ht="25" thickBot="1" x14ac:dyDescent="0.25">
      <c r="C933" s="168"/>
      <c r="D933" s="547" t="s">
        <v>435</v>
      </c>
      <c r="E933" s="1039">
        <v>0.61458333333333337</v>
      </c>
      <c r="F933" s="1040"/>
      <c r="G933" s="1041"/>
      <c r="H933" s="233">
        <v>0.40625</v>
      </c>
      <c r="I933" s="1029"/>
      <c r="J933" s="964"/>
      <c r="K933" s="1030"/>
      <c r="L933" s="560">
        <v>0.84375</v>
      </c>
      <c r="M933" s="520">
        <v>0.69791666666666663</v>
      </c>
      <c r="N933" s="168"/>
      <c r="O933" s="139" t="s">
        <v>812</v>
      </c>
      <c r="P933" s="180">
        <v>0.1</v>
      </c>
      <c r="Q933" s="160">
        <v>2.5266666666666663E-2</v>
      </c>
      <c r="R933" s="181">
        <v>1.7000000000000001E-2</v>
      </c>
      <c r="S933" s="143">
        <v>1</v>
      </c>
      <c r="T933" s="182">
        <v>5.4899999999999997E-2</v>
      </c>
      <c r="U933" s="144">
        <v>-12.933079646019728</v>
      </c>
      <c r="V933" s="145">
        <v>60.5</v>
      </c>
      <c r="W933" s="232">
        <v>2.2200000000000002</v>
      </c>
      <c r="X933" s="147">
        <v>28.711436814163797</v>
      </c>
      <c r="Y933" s="148"/>
      <c r="Z933" s="148"/>
    </row>
    <row r="934" spans="3:26" ht="25" thickBot="1" x14ac:dyDescent="0.25">
      <c r="C934" s="168"/>
      <c r="D934" s="549" t="s">
        <v>436</v>
      </c>
      <c r="E934" s="93" t="s">
        <v>29</v>
      </c>
      <c r="F934" s="93" t="s">
        <v>28</v>
      </c>
      <c r="G934" s="94" t="s">
        <v>27</v>
      </c>
      <c r="H934" s="230" t="s">
        <v>793</v>
      </c>
      <c r="I934" s="1029"/>
      <c r="J934" s="964"/>
      <c r="K934" s="1030"/>
      <c r="L934" s="573" t="s">
        <v>1002</v>
      </c>
      <c r="M934" s="523"/>
      <c r="N934" s="168"/>
      <c r="O934" s="127"/>
      <c r="P934" s="149"/>
      <c r="Q934" s="127"/>
      <c r="R934" s="127"/>
      <c r="S934" s="127"/>
      <c r="T934" s="127"/>
      <c r="U934" s="150"/>
      <c r="V934" s="151"/>
      <c r="W934" s="127"/>
      <c r="X934" s="150"/>
      <c r="Y934" s="128"/>
      <c r="Z934" s="128"/>
    </row>
    <row r="935" spans="3:26" ht="24" x14ac:dyDescent="0.2">
      <c r="C935" s="168"/>
      <c r="D935" s="550">
        <v>45597</v>
      </c>
      <c r="E935" s="97">
        <v>48.5</v>
      </c>
      <c r="F935" s="97" t="s">
        <v>1054</v>
      </c>
      <c r="G935" s="97">
        <v>47.8</v>
      </c>
      <c r="H935" s="224">
        <v>0.57291666666666663</v>
      </c>
      <c r="I935" s="1029"/>
      <c r="J935" s="964"/>
      <c r="K935" s="1030"/>
      <c r="L935" s="574">
        <v>0.36458333333333331</v>
      </c>
      <c r="M935" s="524"/>
      <c r="N935" s="168"/>
      <c r="O935" s="152"/>
      <c r="P935" s="128"/>
      <c r="Q935" s="152"/>
      <c r="R935" s="152"/>
      <c r="S935" s="152"/>
      <c r="T935" s="152"/>
      <c r="U935" s="152"/>
      <c r="V935" s="152"/>
      <c r="W935" s="152"/>
      <c r="X935" s="152"/>
      <c r="Y935" s="128"/>
      <c r="Z935" s="128"/>
    </row>
    <row r="936" spans="3:26" ht="24" x14ac:dyDescent="0.2">
      <c r="C936" s="168"/>
      <c r="D936" s="550">
        <v>45589</v>
      </c>
      <c r="E936" s="97">
        <v>47.8</v>
      </c>
      <c r="F936" s="97" t="s">
        <v>509</v>
      </c>
      <c r="G936" s="97">
        <v>47.3</v>
      </c>
      <c r="H936" s="224">
        <v>0.57291666666666663</v>
      </c>
      <c r="I936" s="1029"/>
      <c r="J936" s="964"/>
      <c r="K936" s="1030"/>
      <c r="L936" s="574">
        <v>0.36458333333333331</v>
      </c>
      <c r="M936" s="525"/>
      <c r="N936" s="168"/>
      <c r="O936" s="119" t="s">
        <v>813</v>
      </c>
      <c r="P936" s="171">
        <v>0.1</v>
      </c>
      <c r="Q936" s="153">
        <v>3.2883333333333334E-2</v>
      </c>
      <c r="R936" s="154">
        <v>1.7000000000000001E-2</v>
      </c>
      <c r="S936" s="123">
        <v>1</v>
      </c>
      <c r="T936" s="129">
        <v>6.6324999999999995E-2</v>
      </c>
      <c r="U936" s="155">
        <v>-15.624526548675018</v>
      </c>
      <c r="V936" s="156">
        <v>60.5</v>
      </c>
      <c r="W936" s="123">
        <v>2</v>
      </c>
      <c r="X936" s="157">
        <v>31.249053097350036</v>
      </c>
      <c r="Y936" s="158"/>
      <c r="Z936" s="158"/>
    </row>
    <row r="937" spans="3:26" ht="24" x14ac:dyDescent="0.2">
      <c r="C937" s="168"/>
      <c r="D937" s="550">
        <v>45566</v>
      </c>
      <c r="E937" s="97">
        <v>47.3</v>
      </c>
      <c r="F937" s="97" t="s">
        <v>758</v>
      </c>
      <c r="G937" s="97">
        <v>47.9</v>
      </c>
      <c r="H937" s="224">
        <v>0.57291666666666663</v>
      </c>
      <c r="I937" s="1029"/>
      <c r="J937" s="964"/>
      <c r="K937" s="1030"/>
      <c r="L937" s="574">
        <v>0.36458333333333331</v>
      </c>
      <c r="M937" s="519"/>
      <c r="N937" s="168"/>
      <c r="O937" s="119"/>
      <c r="P937" s="171"/>
      <c r="Q937" s="153"/>
      <c r="R937" s="154"/>
      <c r="S937" s="123"/>
      <c r="T937" s="129"/>
      <c r="U937" s="155"/>
      <c r="V937" s="156"/>
      <c r="W937" s="123"/>
      <c r="X937" s="157"/>
      <c r="Y937" s="158"/>
      <c r="Z937" s="158"/>
    </row>
    <row r="938" spans="3:26" ht="24" x14ac:dyDescent="0.2">
      <c r="C938" s="168"/>
      <c r="D938" s="550">
        <v>45558</v>
      </c>
      <c r="E938" s="97">
        <v>47</v>
      </c>
      <c r="F938" s="97" t="s">
        <v>500</v>
      </c>
      <c r="G938" s="97">
        <v>47.9</v>
      </c>
      <c r="H938" s="224">
        <v>0.57291666666666663</v>
      </c>
      <c r="I938" s="1029"/>
      <c r="J938" s="964"/>
      <c r="K938" s="1030"/>
      <c r="L938" s="574">
        <v>0.36458333333333331</v>
      </c>
      <c r="M938" s="519"/>
      <c r="N938" s="168"/>
      <c r="O938" s="119"/>
      <c r="P938" s="120"/>
      <c r="Q938" s="153"/>
      <c r="R938" s="154"/>
      <c r="S938" s="123"/>
      <c r="T938" s="120"/>
      <c r="U938" s="155"/>
      <c r="V938" s="156"/>
      <c r="W938" s="123"/>
      <c r="X938" s="157"/>
      <c r="Y938" s="158"/>
      <c r="Z938" s="158"/>
    </row>
    <row r="939" spans="3:26" ht="24" x14ac:dyDescent="0.2">
      <c r="C939" s="168"/>
      <c r="D939" s="550">
        <v>45538</v>
      </c>
      <c r="E939" s="97">
        <v>47.9</v>
      </c>
      <c r="F939" s="97" t="s">
        <v>502</v>
      </c>
      <c r="G939" s="97">
        <v>49.6</v>
      </c>
      <c r="H939" s="224">
        <v>0.57291666666666663</v>
      </c>
      <c r="I939" s="1029"/>
      <c r="J939" s="964"/>
      <c r="K939" s="1030"/>
      <c r="L939" s="574">
        <v>0.36458333333333331</v>
      </c>
      <c r="M939" s="519"/>
      <c r="N939" s="168"/>
      <c r="O939" s="89"/>
      <c r="P939" s="89"/>
      <c r="Q939" s="89"/>
      <c r="R939" s="89"/>
      <c r="S939" s="89"/>
      <c r="T939" s="89"/>
      <c r="U939" s="89"/>
      <c r="V939" s="89"/>
      <c r="W939" s="89"/>
      <c r="X939" s="89"/>
      <c r="Y939" s="89"/>
      <c r="Z939" s="89"/>
    </row>
    <row r="940" spans="3:26" ht="25" thickBot="1" x14ac:dyDescent="0.25">
      <c r="C940" s="168"/>
      <c r="D940" s="550">
        <v>45526</v>
      </c>
      <c r="E940" s="97">
        <v>48</v>
      </c>
      <c r="F940" s="97" t="s">
        <v>438</v>
      </c>
      <c r="G940" s="97">
        <v>49.6</v>
      </c>
      <c r="H940" s="224">
        <v>0.57291666666666663</v>
      </c>
      <c r="I940" s="1031"/>
      <c r="J940" s="966"/>
      <c r="K940" s="1032"/>
      <c r="L940" s="574">
        <v>0.36458333333333331</v>
      </c>
      <c r="M940" s="522"/>
      <c r="N940" s="168"/>
      <c r="O940" s="89"/>
      <c r="P940" s="89"/>
      <c r="Q940" s="89"/>
      <c r="R940" s="89"/>
      <c r="S940" s="89"/>
      <c r="T940" s="89"/>
      <c r="U940" s="89"/>
      <c r="V940" s="89"/>
      <c r="W940" s="89"/>
      <c r="X940" s="89"/>
      <c r="Y940" s="89"/>
      <c r="Z940" s="89"/>
    </row>
    <row r="941" spans="3:26" ht="49" thickBot="1" x14ac:dyDescent="0.25">
      <c r="C941" s="91">
        <v>11</v>
      </c>
      <c r="D941" s="552" t="s">
        <v>30</v>
      </c>
      <c r="E941" s="1052" t="s">
        <v>1025</v>
      </c>
      <c r="F941" s="1053"/>
      <c r="G941" s="1054"/>
      <c r="H941" s="217" t="s">
        <v>790</v>
      </c>
      <c r="I941" s="1055" t="s">
        <v>633</v>
      </c>
      <c r="J941" s="1056"/>
      <c r="K941" s="1057"/>
      <c r="L941" s="570" t="s">
        <v>430</v>
      </c>
      <c r="M941" s="518" t="s">
        <v>431</v>
      </c>
      <c r="N941" s="168" t="s">
        <v>105</v>
      </c>
      <c r="O941" s="118" t="s">
        <v>800</v>
      </c>
      <c r="P941" s="118" t="s">
        <v>801</v>
      </c>
      <c r="Q941" s="118" t="s">
        <v>802</v>
      </c>
      <c r="R941" s="118" t="s">
        <v>803</v>
      </c>
      <c r="S941" s="118" t="s">
        <v>804</v>
      </c>
      <c r="T941" s="118" t="s">
        <v>805</v>
      </c>
      <c r="U941" s="118" t="s">
        <v>806</v>
      </c>
      <c r="V941" s="118" t="s">
        <v>807</v>
      </c>
      <c r="W941" s="118" t="s">
        <v>808</v>
      </c>
      <c r="X941" s="118" t="s">
        <v>809</v>
      </c>
      <c r="Y941" s="118" t="s">
        <v>75</v>
      </c>
      <c r="Z941" s="118" t="s">
        <v>75</v>
      </c>
    </row>
    <row r="942" spans="3:26" ht="24" x14ac:dyDescent="0.2">
      <c r="C942" s="168"/>
      <c r="D942" s="544" t="s">
        <v>432</v>
      </c>
      <c r="E942" s="1024"/>
      <c r="F942" s="1025"/>
      <c r="G942" s="1026"/>
      <c r="H942" s="218" t="s">
        <v>906</v>
      </c>
      <c r="I942" s="1027" t="s">
        <v>1026</v>
      </c>
      <c r="J942" s="962"/>
      <c r="K942" s="1028"/>
      <c r="L942" s="559"/>
      <c r="M942" s="519"/>
      <c r="N942" s="168"/>
      <c r="O942" s="119" t="s">
        <v>810</v>
      </c>
      <c r="P942" s="171">
        <v>0.1</v>
      </c>
      <c r="Q942" s="172">
        <v>3.3E-4</v>
      </c>
      <c r="R942" s="173">
        <v>1.500000000000945E-4</v>
      </c>
      <c r="S942" s="123">
        <v>1</v>
      </c>
      <c r="T942" s="119">
        <v>4.55000000000029E-4</v>
      </c>
      <c r="U942" s="172">
        <v>-22.85</v>
      </c>
      <c r="V942" s="171">
        <v>60.5</v>
      </c>
      <c r="W942" s="174">
        <v>2</v>
      </c>
      <c r="X942" s="157"/>
      <c r="Y942" s="124"/>
      <c r="Z942" s="124"/>
    </row>
    <row r="943" spans="3:26" ht="24" x14ac:dyDescent="0.2">
      <c r="C943" s="168"/>
      <c r="D943" s="546" t="s">
        <v>433</v>
      </c>
      <c r="E943" s="1033"/>
      <c r="F943" s="1034"/>
      <c r="G943" s="1035"/>
      <c r="H943" s="218" t="s">
        <v>907</v>
      </c>
      <c r="I943" s="1029"/>
      <c r="J943" s="964"/>
      <c r="K943" s="1030"/>
      <c r="L943" s="559"/>
      <c r="M943" s="519"/>
      <c r="N943" s="168"/>
      <c r="O943" s="125"/>
      <c r="P943" s="125"/>
      <c r="Q943" s="125"/>
      <c r="R943" s="126"/>
      <c r="S943" s="127"/>
      <c r="T943" s="125"/>
      <c r="U943" s="125"/>
      <c r="V943" s="125"/>
      <c r="W943" s="125"/>
      <c r="X943" s="127"/>
      <c r="Y943" s="128"/>
      <c r="Z943" s="128"/>
    </row>
    <row r="944" spans="3:26" ht="24" x14ac:dyDescent="0.2">
      <c r="C944" s="168"/>
      <c r="D944" s="546" t="s">
        <v>434</v>
      </c>
      <c r="E944" s="1036">
        <v>55</v>
      </c>
      <c r="F944" s="1037"/>
      <c r="G944" s="1038"/>
      <c r="H944" s="219"/>
      <c r="I944" s="1029"/>
      <c r="J944" s="964"/>
      <c r="K944" s="1030"/>
      <c r="L944" s="559"/>
      <c r="M944" s="519"/>
      <c r="N944" s="168"/>
      <c r="O944" s="129" t="s">
        <v>811</v>
      </c>
      <c r="P944" s="176">
        <v>0.1</v>
      </c>
      <c r="Q944" s="177">
        <v>2.9999999999999997E-4</v>
      </c>
      <c r="R944" s="178">
        <v>2.0000000000000001E-4</v>
      </c>
      <c r="S944" s="190">
        <v>1</v>
      </c>
      <c r="T944" s="129">
        <v>6.4999999999999997E-4</v>
      </c>
      <c r="U944" s="134">
        <v>-32.642857142855057</v>
      </c>
      <c r="V944" s="135">
        <v>60.5</v>
      </c>
      <c r="W944" s="191">
        <v>2.81</v>
      </c>
      <c r="X944" s="137">
        <v>91.726428571422716</v>
      </c>
      <c r="Y944" s="138"/>
      <c r="Z944" s="138"/>
    </row>
    <row r="945" spans="2:26" ht="25" thickBot="1" x14ac:dyDescent="0.25">
      <c r="C945" s="168"/>
      <c r="D945" s="547" t="s">
        <v>435</v>
      </c>
      <c r="E945" s="1039">
        <v>0.61458333333333337</v>
      </c>
      <c r="F945" s="1040"/>
      <c r="G945" s="1041"/>
      <c r="H945" s="233">
        <v>0.40625</v>
      </c>
      <c r="I945" s="1029"/>
      <c r="J945" s="964"/>
      <c r="K945" s="1030"/>
      <c r="L945" s="560">
        <v>0.84375</v>
      </c>
      <c r="M945" s="520">
        <v>0.69791666666666663</v>
      </c>
      <c r="N945" s="168"/>
      <c r="O945" s="139" t="s">
        <v>812</v>
      </c>
      <c r="P945" s="180">
        <v>0.1</v>
      </c>
      <c r="Q945" s="160">
        <v>4.0000000000000002E-4</v>
      </c>
      <c r="R945" s="181">
        <v>2.0000000000000001E-4</v>
      </c>
      <c r="S945" s="192">
        <v>1</v>
      </c>
      <c r="T945" s="182">
        <v>8.0000000000000004E-4</v>
      </c>
      <c r="U945" s="144">
        <v>-40.175824175821617</v>
      </c>
      <c r="V945" s="145">
        <v>60.5</v>
      </c>
      <c r="W945" s="193">
        <v>2.48</v>
      </c>
      <c r="X945" s="147">
        <v>99.636043956037611</v>
      </c>
      <c r="Y945" s="148"/>
      <c r="Z945" s="148"/>
    </row>
    <row r="946" spans="2:26" ht="25" thickBot="1" x14ac:dyDescent="0.25">
      <c r="C946" s="168"/>
      <c r="D946" s="549" t="s">
        <v>436</v>
      </c>
      <c r="E946" s="93" t="s">
        <v>29</v>
      </c>
      <c r="F946" s="93" t="s">
        <v>28</v>
      </c>
      <c r="G946" s="94" t="s">
        <v>27</v>
      </c>
      <c r="H946" s="230" t="s">
        <v>793</v>
      </c>
      <c r="I946" s="1029"/>
      <c r="J946" s="964"/>
      <c r="K946" s="1030"/>
      <c r="L946" s="573" t="s">
        <v>1002</v>
      </c>
      <c r="M946" s="523"/>
      <c r="N946" s="168"/>
      <c r="O946" s="127"/>
      <c r="P946" s="149"/>
      <c r="Q946" s="127"/>
      <c r="R946" s="127"/>
      <c r="S946" s="194"/>
      <c r="T946" s="127"/>
      <c r="U946" s="150"/>
      <c r="V946" s="151"/>
      <c r="W946" s="195"/>
      <c r="X946" s="150"/>
      <c r="Y946" s="128"/>
      <c r="Z946" s="128"/>
    </row>
    <row r="947" spans="2:26" ht="24" x14ac:dyDescent="0.2">
      <c r="C947" s="168"/>
      <c r="D947" s="550">
        <v>45601</v>
      </c>
      <c r="E947" s="95">
        <v>55</v>
      </c>
      <c r="F947" s="95" t="s">
        <v>585</v>
      </c>
      <c r="G947" s="95">
        <v>55.2</v>
      </c>
      <c r="H947" s="224">
        <v>0.61458333333333337</v>
      </c>
      <c r="I947" s="1029"/>
      <c r="J947" s="964"/>
      <c r="K947" s="1030"/>
      <c r="L947" s="574">
        <v>0.40625</v>
      </c>
      <c r="M947" s="524"/>
      <c r="N947" s="168"/>
      <c r="O947" s="152"/>
      <c r="P947" s="128"/>
      <c r="Q947" s="152"/>
      <c r="R947" s="152"/>
      <c r="S947" s="194"/>
      <c r="T947" s="152"/>
      <c r="U947" s="152"/>
      <c r="V947" s="152"/>
      <c r="W947" s="197"/>
      <c r="X947" s="152"/>
      <c r="Y947" s="128"/>
      <c r="Z947" s="128"/>
    </row>
    <row r="948" spans="2:26" ht="24" x14ac:dyDescent="0.2">
      <c r="C948" s="168"/>
      <c r="D948" s="550">
        <v>45589</v>
      </c>
      <c r="E948" s="95">
        <v>55.3</v>
      </c>
      <c r="F948" s="95" t="s">
        <v>604</v>
      </c>
      <c r="G948" s="95">
        <v>55.2</v>
      </c>
      <c r="H948" s="224">
        <v>0.57291666666666663</v>
      </c>
      <c r="I948" s="1029"/>
      <c r="J948" s="964"/>
      <c r="K948" s="1030"/>
      <c r="L948" s="574">
        <v>0.36458333333333331</v>
      </c>
      <c r="M948" s="525"/>
      <c r="N948" s="168"/>
      <c r="O948" s="119" t="s">
        <v>813</v>
      </c>
      <c r="P948" s="202">
        <v>-0.1</v>
      </c>
      <c r="Q948" s="153">
        <v>3.4333333333333329E-4</v>
      </c>
      <c r="R948" s="154">
        <v>2.0000000000000001E-4</v>
      </c>
      <c r="S948" s="198">
        <v>-1</v>
      </c>
      <c r="T948" s="129">
        <v>7.1499999999999992E-4</v>
      </c>
      <c r="U948" s="155">
        <v>-35.907142857140563</v>
      </c>
      <c r="V948" s="156">
        <v>60.5</v>
      </c>
      <c r="W948" s="200">
        <v>2</v>
      </c>
      <c r="X948" s="157">
        <v>71.814285714281127</v>
      </c>
      <c r="Y948" s="158" t="s">
        <v>814</v>
      </c>
      <c r="Z948" s="158"/>
    </row>
    <row r="949" spans="2:26" ht="24" x14ac:dyDescent="0.2">
      <c r="C949" s="168"/>
      <c r="D949" s="550">
        <v>45568</v>
      </c>
      <c r="E949" s="95">
        <v>55.2</v>
      </c>
      <c r="F949" s="95" t="s">
        <v>759</v>
      </c>
      <c r="G949" s="95">
        <v>55.7</v>
      </c>
      <c r="H949" s="224">
        <v>0.57291666666666663</v>
      </c>
      <c r="I949" s="1029"/>
      <c r="J949" s="964"/>
      <c r="K949" s="1030"/>
      <c r="L949" s="574">
        <v>0.36458333333333331</v>
      </c>
      <c r="M949" s="519"/>
      <c r="N949" s="168"/>
      <c r="O949" s="119" t="s">
        <v>813</v>
      </c>
      <c r="P949" s="202">
        <v>0.1</v>
      </c>
      <c r="Q949" s="153">
        <v>3.4333333333333329E-4</v>
      </c>
      <c r="R949" s="154">
        <v>0</v>
      </c>
      <c r="S949" s="198">
        <v>1</v>
      </c>
      <c r="T949" s="129">
        <v>7.1499999999999992E-4</v>
      </c>
      <c r="U949" s="155">
        <v>-35.907142857140563</v>
      </c>
      <c r="V949" s="156">
        <v>60.5</v>
      </c>
      <c r="W949" s="200">
        <v>2</v>
      </c>
      <c r="X949" s="157">
        <v>71.814285714281127</v>
      </c>
      <c r="Y949" s="158" t="s">
        <v>814</v>
      </c>
      <c r="Z949" s="158"/>
    </row>
    <row r="950" spans="2:26" ht="24" x14ac:dyDescent="0.2">
      <c r="C950" s="168"/>
      <c r="D950" s="550">
        <v>45558</v>
      </c>
      <c r="E950" s="95">
        <v>55.4</v>
      </c>
      <c r="F950" s="95" t="s">
        <v>585</v>
      </c>
      <c r="G950" s="95">
        <v>55.7</v>
      </c>
      <c r="H950" s="224">
        <v>0.57291666666666663</v>
      </c>
      <c r="I950" s="1029"/>
      <c r="J950" s="964"/>
      <c r="K950" s="1030"/>
      <c r="L950" s="574">
        <v>0.36458333333333331</v>
      </c>
      <c r="M950" s="519"/>
      <c r="N950" s="168"/>
      <c r="O950" s="119"/>
      <c r="P950" s="120"/>
      <c r="Q950" s="153"/>
      <c r="R950" s="154"/>
      <c r="S950" s="123"/>
      <c r="T950" s="120"/>
      <c r="U950" s="155"/>
      <c r="V950" s="156"/>
      <c r="W950" s="123"/>
      <c r="X950" s="157"/>
      <c r="Y950" s="158"/>
      <c r="Z950" s="158"/>
    </row>
    <row r="951" spans="2:26" ht="24" x14ac:dyDescent="0.2">
      <c r="C951" s="168"/>
      <c r="D951" s="550">
        <v>45540</v>
      </c>
      <c r="E951" s="95">
        <v>55.7</v>
      </c>
      <c r="F951" s="95" t="s">
        <v>586</v>
      </c>
      <c r="G951" s="95">
        <v>55</v>
      </c>
      <c r="H951" s="224">
        <v>0.57291666666666663</v>
      </c>
      <c r="I951" s="1029"/>
      <c r="J951" s="964"/>
      <c r="K951" s="1030"/>
      <c r="L951" s="574">
        <v>0.36458333333333331</v>
      </c>
      <c r="M951" s="519"/>
      <c r="N951" s="168"/>
      <c r="O951" s="89"/>
      <c r="P951" s="89"/>
      <c r="Q951" s="89"/>
      <c r="R951" s="89"/>
      <c r="S951" s="89"/>
      <c r="T951" s="89"/>
      <c r="U951" s="89"/>
      <c r="V951" s="89"/>
      <c r="W951" s="89"/>
      <c r="X951" s="89"/>
      <c r="Y951" s="89"/>
      <c r="Z951" s="89"/>
    </row>
    <row r="952" spans="2:26" ht="25" thickBot="1" x14ac:dyDescent="0.25">
      <c r="C952" s="168"/>
      <c r="D952" s="556">
        <v>45526</v>
      </c>
      <c r="E952" s="165">
        <v>55.2</v>
      </c>
      <c r="F952" s="165" t="s">
        <v>587</v>
      </c>
      <c r="G952" s="165">
        <v>55</v>
      </c>
      <c r="H952" s="231">
        <v>0.57291666666666663</v>
      </c>
      <c r="I952" s="1031"/>
      <c r="J952" s="966"/>
      <c r="K952" s="1032"/>
      <c r="L952" s="575">
        <v>0.36458333333333331</v>
      </c>
      <c r="M952" s="522"/>
      <c r="N952" s="168"/>
      <c r="O952" s="89"/>
      <c r="P952" s="89"/>
      <c r="Q952" s="89"/>
      <c r="R952" s="89"/>
      <c r="S952" s="89"/>
      <c r="T952" s="89"/>
      <c r="U952" s="89"/>
      <c r="V952" s="89"/>
      <c r="W952" s="89"/>
      <c r="X952" s="89"/>
      <c r="Y952" s="89"/>
      <c r="Z952" s="89"/>
    </row>
    <row r="953" spans="2:26" ht="20" thickBot="1" x14ac:dyDescent="0.25">
      <c r="B953" t="s">
        <v>105</v>
      </c>
      <c r="C953" s="241">
        <v>1</v>
      </c>
      <c r="D953" s="576" t="s">
        <v>30</v>
      </c>
      <c r="E953" s="874" t="s">
        <v>1060</v>
      </c>
      <c r="F953" s="875"/>
      <c r="G953" s="876"/>
      <c r="H953" s="242" t="s">
        <v>790</v>
      </c>
      <c r="I953" s="1042" t="s">
        <v>633</v>
      </c>
      <c r="J953" s="1042"/>
      <c r="K953" s="1043"/>
      <c r="L953" s="577" t="s">
        <v>430</v>
      </c>
      <c r="M953" s="371" t="s">
        <v>431</v>
      </c>
      <c r="N953" s="243" t="s">
        <v>105</v>
      </c>
      <c r="O953" s="244" t="s">
        <v>800</v>
      </c>
      <c r="P953" s="244" t="s">
        <v>801</v>
      </c>
      <c r="Q953" s="244" t="s">
        <v>802</v>
      </c>
      <c r="R953" s="244" t="s">
        <v>803</v>
      </c>
      <c r="S953" s="244" t="s">
        <v>804</v>
      </c>
      <c r="T953" s="244" t="s">
        <v>805</v>
      </c>
      <c r="U953" s="244" t="s">
        <v>806</v>
      </c>
      <c r="V953" s="244" t="s">
        <v>807</v>
      </c>
      <c r="W953" s="244" t="s">
        <v>808</v>
      </c>
      <c r="X953" s="244" t="s">
        <v>809</v>
      </c>
      <c r="Y953" s="244" t="s">
        <v>75</v>
      </c>
      <c r="Z953" s="244" t="s">
        <v>75</v>
      </c>
    </row>
    <row r="954" spans="2:26" ht="19" x14ac:dyDescent="0.2">
      <c r="C954" s="241"/>
      <c r="D954" s="578" t="s">
        <v>432</v>
      </c>
      <c r="E954" s="805"/>
      <c r="F954" s="806"/>
      <c r="G954" s="807"/>
      <c r="H954" s="245" t="s">
        <v>906</v>
      </c>
      <c r="I954" s="1044" t="s">
        <v>1061</v>
      </c>
      <c r="J954" s="1044"/>
      <c r="K954" s="1045"/>
      <c r="L954" s="579"/>
      <c r="M954" s="527" t="s">
        <v>1060</v>
      </c>
      <c r="N954" s="243"/>
      <c r="O954" s="246" t="s">
        <v>810</v>
      </c>
      <c r="P954" s="247">
        <v>0.1</v>
      </c>
      <c r="Q954" s="248">
        <v>2.1000000000000001E-4</v>
      </c>
      <c r="R954" s="249">
        <v>1.4000000000002899E-4</v>
      </c>
      <c r="S954" s="250"/>
      <c r="T954" s="246">
        <v>4.55000000000029E-4</v>
      </c>
      <c r="U954" s="248">
        <v>-16.510000000000002</v>
      </c>
      <c r="V954" s="247">
        <v>60.5</v>
      </c>
      <c r="W954" s="251">
        <v>2</v>
      </c>
      <c r="X954" s="252">
        <v>33.020000000000003</v>
      </c>
      <c r="Y954" s="250"/>
      <c r="Z954" s="250"/>
    </row>
    <row r="955" spans="2:26" ht="19" x14ac:dyDescent="0.2">
      <c r="C955" s="241"/>
      <c r="D955" s="580" t="s">
        <v>433</v>
      </c>
      <c r="E955" s="817" t="s">
        <v>1090</v>
      </c>
      <c r="F955" s="818"/>
      <c r="G955" s="819"/>
      <c r="H955" s="245" t="s">
        <v>907</v>
      </c>
      <c r="I955" s="1046"/>
      <c r="J955" s="1046"/>
      <c r="K955" s="1047"/>
      <c r="L955" s="579"/>
      <c r="M955" s="373"/>
      <c r="N955" s="243"/>
      <c r="O955" s="243"/>
      <c r="P955" s="243"/>
      <c r="Q955" s="243"/>
      <c r="R955" s="253"/>
      <c r="S955" s="254"/>
      <c r="T955" s="243"/>
      <c r="U955" s="243"/>
      <c r="V955" s="243"/>
      <c r="W955" s="254"/>
      <c r="X955" s="254"/>
      <c r="Y955" s="255"/>
      <c r="Z955" s="255"/>
    </row>
    <row r="956" spans="2:26" ht="19" x14ac:dyDescent="0.2">
      <c r="C956" s="241"/>
      <c r="D956" s="580" t="s">
        <v>434</v>
      </c>
      <c r="E956" s="817">
        <v>108.7</v>
      </c>
      <c r="F956" s="818"/>
      <c r="G956" s="819"/>
      <c r="H956" s="245"/>
      <c r="I956" s="1046"/>
      <c r="J956" s="1046"/>
      <c r="K956" s="1047"/>
      <c r="L956" s="579"/>
      <c r="M956" s="373"/>
      <c r="N956" s="243"/>
      <c r="O956" s="256" t="s">
        <v>811</v>
      </c>
      <c r="P956" s="257">
        <v>0.1</v>
      </c>
      <c r="Q956" s="258">
        <v>2.9999999999999997E-4</v>
      </c>
      <c r="R956" s="259">
        <v>2.0000000000000001E-4</v>
      </c>
      <c r="S956" s="260">
        <v>1</v>
      </c>
      <c r="T956" s="256">
        <v>6.4999999999999997E-4</v>
      </c>
      <c r="U956" s="261">
        <v>-23.585714285712783</v>
      </c>
      <c r="V956" s="262">
        <v>60.5</v>
      </c>
      <c r="W956" s="263">
        <v>1.48</v>
      </c>
      <c r="X956" s="264">
        <v>34.906857142854918</v>
      </c>
      <c r="Y956" s="265"/>
      <c r="Z956" s="265"/>
    </row>
    <row r="957" spans="2:26" ht="20" thickBot="1" x14ac:dyDescent="0.25">
      <c r="C957" s="241"/>
      <c r="D957" s="581" t="s">
        <v>435</v>
      </c>
      <c r="E957" s="811">
        <v>0.625</v>
      </c>
      <c r="F957" s="812"/>
      <c r="G957" s="813"/>
      <c r="H957" s="266">
        <v>0.41666666666666663</v>
      </c>
      <c r="I957" s="1046"/>
      <c r="J957" s="1046"/>
      <c r="K957" s="1047"/>
      <c r="L957" s="582">
        <v>0.85416666666666663</v>
      </c>
      <c r="M957" s="376">
        <v>0.70833333333333326</v>
      </c>
      <c r="N957" s="243"/>
      <c r="O957" s="267" t="s">
        <v>812</v>
      </c>
      <c r="P957" s="268">
        <v>0.1</v>
      </c>
      <c r="Q957" s="269">
        <v>2.6666666666666663E-4</v>
      </c>
      <c r="R957" s="270">
        <v>2.0000000000000001E-4</v>
      </c>
      <c r="S957" s="271">
        <v>1</v>
      </c>
      <c r="T957" s="272">
        <v>5.9999999999999995E-4</v>
      </c>
      <c r="U957" s="273">
        <v>-21.771428571427183</v>
      </c>
      <c r="V957" s="274">
        <v>60.5</v>
      </c>
      <c r="W957" s="275">
        <v>1.75</v>
      </c>
      <c r="X957" s="276">
        <v>38.099999999997571</v>
      </c>
      <c r="Y957" s="277"/>
      <c r="Z957" s="277"/>
    </row>
    <row r="958" spans="2:26" ht="20" thickBot="1" x14ac:dyDescent="0.25">
      <c r="C958" s="241"/>
      <c r="D958" s="583" t="s">
        <v>436</v>
      </c>
      <c r="E958" s="278" t="s">
        <v>29</v>
      </c>
      <c r="F958" s="278" t="s">
        <v>28</v>
      </c>
      <c r="G958" s="279" t="s">
        <v>27</v>
      </c>
      <c r="H958" s="280" t="s">
        <v>793</v>
      </c>
      <c r="I958" s="1046"/>
      <c r="J958" s="1046"/>
      <c r="K958" s="1047"/>
      <c r="L958" s="584" t="s">
        <v>1002</v>
      </c>
      <c r="M958" s="378"/>
      <c r="N958" s="243"/>
      <c r="O958" s="254"/>
      <c r="P958" s="255"/>
      <c r="Q958" s="254"/>
      <c r="R958" s="254"/>
      <c r="S958" s="254"/>
      <c r="T958" s="254"/>
      <c r="U958" s="281"/>
      <c r="V958" s="282"/>
      <c r="W958" s="254"/>
      <c r="X958" s="281"/>
      <c r="Y958" s="255"/>
      <c r="Z958" s="255"/>
    </row>
    <row r="959" spans="2:26" ht="19" x14ac:dyDescent="0.2">
      <c r="C959" s="241"/>
      <c r="D959" s="585">
        <v>45594</v>
      </c>
      <c r="E959" s="283">
        <v>108.7</v>
      </c>
      <c r="F959" s="283" t="s">
        <v>1091</v>
      </c>
      <c r="G959" s="283">
        <v>99.2</v>
      </c>
      <c r="H959" s="284">
        <v>0.58333333333333337</v>
      </c>
      <c r="I959" s="1046"/>
      <c r="J959" s="1046"/>
      <c r="K959" s="1047"/>
      <c r="L959" s="586">
        <v>0.375</v>
      </c>
      <c r="M959" s="528"/>
      <c r="N959" s="243"/>
      <c r="O959" s="254"/>
      <c r="P959" s="255"/>
      <c r="Q959" s="254"/>
      <c r="R959" s="254"/>
      <c r="S959" s="254"/>
      <c r="T959" s="254"/>
      <c r="U959" s="254"/>
      <c r="V959" s="254"/>
      <c r="W959" s="254"/>
      <c r="X959" s="254"/>
      <c r="Y959" s="255"/>
      <c r="Z959" s="255"/>
    </row>
    <row r="960" spans="2:26" ht="19" x14ac:dyDescent="0.2">
      <c r="C960" s="241"/>
      <c r="D960" s="585">
        <v>45559</v>
      </c>
      <c r="E960" s="283">
        <v>98.7</v>
      </c>
      <c r="F960" s="283" t="s">
        <v>874</v>
      </c>
      <c r="G960" s="283">
        <v>105.6</v>
      </c>
      <c r="H960" s="284">
        <v>0.58333333333333337</v>
      </c>
      <c r="I960" s="1046"/>
      <c r="J960" s="1046"/>
      <c r="K960" s="1047"/>
      <c r="L960" s="586">
        <v>0.375</v>
      </c>
      <c r="M960" s="529"/>
      <c r="N960" s="243"/>
      <c r="O960" s="246" t="s">
        <v>813</v>
      </c>
      <c r="P960" s="247">
        <v>-0.05</v>
      </c>
      <c r="Q960" s="285">
        <v>2.833333333333333E-4</v>
      </c>
      <c r="R960" s="286">
        <v>2.0000000000000001E-4</v>
      </c>
      <c r="S960" s="250">
        <v>-1</v>
      </c>
      <c r="T960" s="256">
        <v>6.249999999999999E-4</v>
      </c>
      <c r="U960" s="287">
        <v>-11.339285714284991</v>
      </c>
      <c r="V960" s="288">
        <v>-30.25</v>
      </c>
      <c r="W960" s="250">
        <v>1.5</v>
      </c>
      <c r="X960" s="252">
        <v>17.008928571427486</v>
      </c>
      <c r="Y960" s="289"/>
      <c r="Z960" s="289" t="s">
        <v>1055</v>
      </c>
    </row>
    <row r="961" spans="3:26" ht="19" x14ac:dyDescent="0.2">
      <c r="C961" s="241"/>
      <c r="D961" s="585">
        <v>45531</v>
      </c>
      <c r="E961" s="283">
        <v>103.3</v>
      </c>
      <c r="F961" s="283" t="s">
        <v>875</v>
      </c>
      <c r="G961" s="283">
        <v>101.9</v>
      </c>
      <c r="H961" s="284">
        <v>0.58333333333333337</v>
      </c>
      <c r="I961" s="1046"/>
      <c r="J961" s="1046"/>
      <c r="K961" s="1047"/>
      <c r="L961" s="586">
        <v>0.375</v>
      </c>
      <c r="M961" s="373"/>
      <c r="N961" s="243"/>
      <c r="O961" s="246"/>
      <c r="P961" s="247"/>
      <c r="Q961" s="285"/>
      <c r="R961" s="286"/>
      <c r="S961" s="250"/>
      <c r="T961" s="256"/>
      <c r="U961" s="287"/>
      <c r="V961" s="288"/>
      <c r="W961" s="250"/>
      <c r="X961" s="252"/>
      <c r="Y961" s="289"/>
      <c r="Z961" s="289"/>
    </row>
    <row r="962" spans="3:26" ht="19" x14ac:dyDescent="0.2">
      <c r="C962" s="241"/>
      <c r="D962" s="585">
        <v>45503</v>
      </c>
      <c r="E962" s="283">
        <v>100.3</v>
      </c>
      <c r="F962" s="283" t="s">
        <v>876</v>
      </c>
      <c r="G962" s="283">
        <v>97.8</v>
      </c>
      <c r="H962" s="284">
        <v>0.58333333333333337</v>
      </c>
      <c r="I962" s="1046"/>
      <c r="J962" s="1046"/>
      <c r="K962" s="1047"/>
      <c r="L962" s="586">
        <v>0.375</v>
      </c>
      <c r="M962" s="373"/>
      <c r="N962" s="243"/>
      <c r="O962" s="246"/>
      <c r="P962" s="290"/>
      <c r="Q962" s="285"/>
      <c r="R962" s="286"/>
      <c r="S962" s="250"/>
      <c r="T962" s="290"/>
      <c r="U962" s="287"/>
      <c r="V962" s="288"/>
      <c r="W962" s="250"/>
      <c r="X962" s="252"/>
      <c r="Y962" s="289"/>
      <c r="Z962" s="289"/>
    </row>
    <row r="963" spans="3:26" ht="19" x14ac:dyDescent="0.2">
      <c r="C963" s="241"/>
      <c r="D963" s="585">
        <v>45468</v>
      </c>
      <c r="E963" s="283">
        <v>100.4</v>
      </c>
      <c r="F963" s="283" t="s">
        <v>877</v>
      </c>
      <c r="G963" s="283">
        <v>101.3</v>
      </c>
      <c r="H963" s="284">
        <v>0.58333333333333337</v>
      </c>
      <c r="I963" s="1046"/>
      <c r="J963" s="1046"/>
      <c r="K963" s="1047"/>
      <c r="L963" s="586">
        <v>0.375</v>
      </c>
      <c r="M963" s="373"/>
      <c r="N963" s="243"/>
      <c r="O963" s="291"/>
      <c r="P963" s="291"/>
      <c r="Q963" s="291"/>
      <c r="R963" s="291"/>
      <c r="S963" s="291"/>
      <c r="T963" s="291"/>
      <c r="U963" s="291"/>
      <c r="V963" s="291"/>
      <c r="W963" s="291"/>
      <c r="X963" s="291"/>
      <c r="Y963" s="291"/>
      <c r="Z963" s="291"/>
    </row>
    <row r="964" spans="3:26" ht="20" thickBot="1" x14ac:dyDescent="0.25">
      <c r="C964" s="241"/>
      <c r="D964" s="585">
        <v>45440</v>
      </c>
      <c r="E964" s="283">
        <v>102</v>
      </c>
      <c r="F964" s="283" t="s">
        <v>878</v>
      </c>
      <c r="G964" s="283">
        <v>97.5</v>
      </c>
      <c r="H964" s="284">
        <v>0.58333333333333337</v>
      </c>
      <c r="I964" s="1048"/>
      <c r="J964" s="1048"/>
      <c r="K964" s="1049"/>
      <c r="L964" s="587">
        <v>0.375</v>
      </c>
      <c r="M964" s="530"/>
      <c r="N964" s="243"/>
      <c r="O964" s="291"/>
      <c r="P964" s="291"/>
      <c r="Q964" s="291"/>
      <c r="R964" s="291"/>
      <c r="S964" s="291"/>
      <c r="T964" s="291"/>
      <c r="U964" s="291"/>
      <c r="V964" s="291"/>
      <c r="W964" s="291"/>
      <c r="X964" s="291"/>
      <c r="Y964" s="291"/>
      <c r="Z964" s="291"/>
    </row>
    <row r="965" spans="3:26" ht="20" thickBot="1" x14ac:dyDescent="0.25">
      <c r="C965" s="241">
        <v>2</v>
      </c>
      <c r="D965" s="576" t="s">
        <v>30</v>
      </c>
      <c r="E965" s="874" t="s">
        <v>1062</v>
      </c>
      <c r="F965" s="875"/>
      <c r="G965" s="876"/>
      <c r="H965" s="242" t="s">
        <v>790</v>
      </c>
      <c r="I965" s="1042" t="s">
        <v>633</v>
      </c>
      <c r="J965" s="1042"/>
      <c r="K965" s="1043"/>
      <c r="L965" s="577" t="s">
        <v>430</v>
      </c>
      <c r="M965" s="371" t="s">
        <v>431</v>
      </c>
      <c r="N965" s="243" t="s">
        <v>105</v>
      </c>
      <c r="O965" s="244" t="s">
        <v>800</v>
      </c>
      <c r="P965" s="244" t="s">
        <v>801</v>
      </c>
      <c r="Q965" s="244" t="s">
        <v>802</v>
      </c>
      <c r="R965" s="244" t="s">
        <v>803</v>
      </c>
      <c r="S965" s="244" t="s">
        <v>804</v>
      </c>
      <c r="T965" s="244" t="s">
        <v>805</v>
      </c>
      <c r="U965" s="244" t="s">
        <v>806</v>
      </c>
      <c r="V965" s="244" t="s">
        <v>807</v>
      </c>
      <c r="W965" s="244" t="s">
        <v>808</v>
      </c>
      <c r="X965" s="244" t="s">
        <v>809</v>
      </c>
      <c r="Y965" s="244" t="s">
        <v>75</v>
      </c>
      <c r="Z965" s="244" t="s">
        <v>75</v>
      </c>
    </row>
    <row r="966" spans="3:26" ht="19" x14ac:dyDescent="0.2">
      <c r="C966" s="241"/>
      <c r="D966" s="588" t="s">
        <v>432</v>
      </c>
      <c r="E966" s="853"/>
      <c r="F966" s="854"/>
      <c r="G966" s="855"/>
      <c r="H966" s="245" t="s">
        <v>906</v>
      </c>
      <c r="I966" s="1044" t="s">
        <v>1064</v>
      </c>
      <c r="J966" s="1044"/>
      <c r="K966" s="1045"/>
      <c r="L966" s="579"/>
      <c r="M966" s="527" t="s">
        <v>1062</v>
      </c>
      <c r="N966" s="243"/>
      <c r="O966" s="246" t="s">
        <v>810</v>
      </c>
      <c r="P966" s="247">
        <v>0.1</v>
      </c>
      <c r="Q966" s="248">
        <v>0.03</v>
      </c>
      <c r="R966" s="249">
        <v>1.4000000000010004E-2</v>
      </c>
      <c r="S966" s="250"/>
      <c r="T966" s="246">
        <v>5.9000000000010003E-2</v>
      </c>
      <c r="U966" s="248">
        <v>-14.72</v>
      </c>
      <c r="V966" s="247">
        <v>60.5</v>
      </c>
      <c r="W966" s="251">
        <v>2</v>
      </c>
      <c r="X966" s="252">
        <v>29.44</v>
      </c>
      <c r="Y966" s="250"/>
      <c r="Z966" s="250"/>
    </row>
    <row r="967" spans="3:26" ht="19" x14ac:dyDescent="0.2">
      <c r="C967" s="241"/>
      <c r="D967" s="589" t="s">
        <v>433</v>
      </c>
      <c r="E967" s="868"/>
      <c r="F967" s="869"/>
      <c r="G967" s="870"/>
      <c r="H967" s="245" t="s">
        <v>907</v>
      </c>
      <c r="I967" s="1046"/>
      <c r="J967" s="1046"/>
      <c r="K967" s="1047"/>
      <c r="L967" s="579"/>
      <c r="M967" s="373"/>
      <c r="N967" s="243"/>
      <c r="O967" s="243"/>
      <c r="P967" s="243"/>
      <c r="Q967" s="243"/>
      <c r="R967" s="253"/>
      <c r="S967" s="254"/>
      <c r="T967" s="243"/>
      <c r="U967" s="243"/>
      <c r="V967" s="243"/>
      <c r="W967" s="254"/>
      <c r="X967" s="254"/>
      <c r="Y967" s="255"/>
      <c r="Z967" s="255"/>
    </row>
    <row r="968" spans="3:26" ht="19" x14ac:dyDescent="0.2">
      <c r="C968" s="241"/>
      <c r="D968" s="589" t="s">
        <v>434</v>
      </c>
      <c r="E968" s="868" t="s">
        <v>1063</v>
      </c>
      <c r="F968" s="869"/>
      <c r="G968" s="870"/>
      <c r="H968" s="245"/>
      <c r="I968" s="1046"/>
      <c r="J968" s="1046"/>
      <c r="K968" s="1047"/>
      <c r="L968" s="579"/>
      <c r="M968" s="373"/>
      <c r="N968" s="243"/>
      <c r="O968" s="256" t="s">
        <v>811</v>
      </c>
      <c r="P968" s="257">
        <v>0.1</v>
      </c>
      <c r="Q968" s="258">
        <v>5.7000000000000002E-2</v>
      </c>
      <c r="R968" s="259">
        <v>1.7999999999999999E-2</v>
      </c>
      <c r="S968" s="260">
        <v>1</v>
      </c>
      <c r="T968" s="256">
        <v>0.10350000000000001</v>
      </c>
      <c r="U968" s="261">
        <v>-25.822372881351555</v>
      </c>
      <c r="V968" s="262">
        <v>60.5</v>
      </c>
      <c r="W968" s="263">
        <v>4.12</v>
      </c>
      <c r="X968" s="264">
        <v>106.3881762711684</v>
      </c>
      <c r="Y968" s="265"/>
      <c r="Z968" s="265"/>
    </row>
    <row r="969" spans="3:26" ht="20" thickBot="1" x14ac:dyDescent="0.25">
      <c r="C969" s="241"/>
      <c r="D969" s="590" t="s">
        <v>435</v>
      </c>
      <c r="E969" s="871">
        <v>0.625</v>
      </c>
      <c r="F969" s="872"/>
      <c r="G969" s="873"/>
      <c r="H969" s="266">
        <v>0.41666666666666663</v>
      </c>
      <c r="I969" s="1046"/>
      <c r="J969" s="1046"/>
      <c r="K969" s="1047"/>
      <c r="L969" s="582">
        <v>0.85416666666666663</v>
      </c>
      <c r="M969" s="376">
        <v>0.70833333333333326</v>
      </c>
      <c r="N969" s="243"/>
      <c r="O969" s="267" t="s">
        <v>812</v>
      </c>
      <c r="P969" s="268">
        <v>0.1</v>
      </c>
      <c r="Q969" s="269">
        <v>6.3266666666666665E-2</v>
      </c>
      <c r="R969" s="270">
        <v>1.7999999999999999E-2</v>
      </c>
      <c r="S969" s="271">
        <v>1</v>
      </c>
      <c r="T969" s="272">
        <v>0.1129</v>
      </c>
      <c r="U969" s="273">
        <v>-28.167593220334208</v>
      </c>
      <c r="V969" s="274">
        <v>60.5</v>
      </c>
      <c r="W969" s="275">
        <v>2.46</v>
      </c>
      <c r="X969" s="276">
        <v>69.292279322022154</v>
      </c>
      <c r="Y969" s="277"/>
      <c r="Z969" s="277"/>
    </row>
    <row r="970" spans="3:26" ht="20" thickBot="1" x14ac:dyDescent="0.25">
      <c r="C970" s="241"/>
      <c r="D970" s="591" t="s">
        <v>436</v>
      </c>
      <c r="E970" s="293" t="s">
        <v>29</v>
      </c>
      <c r="F970" s="293" t="s">
        <v>28</v>
      </c>
      <c r="G970" s="294" t="s">
        <v>27</v>
      </c>
      <c r="H970" s="280" t="s">
        <v>793</v>
      </c>
      <c r="I970" s="1046"/>
      <c r="J970" s="1046"/>
      <c r="K970" s="1047"/>
      <c r="L970" s="584" t="s">
        <v>1002</v>
      </c>
      <c r="M970" s="378"/>
      <c r="N970" s="243"/>
      <c r="O970" s="254"/>
      <c r="P970" s="255"/>
      <c r="Q970" s="254"/>
      <c r="R970" s="254"/>
      <c r="S970" s="254"/>
      <c r="T970" s="254"/>
      <c r="U970" s="281"/>
      <c r="V970" s="282"/>
      <c r="W970" s="254"/>
      <c r="X970" s="281"/>
      <c r="Y970" s="255"/>
      <c r="Z970" s="255"/>
    </row>
    <row r="971" spans="3:26" ht="19" x14ac:dyDescent="0.2">
      <c r="C971" s="241"/>
      <c r="D971" s="592">
        <v>45589</v>
      </c>
      <c r="E971" s="295" t="s">
        <v>1092</v>
      </c>
      <c r="F971" s="295" t="s">
        <v>1093</v>
      </c>
      <c r="G971" s="295" t="s">
        <v>1094</v>
      </c>
      <c r="H971" s="284">
        <v>0.58333333333333337</v>
      </c>
      <c r="I971" s="1046"/>
      <c r="J971" s="1046"/>
      <c r="K971" s="1047"/>
      <c r="L971" s="586">
        <v>0.375</v>
      </c>
      <c r="M971" s="528"/>
      <c r="N971" s="243"/>
      <c r="O971" s="254"/>
      <c r="P971" s="255"/>
      <c r="Q971" s="254"/>
      <c r="R971" s="254"/>
      <c r="S971" s="254"/>
      <c r="T971" s="254"/>
      <c r="U971" s="254"/>
      <c r="V971" s="254"/>
      <c r="W971" s="254"/>
      <c r="X971" s="254"/>
      <c r="Y971" s="255"/>
      <c r="Z971" s="255"/>
    </row>
    <row r="972" spans="3:26" ht="19" x14ac:dyDescent="0.2">
      <c r="C972" s="241"/>
      <c r="D972" s="592">
        <v>45560</v>
      </c>
      <c r="E972" s="295" t="s">
        <v>1095</v>
      </c>
      <c r="F972" s="295" t="s">
        <v>1096</v>
      </c>
      <c r="G972" s="295" t="s">
        <v>1097</v>
      </c>
      <c r="H972" s="284">
        <v>0.58333333333333337</v>
      </c>
      <c r="I972" s="1046"/>
      <c r="J972" s="1046"/>
      <c r="K972" s="1047"/>
      <c r="L972" s="586">
        <v>0.375</v>
      </c>
      <c r="M972" s="529"/>
      <c r="N972" s="243"/>
      <c r="O972" s="246" t="s">
        <v>813</v>
      </c>
      <c r="P972" s="247">
        <v>0.1</v>
      </c>
      <c r="Q972" s="285">
        <v>6.013333333333333E-2</v>
      </c>
      <c r="R972" s="286">
        <v>1.7999999999999999E-2</v>
      </c>
      <c r="S972" s="250">
        <v>1</v>
      </c>
      <c r="T972" s="256">
        <v>0.1082</v>
      </c>
      <c r="U972" s="287">
        <v>-26.994983050842883</v>
      </c>
      <c r="V972" s="288">
        <v>60.5</v>
      </c>
      <c r="W972" s="250">
        <v>2</v>
      </c>
      <c r="X972" s="252">
        <v>53.989966101685766</v>
      </c>
      <c r="Y972" s="289"/>
      <c r="Z972" s="289"/>
    </row>
    <row r="973" spans="3:26" ht="19" x14ac:dyDescent="0.2">
      <c r="C973" s="241"/>
      <c r="D973" s="592">
        <v>45527</v>
      </c>
      <c r="E973" s="295" t="s">
        <v>1098</v>
      </c>
      <c r="F973" s="295" t="s">
        <v>1099</v>
      </c>
      <c r="G973" s="295" t="s">
        <v>1100</v>
      </c>
      <c r="H973" s="284">
        <v>0.58333333333333337</v>
      </c>
      <c r="I973" s="1046"/>
      <c r="J973" s="1046"/>
      <c r="K973" s="1047"/>
      <c r="L973" s="586">
        <v>0.375</v>
      </c>
      <c r="M973" s="373"/>
      <c r="N973" s="243"/>
      <c r="O973" s="246" t="s">
        <v>813</v>
      </c>
      <c r="P973" s="247">
        <v>0.1</v>
      </c>
      <c r="Q973" s="285">
        <v>6.013333333333333E-2</v>
      </c>
      <c r="R973" s="286">
        <v>1.7999999999999999E-2</v>
      </c>
      <c r="S973" s="250">
        <v>1</v>
      </c>
      <c r="T973" s="256">
        <v>0.1082</v>
      </c>
      <c r="U973" s="287">
        <v>-26.994983050842883</v>
      </c>
      <c r="V973" s="288">
        <v>60.5</v>
      </c>
      <c r="W973" s="250">
        <v>2</v>
      </c>
      <c r="X973" s="252">
        <v>53.989966101685766</v>
      </c>
      <c r="Y973" s="289"/>
      <c r="Z973" s="289"/>
    </row>
    <row r="974" spans="3:26" ht="19" x14ac:dyDescent="0.2">
      <c r="C974" s="241"/>
      <c r="D974" s="592">
        <v>45497</v>
      </c>
      <c r="E974" s="295" t="s">
        <v>1101</v>
      </c>
      <c r="F974" s="295" t="s">
        <v>1102</v>
      </c>
      <c r="G974" s="295" t="s">
        <v>1103</v>
      </c>
      <c r="H974" s="284">
        <v>0.58333333333333337</v>
      </c>
      <c r="I974" s="1046"/>
      <c r="J974" s="1046"/>
      <c r="K974" s="1047"/>
      <c r="L974" s="586">
        <v>0.375</v>
      </c>
      <c r="M974" s="373"/>
      <c r="N974" s="243"/>
      <c r="O974" s="246"/>
      <c r="P974" s="290"/>
      <c r="Q974" s="285"/>
      <c r="R974" s="286"/>
      <c r="S974" s="250"/>
      <c r="T974" s="290"/>
      <c r="U974" s="287"/>
      <c r="V974" s="288"/>
      <c r="W974" s="250"/>
      <c r="X974" s="252"/>
      <c r="Y974" s="289"/>
      <c r="Z974" s="289"/>
    </row>
    <row r="975" spans="3:26" ht="19" x14ac:dyDescent="0.2">
      <c r="C975" s="241"/>
      <c r="D975" s="592">
        <v>45469</v>
      </c>
      <c r="E975" s="295" t="s">
        <v>1104</v>
      </c>
      <c r="F975" s="295" t="s">
        <v>1105</v>
      </c>
      <c r="G975" s="295" t="s">
        <v>1106</v>
      </c>
      <c r="H975" s="284">
        <v>0.58333333333333337</v>
      </c>
      <c r="I975" s="1046"/>
      <c r="J975" s="1046"/>
      <c r="K975" s="1047"/>
      <c r="L975" s="586">
        <v>0.375</v>
      </c>
      <c r="M975" s="373"/>
      <c r="N975" s="243"/>
      <c r="O975" s="291"/>
      <c r="P975" s="291"/>
      <c r="Q975" s="291"/>
      <c r="R975" s="291"/>
      <c r="S975" s="291"/>
      <c r="T975" s="291"/>
      <c r="U975" s="291"/>
      <c r="V975" s="291"/>
      <c r="W975" s="291"/>
      <c r="X975" s="291"/>
      <c r="Y975" s="291"/>
      <c r="Z975" s="291"/>
    </row>
    <row r="976" spans="3:26" ht="20" thickBot="1" x14ac:dyDescent="0.25">
      <c r="C976" s="241"/>
      <c r="D976" s="592">
        <v>45435</v>
      </c>
      <c r="E976" s="295" t="s">
        <v>1107</v>
      </c>
      <c r="F976" s="295" t="s">
        <v>1108</v>
      </c>
      <c r="G976" s="295" t="s">
        <v>1109</v>
      </c>
      <c r="H976" s="284">
        <v>0.58333333333333337</v>
      </c>
      <c r="I976" s="1048"/>
      <c r="J976" s="1048"/>
      <c r="K976" s="1049"/>
      <c r="L976" s="587">
        <v>0.375</v>
      </c>
      <c r="M976" s="530"/>
      <c r="N976" s="243"/>
      <c r="O976" s="291"/>
      <c r="P976" s="296"/>
      <c r="Q976" s="291"/>
      <c r="R976" s="291"/>
      <c r="S976" s="291"/>
      <c r="T976" s="291"/>
      <c r="U976" s="291"/>
      <c r="V976" s="291"/>
      <c r="W976" s="291"/>
      <c r="X976" s="291"/>
      <c r="Y976" s="291"/>
      <c r="Z976" s="291"/>
    </row>
    <row r="977" spans="3:26" ht="20" thickBot="1" x14ac:dyDescent="0.25">
      <c r="C977" s="241">
        <v>3</v>
      </c>
      <c r="D977" s="593" t="s">
        <v>30</v>
      </c>
      <c r="E977" s="1018" t="s">
        <v>7</v>
      </c>
      <c r="F977" s="1019"/>
      <c r="G977" s="1020"/>
      <c r="H977" s="297" t="s">
        <v>790</v>
      </c>
      <c r="I977" s="1050" t="s">
        <v>633</v>
      </c>
      <c r="J977" s="1050"/>
      <c r="K977" s="1051"/>
      <c r="L977" s="594" t="s">
        <v>430</v>
      </c>
      <c r="M977" s="531" t="s">
        <v>431</v>
      </c>
      <c r="N977" s="243" t="s">
        <v>105</v>
      </c>
      <c r="O977" s="244" t="s">
        <v>800</v>
      </c>
      <c r="P977" s="244" t="s">
        <v>801</v>
      </c>
      <c r="Q977" s="244" t="s">
        <v>802</v>
      </c>
      <c r="R977" s="244" t="s">
        <v>803</v>
      </c>
      <c r="S977" s="244" t="s">
        <v>804</v>
      </c>
      <c r="T977" s="244" t="s">
        <v>805</v>
      </c>
      <c r="U977" s="244" t="s">
        <v>806</v>
      </c>
      <c r="V977" s="244" t="s">
        <v>807</v>
      </c>
      <c r="W977" s="244" t="s">
        <v>808</v>
      </c>
      <c r="X977" s="244" t="s">
        <v>809</v>
      </c>
      <c r="Y977" s="244" t="s">
        <v>75</v>
      </c>
      <c r="Z977" s="244" t="s">
        <v>75</v>
      </c>
    </row>
    <row r="978" spans="3:26" ht="19" x14ac:dyDescent="0.2">
      <c r="C978" s="241"/>
      <c r="D978" s="588" t="s">
        <v>432</v>
      </c>
      <c r="E978" s="853"/>
      <c r="F978" s="854"/>
      <c r="G978" s="855"/>
      <c r="H978" s="245" t="s">
        <v>794</v>
      </c>
      <c r="I978" s="1044" t="s">
        <v>1065</v>
      </c>
      <c r="J978" s="1044"/>
      <c r="K978" s="1045"/>
      <c r="L978" s="579"/>
      <c r="M978" s="527" t="s">
        <v>7</v>
      </c>
      <c r="N978" s="243"/>
      <c r="O978" s="246" t="s">
        <v>810</v>
      </c>
      <c r="P978" s="247">
        <v>0.1</v>
      </c>
      <c r="Q978" s="248">
        <v>0.03</v>
      </c>
      <c r="R978" s="249">
        <v>1.4000000000010004E-2</v>
      </c>
      <c r="S978" s="250"/>
      <c r="T978" s="246">
        <v>5.9000000000010003E-2</v>
      </c>
      <c r="U978" s="248">
        <v>-14.72</v>
      </c>
      <c r="V978" s="247">
        <v>60.5</v>
      </c>
      <c r="W978" s="251">
        <v>2</v>
      </c>
      <c r="X978" s="252">
        <v>29.44</v>
      </c>
      <c r="Y978" s="250"/>
      <c r="Z978" s="250"/>
    </row>
    <row r="979" spans="3:26" ht="19" x14ac:dyDescent="0.2">
      <c r="C979" s="241"/>
      <c r="D979" s="589" t="s">
        <v>433</v>
      </c>
      <c r="E979" s="868"/>
      <c r="F979" s="869"/>
      <c r="G979" s="870"/>
      <c r="H979" s="245" t="s">
        <v>795</v>
      </c>
      <c r="I979" s="1046"/>
      <c r="J979" s="1046"/>
      <c r="K979" s="1047"/>
      <c r="L979" s="579"/>
      <c r="M979" s="373"/>
      <c r="N979" s="243"/>
      <c r="O979" s="243"/>
      <c r="P979" s="243"/>
      <c r="Q979" s="243"/>
      <c r="R979" s="253"/>
      <c r="S979" s="254"/>
      <c r="T979" s="243"/>
      <c r="U979" s="243"/>
      <c r="V979" s="243"/>
      <c r="W979" s="254"/>
      <c r="X979" s="254"/>
      <c r="Y979" s="255"/>
      <c r="Z979" s="255"/>
    </row>
    <row r="980" spans="3:26" ht="19" x14ac:dyDescent="0.2">
      <c r="C980" s="241"/>
      <c r="D980" s="589" t="s">
        <v>434</v>
      </c>
      <c r="E980" s="856"/>
      <c r="F980" s="857"/>
      <c r="G980" s="858"/>
      <c r="H980" s="245"/>
      <c r="I980" s="1046"/>
      <c r="J980" s="1046"/>
      <c r="K980" s="1047"/>
      <c r="L980" s="579"/>
      <c r="M980" s="373"/>
      <c r="N980" s="243"/>
      <c r="O980" s="256" t="s">
        <v>811</v>
      </c>
      <c r="P980" s="257">
        <v>0.1</v>
      </c>
      <c r="Q980" s="258">
        <v>2.7400000000000001E-2</v>
      </c>
      <c r="R980" s="259">
        <v>1.7000000000000001E-2</v>
      </c>
      <c r="S980" s="260">
        <v>1</v>
      </c>
      <c r="T980" s="256">
        <v>5.8099999999999999E-2</v>
      </c>
      <c r="U980" s="261">
        <v>-14.495457627116187</v>
      </c>
      <c r="V980" s="262">
        <v>60.5</v>
      </c>
      <c r="W980" s="263">
        <v>2.95</v>
      </c>
      <c r="X980" s="264">
        <v>42.761599999992754</v>
      </c>
      <c r="Y980" s="265"/>
      <c r="Z980" s="265"/>
    </row>
    <row r="981" spans="3:26" ht="20" thickBot="1" x14ac:dyDescent="0.25">
      <c r="C981" s="241"/>
      <c r="D981" s="590" t="s">
        <v>435</v>
      </c>
      <c r="E981" s="871">
        <v>0.79166666666666663</v>
      </c>
      <c r="F981" s="872"/>
      <c r="G981" s="873"/>
      <c r="H981" s="266">
        <v>0.58333333333333326</v>
      </c>
      <c r="I981" s="1046"/>
      <c r="J981" s="1046"/>
      <c r="K981" s="1047"/>
      <c r="L981" s="582">
        <v>2.0833333333333332E-2</v>
      </c>
      <c r="M981" s="376">
        <v>0.875</v>
      </c>
      <c r="N981" s="243"/>
      <c r="O981" s="267" t="s">
        <v>812</v>
      </c>
      <c r="P981" s="268">
        <v>0.1</v>
      </c>
      <c r="Q981" s="269">
        <v>2.9466666666666665E-2</v>
      </c>
      <c r="R981" s="270">
        <v>1.7000000000000001E-2</v>
      </c>
      <c r="S981" s="271">
        <v>1</v>
      </c>
      <c r="T981" s="272">
        <v>6.1199999999999997E-2</v>
      </c>
      <c r="U981" s="273">
        <v>-15.268881355929613</v>
      </c>
      <c r="V981" s="274">
        <v>60.5</v>
      </c>
      <c r="W981" s="275">
        <v>3.35</v>
      </c>
      <c r="X981" s="276">
        <v>51.150752542364209</v>
      </c>
      <c r="Y981" s="277"/>
      <c r="Z981" s="277"/>
    </row>
    <row r="982" spans="3:26" ht="20" thickBot="1" x14ac:dyDescent="0.25">
      <c r="C982" s="241"/>
      <c r="D982" s="591" t="s">
        <v>436</v>
      </c>
      <c r="E982" s="293" t="s">
        <v>29</v>
      </c>
      <c r="F982" s="293" t="s">
        <v>28</v>
      </c>
      <c r="G982" s="294" t="s">
        <v>27</v>
      </c>
      <c r="H982" s="280" t="s">
        <v>793</v>
      </c>
      <c r="I982" s="1046"/>
      <c r="J982" s="1046"/>
      <c r="K982" s="1047"/>
      <c r="L982" s="584" t="s">
        <v>1002</v>
      </c>
      <c r="M982" s="378"/>
      <c r="N982" s="243"/>
      <c r="O982" s="254"/>
      <c r="P982" s="255"/>
      <c r="Q982" s="254"/>
      <c r="R982" s="254"/>
      <c r="S982" s="254"/>
      <c r="T982" s="254"/>
      <c r="U982" s="281"/>
      <c r="V982" s="282"/>
      <c r="W982" s="254"/>
      <c r="X982" s="281"/>
      <c r="Y982" s="255"/>
      <c r="Z982" s="255"/>
    </row>
    <row r="983" spans="3:26" ht="19" x14ac:dyDescent="0.2">
      <c r="C983" s="241"/>
      <c r="D983" s="592">
        <v>45574</v>
      </c>
      <c r="E983" s="295"/>
      <c r="F983" s="295"/>
      <c r="G983" s="295"/>
      <c r="H983" s="284">
        <v>0.75</v>
      </c>
      <c r="I983" s="1046"/>
      <c r="J983" s="1046"/>
      <c r="K983" s="1047"/>
      <c r="L983" s="586">
        <v>0.54166666666666663</v>
      </c>
      <c r="M983" s="528"/>
      <c r="N983" s="243"/>
      <c r="O983" s="254"/>
      <c r="P983" s="255"/>
      <c r="Q983" s="254"/>
      <c r="R983" s="254"/>
      <c r="S983" s="254"/>
      <c r="T983" s="254"/>
      <c r="U983" s="254"/>
      <c r="V983" s="254"/>
      <c r="W983" s="254"/>
      <c r="X983" s="254"/>
      <c r="Y983" s="255"/>
      <c r="Z983" s="255"/>
    </row>
    <row r="984" spans="3:26" ht="19" x14ac:dyDescent="0.2">
      <c r="C984" s="241"/>
      <c r="D984" s="592">
        <v>45525</v>
      </c>
      <c r="E984" s="295"/>
      <c r="F984" s="295"/>
      <c r="G984" s="295"/>
      <c r="H984" s="284">
        <v>0.75</v>
      </c>
      <c r="I984" s="1046"/>
      <c r="J984" s="1046"/>
      <c r="K984" s="1047"/>
      <c r="L984" s="586">
        <v>0.54166666666666663</v>
      </c>
      <c r="M984" s="529"/>
      <c r="N984" s="243"/>
      <c r="O984" s="246" t="s">
        <v>813</v>
      </c>
      <c r="P984" s="247">
        <v>0.2</v>
      </c>
      <c r="Q984" s="285">
        <v>2.8433333333333331E-2</v>
      </c>
      <c r="R984" s="286">
        <v>1.7000000000000001E-2</v>
      </c>
      <c r="S984" s="250">
        <v>1</v>
      </c>
      <c r="T984" s="256">
        <v>5.9649999999999995E-2</v>
      </c>
      <c r="U984" s="287">
        <v>-29.7643389830458</v>
      </c>
      <c r="V984" s="288">
        <v>121</v>
      </c>
      <c r="W984" s="250">
        <v>2</v>
      </c>
      <c r="X984" s="252">
        <v>59.5286779660916</v>
      </c>
      <c r="Y984" s="289"/>
      <c r="Z984" s="289"/>
    </row>
    <row r="985" spans="3:26" ht="19" x14ac:dyDescent="0.2">
      <c r="C985" s="241"/>
      <c r="D985" s="592">
        <v>45476</v>
      </c>
      <c r="E985" s="295"/>
      <c r="F985" s="295"/>
      <c r="G985" s="295"/>
      <c r="H985" s="284">
        <v>0.75</v>
      </c>
      <c r="I985" s="1046"/>
      <c r="J985" s="1046"/>
      <c r="K985" s="1047"/>
      <c r="L985" s="586">
        <v>0.54166666666666663</v>
      </c>
      <c r="M985" s="373"/>
      <c r="N985" s="243"/>
      <c r="O985" s="246" t="s">
        <v>813</v>
      </c>
      <c r="P985" s="247">
        <v>0.2</v>
      </c>
      <c r="Q985" s="285">
        <v>2.8433333333333331E-2</v>
      </c>
      <c r="R985" s="286">
        <v>1.7000000000000001E-2</v>
      </c>
      <c r="S985" s="250">
        <v>1</v>
      </c>
      <c r="T985" s="256">
        <v>5.9649999999999995E-2</v>
      </c>
      <c r="U985" s="287">
        <v>-29.7643389830458</v>
      </c>
      <c r="V985" s="288">
        <v>121</v>
      </c>
      <c r="W985" s="250">
        <v>2</v>
      </c>
      <c r="X985" s="252">
        <v>59.5286779660916</v>
      </c>
      <c r="Y985" s="289"/>
      <c r="Z985" s="289"/>
    </row>
    <row r="986" spans="3:26" ht="19" x14ac:dyDescent="0.2">
      <c r="C986" s="241"/>
      <c r="D986" s="592">
        <v>45434</v>
      </c>
      <c r="E986" s="295"/>
      <c r="F986" s="295"/>
      <c r="G986" s="295"/>
      <c r="H986" s="284">
        <v>0.75</v>
      </c>
      <c r="I986" s="1046"/>
      <c r="J986" s="1046"/>
      <c r="K986" s="1047"/>
      <c r="L986" s="586">
        <v>0.54166666666666663</v>
      </c>
      <c r="M986" s="373"/>
      <c r="N986" s="243"/>
      <c r="O986" s="246"/>
      <c r="P986" s="290"/>
      <c r="Q986" s="285"/>
      <c r="R986" s="286"/>
      <c r="S986" s="250"/>
      <c r="T986" s="290"/>
      <c r="U986" s="287"/>
      <c r="V986" s="288"/>
      <c r="W986" s="250"/>
      <c r="X986" s="252"/>
      <c r="Y986" s="289"/>
      <c r="Z986" s="289"/>
    </row>
    <row r="987" spans="3:26" ht="19" x14ac:dyDescent="0.2">
      <c r="C987" s="241"/>
      <c r="D987" s="592">
        <v>45392</v>
      </c>
      <c r="E987" s="295"/>
      <c r="F987" s="295"/>
      <c r="G987" s="295"/>
      <c r="H987" s="284">
        <v>0.75</v>
      </c>
      <c r="I987" s="1046"/>
      <c r="J987" s="1046"/>
      <c r="K987" s="1047"/>
      <c r="L987" s="586">
        <v>0.54166666666666663</v>
      </c>
      <c r="M987" s="373"/>
      <c r="N987" s="243"/>
      <c r="O987" s="291"/>
      <c r="P987" s="291"/>
      <c r="Q987" s="291"/>
      <c r="R987" s="291"/>
      <c r="S987" s="291"/>
      <c r="T987" s="291"/>
      <c r="U987" s="291"/>
      <c r="V987" s="291"/>
      <c r="W987" s="291"/>
      <c r="X987" s="291"/>
      <c r="Y987" s="291"/>
      <c r="Z987" s="291"/>
    </row>
    <row r="988" spans="3:26" ht="20" thickBot="1" x14ac:dyDescent="0.25">
      <c r="C988" s="241"/>
      <c r="D988" s="592">
        <v>45343</v>
      </c>
      <c r="E988" s="295"/>
      <c r="F988" s="295"/>
      <c r="G988" s="295"/>
      <c r="H988" s="284">
        <v>0.79166666666666663</v>
      </c>
      <c r="I988" s="1048"/>
      <c r="J988" s="1048"/>
      <c r="K988" s="1049"/>
      <c r="L988" s="586">
        <v>0.58333333333333337</v>
      </c>
      <c r="M988" s="530"/>
      <c r="N988" s="243"/>
      <c r="O988" s="291"/>
      <c r="P988" s="291"/>
      <c r="Q988" s="291"/>
      <c r="R988" s="291"/>
      <c r="S988" s="291"/>
      <c r="T988" s="291"/>
      <c r="U988" s="291"/>
      <c r="V988" s="291"/>
      <c r="W988" s="291"/>
      <c r="X988" s="291"/>
      <c r="Y988" s="291"/>
      <c r="Z988" s="291"/>
    </row>
    <row r="989" spans="3:26" ht="20" thickBot="1" x14ac:dyDescent="0.25">
      <c r="C989" s="241">
        <v>4</v>
      </c>
      <c r="D989" s="576" t="s">
        <v>30</v>
      </c>
      <c r="E989" s="874" t="s">
        <v>50</v>
      </c>
      <c r="F989" s="875"/>
      <c r="G989" s="876"/>
      <c r="H989" s="242" t="s">
        <v>790</v>
      </c>
      <c r="I989" s="1042" t="s">
        <v>633</v>
      </c>
      <c r="J989" s="1042"/>
      <c r="K989" s="1043"/>
      <c r="L989" s="577" t="s">
        <v>430</v>
      </c>
      <c r="M989" s="371" t="s">
        <v>431</v>
      </c>
      <c r="N989" s="243" t="s">
        <v>105</v>
      </c>
      <c r="O989" s="244" t="s">
        <v>800</v>
      </c>
      <c r="P989" s="244" t="s">
        <v>801</v>
      </c>
      <c r="Q989" s="244" t="s">
        <v>802</v>
      </c>
      <c r="R989" s="244" t="s">
        <v>803</v>
      </c>
      <c r="S989" s="244" t="s">
        <v>804</v>
      </c>
      <c r="T989" s="244" t="s">
        <v>805</v>
      </c>
      <c r="U989" s="244" t="s">
        <v>806</v>
      </c>
      <c r="V989" s="244" t="s">
        <v>807</v>
      </c>
      <c r="W989" s="244" t="s">
        <v>808</v>
      </c>
      <c r="X989" s="244" t="s">
        <v>809</v>
      </c>
      <c r="Y989" s="244" t="s">
        <v>75</v>
      </c>
      <c r="Z989" s="244" t="s">
        <v>75</v>
      </c>
    </row>
    <row r="990" spans="3:26" ht="19" x14ac:dyDescent="0.2">
      <c r="C990" s="241"/>
      <c r="D990" s="588" t="s">
        <v>432</v>
      </c>
      <c r="E990" s="880"/>
      <c r="F990" s="881"/>
      <c r="G990" s="882"/>
      <c r="H990" s="245" t="s">
        <v>1127</v>
      </c>
      <c r="I990" s="1044" t="s">
        <v>1066</v>
      </c>
      <c r="J990" s="1044"/>
      <c r="K990" s="1045"/>
      <c r="L990" s="579"/>
      <c r="M990" s="527" t="s">
        <v>50</v>
      </c>
      <c r="N990" s="243"/>
      <c r="O990" s="246" t="s">
        <v>810</v>
      </c>
      <c r="P990" s="247">
        <v>0.1</v>
      </c>
      <c r="Q990" s="248">
        <v>1.6E-2</v>
      </c>
      <c r="R990" s="249">
        <v>2.4000000000000909E-2</v>
      </c>
      <c r="S990" s="250"/>
      <c r="T990" s="246">
        <v>4.800000000000091E-2</v>
      </c>
      <c r="U990" s="248">
        <v>-10.88</v>
      </c>
      <c r="V990" s="247">
        <v>91.8</v>
      </c>
      <c r="W990" s="251">
        <v>2</v>
      </c>
      <c r="X990" s="252">
        <v>21.76</v>
      </c>
      <c r="Y990" s="250"/>
      <c r="Z990" s="250"/>
    </row>
    <row r="991" spans="3:26" ht="19" x14ac:dyDescent="0.2">
      <c r="C991" s="241"/>
      <c r="D991" s="589" t="s">
        <v>433</v>
      </c>
      <c r="E991" s="868"/>
      <c r="F991" s="869"/>
      <c r="G991" s="870"/>
      <c r="H991" s="245" t="s">
        <v>1128</v>
      </c>
      <c r="I991" s="1046"/>
      <c r="J991" s="1046"/>
      <c r="K991" s="1047"/>
      <c r="L991" s="579"/>
      <c r="M991" s="373"/>
      <c r="N991" s="243"/>
      <c r="O991" s="243"/>
      <c r="P991" s="243"/>
      <c r="Q991" s="243"/>
      <c r="R991" s="253"/>
      <c r="S991" s="254"/>
      <c r="T991" s="243"/>
      <c r="U991" s="243"/>
      <c r="V991" s="243"/>
      <c r="W991" s="254"/>
      <c r="X991" s="254"/>
      <c r="Y991" s="255"/>
      <c r="Z991" s="255"/>
    </row>
    <row r="992" spans="3:26" ht="19" x14ac:dyDescent="0.2">
      <c r="C992" s="241"/>
      <c r="D992" s="589" t="s">
        <v>434</v>
      </c>
      <c r="E992" s="868">
        <v>4.7500000000000001E-2</v>
      </c>
      <c r="F992" s="869"/>
      <c r="G992" s="870"/>
      <c r="H992" s="245"/>
      <c r="I992" s="1046"/>
      <c r="J992" s="1046"/>
      <c r="K992" s="1047"/>
      <c r="L992" s="579"/>
      <c r="M992" s="373"/>
      <c r="N992" s="243"/>
      <c r="O992" s="256" t="s">
        <v>811</v>
      </c>
      <c r="P992" s="257">
        <v>0.15</v>
      </c>
      <c r="Q992" s="258">
        <v>9.2399999999999996E-2</v>
      </c>
      <c r="R992" s="259">
        <v>2.1999999999999999E-2</v>
      </c>
      <c r="S992" s="260">
        <v>1</v>
      </c>
      <c r="T992" s="256">
        <v>0.16059999999999999</v>
      </c>
      <c r="U992" s="261">
        <v>-54.603999999998962</v>
      </c>
      <c r="V992" s="262">
        <v>90.749999999999986</v>
      </c>
      <c r="W992" s="263">
        <v>3.43</v>
      </c>
      <c r="X992" s="264">
        <v>187.29171999999645</v>
      </c>
      <c r="Y992" s="265"/>
      <c r="Z992" s="265">
        <v>4.4350000000000005</v>
      </c>
    </row>
    <row r="993" spans="3:26" ht="20" thickBot="1" x14ac:dyDescent="0.25">
      <c r="C993" s="241"/>
      <c r="D993" s="590" t="s">
        <v>435</v>
      </c>
      <c r="E993" s="871">
        <v>4.1666666666666657E-2</v>
      </c>
      <c r="F993" s="872"/>
      <c r="G993" s="873"/>
      <c r="H993" s="266">
        <v>0.83333333333333337</v>
      </c>
      <c r="I993" s="1046"/>
      <c r="J993" s="1046"/>
      <c r="K993" s="1047"/>
      <c r="L993" s="582">
        <v>0.27083333333333331</v>
      </c>
      <c r="M993" s="376">
        <v>0.12499999999999997</v>
      </c>
      <c r="N993" s="243"/>
      <c r="O993" s="267" t="s">
        <v>812</v>
      </c>
      <c r="P993" s="268">
        <v>0.15</v>
      </c>
      <c r="Q993" s="269">
        <v>0.10386666666666668</v>
      </c>
      <c r="R993" s="270">
        <v>2.1999999999999999E-2</v>
      </c>
      <c r="S993" s="271">
        <v>1</v>
      </c>
      <c r="T993" s="272">
        <v>0.17780000000000001</v>
      </c>
      <c r="U993" s="273">
        <v>-60.451999999998861</v>
      </c>
      <c r="V993" s="274">
        <v>90.749999999999986</v>
      </c>
      <c r="W993" s="275">
        <v>3.55</v>
      </c>
      <c r="X993" s="276">
        <v>214.60459999999594</v>
      </c>
      <c r="Y993" s="277"/>
      <c r="Z993" s="277"/>
    </row>
    <row r="994" spans="3:26" ht="20" thickBot="1" x14ac:dyDescent="0.25">
      <c r="C994" s="241"/>
      <c r="D994" s="591" t="s">
        <v>436</v>
      </c>
      <c r="E994" s="293" t="s">
        <v>29</v>
      </c>
      <c r="F994" s="293" t="s">
        <v>28</v>
      </c>
      <c r="G994" s="294" t="s">
        <v>27</v>
      </c>
      <c r="H994" s="280" t="s">
        <v>793</v>
      </c>
      <c r="I994" s="1046"/>
      <c r="J994" s="1046"/>
      <c r="K994" s="1047"/>
      <c r="L994" s="584" t="s">
        <v>1002</v>
      </c>
      <c r="M994" s="378"/>
      <c r="N994" s="243"/>
      <c r="O994" s="254"/>
      <c r="P994" s="255"/>
      <c r="Q994" s="254"/>
      <c r="R994" s="254"/>
      <c r="S994" s="254"/>
      <c r="T994" s="254"/>
      <c r="U994" s="281"/>
      <c r="V994" s="282"/>
      <c r="W994" s="254"/>
      <c r="X994" s="281"/>
      <c r="Y994" s="255"/>
      <c r="Z994" s="255"/>
    </row>
    <row r="995" spans="3:26" ht="19" x14ac:dyDescent="0.2">
      <c r="C995" s="241"/>
      <c r="D995" s="595">
        <v>45574</v>
      </c>
      <c r="E995" s="295">
        <v>4.7500000000000001E-2</v>
      </c>
      <c r="F995" s="295" t="s">
        <v>726</v>
      </c>
      <c r="G995" s="295">
        <v>5.2499999999999998E-2</v>
      </c>
      <c r="H995" s="284">
        <v>4.1666666666666657E-2</v>
      </c>
      <c r="I995" s="1046"/>
      <c r="J995" s="1046"/>
      <c r="K995" s="1047"/>
      <c r="L995" s="586">
        <v>0.83333333333333337</v>
      </c>
      <c r="M995" s="528"/>
      <c r="N995" s="243"/>
      <c r="O995" s="254"/>
      <c r="P995" s="255"/>
      <c r="Q995" s="254"/>
      <c r="R995" s="254"/>
      <c r="S995" s="254"/>
      <c r="T995" s="254"/>
      <c r="U995" s="254"/>
      <c r="V995" s="254"/>
      <c r="W995" s="254"/>
      <c r="X995" s="254"/>
      <c r="Y995" s="255"/>
      <c r="Z995" s="255"/>
    </row>
    <row r="996" spans="3:26" ht="19" x14ac:dyDescent="0.2">
      <c r="C996" s="241"/>
      <c r="D996" s="595">
        <v>45518</v>
      </c>
      <c r="E996" s="295">
        <v>5.2499999999999998E-2</v>
      </c>
      <c r="F996" s="295" t="s">
        <v>942</v>
      </c>
      <c r="G996" s="295">
        <v>5.5E-2</v>
      </c>
      <c r="H996" s="284">
        <v>8.3333333333333329E-2</v>
      </c>
      <c r="I996" s="1046"/>
      <c r="J996" s="1046"/>
      <c r="K996" s="1047"/>
      <c r="L996" s="586">
        <v>0.875</v>
      </c>
      <c r="M996" s="529"/>
      <c r="N996" s="243"/>
      <c r="O996" s="246" t="s">
        <v>813</v>
      </c>
      <c r="P996" s="247">
        <v>0.15</v>
      </c>
      <c r="Q996" s="285">
        <v>9.8133333333333336E-2</v>
      </c>
      <c r="R996" s="286">
        <v>2.1999999999999999E-2</v>
      </c>
      <c r="S996" s="250">
        <v>1</v>
      </c>
      <c r="T996" s="256">
        <v>0.16919999999999999</v>
      </c>
      <c r="U996" s="287">
        <v>-57.527999999998897</v>
      </c>
      <c r="V996" s="288">
        <v>90.749999999999986</v>
      </c>
      <c r="W996" s="250">
        <v>2.5</v>
      </c>
      <c r="X996" s="252">
        <v>143.81999999999724</v>
      </c>
      <c r="Y996" s="289"/>
      <c r="Z996" s="289"/>
    </row>
    <row r="997" spans="3:26" ht="19" x14ac:dyDescent="0.2">
      <c r="C997" s="241"/>
      <c r="D997" s="595">
        <v>45483</v>
      </c>
      <c r="E997" s="295">
        <v>5.5E-2</v>
      </c>
      <c r="F997" s="295" t="s">
        <v>942</v>
      </c>
      <c r="G997" s="295">
        <v>5.5E-2</v>
      </c>
      <c r="H997" s="284">
        <v>8.3333333333333329E-2</v>
      </c>
      <c r="I997" s="1046"/>
      <c r="J997" s="1046"/>
      <c r="K997" s="1047"/>
      <c r="L997" s="586">
        <v>0.875</v>
      </c>
      <c r="M997" s="373"/>
      <c r="N997" s="243"/>
      <c r="O997" s="246"/>
      <c r="P997" s="246"/>
      <c r="Q997" s="285"/>
      <c r="R997" s="286"/>
      <c r="S997" s="250"/>
      <c r="T997" s="247"/>
      <c r="U997" s="287"/>
      <c r="V997" s="288"/>
      <c r="W997" s="250"/>
      <c r="X997" s="252"/>
      <c r="Y997" s="289"/>
      <c r="Z997" s="289"/>
    </row>
    <row r="998" spans="3:26" ht="19" x14ac:dyDescent="0.2">
      <c r="C998" s="241"/>
      <c r="D998" s="595">
        <v>45434</v>
      </c>
      <c r="E998" s="295">
        <v>5.5E-2</v>
      </c>
      <c r="F998" s="295" t="s">
        <v>942</v>
      </c>
      <c r="G998" s="295">
        <v>5.5E-2</v>
      </c>
      <c r="H998" s="284">
        <v>8.3333333333333329E-2</v>
      </c>
      <c r="I998" s="1046"/>
      <c r="J998" s="1046"/>
      <c r="K998" s="1047"/>
      <c r="L998" s="586">
        <v>0.875</v>
      </c>
      <c r="M998" s="373"/>
      <c r="N998" s="243"/>
      <c r="O998" s="246" t="s">
        <v>816</v>
      </c>
      <c r="P998" s="290"/>
      <c r="Q998" s="285"/>
      <c r="R998" s="286"/>
      <c r="S998" s="250"/>
      <c r="T998" s="290"/>
      <c r="U998" s="287">
        <v>0</v>
      </c>
      <c r="V998" s="288"/>
      <c r="W998" s="250"/>
      <c r="X998" s="252">
        <v>0</v>
      </c>
      <c r="Y998" s="289"/>
      <c r="Z998" s="289"/>
    </row>
    <row r="999" spans="3:26" ht="19" x14ac:dyDescent="0.2">
      <c r="C999" s="241"/>
      <c r="D999" s="595">
        <v>45392</v>
      </c>
      <c r="E999" s="295">
        <v>5.5E-2</v>
      </c>
      <c r="F999" s="295" t="s">
        <v>942</v>
      </c>
      <c r="G999" s="295">
        <v>5.5E-2</v>
      </c>
      <c r="H999" s="284">
        <v>8.3333333333333329E-2</v>
      </c>
      <c r="I999" s="1046"/>
      <c r="J999" s="1046"/>
      <c r="K999" s="1047"/>
      <c r="L999" s="586">
        <v>0.875</v>
      </c>
      <c r="M999" s="373"/>
      <c r="N999" s="243"/>
      <c r="O999" s="291"/>
      <c r="P999" s="291"/>
      <c r="Q999" s="291"/>
      <c r="R999" s="291"/>
      <c r="S999" s="291"/>
      <c r="T999" s="291"/>
      <c r="U999" s="291"/>
      <c r="V999" s="291"/>
      <c r="W999" s="291"/>
      <c r="X999" s="291"/>
      <c r="Y999" s="291"/>
      <c r="Z999" s="291"/>
    </row>
    <row r="1000" spans="3:26" ht="20" thickBot="1" x14ac:dyDescent="0.25">
      <c r="C1000" s="241"/>
      <c r="D1000" s="595">
        <v>45350</v>
      </c>
      <c r="E1000" s="295">
        <v>5.5E-2</v>
      </c>
      <c r="F1000" s="295" t="s">
        <v>942</v>
      </c>
      <c r="G1000" s="295">
        <v>5.5E-2</v>
      </c>
      <c r="H1000" s="284">
        <v>4.1666666666666657E-2</v>
      </c>
      <c r="I1000" s="1048"/>
      <c r="J1000" s="1048"/>
      <c r="K1000" s="1049"/>
      <c r="L1000" s="586">
        <v>0.83333333333333337</v>
      </c>
      <c r="M1000" s="530"/>
      <c r="N1000" s="243"/>
      <c r="O1000" s="291"/>
      <c r="P1000" s="291"/>
      <c r="Q1000" s="291"/>
      <c r="R1000" s="291"/>
      <c r="S1000" s="291"/>
      <c r="T1000" s="291"/>
      <c r="U1000" s="291"/>
      <c r="V1000" s="291"/>
      <c r="W1000" s="291"/>
      <c r="X1000" s="291"/>
      <c r="Y1000" s="291"/>
      <c r="Z1000" s="291"/>
    </row>
    <row r="1001" spans="3:26" ht="20" thickBot="1" x14ac:dyDescent="0.25">
      <c r="C1001" s="241">
        <v>5</v>
      </c>
      <c r="D1001" s="576" t="s">
        <v>30</v>
      </c>
      <c r="E1001" s="874" t="s">
        <v>1067</v>
      </c>
      <c r="F1001" s="875"/>
      <c r="G1001" s="876"/>
      <c r="H1001" s="242" t="s">
        <v>790</v>
      </c>
      <c r="I1001" s="1042" t="s">
        <v>633</v>
      </c>
      <c r="J1001" s="1042"/>
      <c r="K1001" s="1043"/>
      <c r="L1001" s="577" t="s">
        <v>430</v>
      </c>
      <c r="M1001" s="371" t="s">
        <v>431</v>
      </c>
      <c r="N1001" s="243" t="s">
        <v>105</v>
      </c>
      <c r="O1001" s="244" t="s">
        <v>800</v>
      </c>
      <c r="P1001" s="244" t="s">
        <v>801</v>
      </c>
      <c r="Q1001" s="244" t="s">
        <v>802</v>
      </c>
      <c r="R1001" s="244" t="s">
        <v>803</v>
      </c>
      <c r="S1001" s="244" t="s">
        <v>804</v>
      </c>
      <c r="T1001" s="244" t="s">
        <v>805</v>
      </c>
      <c r="U1001" s="244" t="s">
        <v>806</v>
      </c>
      <c r="V1001" s="244" t="s">
        <v>807</v>
      </c>
      <c r="W1001" s="244" t="s">
        <v>808</v>
      </c>
      <c r="X1001" s="244" t="s">
        <v>809</v>
      </c>
      <c r="Y1001" s="244" t="s">
        <v>75</v>
      </c>
      <c r="Z1001" s="244" t="s">
        <v>75</v>
      </c>
    </row>
    <row r="1002" spans="3:26" ht="19" x14ac:dyDescent="0.2">
      <c r="C1002" s="241"/>
      <c r="D1002" s="588" t="s">
        <v>432</v>
      </c>
      <c r="E1002" s="880"/>
      <c r="F1002" s="881"/>
      <c r="G1002" s="882"/>
      <c r="H1002" s="245" t="s">
        <v>906</v>
      </c>
      <c r="I1002" s="1044" t="s">
        <v>1068</v>
      </c>
      <c r="J1002" s="1044"/>
      <c r="K1002" s="1045"/>
      <c r="L1002" s="579"/>
      <c r="M1002" s="527" t="s">
        <v>1067</v>
      </c>
      <c r="N1002" s="243"/>
      <c r="O1002" s="246" t="s">
        <v>810</v>
      </c>
      <c r="P1002" s="247">
        <v>0.1</v>
      </c>
      <c r="Q1002" s="248">
        <v>0.03</v>
      </c>
      <c r="R1002" s="249">
        <v>1.4000000000010004E-2</v>
      </c>
      <c r="S1002" s="250"/>
      <c r="T1002" s="246">
        <v>5.9000000000010003E-2</v>
      </c>
      <c r="U1002" s="248">
        <v>-14.72</v>
      </c>
      <c r="V1002" s="247">
        <v>60.5</v>
      </c>
      <c r="W1002" s="251">
        <v>2</v>
      </c>
      <c r="X1002" s="252">
        <v>29.44</v>
      </c>
      <c r="Y1002" s="250"/>
      <c r="Z1002" s="250"/>
    </row>
    <row r="1003" spans="3:26" ht="19" x14ac:dyDescent="0.2">
      <c r="C1003" s="241"/>
      <c r="D1003" s="589" t="s">
        <v>433</v>
      </c>
      <c r="E1003" s="856"/>
      <c r="F1003" s="857"/>
      <c r="G1003" s="858"/>
      <c r="H1003" s="298" t="s">
        <v>907</v>
      </c>
      <c r="I1003" s="1046"/>
      <c r="J1003" s="1046"/>
      <c r="K1003" s="1047"/>
      <c r="L1003" s="579"/>
      <c r="M1003" s="373"/>
      <c r="N1003" s="243"/>
      <c r="O1003" s="243"/>
      <c r="P1003" s="243"/>
      <c r="Q1003" s="243"/>
      <c r="R1003" s="253"/>
      <c r="S1003" s="254"/>
      <c r="T1003" s="243"/>
      <c r="U1003" s="243"/>
      <c r="V1003" s="243"/>
      <c r="W1003" s="254"/>
      <c r="X1003" s="254"/>
      <c r="Y1003" s="255"/>
      <c r="Z1003" s="255"/>
    </row>
    <row r="1004" spans="3:26" ht="19" x14ac:dyDescent="0.2">
      <c r="C1004" s="241"/>
      <c r="D1004" s="589" t="s">
        <v>434</v>
      </c>
      <c r="E1004" s="856">
        <v>-6.9999999999999993E-3</v>
      </c>
      <c r="F1004" s="857"/>
      <c r="G1004" s="858"/>
      <c r="H1004" s="245"/>
      <c r="I1004" s="1046"/>
      <c r="J1004" s="1046"/>
      <c r="K1004" s="1047"/>
      <c r="L1004" s="579"/>
      <c r="M1004" s="373"/>
      <c r="N1004" s="243"/>
      <c r="O1004" s="256" t="s">
        <v>811</v>
      </c>
      <c r="P1004" s="257">
        <v>0.15</v>
      </c>
      <c r="Q1004" s="258">
        <v>20.9971</v>
      </c>
      <c r="R1004" s="259">
        <v>3</v>
      </c>
      <c r="S1004" s="260">
        <v>1</v>
      </c>
      <c r="T1004" s="256">
        <v>34.495649999999998</v>
      </c>
      <c r="U1004" s="261">
        <v>-12909.558508472384</v>
      </c>
      <c r="V1004" s="262">
        <v>90.749999999999986</v>
      </c>
      <c r="W1004" s="263">
        <v>8.0299999999999994</v>
      </c>
      <c r="X1004" s="264">
        <v>103663.75482303323</v>
      </c>
      <c r="Y1004" s="265"/>
      <c r="Z1004" s="265"/>
    </row>
    <row r="1005" spans="3:26" ht="20" thickBot="1" x14ac:dyDescent="0.25">
      <c r="C1005" s="241"/>
      <c r="D1005" s="590" t="s">
        <v>435</v>
      </c>
      <c r="E1005" s="871">
        <v>0.6875</v>
      </c>
      <c r="F1005" s="872"/>
      <c r="G1005" s="873"/>
      <c r="H1005" s="266">
        <v>0.35416666666666669</v>
      </c>
      <c r="I1005" s="1046"/>
      <c r="J1005" s="1046"/>
      <c r="K1005" s="1047"/>
      <c r="L1005" s="582">
        <v>0.79166666666666663</v>
      </c>
      <c r="M1005" s="376">
        <v>0.6875</v>
      </c>
      <c r="N1005" s="243"/>
      <c r="O1005" s="267" t="s">
        <v>812</v>
      </c>
      <c r="P1005" s="268">
        <v>0.25</v>
      </c>
      <c r="Q1005" s="269">
        <v>13.426666666666668</v>
      </c>
      <c r="R1005" s="270">
        <v>3</v>
      </c>
      <c r="S1005" s="271">
        <v>1</v>
      </c>
      <c r="T1005" s="272">
        <v>23.14</v>
      </c>
      <c r="U1005" s="273">
        <v>-14433.084745760265</v>
      </c>
      <c r="V1005" s="274">
        <v>151.25</v>
      </c>
      <c r="W1005" s="275">
        <v>4.75</v>
      </c>
      <c r="X1005" s="276">
        <v>68557.152542361262</v>
      </c>
      <c r="Y1005" s="277"/>
      <c r="Z1005" s="277"/>
    </row>
    <row r="1006" spans="3:26" ht="20" thickBot="1" x14ac:dyDescent="0.25">
      <c r="C1006" s="241"/>
      <c r="D1006" s="591" t="s">
        <v>436</v>
      </c>
      <c r="E1006" s="293" t="s">
        <v>29</v>
      </c>
      <c r="F1006" s="293" t="s">
        <v>28</v>
      </c>
      <c r="G1006" s="294" t="s">
        <v>27</v>
      </c>
      <c r="H1006" s="280" t="s">
        <v>793</v>
      </c>
      <c r="I1006" s="1046"/>
      <c r="J1006" s="1046"/>
      <c r="K1006" s="1047"/>
      <c r="L1006" s="584" t="s">
        <v>1002</v>
      </c>
      <c r="M1006" s="378"/>
      <c r="N1006" s="243"/>
      <c r="O1006" s="254"/>
      <c r="P1006" s="255"/>
      <c r="Q1006" s="254"/>
      <c r="R1006" s="254"/>
      <c r="S1006" s="254"/>
      <c r="T1006" s="254"/>
      <c r="U1006" s="281"/>
      <c r="V1006" s="282"/>
      <c r="W1006" s="254"/>
      <c r="X1006" s="281"/>
      <c r="Y1006" s="255"/>
      <c r="Z1006" s="255"/>
    </row>
    <row r="1007" spans="3:26" ht="19" x14ac:dyDescent="0.2">
      <c r="C1007" s="241"/>
      <c r="D1007" s="592">
        <v>45590</v>
      </c>
      <c r="E1007" s="295">
        <v>-8.0000000000000002E-3</v>
      </c>
      <c r="F1007" s="295" t="s">
        <v>1110</v>
      </c>
      <c r="G1007" s="295">
        <v>-8.0000000000000002E-3</v>
      </c>
      <c r="H1007" s="284">
        <v>0.64583333333333337</v>
      </c>
      <c r="I1007" s="1046"/>
      <c r="J1007" s="1046"/>
      <c r="K1007" s="1047"/>
      <c r="L1007" s="586">
        <v>0.3125</v>
      </c>
      <c r="M1007" s="528"/>
      <c r="N1007" s="243"/>
      <c r="O1007" s="254"/>
      <c r="P1007" s="255"/>
      <c r="Q1007" s="254"/>
      <c r="R1007" s="254"/>
      <c r="S1007" s="254"/>
      <c r="T1007" s="254"/>
      <c r="U1007" s="254"/>
      <c r="V1007" s="254"/>
      <c r="W1007" s="254"/>
      <c r="X1007" s="254"/>
      <c r="Y1007" s="255"/>
      <c r="Z1007" s="255"/>
    </row>
    <row r="1008" spans="3:26" ht="19" x14ac:dyDescent="0.2">
      <c r="C1008" s="241"/>
      <c r="D1008" s="592">
        <v>45561</v>
      </c>
      <c r="E1008" s="295">
        <v>0</v>
      </c>
      <c r="F1008" s="295" t="s">
        <v>778</v>
      </c>
      <c r="G1008" s="295">
        <v>9.9000000000000005E-2</v>
      </c>
      <c r="H1008" s="284">
        <v>0.64583333333333337</v>
      </c>
      <c r="I1008" s="1046"/>
      <c r="J1008" s="1046"/>
      <c r="K1008" s="1047"/>
      <c r="L1008" s="586">
        <v>0.3125</v>
      </c>
      <c r="M1008" s="529"/>
      <c r="N1008" s="243"/>
      <c r="O1008" s="246" t="s">
        <v>813</v>
      </c>
      <c r="P1008" s="247">
        <v>0.1</v>
      </c>
      <c r="Q1008" s="285">
        <v>17.211883333333333</v>
      </c>
      <c r="R1008" s="286">
        <v>3</v>
      </c>
      <c r="S1008" s="250">
        <v>1.5</v>
      </c>
      <c r="T1008" s="256">
        <v>28.817824999999999</v>
      </c>
      <c r="U1008" s="287">
        <v>-10784.704677964273</v>
      </c>
      <c r="V1008" s="288">
        <v>60.5</v>
      </c>
      <c r="W1008" s="250">
        <v>2</v>
      </c>
      <c r="X1008" s="252">
        <v>21569.409355928547</v>
      </c>
      <c r="Y1008" s="289"/>
      <c r="Z1008" s="289"/>
    </row>
    <row r="1009" spans="3:26" ht="19" x14ac:dyDescent="0.2">
      <c r="C1009" s="241"/>
      <c r="D1009" s="592">
        <v>45530</v>
      </c>
      <c r="E1009" s="295">
        <v>9.9000000000000005E-2</v>
      </c>
      <c r="F1009" s="295" t="s">
        <v>630</v>
      </c>
      <c r="G1009" s="295">
        <v>-6.9000000000000006E-2</v>
      </c>
      <c r="H1009" s="284">
        <v>0.64583333333333337</v>
      </c>
      <c r="I1009" s="1046"/>
      <c r="J1009" s="1046"/>
      <c r="K1009" s="1047"/>
      <c r="L1009" s="586">
        <v>0.3125</v>
      </c>
      <c r="M1009" s="373"/>
      <c r="N1009" s="243"/>
      <c r="O1009" s="246" t="s">
        <v>813</v>
      </c>
      <c r="P1009" s="247">
        <v>0.1</v>
      </c>
      <c r="Q1009" s="285">
        <v>17.211883333333333</v>
      </c>
      <c r="R1009" s="286">
        <v>3</v>
      </c>
      <c r="S1009" s="250">
        <v>1.5</v>
      </c>
      <c r="T1009" s="256">
        <v>28.817824999999999</v>
      </c>
      <c r="U1009" s="287">
        <v>-10784.704677964273</v>
      </c>
      <c r="V1009" s="288">
        <v>60.5</v>
      </c>
      <c r="W1009" s="250">
        <v>2</v>
      </c>
      <c r="X1009" s="252">
        <v>21569.409355928547</v>
      </c>
      <c r="Y1009" s="289"/>
      <c r="Z1009" s="289"/>
    </row>
    <row r="1010" spans="3:26" ht="19" x14ac:dyDescent="0.2">
      <c r="C1010" s="241"/>
      <c r="D1010" s="592">
        <v>45498</v>
      </c>
      <c r="E1010" s="295">
        <v>-6.6000000000000003E-2</v>
      </c>
      <c r="F1010" s="295" t="s">
        <v>467</v>
      </c>
      <c r="G1010" s="295">
        <v>1E-3</v>
      </c>
      <c r="H1010" s="284">
        <v>0.64583333333333337</v>
      </c>
      <c r="I1010" s="1046"/>
      <c r="J1010" s="1046"/>
      <c r="K1010" s="1047"/>
      <c r="L1010" s="586">
        <v>0.3125</v>
      </c>
      <c r="M1010" s="373"/>
      <c r="N1010" s="243"/>
      <c r="O1010" s="246"/>
      <c r="P1010" s="290"/>
      <c r="Q1010" s="285"/>
      <c r="R1010" s="286"/>
      <c r="S1010" s="250"/>
      <c r="T1010" s="290"/>
      <c r="U1010" s="287"/>
      <c r="V1010" s="288"/>
      <c r="W1010" s="250"/>
      <c r="X1010" s="252"/>
      <c r="Y1010" s="289"/>
      <c r="Z1010" s="289"/>
    </row>
    <row r="1011" spans="3:26" ht="19" x14ac:dyDescent="0.2">
      <c r="C1011" s="241"/>
      <c r="D1011" s="592">
        <v>45470</v>
      </c>
      <c r="E1011" s="295">
        <v>1E-3</v>
      </c>
      <c r="F1011" s="295" t="s">
        <v>782</v>
      </c>
      <c r="G1011" s="295">
        <v>2E-3</v>
      </c>
      <c r="H1011" s="284">
        <v>0.64583333333333337</v>
      </c>
      <c r="I1011" s="1046"/>
      <c r="J1011" s="1046"/>
      <c r="K1011" s="1047"/>
      <c r="L1011" s="586">
        <v>0.3125</v>
      </c>
      <c r="M1011" s="373"/>
      <c r="N1011" s="243"/>
      <c r="O1011" s="291"/>
      <c r="P1011" s="291"/>
      <c r="Q1011" s="291"/>
      <c r="R1011" s="291"/>
      <c r="S1011" s="291"/>
      <c r="T1011" s="291"/>
      <c r="U1011" s="291"/>
      <c r="V1011" s="291"/>
      <c r="W1011" s="291"/>
      <c r="X1011" s="291"/>
      <c r="Y1011" s="291"/>
      <c r="Z1011" s="291"/>
    </row>
    <row r="1012" spans="3:26" ht="20" thickBot="1" x14ac:dyDescent="0.25">
      <c r="C1012" s="241"/>
      <c r="D1012" s="592">
        <v>45436</v>
      </c>
      <c r="E1012" s="295">
        <v>7.0000000000000001E-3</v>
      </c>
      <c r="F1012" s="295" t="s">
        <v>784</v>
      </c>
      <c r="G1012" s="295">
        <v>8.0000000000000002E-3</v>
      </c>
      <c r="H1012" s="284">
        <v>0.64583333333333337</v>
      </c>
      <c r="I1012" s="1048"/>
      <c r="J1012" s="1048"/>
      <c r="K1012" s="1049"/>
      <c r="L1012" s="586">
        <v>0.3125</v>
      </c>
      <c r="M1012" s="530"/>
      <c r="N1012" s="243"/>
      <c r="O1012" s="291"/>
      <c r="P1012" s="291"/>
      <c r="Q1012" s="291"/>
      <c r="R1012" s="291"/>
      <c r="S1012" s="291"/>
      <c r="T1012" s="291"/>
      <c r="U1012" s="291"/>
      <c r="V1012" s="291"/>
      <c r="W1012" s="291"/>
      <c r="X1012" s="291"/>
      <c r="Y1012" s="291"/>
      <c r="Z1012" s="291"/>
    </row>
    <row r="1013" spans="3:26" ht="20" thickBot="1" x14ac:dyDescent="0.25">
      <c r="C1013" s="241">
        <v>6</v>
      </c>
      <c r="D1013" s="576" t="s">
        <v>30</v>
      </c>
      <c r="E1013" s="874" t="s">
        <v>1069</v>
      </c>
      <c r="F1013" s="875"/>
      <c r="G1013" s="876"/>
      <c r="H1013" s="242" t="s">
        <v>790</v>
      </c>
      <c r="I1013" s="1042" t="s">
        <v>633</v>
      </c>
      <c r="J1013" s="1042"/>
      <c r="K1013" s="1043"/>
      <c r="L1013" s="577" t="s">
        <v>430</v>
      </c>
      <c r="M1013" s="371" t="s">
        <v>431</v>
      </c>
      <c r="N1013" s="243" t="s">
        <v>105</v>
      </c>
      <c r="O1013" s="244" t="s">
        <v>800</v>
      </c>
      <c r="P1013" s="244" t="s">
        <v>801</v>
      </c>
      <c r="Q1013" s="244" t="s">
        <v>802</v>
      </c>
      <c r="R1013" s="244" t="s">
        <v>803</v>
      </c>
      <c r="S1013" s="244" t="s">
        <v>804</v>
      </c>
      <c r="T1013" s="244" t="s">
        <v>805</v>
      </c>
      <c r="U1013" s="244" t="s">
        <v>806</v>
      </c>
      <c r="V1013" s="244" t="s">
        <v>807</v>
      </c>
      <c r="W1013" s="244" t="s">
        <v>808</v>
      </c>
      <c r="X1013" s="244" t="s">
        <v>809</v>
      </c>
      <c r="Y1013" s="244" t="s">
        <v>75</v>
      </c>
      <c r="Z1013" s="244" t="s">
        <v>75</v>
      </c>
    </row>
    <row r="1014" spans="3:26" ht="19" x14ac:dyDescent="0.2">
      <c r="C1014" s="241"/>
      <c r="D1014" s="588" t="s">
        <v>432</v>
      </c>
      <c r="E1014" s="853"/>
      <c r="F1014" s="854"/>
      <c r="G1014" s="855"/>
      <c r="H1014" s="245" t="s">
        <v>906</v>
      </c>
      <c r="I1014" s="1044" t="s">
        <v>1070</v>
      </c>
      <c r="J1014" s="1044"/>
      <c r="K1014" s="1045"/>
      <c r="L1014" s="579"/>
      <c r="M1014" s="527" t="s">
        <v>1069</v>
      </c>
      <c r="N1014" s="243"/>
      <c r="O1014" s="246" t="s">
        <v>810</v>
      </c>
      <c r="P1014" s="247">
        <v>0.1</v>
      </c>
      <c r="Q1014" s="248">
        <v>0.03</v>
      </c>
      <c r="R1014" s="249">
        <v>1.5999999999991132E-2</v>
      </c>
      <c r="S1014" s="250"/>
      <c r="T1014" s="246">
        <v>6.0999999999991131E-2</v>
      </c>
      <c r="U1014" s="248">
        <v>-14.17</v>
      </c>
      <c r="V1014" s="247">
        <v>91.8</v>
      </c>
      <c r="W1014" s="251">
        <v>2</v>
      </c>
      <c r="X1014" s="252">
        <v>28.34</v>
      </c>
      <c r="Y1014" s="250"/>
      <c r="Z1014" s="250"/>
    </row>
    <row r="1015" spans="3:26" ht="19" x14ac:dyDescent="0.2">
      <c r="C1015" s="241"/>
      <c r="D1015" s="589" t="s">
        <v>433</v>
      </c>
      <c r="E1015" s="868"/>
      <c r="F1015" s="869"/>
      <c r="G1015" s="870"/>
      <c r="H1015" s="298" t="s">
        <v>907</v>
      </c>
      <c r="I1015" s="1046"/>
      <c r="J1015" s="1046"/>
      <c r="K1015" s="1047"/>
      <c r="L1015" s="579"/>
      <c r="M1015" s="373"/>
      <c r="N1015" s="243"/>
      <c r="O1015" s="243"/>
      <c r="P1015" s="243"/>
      <c r="Q1015" s="243"/>
      <c r="R1015" s="253"/>
      <c r="S1015" s="254"/>
      <c r="T1015" s="243"/>
      <c r="U1015" s="243"/>
      <c r="V1015" s="243"/>
      <c r="W1015" s="254"/>
      <c r="X1015" s="254"/>
      <c r="Y1015" s="255"/>
      <c r="Z1015" s="255"/>
    </row>
    <row r="1016" spans="3:26" ht="19" x14ac:dyDescent="0.2">
      <c r="C1016" s="241"/>
      <c r="D1016" s="589" t="s">
        <v>434</v>
      </c>
      <c r="E1016" s="868">
        <v>2.8000000000000001E-2</v>
      </c>
      <c r="F1016" s="869"/>
      <c r="G1016" s="870"/>
      <c r="H1016" s="245"/>
      <c r="I1016" s="1046"/>
      <c r="J1016" s="1046"/>
      <c r="K1016" s="1047"/>
      <c r="L1016" s="579"/>
      <c r="M1016" s="373"/>
      <c r="N1016" s="243"/>
      <c r="O1016" s="256" t="s">
        <v>811</v>
      </c>
      <c r="P1016" s="257">
        <v>0.1</v>
      </c>
      <c r="Q1016" s="258">
        <v>7.9100000000000004E-2</v>
      </c>
      <c r="R1016" s="259">
        <v>1.6E-2</v>
      </c>
      <c r="S1016" s="260">
        <v>1</v>
      </c>
      <c r="T1016" s="256">
        <v>0.13464999999999999</v>
      </c>
      <c r="U1016" s="261">
        <v>-31.278532786889791</v>
      </c>
      <c r="V1016" s="262">
        <v>60.5</v>
      </c>
      <c r="W1016" s="263">
        <v>3.81</v>
      </c>
      <c r="X1016" s="264">
        <v>119.17120991805011</v>
      </c>
      <c r="Y1016" s="265"/>
      <c r="Z1016" s="265">
        <v>4.4350000000000005</v>
      </c>
    </row>
    <row r="1017" spans="3:26" ht="20" thickBot="1" x14ac:dyDescent="0.25">
      <c r="C1017" s="241"/>
      <c r="D1017" s="590" t="s">
        <v>435</v>
      </c>
      <c r="E1017" s="871">
        <v>0.5625</v>
      </c>
      <c r="F1017" s="872"/>
      <c r="G1017" s="873"/>
      <c r="H1017" s="266">
        <v>0.35416666666666663</v>
      </c>
      <c r="I1017" s="1046"/>
      <c r="J1017" s="1046"/>
      <c r="K1017" s="1047"/>
      <c r="L1017" s="582">
        <v>0.79166666666666663</v>
      </c>
      <c r="M1017" s="376">
        <v>0.64583333333333326</v>
      </c>
      <c r="N1017" s="243"/>
      <c r="O1017" s="267" t="s">
        <v>812</v>
      </c>
      <c r="P1017" s="268">
        <v>0.1</v>
      </c>
      <c r="Q1017" s="269">
        <v>6.3266666666666665E-2</v>
      </c>
      <c r="R1017" s="270">
        <v>1.6E-2</v>
      </c>
      <c r="S1017" s="271">
        <v>1</v>
      </c>
      <c r="T1017" s="272">
        <v>0.1109</v>
      </c>
      <c r="U1017" s="273">
        <v>-25.761524590167678</v>
      </c>
      <c r="V1017" s="274">
        <v>60.5</v>
      </c>
      <c r="W1017" s="275">
        <v>5.21</v>
      </c>
      <c r="X1017" s="276">
        <v>134.2175431147736</v>
      </c>
      <c r="Y1017" s="277"/>
      <c r="Z1017" s="277"/>
    </row>
    <row r="1018" spans="3:26" ht="20" thickBot="1" x14ac:dyDescent="0.25">
      <c r="C1018" s="241"/>
      <c r="D1018" s="591" t="s">
        <v>436</v>
      </c>
      <c r="E1018" s="293" t="s">
        <v>29</v>
      </c>
      <c r="F1018" s="293" t="s">
        <v>28</v>
      </c>
      <c r="G1018" s="294" t="s">
        <v>27</v>
      </c>
      <c r="H1018" s="280" t="s">
        <v>793</v>
      </c>
      <c r="I1018" s="1046"/>
      <c r="J1018" s="1046"/>
      <c r="K1018" s="1047"/>
      <c r="L1018" s="584" t="s">
        <v>1002</v>
      </c>
      <c r="M1018" s="378"/>
      <c r="N1018" s="243"/>
      <c r="O1018" s="254"/>
      <c r="P1018" s="255"/>
      <c r="Q1018" s="254"/>
      <c r="R1018" s="254"/>
      <c r="S1018" s="254"/>
      <c r="T1018" s="254"/>
      <c r="U1018" s="281"/>
      <c r="V1018" s="282"/>
      <c r="W1018" s="254"/>
      <c r="X1018" s="281"/>
      <c r="Y1018" s="255"/>
      <c r="Z1018" s="255"/>
    </row>
    <row r="1019" spans="3:26" ht="19" x14ac:dyDescent="0.2">
      <c r="C1019" s="241"/>
      <c r="D1019" s="592">
        <v>45595</v>
      </c>
      <c r="E1019" s="295">
        <v>2.8000000000000001E-2</v>
      </c>
      <c r="F1019" s="295" t="s">
        <v>669</v>
      </c>
      <c r="G1019" s="295">
        <v>0.03</v>
      </c>
      <c r="H1019" s="284">
        <v>0.52083333333333337</v>
      </c>
      <c r="I1019" s="1046"/>
      <c r="J1019" s="1046"/>
      <c r="K1019" s="1047"/>
      <c r="L1019" s="586">
        <v>0.3125</v>
      </c>
      <c r="M1019" s="528"/>
      <c r="N1019" s="243"/>
      <c r="O1019" s="254"/>
      <c r="P1019" s="255"/>
      <c r="Q1019" s="254"/>
      <c r="R1019" s="254"/>
      <c r="S1019" s="254"/>
      <c r="T1019" s="254"/>
      <c r="U1019" s="254"/>
      <c r="V1019" s="254"/>
      <c r="W1019" s="254"/>
      <c r="X1019" s="254"/>
      <c r="Y1019" s="255"/>
      <c r="Z1019" s="255"/>
    </row>
    <row r="1020" spans="3:26" ht="19" x14ac:dyDescent="0.2">
      <c r="C1020" s="241"/>
      <c r="D1020" s="592">
        <v>45561</v>
      </c>
      <c r="E1020" s="295">
        <v>0.03</v>
      </c>
      <c r="F1020" s="295" t="s">
        <v>669</v>
      </c>
      <c r="G1020" s="295">
        <v>1.6E-2</v>
      </c>
      <c r="H1020" s="284">
        <v>0.52083333333333337</v>
      </c>
      <c r="I1020" s="1046"/>
      <c r="J1020" s="1046"/>
      <c r="K1020" s="1047"/>
      <c r="L1020" s="586">
        <v>0.3125</v>
      </c>
      <c r="M1020" s="529"/>
      <c r="N1020" s="243"/>
      <c r="O1020" s="246" t="s">
        <v>813</v>
      </c>
      <c r="P1020" s="247">
        <v>-0.06</v>
      </c>
      <c r="Q1020" s="285">
        <v>7.1183333333333335E-2</v>
      </c>
      <c r="R1020" s="286">
        <v>1.6E-2</v>
      </c>
      <c r="S1020" s="250">
        <v>-1.5</v>
      </c>
      <c r="T1020" s="256">
        <v>0.12277500000000001</v>
      </c>
      <c r="U1020" s="287">
        <v>-25.668025819675861</v>
      </c>
      <c r="V1020" s="288">
        <v>-36.299999999999997</v>
      </c>
      <c r="W1020" s="250">
        <v>2</v>
      </c>
      <c r="X1020" s="252">
        <v>51.336051639351723</v>
      </c>
      <c r="Y1020" s="289"/>
      <c r="Z1020" s="289"/>
    </row>
    <row r="1021" spans="3:26" ht="19" x14ac:dyDescent="0.2">
      <c r="C1021" s="241"/>
      <c r="D1021" s="592">
        <v>45533</v>
      </c>
      <c r="E1021" s="295">
        <v>0.03</v>
      </c>
      <c r="F1021" s="295" t="s">
        <v>666</v>
      </c>
      <c r="G1021" s="295">
        <v>1.4E-2</v>
      </c>
      <c r="H1021" s="284">
        <v>0.52083333333333337</v>
      </c>
      <c r="I1021" s="1046"/>
      <c r="J1021" s="1046"/>
      <c r="K1021" s="1047"/>
      <c r="L1021" s="586">
        <v>0.3125</v>
      </c>
      <c r="M1021" s="373"/>
      <c r="N1021" s="243"/>
      <c r="O1021" s="246" t="s">
        <v>813</v>
      </c>
      <c r="P1021" s="247">
        <v>0.06</v>
      </c>
      <c r="Q1021" s="285">
        <v>7.1183333333333335E-2</v>
      </c>
      <c r="R1021" s="286">
        <v>1.6E-2</v>
      </c>
      <c r="S1021" s="250">
        <v>1.5</v>
      </c>
      <c r="T1021" s="256">
        <v>0.12277500000000001</v>
      </c>
      <c r="U1021" s="287">
        <v>-25.668025819675861</v>
      </c>
      <c r="V1021" s="288">
        <v>36.299999999999997</v>
      </c>
      <c r="W1021" s="250">
        <v>2</v>
      </c>
      <c r="X1021" s="252">
        <v>51.336051639351723</v>
      </c>
      <c r="Y1021" s="289"/>
      <c r="Z1021" s="289"/>
    </row>
    <row r="1022" spans="3:26" ht="19" x14ac:dyDescent="0.2">
      <c r="C1022" s="241"/>
      <c r="D1022" s="592">
        <v>45498</v>
      </c>
      <c r="E1022" s="295">
        <v>2.8000000000000001E-2</v>
      </c>
      <c r="F1022" s="295" t="s">
        <v>788</v>
      </c>
      <c r="G1022" s="295">
        <v>1.4E-2</v>
      </c>
      <c r="H1022" s="284">
        <v>0.52083333333333337</v>
      </c>
      <c r="I1022" s="1046"/>
      <c r="J1022" s="1046"/>
      <c r="K1022" s="1047"/>
      <c r="L1022" s="586">
        <v>0.3125</v>
      </c>
      <c r="M1022" s="373"/>
      <c r="N1022" s="243"/>
      <c r="O1022" s="246" t="s">
        <v>816</v>
      </c>
      <c r="P1022" s="290"/>
      <c r="Q1022" s="285"/>
      <c r="R1022" s="286"/>
      <c r="S1022" s="250"/>
      <c r="T1022" s="290"/>
      <c r="U1022" s="287"/>
      <c r="V1022" s="288"/>
      <c r="W1022" s="250"/>
      <c r="X1022" s="252"/>
      <c r="Y1022" s="289"/>
      <c r="Z1022" s="289"/>
    </row>
    <row r="1023" spans="3:26" ht="19" x14ac:dyDescent="0.2">
      <c r="C1023" s="241"/>
      <c r="D1023" s="592">
        <v>45470</v>
      </c>
      <c r="E1023" s="295">
        <v>1.4E-2</v>
      </c>
      <c r="F1023" s="295" t="s">
        <v>889</v>
      </c>
      <c r="G1023" s="295">
        <v>3.4000000000000002E-2</v>
      </c>
      <c r="H1023" s="284">
        <v>0.52083333333333337</v>
      </c>
      <c r="I1023" s="1046"/>
      <c r="J1023" s="1046"/>
      <c r="K1023" s="1047"/>
      <c r="L1023" s="586">
        <v>0.3125</v>
      </c>
      <c r="M1023" s="373"/>
      <c r="N1023" s="243"/>
      <c r="O1023" s="291"/>
      <c r="P1023" s="291"/>
      <c r="Q1023" s="291"/>
      <c r="R1023" s="291"/>
      <c r="S1023" s="291"/>
      <c r="T1023" s="291"/>
      <c r="U1023" s="291"/>
      <c r="V1023" s="291"/>
      <c r="W1023" s="291"/>
      <c r="X1023" s="291"/>
      <c r="Y1023" s="291"/>
      <c r="Z1023" s="291"/>
    </row>
    <row r="1024" spans="3:26" ht="20" thickBot="1" x14ac:dyDescent="0.25">
      <c r="C1024" s="241"/>
      <c r="D1024" s="592">
        <v>45442</v>
      </c>
      <c r="E1024" s="295">
        <v>1.2999999999999999E-2</v>
      </c>
      <c r="F1024" s="295" t="s">
        <v>890</v>
      </c>
      <c r="G1024" s="295">
        <v>3.4000000000000002E-2</v>
      </c>
      <c r="H1024" s="284">
        <v>0.52083333333333337</v>
      </c>
      <c r="I1024" s="1048"/>
      <c r="J1024" s="1048"/>
      <c r="K1024" s="1049"/>
      <c r="L1024" s="586">
        <v>0.3125</v>
      </c>
      <c r="M1024" s="530"/>
      <c r="N1024" s="243"/>
      <c r="O1024" s="291"/>
      <c r="P1024" s="291"/>
      <c r="Q1024" s="291"/>
      <c r="R1024" s="291"/>
      <c r="S1024" s="291"/>
      <c r="T1024" s="291"/>
      <c r="U1024" s="291"/>
      <c r="V1024" s="291"/>
      <c r="W1024" s="291"/>
      <c r="X1024" s="291"/>
      <c r="Y1024" s="291"/>
      <c r="Z1024" s="291"/>
    </row>
    <row r="1025" spans="3:26" ht="20" thickBot="1" x14ac:dyDescent="0.25">
      <c r="C1025" s="241">
        <v>7</v>
      </c>
      <c r="D1025" s="576" t="s">
        <v>30</v>
      </c>
      <c r="E1025" s="874" t="s">
        <v>14</v>
      </c>
      <c r="F1025" s="875"/>
      <c r="G1025" s="876"/>
      <c r="H1025" s="242" t="s">
        <v>790</v>
      </c>
      <c r="I1025" s="1042" t="s">
        <v>633</v>
      </c>
      <c r="J1025" s="1042"/>
      <c r="K1025" s="1043"/>
      <c r="L1025" s="577" t="s">
        <v>430</v>
      </c>
      <c r="M1025" s="371" t="s">
        <v>431</v>
      </c>
      <c r="N1025" s="243" t="s">
        <v>105</v>
      </c>
      <c r="O1025" s="244" t="s">
        <v>800</v>
      </c>
      <c r="P1025" s="244" t="s">
        <v>801</v>
      </c>
      <c r="Q1025" s="244" t="s">
        <v>802</v>
      </c>
      <c r="R1025" s="244" t="s">
        <v>803</v>
      </c>
      <c r="S1025" s="244" t="s">
        <v>804</v>
      </c>
      <c r="T1025" s="244" t="s">
        <v>805</v>
      </c>
      <c r="U1025" s="244" t="s">
        <v>806</v>
      </c>
      <c r="V1025" s="244" t="s">
        <v>807</v>
      </c>
      <c r="W1025" s="244" t="s">
        <v>808</v>
      </c>
      <c r="X1025" s="244" t="s">
        <v>809</v>
      </c>
      <c r="Y1025" s="244" t="s">
        <v>75</v>
      </c>
      <c r="Z1025" s="244" t="s">
        <v>75</v>
      </c>
    </row>
    <row r="1026" spans="3:26" ht="19" x14ac:dyDescent="0.2">
      <c r="C1026" s="241"/>
      <c r="D1026" s="588" t="s">
        <v>432</v>
      </c>
      <c r="E1026" s="853"/>
      <c r="F1026" s="854"/>
      <c r="G1026" s="855"/>
      <c r="H1026" s="245" t="s">
        <v>906</v>
      </c>
      <c r="I1026" s="1044" t="s">
        <v>1072</v>
      </c>
      <c r="J1026" s="1044"/>
      <c r="K1026" s="1045"/>
      <c r="L1026" s="579"/>
      <c r="M1026" s="527" t="s">
        <v>14</v>
      </c>
      <c r="N1026" s="243"/>
      <c r="O1026" s="246" t="s">
        <v>810</v>
      </c>
      <c r="P1026" s="247">
        <v>0.1</v>
      </c>
      <c r="Q1026" s="248">
        <v>3.9E-2</v>
      </c>
      <c r="R1026" s="249">
        <v>1.7000000000024329E-2</v>
      </c>
      <c r="S1026" s="250"/>
      <c r="T1026" s="246">
        <v>7.5500000000024325E-2</v>
      </c>
      <c r="U1026" s="248">
        <v>-17.670000000000002</v>
      </c>
      <c r="V1026" s="247">
        <v>60.23</v>
      </c>
      <c r="W1026" s="247"/>
      <c r="X1026" s="252"/>
      <c r="Y1026" s="250"/>
      <c r="Z1026" s="250"/>
    </row>
    <row r="1027" spans="3:26" ht="19" x14ac:dyDescent="0.2">
      <c r="C1027" s="241"/>
      <c r="D1027" s="589" t="s">
        <v>433</v>
      </c>
      <c r="E1027" s="868"/>
      <c r="F1027" s="869"/>
      <c r="G1027" s="870"/>
      <c r="H1027" s="298" t="s">
        <v>907</v>
      </c>
      <c r="I1027" s="1046"/>
      <c r="J1027" s="1046"/>
      <c r="K1027" s="1047"/>
      <c r="L1027" s="579"/>
      <c r="M1027" s="373"/>
      <c r="N1027" s="243"/>
      <c r="O1027" s="243"/>
      <c r="P1027" s="243"/>
      <c r="Q1027" s="243"/>
      <c r="R1027" s="253"/>
      <c r="S1027" s="254"/>
      <c r="T1027" s="243"/>
      <c r="U1027" s="243"/>
      <c r="V1027" s="243"/>
      <c r="W1027" s="243"/>
      <c r="X1027" s="254"/>
      <c r="Y1027" s="255"/>
      <c r="Z1027" s="255"/>
    </row>
    <row r="1028" spans="3:26" ht="19" x14ac:dyDescent="0.2">
      <c r="C1028" s="241"/>
      <c r="D1028" s="589" t="s">
        <v>434</v>
      </c>
      <c r="E1028" s="883" t="s">
        <v>1071</v>
      </c>
      <c r="F1028" s="884"/>
      <c r="G1028" s="885"/>
      <c r="H1028" s="298"/>
      <c r="I1028" s="1046"/>
      <c r="J1028" s="1046"/>
      <c r="K1028" s="1047"/>
      <c r="L1028" s="579"/>
      <c r="M1028" s="373"/>
      <c r="N1028" s="243"/>
      <c r="O1028" s="256" t="s">
        <v>811</v>
      </c>
      <c r="P1028" s="257">
        <v>0.1</v>
      </c>
      <c r="Q1028" s="258">
        <v>7.6399999999999996E-2</v>
      </c>
      <c r="R1028" s="259">
        <v>1.7000000000000001E-2</v>
      </c>
      <c r="S1028" s="299">
        <v>1</v>
      </c>
      <c r="T1028" s="256">
        <v>0.13159999999999999</v>
      </c>
      <c r="U1028" s="261">
        <v>-30.799629139062926</v>
      </c>
      <c r="V1028" s="262">
        <v>60.5</v>
      </c>
      <c r="W1028" s="300">
        <v>4.29</v>
      </c>
      <c r="X1028" s="264">
        <v>132.13040900657995</v>
      </c>
      <c r="Y1028" s="265"/>
      <c r="Z1028" s="265"/>
    </row>
    <row r="1029" spans="3:26" ht="20" thickBot="1" x14ac:dyDescent="0.25">
      <c r="C1029" s="241"/>
      <c r="D1029" s="590" t="s">
        <v>435</v>
      </c>
      <c r="E1029" s="871">
        <v>0.5625</v>
      </c>
      <c r="F1029" s="872"/>
      <c r="G1029" s="873"/>
      <c r="H1029" s="266">
        <v>0.35416666666666663</v>
      </c>
      <c r="I1029" s="1046"/>
      <c r="J1029" s="1046"/>
      <c r="K1029" s="1047"/>
      <c r="L1029" s="582">
        <v>0.79166666666666663</v>
      </c>
      <c r="M1029" s="376">
        <v>0.64583333333333326</v>
      </c>
      <c r="N1029" s="243"/>
      <c r="O1029" s="267" t="s">
        <v>812</v>
      </c>
      <c r="P1029" s="268">
        <v>0.1</v>
      </c>
      <c r="Q1029" s="269">
        <v>6.5266666666666667E-2</v>
      </c>
      <c r="R1029" s="270">
        <v>1.7000000000000001E-2</v>
      </c>
      <c r="S1029" s="301">
        <v>1</v>
      </c>
      <c r="T1029" s="272">
        <v>0.1149</v>
      </c>
      <c r="U1029" s="273">
        <v>-26.891165562905247</v>
      </c>
      <c r="V1029" s="274">
        <v>60.5</v>
      </c>
      <c r="W1029" s="302">
        <v>4.9249999999999998</v>
      </c>
      <c r="X1029" s="276">
        <v>132.43899039730834</v>
      </c>
      <c r="Y1029" s="277"/>
      <c r="Z1029" s="277"/>
    </row>
    <row r="1030" spans="3:26" ht="20" thickBot="1" x14ac:dyDescent="0.25">
      <c r="C1030" s="241"/>
      <c r="D1030" s="591" t="s">
        <v>436</v>
      </c>
      <c r="E1030" s="278" t="s">
        <v>29</v>
      </c>
      <c r="F1030" s="278" t="s">
        <v>28</v>
      </c>
      <c r="G1030" s="279" t="s">
        <v>27</v>
      </c>
      <c r="H1030" s="280" t="s">
        <v>793</v>
      </c>
      <c r="I1030" s="1046"/>
      <c r="J1030" s="1046"/>
      <c r="K1030" s="1047"/>
      <c r="L1030" s="584" t="s">
        <v>1002</v>
      </c>
      <c r="M1030" s="378"/>
      <c r="N1030" s="243"/>
      <c r="O1030" s="254"/>
      <c r="P1030" s="255"/>
      <c r="Q1030" s="254"/>
      <c r="R1030" s="254"/>
      <c r="S1030" s="303"/>
      <c r="T1030" s="254"/>
      <c r="U1030" s="281"/>
      <c r="V1030" s="282"/>
      <c r="W1030" s="304"/>
      <c r="X1030" s="281"/>
      <c r="Y1030" s="255"/>
      <c r="Z1030" s="255"/>
    </row>
    <row r="1031" spans="3:26" ht="19" x14ac:dyDescent="0.2">
      <c r="C1031" s="241"/>
      <c r="D1031" s="592">
        <v>45617</v>
      </c>
      <c r="E1031" s="283" t="s">
        <v>1111</v>
      </c>
      <c r="F1031" s="283" t="s">
        <v>1112</v>
      </c>
      <c r="G1031" s="283" t="s">
        <v>987</v>
      </c>
      <c r="H1031" s="284">
        <v>0.5625</v>
      </c>
      <c r="I1031" s="1046"/>
      <c r="J1031" s="1046"/>
      <c r="K1031" s="1047"/>
      <c r="L1031" s="586">
        <v>0.35416666666666663</v>
      </c>
      <c r="M1031" s="528"/>
      <c r="N1031" s="243"/>
      <c r="O1031" s="254"/>
      <c r="P1031" s="255"/>
      <c r="Q1031" s="254"/>
      <c r="R1031" s="254"/>
      <c r="S1031" s="303"/>
      <c r="T1031" s="254"/>
      <c r="U1031" s="254"/>
      <c r="V1031" s="254"/>
      <c r="W1031" s="304"/>
      <c r="X1031" s="254"/>
      <c r="Y1031" s="255"/>
      <c r="Z1031" s="255"/>
    </row>
    <row r="1032" spans="3:26" ht="19" x14ac:dyDescent="0.2">
      <c r="C1032" s="241"/>
      <c r="D1032" s="592">
        <v>45610</v>
      </c>
      <c r="E1032" s="283" t="s">
        <v>1031</v>
      </c>
      <c r="F1032" s="283" t="s">
        <v>1032</v>
      </c>
      <c r="G1032" s="283" t="s">
        <v>972</v>
      </c>
      <c r="H1032" s="284">
        <v>0.5625</v>
      </c>
      <c r="I1032" s="1046"/>
      <c r="J1032" s="1046"/>
      <c r="K1032" s="1047"/>
      <c r="L1032" s="586">
        <v>0.35416666666666663</v>
      </c>
      <c r="M1032" s="529"/>
      <c r="N1032" s="243"/>
      <c r="O1032" s="246" t="s">
        <v>813</v>
      </c>
      <c r="P1032" s="305">
        <v>0.1</v>
      </c>
      <c r="Q1032" s="285">
        <v>6.5266666666666667E-2</v>
      </c>
      <c r="R1032" s="286">
        <v>1.7000000000000001E-2</v>
      </c>
      <c r="S1032" s="305">
        <v>1</v>
      </c>
      <c r="T1032" s="306">
        <v>0.1149</v>
      </c>
      <c r="U1032" s="287">
        <v>-26.891165562905247</v>
      </c>
      <c r="V1032" s="288">
        <v>60.5</v>
      </c>
      <c r="W1032" s="307">
        <v>3</v>
      </c>
      <c r="X1032" s="252">
        <v>80.673496688715744</v>
      </c>
      <c r="Y1032" s="289"/>
      <c r="Z1032" s="289"/>
    </row>
    <row r="1033" spans="3:26" ht="19" x14ac:dyDescent="0.2">
      <c r="C1033" s="241"/>
      <c r="D1033" s="592">
        <v>45603</v>
      </c>
      <c r="E1033" s="283" t="s">
        <v>972</v>
      </c>
      <c r="F1033" s="283" t="s">
        <v>973</v>
      </c>
      <c r="G1033" s="283" t="s">
        <v>974</v>
      </c>
      <c r="H1033" s="284">
        <v>0.5625</v>
      </c>
      <c r="I1033" s="1046"/>
      <c r="J1033" s="1046"/>
      <c r="K1033" s="1047"/>
      <c r="L1033" s="586">
        <v>0.35416666666666663</v>
      </c>
      <c r="M1033" s="373"/>
      <c r="N1033" s="243"/>
      <c r="O1033" s="246" t="s">
        <v>813</v>
      </c>
      <c r="P1033" s="305">
        <v>0.1</v>
      </c>
      <c r="Q1033" s="285">
        <v>6.5266666666666667E-2</v>
      </c>
      <c r="R1033" s="286">
        <v>1.7000000000000001E-2</v>
      </c>
      <c r="S1033" s="305">
        <v>1</v>
      </c>
      <c r="T1033" s="306">
        <v>0.1149</v>
      </c>
      <c r="U1033" s="287">
        <v>-26.891165562905247</v>
      </c>
      <c r="V1033" s="288">
        <v>60.5</v>
      </c>
      <c r="W1033" s="307">
        <v>3</v>
      </c>
      <c r="X1033" s="252">
        <v>80.673496688715744</v>
      </c>
      <c r="Y1033" s="289"/>
      <c r="Z1033" s="289"/>
    </row>
    <row r="1034" spans="3:26" ht="19" x14ac:dyDescent="0.2">
      <c r="C1034" s="241"/>
      <c r="D1034" s="592">
        <v>45596</v>
      </c>
      <c r="E1034" s="283" t="s">
        <v>975</v>
      </c>
      <c r="F1034" s="283" t="s">
        <v>976</v>
      </c>
      <c r="G1034" s="283" t="s">
        <v>977</v>
      </c>
      <c r="H1034" s="284">
        <v>0.52083333333333337</v>
      </c>
      <c r="I1034" s="1046"/>
      <c r="J1034" s="1046"/>
      <c r="K1034" s="1047"/>
      <c r="L1034" s="586">
        <v>0.3125</v>
      </c>
      <c r="M1034" s="373"/>
      <c r="N1034" s="243"/>
      <c r="O1034" s="246"/>
      <c r="P1034" s="290"/>
      <c r="Q1034" s="285"/>
      <c r="R1034" s="286"/>
      <c r="S1034" s="250"/>
      <c r="T1034" s="290"/>
      <c r="U1034" s="287"/>
      <c r="V1034" s="288"/>
      <c r="W1034" s="250"/>
      <c r="X1034" s="252"/>
      <c r="Y1034" s="289"/>
      <c r="Z1034" s="289"/>
    </row>
    <row r="1035" spans="3:26" ht="19" x14ac:dyDescent="0.2">
      <c r="C1035" s="241"/>
      <c r="D1035" s="592">
        <v>45589</v>
      </c>
      <c r="E1035" s="283" t="s">
        <v>978</v>
      </c>
      <c r="F1035" s="283" t="s">
        <v>979</v>
      </c>
      <c r="G1035" s="283" t="s">
        <v>980</v>
      </c>
      <c r="H1035" s="284">
        <v>0.52083333333333337</v>
      </c>
      <c r="I1035" s="1046"/>
      <c r="J1035" s="1046"/>
      <c r="K1035" s="1047"/>
      <c r="L1035" s="586">
        <v>0.3125</v>
      </c>
      <c r="M1035" s="373"/>
      <c r="N1035" s="243"/>
      <c r="O1035" s="291"/>
      <c r="P1035" s="291"/>
      <c r="Q1035" s="291"/>
      <c r="R1035" s="291"/>
      <c r="S1035" s="291"/>
      <c r="T1035" s="291"/>
      <c r="U1035" s="291"/>
      <c r="V1035" s="291"/>
      <c r="W1035" s="291"/>
      <c r="X1035" s="291"/>
      <c r="Y1035" s="291"/>
      <c r="Z1035" s="291"/>
    </row>
    <row r="1036" spans="3:26" ht="20" thickBot="1" x14ac:dyDescent="0.25">
      <c r="C1036" s="241"/>
      <c r="D1036" s="592">
        <v>45582</v>
      </c>
      <c r="E1036" s="283" t="s">
        <v>981</v>
      </c>
      <c r="F1036" s="283" t="s">
        <v>981</v>
      </c>
      <c r="G1036" s="283" t="s">
        <v>982</v>
      </c>
      <c r="H1036" s="284">
        <v>0.52083333333333337</v>
      </c>
      <c r="I1036" s="1048"/>
      <c r="J1036" s="1048"/>
      <c r="K1036" s="1049"/>
      <c r="L1036" s="586">
        <v>0.3125</v>
      </c>
      <c r="M1036" s="530"/>
      <c r="N1036" s="243"/>
      <c r="O1036" s="291"/>
      <c r="P1036" s="291"/>
      <c r="Q1036" s="291"/>
      <c r="R1036" s="291"/>
      <c r="S1036" s="291"/>
      <c r="T1036" s="291"/>
      <c r="U1036" s="291"/>
      <c r="V1036" s="291"/>
      <c r="W1036" s="291"/>
      <c r="X1036" s="291"/>
      <c r="Y1036" s="291"/>
      <c r="Z1036" s="291"/>
    </row>
    <row r="1037" spans="3:26" ht="20" thickBot="1" x14ac:dyDescent="0.25">
      <c r="C1037" s="241">
        <v>8</v>
      </c>
      <c r="D1037" s="576" t="s">
        <v>30</v>
      </c>
      <c r="E1037" s="874" t="s">
        <v>1073</v>
      </c>
      <c r="F1037" s="875"/>
      <c r="G1037" s="876"/>
      <c r="H1037" s="242" t="s">
        <v>790</v>
      </c>
      <c r="I1037" s="1042" t="s">
        <v>633</v>
      </c>
      <c r="J1037" s="1042"/>
      <c r="K1037" s="1043"/>
      <c r="L1037" s="577" t="s">
        <v>430</v>
      </c>
      <c r="M1037" s="371" t="s">
        <v>431</v>
      </c>
      <c r="N1037" s="243" t="s">
        <v>105</v>
      </c>
      <c r="O1037" s="244" t="s">
        <v>800</v>
      </c>
      <c r="P1037" s="244" t="s">
        <v>801</v>
      </c>
      <c r="Q1037" s="244" t="s">
        <v>802</v>
      </c>
      <c r="R1037" s="244" t="s">
        <v>803</v>
      </c>
      <c r="S1037" s="244" t="s">
        <v>804</v>
      </c>
      <c r="T1037" s="244" t="s">
        <v>805</v>
      </c>
      <c r="U1037" s="244" t="s">
        <v>806</v>
      </c>
      <c r="V1037" s="244" t="s">
        <v>807</v>
      </c>
      <c r="W1037" s="244" t="s">
        <v>808</v>
      </c>
      <c r="X1037" s="244" t="s">
        <v>809</v>
      </c>
      <c r="Y1037" s="244" t="s">
        <v>75</v>
      </c>
      <c r="Z1037" s="244" t="s">
        <v>75</v>
      </c>
    </row>
    <row r="1038" spans="3:26" ht="19" x14ac:dyDescent="0.2">
      <c r="C1038" s="243"/>
      <c r="D1038" s="588" t="s">
        <v>432</v>
      </c>
      <c r="E1038" s="853"/>
      <c r="F1038" s="854"/>
      <c r="G1038" s="855"/>
      <c r="H1038" s="245" t="s">
        <v>794</v>
      </c>
      <c r="I1038" s="1044" t="s">
        <v>1074</v>
      </c>
      <c r="J1038" s="1044"/>
      <c r="K1038" s="1045"/>
      <c r="L1038" s="579"/>
      <c r="M1038" s="373"/>
      <c r="N1038" s="243"/>
      <c r="O1038" s="246" t="s">
        <v>810</v>
      </c>
      <c r="P1038" s="247">
        <v>0.1</v>
      </c>
      <c r="Q1038" s="248">
        <v>3.9E-2</v>
      </c>
      <c r="R1038" s="249">
        <v>1.7000000000024329E-2</v>
      </c>
      <c r="S1038" s="250"/>
      <c r="T1038" s="246">
        <v>7.5500000000024325E-2</v>
      </c>
      <c r="U1038" s="248">
        <v>-17.670000000000002</v>
      </c>
      <c r="V1038" s="247">
        <v>60.23</v>
      </c>
      <c r="W1038" s="247"/>
      <c r="X1038" s="252"/>
      <c r="Y1038" s="250"/>
      <c r="Z1038" s="250"/>
    </row>
    <row r="1039" spans="3:26" ht="19" x14ac:dyDescent="0.2">
      <c r="C1039" s="243"/>
      <c r="D1039" s="589" t="s">
        <v>433</v>
      </c>
      <c r="E1039" s="883">
        <v>44.9</v>
      </c>
      <c r="F1039" s="884"/>
      <c r="G1039" s="885"/>
      <c r="H1039" s="298" t="s">
        <v>795</v>
      </c>
      <c r="I1039" s="1046"/>
      <c r="J1039" s="1046"/>
      <c r="K1039" s="1047"/>
      <c r="L1039" s="579"/>
      <c r="M1039" s="373"/>
      <c r="N1039" s="243"/>
      <c r="O1039" s="243"/>
      <c r="P1039" s="243"/>
      <c r="Q1039" s="243"/>
      <c r="R1039" s="253"/>
      <c r="S1039" s="254"/>
      <c r="T1039" s="243"/>
      <c r="U1039" s="243"/>
      <c r="V1039" s="243"/>
      <c r="W1039" s="243"/>
      <c r="X1039" s="254"/>
      <c r="Y1039" s="255"/>
      <c r="Z1039" s="255"/>
    </row>
    <row r="1040" spans="3:26" ht="19" x14ac:dyDescent="0.2">
      <c r="C1040" s="243"/>
      <c r="D1040" s="589" t="s">
        <v>434</v>
      </c>
      <c r="E1040" s="883">
        <v>41.6</v>
      </c>
      <c r="F1040" s="884"/>
      <c r="G1040" s="885"/>
      <c r="H1040" s="245"/>
      <c r="I1040" s="1046"/>
      <c r="J1040" s="1046"/>
      <c r="K1040" s="1047"/>
      <c r="L1040" s="579"/>
      <c r="M1040" s="373"/>
      <c r="N1040" s="243"/>
      <c r="O1040" s="256" t="s">
        <v>811</v>
      </c>
      <c r="P1040" s="257">
        <v>0.1</v>
      </c>
      <c r="Q1040" s="258">
        <v>3.9100000000000003E-2</v>
      </c>
      <c r="R1040" s="259">
        <v>1.4E-2</v>
      </c>
      <c r="S1040" s="299">
        <v>1</v>
      </c>
      <c r="T1040" s="256">
        <v>7.2650000000000006E-2</v>
      </c>
      <c r="U1040" s="261">
        <v>-17.002986754961412</v>
      </c>
      <c r="V1040" s="262">
        <v>60.5</v>
      </c>
      <c r="W1040" s="300">
        <v>4.29</v>
      </c>
      <c r="X1040" s="264">
        <v>72.942813178784462</v>
      </c>
      <c r="Y1040" s="265"/>
      <c r="Z1040" s="265"/>
    </row>
    <row r="1041" spans="3:26" ht="20" thickBot="1" x14ac:dyDescent="0.25">
      <c r="C1041" s="243"/>
      <c r="D1041" s="590" t="s">
        <v>435</v>
      </c>
      <c r="E1041" s="871">
        <v>0.61458333333333337</v>
      </c>
      <c r="F1041" s="872"/>
      <c r="G1041" s="873"/>
      <c r="H1041" s="266">
        <v>0.40625</v>
      </c>
      <c r="I1041" s="1046"/>
      <c r="J1041" s="1046"/>
      <c r="K1041" s="1047"/>
      <c r="L1041" s="582">
        <v>0.84375</v>
      </c>
      <c r="M1041" s="376">
        <v>0.69791666666666663</v>
      </c>
      <c r="N1041" s="243"/>
      <c r="O1041" s="267" t="s">
        <v>812</v>
      </c>
      <c r="P1041" s="268">
        <v>0.1</v>
      </c>
      <c r="Q1041" s="269">
        <v>4.9933333333333337E-2</v>
      </c>
      <c r="R1041" s="270">
        <v>1.4E-2</v>
      </c>
      <c r="S1041" s="301">
        <v>1</v>
      </c>
      <c r="T1041" s="272">
        <v>8.8900000000000007E-2</v>
      </c>
      <c r="U1041" s="273">
        <v>-20.806132450324426</v>
      </c>
      <c r="V1041" s="274">
        <v>60.5</v>
      </c>
      <c r="W1041" s="302">
        <v>4.9249999999999998</v>
      </c>
      <c r="X1041" s="276">
        <v>102.47020231784779</v>
      </c>
      <c r="Y1041" s="277"/>
      <c r="Z1041" s="277"/>
    </row>
    <row r="1042" spans="3:26" ht="20" thickBot="1" x14ac:dyDescent="0.25">
      <c r="C1042" s="243"/>
      <c r="D1042" s="591" t="s">
        <v>436</v>
      </c>
      <c r="E1042" s="293" t="s">
        <v>29</v>
      </c>
      <c r="F1042" s="293" t="s">
        <v>28</v>
      </c>
      <c r="G1042" s="294" t="s">
        <v>27</v>
      </c>
      <c r="H1042" s="280" t="s">
        <v>793</v>
      </c>
      <c r="I1042" s="1046"/>
      <c r="J1042" s="1046"/>
      <c r="K1042" s="1047"/>
      <c r="L1042" s="584" t="s">
        <v>1002</v>
      </c>
      <c r="M1042" s="378"/>
      <c r="N1042" s="243"/>
      <c r="O1042" s="254"/>
      <c r="P1042" s="255"/>
      <c r="Q1042" s="254"/>
      <c r="R1042" s="254"/>
      <c r="S1042" s="303"/>
      <c r="T1042" s="254"/>
      <c r="U1042" s="281"/>
      <c r="V1042" s="282"/>
      <c r="W1042" s="304"/>
      <c r="X1042" s="281"/>
      <c r="Y1042" s="255"/>
      <c r="Z1042" s="255"/>
    </row>
    <row r="1043" spans="3:26" ht="19" x14ac:dyDescent="0.2">
      <c r="C1043" s="243"/>
      <c r="D1043" s="592">
        <v>45596</v>
      </c>
      <c r="E1043" s="295" t="s">
        <v>1113</v>
      </c>
      <c r="F1043" s="295" t="s">
        <v>1114</v>
      </c>
      <c r="G1043" s="295" t="s">
        <v>1115</v>
      </c>
      <c r="H1043" s="284">
        <v>0.57291666666666674</v>
      </c>
      <c r="I1043" s="1046"/>
      <c r="J1043" s="1046"/>
      <c r="K1043" s="1047"/>
      <c r="L1043" s="586">
        <v>0.36458333333333331</v>
      </c>
      <c r="M1043" s="528"/>
      <c r="N1043" s="243"/>
      <c r="O1043" s="254"/>
      <c r="P1043" s="255"/>
      <c r="Q1043" s="254"/>
      <c r="R1043" s="254"/>
      <c r="S1043" s="303"/>
      <c r="T1043" s="254"/>
      <c r="U1043" s="254"/>
      <c r="V1043" s="254"/>
      <c r="W1043" s="304"/>
      <c r="X1043" s="254"/>
      <c r="Y1043" s="255"/>
      <c r="Z1043" s="255"/>
    </row>
    <row r="1044" spans="3:26" ht="19" x14ac:dyDescent="0.2">
      <c r="C1044" s="243"/>
      <c r="D1044" s="592">
        <v>45565</v>
      </c>
      <c r="E1044" s="295" t="s">
        <v>1115</v>
      </c>
      <c r="F1044" s="295" t="s">
        <v>1116</v>
      </c>
      <c r="G1044" s="295" t="s">
        <v>1116</v>
      </c>
      <c r="H1044" s="284">
        <v>0.57291666666666674</v>
      </c>
      <c r="I1044" s="1046"/>
      <c r="J1044" s="1046"/>
      <c r="K1044" s="1047"/>
      <c r="L1044" s="586">
        <v>0.36458333333333331</v>
      </c>
      <c r="M1044" s="529"/>
      <c r="N1044" s="243"/>
      <c r="O1044" s="246" t="s">
        <v>813</v>
      </c>
      <c r="P1044" s="305">
        <v>0.1</v>
      </c>
      <c r="Q1044" s="285">
        <v>4.9933333333333337E-2</v>
      </c>
      <c r="R1044" s="286">
        <v>1.4E-2</v>
      </c>
      <c r="S1044" s="305">
        <v>1</v>
      </c>
      <c r="T1044" s="306">
        <v>8.8900000000000007E-2</v>
      </c>
      <c r="U1044" s="287">
        <v>-20.806132450324426</v>
      </c>
      <c r="V1044" s="288">
        <v>60.5</v>
      </c>
      <c r="W1044" s="307">
        <v>2</v>
      </c>
      <c r="X1044" s="252">
        <v>41.612264900648853</v>
      </c>
      <c r="Y1044" s="289"/>
      <c r="Z1044" s="289"/>
    </row>
    <row r="1045" spans="3:26" ht="19" x14ac:dyDescent="0.2">
      <c r="C1045" s="243"/>
      <c r="D1045" s="592">
        <v>45534</v>
      </c>
      <c r="E1045" s="295" t="s">
        <v>1116</v>
      </c>
      <c r="F1045" s="295" t="s">
        <v>1117</v>
      </c>
      <c r="G1045" s="295" t="s">
        <v>1118</v>
      </c>
      <c r="H1045" s="284">
        <v>0.57291666666666674</v>
      </c>
      <c r="I1045" s="1046"/>
      <c r="J1045" s="1046"/>
      <c r="K1045" s="1047"/>
      <c r="L1045" s="586">
        <v>0.36458333333333331</v>
      </c>
      <c r="M1045" s="373"/>
      <c r="N1045" s="243"/>
      <c r="O1045" s="246" t="s">
        <v>813</v>
      </c>
      <c r="P1045" s="305">
        <v>0.1</v>
      </c>
      <c r="Q1045" s="285">
        <v>4.9933333333333337E-2</v>
      </c>
      <c r="R1045" s="286">
        <v>1.4E-2</v>
      </c>
      <c r="S1045" s="305">
        <v>1</v>
      </c>
      <c r="T1045" s="306">
        <v>8.8900000000000007E-2</v>
      </c>
      <c r="U1045" s="287">
        <v>-20.806132450324426</v>
      </c>
      <c r="V1045" s="288">
        <v>60.5</v>
      </c>
      <c r="W1045" s="307">
        <v>2</v>
      </c>
      <c r="X1045" s="252">
        <v>41.612264900648853</v>
      </c>
      <c r="Y1045" s="289"/>
      <c r="Z1045" s="289"/>
    </row>
    <row r="1046" spans="3:26" ht="19" x14ac:dyDescent="0.2">
      <c r="C1046" s="243"/>
      <c r="D1046" s="592">
        <v>45504</v>
      </c>
      <c r="E1046" s="295" t="s">
        <v>1118</v>
      </c>
      <c r="F1046" s="295" t="s">
        <v>1119</v>
      </c>
      <c r="G1046" s="295" t="s">
        <v>1120</v>
      </c>
      <c r="H1046" s="284">
        <v>0.57291666666666674</v>
      </c>
      <c r="I1046" s="1046"/>
      <c r="J1046" s="1046"/>
      <c r="K1046" s="1047"/>
      <c r="L1046" s="586">
        <v>0.36458333333333331</v>
      </c>
      <c r="M1046" s="373"/>
      <c r="N1046" s="243"/>
      <c r="O1046" s="246"/>
      <c r="P1046" s="290"/>
      <c r="Q1046" s="285"/>
      <c r="R1046" s="286"/>
      <c r="S1046" s="250"/>
      <c r="T1046" s="290"/>
      <c r="U1046" s="287"/>
      <c r="V1046" s="288"/>
      <c r="W1046" s="250"/>
      <c r="X1046" s="252"/>
      <c r="Y1046" s="289"/>
      <c r="Z1046" s="289"/>
    </row>
    <row r="1047" spans="3:26" ht="19" x14ac:dyDescent="0.2">
      <c r="C1047" s="243"/>
      <c r="D1047" s="592">
        <v>45471</v>
      </c>
      <c r="E1047" s="295" t="s">
        <v>1120</v>
      </c>
      <c r="F1047" s="295" t="s">
        <v>1121</v>
      </c>
      <c r="G1047" s="295" t="s">
        <v>1122</v>
      </c>
      <c r="H1047" s="284">
        <v>0.57291666666666674</v>
      </c>
      <c r="I1047" s="1046"/>
      <c r="J1047" s="1046"/>
      <c r="K1047" s="1047"/>
      <c r="L1047" s="586">
        <v>0.36458333333333331</v>
      </c>
      <c r="M1047" s="373"/>
      <c r="N1047" s="243"/>
      <c r="O1047" s="291"/>
      <c r="P1047" s="291"/>
      <c r="Q1047" s="291"/>
      <c r="R1047" s="291"/>
      <c r="S1047" s="291"/>
      <c r="T1047" s="291"/>
      <c r="U1047" s="291"/>
      <c r="V1047" s="291"/>
      <c r="W1047" s="291"/>
      <c r="X1047" s="291"/>
      <c r="Y1047" s="291"/>
      <c r="Z1047" s="291"/>
    </row>
    <row r="1048" spans="3:26" ht="20" thickBot="1" x14ac:dyDescent="0.25">
      <c r="C1048" s="243"/>
      <c r="D1048" s="592">
        <v>45443</v>
      </c>
      <c r="E1048" s="295" t="s">
        <v>1122</v>
      </c>
      <c r="F1048" s="295" t="s">
        <v>1123</v>
      </c>
      <c r="G1048" s="295" t="s">
        <v>1124</v>
      </c>
      <c r="H1048" s="284">
        <v>0.57291666666666674</v>
      </c>
      <c r="I1048" s="1048"/>
      <c r="J1048" s="1048"/>
      <c r="K1048" s="1049"/>
      <c r="L1048" s="586">
        <v>0.36458333333333331</v>
      </c>
      <c r="M1048" s="530"/>
      <c r="N1048" s="243"/>
      <c r="O1048" s="291"/>
      <c r="P1048" s="291"/>
      <c r="Q1048" s="291"/>
      <c r="R1048" s="291"/>
      <c r="S1048" s="291"/>
      <c r="T1048" s="291"/>
      <c r="U1048" s="291"/>
      <c r="V1048" s="291"/>
      <c r="W1048" s="291"/>
      <c r="X1048" s="291"/>
      <c r="Y1048" s="291"/>
      <c r="Z1048" s="291"/>
    </row>
    <row r="1049" spans="3:26" ht="20" thickBot="1" x14ac:dyDescent="0.25">
      <c r="C1049" s="241">
        <v>9</v>
      </c>
      <c r="D1049" s="576" t="s">
        <v>30</v>
      </c>
      <c r="E1049" s="874" t="s">
        <v>1075</v>
      </c>
      <c r="F1049" s="875"/>
      <c r="G1049" s="876"/>
      <c r="H1049" s="242" t="s">
        <v>790</v>
      </c>
      <c r="I1049" s="1042" t="s">
        <v>633</v>
      </c>
      <c r="J1049" s="1042"/>
      <c r="K1049" s="1043"/>
      <c r="L1049" s="577" t="s">
        <v>430</v>
      </c>
      <c r="M1049" s="371" t="s">
        <v>431</v>
      </c>
      <c r="N1049" s="243" t="s">
        <v>105</v>
      </c>
      <c r="O1049" s="244" t="s">
        <v>800</v>
      </c>
      <c r="P1049" s="244" t="s">
        <v>801</v>
      </c>
      <c r="Q1049" s="244" t="s">
        <v>802</v>
      </c>
      <c r="R1049" s="244" t="s">
        <v>803</v>
      </c>
      <c r="S1049" s="244" t="s">
        <v>804</v>
      </c>
      <c r="T1049" s="244" t="s">
        <v>805</v>
      </c>
      <c r="U1049" s="244" t="s">
        <v>806</v>
      </c>
      <c r="V1049" s="244" t="s">
        <v>807</v>
      </c>
      <c r="W1049" s="244" t="s">
        <v>808</v>
      </c>
      <c r="X1049" s="244" t="s">
        <v>809</v>
      </c>
      <c r="Y1049" s="244" t="s">
        <v>75</v>
      </c>
      <c r="Z1049" s="244" t="s">
        <v>75</v>
      </c>
    </row>
    <row r="1050" spans="3:26" ht="19" x14ac:dyDescent="0.2">
      <c r="C1050" s="243"/>
      <c r="D1050" s="588" t="s">
        <v>432</v>
      </c>
      <c r="E1050" s="853"/>
      <c r="F1050" s="854"/>
      <c r="G1050" s="855"/>
      <c r="H1050" s="245" t="s">
        <v>906</v>
      </c>
      <c r="I1050" s="1044" t="s">
        <v>1076</v>
      </c>
      <c r="J1050" s="1044"/>
      <c r="K1050" s="1045"/>
      <c r="L1050" s="579"/>
      <c r="M1050" s="527" t="s">
        <v>1075</v>
      </c>
      <c r="N1050" s="243"/>
      <c r="O1050" s="246" t="s">
        <v>810</v>
      </c>
      <c r="P1050" s="247">
        <v>0.1</v>
      </c>
      <c r="Q1050" s="248">
        <v>2.1999999999999999E-2</v>
      </c>
      <c r="R1050" s="249">
        <v>3.0000000000001137E-2</v>
      </c>
      <c r="S1050" s="250"/>
      <c r="T1050" s="246">
        <v>6.3000000000001138E-2</v>
      </c>
      <c r="U1050" s="248">
        <v>-15.02</v>
      </c>
      <c r="V1050" s="247">
        <v>99.37</v>
      </c>
      <c r="W1050" s="247"/>
      <c r="X1050" s="252"/>
      <c r="Y1050" s="250"/>
      <c r="Z1050" s="250"/>
    </row>
    <row r="1051" spans="3:26" ht="19" x14ac:dyDescent="0.2">
      <c r="C1051" s="243"/>
      <c r="D1051" s="589" t="s">
        <v>433</v>
      </c>
      <c r="E1051" s="868"/>
      <c r="F1051" s="869"/>
      <c r="G1051" s="870"/>
      <c r="H1051" s="298" t="s">
        <v>907</v>
      </c>
      <c r="I1051" s="1046"/>
      <c r="J1051" s="1046"/>
      <c r="K1051" s="1047"/>
      <c r="L1051" s="579"/>
      <c r="M1051" s="373"/>
      <c r="N1051" s="243"/>
      <c r="O1051" s="243"/>
      <c r="P1051" s="243"/>
      <c r="Q1051" s="243"/>
      <c r="R1051" s="253"/>
      <c r="S1051" s="254"/>
      <c r="T1051" s="243"/>
      <c r="U1051" s="243"/>
      <c r="V1051" s="243"/>
      <c r="W1051" s="243"/>
      <c r="X1051" s="254"/>
      <c r="Y1051" s="255"/>
      <c r="Z1051" s="255"/>
    </row>
    <row r="1052" spans="3:26" ht="19" x14ac:dyDescent="0.2">
      <c r="C1052" s="243"/>
      <c r="D1052" s="589" t="s">
        <v>434</v>
      </c>
      <c r="E1052" s="868">
        <v>2.7E-2</v>
      </c>
      <c r="F1052" s="869"/>
      <c r="G1052" s="870"/>
      <c r="H1052" s="245"/>
      <c r="I1052" s="1046"/>
      <c r="J1052" s="1046"/>
      <c r="K1052" s="1047"/>
      <c r="L1052" s="579"/>
      <c r="M1052" s="373"/>
      <c r="N1052" s="243"/>
      <c r="O1052" s="256" t="s">
        <v>811</v>
      </c>
      <c r="P1052" s="257">
        <v>0.1</v>
      </c>
      <c r="Q1052" s="258">
        <v>6.4100000000000004E-2</v>
      </c>
      <c r="R1052" s="259">
        <v>3.0000000000001137E-2</v>
      </c>
      <c r="S1052" s="299">
        <v>1</v>
      </c>
      <c r="T1052" s="256">
        <v>0.12615000000000115</v>
      </c>
      <c r="U1052" s="261">
        <v>-30.075761904761638</v>
      </c>
      <c r="V1052" s="262">
        <v>60.5</v>
      </c>
      <c r="W1052" s="300">
        <v>2.39</v>
      </c>
      <c r="X1052" s="264">
        <v>71.881070952380313</v>
      </c>
      <c r="Y1052" s="265"/>
      <c r="Z1052" s="265"/>
    </row>
    <row r="1053" spans="3:26" ht="20" thickBot="1" x14ac:dyDescent="0.25">
      <c r="C1053" s="243"/>
      <c r="D1053" s="590" t="s">
        <v>435</v>
      </c>
      <c r="E1053" s="871">
        <v>0.5625</v>
      </c>
      <c r="F1053" s="872"/>
      <c r="G1053" s="873"/>
      <c r="H1053" s="266">
        <v>0.35416666666666663</v>
      </c>
      <c r="I1053" s="1046"/>
      <c r="J1053" s="1046"/>
      <c r="K1053" s="1047"/>
      <c r="L1053" s="582">
        <v>0.79166666666666663</v>
      </c>
      <c r="M1053" s="376">
        <v>0.64583333333333326</v>
      </c>
      <c r="N1053" s="243"/>
      <c r="O1053" s="267" t="s">
        <v>812</v>
      </c>
      <c r="P1053" s="268">
        <v>0.1</v>
      </c>
      <c r="Q1053" s="269">
        <v>7.6066666666665908E-2</v>
      </c>
      <c r="R1053" s="270">
        <v>3.0000000000001137E-2</v>
      </c>
      <c r="S1053" s="301">
        <v>1</v>
      </c>
      <c r="T1053" s="272">
        <v>0.14410000000000001</v>
      </c>
      <c r="U1053" s="273">
        <v>-34.355269841269219</v>
      </c>
      <c r="V1053" s="274">
        <v>60.5</v>
      </c>
      <c r="W1053" s="302">
        <v>2.08</v>
      </c>
      <c r="X1053" s="276">
        <v>71.458961269839975</v>
      </c>
      <c r="Y1053" s="277"/>
      <c r="Z1053" s="277"/>
    </row>
    <row r="1054" spans="3:26" ht="20" thickBot="1" x14ac:dyDescent="0.25">
      <c r="C1054" s="243"/>
      <c r="D1054" s="591" t="s">
        <v>436</v>
      </c>
      <c r="E1054" s="293" t="s">
        <v>29</v>
      </c>
      <c r="F1054" s="293" t="s">
        <v>28</v>
      </c>
      <c r="G1054" s="294" t="s">
        <v>27</v>
      </c>
      <c r="H1054" s="280" t="s">
        <v>793</v>
      </c>
      <c r="I1054" s="1046"/>
      <c r="J1054" s="1046"/>
      <c r="K1054" s="1047"/>
      <c r="L1054" s="584" t="s">
        <v>1002</v>
      </c>
      <c r="M1054" s="378"/>
      <c r="N1054" s="243"/>
      <c r="O1054" s="254"/>
      <c r="P1054" s="255"/>
      <c r="Q1054" s="254"/>
      <c r="R1054" s="254"/>
      <c r="S1054" s="303"/>
      <c r="T1054" s="254"/>
      <c r="U1054" s="281"/>
      <c r="V1054" s="282"/>
      <c r="W1054" s="304"/>
      <c r="X1054" s="281"/>
      <c r="Y1054" s="255"/>
      <c r="Z1054" s="255"/>
    </row>
    <row r="1055" spans="3:26" ht="19" x14ac:dyDescent="0.2">
      <c r="C1055" s="243"/>
      <c r="D1055" s="592">
        <v>45596</v>
      </c>
      <c r="E1055" s="295">
        <v>2.7E-2</v>
      </c>
      <c r="F1055" s="295" t="s">
        <v>493</v>
      </c>
      <c r="G1055" s="295">
        <v>2.7E-2</v>
      </c>
      <c r="H1055" s="284">
        <v>0.52083333333333337</v>
      </c>
      <c r="I1055" s="1046"/>
      <c r="J1055" s="1046"/>
      <c r="K1055" s="1047"/>
      <c r="L1055" s="586">
        <v>0.3125</v>
      </c>
      <c r="M1055" s="532"/>
      <c r="N1055" s="243"/>
      <c r="O1055" s="254"/>
      <c r="P1055" s="255"/>
      <c r="Q1055" s="254"/>
      <c r="R1055" s="254"/>
      <c r="S1055" s="303"/>
      <c r="T1055" s="254"/>
      <c r="U1055" s="254"/>
      <c r="V1055" s="254"/>
      <c r="W1055" s="304"/>
      <c r="X1055" s="254"/>
      <c r="Y1055" s="255"/>
      <c r="Z1055" s="255"/>
    </row>
    <row r="1056" spans="3:26" ht="19" x14ac:dyDescent="0.2">
      <c r="C1056" s="243"/>
      <c r="D1056" s="592">
        <v>45562</v>
      </c>
      <c r="E1056" s="295">
        <v>2.7E-2</v>
      </c>
      <c r="F1056" s="295" t="s">
        <v>665</v>
      </c>
      <c r="G1056" s="295">
        <v>2.5999999999999999E-2</v>
      </c>
      <c r="H1056" s="284">
        <v>0.52083333333333337</v>
      </c>
      <c r="I1056" s="1046"/>
      <c r="J1056" s="1046"/>
      <c r="K1056" s="1047"/>
      <c r="L1056" s="586">
        <v>0.3125</v>
      </c>
      <c r="M1056" s="532"/>
      <c r="N1056" s="243"/>
      <c r="O1056" s="246" t="s">
        <v>813</v>
      </c>
      <c r="P1056" s="305">
        <v>0.1</v>
      </c>
      <c r="Q1056" s="285">
        <v>7.6066666666665908E-2</v>
      </c>
      <c r="R1056" s="286">
        <v>3.0000000000001137E-2</v>
      </c>
      <c r="S1056" s="305">
        <v>1</v>
      </c>
      <c r="T1056" s="306">
        <v>0.14410000000000001</v>
      </c>
      <c r="U1056" s="287">
        <v>-34.355269841269219</v>
      </c>
      <c r="V1056" s="288">
        <v>60.5</v>
      </c>
      <c r="W1056" s="307">
        <v>2.08</v>
      </c>
      <c r="X1056" s="252">
        <v>71.458961269839975</v>
      </c>
      <c r="Y1056" s="289"/>
      <c r="Z1056" s="289"/>
    </row>
    <row r="1057" spans="3:26" ht="19" x14ac:dyDescent="0.2">
      <c r="C1057" s="243"/>
      <c r="D1057" s="592">
        <v>45534</v>
      </c>
      <c r="E1057" s="295">
        <v>2.5999999999999999E-2</v>
      </c>
      <c r="F1057" s="295" t="s">
        <v>665</v>
      </c>
      <c r="G1057" s="295">
        <v>2.5999999999999999E-2</v>
      </c>
      <c r="H1057" s="284">
        <v>0.52083333333333337</v>
      </c>
      <c r="I1057" s="1046"/>
      <c r="J1057" s="1046"/>
      <c r="K1057" s="1047"/>
      <c r="L1057" s="586">
        <v>0.3125</v>
      </c>
      <c r="M1057" s="532"/>
      <c r="N1057" s="243"/>
      <c r="O1057" s="246"/>
      <c r="P1057" s="290"/>
      <c r="Q1057" s="285"/>
      <c r="R1057" s="286"/>
      <c r="S1057" s="250"/>
      <c r="T1057" s="290"/>
      <c r="U1057" s="287"/>
      <c r="V1057" s="288"/>
      <c r="W1057" s="250"/>
      <c r="X1057" s="252"/>
      <c r="Y1057" s="289"/>
      <c r="Z1057" s="289"/>
    </row>
    <row r="1058" spans="3:26" ht="19" x14ac:dyDescent="0.2">
      <c r="C1058" s="243"/>
      <c r="D1058" s="592">
        <v>45499</v>
      </c>
      <c r="E1058" s="295">
        <v>2.5999999999999999E-2</v>
      </c>
      <c r="F1058" s="295" t="s">
        <v>495</v>
      </c>
      <c r="G1058" s="295">
        <v>2.5999999999999999E-2</v>
      </c>
      <c r="H1058" s="284">
        <v>0.52083333333333337</v>
      </c>
      <c r="I1058" s="1046"/>
      <c r="J1058" s="1046"/>
      <c r="K1058" s="1047"/>
      <c r="L1058" s="586">
        <v>0.3125</v>
      </c>
      <c r="M1058" s="532"/>
      <c r="N1058" s="243"/>
      <c r="O1058" s="246"/>
      <c r="P1058" s="290"/>
      <c r="Q1058" s="285"/>
      <c r="R1058" s="286"/>
      <c r="S1058" s="250"/>
      <c r="T1058" s="290"/>
      <c r="U1058" s="287"/>
      <c r="V1058" s="288"/>
      <c r="W1058" s="250"/>
      <c r="X1058" s="252"/>
      <c r="Y1058" s="289"/>
      <c r="Z1058" s="289"/>
    </row>
    <row r="1059" spans="3:26" ht="19" x14ac:dyDescent="0.2">
      <c r="C1059" s="243"/>
      <c r="D1059" s="592">
        <v>45471</v>
      </c>
      <c r="E1059" s="295">
        <v>2.5999999999999999E-2</v>
      </c>
      <c r="F1059" s="295" t="s">
        <v>493</v>
      </c>
      <c r="G1059" s="295">
        <v>2.8000000000000001E-2</v>
      </c>
      <c r="H1059" s="284">
        <v>0.52083333333333337</v>
      </c>
      <c r="I1059" s="1046"/>
      <c r="J1059" s="1046"/>
      <c r="K1059" s="1047"/>
      <c r="L1059" s="586">
        <v>0.3125</v>
      </c>
      <c r="M1059" s="532"/>
      <c r="N1059" s="243"/>
      <c r="O1059" s="291"/>
      <c r="P1059" s="291"/>
      <c r="Q1059" s="291"/>
      <c r="R1059" s="291"/>
      <c r="S1059" s="291"/>
      <c r="T1059" s="291"/>
      <c r="U1059" s="291"/>
      <c r="V1059" s="291"/>
      <c r="W1059" s="291"/>
      <c r="X1059" s="291"/>
      <c r="Y1059" s="291"/>
      <c r="Z1059" s="291"/>
    </row>
    <row r="1060" spans="3:26" ht="20" thickBot="1" x14ac:dyDescent="0.25">
      <c r="C1060" s="243"/>
      <c r="D1060" s="592">
        <v>45443</v>
      </c>
      <c r="E1060" s="295">
        <v>2.8000000000000001E-2</v>
      </c>
      <c r="F1060" s="295" t="s">
        <v>666</v>
      </c>
      <c r="G1060" s="295">
        <v>2.8000000000000001E-2</v>
      </c>
      <c r="H1060" s="284">
        <v>0.52083333333333337</v>
      </c>
      <c r="I1060" s="1048"/>
      <c r="J1060" s="1048"/>
      <c r="K1060" s="1049"/>
      <c r="L1060" s="586">
        <v>0.3125</v>
      </c>
      <c r="M1060" s="532"/>
      <c r="N1060" s="243"/>
      <c r="O1060" s="291"/>
      <c r="P1060" s="291"/>
      <c r="Q1060" s="291"/>
      <c r="R1060" s="291"/>
      <c r="S1060" s="291"/>
      <c r="T1060" s="291"/>
      <c r="U1060" s="291"/>
      <c r="V1060" s="291"/>
      <c r="W1060" s="291"/>
      <c r="X1060" s="291"/>
      <c r="Y1060" s="291"/>
      <c r="Z1060" s="291"/>
    </row>
    <row r="1061" spans="3:26" ht="20" thickBot="1" x14ac:dyDescent="0.25">
      <c r="C1061" s="241">
        <v>10</v>
      </c>
      <c r="D1061" s="576" t="s">
        <v>30</v>
      </c>
      <c r="E1061" s="874" t="s">
        <v>1077</v>
      </c>
      <c r="F1061" s="875"/>
      <c r="G1061" s="876"/>
      <c r="H1061" s="242" t="s">
        <v>790</v>
      </c>
      <c r="I1061" s="1042" t="s">
        <v>633</v>
      </c>
      <c r="J1061" s="1042"/>
      <c r="K1061" s="1043"/>
      <c r="L1061" s="577" t="s">
        <v>430</v>
      </c>
      <c r="M1061" s="371" t="s">
        <v>431</v>
      </c>
      <c r="N1061" s="243" t="s">
        <v>105</v>
      </c>
      <c r="O1061" s="244" t="s">
        <v>800</v>
      </c>
      <c r="P1061" s="244" t="s">
        <v>801</v>
      </c>
      <c r="Q1061" s="244" t="s">
        <v>802</v>
      </c>
      <c r="R1061" s="244" t="s">
        <v>803</v>
      </c>
      <c r="S1061" s="244" t="s">
        <v>804</v>
      </c>
      <c r="T1061" s="244" t="s">
        <v>805</v>
      </c>
      <c r="U1061" s="244" t="s">
        <v>806</v>
      </c>
      <c r="V1061" s="244" t="s">
        <v>807</v>
      </c>
      <c r="W1061" s="244" t="s">
        <v>808</v>
      </c>
      <c r="X1061" s="244" t="s">
        <v>809</v>
      </c>
      <c r="Y1061" s="244" t="s">
        <v>75</v>
      </c>
      <c r="Z1061" s="244" t="s">
        <v>75</v>
      </c>
    </row>
    <row r="1062" spans="3:26" ht="19" x14ac:dyDescent="0.2">
      <c r="C1062" s="243"/>
      <c r="D1062" s="588" t="s">
        <v>432</v>
      </c>
      <c r="E1062" s="853"/>
      <c r="F1062" s="854"/>
      <c r="G1062" s="855"/>
      <c r="H1062" s="245" t="s">
        <v>906</v>
      </c>
      <c r="I1062" s="1044" t="s">
        <v>1076</v>
      </c>
      <c r="J1062" s="1044"/>
      <c r="K1062" s="1045"/>
      <c r="L1062" s="579"/>
      <c r="M1062" s="527" t="s">
        <v>1077</v>
      </c>
      <c r="N1062" s="243"/>
      <c r="O1062" s="246" t="s">
        <v>810</v>
      </c>
      <c r="P1062" s="247">
        <v>0.1</v>
      </c>
      <c r="Q1062" s="248">
        <v>2.7E-2</v>
      </c>
      <c r="R1062" s="249">
        <v>1.5999999999991132E-2</v>
      </c>
      <c r="S1062" s="250"/>
      <c r="T1062" s="246">
        <v>5.6499999999991134E-2</v>
      </c>
      <c r="U1062" s="248">
        <v>-13.31</v>
      </c>
      <c r="V1062" s="247">
        <v>91.8</v>
      </c>
      <c r="W1062" s="251">
        <v>2</v>
      </c>
      <c r="X1062" s="252">
        <v>26.62</v>
      </c>
      <c r="Y1062" s="250"/>
      <c r="Z1062" s="250"/>
    </row>
    <row r="1063" spans="3:26" ht="19" x14ac:dyDescent="0.2">
      <c r="C1063" s="243"/>
      <c r="D1063" s="589" t="s">
        <v>433</v>
      </c>
      <c r="E1063" s="868"/>
      <c r="F1063" s="869"/>
      <c r="G1063" s="870"/>
      <c r="H1063" s="298" t="s">
        <v>907</v>
      </c>
      <c r="I1063" s="1046"/>
      <c r="J1063" s="1046"/>
      <c r="K1063" s="1047"/>
      <c r="L1063" s="579"/>
      <c r="M1063" s="373"/>
      <c r="N1063" s="243"/>
      <c r="O1063" s="243"/>
      <c r="P1063" s="243"/>
      <c r="Q1063" s="243"/>
      <c r="R1063" s="253"/>
      <c r="S1063" s="254"/>
      <c r="T1063" s="243"/>
      <c r="U1063" s="243"/>
      <c r="V1063" s="243"/>
      <c r="W1063" s="254"/>
      <c r="X1063" s="254"/>
      <c r="Y1063" s="255"/>
      <c r="Z1063" s="255"/>
    </row>
    <row r="1064" spans="3:26" ht="19" x14ac:dyDescent="0.2">
      <c r="C1064" s="243"/>
      <c r="D1064" s="589" t="s">
        <v>434</v>
      </c>
      <c r="E1064" s="856">
        <v>3.0000000000000001E-3</v>
      </c>
      <c r="F1064" s="857"/>
      <c r="G1064" s="858"/>
      <c r="H1064" s="245"/>
      <c r="I1064" s="1046"/>
      <c r="J1064" s="1046"/>
      <c r="K1064" s="1047"/>
      <c r="L1064" s="579"/>
      <c r="M1064" s="373"/>
      <c r="N1064" s="243"/>
      <c r="O1064" s="256" t="s">
        <v>811</v>
      </c>
      <c r="P1064" s="257">
        <v>0.1</v>
      </c>
      <c r="Q1064" s="258">
        <v>4.0500000000000001E-2</v>
      </c>
      <c r="R1064" s="259">
        <v>1.7000000000000001E-2</v>
      </c>
      <c r="S1064" s="260">
        <v>1</v>
      </c>
      <c r="T1064" s="256">
        <v>7.775E-2</v>
      </c>
      <c r="U1064" s="261">
        <v>-18.315973451330308</v>
      </c>
      <c r="V1064" s="262">
        <v>60.5</v>
      </c>
      <c r="W1064" s="263">
        <v>3.27</v>
      </c>
      <c r="X1064" s="264">
        <v>59.893233185850107</v>
      </c>
      <c r="Y1064" s="265"/>
      <c r="Z1064" s="265">
        <v>4.4350000000000005</v>
      </c>
    </row>
    <row r="1065" spans="3:26" ht="20" thickBot="1" x14ac:dyDescent="0.25">
      <c r="C1065" s="243"/>
      <c r="D1065" s="590" t="s">
        <v>435</v>
      </c>
      <c r="E1065" s="871">
        <v>0.5625</v>
      </c>
      <c r="F1065" s="872"/>
      <c r="G1065" s="873"/>
      <c r="H1065" s="266">
        <v>0.35416666666666663</v>
      </c>
      <c r="I1065" s="1046"/>
      <c r="J1065" s="1046"/>
      <c r="K1065" s="1047"/>
      <c r="L1065" s="582">
        <v>0.79166666666666663</v>
      </c>
      <c r="M1065" s="376">
        <v>0.64583333333333326</v>
      </c>
      <c r="N1065" s="243"/>
      <c r="O1065" s="267" t="s">
        <v>812</v>
      </c>
      <c r="P1065" s="268">
        <v>0.1</v>
      </c>
      <c r="Q1065" s="269">
        <v>2.5266666666666663E-2</v>
      </c>
      <c r="R1065" s="270">
        <v>1.7000000000000001E-2</v>
      </c>
      <c r="S1065" s="271">
        <v>1</v>
      </c>
      <c r="T1065" s="272">
        <v>5.4899999999999997E-2</v>
      </c>
      <c r="U1065" s="273">
        <v>-12.933079646019728</v>
      </c>
      <c r="V1065" s="274">
        <v>60.5</v>
      </c>
      <c r="W1065" s="309">
        <v>2.2200000000000002</v>
      </c>
      <c r="X1065" s="276">
        <v>28.711436814163797</v>
      </c>
      <c r="Y1065" s="277"/>
      <c r="Z1065" s="277"/>
    </row>
    <row r="1066" spans="3:26" ht="20" thickBot="1" x14ac:dyDescent="0.25">
      <c r="C1066" s="243"/>
      <c r="D1066" s="591" t="s">
        <v>436</v>
      </c>
      <c r="E1066" s="293" t="s">
        <v>29</v>
      </c>
      <c r="F1066" s="293" t="s">
        <v>28</v>
      </c>
      <c r="G1066" s="294" t="s">
        <v>27</v>
      </c>
      <c r="H1066" s="280" t="s">
        <v>793</v>
      </c>
      <c r="I1066" s="1046"/>
      <c r="J1066" s="1046"/>
      <c r="K1066" s="1047"/>
      <c r="L1066" s="584" t="s">
        <v>1002</v>
      </c>
      <c r="M1066" s="378"/>
      <c r="N1066" s="243"/>
      <c r="O1066" s="254"/>
      <c r="P1066" s="255"/>
      <c r="Q1066" s="254"/>
      <c r="R1066" s="254"/>
      <c r="S1066" s="254"/>
      <c r="T1066" s="254"/>
      <c r="U1066" s="281"/>
      <c r="V1066" s="282"/>
      <c r="W1066" s="254"/>
      <c r="X1066" s="281"/>
      <c r="Y1066" s="255"/>
      <c r="Z1066" s="255"/>
    </row>
    <row r="1067" spans="3:26" ht="19" x14ac:dyDescent="0.2">
      <c r="C1067" s="243"/>
      <c r="D1067" s="592">
        <v>45596</v>
      </c>
      <c r="E1067" s="295">
        <v>3.0000000000000001E-3</v>
      </c>
      <c r="F1067" s="295" t="s">
        <v>467</v>
      </c>
      <c r="G1067" s="295">
        <v>2E-3</v>
      </c>
      <c r="H1067" s="284">
        <v>0.52083333333333337</v>
      </c>
      <c r="I1067" s="1046"/>
      <c r="J1067" s="1046"/>
      <c r="K1067" s="1047"/>
      <c r="L1067" s="586">
        <v>0.3125</v>
      </c>
      <c r="M1067" s="528"/>
      <c r="N1067" s="243"/>
      <c r="O1067" s="254"/>
      <c r="P1067" s="255"/>
      <c r="Q1067" s="254"/>
      <c r="R1067" s="254"/>
      <c r="S1067" s="254"/>
      <c r="T1067" s="254"/>
      <c r="U1067" s="254"/>
      <c r="V1067" s="254"/>
      <c r="W1067" s="254"/>
      <c r="X1067" s="254"/>
      <c r="Y1067" s="255"/>
      <c r="Z1067" s="255"/>
    </row>
    <row r="1068" spans="3:26" ht="19" x14ac:dyDescent="0.2">
      <c r="C1068" s="243"/>
      <c r="D1068" s="592">
        <v>45562</v>
      </c>
      <c r="E1068" s="295">
        <v>1E-3</v>
      </c>
      <c r="F1068" s="295" t="s">
        <v>460</v>
      </c>
      <c r="G1068" s="295">
        <v>2E-3</v>
      </c>
      <c r="H1068" s="284">
        <v>0.52083333333333337</v>
      </c>
      <c r="I1068" s="1046"/>
      <c r="J1068" s="1046"/>
      <c r="K1068" s="1047"/>
      <c r="L1068" s="586">
        <v>0.3125</v>
      </c>
      <c r="M1068" s="529"/>
      <c r="N1068" s="243"/>
      <c r="O1068" s="246" t="s">
        <v>813</v>
      </c>
      <c r="P1068" s="247">
        <v>0.1</v>
      </c>
      <c r="Q1068" s="285">
        <v>3.2883333333333334E-2</v>
      </c>
      <c r="R1068" s="286">
        <v>1.7000000000000001E-2</v>
      </c>
      <c r="S1068" s="250">
        <v>1</v>
      </c>
      <c r="T1068" s="256">
        <v>6.6324999999999995E-2</v>
      </c>
      <c r="U1068" s="287">
        <v>-15.624526548675018</v>
      </c>
      <c r="V1068" s="288">
        <v>60.5</v>
      </c>
      <c r="W1068" s="250">
        <v>2</v>
      </c>
      <c r="X1068" s="252">
        <v>31.249053097350036</v>
      </c>
      <c r="Y1068" s="289"/>
      <c r="Z1068" s="289"/>
    </row>
    <row r="1069" spans="3:26" ht="19" x14ac:dyDescent="0.2">
      <c r="C1069" s="243"/>
      <c r="D1069" s="592">
        <v>45534</v>
      </c>
      <c r="E1069" s="295">
        <v>2E-3</v>
      </c>
      <c r="F1069" s="295" t="s">
        <v>460</v>
      </c>
      <c r="G1069" s="295">
        <v>2E-3</v>
      </c>
      <c r="H1069" s="284">
        <v>0.52083333333333337</v>
      </c>
      <c r="I1069" s="1046"/>
      <c r="J1069" s="1046"/>
      <c r="K1069" s="1047"/>
      <c r="L1069" s="586">
        <v>0.3125</v>
      </c>
      <c r="M1069" s="373"/>
      <c r="N1069" s="243"/>
      <c r="O1069" s="246"/>
      <c r="P1069" s="247"/>
      <c r="Q1069" s="285"/>
      <c r="R1069" s="286"/>
      <c r="S1069" s="250"/>
      <c r="T1069" s="256"/>
      <c r="U1069" s="287"/>
      <c r="V1069" s="288"/>
      <c r="W1069" s="250"/>
      <c r="X1069" s="252"/>
      <c r="Y1069" s="289"/>
      <c r="Z1069" s="289"/>
    </row>
    <row r="1070" spans="3:26" ht="19" x14ac:dyDescent="0.2">
      <c r="C1070" s="243"/>
      <c r="D1070" s="592">
        <v>45499</v>
      </c>
      <c r="E1070" s="295">
        <v>2E-3</v>
      </c>
      <c r="F1070" s="295" t="s">
        <v>460</v>
      </c>
      <c r="G1070" s="295">
        <v>1E-3</v>
      </c>
      <c r="H1070" s="284">
        <v>0.52083333333333337</v>
      </c>
      <c r="I1070" s="1046"/>
      <c r="J1070" s="1046"/>
      <c r="K1070" s="1047"/>
      <c r="L1070" s="586">
        <v>0.3125</v>
      </c>
      <c r="M1070" s="373"/>
      <c r="N1070" s="243"/>
      <c r="O1070" s="246"/>
      <c r="P1070" s="290"/>
      <c r="Q1070" s="285"/>
      <c r="R1070" s="286"/>
      <c r="S1070" s="250"/>
      <c r="T1070" s="290"/>
      <c r="U1070" s="287"/>
      <c r="V1070" s="288"/>
      <c r="W1070" s="250"/>
      <c r="X1070" s="252"/>
      <c r="Y1070" s="289"/>
      <c r="Z1070" s="289"/>
    </row>
    <row r="1071" spans="3:26" ht="19" x14ac:dyDescent="0.2">
      <c r="C1071" s="243"/>
      <c r="D1071" s="592">
        <v>45471</v>
      </c>
      <c r="E1071" s="295">
        <v>1E-3</v>
      </c>
      <c r="F1071" s="295" t="s">
        <v>462</v>
      </c>
      <c r="G1071" s="295">
        <v>3.0000000000000001E-3</v>
      </c>
      <c r="H1071" s="284">
        <v>0.52083333333333337</v>
      </c>
      <c r="I1071" s="1046"/>
      <c r="J1071" s="1046"/>
      <c r="K1071" s="1047"/>
      <c r="L1071" s="586">
        <v>0.3125</v>
      </c>
      <c r="M1071" s="373"/>
      <c r="N1071" s="243"/>
      <c r="O1071" s="291"/>
      <c r="P1071" s="291"/>
      <c r="Q1071" s="291"/>
      <c r="R1071" s="291"/>
      <c r="S1071" s="291"/>
      <c r="T1071" s="291"/>
      <c r="U1071" s="291"/>
      <c r="V1071" s="291"/>
      <c r="W1071" s="291"/>
      <c r="X1071" s="291"/>
      <c r="Y1071" s="291"/>
      <c r="Z1071" s="291"/>
    </row>
    <row r="1072" spans="3:26" ht="20" thickBot="1" x14ac:dyDescent="0.25">
      <c r="C1072" s="243"/>
      <c r="D1072" s="592">
        <v>45443</v>
      </c>
      <c r="E1072" s="295">
        <v>2E-3</v>
      </c>
      <c r="F1072" s="295" t="s">
        <v>467</v>
      </c>
      <c r="G1072" s="295">
        <v>3.0000000000000001E-3</v>
      </c>
      <c r="H1072" s="284">
        <v>0.52083333333333337</v>
      </c>
      <c r="I1072" s="1048"/>
      <c r="J1072" s="1048"/>
      <c r="K1072" s="1049"/>
      <c r="L1072" s="586">
        <v>0.3125</v>
      </c>
      <c r="M1072" s="530"/>
      <c r="N1072" s="243"/>
      <c r="O1072" s="291"/>
      <c r="P1072" s="291"/>
      <c r="Q1072" s="291"/>
      <c r="R1072" s="291"/>
      <c r="S1072" s="291"/>
      <c r="T1072" s="291"/>
      <c r="U1072" s="291"/>
      <c r="V1072" s="291"/>
      <c r="W1072" s="291"/>
      <c r="X1072" s="291"/>
      <c r="Y1072" s="291"/>
      <c r="Z1072" s="291"/>
    </row>
    <row r="1073" spans="3:26" ht="20" thickBot="1" x14ac:dyDescent="0.25">
      <c r="C1073" s="310">
        <v>11</v>
      </c>
      <c r="D1073" s="596" t="s">
        <v>30</v>
      </c>
      <c r="E1073" s="1120" t="s">
        <v>9</v>
      </c>
      <c r="F1073" s="1121"/>
      <c r="G1073" s="1122"/>
      <c r="H1073" s="311" t="s">
        <v>790</v>
      </c>
      <c r="I1073" s="1123" t="s">
        <v>633</v>
      </c>
      <c r="J1073" s="1123"/>
      <c r="K1073" s="1124"/>
      <c r="L1073" s="597" t="s">
        <v>430</v>
      </c>
      <c r="M1073" s="533" t="s">
        <v>431</v>
      </c>
      <c r="N1073" s="312" t="s">
        <v>105</v>
      </c>
      <c r="O1073" s="313" t="s">
        <v>800</v>
      </c>
      <c r="P1073" s="313" t="s">
        <v>801</v>
      </c>
      <c r="Q1073" s="313" t="s">
        <v>802</v>
      </c>
      <c r="R1073" s="313" t="s">
        <v>803</v>
      </c>
      <c r="S1073" s="313" t="s">
        <v>804</v>
      </c>
      <c r="T1073" s="313" t="s">
        <v>805</v>
      </c>
      <c r="U1073" s="313" t="s">
        <v>806</v>
      </c>
      <c r="V1073" s="313" t="s">
        <v>807</v>
      </c>
      <c r="W1073" s="313" t="s">
        <v>808</v>
      </c>
      <c r="X1073" s="313" t="s">
        <v>809</v>
      </c>
      <c r="Y1073" s="313" t="s">
        <v>75</v>
      </c>
      <c r="Z1073" s="313" t="s">
        <v>75</v>
      </c>
    </row>
    <row r="1074" spans="3:26" ht="19" x14ac:dyDescent="0.2">
      <c r="C1074" s="312"/>
      <c r="D1074" s="598" t="s">
        <v>432</v>
      </c>
      <c r="E1074" s="1125"/>
      <c r="F1074" s="1126"/>
      <c r="G1074" s="1127"/>
      <c r="H1074" s="314" t="s">
        <v>796</v>
      </c>
      <c r="I1074" s="1128" t="s">
        <v>1079</v>
      </c>
      <c r="J1074" s="1128"/>
      <c r="K1074" s="1129"/>
      <c r="L1074" s="599"/>
      <c r="M1074" s="527" t="s">
        <v>9</v>
      </c>
      <c r="N1074" s="312"/>
      <c r="O1074" s="290" t="s">
        <v>810</v>
      </c>
      <c r="P1074" s="290">
        <v>0.1</v>
      </c>
      <c r="Q1074" s="315">
        <v>3.3E-4</v>
      </c>
      <c r="R1074" s="316">
        <v>1.500000000000945E-4</v>
      </c>
      <c r="S1074" s="289">
        <v>1</v>
      </c>
      <c r="T1074" s="290">
        <v>4.55000000000029E-4</v>
      </c>
      <c r="U1074" s="315">
        <v>-22.85</v>
      </c>
      <c r="V1074" s="290">
        <v>60.5</v>
      </c>
      <c r="W1074" s="289">
        <v>2</v>
      </c>
      <c r="X1074" s="317"/>
      <c r="Y1074" s="289"/>
      <c r="Z1074" s="289"/>
    </row>
    <row r="1075" spans="3:26" ht="19" x14ac:dyDescent="0.2">
      <c r="C1075" s="312"/>
      <c r="D1075" s="600" t="s">
        <v>433</v>
      </c>
      <c r="E1075" s="1134"/>
      <c r="F1075" s="1135"/>
      <c r="G1075" s="1136"/>
      <c r="H1075" s="314" t="s">
        <v>796</v>
      </c>
      <c r="I1075" s="1130"/>
      <c r="J1075" s="1130"/>
      <c r="K1075" s="1131"/>
      <c r="L1075" s="599"/>
      <c r="M1075" s="534"/>
      <c r="N1075" s="312"/>
      <c r="O1075" s="312"/>
      <c r="P1075" s="312"/>
      <c r="Q1075" s="312"/>
      <c r="R1075" s="318"/>
      <c r="S1075" s="255"/>
      <c r="T1075" s="312"/>
      <c r="U1075" s="312"/>
      <c r="V1075" s="312"/>
      <c r="W1075" s="312"/>
      <c r="X1075" s="255"/>
      <c r="Y1075" s="255"/>
      <c r="Z1075" s="255"/>
    </row>
    <row r="1076" spans="3:26" ht="19" x14ac:dyDescent="0.2">
      <c r="C1076" s="312"/>
      <c r="D1076" s="600" t="s">
        <v>434</v>
      </c>
      <c r="E1076" s="1137" t="s">
        <v>1078</v>
      </c>
      <c r="F1076" s="1138"/>
      <c r="G1076" s="1139"/>
      <c r="H1076" s="314"/>
      <c r="I1076" s="1130"/>
      <c r="J1076" s="1130"/>
      <c r="K1076" s="1131"/>
      <c r="L1076" s="599"/>
      <c r="M1076" s="534"/>
      <c r="N1076" s="312"/>
      <c r="O1076" s="319" t="s">
        <v>811</v>
      </c>
      <c r="P1076" s="319">
        <v>0.1</v>
      </c>
      <c r="Q1076" s="320">
        <v>2.9999999999999997E-4</v>
      </c>
      <c r="R1076" s="321">
        <v>2.0000000000000001E-4</v>
      </c>
      <c r="S1076" s="322">
        <v>1</v>
      </c>
      <c r="T1076" s="319">
        <v>6.4999999999999997E-4</v>
      </c>
      <c r="U1076" s="323">
        <v>-32.642857142855057</v>
      </c>
      <c r="V1076" s="324">
        <v>60.5</v>
      </c>
      <c r="W1076" s="325">
        <v>2.81</v>
      </c>
      <c r="X1076" s="326">
        <v>91.726428571422716</v>
      </c>
      <c r="Y1076" s="265"/>
      <c r="Z1076" s="265"/>
    </row>
    <row r="1077" spans="3:26" ht="20" thickBot="1" x14ac:dyDescent="0.25">
      <c r="C1077" s="312"/>
      <c r="D1077" s="601" t="s">
        <v>435</v>
      </c>
      <c r="E1077" s="1140">
        <v>0.64583333333333337</v>
      </c>
      <c r="F1077" s="1141"/>
      <c r="G1077" s="1142"/>
      <c r="H1077" s="327">
        <v>0.4375</v>
      </c>
      <c r="I1077" s="1130"/>
      <c r="J1077" s="1130"/>
      <c r="K1077" s="1131"/>
      <c r="L1077" s="602">
        <v>0.875</v>
      </c>
      <c r="M1077" s="535">
        <v>0.72916666666666663</v>
      </c>
      <c r="N1077" s="312"/>
      <c r="O1077" s="328" t="s">
        <v>812</v>
      </c>
      <c r="P1077" s="328">
        <v>0.1</v>
      </c>
      <c r="Q1077" s="329">
        <v>4.0000000000000002E-4</v>
      </c>
      <c r="R1077" s="330">
        <v>2.0000000000000001E-4</v>
      </c>
      <c r="S1077" s="331">
        <v>1</v>
      </c>
      <c r="T1077" s="332">
        <v>8.0000000000000004E-4</v>
      </c>
      <c r="U1077" s="333">
        <v>-40.175824175821617</v>
      </c>
      <c r="V1077" s="334">
        <v>60.5</v>
      </c>
      <c r="W1077" s="335">
        <v>2.48</v>
      </c>
      <c r="X1077" s="336">
        <v>99.636043956037611</v>
      </c>
      <c r="Y1077" s="277"/>
      <c r="Z1077" s="277"/>
    </row>
    <row r="1078" spans="3:26" ht="20" thickBot="1" x14ac:dyDescent="0.25">
      <c r="C1078" s="312"/>
      <c r="D1078" s="603" t="s">
        <v>436</v>
      </c>
      <c r="E1078" s="337" t="s">
        <v>29</v>
      </c>
      <c r="F1078" s="337" t="s">
        <v>28</v>
      </c>
      <c r="G1078" s="338" t="s">
        <v>27</v>
      </c>
      <c r="H1078" s="339" t="s">
        <v>793</v>
      </c>
      <c r="I1078" s="1130"/>
      <c r="J1078" s="1130"/>
      <c r="K1078" s="1131"/>
      <c r="L1078" s="604" t="s">
        <v>1002</v>
      </c>
      <c r="M1078" s="536"/>
      <c r="N1078" s="312"/>
      <c r="O1078" s="255"/>
      <c r="P1078" s="255"/>
      <c r="Q1078" s="255"/>
      <c r="R1078" s="255"/>
      <c r="S1078" s="303"/>
      <c r="T1078" s="255"/>
      <c r="U1078" s="340"/>
      <c r="V1078" s="341"/>
      <c r="W1078" s="342"/>
      <c r="X1078" s="340"/>
      <c r="Y1078" s="255"/>
      <c r="Z1078" s="255"/>
    </row>
    <row r="1079" spans="3:26" ht="19" x14ac:dyDescent="0.2">
      <c r="C1079" s="312"/>
      <c r="D1079" s="595">
        <v>45616</v>
      </c>
      <c r="E1079" s="343" t="s">
        <v>1125</v>
      </c>
      <c r="F1079" s="343" t="s">
        <v>1030</v>
      </c>
      <c r="G1079" s="343" t="s">
        <v>1029</v>
      </c>
      <c r="H1079" s="284">
        <v>0.64583333333333337</v>
      </c>
      <c r="I1079" s="1130"/>
      <c r="J1079" s="1130"/>
      <c r="K1079" s="1131"/>
      <c r="L1079" s="605">
        <v>0.4375</v>
      </c>
      <c r="M1079" s="537"/>
      <c r="N1079" s="312"/>
      <c r="O1079" s="255"/>
      <c r="P1079" s="255"/>
      <c r="Q1079" s="255"/>
      <c r="R1079" s="255"/>
      <c r="S1079" s="303"/>
      <c r="T1079" s="255"/>
      <c r="U1079" s="255"/>
      <c r="V1079" s="255"/>
      <c r="W1079" s="342"/>
      <c r="X1079" s="255"/>
      <c r="Y1079" s="255"/>
      <c r="Z1079" s="255"/>
    </row>
    <row r="1080" spans="3:26" ht="19" x14ac:dyDescent="0.2">
      <c r="C1080" s="312"/>
      <c r="D1080" s="595">
        <v>45610</v>
      </c>
      <c r="E1080" s="343" t="s">
        <v>1029</v>
      </c>
      <c r="F1080" s="343" t="s">
        <v>1030</v>
      </c>
      <c r="G1080" s="343" t="s">
        <v>988</v>
      </c>
      <c r="H1080" s="284">
        <v>0.66666666666666663</v>
      </c>
      <c r="I1080" s="1130"/>
      <c r="J1080" s="1130"/>
      <c r="K1080" s="1131"/>
      <c r="L1080" s="605">
        <v>0.45833333333333331</v>
      </c>
      <c r="M1080" s="538"/>
      <c r="N1080" s="312"/>
      <c r="O1080" s="290" t="s">
        <v>813</v>
      </c>
      <c r="P1080" s="345">
        <v>-0.1</v>
      </c>
      <c r="Q1080" s="346">
        <v>3.4333333333333329E-4</v>
      </c>
      <c r="R1080" s="316">
        <v>2.0000000000000001E-4</v>
      </c>
      <c r="S1080" s="347">
        <v>-1</v>
      </c>
      <c r="T1080" s="319">
        <v>7.1499999999999992E-4</v>
      </c>
      <c r="U1080" s="348">
        <v>-35.907142857140563</v>
      </c>
      <c r="V1080" s="349">
        <v>60.5</v>
      </c>
      <c r="W1080" s="350">
        <v>2</v>
      </c>
      <c r="X1080" s="317">
        <v>71.814285714281127</v>
      </c>
      <c r="Y1080" s="289" t="s">
        <v>814</v>
      </c>
      <c r="Z1080" s="289"/>
    </row>
    <row r="1081" spans="3:26" ht="19" x14ac:dyDescent="0.2">
      <c r="C1081" s="312"/>
      <c r="D1081" s="595">
        <v>45602</v>
      </c>
      <c r="E1081" s="343" t="s">
        <v>988</v>
      </c>
      <c r="F1081" s="343" t="s">
        <v>989</v>
      </c>
      <c r="G1081" s="343" t="s">
        <v>990</v>
      </c>
      <c r="H1081" s="284">
        <v>0.64583333333333337</v>
      </c>
      <c r="I1081" s="1130"/>
      <c r="J1081" s="1130"/>
      <c r="K1081" s="1131"/>
      <c r="L1081" s="605">
        <v>0.4375</v>
      </c>
      <c r="M1081" s="534"/>
      <c r="N1081" s="312"/>
      <c r="O1081" s="290" t="s">
        <v>813</v>
      </c>
      <c r="P1081" s="345">
        <v>0.1</v>
      </c>
      <c r="Q1081" s="346">
        <v>3.4333333333333329E-4</v>
      </c>
      <c r="R1081" s="316">
        <v>0</v>
      </c>
      <c r="S1081" s="347">
        <v>1</v>
      </c>
      <c r="T1081" s="319">
        <v>7.1499999999999992E-4</v>
      </c>
      <c r="U1081" s="348">
        <v>-35.907142857140563</v>
      </c>
      <c r="V1081" s="349">
        <v>60.5</v>
      </c>
      <c r="W1081" s="350">
        <v>2</v>
      </c>
      <c r="X1081" s="317">
        <v>71.814285714281127</v>
      </c>
      <c r="Y1081" s="289" t="s">
        <v>814</v>
      </c>
      <c r="Z1081" s="289"/>
    </row>
    <row r="1082" spans="3:26" ht="19" x14ac:dyDescent="0.2">
      <c r="C1082" s="312"/>
      <c r="D1082" s="595">
        <v>45595</v>
      </c>
      <c r="E1082" s="343" t="s">
        <v>990</v>
      </c>
      <c r="F1082" s="343" t="s">
        <v>991</v>
      </c>
      <c r="G1082" s="343" t="s">
        <v>992</v>
      </c>
      <c r="H1082" s="284">
        <v>0.60416666666666663</v>
      </c>
      <c r="I1082" s="1130"/>
      <c r="J1082" s="1130"/>
      <c r="K1082" s="1131"/>
      <c r="L1082" s="605">
        <v>0.39583333333333331</v>
      </c>
      <c r="M1082" s="534"/>
      <c r="N1082" s="312"/>
      <c r="O1082" s="290"/>
      <c r="P1082" s="290"/>
      <c r="Q1082" s="346"/>
      <c r="R1082" s="316"/>
      <c r="S1082" s="289"/>
      <c r="T1082" s="290"/>
      <c r="U1082" s="348"/>
      <c r="V1082" s="349"/>
      <c r="W1082" s="289"/>
      <c r="X1082" s="317"/>
      <c r="Y1082" s="289"/>
      <c r="Z1082" s="289"/>
    </row>
    <row r="1083" spans="3:26" ht="19" x14ac:dyDescent="0.2">
      <c r="C1083" s="312"/>
      <c r="D1083" s="595">
        <v>45588</v>
      </c>
      <c r="E1083" s="343" t="s">
        <v>992</v>
      </c>
      <c r="F1083" s="343" t="s">
        <v>993</v>
      </c>
      <c r="G1083" s="343" t="s">
        <v>994</v>
      </c>
      <c r="H1083" s="284">
        <v>0.60416666666666663</v>
      </c>
      <c r="I1083" s="1130"/>
      <c r="J1083" s="1130"/>
      <c r="K1083" s="1131"/>
      <c r="L1083" s="605">
        <v>0.39583333333333331</v>
      </c>
      <c r="M1083" s="534"/>
      <c r="N1083" s="312"/>
      <c r="O1083" s="351"/>
      <c r="P1083" s="351"/>
      <c r="Q1083" s="351"/>
      <c r="R1083" s="351"/>
      <c r="S1083" s="351"/>
      <c r="T1083" s="351"/>
      <c r="U1083" s="351"/>
      <c r="V1083" s="351"/>
      <c r="W1083" s="351"/>
      <c r="X1083" s="351"/>
      <c r="Y1083" s="351"/>
      <c r="Z1083" s="351"/>
    </row>
    <row r="1084" spans="3:26" ht="20" thickBot="1" x14ac:dyDescent="0.25">
      <c r="C1084" s="312"/>
      <c r="D1084" s="606">
        <v>45582</v>
      </c>
      <c r="E1084" s="352" t="s">
        <v>994</v>
      </c>
      <c r="F1084" s="352" t="s">
        <v>995</v>
      </c>
      <c r="G1084" s="352" t="s">
        <v>996</v>
      </c>
      <c r="H1084" s="284">
        <v>0.625</v>
      </c>
      <c r="I1084" s="1132"/>
      <c r="J1084" s="1132"/>
      <c r="K1084" s="1133"/>
      <c r="L1084" s="607">
        <v>0.41666666666666669</v>
      </c>
      <c r="M1084" s="539"/>
      <c r="N1084" s="312"/>
      <c r="O1084" s="351"/>
      <c r="P1084" s="351"/>
      <c r="Q1084" s="351"/>
      <c r="R1084" s="351"/>
      <c r="S1084" s="351"/>
      <c r="T1084" s="351"/>
      <c r="U1084" s="351"/>
      <c r="V1084" s="351"/>
      <c r="W1084" s="351"/>
      <c r="X1084" s="351"/>
      <c r="Y1084" s="351"/>
      <c r="Z1084" s="351"/>
    </row>
    <row r="1085" spans="3:26" ht="20" thickBot="1" x14ac:dyDescent="0.25">
      <c r="C1085" s="241">
        <v>12</v>
      </c>
      <c r="D1085" s="576" t="s">
        <v>30</v>
      </c>
      <c r="E1085" s="874" t="s">
        <v>7</v>
      </c>
      <c r="F1085" s="875"/>
      <c r="G1085" s="876"/>
      <c r="H1085" s="242" t="s">
        <v>790</v>
      </c>
      <c r="I1085" s="1042" t="s">
        <v>633</v>
      </c>
      <c r="J1085" s="1042"/>
      <c r="K1085" s="1043"/>
      <c r="L1085" s="577" t="s">
        <v>430</v>
      </c>
      <c r="M1085" s="371" t="s">
        <v>431</v>
      </c>
      <c r="N1085" s="243" t="s">
        <v>105</v>
      </c>
      <c r="O1085" s="244" t="s">
        <v>800</v>
      </c>
      <c r="P1085" s="244" t="s">
        <v>801</v>
      </c>
      <c r="Q1085" s="244" t="s">
        <v>802</v>
      </c>
      <c r="R1085" s="244" t="s">
        <v>803</v>
      </c>
      <c r="S1085" s="244" t="s">
        <v>804</v>
      </c>
      <c r="T1085" s="244" t="s">
        <v>805</v>
      </c>
      <c r="U1085" s="244" t="s">
        <v>806</v>
      </c>
      <c r="V1085" s="244" t="s">
        <v>807</v>
      </c>
      <c r="W1085" s="244" t="s">
        <v>808</v>
      </c>
      <c r="X1085" s="244" t="s">
        <v>809</v>
      </c>
      <c r="Y1085" s="244" t="s">
        <v>75</v>
      </c>
      <c r="Z1085" s="244" t="s">
        <v>75</v>
      </c>
    </row>
    <row r="1086" spans="3:26" ht="19" x14ac:dyDescent="0.2">
      <c r="C1086" s="243"/>
      <c r="D1086" s="588" t="s">
        <v>432</v>
      </c>
      <c r="E1086" s="853"/>
      <c r="F1086" s="854"/>
      <c r="G1086" s="855"/>
      <c r="H1086" s="245" t="s">
        <v>1129</v>
      </c>
      <c r="I1086" s="1044" t="s">
        <v>1065</v>
      </c>
      <c r="J1086" s="1044"/>
      <c r="K1086" s="1045"/>
      <c r="L1086" s="579"/>
      <c r="M1086" s="527" t="s">
        <v>7</v>
      </c>
      <c r="N1086" s="243"/>
      <c r="O1086" s="246" t="s">
        <v>810</v>
      </c>
      <c r="P1086" s="247">
        <v>0.1</v>
      </c>
      <c r="Q1086" s="248">
        <v>2.7E-2</v>
      </c>
      <c r="R1086" s="249">
        <v>1.5999999999991132E-2</v>
      </c>
      <c r="S1086" s="250"/>
      <c r="T1086" s="246">
        <v>5.6499999999991134E-2</v>
      </c>
      <c r="U1086" s="248">
        <v>-13.31</v>
      </c>
      <c r="V1086" s="247">
        <v>91.8</v>
      </c>
      <c r="W1086" s="251">
        <v>2</v>
      </c>
      <c r="X1086" s="252">
        <v>26.62</v>
      </c>
      <c r="Y1086" s="250"/>
      <c r="Z1086" s="250"/>
    </row>
    <row r="1087" spans="3:26" ht="19" x14ac:dyDescent="0.2">
      <c r="C1087" s="243"/>
      <c r="D1087" s="589" t="s">
        <v>433</v>
      </c>
      <c r="E1087" s="868"/>
      <c r="F1087" s="869"/>
      <c r="G1087" s="870"/>
      <c r="H1087" s="245" t="s">
        <v>1129</v>
      </c>
      <c r="I1087" s="1046"/>
      <c r="J1087" s="1046"/>
      <c r="K1087" s="1047"/>
      <c r="L1087" s="579"/>
      <c r="M1087" s="373"/>
      <c r="N1087" s="243"/>
      <c r="O1087" s="243"/>
      <c r="P1087" s="243"/>
      <c r="Q1087" s="243"/>
      <c r="R1087" s="253"/>
      <c r="S1087" s="254"/>
      <c r="T1087" s="243"/>
      <c r="U1087" s="243"/>
      <c r="V1087" s="243"/>
      <c r="W1087" s="254"/>
      <c r="X1087" s="254"/>
      <c r="Y1087" s="255"/>
      <c r="Z1087" s="255"/>
    </row>
    <row r="1088" spans="3:26" ht="19" x14ac:dyDescent="0.2">
      <c r="C1088" s="243"/>
      <c r="D1088" s="589" t="s">
        <v>434</v>
      </c>
      <c r="E1088" s="856"/>
      <c r="F1088" s="857"/>
      <c r="G1088" s="858"/>
      <c r="H1088" s="245"/>
      <c r="I1088" s="1046"/>
      <c r="J1088" s="1046"/>
      <c r="K1088" s="1047"/>
      <c r="L1088" s="579"/>
      <c r="M1088" s="373"/>
      <c r="N1088" s="243"/>
      <c r="O1088" s="256" t="s">
        <v>811</v>
      </c>
      <c r="P1088" s="257">
        <v>0.1</v>
      </c>
      <c r="Q1088" s="258">
        <v>4.0500000000000001E-2</v>
      </c>
      <c r="R1088" s="259">
        <v>1.7000000000000001E-2</v>
      </c>
      <c r="S1088" s="260">
        <v>1</v>
      </c>
      <c r="T1088" s="256">
        <v>7.775E-2</v>
      </c>
      <c r="U1088" s="261">
        <v>-18.315973451330308</v>
      </c>
      <c r="V1088" s="262">
        <v>60.5</v>
      </c>
      <c r="W1088" s="263">
        <v>3.27</v>
      </c>
      <c r="X1088" s="264">
        <v>59.893233185850107</v>
      </c>
      <c r="Y1088" s="265"/>
      <c r="Z1088" s="265">
        <v>4.4350000000000005</v>
      </c>
    </row>
    <row r="1089" spans="3:26" ht="20" thickBot="1" x14ac:dyDescent="0.25">
      <c r="C1089" s="243"/>
      <c r="D1089" s="590" t="s">
        <v>435</v>
      </c>
      <c r="E1089" s="871">
        <v>0.79166666666666663</v>
      </c>
      <c r="F1089" s="872"/>
      <c r="G1089" s="873"/>
      <c r="H1089" s="266">
        <v>0.58333333333333326</v>
      </c>
      <c r="I1089" s="1046"/>
      <c r="J1089" s="1046"/>
      <c r="K1089" s="1047"/>
      <c r="L1089" s="582">
        <v>2.0833333333333332E-2</v>
      </c>
      <c r="M1089" s="376">
        <v>0.875</v>
      </c>
      <c r="N1089" s="243"/>
      <c r="O1089" s="267" t="s">
        <v>812</v>
      </c>
      <c r="P1089" s="268">
        <v>0.1</v>
      </c>
      <c r="Q1089" s="269">
        <v>2.5266666666666663E-2</v>
      </c>
      <c r="R1089" s="270">
        <v>1.7000000000000001E-2</v>
      </c>
      <c r="S1089" s="271">
        <v>1</v>
      </c>
      <c r="T1089" s="272">
        <v>5.4899999999999997E-2</v>
      </c>
      <c r="U1089" s="273">
        <v>-12.933079646019728</v>
      </c>
      <c r="V1089" s="274">
        <v>60.5</v>
      </c>
      <c r="W1089" s="309">
        <v>2.2200000000000002</v>
      </c>
      <c r="X1089" s="276">
        <v>28.711436814163797</v>
      </c>
      <c r="Y1089" s="277"/>
      <c r="Z1089" s="277"/>
    </row>
    <row r="1090" spans="3:26" ht="20" thickBot="1" x14ac:dyDescent="0.25">
      <c r="C1090" s="243"/>
      <c r="D1090" s="591" t="s">
        <v>436</v>
      </c>
      <c r="E1090" s="293" t="s">
        <v>29</v>
      </c>
      <c r="F1090" s="293" t="s">
        <v>28</v>
      </c>
      <c r="G1090" s="294" t="s">
        <v>27</v>
      </c>
      <c r="H1090" s="280" t="s">
        <v>793</v>
      </c>
      <c r="I1090" s="1046"/>
      <c r="J1090" s="1046"/>
      <c r="K1090" s="1047"/>
      <c r="L1090" s="584" t="s">
        <v>1002</v>
      </c>
      <c r="M1090" s="378"/>
      <c r="N1090" s="243"/>
      <c r="O1090" s="254"/>
      <c r="P1090" s="255"/>
      <c r="Q1090" s="254"/>
      <c r="R1090" s="254"/>
      <c r="S1090" s="254"/>
      <c r="T1090" s="254"/>
      <c r="U1090" s="281"/>
      <c r="V1090" s="282"/>
      <c r="W1090" s="254"/>
      <c r="X1090" s="281"/>
      <c r="Y1090" s="255"/>
      <c r="Z1090" s="255"/>
    </row>
    <row r="1091" spans="3:26" ht="19" x14ac:dyDescent="0.2">
      <c r="C1091" s="243"/>
      <c r="D1091" s="592">
        <v>45574</v>
      </c>
      <c r="E1091" s="295" t="s">
        <v>1090</v>
      </c>
      <c r="F1091" s="295" t="s">
        <v>754</v>
      </c>
      <c r="G1091" s="295" t="s">
        <v>1090</v>
      </c>
      <c r="H1091" s="284">
        <v>0.54166666666666663</v>
      </c>
      <c r="I1091" s="1046"/>
      <c r="J1091" s="1046"/>
      <c r="K1091" s="1047"/>
      <c r="L1091" s="605"/>
      <c r="M1091" s="528"/>
      <c r="N1091" s="243"/>
      <c r="O1091" s="254"/>
      <c r="P1091" s="255"/>
      <c r="Q1091" s="254"/>
      <c r="R1091" s="254"/>
      <c r="S1091" s="254"/>
      <c r="T1091" s="254"/>
      <c r="U1091" s="254"/>
      <c r="V1091" s="254"/>
      <c r="W1091" s="254"/>
      <c r="X1091" s="254"/>
      <c r="Y1091" s="255"/>
      <c r="Z1091" s="255"/>
    </row>
    <row r="1092" spans="3:26" ht="19" x14ac:dyDescent="0.2">
      <c r="C1092" s="243"/>
      <c r="D1092" s="592">
        <v>45525</v>
      </c>
      <c r="E1092" s="295" t="s">
        <v>1090</v>
      </c>
      <c r="F1092" s="295" t="s">
        <v>754</v>
      </c>
      <c r="G1092" s="295" t="s">
        <v>1090</v>
      </c>
      <c r="H1092" s="284">
        <v>0.54166666666666663</v>
      </c>
      <c r="I1092" s="1046"/>
      <c r="J1092" s="1046"/>
      <c r="K1092" s="1047"/>
      <c r="L1092" s="605"/>
      <c r="M1092" s="529"/>
      <c r="N1092" s="243"/>
      <c r="O1092" s="246" t="s">
        <v>813</v>
      </c>
      <c r="P1092" s="247">
        <v>0.1</v>
      </c>
      <c r="Q1092" s="285">
        <v>3.2883333333333334E-2</v>
      </c>
      <c r="R1092" s="286">
        <v>1.7000000000000001E-2</v>
      </c>
      <c r="S1092" s="250">
        <v>1</v>
      </c>
      <c r="T1092" s="256">
        <v>6.6324999999999995E-2</v>
      </c>
      <c r="U1092" s="287">
        <v>-15.624526548675018</v>
      </c>
      <c r="V1092" s="288">
        <v>60.5</v>
      </c>
      <c r="W1092" s="250">
        <v>2</v>
      </c>
      <c r="X1092" s="252">
        <v>31.249053097350036</v>
      </c>
      <c r="Y1092" s="289"/>
      <c r="Z1092" s="289"/>
    </row>
    <row r="1093" spans="3:26" ht="19" x14ac:dyDescent="0.2">
      <c r="C1093" s="243"/>
      <c r="D1093" s="592">
        <v>45476</v>
      </c>
      <c r="E1093" s="295" t="s">
        <v>1090</v>
      </c>
      <c r="F1093" s="295" t="s">
        <v>754</v>
      </c>
      <c r="G1093" s="295" t="s">
        <v>1090</v>
      </c>
      <c r="H1093" s="284">
        <v>0.54166666666666663</v>
      </c>
      <c r="I1093" s="1046"/>
      <c r="J1093" s="1046"/>
      <c r="K1093" s="1047"/>
      <c r="L1093" s="605"/>
      <c r="M1093" s="373"/>
      <c r="N1093" s="243"/>
      <c r="O1093" s="246"/>
      <c r="P1093" s="247"/>
      <c r="Q1093" s="285"/>
      <c r="R1093" s="286"/>
      <c r="S1093" s="250"/>
      <c r="T1093" s="256"/>
      <c r="U1093" s="287"/>
      <c r="V1093" s="288"/>
      <c r="W1093" s="250"/>
      <c r="X1093" s="252"/>
      <c r="Y1093" s="289"/>
      <c r="Z1093" s="289"/>
    </row>
    <row r="1094" spans="3:26" ht="19" x14ac:dyDescent="0.2">
      <c r="C1094" s="243"/>
      <c r="D1094" s="592">
        <v>45434</v>
      </c>
      <c r="E1094" s="295" t="s">
        <v>1090</v>
      </c>
      <c r="F1094" s="295" t="s">
        <v>754</v>
      </c>
      <c r="G1094" s="295" t="s">
        <v>1090</v>
      </c>
      <c r="H1094" s="284">
        <v>0.54166666666666663</v>
      </c>
      <c r="I1094" s="1046"/>
      <c r="J1094" s="1046"/>
      <c r="K1094" s="1047"/>
      <c r="L1094" s="605"/>
      <c r="M1094" s="373"/>
      <c r="N1094" s="243"/>
      <c r="O1094" s="246"/>
      <c r="P1094" s="290"/>
      <c r="Q1094" s="285"/>
      <c r="R1094" s="286"/>
      <c r="S1094" s="250"/>
      <c r="T1094" s="290"/>
      <c r="U1094" s="287"/>
      <c r="V1094" s="288"/>
      <c r="W1094" s="250"/>
      <c r="X1094" s="252"/>
      <c r="Y1094" s="289"/>
      <c r="Z1094" s="289"/>
    </row>
    <row r="1095" spans="3:26" ht="19" x14ac:dyDescent="0.2">
      <c r="C1095" s="243"/>
      <c r="D1095" s="592">
        <v>45392</v>
      </c>
      <c r="E1095" s="295" t="s">
        <v>1090</v>
      </c>
      <c r="F1095" s="295" t="s">
        <v>754</v>
      </c>
      <c r="G1095" s="295" t="s">
        <v>1090</v>
      </c>
      <c r="H1095" s="284">
        <v>0.54166666666666663</v>
      </c>
      <c r="I1095" s="1046"/>
      <c r="J1095" s="1046"/>
      <c r="K1095" s="1047"/>
      <c r="L1095" s="605"/>
      <c r="M1095" s="373"/>
      <c r="N1095" s="243"/>
      <c r="O1095" s="291"/>
      <c r="P1095" s="291"/>
      <c r="Q1095" s="291"/>
      <c r="R1095" s="291"/>
      <c r="S1095" s="291"/>
      <c r="T1095" s="291"/>
      <c r="U1095" s="291"/>
      <c r="V1095" s="291"/>
      <c r="W1095" s="291"/>
      <c r="X1095" s="291"/>
      <c r="Y1095" s="291"/>
      <c r="Z1095" s="291"/>
    </row>
    <row r="1096" spans="3:26" ht="20" thickBot="1" x14ac:dyDescent="0.25">
      <c r="C1096" s="243"/>
      <c r="D1096" s="592">
        <v>45343</v>
      </c>
      <c r="E1096" s="295" t="s">
        <v>1090</v>
      </c>
      <c r="F1096" s="295" t="s">
        <v>754</v>
      </c>
      <c r="G1096" s="295" t="s">
        <v>1090</v>
      </c>
      <c r="H1096" s="284">
        <v>0.58333333333333337</v>
      </c>
      <c r="I1096" s="1048"/>
      <c r="J1096" s="1048"/>
      <c r="K1096" s="1049"/>
      <c r="L1096" s="605"/>
      <c r="M1096" s="530"/>
      <c r="N1096" s="243"/>
      <c r="O1096" s="291"/>
      <c r="P1096" s="291"/>
      <c r="Q1096" s="291"/>
      <c r="R1096" s="291"/>
      <c r="S1096" s="291"/>
      <c r="T1096" s="291"/>
      <c r="U1096" s="291"/>
      <c r="V1096" s="291"/>
      <c r="W1096" s="291"/>
      <c r="X1096" s="291"/>
      <c r="Y1096" s="291"/>
      <c r="Z1096" s="291"/>
    </row>
    <row r="1097" spans="3:26" ht="20" thickBot="1" x14ac:dyDescent="0.25">
      <c r="C1097" s="241">
        <v>12</v>
      </c>
      <c r="D1097" s="576" t="s">
        <v>30</v>
      </c>
      <c r="E1097" s="874" t="s">
        <v>1080</v>
      </c>
      <c r="F1097" s="875"/>
      <c r="G1097" s="876"/>
      <c r="H1097" s="242" t="s">
        <v>790</v>
      </c>
      <c r="I1097" s="1042" t="s">
        <v>633</v>
      </c>
      <c r="J1097" s="1042"/>
      <c r="K1097" s="1043"/>
      <c r="L1097" s="577" t="s">
        <v>430</v>
      </c>
      <c r="M1097" s="371" t="s">
        <v>431</v>
      </c>
      <c r="N1097" s="243" t="s">
        <v>105</v>
      </c>
      <c r="O1097" s="244" t="s">
        <v>800</v>
      </c>
      <c r="P1097" s="244" t="s">
        <v>801</v>
      </c>
      <c r="Q1097" s="244" t="s">
        <v>802</v>
      </c>
      <c r="R1097" s="244" t="s">
        <v>803</v>
      </c>
      <c r="S1097" s="244" t="s">
        <v>804</v>
      </c>
      <c r="T1097" s="244" t="s">
        <v>805</v>
      </c>
      <c r="U1097" s="244" t="s">
        <v>806</v>
      </c>
      <c r="V1097" s="244" t="s">
        <v>807</v>
      </c>
      <c r="W1097" s="244" t="s">
        <v>808</v>
      </c>
      <c r="X1097" s="244" t="s">
        <v>809</v>
      </c>
      <c r="Y1097" s="244" t="s">
        <v>75</v>
      </c>
      <c r="Z1097" s="244" t="s">
        <v>75</v>
      </c>
    </row>
    <row r="1098" spans="3:26" ht="19" x14ac:dyDescent="0.2">
      <c r="C1098" s="243"/>
      <c r="D1098" s="588" t="s">
        <v>432</v>
      </c>
      <c r="E1098" s="853"/>
      <c r="F1098" s="854"/>
      <c r="G1098" s="855"/>
      <c r="H1098" s="245" t="s">
        <v>909</v>
      </c>
      <c r="I1098" s="1044" t="s">
        <v>1081</v>
      </c>
      <c r="J1098" s="1044"/>
      <c r="K1098" s="1045"/>
      <c r="L1098" s="579"/>
      <c r="M1098" s="527" t="s">
        <v>1080</v>
      </c>
      <c r="N1098" s="243"/>
      <c r="O1098" s="246" t="s">
        <v>810</v>
      </c>
      <c r="P1098" s="247">
        <v>0.1</v>
      </c>
      <c r="Q1098" s="248">
        <v>4.9000000000000002E-2</v>
      </c>
      <c r="R1098" s="249">
        <v>1.5000000000014779E-2</v>
      </c>
      <c r="S1098" s="250">
        <v>0</v>
      </c>
      <c r="T1098" s="246">
        <v>5.9000000000010003E-2</v>
      </c>
      <c r="U1098" s="248">
        <v>-21.14</v>
      </c>
      <c r="V1098" s="247">
        <v>60.5</v>
      </c>
      <c r="W1098" s="251">
        <v>2</v>
      </c>
      <c r="X1098" s="252"/>
      <c r="Y1098" s="250"/>
      <c r="Z1098" s="250"/>
    </row>
    <row r="1099" spans="3:26" ht="19" x14ac:dyDescent="0.2">
      <c r="C1099" s="243"/>
      <c r="D1099" s="589" t="s">
        <v>433</v>
      </c>
      <c r="E1099" s="868"/>
      <c r="F1099" s="869"/>
      <c r="G1099" s="870"/>
      <c r="H1099" s="298" t="s">
        <v>910</v>
      </c>
      <c r="I1099" s="1046"/>
      <c r="J1099" s="1046"/>
      <c r="K1099" s="1047"/>
      <c r="L1099" s="579"/>
      <c r="M1099" s="373"/>
      <c r="N1099" s="243"/>
      <c r="O1099" s="243"/>
      <c r="P1099" s="243"/>
      <c r="Q1099" s="243"/>
      <c r="R1099" s="253"/>
      <c r="S1099" s="254"/>
      <c r="T1099" s="243"/>
      <c r="U1099" s="243"/>
      <c r="V1099" s="243"/>
      <c r="W1099" s="243"/>
      <c r="X1099" s="254"/>
      <c r="Y1099" s="255"/>
      <c r="Z1099" s="255"/>
    </row>
    <row r="1100" spans="3:26" ht="19" x14ac:dyDescent="0.2">
      <c r="C1100" s="243"/>
      <c r="D1100" s="589" t="s">
        <v>434</v>
      </c>
      <c r="E1100" s="868">
        <v>4.0000000000000001E-3</v>
      </c>
      <c r="F1100" s="869"/>
      <c r="G1100" s="870"/>
      <c r="H1100" s="245"/>
      <c r="I1100" s="1046"/>
      <c r="J1100" s="1046"/>
      <c r="K1100" s="1047"/>
      <c r="L1100" s="579"/>
      <c r="M1100" s="373"/>
      <c r="N1100" s="243"/>
      <c r="O1100" s="256" t="s">
        <v>811</v>
      </c>
      <c r="P1100" s="257">
        <v>0.1</v>
      </c>
      <c r="Q1100" s="258">
        <v>9.1399999999999995E-2</v>
      </c>
      <c r="R1100" s="259">
        <v>0.02</v>
      </c>
      <c r="S1100" s="299">
        <v>1</v>
      </c>
      <c r="T1100" s="256">
        <v>0.15709999999999999</v>
      </c>
      <c r="U1100" s="261">
        <v>-56.289728813549779</v>
      </c>
      <c r="V1100" s="262">
        <v>60.5</v>
      </c>
      <c r="W1100" s="300">
        <v>7.02</v>
      </c>
      <c r="X1100" s="264">
        <v>395.15389627111944</v>
      </c>
      <c r="Y1100" s="265"/>
      <c r="Z1100" s="265"/>
    </row>
    <row r="1101" spans="3:26" ht="20" thickBot="1" x14ac:dyDescent="0.25">
      <c r="C1101" s="243"/>
      <c r="D1101" s="590" t="s">
        <v>435</v>
      </c>
      <c r="E1101" s="871">
        <v>0.54166666666666674</v>
      </c>
      <c r="F1101" s="872"/>
      <c r="G1101" s="873"/>
      <c r="H1101" s="266">
        <v>0.33333333333333337</v>
      </c>
      <c r="I1101" s="1046"/>
      <c r="J1101" s="1046"/>
      <c r="K1101" s="1047"/>
      <c r="L1101" s="582">
        <v>0.77083333333333337</v>
      </c>
      <c r="M1101" s="376">
        <v>0.625</v>
      </c>
      <c r="N1101" s="243"/>
      <c r="O1101" s="267" t="s">
        <v>812</v>
      </c>
      <c r="P1101" s="268">
        <v>0.1</v>
      </c>
      <c r="Q1101" s="269">
        <v>5.673333333333333E-2</v>
      </c>
      <c r="R1101" s="270">
        <v>0.02</v>
      </c>
      <c r="S1101" s="301">
        <v>1</v>
      </c>
      <c r="T1101" s="272">
        <v>0.1051</v>
      </c>
      <c r="U1101" s="273">
        <v>-37.657864406773278</v>
      </c>
      <c r="V1101" s="274">
        <v>60.5</v>
      </c>
      <c r="W1101" s="302">
        <v>2.31</v>
      </c>
      <c r="X1101" s="276">
        <v>86.989666779646271</v>
      </c>
      <c r="Y1101" s="277"/>
      <c r="Z1101" s="277"/>
    </row>
    <row r="1102" spans="3:26" ht="20" thickBot="1" x14ac:dyDescent="0.25">
      <c r="C1102" s="243"/>
      <c r="D1102" s="591" t="s">
        <v>436</v>
      </c>
      <c r="E1102" s="293" t="s">
        <v>29</v>
      </c>
      <c r="F1102" s="293" t="s">
        <v>28</v>
      </c>
      <c r="G1102" s="294" t="s">
        <v>27</v>
      </c>
      <c r="H1102" s="280" t="s">
        <v>793</v>
      </c>
      <c r="I1102" s="1046"/>
      <c r="J1102" s="1046"/>
      <c r="K1102" s="1047"/>
      <c r="L1102" s="584" t="s">
        <v>1002</v>
      </c>
      <c r="M1102" s="378"/>
      <c r="N1102" s="243"/>
      <c r="O1102" s="254"/>
      <c r="P1102" s="255"/>
      <c r="Q1102" s="254"/>
      <c r="R1102" s="254"/>
      <c r="S1102" s="303"/>
      <c r="T1102" s="254"/>
      <c r="U1102" s="281"/>
      <c r="V1102" s="282"/>
      <c r="W1102" s="304"/>
      <c r="X1102" s="281"/>
      <c r="Y1102" s="255"/>
      <c r="Z1102" s="255"/>
    </row>
    <row r="1103" spans="3:26" ht="19" x14ac:dyDescent="0.2">
      <c r="C1103" s="243"/>
      <c r="D1103" s="592">
        <v>45608</v>
      </c>
      <c r="E1103" s="353">
        <v>4.0000000000000001E-3</v>
      </c>
      <c r="F1103" s="353" t="s">
        <v>452</v>
      </c>
      <c r="G1103" s="353">
        <v>0</v>
      </c>
      <c r="H1103" s="308">
        <v>0.29166666666666674</v>
      </c>
      <c r="I1103" s="1046"/>
      <c r="J1103" s="1046"/>
      <c r="K1103" s="1047"/>
      <c r="L1103" s="605">
        <v>0.52083333333333337</v>
      </c>
      <c r="M1103" s="532">
        <v>0.29166666666666674</v>
      </c>
      <c r="N1103" s="243"/>
      <c r="O1103" s="254"/>
      <c r="P1103" s="255"/>
      <c r="Q1103" s="254"/>
      <c r="R1103" s="254"/>
      <c r="S1103" s="303"/>
      <c r="T1103" s="254"/>
      <c r="U1103" s="254"/>
      <c r="V1103" s="254"/>
      <c r="W1103" s="304"/>
      <c r="X1103" s="254"/>
      <c r="Y1103" s="255"/>
      <c r="Z1103" s="255"/>
    </row>
    <row r="1104" spans="3:26" ht="19" x14ac:dyDescent="0.2">
      <c r="C1104" s="243"/>
      <c r="D1104" s="592">
        <v>45595</v>
      </c>
      <c r="E1104" s="353">
        <v>4.0000000000000001E-3</v>
      </c>
      <c r="F1104" s="353" t="s">
        <v>460</v>
      </c>
      <c r="G1104" s="353">
        <v>0</v>
      </c>
      <c r="H1104" s="308">
        <v>0.54166666666666674</v>
      </c>
      <c r="I1104" s="1046"/>
      <c r="J1104" s="1046"/>
      <c r="K1104" s="1047"/>
      <c r="L1104" s="605">
        <v>0.77083333333333337</v>
      </c>
      <c r="M1104" s="532">
        <v>0.54166666666666674</v>
      </c>
      <c r="N1104" s="243"/>
      <c r="O1104" s="246" t="s">
        <v>813</v>
      </c>
      <c r="P1104" s="354">
        <v>0.05</v>
      </c>
      <c r="Q1104" s="285">
        <v>6.5711111111111109E-2</v>
      </c>
      <c r="R1104" s="286">
        <v>0.02</v>
      </c>
      <c r="S1104" s="305">
        <v>1.5</v>
      </c>
      <c r="T1104" s="256">
        <v>0.11856666666666667</v>
      </c>
      <c r="U1104" s="287">
        <v>-31.862279661011549</v>
      </c>
      <c r="V1104" s="288">
        <v>30.25</v>
      </c>
      <c r="W1104" s="307">
        <v>2</v>
      </c>
      <c r="X1104" s="252">
        <v>63.724559322023097</v>
      </c>
      <c r="Y1104" s="289"/>
      <c r="Z1104" s="289"/>
    </row>
    <row r="1105" spans="3:26" ht="19" x14ac:dyDescent="0.2">
      <c r="C1105" s="243"/>
      <c r="D1105" s="592">
        <v>45576</v>
      </c>
      <c r="E1105" s="353">
        <v>0</v>
      </c>
      <c r="F1105" s="353" t="s">
        <v>458</v>
      </c>
      <c r="G1105" s="353">
        <v>-1E-3</v>
      </c>
      <c r="H1105" s="308">
        <v>0.25</v>
      </c>
      <c r="I1105" s="1046"/>
      <c r="J1105" s="1046"/>
      <c r="K1105" s="1047"/>
      <c r="L1105" s="605">
        <v>0.47916666666666669</v>
      </c>
      <c r="M1105" s="532">
        <v>0.25</v>
      </c>
      <c r="N1105" s="243"/>
      <c r="O1105" s="246"/>
      <c r="P1105" s="354"/>
      <c r="Q1105" s="285"/>
      <c r="R1105" s="286"/>
      <c r="S1105" s="305"/>
      <c r="T1105" s="306"/>
      <c r="U1105" s="287"/>
      <c r="V1105" s="288"/>
      <c r="W1105" s="307"/>
      <c r="X1105" s="252"/>
      <c r="Y1105" s="289"/>
      <c r="Z1105" s="289"/>
    </row>
    <row r="1106" spans="3:26" ht="19" x14ac:dyDescent="0.2">
      <c r="C1106" s="243"/>
      <c r="D1106" s="592">
        <v>45565</v>
      </c>
      <c r="E1106" s="353">
        <v>0</v>
      </c>
      <c r="F1106" s="353" t="s">
        <v>462</v>
      </c>
      <c r="G1106" s="353">
        <v>-1E-3</v>
      </c>
      <c r="H1106" s="308">
        <v>0.5</v>
      </c>
      <c r="I1106" s="1046"/>
      <c r="J1106" s="1046"/>
      <c r="K1106" s="1047"/>
      <c r="L1106" s="605">
        <v>0.72916666666666663</v>
      </c>
      <c r="M1106" s="532">
        <v>0.5</v>
      </c>
      <c r="N1106" s="243"/>
      <c r="O1106" s="246"/>
      <c r="P1106" s="290"/>
      <c r="Q1106" s="285"/>
      <c r="R1106" s="286"/>
      <c r="S1106" s="250"/>
      <c r="T1106" s="290"/>
      <c r="U1106" s="287"/>
      <c r="V1106" s="288"/>
      <c r="W1106" s="250"/>
      <c r="X1106" s="252"/>
      <c r="Y1106" s="289"/>
      <c r="Z1106" s="289"/>
    </row>
    <row r="1107" spans="3:26" ht="19" x14ac:dyDescent="0.2">
      <c r="C1107" s="243"/>
      <c r="D1107" s="592">
        <v>45545</v>
      </c>
      <c r="E1107" s="353">
        <v>-1E-3</v>
      </c>
      <c r="F1107" s="353" t="s">
        <v>456</v>
      </c>
      <c r="G1107" s="353">
        <v>3.0000000000000001E-3</v>
      </c>
      <c r="H1107" s="308">
        <v>0.25</v>
      </c>
      <c r="I1107" s="1046"/>
      <c r="J1107" s="1046"/>
      <c r="K1107" s="1047"/>
      <c r="L1107" s="605">
        <v>0.47916666666666669</v>
      </c>
      <c r="M1107" s="532">
        <v>0.25</v>
      </c>
      <c r="N1107" s="243"/>
      <c r="O1107" s="291"/>
      <c r="P1107" s="291"/>
      <c r="Q1107" s="291"/>
      <c r="R1107" s="291"/>
      <c r="S1107" s="291"/>
      <c r="T1107" s="291"/>
      <c r="U1107" s="291"/>
      <c r="V1107" s="291"/>
      <c r="W1107" s="291"/>
      <c r="X1107" s="291"/>
      <c r="Y1107" s="291"/>
      <c r="Z1107" s="291"/>
    </row>
    <row r="1108" spans="3:26" ht="20" thickBot="1" x14ac:dyDescent="0.25">
      <c r="C1108" s="243"/>
      <c r="D1108" s="608">
        <v>45533</v>
      </c>
      <c r="E1108" s="355">
        <v>-1E-3</v>
      </c>
      <c r="F1108" s="355" t="s">
        <v>458</v>
      </c>
      <c r="G1108" s="355">
        <v>3.0000000000000001E-3</v>
      </c>
      <c r="H1108" s="308">
        <v>0.5</v>
      </c>
      <c r="I1108" s="1048"/>
      <c r="J1108" s="1048"/>
      <c r="K1108" s="1049"/>
      <c r="L1108" s="607">
        <v>0.72916666666666663</v>
      </c>
      <c r="M1108" s="532">
        <v>0.5</v>
      </c>
      <c r="N1108" s="243"/>
      <c r="O1108" s="291"/>
      <c r="P1108" s="291"/>
      <c r="Q1108" s="291"/>
      <c r="R1108" s="291"/>
      <c r="S1108" s="291"/>
      <c r="T1108" s="291"/>
      <c r="U1108" s="291"/>
      <c r="V1108" s="291"/>
      <c r="W1108" s="291"/>
      <c r="X1108" s="291"/>
      <c r="Y1108" s="291"/>
      <c r="Z1108" s="291"/>
    </row>
    <row r="1109" spans="3:26" ht="20" thickBot="1" x14ac:dyDescent="0.25">
      <c r="C1109" s="241">
        <v>13</v>
      </c>
      <c r="D1109" s="576" t="s">
        <v>30</v>
      </c>
      <c r="E1109" s="874" t="s">
        <v>1082</v>
      </c>
      <c r="F1109" s="875"/>
      <c r="G1109" s="876"/>
      <c r="H1109" s="242" t="s">
        <v>790</v>
      </c>
      <c r="I1109" s="1042" t="s">
        <v>633</v>
      </c>
      <c r="J1109" s="1042"/>
      <c r="K1109" s="1043"/>
      <c r="L1109" s="577" t="s">
        <v>430</v>
      </c>
      <c r="M1109" s="371" t="s">
        <v>431</v>
      </c>
      <c r="N1109" s="243" t="s">
        <v>105</v>
      </c>
      <c r="O1109" s="244" t="s">
        <v>800</v>
      </c>
      <c r="P1109" s="244" t="s">
        <v>801</v>
      </c>
      <c r="Q1109" s="244" t="s">
        <v>802</v>
      </c>
      <c r="R1109" s="244" t="s">
        <v>803</v>
      </c>
      <c r="S1109" s="244" t="s">
        <v>804</v>
      </c>
      <c r="T1109" s="244" t="s">
        <v>805</v>
      </c>
      <c r="U1109" s="244" t="s">
        <v>806</v>
      </c>
      <c r="V1109" s="244" t="s">
        <v>807</v>
      </c>
      <c r="W1109" s="244" t="s">
        <v>808</v>
      </c>
      <c r="X1109" s="244" t="s">
        <v>809</v>
      </c>
      <c r="Y1109" s="244" t="s">
        <v>75</v>
      </c>
      <c r="Z1109" s="244" t="s">
        <v>75</v>
      </c>
    </row>
    <row r="1110" spans="3:26" ht="19" x14ac:dyDescent="0.2">
      <c r="C1110" s="243"/>
      <c r="D1110" s="588" t="s">
        <v>432</v>
      </c>
      <c r="E1110" s="853"/>
      <c r="F1110" s="854"/>
      <c r="G1110" s="855"/>
      <c r="H1110" s="245" t="s">
        <v>1130</v>
      </c>
      <c r="I1110" s="1044" t="s">
        <v>1083</v>
      </c>
      <c r="J1110" s="1044"/>
      <c r="K1110" s="1045"/>
      <c r="L1110" s="579"/>
      <c r="M1110" s="527" t="s">
        <v>1082</v>
      </c>
      <c r="N1110" s="243"/>
      <c r="O1110" s="246" t="s">
        <v>810</v>
      </c>
      <c r="P1110" s="247">
        <v>0.1</v>
      </c>
      <c r="Q1110" s="248">
        <v>4.9000000000000002E-2</v>
      </c>
      <c r="R1110" s="249">
        <v>2.8000000000020009E-2</v>
      </c>
      <c r="S1110" s="250">
        <v>0</v>
      </c>
      <c r="T1110" s="246">
        <v>4.800000000000091E-2</v>
      </c>
      <c r="U1110" s="248">
        <v>-26.23</v>
      </c>
      <c r="V1110" s="247">
        <v>91.8</v>
      </c>
      <c r="W1110" s="251">
        <v>2</v>
      </c>
      <c r="X1110" s="252"/>
      <c r="Y1110" s="250"/>
      <c r="Z1110" s="250"/>
    </row>
    <row r="1111" spans="3:26" ht="19" x14ac:dyDescent="0.2">
      <c r="C1111" s="243"/>
      <c r="D1111" s="589" t="s">
        <v>433</v>
      </c>
      <c r="E1111" s="868"/>
      <c r="F1111" s="869"/>
      <c r="G1111" s="870"/>
      <c r="H1111" s="245" t="s">
        <v>1131</v>
      </c>
      <c r="I1111" s="1046"/>
      <c r="J1111" s="1046"/>
      <c r="K1111" s="1047"/>
      <c r="L1111" s="579"/>
      <c r="M1111" s="373"/>
      <c r="N1111" s="243"/>
      <c r="O1111" s="243"/>
      <c r="P1111" s="243"/>
      <c r="Q1111" s="243"/>
      <c r="R1111" s="253"/>
      <c r="S1111" s="254"/>
      <c r="T1111" s="243"/>
      <c r="U1111" s="243"/>
      <c r="V1111" s="243"/>
      <c r="W1111" s="243"/>
      <c r="X1111" s="254"/>
      <c r="Y1111" s="255"/>
      <c r="Z1111" s="255"/>
    </row>
    <row r="1112" spans="3:26" ht="19" x14ac:dyDescent="0.2">
      <c r="C1112" s="243"/>
      <c r="D1112" s="589" t="s">
        <v>434</v>
      </c>
      <c r="E1112" s="868">
        <v>7.0000000000000001E-3</v>
      </c>
      <c r="F1112" s="869"/>
      <c r="G1112" s="870"/>
      <c r="H1112" s="245"/>
      <c r="I1112" s="1046"/>
      <c r="J1112" s="1046"/>
      <c r="K1112" s="1047"/>
      <c r="L1112" s="579"/>
      <c r="M1112" s="373"/>
      <c r="N1112" s="243"/>
      <c r="O1112" s="256" t="s">
        <v>811</v>
      </c>
      <c r="P1112" s="257">
        <v>0.02</v>
      </c>
      <c r="Q1112" s="258">
        <v>0.13020000000000001</v>
      </c>
      <c r="R1112" s="259">
        <v>2.9000000000000001E-2</v>
      </c>
      <c r="S1112" s="299">
        <v>1</v>
      </c>
      <c r="T1112" s="256">
        <v>0.22430000000000003</v>
      </c>
      <c r="U1112" s="261">
        <v>-24.514120833332871</v>
      </c>
      <c r="V1112" s="262">
        <v>12.1</v>
      </c>
      <c r="W1112" s="300">
        <v>3</v>
      </c>
      <c r="X1112" s="264">
        <v>73.542362499998617</v>
      </c>
      <c r="Y1112" s="265"/>
      <c r="Z1112" s="265"/>
    </row>
    <row r="1113" spans="3:26" ht="20" thickBot="1" x14ac:dyDescent="0.25">
      <c r="C1113" s="243"/>
      <c r="D1113" s="590" t="s">
        <v>435</v>
      </c>
      <c r="E1113" s="871">
        <v>0.33333333333333337</v>
      </c>
      <c r="F1113" s="872"/>
      <c r="G1113" s="873"/>
      <c r="H1113" s="266">
        <v>0.12500000000000003</v>
      </c>
      <c r="I1113" s="1046"/>
      <c r="J1113" s="1046"/>
      <c r="K1113" s="1047"/>
      <c r="L1113" s="582">
        <v>0.5625</v>
      </c>
      <c r="M1113" s="376">
        <v>0.41666666666666663</v>
      </c>
      <c r="N1113" s="243"/>
      <c r="O1113" s="267" t="s">
        <v>812</v>
      </c>
      <c r="P1113" s="268">
        <v>0.02</v>
      </c>
      <c r="Q1113" s="269">
        <v>9.746666666666666E-2</v>
      </c>
      <c r="R1113" s="270">
        <v>2.9000000000000001E-2</v>
      </c>
      <c r="S1113" s="301">
        <v>1</v>
      </c>
      <c r="T1113" s="272">
        <v>0.17519999999999999</v>
      </c>
      <c r="U1113" s="273">
        <v>-19.147899999999638</v>
      </c>
      <c r="V1113" s="274">
        <v>12.1</v>
      </c>
      <c r="W1113" s="302">
        <v>2.4500000000000002</v>
      </c>
      <c r="X1113" s="276">
        <v>46.912354999999117</v>
      </c>
      <c r="Y1113" s="277"/>
      <c r="Z1113" s="277"/>
    </row>
    <row r="1114" spans="3:26" ht="20" thickBot="1" x14ac:dyDescent="0.25">
      <c r="C1114" s="243"/>
      <c r="D1114" s="591" t="s">
        <v>436</v>
      </c>
      <c r="E1114" s="293" t="s">
        <v>29</v>
      </c>
      <c r="F1114" s="293" t="s">
        <v>28</v>
      </c>
      <c r="G1114" s="294" t="s">
        <v>27</v>
      </c>
      <c r="H1114" s="280" t="s">
        <v>793</v>
      </c>
      <c r="I1114" s="1046"/>
      <c r="J1114" s="1046"/>
      <c r="K1114" s="1047"/>
      <c r="L1114" s="584" t="s">
        <v>1002</v>
      </c>
      <c r="M1114" s="378"/>
      <c r="N1114" s="243"/>
      <c r="O1114" s="254"/>
      <c r="P1114" s="255"/>
      <c r="Q1114" s="254"/>
      <c r="R1114" s="254"/>
      <c r="S1114" s="303"/>
      <c r="T1114" s="254"/>
      <c r="U1114" s="281"/>
      <c r="V1114" s="282"/>
      <c r="W1114" s="304"/>
      <c r="X1114" s="281"/>
      <c r="Y1114" s="255"/>
      <c r="Z1114" s="255"/>
    </row>
    <row r="1115" spans="3:26" ht="19" x14ac:dyDescent="0.2">
      <c r="C1115" s="243"/>
      <c r="D1115" s="592">
        <v>45538</v>
      </c>
      <c r="E1115" s="353">
        <v>7.0000000000000001E-3</v>
      </c>
      <c r="F1115" s="353" t="s">
        <v>903</v>
      </c>
      <c r="G1115" s="353">
        <v>5.0000000000000001E-3</v>
      </c>
      <c r="H1115" s="284">
        <v>0.29166666666666669</v>
      </c>
      <c r="I1115" s="1046"/>
      <c r="J1115" s="1046"/>
      <c r="K1115" s="1047"/>
      <c r="L1115" s="586">
        <v>8.3333333333333329E-2</v>
      </c>
      <c r="M1115" s="528"/>
      <c r="N1115" s="243"/>
      <c r="O1115" s="254"/>
      <c r="P1115" s="255"/>
      <c r="Q1115" s="254"/>
      <c r="R1115" s="254"/>
      <c r="S1115" s="303"/>
      <c r="T1115" s="254"/>
      <c r="U1115" s="254"/>
      <c r="V1115" s="254"/>
      <c r="W1115" s="304"/>
      <c r="X1115" s="254"/>
      <c r="Y1115" s="255"/>
      <c r="Z1115" s="255"/>
    </row>
    <row r="1116" spans="3:26" ht="19" x14ac:dyDescent="0.2">
      <c r="C1116" s="243"/>
      <c r="D1116" s="592">
        <v>45442</v>
      </c>
      <c r="E1116" s="353">
        <v>5.0000000000000001E-3</v>
      </c>
      <c r="F1116" s="353" t="s">
        <v>467</v>
      </c>
      <c r="G1116" s="353">
        <v>3.0000000000000001E-3</v>
      </c>
      <c r="H1116" s="284">
        <v>0.29166666666666669</v>
      </c>
      <c r="I1116" s="1046"/>
      <c r="J1116" s="1046"/>
      <c r="K1116" s="1047"/>
      <c r="L1116" s="586">
        <v>8.3333333333333329E-2</v>
      </c>
      <c r="M1116" s="529"/>
      <c r="N1116" s="243"/>
      <c r="O1116" s="246" t="s">
        <v>813</v>
      </c>
      <c r="P1116" s="354">
        <v>0.02</v>
      </c>
      <c r="Q1116" s="285">
        <v>0.11383333333333334</v>
      </c>
      <c r="R1116" s="286">
        <v>2.9000000000000001E-2</v>
      </c>
      <c r="S1116" s="305">
        <v>1</v>
      </c>
      <c r="T1116" s="256">
        <v>0.19975000000000001</v>
      </c>
      <c r="U1116" s="287">
        <v>-21.831010416666253</v>
      </c>
      <c r="V1116" s="288">
        <v>12.1</v>
      </c>
      <c r="W1116" s="307">
        <v>2</v>
      </c>
      <c r="X1116" s="252">
        <v>43.662020833332505</v>
      </c>
      <c r="Y1116" s="289"/>
      <c r="Z1116" s="289"/>
    </row>
    <row r="1117" spans="3:26" ht="19" x14ac:dyDescent="0.2">
      <c r="C1117" s="243"/>
      <c r="D1117" s="592">
        <v>45351</v>
      </c>
      <c r="E1117" s="353">
        <v>3.0000000000000001E-3</v>
      </c>
      <c r="F1117" s="353" t="s">
        <v>462</v>
      </c>
      <c r="G1117" s="353">
        <v>3.0000000000000001E-3</v>
      </c>
      <c r="H1117" s="284">
        <v>0.33333333333333331</v>
      </c>
      <c r="I1117" s="1046"/>
      <c r="J1117" s="1046"/>
      <c r="K1117" s="1047"/>
      <c r="L1117" s="586">
        <v>0.125</v>
      </c>
      <c r="M1117" s="373"/>
      <c r="N1117" s="243"/>
      <c r="O1117" s="246" t="s">
        <v>813</v>
      </c>
      <c r="P1117" s="354">
        <v>0.02</v>
      </c>
      <c r="Q1117" s="285">
        <v>0.11383333333333334</v>
      </c>
      <c r="R1117" s="286">
        <v>2.9000000000000001E-2</v>
      </c>
      <c r="S1117" s="305">
        <v>1</v>
      </c>
      <c r="T1117" s="256">
        <v>0.19975000000000001</v>
      </c>
      <c r="U1117" s="287">
        <v>-21.831010416666253</v>
      </c>
      <c r="V1117" s="288">
        <v>12.1</v>
      </c>
      <c r="W1117" s="307">
        <v>2</v>
      </c>
      <c r="X1117" s="252">
        <v>43.662020833332505</v>
      </c>
      <c r="Y1117" s="289"/>
      <c r="Z1117" s="289"/>
    </row>
    <row r="1118" spans="3:26" ht="19" x14ac:dyDescent="0.2">
      <c r="C1118" s="243"/>
      <c r="D1118" s="592">
        <v>45261</v>
      </c>
      <c r="E1118" s="353">
        <v>3.0000000000000001E-3</v>
      </c>
      <c r="F1118" s="353" t="s">
        <v>462</v>
      </c>
      <c r="G1118" s="353">
        <v>-1E-3</v>
      </c>
      <c r="H1118" s="284">
        <v>0.33333333333333331</v>
      </c>
      <c r="I1118" s="1046"/>
      <c r="J1118" s="1046"/>
      <c r="K1118" s="1047"/>
      <c r="L1118" s="586">
        <v>0.125</v>
      </c>
      <c r="M1118" s="373"/>
      <c r="N1118" s="243"/>
      <c r="O1118" s="246"/>
      <c r="P1118" s="290"/>
      <c r="Q1118" s="285"/>
      <c r="R1118" s="286"/>
      <c r="S1118" s="250"/>
      <c r="T1118" s="290"/>
      <c r="U1118" s="287"/>
      <c r="V1118" s="288"/>
      <c r="W1118" s="250"/>
      <c r="X1118" s="252"/>
      <c r="Y1118" s="289"/>
      <c r="Z1118" s="289"/>
    </row>
    <row r="1119" spans="3:26" ht="19" x14ac:dyDescent="0.2">
      <c r="C1119" s="243"/>
      <c r="D1119" s="592">
        <v>45173</v>
      </c>
      <c r="E1119" s="353">
        <v>0</v>
      </c>
      <c r="F1119" s="353" t="s">
        <v>462</v>
      </c>
      <c r="G1119" s="353">
        <v>3.0000000000000001E-3</v>
      </c>
      <c r="H1119" s="284">
        <v>0.29166666666666669</v>
      </c>
      <c r="I1119" s="1046"/>
      <c r="J1119" s="1046"/>
      <c r="K1119" s="1047"/>
      <c r="L1119" s="586">
        <v>8.3333333333333329E-2</v>
      </c>
      <c r="M1119" s="373"/>
      <c r="N1119" s="243"/>
      <c r="O1119" s="291"/>
      <c r="P1119" s="291"/>
      <c r="Q1119" s="291"/>
      <c r="R1119" s="291"/>
      <c r="S1119" s="291"/>
      <c r="T1119" s="291"/>
      <c r="U1119" s="291"/>
      <c r="V1119" s="291"/>
      <c r="W1119" s="291"/>
      <c r="X1119" s="291"/>
      <c r="Y1119" s="291"/>
      <c r="Z1119" s="291"/>
    </row>
    <row r="1120" spans="3:26" ht="20" thickBot="1" x14ac:dyDescent="0.25">
      <c r="C1120" s="243"/>
      <c r="D1120" s="608">
        <v>45076</v>
      </c>
      <c r="E1120" s="355">
        <v>3.0000000000000001E-3</v>
      </c>
      <c r="F1120" s="355" t="s">
        <v>462</v>
      </c>
      <c r="G1120" s="355">
        <v>0</v>
      </c>
      <c r="H1120" s="284">
        <v>0.29166666666666669</v>
      </c>
      <c r="I1120" s="1048"/>
      <c r="J1120" s="1048"/>
      <c r="K1120" s="1049"/>
      <c r="L1120" s="586">
        <v>8.3333333333333329E-2</v>
      </c>
      <c r="M1120" s="530"/>
      <c r="N1120" s="243"/>
      <c r="O1120" s="291"/>
      <c r="P1120" s="291"/>
      <c r="Q1120" s="291"/>
      <c r="R1120" s="291"/>
      <c r="S1120" s="291"/>
      <c r="T1120" s="291"/>
      <c r="U1120" s="291"/>
      <c r="V1120" s="291"/>
      <c r="W1120" s="291"/>
      <c r="X1120" s="291"/>
      <c r="Y1120" s="291"/>
      <c r="Z1120" s="291"/>
    </row>
    <row r="1121" spans="3:26" ht="20" thickBot="1" x14ac:dyDescent="0.25">
      <c r="C1121" s="241">
        <v>13</v>
      </c>
      <c r="D1121" s="576" t="s">
        <v>30</v>
      </c>
      <c r="E1121" s="874" t="s">
        <v>1084</v>
      </c>
      <c r="F1121" s="875"/>
      <c r="G1121" s="876"/>
      <c r="H1121" s="242" t="s">
        <v>790</v>
      </c>
      <c r="I1121" s="1042" t="s">
        <v>633</v>
      </c>
      <c r="J1121" s="1042"/>
      <c r="K1121" s="1043"/>
      <c r="L1121" s="577" t="s">
        <v>430</v>
      </c>
      <c r="M1121" s="371" t="s">
        <v>431</v>
      </c>
      <c r="N1121" s="243" t="s">
        <v>105</v>
      </c>
      <c r="O1121" s="244" t="s">
        <v>800</v>
      </c>
      <c r="P1121" s="244" t="s">
        <v>801</v>
      </c>
      <c r="Q1121" s="244" t="s">
        <v>802</v>
      </c>
      <c r="R1121" s="244" t="s">
        <v>803</v>
      </c>
      <c r="S1121" s="244" t="s">
        <v>804</v>
      </c>
      <c r="T1121" s="244" t="s">
        <v>805</v>
      </c>
      <c r="U1121" s="244" t="s">
        <v>806</v>
      </c>
      <c r="V1121" s="244" t="s">
        <v>807</v>
      </c>
      <c r="W1121" s="244" t="s">
        <v>808</v>
      </c>
      <c r="X1121" s="244" t="s">
        <v>809</v>
      </c>
      <c r="Y1121" s="244" t="s">
        <v>75</v>
      </c>
      <c r="Z1121" s="244" t="s">
        <v>75</v>
      </c>
    </row>
    <row r="1122" spans="3:26" ht="19" x14ac:dyDescent="0.2">
      <c r="C1122" s="243"/>
      <c r="D1122" s="588" t="s">
        <v>432</v>
      </c>
      <c r="E1122" s="853"/>
      <c r="F1122" s="854"/>
      <c r="G1122" s="855"/>
      <c r="H1122" s="245" t="s">
        <v>906</v>
      </c>
      <c r="I1122" s="1044" t="s">
        <v>1085</v>
      </c>
      <c r="J1122" s="1044"/>
      <c r="K1122" s="1045"/>
      <c r="L1122" s="579"/>
      <c r="M1122" s="527" t="s">
        <v>1084</v>
      </c>
      <c r="N1122" s="243"/>
      <c r="O1122" s="246" t="s">
        <v>810</v>
      </c>
      <c r="P1122" s="247">
        <v>0.1</v>
      </c>
      <c r="Q1122" s="248">
        <v>2.7E-4</v>
      </c>
      <c r="R1122" s="249">
        <v>1.4999999999987246E-4</v>
      </c>
      <c r="S1122" s="250">
        <v>1</v>
      </c>
      <c r="T1122" s="250">
        <v>5.5499999999987244E-4</v>
      </c>
      <c r="U1122" s="248">
        <v>-19.690000000000001</v>
      </c>
      <c r="V1122" s="247">
        <v>91.8</v>
      </c>
      <c r="W1122" s="251">
        <v>2</v>
      </c>
      <c r="X1122" s="252"/>
      <c r="Y1122" s="250"/>
      <c r="Z1122" s="250"/>
    </row>
    <row r="1123" spans="3:26" ht="19" x14ac:dyDescent="0.2">
      <c r="C1123" s="243"/>
      <c r="D1123" s="589" t="s">
        <v>433</v>
      </c>
      <c r="E1123" s="868"/>
      <c r="F1123" s="869"/>
      <c r="G1123" s="870"/>
      <c r="H1123" s="298" t="s">
        <v>907</v>
      </c>
      <c r="I1123" s="1046"/>
      <c r="J1123" s="1046"/>
      <c r="K1123" s="1047"/>
      <c r="L1123" s="579"/>
      <c r="M1123" s="373"/>
      <c r="N1123" s="243"/>
      <c r="O1123" s="243"/>
      <c r="P1123" s="243"/>
      <c r="Q1123" s="243"/>
      <c r="R1123" s="253"/>
      <c r="S1123" s="254"/>
      <c r="T1123" s="243"/>
      <c r="U1123" s="243"/>
      <c r="V1123" s="243"/>
      <c r="W1123" s="243"/>
      <c r="X1123" s="254"/>
      <c r="Y1123" s="255"/>
      <c r="Z1123" s="255"/>
    </row>
    <row r="1124" spans="3:26" ht="19" x14ac:dyDescent="0.2">
      <c r="C1124" s="243"/>
      <c r="D1124" s="589" t="s">
        <v>434</v>
      </c>
      <c r="E1124" s="868">
        <v>0.02</v>
      </c>
      <c r="F1124" s="869"/>
      <c r="G1124" s="870"/>
      <c r="H1124" s="245"/>
      <c r="I1124" s="1046"/>
      <c r="J1124" s="1046"/>
      <c r="K1124" s="1047"/>
      <c r="L1124" s="579"/>
      <c r="M1124" s="373"/>
      <c r="N1124" s="243"/>
      <c r="O1124" s="256" t="s">
        <v>811</v>
      </c>
      <c r="P1124" s="257">
        <v>0.1</v>
      </c>
      <c r="Q1124" s="258">
        <v>5.0000000000000001E-4</v>
      </c>
      <c r="R1124" s="259">
        <v>1.2999999999999999E-4</v>
      </c>
      <c r="S1124" s="299">
        <v>1</v>
      </c>
      <c r="T1124" s="256">
        <v>8.8000000000000003E-4</v>
      </c>
      <c r="U1124" s="261">
        <v>-31.220180180187356</v>
      </c>
      <c r="V1124" s="262">
        <v>60.5</v>
      </c>
      <c r="W1124" s="300">
        <v>2.4500000000000002</v>
      </c>
      <c r="X1124" s="264">
        <v>76.489441441459022</v>
      </c>
      <c r="Y1124" s="265"/>
      <c r="Z1124" s="265"/>
    </row>
    <row r="1125" spans="3:26" ht="20" thickBot="1" x14ac:dyDescent="0.25">
      <c r="C1125" s="243"/>
      <c r="D1125" s="590" t="s">
        <v>435</v>
      </c>
      <c r="E1125" s="871">
        <v>0.41666666666666674</v>
      </c>
      <c r="F1125" s="872"/>
      <c r="G1125" s="873"/>
      <c r="H1125" s="266">
        <v>0.2083333333333334</v>
      </c>
      <c r="I1125" s="1046"/>
      <c r="J1125" s="1046"/>
      <c r="K1125" s="1047"/>
      <c r="L1125" s="582">
        <v>0.64583333333333337</v>
      </c>
      <c r="M1125" s="376">
        <v>0.5</v>
      </c>
      <c r="N1125" s="243"/>
      <c r="O1125" s="267" t="s">
        <v>812</v>
      </c>
      <c r="P1125" s="268">
        <v>0.1</v>
      </c>
      <c r="Q1125" s="269">
        <v>3.1333333333333327E-4</v>
      </c>
      <c r="R1125" s="270">
        <v>1.2999999999999999E-4</v>
      </c>
      <c r="S1125" s="301">
        <v>1</v>
      </c>
      <c r="T1125" s="272">
        <v>5.9999999999999995E-4</v>
      </c>
      <c r="U1125" s="273">
        <v>-21.286486486491377</v>
      </c>
      <c r="V1125" s="274">
        <v>60.5</v>
      </c>
      <c r="W1125" s="302">
        <v>2.12</v>
      </c>
      <c r="X1125" s="276">
        <v>45.127351351361725</v>
      </c>
      <c r="Y1125" s="277"/>
      <c r="Z1125" s="277"/>
    </row>
    <row r="1126" spans="3:26" ht="20" thickBot="1" x14ac:dyDescent="0.25">
      <c r="C1126" s="243"/>
      <c r="D1126" s="591" t="s">
        <v>436</v>
      </c>
      <c r="E1126" s="293" t="s">
        <v>29</v>
      </c>
      <c r="F1126" s="293" t="s">
        <v>28</v>
      </c>
      <c r="G1126" s="294" t="s">
        <v>27</v>
      </c>
      <c r="H1126" s="280" t="s">
        <v>793</v>
      </c>
      <c r="I1126" s="1046"/>
      <c r="J1126" s="1046"/>
      <c r="K1126" s="1047"/>
      <c r="L1126" s="584"/>
      <c r="M1126" s="378"/>
      <c r="N1126" s="243"/>
      <c r="O1126" s="254"/>
      <c r="P1126" s="255"/>
      <c r="Q1126" s="254"/>
      <c r="R1126" s="254"/>
      <c r="S1126" s="303"/>
      <c r="T1126" s="254"/>
      <c r="U1126" s="281"/>
      <c r="V1126" s="282"/>
      <c r="W1126" s="304"/>
      <c r="X1126" s="281"/>
      <c r="Y1126" s="255"/>
      <c r="Z1126" s="255"/>
    </row>
    <row r="1127" spans="3:26" ht="19" x14ac:dyDescent="0.2">
      <c r="C1127" s="243"/>
      <c r="D1127" s="592">
        <v>45615</v>
      </c>
      <c r="E1127" s="295">
        <v>0.02</v>
      </c>
      <c r="F1127" s="295" t="s">
        <v>788</v>
      </c>
      <c r="G1127" s="295">
        <v>0.02</v>
      </c>
      <c r="H1127" s="284">
        <v>0.41666666666666674</v>
      </c>
      <c r="I1127" s="1046"/>
      <c r="J1127" s="1046"/>
      <c r="K1127" s="1047"/>
      <c r="L1127" s="586">
        <v>0.2083333333333334</v>
      </c>
      <c r="M1127" s="528"/>
      <c r="N1127" s="243"/>
      <c r="O1127" s="254"/>
      <c r="P1127" s="255"/>
      <c r="Q1127" s="254"/>
      <c r="R1127" s="254"/>
      <c r="S1127" s="303"/>
      <c r="T1127" s="254"/>
      <c r="U1127" s="254"/>
      <c r="V1127" s="254"/>
      <c r="W1127" s="304"/>
      <c r="X1127" s="254"/>
      <c r="Y1127" s="255"/>
      <c r="Z1127" s="255"/>
    </row>
    <row r="1128" spans="3:26" ht="19" x14ac:dyDescent="0.2">
      <c r="C1128" s="243"/>
      <c r="D1128" s="592">
        <v>45596</v>
      </c>
      <c r="E1128" s="295">
        <v>0.02</v>
      </c>
      <c r="F1128" s="295" t="s">
        <v>789</v>
      </c>
      <c r="G1128" s="295">
        <v>1.7000000000000001E-2</v>
      </c>
      <c r="H1128" s="284">
        <v>0.41666666666666674</v>
      </c>
      <c r="I1128" s="1046"/>
      <c r="J1128" s="1046"/>
      <c r="K1128" s="1047"/>
      <c r="L1128" s="586">
        <v>0.2083333333333334</v>
      </c>
      <c r="M1128" s="529"/>
      <c r="N1128" s="243"/>
      <c r="O1128" s="246" t="s">
        <v>813</v>
      </c>
      <c r="P1128" s="354">
        <v>0.08</v>
      </c>
      <c r="Q1128" s="285">
        <v>4.0666666666666661E-4</v>
      </c>
      <c r="R1128" s="286">
        <v>1.2999999999999999E-4</v>
      </c>
      <c r="S1128" s="305">
        <v>1</v>
      </c>
      <c r="T1128" s="306">
        <v>5.9999999999999995E-4</v>
      </c>
      <c r="U1128" s="287">
        <v>-17.029189189193101</v>
      </c>
      <c r="V1128" s="288">
        <v>48.4</v>
      </c>
      <c r="W1128" s="307">
        <v>2</v>
      </c>
      <c r="X1128" s="252">
        <v>34.058378378386202</v>
      </c>
      <c r="Y1128" s="289" t="s">
        <v>814</v>
      </c>
      <c r="Z1128" s="289"/>
    </row>
    <row r="1129" spans="3:26" ht="19" x14ac:dyDescent="0.2">
      <c r="C1129" s="243"/>
      <c r="D1129" s="592">
        <v>45582</v>
      </c>
      <c r="E1129" s="295">
        <v>1.7000000000000001E-2</v>
      </c>
      <c r="F1129" s="295" t="s">
        <v>895</v>
      </c>
      <c r="G1129" s="295">
        <v>2.1999999999999999E-2</v>
      </c>
      <c r="H1129" s="284">
        <v>0.375</v>
      </c>
      <c r="I1129" s="1046"/>
      <c r="J1129" s="1046"/>
      <c r="K1129" s="1047"/>
      <c r="L1129" s="586">
        <v>0.16666666666666666</v>
      </c>
      <c r="M1129" s="373"/>
      <c r="N1129" s="243"/>
      <c r="O1129" s="246" t="s">
        <v>813</v>
      </c>
      <c r="P1129" s="354">
        <v>-0.08</v>
      </c>
      <c r="Q1129" s="285">
        <v>4.0666666666666661E-4</v>
      </c>
      <c r="R1129" s="286">
        <v>1.2999999999999999E-4</v>
      </c>
      <c r="S1129" s="305">
        <v>-1</v>
      </c>
      <c r="T1129" s="306">
        <v>5.9999999999999995E-4</v>
      </c>
      <c r="U1129" s="287">
        <v>-17.029189189193101</v>
      </c>
      <c r="V1129" s="288">
        <v>48.4</v>
      </c>
      <c r="W1129" s="307">
        <v>2</v>
      </c>
      <c r="X1129" s="252">
        <v>34.058378378386202</v>
      </c>
      <c r="Y1129" s="289" t="s">
        <v>814</v>
      </c>
      <c r="Z1129" s="289"/>
    </row>
    <row r="1130" spans="3:26" ht="19" x14ac:dyDescent="0.2">
      <c r="C1130" s="243"/>
      <c r="D1130" s="592">
        <v>45566</v>
      </c>
      <c r="E1130" s="295">
        <v>1.7999999999999999E-2</v>
      </c>
      <c r="F1130" s="295" t="s">
        <v>895</v>
      </c>
      <c r="G1130" s="295">
        <v>2.1999999999999999E-2</v>
      </c>
      <c r="H1130" s="284">
        <v>0.375</v>
      </c>
      <c r="I1130" s="1046"/>
      <c r="J1130" s="1046"/>
      <c r="K1130" s="1047"/>
      <c r="L1130" s="586">
        <v>0.16666666666666666</v>
      </c>
      <c r="M1130" s="373"/>
      <c r="N1130" s="243"/>
      <c r="O1130" s="246"/>
      <c r="P1130" s="290"/>
      <c r="Q1130" s="285"/>
      <c r="R1130" s="286"/>
      <c r="S1130" s="250"/>
      <c r="T1130" s="290"/>
      <c r="U1130" s="287"/>
      <c r="V1130" s="288"/>
      <c r="W1130" s="250"/>
      <c r="X1130" s="252"/>
      <c r="Y1130" s="289"/>
      <c r="Z1130" s="289"/>
    </row>
    <row r="1131" spans="3:26" ht="19" x14ac:dyDescent="0.2">
      <c r="C1131" s="243"/>
      <c r="D1131" s="592">
        <v>45553</v>
      </c>
      <c r="E1131" s="295">
        <v>2.1999999999999999E-2</v>
      </c>
      <c r="F1131" s="295" t="s">
        <v>490</v>
      </c>
      <c r="G1131" s="295">
        <v>2.5999999999999999E-2</v>
      </c>
      <c r="H1131" s="284">
        <v>0.375</v>
      </c>
      <c r="I1131" s="1046"/>
      <c r="J1131" s="1046"/>
      <c r="K1131" s="1047"/>
      <c r="L1131" s="586">
        <v>0.16666666666666666</v>
      </c>
      <c r="M1131" s="373"/>
      <c r="N1131" s="243"/>
      <c r="O1131" s="291"/>
      <c r="P1131" s="291"/>
      <c r="Q1131" s="291"/>
      <c r="R1131" s="291"/>
      <c r="S1131" s="291"/>
      <c r="T1131" s="291"/>
      <c r="U1131" s="291"/>
      <c r="V1131" s="291"/>
      <c r="W1131" s="291"/>
      <c r="X1131" s="291"/>
      <c r="Y1131" s="291"/>
      <c r="Z1131" s="291"/>
    </row>
    <row r="1132" spans="3:26" ht="20" thickBot="1" x14ac:dyDescent="0.25">
      <c r="C1132" s="243"/>
      <c r="D1132" s="608">
        <v>45534</v>
      </c>
      <c r="E1132" s="356">
        <v>2.1999999999999999E-2</v>
      </c>
      <c r="F1132" s="356" t="s">
        <v>490</v>
      </c>
      <c r="G1132" s="356">
        <v>2.5999999999999999E-2</v>
      </c>
      <c r="H1132" s="284">
        <v>0.37500000000000006</v>
      </c>
      <c r="I1132" s="1048"/>
      <c r="J1132" s="1048"/>
      <c r="K1132" s="1049"/>
      <c r="L1132" s="586">
        <v>0.16666666666666666</v>
      </c>
      <c r="M1132" s="530"/>
      <c r="N1132" s="243"/>
      <c r="O1132" s="291"/>
      <c r="P1132" s="291"/>
      <c r="Q1132" s="291"/>
      <c r="R1132" s="291"/>
      <c r="S1132" s="291"/>
      <c r="T1132" s="291"/>
      <c r="U1132" s="291"/>
      <c r="V1132" s="291"/>
      <c r="W1132" s="291"/>
      <c r="X1132" s="291"/>
      <c r="Y1132" s="291"/>
      <c r="Z1132" s="291"/>
    </row>
    <row r="1133" spans="3:26" ht="20" thickBot="1" x14ac:dyDescent="0.25">
      <c r="C1133" s="241">
        <v>14</v>
      </c>
      <c r="D1133" s="593" t="s">
        <v>30</v>
      </c>
      <c r="E1133" s="1018" t="s">
        <v>1086</v>
      </c>
      <c r="F1133" s="1019"/>
      <c r="G1133" s="1020"/>
      <c r="H1133" s="297" t="s">
        <v>790</v>
      </c>
      <c r="I1133" s="1050" t="s">
        <v>633</v>
      </c>
      <c r="J1133" s="1050"/>
      <c r="K1133" s="1051"/>
      <c r="L1133" s="594" t="s">
        <v>430</v>
      </c>
      <c r="M1133" s="531" t="s">
        <v>431</v>
      </c>
      <c r="N1133" s="243" t="s">
        <v>105</v>
      </c>
      <c r="O1133" s="244" t="s">
        <v>800</v>
      </c>
      <c r="P1133" s="244" t="s">
        <v>801</v>
      </c>
      <c r="Q1133" s="244" t="s">
        <v>802</v>
      </c>
      <c r="R1133" s="244" t="s">
        <v>803</v>
      </c>
      <c r="S1133" s="244" t="s">
        <v>804</v>
      </c>
      <c r="T1133" s="244" t="s">
        <v>805</v>
      </c>
      <c r="U1133" s="244" t="s">
        <v>806</v>
      </c>
      <c r="V1133" s="244" t="s">
        <v>807</v>
      </c>
      <c r="W1133" s="244" t="s">
        <v>808</v>
      </c>
      <c r="X1133" s="244" t="s">
        <v>809</v>
      </c>
      <c r="Y1133" s="244" t="s">
        <v>75</v>
      </c>
      <c r="Z1133" s="244" t="s">
        <v>75</v>
      </c>
    </row>
    <row r="1134" spans="3:26" ht="19" x14ac:dyDescent="0.2">
      <c r="C1134" s="243"/>
      <c r="D1134" s="609" t="s">
        <v>432</v>
      </c>
      <c r="E1134" s="1009"/>
      <c r="F1134" s="1010"/>
      <c r="G1134" s="1011"/>
      <c r="H1134" s="245" t="s">
        <v>906</v>
      </c>
      <c r="I1134" s="1143" t="s">
        <v>1074</v>
      </c>
      <c r="J1134" s="1143"/>
      <c r="K1134" s="1144"/>
      <c r="L1134" s="579"/>
      <c r="M1134" s="527" t="s">
        <v>1086</v>
      </c>
      <c r="N1134" s="243"/>
      <c r="O1134" s="246" t="s">
        <v>810</v>
      </c>
      <c r="P1134" s="290">
        <v>0.1</v>
      </c>
      <c r="Q1134" s="315">
        <v>3.9E-2</v>
      </c>
      <c r="R1134" s="316">
        <v>2.1000000000015007E-2</v>
      </c>
      <c r="S1134" s="250"/>
      <c r="T1134" s="246">
        <v>7.9500000000015003E-2</v>
      </c>
      <c r="U1134" s="315">
        <v>-18.989999999999998</v>
      </c>
      <c r="V1134" s="290">
        <v>91.8</v>
      </c>
      <c r="W1134" s="250"/>
      <c r="X1134" s="250"/>
      <c r="Y1134" s="250"/>
      <c r="Z1134" s="250"/>
    </row>
    <row r="1135" spans="3:26" ht="19" x14ac:dyDescent="0.2">
      <c r="C1135" s="243"/>
      <c r="D1135" s="610" t="s">
        <v>433</v>
      </c>
      <c r="E1135" s="1012">
        <v>0</v>
      </c>
      <c r="F1135" s="1013"/>
      <c r="G1135" s="1014"/>
      <c r="H1135" s="298" t="s">
        <v>907</v>
      </c>
      <c r="I1135" s="1145"/>
      <c r="J1135" s="1145"/>
      <c r="K1135" s="1146"/>
      <c r="L1135" s="579"/>
      <c r="M1135" s="373"/>
      <c r="N1135" s="243"/>
      <c r="O1135" s="243"/>
      <c r="P1135" s="243"/>
      <c r="Q1135" s="243"/>
      <c r="R1135" s="253"/>
      <c r="S1135" s="254"/>
      <c r="T1135" s="243"/>
      <c r="U1135" s="243"/>
      <c r="V1135" s="243"/>
      <c r="W1135" s="254"/>
      <c r="X1135" s="254"/>
      <c r="Y1135" s="255"/>
      <c r="Z1135" s="255"/>
    </row>
    <row r="1136" spans="3:26" ht="19" x14ac:dyDescent="0.2">
      <c r="C1136" s="243"/>
      <c r="D1136" s="610" t="s">
        <v>434</v>
      </c>
      <c r="E1136" s="1012">
        <v>41.6</v>
      </c>
      <c r="F1136" s="1013"/>
      <c r="G1136" s="1014"/>
      <c r="H1136" s="357"/>
      <c r="I1136" s="1145"/>
      <c r="J1136" s="1145"/>
      <c r="K1136" s="1146"/>
      <c r="L1136" s="579"/>
      <c r="M1136" s="373"/>
      <c r="N1136" s="243"/>
      <c r="O1136" s="256" t="s">
        <v>811</v>
      </c>
      <c r="P1136" s="319">
        <v>0.1</v>
      </c>
      <c r="Q1136" s="320">
        <v>7.22E-2</v>
      </c>
      <c r="R1136" s="321">
        <v>1.4999999999999999E-2</v>
      </c>
      <c r="S1136" s="260">
        <v>1</v>
      </c>
      <c r="T1136" s="256">
        <v>0.12330000000000001</v>
      </c>
      <c r="U1136" s="261">
        <v>-29.452415094334064</v>
      </c>
      <c r="V1136" s="262">
        <v>60.5</v>
      </c>
      <c r="W1136" s="265">
        <v>4.88</v>
      </c>
      <c r="X1136" s="264">
        <v>143.72778566035024</v>
      </c>
      <c r="Y1136" s="265"/>
      <c r="Z1136" s="265">
        <v>4.4350000000000005</v>
      </c>
    </row>
    <row r="1137" spans="3:26" ht="20" thickBot="1" x14ac:dyDescent="0.25">
      <c r="C1137" s="243"/>
      <c r="D1137" s="611" t="s">
        <v>435</v>
      </c>
      <c r="E1137" s="1015">
        <v>0.61458333333333337</v>
      </c>
      <c r="F1137" s="1016"/>
      <c r="G1137" s="1017"/>
      <c r="H1137" s="266">
        <v>0.40625</v>
      </c>
      <c r="I1137" s="1145"/>
      <c r="J1137" s="1145"/>
      <c r="K1137" s="1146"/>
      <c r="L1137" s="582">
        <v>0.84375</v>
      </c>
      <c r="M1137" s="376">
        <v>0.69791666666666663</v>
      </c>
      <c r="N1137" s="243"/>
      <c r="O1137" s="267" t="s">
        <v>812</v>
      </c>
      <c r="P1137" s="328">
        <v>0.1</v>
      </c>
      <c r="Q1137" s="329">
        <v>4.0533333333333338E-2</v>
      </c>
      <c r="R1137" s="330">
        <v>1.4999999999999999E-2</v>
      </c>
      <c r="S1137" s="271">
        <v>0.5</v>
      </c>
      <c r="T1137" s="267">
        <v>7.5800000000000006E-2</v>
      </c>
      <c r="U1137" s="273">
        <v>-9.0530943396209338</v>
      </c>
      <c r="V1137" s="274">
        <v>60.5</v>
      </c>
      <c r="W1137" s="277">
        <v>2.3650000000000002</v>
      </c>
      <c r="X1137" s="276">
        <v>21.41056811320351</v>
      </c>
      <c r="Y1137" s="277"/>
      <c r="Z1137" s="277"/>
    </row>
    <row r="1138" spans="3:26" ht="20" thickBot="1" x14ac:dyDescent="0.25">
      <c r="C1138" s="243"/>
      <c r="D1138" s="612" t="s">
        <v>436</v>
      </c>
      <c r="E1138" s="358" t="s">
        <v>29</v>
      </c>
      <c r="F1138" s="358" t="s">
        <v>28</v>
      </c>
      <c r="G1138" s="359" t="s">
        <v>27</v>
      </c>
      <c r="H1138" s="360" t="s">
        <v>793</v>
      </c>
      <c r="I1138" s="1145"/>
      <c r="J1138" s="1145"/>
      <c r="K1138" s="1146"/>
      <c r="L1138" s="613"/>
      <c r="M1138" s="540"/>
      <c r="N1138" s="243"/>
      <c r="O1138" s="254"/>
      <c r="P1138" s="255"/>
      <c r="Q1138" s="254"/>
      <c r="R1138" s="254"/>
      <c r="S1138" s="254"/>
      <c r="T1138" s="254"/>
      <c r="U1138" s="281"/>
      <c r="V1138" s="282"/>
      <c r="W1138" s="254"/>
      <c r="X1138" s="281"/>
      <c r="Y1138" s="255"/>
      <c r="Z1138" s="255"/>
    </row>
    <row r="1139" spans="3:26" ht="19" x14ac:dyDescent="0.2">
      <c r="C1139" s="243"/>
      <c r="D1139" s="614">
        <v>45596</v>
      </c>
      <c r="E1139" s="283">
        <v>41.6</v>
      </c>
      <c r="F1139" s="283" t="s">
        <v>1126</v>
      </c>
      <c r="G1139" s="283">
        <v>46.6</v>
      </c>
      <c r="H1139" s="284">
        <v>0.57291666666666663</v>
      </c>
      <c r="I1139" s="1145"/>
      <c r="J1139" s="1145"/>
      <c r="K1139" s="1146"/>
      <c r="L1139" s="586">
        <v>0.36458333333333331</v>
      </c>
      <c r="M1139" s="528"/>
      <c r="N1139" s="243"/>
      <c r="O1139" s="254"/>
      <c r="P1139" s="255"/>
      <c r="Q1139" s="254"/>
      <c r="R1139" s="254"/>
      <c r="S1139" s="254"/>
      <c r="T1139" s="254"/>
      <c r="U1139" s="254"/>
      <c r="V1139" s="254"/>
      <c r="W1139" s="254"/>
      <c r="X1139" s="254"/>
      <c r="Y1139" s="255"/>
      <c r="Z1139" s="255"/>
    </row>
    <row r="1140" spans="3:26" ht="19" x14ac:dyDescent="0.2">
      <c r="C1140" s="243"/>
      <c r="D1140" s="614">
        <v>45565</v>
      </c>
      <c r="E1140" s="283">
        <v>46.6</v>
      </c>
      <c r="F1140" s="283" t="s">
        <v>899</v>
      </c>
      <c r="G1140" s="283">
        <v>46.1</v>
      </c>
      <c r="H1140" s="284">
        <v>0.57291666666666663</v>
      </c>
      <c r="I1140" s="1145"/>
      <c r="J1140" s="1145"/>
      <c r="K1140" s="1146"/>
      <c r="L1140" s="586">
        <v>0.36458333333333331</v>
      </c>
      <c r="M1140" s="529"/>
      <c r="N1140" s="243"/>
      <c r="O1140" s="246" t="s">
        <v>813</v>
      </c>
      <c r="P1140" s="290">
        <v>0.25</v>
      </c>
      <c r="Q1140" s="285">
        <v>4.0533333333333338E-2</v>
      </c>
      <c r="R1140" s="286">
        <v>1.4999999999999999E-2</v>
      </c>
      <c r="S1140" s="250">
        <v>0.5</v>
      </c>
      <c r="T1140" s="290">
        <v>7.5800000000000006E-2</v>
      </c>
      <c r="U1140" s="287">
        <v>-22.632735849052334</v>
      </c>
      <c r="V1140" s="288">
        <v>151.25</v>
      </c>
      <c r="W1140" s="250">
        <v>2</v>
      </c>
      <c r="X1140" s="252">
        <v>45.265471698104669</v>
      </c>
      <c r="Y1140" s="289" t="s">
        <v>814</v>
      </c>
      <c r="Z1140" s="289"/>
    </row>
    <row r="1141" spans="3:26" ht="19" x14ac:dyDescent="0.2">
      <c r="C1141" s="243"/>
      <c r="D1141" s="614">
        <v>45534</v>
      </c>
      <c r="E1141" s="283">
        <v>46.1</v>
      </c>
      <c r="F1141" s="283" t="s">
        <v>473</v>
      </c>
      <c r="G1141" s="283">
        <v>45.3</v>
      </c>
      <c r="H1141" s="284">
        <v>0.57291666666666663</v>
      </c>
      <c r="I1141" s="1145"/>
      <c r="J1141" s="1145"/>
      <c r="K1141" s="1146"/>
      <c r="L1141" s="586">
        <v>0.36458333333333331</v>
      </c>
      <c r="M1141" s="373"/>
      <c r="N1141" s="243"/>
      <c r="O1141" s="246" t="s">
        <v>813</v>
      </c>
      <c r="P1141" s="290">
        <v>0.25</v>
      </c>
      <c r="Q1141" s="285">
        <v>4.0533333333333338E-2</v>
      </c>
      <c r="R1141" s="286">
        <v>1.4999999999999999E-2</v>
      </c>
      <c r="S1141" s="250">
        <v>0.5</v>
      </c>
      <c r="T1141" s="290">
        <v>7.5800000000000006E-2</v>
      </c>
      <c r="U1141" s="287">
        <v>-23.639322033894302</v>
      </c>
      <c r="V1141" s="288">
        <v>151.25</v>
      </c>
      <c r="W1141" s="250">
        <v>2</v>
      </c>
      <c r="X1141" s="252">
        <v>47.278644067788605</v>
      </c>
      <c r="Y1141" s="289"/>
      <c r="Z1141" s="289"/>
    </row>
    <row r="1142" spans="3:26" ht="19" x14ac:dyDescent="0.2">
      <c r="C1142" s="243"/>
      <c r="D1142" s="614">
        <v>45504</v>
      </c>
      <c r="E1142" s="283">
        <v>45.3</v>
      </c>
      <c r="F1142" s="283" t="s">
        <v>474</v>
      </c>
      <c r="G1142" s="283">
        <v>47.4</v>
      </c>
      <c r="H1142" s="284">
        <v>0.57291666666666663</v>
      </c>
      <c r="I1142" s="1145"/>
      <c r="J1142" s="1145"/>
      <c r="K1142" s="1146"/>
      <c r="L1142" s="586">
        <v>0.36458333333333331</v>
      </c>
      <c r="M1142" s="373"/>
      <c r="N1142" s="243"/>
      <c r="O1142" s="246" t="s">
        <v>816</v>
      </c>
      <c r="P1142" s="290"/>
      <c r="Q1142" s="285"/>
      <c r="R1142" s="286"/>
      <c r="S1142" s="250"/>
      <c r="T1142" s="290"/>
      <c r="U1142" s="287">
        <v>-23.639322033894302</v>
      </c>
      <c r="V1142" s="288"/>
      <c r="W1142" s="250"/>
      <c r="X1142" s="252">
        <v>47.278644067788605</v>
      </c>
      <c r="Y1142" s="289"/>
      <c r="Z1142" s="289"/>
    </row>
    <row r="1143" spans="3:26" ht="19" x14ac:dyDescent="0.2">
      <c r="C1143" s="243"/>
      <c r="D1143" s="614">
        <v>45471</v>
      </c>
      <c r="E1143" s="283">
        <v>47.4</v>
      </c>
      <c r="F1143" s="283" t="s">
        <v>475</v>
      </c>
      <c r="G1143" s="283">
        <v>35.4</v>
      </c>
      <c r="H1143" s="284">
        <v>0.57291666666666663</v>
      </c>
      <c r="I1143" s="1145"/>
      <c r="J1143" s="1145"/>
      <c r="K1143" s="1146"/>
      <c r="L1143" s="586">
        <v>0.36458333333333331</v>
      </c>
      <c r="M1143" s="373"/>
      <c r="N1143" s="243"/>
      <c r="O1143" s="291"/>
      <c r="P1143" s="291"/>
      <c r="Q1143" s="291"/>
      <c r="R1143" s="291"/>
      <c r="S1143" s="291"/>
      <c r="T1143" s="291"/>
      <c r="U1143" s="291"/>
      <c r="V1143" s="291"/>
      <c r="W1143" s="291"/>
      <c r="X1143" s="291"/>
      <c r="Y1143" s="291"/>
      <c r="Z1143" s="291"/>
    </row>
    <row r="1144" spans="3:26" ht="20" thickBot="1" x14ac:dyDescent="0.25">
      <c r="C1144" s="243"/>
      <c r="D1144" s="615">
        <v>45443</v>
      </c>
      <c r="E1144" s="283">
        <v>35.4</v>
      </c>
      <c r="F1144" s="283" t="s">
        <v>476</v>
      </c>
      <c r="G1144" s="283">
        <v>37.9</v>
      </c>
      <c r="H1144" s="292">
        <v>0.57291666666666663</v>
      </c>
      <c r="I1144" s="1147"/>
      <c r="J1144" s="1147"/>
      <c r="K1144" s="1148"/>
      <c r="L1144" s="586">
        <v>0.36458333333333331</v>
      </c>
      <c r="M1144" s="530"/>
      <c r="N1144" s="243"/>
      <c r="O1144" s="291"/>
      <c r="P1144" s="291"/>
      <c r="Q1144" s="291"/>
      <c r="R1144" s="291"/>
      <c r="S1144" s="291"/>
      <c r="T1144" s="291"/>
      <c r="U1144" s="291"/>
      <c r="V1144" s="291"/>
      <c r="W1144" s="291"/>
      <c r="X1144" s="291"/>
      <c r="Y1144" s="291"/>
      <c r="Z1144" s="291"/>
    </row>
    <row r="1145" spans="3:26" ht="20" thickBot="1" x14ac:dyDescent="0.25">
      <c r="C1145" s="241">
        <v>15</v>
      </c>
      <c r="D1145" s="576" t="s">
        <v>30</v>
      </c>
      <c r="E1145" s="874" t="s">
        <v>1087</v>
      </c>
      <c r="F1145" s="875"/>
      <c r="G1145" s="876"/>
      <c r="H1145" s="242" t="s">
        <v>790</v>
      </c>
      <c r="I1145" s="1042" t="s">
        <v>633</v>
      </c>
      <c r="J1145" s="1042"/>
      <c r="K1145" s="1043"/>
      <c r="L1145" s="577" t="s">
        <v>430</v>
      </c>
      <c r="M1145" s="371" t="s">
        <v>431</v>
      </c>
      <c r="N1145" s="243" t="s">
        <v>105</v>
      </c>
      <c r="O1145" s="244" t="s">
        <v>800</v>
      </c>
      <c r="P1145" s="244" t="s">
        <v>801</v>
      </c>
      <c r="Q1145" s="244" t="s">
        <v>802</v>
      </c>
      <c r="R1145" s="244" t="s">
        <v>803</v>
      </c>
      <c r="S1145" s="244" t="s">
        <v>804</v>
      </c>
      <c r="T1145" s="244" t="s">
        <v>805</v>
      </c>
      <c r="U1145" s="244" t="s">
        <v>806</v>
      </c>
      <c r="V1145" s="244" t="s">
        <v>807</v>
      </c>
      <c r="W1145" s="244" t="s">
        <v>808</v>
      </c>
      <c r="X1145" s="244" t="s">
        <v>809</v>
      </c>
      <c r="Y1145" s="244" t="s">
        <v>75</v>
      </c>
      <c r="Z1145" s="244" t="s">
        <v>75</v>
      </c>
    </row>
    <row r="1146" spans="3:26" ht="19" x14ac:dyDescent="0.2">
      <c r="C1146" s="243"/>
      <c r="D1146" s="588" t="s">
        <v>432</v>
      </c>
      <c r="E1146" s="853"/>
      <c r="F1146" s="854"/>
      <c r="G1146" s="855"/>
      <c r="H1146" s="245" t="s">
        <v>1132</v>
      </c>
      <c r="I1146" s="1044" t="s">
        <v>1088</v>
      </c>
      <c r="J1146" s="1044"/>
      <c r="K1146" s="1045"/>
      <c r="L1146" s="579"/>
      <c r="M1146" s="527" t="s">
        <v>1087</v>
      </c>
      <c r="N1146" s="243"/>
      <c r="O1146" s="246" t="s">
        <v>810</v>
      </c>
      <c r="P1146" s="247">
        <v>0.1</v>
      </c>
      <c r="Q1146" s="248">
        <v>2.7E-2</v>
      </c>
      <c r="R1146" s="249">
        <v>1.5999999999991132E-2</v>
      </c>
      <c r="S1146" s="250"/>
      <c r="T1146" s="246">
        <v>5.6499999999991134E-2</v>
      </c>
      <c r="U1146" s="248">
        <v>-13.31</v>
      </c>
      <c r="V1146" s="247">
        <v>91.8</v>
      </c>
      <c r="W1146" s="251">
        <v>2</v>
      </c>
      <c r="X1146" s="252">
        <v>26.62</v>
      </c>
      <c r="Y1146" s="250"/>
      <c r="Z1146" s="250"/>
    </row>
    <row r="1147" spans="3:26" ht="19" x14ac:dyDescent="0.2">
      <c r="C1147" s="243"/>
      <c r="D1147" s="589" t="s">
        <v>433</v>
      </c>
      <c r="E1147" s="868"/>
      <c r="F1147" s="869"/>
      <c r="G1147" s="870"/>
      <c r="H1147" s="245" t="s">
        <v>1133</v>
      </c>
      <c r="I1147" s="1046"/>
      <c r="J1147" s="1046"/>
      <c r="K1147" s="1047"/>
      <c r="L1147" s="579"/>
      <c r="M1147" s="373"/>
      <c r="N1147" s="243"/>
      <c r="O1147" s="243"/>
      <c r="P1147" s="243"/>
      <c r="Q1147" s="243"/>
      <c r="R1147" s="253"/>
      <c r="S1147" s="254"/>
      <c r="T1147" s="243"/>
      <c r="U1147" s="243"/>
      <c r="V1147" s="243"/>
      <c r="W1147" s="254"/>
      <c r="X1147" s="254"/>
      <c r="Y1147" s="255"/>
      <c r="Z1147" s="255"/>
    </row>
    <row r="1148" spans="3:26" ht="19" x14ac:dyDescent="0.2">
      <c r="C1148" s="243"/>
      <c r="D1148" s="589" t="s">
        <v>434</v>
      </c>
      <c r="E1148" s="877">
        <v>50.1</v>
      </c>
      <c r="F1148" s="878"/>
      <c r="G1148" s="879"/>
      <c r="H1148" s="245"/>
      <c r="I1148" s="1046"/>
      <c r="J1148" s="1046"/>
      <c r="K1148" s="1047"/>
      <c r="L1148" s="579"/>
      <c r="M1148" s="373"/>
      <c r="N1148" s="243"/>
      <c r="O1148" s="256" t="s">
        <v>811</v>
      </c>
      <c r="P1148" s="257">
        <v>0.1</v>
      </c>
      <c r="Q1148" s="258">
        <v>7.6399999999999996E-2</v>
      </c>
      <c r="R1148" s="259">
        <v>1.7000000000000001E-2</v>
      </c>
      <c r="S1148" s="260">
        <v>1</v>
      </c>
      <c r="T1148" s="256">
        <v>0.13159999999999999</v>
      </c>
      <c r="U1148" s="261">
        <v>-31.00169911504911</v>
      </c>
      <c r="V1148" s="262">
        <v>60.5</v>
      </c>
      <c r="W1148" s="361">
        <v>4.3600000000000003</v>
      </c>
      <c r="X1148" s="264">
        <v>135.16740814161412</v>
      </c>
      <c r="Y1148" s="265"/>
      <c r="Z1148" s="265">
        <v>4.4350000000000005</v>
      </c>
    </row>
    <row r="1149" spans="3:26" ht="20" thickBot="1" x14ac:dyDescent="0.25">
      <c r="C1149" s="243"/>
      <c r="D1149" s="590" t="s">
        <v>435</v>
      </c>
      <c r="E1149" s="871">
        <v>6.2500000000000028E-2</v>
      </c>
      <c r="F1149" s="872"/>
      <c r="G1149" s="873"/>
      <c r="H1149" s="266">
        <v>0.85416666666666663</v>
      </c>
      <c r="I1149" s="1046"/>
      <c r="J1149" s="1046"/>
      <c r="K1149" s="1047"/>
      <c r="L1149" s="582">
        <v>0.29166666666666669</v>
      </c>
      <c r="M1149" s="376">
        <v>0.14583333333333334</v>
      </c>
      <c r="N1149" s="243"/>
      <c r="O1149" s="267" t="s">
        <v>812</v>
      </c>
      <c r="P1149" s="268">
        <v>0.1</v>
      </c>
      <c r="Q1149" s="269">
        <v>6.6799999999999998E-2</v>
      </c>
      <c r="R1149" s="270">
        <v>1.7000000000000001E-2</v>
      </c>
      <c r="S1149" s="271">
        <v>1.5</v>
      </c>
      <c r="T1149" s="272">
        <v>0.1172</v>
      </c>
      <c r="U1149" s="273">
        <v>-41.414123893811812</v>
      </c>
      <c r="V1149" s="274">
        <v>60.5</v>
      </c>
      <c r="W1149" s="309">
        <v>5.9039999999999999</v>
      </c>
      <c r="X1149" s="276">
        <v>244.50898746906495</v>
      </c>
      <c r="Y1149" s="277"/>
      <c r="Z1149" s="277"/>
    </row>
    <row r="1150" spans="3:26" ht="20" thickBot="1" x14ac:dyDescent="0.25">
      <c r="C1150" s="243"/>
      <c r="D1150" s="591" t="s">
        <v>436</v>
      </c>
      <c r="E1150" s="293" t="s">
        <v>29</v>
      </c>
      <c r="F1150" s="293" t="s">
        <v>28</v>
      </c>
      <c r="G1150" s="294" t="s">
        <v>27</v>
      </c>
      <c r="H1150" s="280" t="s">
        <v>793</v>
      </c>
      <c r="I1150" s="1046"/>
      <c r="J1150" s="1046"/>
      <c r="K1150" s="1047"/>
      <c r="L1150" s="584"/>
      <c r="M1150" s="378"/>
      <c r="N1150" s="243"/>
      <c r="O1150" s="254"/>
      <c r="P1150" s="255"/>
      <c r="Q1150" s="254"/>
      <c r="R1150" s="254"/>
      <c r="S1150" s="254"/>
      <c r="T1150" s="254"/>
      <c r="U1150" s="281"/>
      <c r="V1150" s="282"/>
      <c r="W1150" s="254"/>
      <c r="X1150" s="281"/>
      <c r="Y1150" s="255"/>
      <c r="Z1150" s="255"/>
    </row>
    <row r="1151" spans="3:26" ht="19" x14ac:dyDescent="0.2">
      <c r="C1151" s="243"/>
      <c r="D1151" s="595">
        <v>45595</v>
      </c>
      <c r="E1151" s="362">
        <v>50.1</v>
      </c>
      <c r="F1151" s="362" t="s">
        <v>513</v>
      </c>
      <c r="G1151" s="362">
        <v>49.8</v>
      </c>
      <c r="H1151" s="284">
        <v>6.2500000000000028E-2</v>
      </c>
      <c r="I1151" s="1046"/>
      <c r="J1151" s="1046"/>
      <c r="K1151" s="1047"/>
      <c r="L1151" s="586">
        <v>0.85416666666666663</v>
      </c>
      <c r="M1151" s="528"/>
      <c r="N1151" s="243"/>
      <c r="O1151" s="254"/>
      <c r="P1151" s="255"/>
      <c r="Q1151" s="254"/>
      <c r="R1151" s="254"/>
      <c r="S1151" s="254"/>
      <c r="T1151" s="254"/>
      <c r="U1151" s="254"/>
      <c r="V1151" s="254"/>
      <c r="W1151" s="254"/>
      <c r="X1151" s="254"/>
      <c r="Y1151" s="255"/>
      <c r="Z1151" s="255"/>
    </row>
    <row r="1152" spans="3:26" ht="19" x14ac:dyDescent="0.2">
      <c r="C1152" s="243"/>
      <c r="D1152" s="595">
        <v>45564</v>
      </c>
      <c r="E1152" s="362">
        <v>49.8</v>
      </c>
      <c r="F1152" s="362" t="s">
        <v>440</v>
      </c>
      <c r="G1152" s="362">
        <v>49.1</v>
      </c>
      <c r="H1152" s="284">
        <v>6.2500000000000028E-2</v>
      </c>
      <c r="I1152" s="1046"/>
      <c r="J1152" s="1046"/>
      <c r="K1152" s="1047"/>
      <c r="L1152" s="586">
        <v>0.85416666666666663</v>
      </c>
      <c r="M1152" s="529"/>
      <c r="N1152" s="243"/>
      <c r="O1152" s="246" t="s">
        <v>813</v>
      </c>
      <c r="P1152" s="247">
        <v>0.06</v>
      </c>
      <c r="Q1152" s="285">
        <v>7.1599999999999997E-2</v>
      </c>
      <c r="R1152" s="286">
        <v>1.7000000000000001E-2</v>
      </c>
      <c r="S1152" s="250">
        <v>2</v>
      </c>
      <c r="T1152" s="256">
        <v>0.1244</v>
      </c>
      <c r="U1152" s="287">
        <v>-35.166669026554196</v>
      </c>
      <c r="V1152" s="288">
        <v>36.299999999999997</v>
      </c>
      <c r="W1152" s="363">
        <v>4</v>
      </c>
      <c r="X1152" s="252">
        <v>140.66667610621678</v>
      </c>
      <c r="Y1152" s="289"/>
      <c r="Z1152" s="289"/>
    </row>
    <row r="1153" spans="2:26" ht="19" x14ac:dyDescent="0.2">
      <c r="C1153" s="243"/>
      <c r="D1153" s="595">
        <v>45534</v>
      </c>
      <c r="E1153" s="362">
        <v>49.1</v>
      </c>
      <c r="F1153" s="362" t="s">
        <v>438</v>
      </c>
      <c r="G1153" s="362">
        <v>49.4</v>
      </c>
      <c r="H1153" s="284">
        <v>6.2500000000000028E-2</v>
      </c>
      <c r="I1153" s="1046"/>
      <c r="J1153" s="1046"/>
      <c r="K1153" s="1047"/>
      <c r="L1153" s="586">
        <v>0.85416666666666663</v>
      </c>
      <c r="M1153" s="373"/>
      <c r="N1153" s="243"/>
      <c r="O1153" s="246" t="s">
        <v>813</v>
      </c>
      <c r="P1153" s="247">
        <v>0.06</v>
      </c>
      <c r="Q1153" s="285">
        <v>7.1599999999999997E-2</v>
      </c>
      <c r="R1153" s="286">
        <v>1.7000000000000001E-2</v>
      </c>
      <c r="S1153" s="250">
        <v>2</v>
      </c>
      <c r="T1153" s="256">
        <v>0.1244</v>
      </c>
      <c r="U1153" s="287">
        <v>-35.166669026554196</v>
      </c>
      <c r="V1153" s="288">
        <v>36.299999999999997</v>
      </c>
      <c r="W1153" s="363">
        <v>4</v>
      </c>
      <c r="X1153" s="252">
        <v>140.66667610621678</v>
      </c>
      <c r="Y1153" s="289"/>
      <c r="Z1153" s="289"/>
    </row>
    <row r="1154" spans="2:26" ht="19" x14ac:dyDescent="0.2">
      <c r="C1154" s="243"/>
      <c r="D1154" s="595">
        <v>45503</v>
      </c>
      <c r="E1154" s="362">
        <v>49.4</v>
      </c>
      <c r="F1154" s="362" t="s">
        <v>440</v>
      </c>
      <c r="G1154" s="362">
        <v>49.5</v>
      </c>
      <c r="H1154" s="284">
        <v>6.2500000000000028E-2</v>
      </c>
      <c r="I1154" s="1046"/>
      <c r="J1154" s="1046"/>
      <c r="K1154" s="1047"/>
      <c r="L1154" s="586">
        <v>0.85416666666666663</v>
      </c>
      <c r="M1154" s="373"/>
      <c r="N1154" s="243"/>
      <c r="O1154" s="246" t="s">
        <v>816</v>
      </c>
      <c r="P1154" s="290"/>
      <c r="Q1154" s="285"/>
      <c r="R1154" s="286"/>
      <c r="S1154" s="250"/>
      <c r="T1154" s="290"/>
      <c r="U1154" s="287"/>
      <c r="V1154" s="288"/>
      <c r="W1154" s="250"/>
      <c r="X1154" s="252"/>
      <c r="Y1154" s="289"/>
      <c r="Z1154" s="289"/>
    </row>
    <row r="1155" spans="2:26" ht="19" x14ac:dyDescent="0.2">
      <c r="C1155" s="243"/>
      <c r="D1155" s="595">
        <v>45472</v>
      </c>
      <c r="E1155" s="362">
        <v>49.5</v>
      </c>
      <c r="F1155" s="362" t="s">
        <v>438</v>
      </c>
      <c r="G1155" s="362">
        <v>49.5</v>
      </c>
      <c r="H1155" s="284">
        <v>6.2500000000000028E-2</v>
      </c>
      <c r="I1155" s="1046"/>
      <c r="J1155" s="1046"/>
      <c r="K1155" s="1047"/>
      <c r="L1155" s="586">
        <v>0.85416666666666663</v>
      </c>
      <c r="M1155" s="373"/>
      <c r="N1155" s="243"/>
      <c r="O1155" s="291"/>
      <c r="P1155" s="291"/>
      <c r="Q1155" s="291"/>
      <c r="R1155" s="291"/>
      <c r="S1155" s="291"/>
      <c r="T1155" s="291"/>
      <c r="U1155" s="291"/>
      <c r="V1155" s="291"/>
      <c r="W1155" s="291"/>
      <c r="X1155" s="291"/>
      <c r="Y1155" s="291"/>
      <c r="Z1155" s="291"/>
    </row>
    <row r="1156" spans="2:26" ht="20" thickBot="1" x14ac:dyDescent="0.25">
      <c r="C1156" s="243"/>
      <c r="D1156" s="606">
        <v>45442</v>
      </c>
      <c r="E1156" s="364">
        <v>49.5</v>
      </c>
      <c r="F1156" s="364" t="s">
        <v>443</v>
      </c>
      <c r="G1156" s="364">
        <v>50.4</v>
      </c>
      <c r="H1156" s="292">
        <v>6.2500000000000028E-2</v>
      </c>
      <c r="I1156" s="1048"/>
      <c r="J1156" s="1048"/>
      <c r="K1156" s="1049"/>
      <c r="L1156" s="587">
        <v>0.85416666666666663</v>
      </c>
      <c r="M1156" s="530"/>
      <c r="N1156" s="243"/>
      <c r="O1156" s="291"/>
      <c r="P1156" s="291"/>
      <c r="Q1156" s="291"/>
      <c r="R1156" s="291"/>
      <c r="S1156" s="291"/>
      <c r="T1156" s="291"/>
      <c r="U1156" s="291"/>
      <c r="V1156" s="291"/>
      <c r="W1156" s="291"/>
      <c r="X1156" s="291"/>
      <c r="Y1156" s="291"/>
      <c r="Z1156" s="291"/>
    </row>
    <row r="1157" spans="2:26" ht="20" thickBot="1" x14ac:dyDescent="0.25">
      <c r="B1157" t="s">
        <v>105</v>
      </c>
      <c r="C1157" s="241">
        <v>1</v>
      </c>
      <c r="D1157" s="576" t="s">
        <v>30</v>
      </c>
      <c r="E1157" s="874" t="s">
        <v>1135</v>
      </c>
      <c r="F1157" s="875"/>
      <c r="G1157" s="876"/>
      <c r="H1157" s="242" t="s">
        <v>790</v>
      </c>
      <c r="I1157" s="977" t="s">
        <v>633</v>
      </c>
      <c r="J1157" s="977"/>
      <c r="K1157" s="978"/>
      <c r="L1157" s="616" t="s">
        <v>430</v>
      </c>
      <c r="M1157" s="372" t="s">
        <v>431</v>
      </c>
      <c r="N1157" s="243" t="s">
        <v>105</v>
      </c>
      <c r="O1157" s="244" t="s">
        <v>800</v>
      </c>
      <c r="P1157" s="244" t="s">
        <v>801</v>
      </c>
      <c r="Q1157" s="244" t="s">
        <v>802</v>
      </c>
      <c r="R1157" s="244" t="s">
        <v>803</v>
      </c>
      <c r="S1157" s="244" t="s">
        <v>804</v>
      </c>
      <c r="T1157" s="244" t="s">
        <v>805</v>
      </c>
      <c r="U1157" s="244" t="s">
        <v>806</v>
      </c>
      <c r="V1157" s="244" t="s">
        <v>807</v>
      </c>
      <c r="W1157" s="244" t="s">
        <v>808</v>
      </c>
      <c r="X1157" s="244" t="s">
        <v>809</v>
      </c>
      <c r="Y1157" s="244" t="s">
        <v>75</v>
      </c>
      <c r="Z1157" s="244" t="s">
        <v>75</v>
      </c>
    </row>
    <row r="1158" spans="2:26" ht="19" x14ac:dyDescent="0.2">
      <c r="C1158" s="241"/>
      <c r="D1158" s="578" t="s">
        <v>432</v>
      </c>
      <c r="E1158" s="805"/>
      <c r="F1158" s="806"/>
      <c r="G1158" s="807"/>
      <c r="H1158" s="245" t="s">
        <v>794</v>
      </c>
      <c r="I1158" s="962" t="s">
        <v>1136</v>
      </c>
      <c r="J1158" s="962"/>
      <c r="K1158" s="963"/>
      <c r="L1158" s="617"/>
      <c r="M1158" s="374" t="s">
        <v>1135</v>
      </c>
      <c r="N1158" s="243"/>
      <c r="O1158" s="246" t="s">
        <v>810</v>
      </c>
      <c r="P1158" s="247">
        <v>0.1</v>
      </c>
      <c r="Q1158" s="248">
        <v>3.5999999999999997E-2</v>
      </c>
      <c r="R1158" s="249">
        <v>2.2000000000005571E-2</v>
      </c>
      <c r="S1158" s="250"/>
      <c r="T1158" s="246">
        <v>7.6000000000005563E-2</v>
      </c>
      <c r="U1158" s="248">
        <v>-20.059999999999999</v>
      </c>
      <c r="V1158" s="247">
        <v>60.5</v>
      </c>
      <c r="W1158" s="251">
        <v>2</v>
      </c>
      <c r="X1158" s="252">
        <v>40.119999999999997</v>
      </c>
      <c r="Y1158" s="250"/>
      <c r="Z1158" s="250"/>
    </row>
    <row r="1159" spans="2:26" ht="19" x14ac:dyDescent="0.2">
      <c r="C1159" s="241"/>
      <c r="D1159" s="580" t="s">
        <v>433</v>
      </c>
      <c r="E1159" s="808">
        <v>2E-3</v>
      </c>
      <c r="F1159" s="809"/>
      <c r="G1159" s="810"/>
      <c r="H1159" s="245" t="s">
        <v>795</v>
      </c>
      <c r="I1159" s="964"/>
      <c r="J1159" s="964"/>
      <c r="K1159" s="965"/>
      <c r="L1159" s="617"/>
      <c r="M1159" s="375"/>
      <c r="N1159" s="243"/>
      <c r="O1159" s="243"/>
      <c r="P1159" s="243"/>
      <c r="Q1159" s="243"/>
      <c r="R1159" s="253"/>
      <c r="S1159" s="254"/>
      <c r="T1159" s="243"/>
      <c r="U1159" s="243"/>
      <c r="V1159" s="243"/>
      <c r="W1159" s="254"/>
      <c r="X1159" s="254"/>
      <c r="Y1159" s="255"/>
      <c r="Z1159" s="255"/>
    </row>
    <row r="1160" spans="2:26" ht="19" x14ac:dyDescent="0.2">
      <c r="C1160" s="241"/>
      <c r="D1160" s="580" t="s">
        <v>434</v>
      </c>
      <c r="E1160" s="808">
        <v>2E-3</v>
      </c>
      <c r="F1160" s="809"/>
      <c r="G1160" s="810"/>
      <c r="H1160" s="245"/>
      <c r="I1160" s="964"/>
      <c r="J1160" s="964"/>
      <c r="K1160" s="965"/>
      <c r="L1160" s="617"/>
      <c r="M1160" s="375"/>
      <c r="N1160" s="243"/>
      <c r="O1160" s="256" t="s">
        <v>811</v>
      </c>
      <c r="P1160" s="257">
        <v>0.1</v>
      </c>
      <c r="Q1160" s="258">
        <v>9.2700000000000005E-2</v>
      </c>
      <c r="R1160" s="259">
        <v>2.5999999999999999E-2</v>
      </c>
      <c r="S1160" s="260">
        <v>1</v>
      </c>
      <c r="T1160" s="256">
        <v>0.16505</v>
      </c>
      <c r="U1160" s="261">
        <v>-43.564513157891547</v>
      </c>
      <c r="V1160" s="262">
        <v>60.5</v>
      </c>
      <c r="W1160" s="263">
        <v>4.8899999999999997</v>
      </c>
      <c r="X1160" s="264">
        <v>213.03046934208965</v>
      </c>
      <c r="Y1160" s="265"/>
      <c r="Z1160" s="265"/>
    </row>
    <row r="1161" spans="2:26" ht="20" thickBot="1" x14ac:dyDescent="0.25">
      <c r="C1161" s="241"/>
      <c r="D1161" s="581" t="s">
        <v>435</v>
      </c>
      <c r="E1161" s="850">
        <v>0.99305555555555558</v>
      </c>
      <c r="F1161" s="851"/>
      <c r="G1161" s="852"/>
      <c r="H1161" s="266"/>
      <c r="I1161" s="964"/>
      <c r="J1161" s="964"/>
      <c r="K1161" s="965"/>
      <c r="L1161" s="618">
        <v>0.22222222222222221</v>
      </c>
      <c r="M1161" s="377">
        <v>7.6388888888888867E-2</v>
      </c>
      <c r="N1161" s="243"/>
      <c r="O1161" s="267" t="s">
        <v>812</v>
      </c>
      <c r="P1161" s="268">
        <v>0.1</v>
      </c>
      <c r="Q1161" s="269">
        <v>5.8733333333333332E-2</v>
      </c>
      <c r="R1161" s="270">
        <v>2.5999999999999999E-2</v>
      </c>
      <c r="S1161" s="271">
        <v>1</v>
      </c>
      <c r="T1161" s="272">
        <v>0.11409999999999999</v>
      </c>
      <c r="U1161" s="273">
        <v>-30.116394736839897</v>
      </c>
      <c r="V1161" s="274">
        <v>60.5</v>
      </c>
      <c r="W1161" s="275">
        <v>2</v>
      </c>
      <c r="X1161" s="276">
        <v>60.232789473679794</v>
      </c>
      <c r="Y1161" s="277"/>
      <c r="Z1161" s="277"/>
    </row>
    <row r="1162" spans="2:26" ht="20" thickBot="1" x14ac:dyDescent="0.25">
      <c r="C1162" s="241"/>
      <c r="D1162" s="583" t="s">
        <v>436</v>
      </c>
      <c r="E1162" s="278" t="s">
        <v>29</v>
      </c>
      <c r="F1162" s="278" t="s">
        <v>28</v>
      </c>
      <c r="G1162" s="279" t="s">
        <v>27</v>
      </c>
      <c r="H1162" s="280" t="s">
        <v>793</v>
      </c>
      <c r="I1162" s="964"/>
      <c r="J1162" s="964"/>
      <c r="K1162" s="965"/>
      <c r="L1162" s="619" t="s">
        <v>1246</v>
      </c>
      <c r="M1162" s="379"/>
      <c r="N1162" s="243"/>
      <c r="O1162" s="254"/>
      <c r="P1162" s="255"/>
      <c r="Q1162" s="254"/>
      <c r="R1162" s="254"/>
      <c r="S1162" s="254"/>
      <c r="T1162" s="254"/>
      <c r="U1162" s="281"/>
      <c r="V1162" s="282"/>
      <c r="W1162" s="254"/>
      <c r="X1162" s="281"/>
      <c r="Y1162" s="255"/>
      <c r="Z1162" s="255"/>
    </row>
    <row r="1163" spans="2:26" ht="19" x14ac:dyDescent="0.2">
      <c r="C1163" s="241"/>
      <c r="D1163" s="620">
        <v>45595</v>
      </c>
      <c r="E1163" s="380">
        <v>1E-3</v>
      </c>
      <c r="F1163" s="380" t="s">
        <v>467</v>
      </c>
      <c r="G1163" s="380">
        <v>7.0000000000000001E-3</v>
      </c>
      <c r="H1163" s="381">
        <v>0.99305555555555558</v>
      </c>
      <c r="I1163" s="964"/>
      <c r="J1163" s="964"/>
      <c r="K1163" s="965"/>
      <c r="L1163" s="621"/>
      <c r="M1163" s="382"/>
      <c r="N1163" s="243"/>
      <c r="O1163" s="254"/>
      <c r="P1163" s="255"/>
      <c r="Q1163" s="254"/>
      <c r="R1163" s="254"/>
      <c r="S1163" s="254"/>
      <c r="T1163" s="254"/>
      <c r="U1163" s="254"/>
      <c r="V1163" s="254"/>
      <c r="W1163" s="254"/>
      <c r="X1163" s="254"/>
      <c r="Y1163" s="255"/>
      <c r="Z1163" s="255"/>
    </row>
    <row r="1164" spans="2:26" ht="19" x14ac:dyDescent="0.2">
      <c r="C1164" s="241"/>
      <c r="D1164" s="620">
        <v>45565</v>
      </c>
      <c r="E1164" s="380">
        <v>7.0000000000000001E-3</v>
      </c>
      <c r="F1164" s="380" t="s">
        <v>452</v>
      </c>
      <c r="G1164" s="380">
        <v>1E-3</v>
      </c>
      <c r="H1164" s="381">
        <v>0.99305555555555558</v>
      </c>
      <c r="I1164" s="964"/>
      <c r="J1164" s="964"/>
      <c r="K1164" s="965"/>
      <c r="L1164" s="621"/>
      <c r="M1164" s="383"/>
      <c r="N1164" s="243"/>
      <c r="O1164" s="246" t="s">
        <v>813</v>
      </c>
      <c r="P1164" s="247">
        <v>0.05</v>
      </c>
      <c r="Q1164" s="285">
        <v>7.5716666666666668E-2</v>
      </c>
      <c r="R1164" s="286">
        <v>2.5999999999999999E-2</v>
      </c>
      <c r="S1164" s="250">
        <v>1</v>
      </c>
      <c r="T1164" s="256">
        <v>0.139575</v>
      </c>
      <c r="U1164" s="287">
        <v>-18.420226973682862</v>
      </c>
      <c r="V1164" s="288">
        <v>30.25</v>
      </c>
      <c r="W1164" s="250">
        <v>1.5</v>
      </c>
      <c r="X1164" s="252">
        <v>27.630340460524295</v>
      </c>
      <c r="Y1164" s="289"/>
      <c r="Z1164" s="289"/>
    </row>
    <row r="1165" spans="2:26" ht="19" x14ac:dyDescent="0.2">
      <c r="C1165" s="241"/>
      <c r="D1165" s="620">
        <v>45533</v>
      </c>
      <c r="E1165" s="380">
        <v>0</v>
      </c>
      <c r="F1165" s="380" t="s">
        <v>467</v>
      </c>
      <c r="G1165" s="380">
        <v>5.0000000000000001E-3</v>
      </c>
      <c r="H1165" s="381">
        <v>0.99305555555555558</v>
      </c>
      <c r="I1165" s="964"/>
      <c r="J1165" s="964"/>
      <c r="K1165" s="965"/>
      <c r="L1165" s="621"/>
      <c r="M1165" s="375"/>
      <c r="N1165" s="243"/>
      <c r="O1165" s="246" t="s">
        <v>813</v>
      </c>
      <c r="P1165" s="247">
        <v>-0.05</v>
      </c>
      <c r="Q1165" s="285">
        <v>7.5716666666666668E-2</v>
      </c>
      <c r="R1165" s="286">
        <v>2.5999999999999999E-2</v>
      </c>
      <c r="S1165" s="250">
        <v>-1</v>
      </c>
      <c r="T1165" s="256">
        <v>0.139575</v>
      </c>
      <c r="U1165" s="287">
        <v>-18.420226973682862</v>
      </c>
      <c r="V1165" s="288">
        <v>-30.25</v>
      </c>
      <c r="W1165" s="250">
        <v>1.5</v>
      </c>
      <c r="X1165" s="252">
        <v>27.630340460524295</v>
      </c>
      <c r="Y1165" s="289"/>
      <c r="Z1165" s="289"/>
    </row>
    <row r="1166" spans="2:26" ht="19" x14ac:dyDescent="0.2">
      <c r="C1166" s="241"/>
      <c r="D1166" s="620">
        <v>45503</v>
      </c>
      <c r="E1166" s="380">
        <v>5.0000000000000001E-3</v>
      </c>
      <c r="F1166" s="380" t="s">
        <v>460</v>
      </c>
      <c r="G1166" s="380">
        <v>6.0000000000000001E-3</v>
      </c>
      <c r="H1166" s="381">
        <v>0.99305555555555558</v>
      </c>
      <c r="I1166" s="964"/>
      <c r="J1166" s="964"/>
      <c r="K1166" s="965"/>
      <c r="L1166" s="621"/>
      <c r="M1166" s="375"/>
      <c r="N1166" s="243"/>
      <c r="O1166" s="246"/>
      <c r="P1166" s="290"/>
      <c r="Q1166" s="285"/>
      <c r="R1166" s="286"/>
      <c r="S1166" s="250"/>
      <c r="T1166" s="290"/>
      <c r="U1166" s="287"/>
      <c r="V1166" s="288"/>
      <c r="W1166" s="250"/>
      <c r="X1166" s="252"/>
      <c r="Y1166" s="289"/>
      <c r="Z1166" s="289"/>
    </row>
    <row r="1167" spans="2:26" ht="19" x14ac:dyDescent="0.2">
      <c r="C1167" s="241"/>
      <c r="D1167" s="620">
        <v>45475</v>
      </c>
      <c r="E1167" s="380">
        <v>6.0000000000000001E-3</v>
      </c>
      <c r="F1167" s="380" t="s">
        <v>467</v>
      </c>
      <c r="G1167" s="380">
        <v>1E-3</v>
      </c>
      <c r="H1167" s="381">
        <v>0.99305555555555558</v>
      </c>
      <c r="I1167" s="964"/>
      <c r="J1167" s="964"/>
      <c r="K1167" s="965"/>
      <c r="L1167" s="621"/>
      <c r="M1167" s="375"/>
      <c r="N1167" s="243"/>
      <c r="O1167" s="291"/>
      <c r="P1167" s="291"/>
      <c r="Q1167" s="291"/>
      <c r="R1167" s="291"/>
      <c r="S1167" s="291"/>
      <c r="T1167" s="291"/>
      <c r="U1167" s="291"/>
      <c r="V1167" s="291"/>
      <c r="W1167" s="291"/>
      <c r="X1167" s="291"/>
      <c r="Y1167" s="291"/>
      <c r="Z1167" s="291"/>
    </row>
    <row r="1168" spans="2:26" ht="20" thickBot="1" x14ac:dyDescent="0.25">
      <c r="C1168" s="241"/>
      <c r="D1168" s="620">
        <v>45446</v>
      </c>
      <c r="E1168" s="380">
        <v>1E-3</v>
      </c>
      <c r="F1168" s="380" t="s">
        <v>462</v>
      </c>
      <c r="G1168" s="380">
        <v>-4.0000000000000001E-3</v>
      </c>
      <c r="H1168" s="381">
        <v>0.99305555555555558</v>
      </c>
      <c r="I1168" s="966"/>
      <c r="J1168" s="966"/>
      <c r="K1168" s="967"/>
      <c r="L1168" s="621"/>
      <c r="M1168" s="384"/>
      <c r="N1168" s="243"/>
      <c r="O1168" s="291"/>
      <c r="P1168" s="291"/>
      <c r="Q1168" s="291"/>
      <c r="R1168" s="291"/>
      <c r="S1168" s="291"/>
      <c r="T1168" s="291"/>
      <c r="U1168" s="291"/>
      <c r="V1168" s="291"/>
      <c r="W1168" s="291"/>
      <c r="X1168" s="291"/>
      <c r="Y1168" s="291"/>
      <c r="Z1168" s="291"/>
    </row>
    <row r="1169" spans="3:26" ht="20" thickBot="1" x14ac:dyDescent="0.25">
      <c r="C1169" s="241">
        <v>1</v>
      </c>
      <c r="D1169" s="576" t="s">
        <v>30</v>
      </c>
      <c r="E1169" s="874" t="s">
        <v>1137</v>
      </c>
      <c r="F1169" s="875"/>
      <c r="G1169" s="876"/>
      <c r="H1169" s="242" t="s">
        <v>790</v>
      </c>
      <c r="I1169" s="977" t="s">
        <v>633</v>
      </c>
      <c r="J1169" s="977"/>
      <c r="K1169" s="978"/>
      <c r="L1169" s="616" t="s">
        <v>430</v>
      </c>
      <c r="M1169" s="372" t="s">
        <v>431</v>
      </c>
      <c r="N1169" s="243" t="s">
        <v>105</v>
      </c>
      <c r="O1169" s="244" t="s">
        <v>800</v>
      </c>
      <c r="P1169" s="244" t="s">
        <v>801</v>
      </c>
      <c r="Q1169" s="244" t="s">
        <v>802</v>
      </c>
      <c r="R1169" s="244" t="s">
        <v>803</v>
      </c>
      <c r="S1169" s="244" t="s">
        <v>804</v>
      </c>
      <c r="T1169" s="244" t="s">
        <v>805</v>
      </c>
      <c r="U1169" s="244" t="s">
        <v>806</v>
      </c>
      <c r="V1169" s="244" t="s">
        <v>807</v>
      </c>
      <c r="W1169" s="244" t="s">
        <v>808</v>
      </c>
      <c r="X1169" s="244" t="s">
        <v>809</v>
      </c>
      <c r="Y1169" s="244" t="s">
        <v>75</v>
      </c>
      <c r="Z1169" s="244" t="s">
        <v>75</v>
      </c>
    </row>
    <row r="1170" spans="3:26" ht="19" x14ac:dyDescent="0.2">
      <c r="C1170" s="241"/>
      <c r="D1170" s="578" t="s">
        <v>432</v>
      </c>
      <c r="E1170" s="805"/>
      <c r="F1170" s="806"/>
      <c r="G1170" s="807"/>
      <c r="H1170" s="245" t="s">
        <v>904</v>
      </c>
      <c r="I1170" s="962" t="s">
        <v>1138</v>
      </c>
      <c r="J1170" s="962"/>
      <c r="K1170" s="963"/>
      <c r="L1170" s="617"/>
      <c r="M1170" s="374" t="s">
        <v>1137</v>
      </c>
      <c r="N1170" s="243"/>
      <c r="O1170" s="246" t="s">
        <v>810</v>
      </c>
      <c r="P1170" s="247">
        <v>0.1</v>
      </c>
      <c r="Q1170" s="248">
        <v>1.4E-2</v>
      </c>
      <c r="R1170" s="249">
        <v>2.2999999999996135E-2</v>
      </c>
      <c r="S1170" s="250"/>
      <c r="T1170" s="246">
        <v>4.3999999999996139E-2</v>
      </c>
      <c r="U1170" s="248">
        <v>-10.93</v>
      </c>
      <c r="V1170" s="247">
        <v>60.5</v>
      </c>
      <c r="W1170" s="251">
        <v>2</v>
      </c>
      <c r="X1170" s="252">
        <v>21.86</v>
      </c>
      <c r="Y1170" s="250"/>
      <c r="Z1170" s="250"/>
    </row>
    <row r="1171" spans="3:26" ht="19" x14ac:dyDescent="0.2">
      <c r="C1171" s="241"/>
      <c r="D1171" s="580" t="s">
        <v>433</v>
      </c>
      <c r="E1171" s="817">
        <v>4.3499999999999997E-2</v>
      </c>
      <c r="F1171" s="818"/>
      <c r="G1171" s="819"/>
      <c r="H1171" s="245" t="s">
        <v>905</v>
      </c>
      <c r="I1171" s="964"/>
      <c r="J1171" s="964"/>
      <c r="K1171" s="965"/>
      <c r="L1171" s="617"/>
      <c r="M1171" s="375"/>
      <c r="N1171" s="243"/>
      <c r="O1171" s="243"/>
      <c r="P1171" s="243"/>
      <c r="Q1171" s="243"/>
      <c r="R1171" s="253"/>
      <c r="S1171" s="254"/>
      <c r="T1171" s="243"/>
      <c r="U1171" s="243"/>
      <c r="V1171" s="243"/>
      <c r="W1171" s="254"/>
      <c r="X1171" s="254"/>
      <c r="Y1171" s="255"/>
      <c r="Z1171" s="255"/>
    </row>
    <row r="1172" spans="3:26" ht="19" x14ac:dyDescent="0.2">
      <c r="C1172" s="241"/>
      <c r="D1172" s="580" t="s">
        <v>434</v>
      </c>
      <c r="E1172" s="817">
        <v>4.3499999999999997E-2</v>
      </c>
      <c r="F1172" s="818"/>
      <c r="G1172" s="819"/>
      <c r="H1172" s="245"/>
      <c r="I1172" s="964"/>
      <c r="J1172" s="964"/>
      <c r="K1172" s="965"/>
      <c r="L1172" s="617"/>
      <c r="M1172" s="375"/>
      <c r="N1172" s="243"/>
      <c r="O1172" s="256" t="s">
        <v>811</v>
      </c>
      <c r="P1172" s="257">
        <v>0.1</v>
      </c>
      <c r="Q1172" s="258">
        <v>6.4699999999999994E-2</v>
      </c>
      <c r="R1172" s="259">
        <v>5.0999999999999997E-2</v>
      </c>
      <c r="S1172" s="260">
        <v>1</v>
      </c>
      <c r="T1172" s="256">
        <v>0.14804999999999999</v>
      </c>
      <c r="U1172" s="261">
        <v>-36.77696590909413</v>
      </c>
      <c r="V1172" s="262">
        <v>60.5</v>
      </c>
      <c r="W1172" s="263">
        <v>4.26</v>
      </c>
      <c r="X1172" s="264">
        <v>156.669874772741</v>
      </c>
      <c r="Y1172" s="265"/>
      <c r="Z1172" s="265"/>
    </row>
    <row r="1173" spans="3:26" ht="20" thickBot="1" x14ac:dyDescent="0.25">
      <c r="C1173" s="241"/>
      <c r="D1173" s="581" t="s">
        <v>435</v>
      </c>
      <c r="E1173" s="811">
        <v>0.1875</v>
      </c>
      <c r="F1173" s="812"/>
      <c r="G1173" s="813"/>
      <c r="H1173" s="266"/>
      <c r="I1173" s="964"/>
      <c r="J1173" s="964"/>
      <c r="K1173" s="965"/>
      <c r="L1173" s="618">
        <v>0.375</v>
      </c>
      <c r="M1173" s="377">
        <v>0.22916666666666666</v>
      </c>
      <c r="N1173" s="243"/>
      <c r="O1173" s="267" t="s">
        <v>812</v>
      </c>
      <c r="P1173" s="268">
        <v>0.1</v>
      </c>
      <c r="Q1173" s="269">
        <v>7.2133333333333341E-2</v>
      </c>
      <c r="R1173" s="270">
        <v>5.0999999999999997E-2</v>
      </c>
      <c r="S1173" s="271">
        <v>1</v>
      </c>
      <c r="T1173" s="272">
        <v>0.15920000000000001</v>
      </c>
      <c r="U1173" s="273">
        <v>-39.546727272730742</v>
      </c>
      <c r="V1173" s="274">
        <v>60.5</v>
      </c>
      <c r="W1173" s="275">
        <v>3.07</v>
      </c>
      <c r="X1173" s="276">
        <v>121.40845272728338</v>
      </c>
      <c r="Y1173" s="277"/>
      <c r="Z1173" s="277"/>
    </row>
    <row r="1174" spans="3:26" ht="20" thickBot="1" x14ac:dyDescent="0.25">
      <c r="C1174" s="241"/>
      <c r="D1174" s="583" t="s">
        <v>436</v>
      </c>
      <c r="E1174" s="278" t="s">
        <v>29</v>
      </c>
      <c r="F1174" s="278" t="s">
        <v>28</v>
      </c>
      <c r="G1174" s="279" t="s">
        <v>27</v>
      </c>
      <c r="H1174" s="280" t="s">
        <v>793</v>
      </c>
      <c r="I1174" s="964"/>
      <c r="J1174" s="964"/>
      <c r="K1174" s="965"/>
      <c r="L1174" s="619" t="s">
        <v>1246</v>
      </c>
      <c r="M1174" s="379"/>
      <c r="N1174" s="243"/>
      <c r="O1174" s="254"/>
      <c r="P1174" s="255"/>
      <c r="Q1174" s="254"/>
      <c r="R1174" s="254"/>
      <c r="S1174" s="254"/>
      <c r="T1174" s="254"/>
      <c r="U1174" s="281"/>
      <c r="V1174" s="282"/>
      <c r="W1174" s="254"/>
      <c r="X1174" s="281"/>
      <c r="Y1174" s="255"/>
      <c r="Z1174" s="255"/>
    </row>
    <row r="1175" spans="3:26" ht="19" x14ac:dyDescent="0.2">
      <c r="C1175" s="241"/>
      <c r="D1175" s="585">
        <v>45618</v>
      </c>
      <c r="E1175" s="385">
        <v>48.8</v>
      </c>
      <c r="F1175" s="385" t="s">
        <v>510</v>
      </c>
      <c r="G1175" s="385">
        <v>48.5</v>
      </c>
      <c r="H1175" s="284">
        <v>0.1875</v>
      </c>
      <c r="I1175" s="964"/>
      <c r="J1175" s="964"/>
      <c r="K1175" s="965"/>
      <c r="L1175" s="621">
        <v>0.14583333333333334</v>
      </c>
      <c r="M1175" s="382"/>
      <c r="N1175" s="243"/>
      <c r="O1175" s="254"/>
      <c r="P1175" s="255"/>
      <c r="Q1175" s="254"/>
      <c r="R1175" s="254"/>
      <c r="S1175" s="254"/>
      <c r="T1175" s="254"/>
      <c r="U1175" s="254"/>
      <c r="V1175" s="254"/>
      <c r="W1175" s="254"/>
      <c r="X1175" s="254"/>
      <c r="Y1175" s="255"/>
      <c r="Z1175" s="255"/>
    </row>
    <row r="1176" spans="3:26" ht="19" x14ac:dyDescent="0.2">
      <c r="C1176" s="241"/>
      <c r="D1176" s="585">
        <v>45597</v>
      </c>
      <c r="E1176" s="385">
        <v>48.5</v>
      </c>
      <c r="F1176" s="385" t="s">
        <v>1054</v>
      </c>
      <c r="G1176" s="385">
        <v>47.8</v>
      </c>
      <c r="H1176" s="284">
        <v>0.22916666666666666</v>
      </c>
      <c r="I1176" s="964"/>
      <c r="J1176" s="964"/>
      <c r="K1176" s="965"/>
      <c r="L1176" s="621">
        <v>0.1875</v>
      </c>
      <c r="M1176" s="383"/>
      <c r="N1176" s="243"/>
      <c r="O1176" s="246" t="s">
        <v>813</v>
      </c>
      <c r="P1176" s="247">
        <v>0.02</v>
      </c>
      <c r="Q1176" s="285">
        <v>6.8416666666666667E-2</v>
      </c>
      <c r="R1176" s="286">
        <v>5.0999999999999997E-2</v>
      </c>
      <c r="S1176" s="250">
        <v>1.5</v>
      </c>
      <c r="T1176" s="256">
        <v>0.15362499999999998</v>
      </c>
      <c r="U1176" s="287">
        <v>-11.448553977273731</v>
      </c>
      <c r="V1176" s="288">
        <v>12.1</v>
      </c>
      <c r="W1176" s="250">
        <v>2</v>
      </c>
      <c r="X1176" s="252">
        <v>22.897107954547462</v>
      </c>
      <c r="Y1176" s="289"/>
      <c r="Z1176" s="289"/>
    </row>
    <row r="1177" spans="3:26" ht="19" x14ac:dyDescent="0.2">
      <c r="C1177" s="241"/>
      <c r="D1177" s="585">
        <v>45589</v>
      </c>
      <c r="E1177" s="385">
        <v>47.8</v>
      </c>
      <c r="F1177" s="385" t="s">
        <v>509</v>
      </c>
      <c r="G1177" s="385">
        <v>47.3</v>
      </c>
      <c r="H1177" s="284">
        <v>0.22916666666666666</v>
      </c>
      <c r="I1177" s="964"/>
      <c r="J1177" s="964"/>
      <c r="K1177" s="965"/>
      <c r="L1177" s="621">
        <v>0.1875</v>
      </c>
      <c r="M1177" s="375"/>
      <c r="N1177" s="243"/>
      <c r="O1177" s="246" t="s">
        <v>813</v>
      </c>
      <c r="P1177" s="247">
        <v>-0.02</v>
      </c>
      <c r="Q1177" s="285">
        <v>6.8416666666666667E-2</v>
      </c>
      <c r="R1177" s="286">
        <v>5.0999999999999997E-2</v>
      </c>
      <c r="S1177" s="250">
        <v>-1.5</v>
      </c>
      <c r="T1177" s="256">
        <v>0.15362499999999998</v>
      </c>
      <c r="U1177" s="287">
        <v>-11.448553977273731</v>
      </c>
      <c r="V1177" s="288">
        <v>-12.1</v>
      </c>
      <c r="W1177" s="250">
        <v>2</v>
      </c>
      <c r="X1177" s="252">
        <v>22.897107954547462</v>
      </c>
      <c r="Y1177" s="289"/>
      <c r="Z1177" s="289"/>
    </row>
    <row r="1178" spans="3:26" ht="19" x14ac:dyDescent="0.2">
      <c r="C1178" s="241"/>
      <c r="D1178" s="585">
        <v>45566</v>
      </c>
      <c r="E1178" s="385">
        <v>47.3</v>
      </c>
      <c r="F1178" s="385" t="s">
        <v>758</v>
      </c>
      <c r="G1178" s="385">
        <v>47.9</v>
      </c>
      <c r="H1178" s="284">
        <v>0.22916666666666666</v>
      </c>
      <c r="I1178" s="964"/>
      <c r="J1178" s="964"/>
      <c r="K1178" s="965"/>
      <c r="L1178" s="621">
        <v>0.1875</v>
      </c>
      <c r="M1178" s="375"/>
      <c r="N1178" s="243"/>
      <c r="O1178" s="246"/>
      <c r="P1178" s="290"/>
      <c r="Q1178" s="285"/>
      <c r="R1178" s="286"/>
      <c r="S1178" s="250"/>
      <c r="T1178" s="290"/>
      <c r="U1178" s="287"/>
      <c r="V1178" s="288"/>
      <c r="W1178" s="250"/>
      <c r="X1178" s="252"/>
      <c r="Y1178" s="289"/>
      <c r="Z1178" s="289"/>
    </row>
    <row r="1179" spans="3:26" ht="19" x14ac:dyDescent="0.2">
      <c r="C1179" s="241"/>
      <c r="D1179" s="585">
        <v>45558</v>
      </c>
      <c r="E1179" s="385">
        <v>47</v>
      </c>
      <c r="F1179" s="385" t="s">
        <v>500</v>
      </c>
      <c r="G1179" s="385">
        <v>47.9</v>
      </c>
      <c r="H1179" s="284">
        <v>0.22916666666666666</v>
      </c>
      <c r="I1179" s="964"/>
      <c r="J1179" s="964"/>
      <c r="K1179" s="965"/>
      <c r="L1179" s="621">
        <v>0.1875</v>
      </c>
      <c r="M1179" s="375"/>
      <c r="N1179" s="243"/>
      <c r="O1179" s="291"/>
      <c r="P1179" s="291"/>
      <c r="Q1179" s="291"/>
      <c r="R1179" s="291"/>
      <c r="S1179" s="291"/>
      <c r="T1179" s="291"/>
      <c r="U1179" s="291"/>
      <c r="V1179" s="291"/>
      <c r="W1179" s="291"/>
      <c r="X1179" s="291"/>
      <c r="Y1179" s="291"/>
      <c r="Z1179" s="291"/>
    </row>
    <row r="1180" spans="3:26" ht="20" thickBot="1" x14ac:dyDescent="0.25">
      <c r="C1180" s="241"/>
      <c r="D1180" s="585">
        <v>45538</v>
      </c>
      <c r="E1180" s="385">
        <v>47.9</v>
      </c>
      <c r="F1180" s="385" t="s">
        <v>502</v>
      </c>
      <c r="G1180" s="385">
        <v>49.6</v>
      </c>
      <c r="H1180" s="284">
        <v>0.1875</v>
      </c>
      <c r="I1180" s="966"/>
      <c r="J1180" s="966"/>
      <c r="K1180" s="967"/>
      <c r="L1180" s="621">
        <v>0.14583333333333334</v>
      </c>
      <c r="M1180" s="384"/>
      <c r="N1180" s="243"/>
      <c r="O1180" s="291"/>
      <c r="P1180" s="291"/>
      <c r="Q1180" s="291"/>
      <c r="R1180" s="291"/>
      <c r="S1180" s="291"/>
      <c r="T1180" s="291"/>
      <c r="U1180" s="291"/>
      <c r="V1180" s="291"/>
      <c r="W1180" s="291"/>
      <c r="X1180" s="291"/>
      <c r="Y1180" s="291"/>
      <c r="Z1180" s="291"/>
    </row>
    <row r="1181" spans="3:26" ht="20" thickBot="1" x14ac:dyDescent="0.25">
      <c r="C1181" s="241">
        <v>2</v>
      </c>
      <c r="D1181" s="576" t="s">
        <v>30</v>
      </c>
      <c r="E1181" s="874" t="s">
        <v>1139</v>
      </c>
      <c r="F1181" s="875"/>
      <c r="G1181" s="876"/>
      <c r="H1181" s="242" t="s">
        <v>790</v>
      </c>
      <c r="I1181" s="977" t="s">
        <v>633</v>
      </c>
      <c r="J1181" s="977"/>
      <c r="K1181" s="978"/>
      <c r="L1181" s="616" t="s">
        <v>430</v>
      </c>
      <c r="M1181" s="372" t="s">
        <v>431</v>
      </c>
      <c r="N1181" s="243" t="s">
        <v>105</v>
      </c>
      <c r="O1181" s="244" t="s">
        <v>800</v>
      </c>
      <c r="P1181" s="244" t="s">
        <v>801</v>
      </c>
      <c r="Q1181" s="244" t="s">
        <v>802</v>
      </c>
      <c r="R1181" s="244" t="s">
        <v>803</v>
      </c>
      <c r="S1181" s="244" t="s">
        <v>804</v>
      </c>
      <c r="T1181" s="244" t="s">
        <v>805</v>
      </c>
      <c r="U1181" s="244" t="s">
        <v>806</v>
      </c>
      <c r="V1181" s="244" t="s">
        <v>807</v>
      </c>
      <c r="W1181" s="244" t="s">
        <v>808</v>
      </c>
      <c r="X1181" s="244" t="s">
        <v>809</v>
      </c>
      <c r="Y1181" s="244" t="s">
        <v>75</v>
      </c>
      <c r="Z1181" s="244" t="s">
        <v>75</v>
      </c>
    </row>
    <row r="1182" spans="3:26" ht="19" x14ac:dyDescent="0.2">
      <c r="C1182" s="241"/>
      <c r="D1182" s="588" t="s">
        <v>432</v>
      </c>
      <c r="E1182" s="853"/>
      <c r="F1182" s="854"/>
      <c r="G1182" s="855"/>
      <c r="H1182" s="245" t="s">
        <v>909</v>
      </c>
      <c r="I1182" s="962" t="s">
        <v>1140</v>
      </c>
      <c r="J1182" s="962"/>
      <c r="K1182" s="963"/>
      <c r="L1182" s="617"/>
      <c r="M1182" s="374" t="s">
        <v>1139</v>
      </c>
      <c r="N1182" s="243"/>
      <c r="O1182" s="246" t="s">
        <v>810</v>
      </c>
      <c r="P1182" s="247">
        <v>0.1</v>
      </c>
      <c r="Q1182" s="248">
        <v>0.03</v>
      </c>
      <c r="R1182" s="249">
        <v>1.4000000000010004E-2</v>
      </c>
      <c r="S1182" s="250"/>
      <c r="T1182" s="246">
        <v>5.9000000000010003E-2</v>
      </c>
      <c r="U1182" s="248">
        <v>-14.72</v>
      </c>
      <c r="V1182" s="247">
        <v>60.5</v>
      </c>
      <c r="W1182" s="251">
        <v>2</v>
      </c>
      <c r="X1182" s="252">
        <v>29.44</v>
      </c>
      <c r="Y1182" s="250"/>
      <c r="Z1182" s="250"/>
    </row>
    <row r="1183" spans="3:26" ht="19" x14ac:dyDescent="0.2">
      <c r="C1183" s="241"/>
      <c r="D1183" s="589" t="s">
        <v>433</v>
      </c>
      <c r="E1183" s="817">
        <v>-2E-3</v>
      </c>
      <c r="F1183" s="818"/>
      <c r="G1183" s="819"/>
      <c r="H1183" s="245" t="s">
        <v>910</v>
      </c>
      <c r="I1183" s="964"/>
      <c r="J1183" s="964"/>
      <c r="K1183" s="965"/>
      <c r="L1183" s="617"/>
      <c r="M1183" s="375"/>
      <c r="N1183" s="243"/>
      <c r="O1183" s="243"/>
      <c r="P1183" s="243"/>
      <c r="Q1183" s="243"/>
      <c r="R1183" s="253"/>
      <c r="S1183" s="254"/>
      <c r="T1183" s="243"/>
      <c r="U1183" s="243"/>
      <c r="V1183" s="243"/>
      <c r="W1183" s="254"/>
      <c r="X1183" s="254"/>
      <c r="Y1183" s="255"/>
      <c r="Z1183" s="255"/>
    </row>
    <row r="1184" spans="3:26" ht="19" x14ac:dyDescent="0.2">
      <c r="C1184" s="241"/>
      <c r="D1184" s="589" t="s">
        <v>434</v>
      </c>
      <c r="E1184" s="817">
        <v>4.0000000000000001E-3</v>
      </c>
      <c r="F1184" s="818"/>
      <c r="G1184" s="819"/>
      <c r="H1184" s="245"/>
      <c r="I1184" s="964"/>
      <c r="J1184" s="964"/>
      <c r="K1184" s="965"/>
      <c r="L1184" s="617"/>
      <c r="M1184" s="375"/>
      <c r="N1184" s="243"/>
      <c r="O1184" s="256" t="s">
        <v>811</v>
      </c>
      <c r="P1184" s="257">
        <v>0.1</v>
      </c>
      <c r="Q1184" s="258">
        <v>5.7000000000000002E-2</v>
      </c>
      <c r="R1184" s="259">
        <v>1.7999999999999999E-2</v>
      </c>
      <c r="S1184" s="260">
        <v>1</v>
      </c>
      <c r="T1184" s="256">
        <v>0.10350000000000001</v>
      </c>
      <c r="U1184" s="261">
        <v>-25.822372881351555</v>
      </c>
      <c r="V1184" s="262">
        <v>60.5</v>
      </c>
      <c r="W1184" s="263">
        <v>4.12</v>
      </c>
      <c r="X1184" s="264">
        <v>106.3881762711684</v>
      </c>
      <c r="Y1184" s="265"/>
      <c r="Z1184" s="265"/>
    </row>
    <row r="1185" spans="3:26" ht="20" thickBot="1" x14ac:dyDescent="0.25">
      <c r="C1185" s="241"/>
      <c r="D1185" s="590" t="s">
        <v>435</v>
      </c>
      <c r="E1185" s="871">
        <v>0.29166666666666674</v>
      </c>
      <c r="F1185" s="872"/>
      <c r="G1185" s="873"/>
      <c r="H1185" s="266">
        <v>8.3333333333333398E-2</v>
      </c>
      <c r="I1185" s="964"/>
      <c r="J1185" s="964"/>
      <c r="K1185" s="965"/>
      <c r="L1185" s="618">
        <v>0.52083333333333337</v>
      </c>
      <c r="M1185" s="377">
        <v>0.375</v>
      </c>
      <c r="N1185" s="243"/>
      <c r="O1185" s="267" t="s">
        <v>812</v>
      </c>
      <c r="P1185" s="268">
        <v>0.1</v>
      </c>
      <c r="Q1185" s="269">
        <v>6.3266666666666665E-2</v>
      </c>
      <c r="R1185" s="270">
        <v>1.7999999999999999E-2</v>
      </c>
      <c r="S1185" s="271">
        <v>1</v>
      </c>
      <c r="T1185" s="272">
        <v>0.1129</v>
      </c>
      <c r="U1185" s="273">
        <v>-28.167593220334208</v>
      </c>
      <c r="V1185" s="274">
        <v>60.5</v>
      </c>
      <c r="W1185" s="275">
        <v>2.46</v>
      </c>
      <c r="X1185" s="276">
        <v>69.292279322022154</v>
      </c>
      <c r="Y1185" s="277"/>
      <c r="Z1185" s="277"/>
    </row>
    <row r="1186" spans="3:26" ht="20" thickBot="1" x14ac:dyDescent="0.25">
      <c r="C1186" s="241"/>
      <c r="D1186" s="591" t="s">
        <v>436</v>
      </c>
      <c r="E1186" s="293" t="s">
        <v>29</v>
      </c>
      <c r="F1186" s="293" t="s">
        <v>28</v>
      </c>
      <c r="G1186" s="294" t="s">
        <v>27</v>
      </c>
      <c r="H1186" s="280" t="s">
        <v>793</v>
      </c>
      <c r="I1186" s="964"/>
      <c r="J1186" s="964"/>
      <c r="K1186" s="965"/>
      <c r="L1186" s="619" t="s">
        <v>1246</v>
      </c>
      <c r="M1186" s="379"/>
      <c r="N1186" s="243"/>
      <c r="O1186" s="254"/>
      <c r="P1186" s="255"/>
      <c r="Q1186" s="254"/>
      <c r="R1186" s="254"/>
      <c r="S1186" s="254"/>
      <c r="T1186" s="254"/>
      <c r="U1186" s="281"/>
      <c r="V1186" s="282"/>
      <c r="W1186" s="254"/>
      <c r="X1186" s="281"/>
      <c r="Y1186" s="255"/>
      <c r="Z1186" s="255"/>
    </row>
    <row r="1187" spans="3:26" ht="19" x14ac:dyDescent="0.2">
      <c r="C1187" s="241"/>
      <c r="D1187" s="592">
        <v>45597</v>
      </c>
      <c r="E1187" s="386" t="s">
        <v>1163</v>
      </c>
      <c r="F1187" s="386" t="s">
        <v>1164</v>
      </c>
      <c r="G1187" s="386" t="s">
        <v>1165</v>
      </c>
      <c r="H1187" s="284">
        <v>0.54166666666666663</v>
      </c>
      <c r="I1187" s="964"/>
      <c r="J1187" s="964"/>
      <c r="K1187" s="965"/>
      <c r="L1187" s="621">
        <v>0.8125</v>
      </c>
      <c r="M1187" s="382"/>
      <c r="N1187" s="243"/>
      <c r="O1187" s="254"/>
      <c r="P1187" s="255"/>
      <c r="Q1187" s="254"/>
      <c r="R1187" s="254"/>
      <c r="S1187" s="254"/>
      <c r="T1187" s="254"/>
      <c r="U1187" s="254"/>
      <c r="V1187" s="254"/>
      <c r="W1187" s="254"/>
      <c r="X1187" s="254"/>
      <c r="Y1187" s="255"/>
      <c r="Z1187" s="255"/>
    </row>
    <row r="1188" spans="3:26" ht="19" x14ac:dyDescent="0.2">
      <c r="C1188" s="241"/>
      <c r="D1188" s="592">
        <v>45566</v>
      </c>
      <c r="E1188" s="386" t="s">
        <v>1165</v>
      </c>
      <c r="F1188" s="386" t="s">
        <v>1164</v>
      </c>
      <c r="G1188" s="386" t="s">
        <v>1165</v>
      </c>
      <c r="H1188" s="284">
        <v>0.29166666666666669</v>
      </c>
      <c r="I1188" s="964"/>
      <c r="J1188" s="964"/>
      <c r="K1188" s="965"/>
      <c r="L1188" s="621">
        <v>0.8125</v>
      </c>
      <c r="M1188" s="383"/>
      <c r="N1188" s="243"/>
      <c r="O1188" s="246" t="s">
        <v>813</v>
      </c>
      <c r="P1188" s="247">
        <v>0.1</v>
      </c>
      <c r="Q1188" s="285">
        <v>6.013333333333333E-2</v>
      </c>
      <c r="R1188" s="286">
        <v>1.7999999999999999E-2</v>
      </c>
      <c r="S1188" s="250">
        <v>1</v>
      </c>
      <c r="T1188" s="256">
        <v>0.1082</v>
      </c>
      <c r="U1188" s="287">
        <v>-26.994983050842883</v>
      </c>
      <c r="V1188" s="288">
        <v>60.5</v>
      </c>
      <c r="W1188" s="250">
        <v>2</v>
      </c>
      <c r="X1188" s="252">
        <v>53.989966101685766</v>
      </c>
      <c r="Y1188" s="289"/>
      <c r="Z1188" s="289"/>
    </row>
    <row r="1189" spans="3:26" ht="19" x14ac:dyDescent="0.2">
      <c r="C1189" s="241"/>
      <c r="D1189" s="592">
        <v>45538</v>
      </c>
      <c r="E1189" s="386" t="s">
        <v>1165</v>
      </c>
      <c r="F1189" s="386" t="s">
        <v>1166</v>
      </c>
      <c r="G1189" s="386" t="s">
        <v>1167</v>
      </c>
      <c r="H1189" s="284">
        <v>0.54166666666666663</v>
      </c>
      <c r="I1189" s="964"/>
      <c r="J1189" s="964"/>
      <c r="K1189" s="965"/>
      <c r="L1189" s="621">
        <v>0.8125</v>
      </c>
      <c r="M1189" s="375"/>
      <c r="N1189" s="243"/>
      <c r="O1189" s="246" t="s">
        <v>813</v>
      </c>
      <c r="P1189" s="247">
        <v>0.1</v>
      </c>
      <c r="Q1189" s="285">
        <v>6.013333333333333E-2</v>
      </c>
      <c r="R1189" s="286">
        <v>1.7999999999999999E-2</v>
      </c>
      <c r="S1189" s="250">
        <v>1</v>
      </c>
      <c r="T1189" s="256">
        <v>0.1082</v>
      </c>
      <c r="U1189" s="287">
        <v>-26.994983050842883</v>
      </c>
      <c r="V1189" s="288">
        <v>60.5</v>
      </c>
      <c r="W1189" s="250">
        <v>2</v>
      </c>
      <c r="X1189" s="252">
        <v>53.989966101685766</v>
      </c>
      <c r="Y1189" s="289"/>
      <c r="Z1189" s="289"/>
    </row>
    <row r="1190" spans="3:26" ht="19" x14ac:dyDescent="0.2">
      <c r="C1190" s="241"/>
      <c r="D1190" s="592">
        <v>45505</v>
      </c>
      <c r="E1190" s="386" t="s">
        <v>1167</v>
      </c>
      <c r="F1190" s="386" t="s">
        <v>1168</v>
      </c>
      <c r="G1190" s="386" t="s">
        <v>1169</v>
      </c>
      <c r="H1190" s="284">
        <v>0.25</v>
      </c>
      <c r="I1190" s="964"/>
      <c r="J1190" s="964"/>
      <c r="K1190" s="965"/>
      <c r="L1190" s="621">
        <v>0.8125</v>
      </c>
      <c r="M1190" s="375"/>
      <c r="N1190" s="243"/>
      <c r="O1190" s="246"/>
      <c r="P1190" s="290"/>
      <c r="Q1190" s="285"/>
      <c r="R1190" s="286"/>
      <c r="S1190" s="250"/>
      <c r="T1190" s="290"/>
      <c r="U1190" s="287"/>
      <c r="V1190" s="288"/>
      <c r="W1190" s="250"/>
      <c r="X1190" s="252"/>
      <c r="Y1190" s="289"/>
      <c r="Z1190" s="289"/>
    </row>
    <row r="1191" spans="3:26" ht="19" x14ac:dyDescent="0.2">
      <c r="C1191" s="241"/>
      <c r="D1191" s="592">
        <v>45474</v>
      </c>
      <c r="E1191" s="386" t="s">
        <v>1169</v>
      </c>
      <c r="F1191" s="386" t="s">
        <v>1170</v>
      </c>
      <c r="G1191" s="386" t="s">
        <v>1171</v>
      </c>
      <c r="H1191" s="284">
        <v>0.5</v>
      </c>
      <c r="I1191" s="964"/>
      <c r="J1191" s="964"/>
      <c r="K1191" s="965"/>
      <c r="L1191" s="621">
        <v>0.8125</v>
      </c>
      <c r="M1191" s="375"/>
      <c r="N1191" s="243"/>
      <c r="O1191" s="291"/>
      <c r="P1191" s="291"/>
      <c r="Q1191" s="291"/>
      <c r="R1191" s="291"/>
      <c r="S1191" s="291"/>
      <c r="T1191" s="291"/>
      <c r="U1191" s="291"/>
      <c r="V1191" s="291"/>
      <c r="W1191" s="291"/>
      <c r="X1191" s="291"/>
      <c r="Y1191" s="291"/>
      <c r="Z1191" s="291"/>
    </row>
    <row r="1192" spans="3:26" ht="20" thickBot="1" x14ac:dyDescent="0.25">
      <c r="C1192" s="241"/>
      <c r="D1192" s="592">
        <v>45446</v>
      </c>
      <c r="E1192" s="386" t="s">
        <v>1171</v>
      </c>
      <c r="F1192" s="386" t="s">
        <v>1172</v>
      </c>
      <c r="G1192" s="386" t="s">
        <v>1170</v>
      </c>
      <c r="H1192" s="284">
        <v>0.25</v>
      </c>
      <c r="I1192" s="966"/>
      <c r="J1192" s="966"/>
      <c r="K1192" s="967"/>
      <c r="L1192" s="621">
        <v>0.8125</v>
      </c>
      <c r="M1192" s="384"/>
      <c r="N1192" s="243"/>
      <c r="O1192" s="291"/>
      <c r="P1192" s="296"/>
      <c r="Q1192" s="291"/>
      <c r="R1192" s="291"/>
      <c r="S1192" s="291"/>
      <c r="T1192" s="291"/>
      <c r="U1192" s="291"/>
      <c r="V1192" s="291"/>
      <c r="W1192" s="291"/>
      <c r="X1192" s="291"/>
      <c r="Y1192" s="291"/>
      <c r="Z1192" s="291"/>
    </row>
    <row r="1193" spans="3:26" ht="20" thickBot="1" x14ac:dyDescent="0.25">
      <c r="C1193" s="241">
        <v>3</v>
      </c>
      <c r="D1193" s="593" t="s">
        <v>30</v>
      </c>
      <c r="E1193" s="1018" t="s">
        <v>1141</v>
      </c>
      <c r="F1193" s="1019"/>
      <c r="G1193" s="1020"/>
      <c r="H1193" s="242" t="s">
        <v>790</v>
      </c>
      <c r="I1193" s="977" t="s">
        <v>633</v>
      </c>
      <c r="J1193" s="977"/>
      <c r="K1193" s="978"/>
      <c r="L1193" s="616" t="s">
        <v>430</v>
      </c>
      <c r="M1193" s="387" t="s">
        <v>431</v>
      </c>
      <c r="N1193" s="243" t="s">
        <v>105</v>
      </c>
      <c r="O1193" s="244" t="s">
        <v>800</v>
      </c>
      <c r="P1193" s="244" t="s">
        <v>801</v>
      </c>
      <c r="Q1193" s="244" t="s">
        <v>802</v>
      </c>
      <c r="R1193" s="244" t="s">
        <v>803</v>
      </c>
      <c r="S1193" s="244" t="s">
        <v>804</v>
      </c>
      <c r="T1193" s="244" t="s">
        <v>805</v>
      </c>
      <c r="U1193" s="244" t="s">
        <v>806</v>
      </c>
      <c r="V1193" s="244" t="s">
        <v>807</v>
      </c>
      <c r="W1193" s="244" t="s">
        <v>808</v>
      </c>
      <c r="X1193" s="244" t="s">
        <v>809</v>
      </c>
      <c r="Y1193" s="244" t="s">
        <v>75</v>
      </c>
      <c r="Z1193" s="244" t="s">
        <v>75</v>
      </c>
    </row>
    <row r="1194" spans="3:26" ht="19" x14ac:dyDescent="0.2">
      <c r="C1194" s="241"/>
      <c r="D1194" s="588" t="s">
        <v>432</v>
      </c>
      <c r="E1194" s="853"/>
      <c r="F1194" s="854"/>
      <c r="G1194" s="855"/>
      <c r="H1194" s="245" t="s">
        <v>1247</v>
      </c>
      <c r="I1194" s="962" t="s">
        <v>1142</v>
      </c>
      <c r="J1194" s="962"/>
      <c r="K1194" s="963"/>
      <c r="L1194" s="617"/>
      <c r="M1194" s="374" t="s">
        <v>1141</v>
      </c>
      <c r="N1194" s="243"/>
      <c r="O1194" s="246" t="s">
        <v>810</v>
      </c>
      <c r="P1194" s="247">
        <v>0.1</v>
      </c>
      <c r="Q1194" s="248">
        <v>2.5000000000000001E-2</v>
      </c>
      <c r="R1194" s="249">
        <v>2.1000000000015007E-2</v>
      </c>
      <c r="S1194" s="250"/>
      <c r="T1194" s="246">
        <v>5.8500000000015012E-2</v>
      </c>
      <c r="U1194" s="248">
        <v>-14.31</v>
      </c>
      <c r="V1194" s="247">
        <v>60.5</v>
      </c>
      <c r="W1194" s="251">
        <v>2</v>
      </c>
      <c r="X1194" s="252">
        <v>28.62</v>
      </c>
      <c r="Y1194" s="250"/>
      <c r="Z1194" s="250"/>
    </row>
    <row r="1195" spans="3:26" ht="19" x14ac:dyDescent="0.2">
      <c r="C1195" s="241"/>
      <c r="D1195" s="589" t="s">
        <v>433</v>
      </c>
      <c r="E1195" s="817">
        <v>3.0000000000000001E-3</v>
      </c>
      <c r="F1195" s="818"/>
      <c r="G1195" s="819"/>
      <c r="H1195" s="245" t="s">
        <v>1247</v>
      </c>
      <c r="I1195" s="964"/>
      <c r="J1195" s="964"/>
      <c r="K1195" s="965"/>
      <c r="L1195" s="617"/>
      <c r="M1195" s="375"/>
      <c r="N1195" s="243"/>
      <c r="O1195" s="243"/>
      <c r="P1195" s="243"/>
      <c r="Q1195" s="243"/>
      <c r="R1195" s="253"/>
      <c r="S1195" s="254"/>
      <c r="T1195" s="243"/>
      <c r="U1195" s="243"/>
      <c r="V1195" s="243"/>
      <c r="W1195" s="254"/>
      <c r="X1195" s="254"/>
      <c r="Y1195" s="255"/>
      <c r="Z1195" s="255"/>
    </row>
    <row r="1196" spans="3:26" ht="19" x14ac:dyDescent="0.2">
      <c r="C1196" s="241"/>
      <c r="D1196" s="589" t="s">
        <v>434</v>
      </c>
      <c r="E1196" s="808">
        <v>3.0000000000000001E-3</v>
      </c>
      <c r="F1196" s="809"/>
      <c r="G1196" s="810"/>
      <c r="H1196" s="245"/>
      <c r="I1196" s="964"/>
      <c r="J1196" s="964"/>
      <c r="K1196" s="965"/>
      <c r="L1196" s="617"/>
      <c r="M1196" s="375"/>
      <c r="N1196" s="243"/>
      <c r="O1196" s="256" t="s">
        <v>811</v>
      </c>
      <c r="P1196" s="257">
        <v>0.1</v>
      </c>
      <c r="Q1196" s="258">
        <v>6.8099999999999994E-2</v>
      </c>
      <c r="R1196" s="259">
        <v>4.8000000000000001E-2</v>
      </c>
      <c r="S1196" s="260">
        <v>1</v>
      </c>
      <c r="T1196" s="256">
        <v>0.15015000000000001</v>
      </c>
      <c r="U1196" s="261">
        <v>-36.728999999990577</v>
      </c>
      <c r="V1196" s="262">
        <v>60.5</v>
      </c>
      <c r="W1196" s="263">
        <v>3.83</v>
      </c>
      <c r="X1196" s="264">
        <v>140.67206999996392</v>
      </c>
      <c r="Y1196" s="265"/>
      <c r="Z1196" s="265"/>
    </row>
    <row r="1197" spans="3:26" ht="20" thickBot="1" x14ac:dyDescent="0.25">
      <c r="C1197" s="241"/>
      <c r="D1197" s="590" t="s">
        <v>435</v>
      </c>
      <c r="E1197" s="871">
        <v>0.5625</v>
      </c>
      <c r="F1197" s="872"/>
      <c r="G1197" s="873"/>
      <c r="H1197" s="266">
        <v>0.35416666666666663</v>
      </c>
      <c r="I1197" s="964"/>
      <c r="J1197" s="964"/>
      <c r="K1197" s="965"/>
      <c r="L1197" s="618">
        <v>0.79166666666666663</v>
      </c>
      <c r="M1197" s="377">
        <v>0.64583333333333326</v>
      </c>
      <c r="N1197" s="243"/>
      <c r="O1197" s="267" t="s">
        <v>812</v>
      </c>
      <c r="P1197" s="268">
        <v>0.1</v>
      </c>
      <c r="Q1197" s="269">
        <v>9.7799999999999998E-2</v>
      </c>
      <c r="R1197" s="270">
        <v>4.8000000000000001E-2</v>
      </c>
      <c r="S1197" s="271">
        <v>1</v>
      </c>
      <c r="T1197" s="272">
        <v>0.19470000000000001</v>
      </c>
      <c r="U1197" s="273">
        <v>-47.62661538460317</v>
      </c>
      <c r="V1197" s="274">
        <v>60.5</v>
      </c>
      <c r="W1197" s="275">
        <v>8.1300000000000008</v>
      </c>
      <c r="X1197" s="276">
        <v>387.20438307682383</v>
      </c>
      <c r="Y1197" s="277"/>
      <c r="Z1197" s="277"/>
    </row>
    <row r="1198" spans="3:26" ht="20" thickBot="1" x14ac:dyDescent="0.25">
      <c r="C1198" s="241"/>
      <c r="D1198" s="591" t="s">
        <v>436</v>
      </c>
      <c r="E1198" s="293" t="s">
        <v>29</v>
      </c>
      <c r="F1198" s="293" t="s">
        <v>28</v>
      </c>
      <c r="G1198" s="294" t="s">
        <v>27</v>
      </c>
      <c r="H1198" s="280" t="s">
        <v>793</v>
      </c>
      <c r="I1198" s="964"/>
      <c r="J1198" s="964"/>
      <c r="K1198" s="965"/>
      <c r="L1198" s="619"/>
      <c r="M1198" s="379"/>
      <c r="N1198" s="243"/>
      <c r="O1198" s="254"/>
      <c r="P1198" s="255"/>
      <c r="Q1198" s="254"/>
      <c r="R1198" s="254"/>
      <c r="S1198" s="254"/>
      <c r="T1198" s="254"/>
      <c r="U1198" s="281"/>
      <c r="V1198" s="282"/>
      <c r="W1198" s="254"/>
      <c r="X1198" s="281"/>
      <c r="Y1198" s="255"/>
      <c r="Z1198" s="255"/>
    </row>
    <row r="1199" spans="3:26" ht="19" x14ac:dyDescent="0.2">
      <c r="C1199" s="241"/>
      <c r="D1199" s="592">
        <v>45597</v>
      </c>
      <c r="E1199" s="386">
        <v>54.8</v>
      </c>
      <c r="F1199" s="386" t="s">
        <v>1173</v>
      </c>
      <c r="G1199" s="386">
        <v>48.3</v>
      </c>
      <c r="H1199" s="284">
        <v>0.5625</v>
      </c>
      <c r="I1199" s="964"/>
      <c r="J1199" s="964"/>
      <c r="K1199" s="965"/>
      <c r="L1199" s="621"/>
      <c r="M1199" s="382"/>
      <c r="N1199" s="243"/>
      <c r="O1199" s="254"/>
      <c r="P1199" s="255"/>
      <c r="Q1199" s="254"/>
      <c r="R1199" s="254"/>
      <c r="S1199" s="254"/>
      <c r="T1199" s="254"/>
      <c r="U1199" s="254"/>
      <c r="V1199" s="254"/>
      <c r="W1199" s="254"/>
      <c r="X1199" s="254"/>
      <c r="Y1199" s="255"/>
      <c r="Z1199" s="255"/>
    </row>
    <row r="1200" spans="3:26" ht="19" x14ac:dyDescent="0.2">
      <c r="C1200" s="241"/>
      <c r="D1200" s="592">
        <v>45566</v>
      </c>
      <c r="E1200" s="386">
        <v>48.3</v>
      </c>
      <c r="F1200" s="386" t="s">
        <v>902</v>
      </c>
      <c r="G1200" s="386">
        <v>54</v>
      </c>
      <c r="H1200" s="284">
        <v>0.52083333333333337</v>
      </c>
      <c r="I1200" s="964"/>
      <c r="J1200" s="964"/>
      <c r="K1200" s="965"/>
      <c r="L1200" s="621"/>
      <c r="M1200" s="383"/>
      <c r="N1200" s="243"/>
      <c r="O1200" s="246" t="s">
        <v>813</v>
      </c>
      <c r="P1200" s="247">
        <v>0.1</v>
      </c>
      <c r="Q1200" s="285">
        <v>8.2949999999999996E-2</v>
      </c>
      <c r="R1200" s="286">
        <v>4.8000000000000001E-2</v>
      </c>
      <c r="S1200" s="250">
        <v>1.5</v>
      </c>
      <c r="T1200" s="256">
        <v>0.17242499999999999</v>
      </c>
      <c r="U1200" s="287">
        <v>-63.2667115384453</v>
      </c>
      <c r="V1200" s="288">
        <v>60.5</v>
      </c>
      <c r="W1200" s="250">
        <v>2</v>
      </c>
      <c r="X1200" s="252">
        <v>126.5334230768906</v>
      </c>
      <c r="Y1200" s="289"/>
      <c r="Z1200" s="289"/>
    </row>
    <row r="1201" spans="3:26" ht="19" x14ac:dyDescent="0.2">
      <c r="C1201" s="241"/>
      <c r="D1201" s="592">
        <v>45538</v>
      </c>
      <c r="E1201" s="386">
        <v>54</v>
      </c>
      <c r="F1201" s="386" t="s">
        <v>519</v>
      </c>
      <c r="G1201" s="386">
        <v>52.9</v>
      </c>
      <c r="H1201" s="284">
        <v>0.52083333333333337</v>
      </c>
      <c r="I1201" s="964"/>
      <c r="J1201" s="964"/>
      <c r="K1201" s="965"/>
      <c r="L1201" s="621"/>
      <c r="M1201" s="375"/>
      <c r="N1201" s="243"/>
      <c r="O1201" s="246" t="s">
        <v>813</v>
      </c>
      <c r="P1201" s="247">
        <v>0.1</v>
      </c>
      <c r="Q1201" s="285">
        <v>8.2949999999999996E-2</v>
      </c>
      <c r="R1201" s="286">
        <v>4.8000000000000001E-2</v>
      </c>
      <c r="S1201" s="250">
        <v>1.5</v>
      </c>
      <c r="T1201" s="256">
        <v>0.17242499999999999</v>
      </c>
      <c r="U1201" s="287">
        <v>-63.2667115384453</v>
      </c>
      <c r="V1201" s="288">
        <v>60.5</v>
      </c>
      <c r="W1201" s="250">
        <v>2</v>
      </c>
      <c r="X1201" s="252">
        <v>126.5334230768906</v>
      </c>
      <c r="Y1201" s="289"/>
      <c r="Z1201" s="289"/>
    </row>
    <row r="1202" spans="3:26" ht="19" x14ac:dyDescent="0.2">
      <c r="C1202" s="241"/>
      <c r="D1202" s="592">
        <v>45505</v>
      </c>
      <c r="E1202" s="386">
        <v>52.9</v>
      </c>
      <c r="F1202" s="386" t="s">
        <v>520</v>
      </c>
      <c r="G1202" s="386">
        <v>52.1</v>
      </c>
      <c r="H1202" s="284">
        <v>0.52083333333333337</v>
      </c>
      <c r="I1202" s="964"/>
      <c r="J1202" s="964"/>
      <c r="K1202" s="965"/>
      <c r="L1202" s="621"/>
      <c r="M1202" s="375"/>
      <c r="N1202" s="243"/>
      <c r="O1202" s="246"/>
      <c r="P1202" s="290"/>
      <c r="Q1202" s="285"/>
      <c r="R1202" s="286"/>
      <c r="S1202" s="250"/>
      <c r="T1202" s="290"/>
      <c r="U1202" s="287"/>
      <c r="V1202" s="288"/>
      <c r="W1202" s="250"/>
      <c r="X1202" s="252"/>
      <c r="Y1202" s="289"/>
      <c r="Z1202" s="289"/>
    </row>
    <row r="1203" spans="3:26" ht="19" x14ac:dyDescent="0.2">
      <c r="C1203" s="241"/>
      <c r="D1203" s="592">
        <v>45474</v>
      </c>
      <c r="E1203" s="386">
        <v>52.1</v>
      </c>
      <c r="F1203" s="386" t="s">
        <v>521</v>
      </c>
      <c r="G1203" s="386">
        <v>57</v>
      </c>
      <c r="H1203" s="284">
        <v>0.52083333333333337</v>
      </c>
      <c r="I1203" s="964"/>
      <c r="J1203" s="964"/>
      <c r="K1203" s="965"/>
      <c r="L1203" s="621"/>
      <c r="M1203" s="375"/>
      <c r="N1203" s="243"/>
      <c r="O1203" s="291"/>
      <c r="P1203" s="291"/>
      <c r="Q1203" s="291"/>
      <c r="R1203" s="291"/>
      <c r="S1203" s="291"/>
      <c r="T1203" s="291"/>
      <c r="U1203" s="291"/>
      <c r="V1203" s="291"/>
      <c r="W1203" s="291"/>
      <c r="X1203" s="291"/>
      <c r="Y1203" s="291"/>
      <c r="Z1203" s="291"/>
    </row>
    <row r="1204" spans="3:26" ht="20" thickBot="1" x14ac:dyDescent="0.25">
      <c r="C1204" s="241"/>
      <c r="D1204" s="608">
        <v>45446</v>
      </c>
      <c r="E1204" s="388">
        <v>57</v>
      </c>
      <c r="F1204" s="388" t="s">
        <v>522</v>
      </c>
      <c r="G1204" s="388">
        <v>60.9</v>
      </c>
      <c r="H1204" s="284">
        <v>0.52083333333333337</v>
      </c>
      <c r="I1204" s="966"/>
      <c r="J1204" s="966"/>
      <c r="K1204" s="967"/>
      <c r="L1204" s="622"/>
      <c r="M1204" s="384"/>
      <c r="N1204" s="243"/>
      <c r="O1204" s="291"/>
      <c r="P1204" s="291"/>
      <c r="Q1204" s="291"/>
      <c r="R1204" s="291"/>
      <c r="S1204" s="291"/>
      <c r="T1204" s="291"/>
      <c r="U1204" s="291"/>
      <c r="V1204" s="291"/>
      <c r="W1204" s="291"/>
      <c r="X1204" s="291"/>
      <c r="Y1204" s="291"/>
      <c r="Z1204" s="291"/>
    </row>
    <row r="1205" spans="3:26" ht="20" thickBot="1" x14ac:dyDescent="0.25">
      <c r="C1205" s="241">
        <v>4</v>
      </c>
      <c r="D1205" s="576" t="s">
        <v>30</v>
      </c>
      <c r="E1205" s="874" t="s">
        <v>1143</v>
      </c>
      <c r="F1205" s="875"/>
      <c r="G1205" s="876"/>
      <c r="H1205" s="242" t="s">
        <v>790</v>
      </c>
      <c r="I1205" s="977" t="s">
        <v>633</v>
      </c>
      <c r="J1205" s="977"/>
      <c r="K1205" s="978"/>
      <c r="L1205" s="616" t="s">
        <v>430</v>
      </c>
      <c r="M1205" s="372" t="s">
        <v>431</v>
      </c>
      <c r="N1205" s="243" t="s">
        <v>105</v>
      </c>
      <c r="O1205" s="244" t="s">
        <v>800</v>
      </c>
      <c r="P1205" s="244" t="s">
        <v>801</v>
      </c>
      <c r="Q1205" s="244" t="s">
        <v>802</v>
      </c>
      <c r="R1205" s="244" t="s">
        <v>803</v>
      </c>
      <c r="S1205" s="244" t="s">
        <v>804</v>
      </c>
      <c r="T1205" s="244" t="s">
        <v>805</v>
      </c>
      <c r="U1205" s="244" t="s">
        <v>806</v>
      </c>
      <c r="V1205" s="244" t="s">
        <v>807</v>
      </c>
      <c r="W1205" s="244" t="s">
        <v>808</v>
      </c>
      <c r="X1205" s="244" t="s">
        <v>809</v>
      </c>
      <c r="Y1205" s="244" t="s">
        <v>75</v>
      </c>
      <c r="Z1205" s="244" t="s">
        <v>75</v>
      </c>
    </row>
    <row r="1206" spans="3:26" ht="19" x14ac:dyDescent="0.2">
      <c r="C1206" s="241"/>
      <c r="D1206" s="588" t="s">
        <v>432</v>
      </c>
      <c r="E1206" s="880"/>
      <c r="F1206" s="881"/>
      <c r="G1206" s="882"/>
      <c r="H1206" s="245" t="s">
        <v>794</v>
      </c>
      <c r="I1206" s="962" t="s">
        <v>1144</v>
      </c>
      <c r="J1206" s="962"/>
      <c r="K1206" s="963"/>
      <c r="L1206" s="617"/>
      <c r="M1206" s="374" t="s">
        <v>1143</v>
      </c>
      <c r="N1206" s="243"/>
      <c r="O1206" s="246" t="s">
        <v>810</v>
      </c>
      <c r="P1206" s="247">
        <v>0.1</v>
      </c>
      <c r="Q1206" s="248">
        <v>3.4000000000000002E-2</v>
      </c>
      <c r="R1206" s="249">
        <v>1.5000000000014779E-2</v>
      </c>
      <c r="S1206" s="250"/>
      <c r="T1206" s="246">
        <v>6.6000000000014783E-2</v>
      </c>
      <c r="U1206" s="248">
        <v>-16.5</v>
      </c>
      <c r="V1206" s="247">
        <v>60.5</v>
      </c>
      <c r="W1206" s="251">
        <v>2</v>
      </c>
      <c r="X1206" s="252">
        <v>33</v>
      </c>
      <c r="Y1206" s="250"/>
      <c r="Z1206" s="250"/>
    </row>
    <row r="1207" spans="3:26" ht="19" x14ac:dyDescent="0.2">
      <c r="C1207" s="241"/>
      <c r="D1207" s="589" t="s">
        <v>433</v>
      </c>
      <c r="E1207" s="868"/>
      <c r="F1207" s="869"/>
      <c r="G1207" s="870"/>
      <c r="H1207" s="245" t="s">
        <v>795</v>
      </c>
      <c r="I1207" s="964"/>
      <c r="J1207" s="964"/>
      <c r="K1207" s="965"/>
      <c r="L1207" s="617"/>
      <c r="M1207" s="375"/>
      <c r="N1207" s="243"/>
      <c r="O1207" s="243"/>
      <c r="P1207" s="243"/>
      <c r="Q1207" s="243"/>
      <c r="R1207" s="253"/>
      <c r="S1207" s="254"/>
      <c r="T1207" s="243"/>
      <c r="U1207" s="243"/>
      <c r="V1207" s="243"/>
      <c r="W1207" s="254"/>
      <c r="X1207" s="254"/>
      <c r="Y1207" s="255"/>
      <c r="Z1207" s="255"/>
    </row>
    <row r="1208" spans="3:26" ht="19" x14ac:dyDescent="0.2">
      <c r="C1208" s="241"/>
      <c r="D1208" s="589" t="s">
        <v>434</v>
      </c>
      <c r="E1208" s="868">
        <v>2.5999999999999999E-2</v>
      </c>
      <c r="F1208" s="869"/>
      <c r="G1208" s="870"/>
      <c r="H1208" s="245"/>
      <c r="I1208" s="964"/>
      <c r="J1208" s="964"/>
      <c r="K1208" s="965"/>
      <c r="L1208" s="617"/>
      <c r="M1208" s="375"/>
      <c r="N1208" s="243"/>
      <c r="O1208" s="256" t="s">
        <v>811</v>
      </c>
      <c r="P1208" s="257">
        <v>0.06</v>
      </c>
      <c r="Q1208" s="258">
        <v>8.6699999999999999E-2</v>
      </c>
      <c r="R1208" s="259">
        <v>1.9E-2</v>
      </c>
      <c r="S1208" s="260">
        <v>1</v>
      </c>
      <c r="T1208" s="256">
        <v>0.14904999999999999</v>
      </c>
      <c r="U1208" s="261">
        <v>-22.357499999994992</v>
      </c>
      <c r="V1208" s="262">
        <v>36.299999999999997</v>
      </c>
      <c r="W1208" s="263">
        <v>4.58</v>
      </c>
      <c r="X1208" s="264">
        <v>102.39734999997707</v>
      </c>
      <c r="Y1208" s="265"/>
      <c r="Z1208" s="265">
        <v>4.4350000000000005</v>
      </c>
    </row>
    <row r="1209" spans="3:26" ht="20" thickBot="1" x14ac:dyDescent="0.25">
      <c r="C1209" s="241"/>
      <c r="D1209" s="590" t="s">
        <v>435</v>
      </c>
      <c r="E1209" s="871">
        <v>0.5625</v>
      </c>
      <c r="F1209" s="872"/>
      <c r="G1209" s="873"/>
      <c r="H1209" s="266">
        <v>0.35416666666666663</v>
      </c>
      <c r="I1209" s="964"/>
      <c r="J1209" s="964"/>
      <c r="K1209" s="965"/>
      <c r="L1209" s="618">
        <v>0.79166666666666663</v>
      </c>
      <c r="M1209" s="377">
        <v>0.64583333333333326</v>
      </c>
      <c r="N1209" s="243"/>
      <c r="O1209" s="267" t="s">
        <v>812</v>
      </c>
      <c r="P1209" s="268">
        <v>0.06</v>
      </c>
      <c r="Q1209" s="269">
        <v>7.9733333333333337E-2</v>
      </c>
      <c r="R1209" s="270">
        <v>1.9E-2</v>
      </c>
      <c r="S1209" s="271">
        <v>1</v>
      </c>
      <c r="T1209" s="272">
        <v>0.1386</v>
      </c>
      <c r="U1209" s="273">
        <v>-20.789999999995342</v>
      </c>
      <c r="V1209" s="274">
        <v>36.299999999999997</v>
      </c>
      <c r="W1209" s="275">
        <v>3.37</v>
      </c>
      <c r="X1209" s="276">
        <v>70.062299999984305</v>
      </c>
      <c r="Y1209" s="277"/>
      <c r="Z1209" s="277"/>
    </row>
    <row r="1210" spans="3:26" ht="20" thickBot="1" x14ac:dyDescent="0.25">
      <c r="C1210" s="241"/>
      <c r="D1210" s="591" t="s">
        <v>436</v>
      </c>
      <c r="E1210" s="293" t="s">
        <v>29</v>
      </c>
      <c r="F1210" s="293" t="s">
        <v>28</v>
      </c>
      <c r="G1210" s="294" t="s">
        <v>27</v>
      </c>
      <c r="H1210" s="280" t="s">
        <v>793</v>
      </c>
      <c r="I1210" s="964"/>
      <c r="J1210" s="964"/>
      <c r="K1210" s="965"/>
      <c r="L1210" s="619" t="s">
        <v>1246</v>
      </c>
      <c r="M1210" s="379"/>
      <c r="N1210" s="243"/>
      <c r="O1210" s="254"/>
      <c r="P1210" s="255"/>
      <c r="Q1210" s="254"/>
      <c r="R1210" s="254"/>
      <c r="S1210" s="254"/>
      <c r="T1210" s="254"/>
      <c r="U1210" s="281"/>
      <c r="V1210" s="282"/>
      <c r="W1210" s="254"/>
      <c r="X1210" s="281"/>
      <c r="Y1210" s="255"/>
      <c r="Z1210" s="255"/>
    </row>
    <row r="1211" spans="3:26" ht="19" x14ac:dyDescent="0.2">
      <c r="C1211" s="241"/>
      <c r="D1211" s="614">
        <v>45594</v>
      </c>
      <c r="E1211" s="295" t="s">
        <v>1174</v>
      </c>
      <c r="F1211" s="295" t="s">
        <v>1175</v>
      </c>
      <c r="G1211" s="295" t="s">
        <v>1176</v>
      </c>
      <c r="H1211" s="284">
        <v>0.5625</v>
      </c>
      <c r="I1211" s="964"/>
      <c r="J1211" s="964"/>
      <c r="K1211" s="965"/>
      <c r="L1211" s="621">
        <v>0.8125</v>
      </c>
      <c r="M1211" s="382"/>
      <c r="N1211" s="243"/>
      <c r="O1211" s="254"/>
      <c r="P1211" s="255"/>
      <c r="Q1211" s="254"/>
      <c r="R1211" s="254"/>
      <c r="S1211" s="254"/>
      <c r="T1211" s="254"/>
      <c r="U1211" s="254"/>
      <c r="V1211" s="254"/>
      <c r="W1211" s="254"/>
      <c r="X1211" s="254"/>
      <c r="Y1211" s="255"/>
      <c r="Z1211" s="255"/>
    </row>
    <row r="1212" spans="3:26" ht="19" x14ac:dyDescent="0.2">
      <c r="C1212" s="241"/>
      <c r="D1212" s="614">
        <v>45566</v>
      </c>
      <c r="E1212" s="295" t="s">
        <v>1177</v>
      </c>
      <c r="F1212" s="295" t="s">
        <v>1178</v>
      </c>
      <c r="G1212" s="295" t="s">
        <v>1179</v>
      </c>
      <c r="H1212" s="284">
        <v>0.52083333333333337</v>
      </c>
      <c r="I1212" s="964"/>
      <c r="J1212" s="964"/>
      <c r="K1212" s="965"/>
      <c r="L1212" s="621">
        <v>0.8125</v>
      </c>
      <c r="M1212" s="383"/>
      <c r="N1212" s="243"/>
      <c r="O1212" s="246" t="s">
        <v>813</v>
      </c>
      <c r="P1212" s="247">
        <v>0.06</v>
      </c>
      <c r="Q1212" s="285">
        <v>8.3216666666666661E-2</v>
      </c>
      <c r="R1212" s="286">
        <v>1.9E-2</v>
      </c>
      <c r="S1212" s="250">
        <v>1</v>
      </c>
      <c r="T1212" s="256">
        <v>0.14382499999999998</v>
      </c>
      <c r="U1212" s="287">
        <v>-21.573749999995162</v>
      </c>
      <c r="V1212" s="288">
        <v>36.299999999999997</v>
      </c>
      <c r="W1212" s="250">
        <v>2</v>
      </c>
      <c r="X1212" s="252">
        <v>43.147499999990323</v>
      </c>
      <c r="Y1212" s="289"/>
      <c r="Z1212" s="289"/>
    </row>
    <row r="1213" spans="3:26" ht="19" x14ac:dyDescent="0.2">
      <c r="C1213" s="241"/>
      <c r="D1213" s="614">
        <v>45539</v>
      </c>
      <c r="E1213" s="295" t="s">
        <v>1180</v>
      </c>
      <c r="F1213" s="295" t="s">
        <v>1181</v>
      </c>
      <c r="G1213" s="295" t="s">
        <v>1182</v>
      </c>
      <c r="H1213" s="284">
        <v>0.52083333333333337</v>
      </c>
      <c r="I1213" s="964"/>
      <c r="J1213" s="964"/>
      <c r="K1213" s="965"/>
      <c r="L1213" s="621">
        <v>0.8125</v>
      </c>
      <c r="M1213" s="375"/>
      <c r="N1213" s="243"/>
      <c r="O1213" s="246" t="s">
        <v>813</v>
      </c>
      <c r="P1213" s="247">
        <v>0.06</v>
      </c>
      <c r="Q1213" s="285">
        <v>8.3216666666666661E-2</v>
      </c>
      <c r="R1213" s="286">
        <v>1.9E-2</v>
      </c>
      <c r="S1213" s="250">
        <v>1</v>
      </c>
      <c r="T1213" s="256">
        <v>0.14382499999999998</v>
      </c>
      <c r="U1213" s="287">
        <v>-21.573749999995162</v>
      </c>
      <c r="V1213" s="288">
        <v>36.299999999999997</v>
      </c>
      <c r="W1213" s="250">
        <v>2</v>
      </c>
      <c r="X1213" s="252">
        <v>43.147499999990323</v>
      </c>
      <c r="Y1213" s="289"/>
      <c r="Z1213" s="289"/>
    </row>
    <row r="1214" spans="3:26" ht="19" x14ac:dyDescent="0.2">
      <c r="C1214" s="241"/>
      <c r="D1214" s="614">
        <v>45503</v>
      </c>
      <c r="E1214" s="295" t="s">
        <v>1183</v>
      </c>
      <c r="F1214" s="295" t="s">
        <v>1184</v>
      </c>
      <c r="G1214" s="295" t="s">
        <v>1185</v>
      </c>
      <c r="H1214" s="284">
        <v>0.52083333333333337</v>
      </c>
      <c r="I1214" s="964"/>
      <c r="J1214" s="964"/>
      <c r="K1214" s="965"/>
      <c r="L1214" s="621">
        <v>0.8125</v>
      </c>
      <c r="M1214" s="375"/>
      <c r="N1214" s="243"/>
      <c r="O1214" s="246" t="s">
        <v>816</v>
      </c>
      <c r="P1214" s="290"/>
      <c r="Q1214" s="285"/>
      <c r="R1214" s="286"/>
      <c r="S1214" s="250"/>
      <c r="T1214" s="290"/>
      <c r="U1214" s="287"/>
      <c r="V1214" s="288"/>
      <c r="W1214" s="250"/>
      <c r="X1214" s="252"/>
      <c r="Y1214" s="289"/>
      <c r="Z1214" s="289"/>
    </row>
    <row r="1215" spans="3:26" ht="19" x14ac:dyDescent="0.2">
      <c r="C1215" s="241"/>
      <c r="D1215" s="614">
        <v>45475</v>
      </c>
      <c r="E1215" s="295" t="s">
        <v>1186</v>
      </c>
      <c r="F1215" s="295" t="s">
        <v>1187</v>
      </c>
      <c r="G1215" s="295" t="s">
        <v>1188</v>
      </c>
      <c r="H1215" s="284">
        <v>0.52083333333333337</v>
      </c>
      <c r="I1215" s="964"/>
      <c r="J1215" s="964"/>
      <c r="K1215" s="965"/>
      <c r="L1215" s="621">
        <v>0.8125</v>
      </c>
      <c r="M1215" s="375"/>
      <c r="N1215" s="243"/>
      <c r="O1215" s="291"/>
      <c r="P1215" s="291"/>
      <c r="Q1215" s="291"/>
      <c r="R1215" s="291"/>
      <c r="S1215" s="291"/>
      <c r="T1215" s="291"/>
      <c r="U1215" s="291"/>
      <c r="V1215" s="291"/>
      <c r="W1215" s="291"/>
      <c r="X1215" s="291"/>
      <c r="Y1215" s="291"/>
      <c r="Z1215" s="291"/>
    </row>
    <row r="1216" spans="3:26" ht="20" thickBot="1" x14ac:dyDescent="0.25">
      <c r="C1216" s="241"/>
      <c r="D1216" s="615">
        <v>45447</v>
      </c>
      <c r="E1216" s="356" t="s">
        <v>1189</v>
      </c>
      <c r="F1216" s="356" t="s">
        <v>1190</v>
      </c>
      <c r="G1216" s="356" t="s">
        <v>1191</v>
      </c>
      <c r="H1216" s="284">
        <v>0.52083333333333337</v>
      </c>
      <c r="I1216" s="966"/>
      <c r="J1216" s="966"/>
      <c r="K1216" s="967"/>
      <c r="L1216" s="622">
        <v>0.8125</v>
      </c>
      <c r="M1216" s="384"/>
      <c r="N1216" s="243"/>
      <c r="O1216" s="291"/>
      <c r="P1216" s="291"/>
      <c r="Q1216" s="291"/>
      <c r="R1216" s="291"/>
      <c r="S1216" s="291"/>
      <c r="T1216" s="291"/>
      <c r="U1216" s="291"/>
      <c r="V1216" s="291"/>
      <c r="W1216" s="291"/>
      <c r="X1216" s="291"/>
      <c r="Y1216" s="291"/>
      <c r="Z1216" s="291"/>
    </row>
    <row r="1217" spans="3:26" ht="20" thickBot="1" x14ac:dyDescent="0.25">
      <c r="C1217" s="241">
        <v>5</v>
      </c>
      <c r="D1217" s="576" t="s">
        <v>30</v>
      </c>
      <c r="E1217" s="874" t="s">
        <v>1145</v>
      </c>
      <c r="F1217" s="875"/>
      <c r="G1217" s="876"/>
      <c r="H1217" s="242" t="s">
        <v>790</v>
      </c>
      <c r="I1217" s="977" t="s">
        <v>633</v>
      </c>
      <c r="J1217" s="977"/>
      <c r="K1217" s="978"/>
      <c r="L1217" s="616" t="s">
        <v>430</v>
      </c>
      <c r="M1217" s="372" t="s">
        <v>431</v>
      </c>
      <c r="N1217" s="243" t="s">
        <v>105</v>
      </c>
      <c r="O1217" s="244" t="s">
        <v>800</v>
      </c>
      <c r="P1217" s="244" t="s">
        <v>801</v>
      </c>
      <c r="Q1217" s="244" t="s">
        <v>802</v>
      </c>
      <c r="R1217" s="244" t="s">
        <v>803</v>
      </c>
      <c r="S1217" s="244" t="s">
        <v>804</v>
      </c>
      <c r="T1217" s="244" t="s">
        <v>805</v>
      </c>
      <c r="U1217" s="244" t="s">
        <v>806</v>
      </c>
      <c r="V1217" s="244" t="s">
        <v>807</v>
      </c>
      <c r="W1217" s="244" t="s">
        <v>808</v>
      </c>
      <c r="X1217" s="244" t="s">
        <v>809</v>
      </c>
      <c r="Y1217" s="244" t="s">
        <v>75</v>
      </c>
      <c r="Z1217" s="244" t="s">
        <v>75</v>
      </c>
    </row>
    <row r="1218" spans="3:26" ht="19" x14ac:dyDescent="0.2">
      <c r="C1218" s="241"/>
      <c r="D1218" s="588" t="s">
        <v>432</v>
      </c>
      <c r="E1218" s="880"/>
      <c r="F1218" s="881"/>
      <c r="G1218" s="882"/>
      <c r="H1218" s="245" t="s">
        <v>1247</v>
      </c>
      <c r="I1218" s="962" t="s">
        <v>1144</v>
      </c>
      <c r="J1218" s="962"/>
      <c r="K1218" s="963"/>
      <c r="L1218" s="617"/>
      <c r="M1218" s="374" t="s">
        <v>1145</v>
      </c>
      <c r="N1218" s="243"/>
      <c r="O1218" s="246" t="s">
        <v>810</v>
      </c>
      <c r="P1218" s="247">
        <v>0.1</v>
      </c>
      <c r="Q1218" s="248">
        <v>3.4000000000000002E-2</v>
      </c>
      <c r="R1218" s="249">
        <v>1.5000000000014779E-2</v>
      </c>
      <c r="S1218" s="250"/>
      <c r="T1218" s="246">
        <v>6.6000000000014783E-2</v>
      </c>
      <c r="U1218" s="248">
        <v>-16.5</v>
      </c>
      <c r="V1218" s="247">
        <v>60.5</v>
      </c>
      <c r="W1218" s="251">
        <v>2</v>
      </c>
      <c r="X1218" s="252">
        <v>33</v>
      </c>
      <c r="Y1218" s="250"/>
      <c r="Z1218" s="250"/>
    </row>
    <row r="1219" spans="3:26" ht="19" x14ac:dyDescent="0.2">
      <c r="C1219" s="241"/>
      <c r="D1219" s="589" t="s">
        <v>433</v>
      </c>
      <c r="E1219" s="856"/>
      <c r="F1219" s="857"/>
      <c r="G1219" s="858"/>
      <c r="H1219" s="245" t="s">
        <v>1247</v>
      </c>
      <c r="I1219" s="964"/>
      <c r="J1219" s="964"/>
      <c r="K1219" s="965"/>
      <c r="L1219" s="617"/>
      <c r="M1219" s="375"/>
      <c r="N1219" s="243"/>
      <c r="O1219" s="243"/>
      <c r="P1219" s="243"/>
      <c r="Q1219" s="243"/>
      <c r="R1219" s="253"/>
      <c r="S1219" s="254"/>
      <c r="T1219" s="243"/>
      <c r="U1219" s="243"/>
      <c r="V1219" s="243"/>
      <c r="W1219" s="254"/>
      <c r="X1219" s="254"/>
      <c r="Y1219" s="255"/>
      <c r="Z1219" s="255"/>
    </row>
    <row r="1220" spans="3:26" ht="19" x14ac:dyDescent="0.2">
      <c r="C1220" s="241"/>
      <c r="D1220" s="589" t="s">
        <v>434</v>
      </c>
      <c r="E1220" s="856" t="e">
        <v>#REF!</v>
      </c>
      <c r="F1220" s="857"/>
      <c r="G1220" s="858"/>
      <c r="H1220" s="245"/>
      <c r="I1220" s="964"/>
      <c r="J1220" s="964"/>
      <c r="K1220" s="965"/>
      <c r="L1220" s="617"/>
      <c r="M1220" s="375"/>
      <c r="N1220" s="243"/>
      <c r="O1220" s="256" t="s">
        <v>811</v>
      </c>
      <c r="P1220" s="257">
        <v>0.1</v>
      </c>
      <c r="Q1220" s="258">
        <v>5.9400000000000001E-2</v>
      </c>
      <c r="R1220" s="259">
        <v>6.9999999999999999E-4</v>
      </c>
      <c r="S1220" s="260">
        <v>1</v>
      </c>
      <c r="T1220" s="256">
        <v>8.9800000000000005E-2</v>
      </c>
      <c r="U1220" s="261">
        <v>-22.449999999994972</v>
      </c>
      <c r="V1220" s="262">
        <v>60.5</v>
      </c>
      <c r="W1220" s="263">
        <v>4.38</v>
      </c>
      <c r="X1220" s="264">
        <v>98.330999999977976</v>
      </c>
      <c r="Y1220" s="265"/>
      <c r="Z1220" s="265"/>
    </row>
    <row r="1221" spans="3:26" ht="20" thickBot="1" x14ac:dyDescent="0.25">
      <c r="C1221" s="241"/>
      <c r="D1221" s="590" t="s">
        <v>435</v>
      </c>
      <c r="E1221" s="871">
        <v>0.5625</v>
      </c>
      <c r="F1221" s="872"/>
      <c r="G1221" s="873"/>
      <c r="H1221" s="266">
        <v>0.35416666666666663</v>
      </c>
      <c r="I1221" s="964"/>
      <c r="J1221" s="964"/>
      <c r="K1221" s="965"/>
      <c r="L1221" s="618">
        <v>0.79166666666666663</v>
      </c>
      <c r="M1221" s="377">
        <v>0.64583333333333326</v>
      </c>
      <c r="N1221" s="243"/>
      <c r="O1221" s="267" t="s">
        <v>812</v>
      </c>
      <c r="P1221" s="268">
        <v>0.1</v>
      </c>
      <c r="Q1221" s="269">
        <v>7.1533333333333324E-2</v>
      </c>
      <c r="R1221" s="270">
        <v>6.9999999999999999E-4</v>
      </c>
      <c r="S1221" s="271">
        <v>1</v>
      </c>
      <c r="T1221" s="272">
        <v>0.108</v>
      </c>
      <c r="U1221" s="273">
        <v>-26.999999999993953</v>
      </c>
      <c r="V1221" s="274">
        <v>60.5</v>
      </c>
      <c r="W1221" s="275">
        <v>8</v>
      </c>
      <c r="X1221" s="276">
        <v>215.99999999995163</v>
      </c>
      <c r="Y1221" s="277"/>
      <c r="Z1221" s="277"/>
    </row>
    <row r="1222" spans="3:26" ht="20" thickBot="1" x14ac:dyDescent="0.25">
      <c r="C1222" s="241"/>
      <c r="D1222" s="591" t="s">
        <v>436</v>
      </c>
      <c r="E1222" s="293" t="s">
        <v>29</v>
      </c>
      <c r="F1222" s="293" t="s">
        <v>28</v>
      </c>
      <c r="G1222" s="294" t="s">
        <v>27</v>
      </c>
      <c r="H1222" s="280" t="s">
        <v>793</v>
      </c>
      <c r="I1222" s="964"/>
      <c r="J1222" s="964"/>
      <c r="K1222" s="965"/>
      <c r="L1222" s="619" t="s">
        <v>1246</v>
      </c>
      <c r="M1222" s="379"/>
      <c r="N1222" s="243"/>
      <c r="O1222" s="254"/>
      <c r="P1222" s="255"/>
      <c r="Q1222" s="254"/>
      <c r="R1222" s="254"/>
      <c r="S1222" s="254"/>
      <c r="T1222" s="254"/>
      <c r="U1222" s="281"/>
      <c r="V1222" s="282"/>
      <c r="W1222" s="254"/>
      <c r="X1222" s="281"/>
      <c r="Y1222" s="255"/>
      <c r="Z1222" s="255"/>
    </row>
    <row r="1223" spans="3:26" ht="19" x14ac:dyDescent="0.2">
      <c r="C1223" s="241"/>
      <c r="D1223" s="592">
        <v>45595</v>
      </c>
      <c r="E1223" s="295" t="s">
        <v>1192</v>
      </c>
      <c r="F1223" s="295" t="s">
        <v>1193</v>
      </c>
      <c r="G1223" s="295" t="s">
        <v>1194</v>
      </c>
      <c r="H1223" s="284">
        <v>0.5625</v>
      </c>
      <c r="I1223" s="964"/>
      <c r="J1223" s="964"/>
      <c r="K1223" s="965"/>
      <c r="L1223" s="621">
        <v>0.73958333333333337</v>
      </c>
      <c r="M1223" s="382"/>
      <c r="N1223" s="243"/>
      <c r="O1223" s="254"/>
      <c r="P1223" s="255"/>
      <c r="Q1223" s="254"/>
      <c r="R1223" s="254"/>
      <c r="S1223" s="254"/>
      <c r="T1223" s="254"/>
      <c r="U1223" s="254"/>
      <c r="V1223" s="254"/>
      <c r="W1223" s="254"/>
      <c r="X1223" s="254"/>
      <c r="Y1223" s="255"/>
      <c r="Z1223" s="255"/>
    </row>
    <row r="1224" spans="3:26" ht="19" x14ac:dyDescent="0.2">
      <c r="C1224" s="241"/>
      <c r="D1224" s="592">
        <v>45567</v>
      </c>
      <c r="E1224" s="295" t="s">
        <v>1195</v>
      </c>
      <c r="F1224" s="295" t="s">
        <v>1196</v>
      </c>
      <c r="G1224" s="295" t="s">
        <v>1197</v>
      </c>
      <c r="H1224" s="284">
        <v>0.52083333333333337</v>
      </c>
      <c r="I1224" s="964"/>
      <c r="J1224" s="964"/>
      <c r="K1224" s="965"/>
      <c r="L1224" s="621">
        <v>0.73958333333333337</v>
      </c>
      <c r="M1224" s="383"/>
      <c r="N1224" s="243"/>
      <c r="O1224" s="246" t="s">
        <v>813</v>
      </c>
      <c r="P1224" s="247">
        <v>0.1</v>
      </c>
      <c r="Q1224" s="285">
        <v>6.5466666666666659E-2</v>
      </c>
      <c r="R1224" s="286">
        <v>6.9999999999999999E-4</v>
      </c>
      <c r="S1224" s="250">
        <v>1</v>
      </c>
      <c r="T1224" s="256">
        <v>9.8899999999999988E-2</v>
      </c>
      <c r="U1224" s="287">
        <v>-24.724999999994459</v>
      </c>
      <c r="V1224" s="288">
        <v>60.5</v>
      </c>
      <c r="W1224" s="250">
        <v>3</v>
      </c>
      <c r="X1224" s="252">
        <v>74.174999999983385</v>
      </c>
      <c r="Y1224" s="289"/>
      <c r="Z1224" s="289"/>
    </row>
    <row r="1225" spans="3:26" ht="19" x14ac:dyDescent="0.2">
      <c r="C1225" s="241"/>
      <c r="D1225" s="592">
        <v>45540</v>
      </c>
      <c r="E1225" s="295" t="s">
        <v>1198</v>
      </c>
      <c r="F1225" s="295" t="s">
        <v>1199</v>
      </c>
      <c r="G1225" s="295" t="s">
        <v>1200</v>
      </c>
      <c r="H1225" s="284">
        <v>0.52083333333333337</v>
      </c>
      <c r="I1225" s="964"/>
      <c r="J1225" s="964"/>
      <c r="K1225" s="965"/>
      <c r="L1225" s="621">
        <v>0.73958333333333337</v>
      </c>
      <c r="M1225" s="375"/>
      <c r="N1225" s="243"/>
      <c r="O1225" s="246" t="s">
        <v>813</v>
      </c>
      <c r="P1225" s="247">
        <v>0.1</v>
      </c>
      <c r="Q1225" s="285">
        <v>6.5466666666666659E-2</v>
      </c>
      <c r="R1225" s="286">
        <v>6.9999999999999999E-4</v>
      </c>
      <c r="S1225" s="250">
        <v>1</v>
      </c>
      <c r="T1225" s="256">
        <v>9.8899999999999988E-2</v>
      </c>
      <c r="U1225" s="287">
        <v>-24.724999999994459</v>
      </c>
      <c r="V1225" s="288">
        <v>60.5</v>
      </c>
      <c r="W1225" s="250">
        <v>3</v>
      </c>
      <c r="X1225" s="252">
        <v>74.174999999983385</v>
      </c>
      <c r="Y1225" s="289"/>
      <c r="Z1225" s="289"/>
    </row>
    <row r="1226" spans="3:26" ht="19" x14ac:dyDescent="0.2">
      <c r="C1226" s="241"/>
      <c r="D1226" s="592">
        <v>45504</v>
      </c>
      <c r="E1226" s="295" t="s">
        <v>1201</v>
      </c>
      <c r="F1226" s="295" t="s">
        <v>1202</v>
      </c>
      <c r="G1226" s="295" t="s">
        <v>1203</v>
      </c>
      <c r="H1226" s="284">
        <v>0.52083333333333337</v>
      </c>
      <c r="I1226" s="964"/>
      <c r="J1226" s="964"/>
      <c r="K1226" s="965"/>
      <c r="L1226" s="621">
        <v>0.73958333333333337</v>
      </c>
      <c r="M1226" s="375"/>
      <c r="N1226" s="243"/>
      <c r="O1226" s="246"/>
      <c r="P1226" s="290"/>
      <c r="Q1226" s="285"/>
      <c r="R1226" s="286"/>
      <c r="S1226" s="250"/>
      <c r="T1226" s="290"/>
      <c r="U1226" s="287"/>
      <c r="V1226" s="288"/>
      <c r="W1226" s="250"/>
      <c r="X1226" s="252"/>
      <c r="Y1226" s="289"/>
      <c r="Z1226" s="289"/>
    </row>
    <row r="1227" spans="3:26" ht="19" x14ac:dyDescent="0.2">
      <c r="C1227" s="241"/>
      <c r="D1227" s="592">
        <v>45476</v>
      </c>
      <c r="E1227" s="295" t="s">
        <v>1204</v>
      </c>
      <c r="F1227" s="295" t="s">
        <v>1205</v>
      </c>
      <c r="G1227" s="295" t="s">
        <v>1206</v>
      </c>
      <c r="H1227" s="284">
        <v>0.52083333333333337</v>
      </c>
      <c r="I1227" s="964"/>
      <c r="J1227" s="964"/>
      <c r="K1227" s="965"/>
      <c r="L1227" s="621">
        <v>0.73958333333333337</v>
      </c>
      <c r="M1227" s="375"/>
      <c r="N1227" s="243"/>
      <c r="O1227" s="291"/>
      <c r="P1227" s="291"/>
      <c r="Q1227" s="291"/>
      <c r="R1227" s="291"/>
      <c r="S1227" s="291"/>
      <c r="T1227" s="291"/>
      <c r="U1227" s="291"/>
      <c r="V1227" s="291"/>
      <c r="W1227" s="291"/>
      <c r="X1227" s="291"/>
      <c r="Y1227" s="291"/>
      <c r="Z1227" s="291"/>
    </row>
    <row r="1228" spans="3:26" ht="20" thickBot="1" x14ac:dyDescent="0.25">
      <c r="C1228" s="241"/>
      <c r="D1228" s="608">
        <v>45448</v>
      </c>
      <c r="E1228" s="356" t="s">
        <v>1207</v>
      </c>
      <c r="F1228" s="356" t="s">
        <v>1208</v>
      </c>
      <c r="G1228" s="356" t="s">
        <v>1209</v>
      </c>
      <c r="H1228" s="284">
        <v>0.52083333333333337</v>
      </c>
      <c r="I1228" s="966"/>
      <c r="J1228" s="966"/>
      <c r="K1228" s="967"/>
      <c r="L1228" s="622">
        <v>0.73958333333333337</v>
      </c>
      <c r="M1228" s="384"/>
      <c r="N1228" s="243"/>
      <c r="O1228" s="291"/>
      <c r="P1228" s="291"/>
      <c r="Q1228" s="291"/>
      <c r="R1228" s="291"/>
      <c r="S1228" s="291"/>
      <c r="T1228" s="291"/>
      <c r="U1228" s="291"/>
      <c r="V1228" s="291"/>
      <c r="W1228" s="291"/>
      <c r="X1228" s="291"/>
      <c r="Y1228" s="291"/>
      <c r="Z1228" s="291"/>
    </row>
    <row r="1229" spans="3:26" ht="20" thickBot="1" x14ac:dyDescent="0.25">
      <c r="C1229" s="241">
        <v>6</v>
      </c>
      <c r="D1229" s="576" t="s">
        <v>30</v>
      </c>
      <c r="E1229" s="874" t="s">
        <v>90</v>
      </c>
      <c r="F1229" s="875"/>
      <c r="G1229" s="876"/>
      <c r="H1229" s="242" t="s">
        <v>790</v>
      </c>
      <c r="I1229" s="977" t="s">
        <v>633</v>
      </c>
      <c r="J1229" s="977"/>
      <c r="K1229" s="978"/>
      <c r="L1229" s="616" t="s">
        <v>430</v>
      </c>
      <c r="M1229" s="372" t="s">
        <v>431</v>
      </c>
      <c r="N1229" s="243" t="s">
        <v>105</v>
      </c>
      <c r="O1229" s="244" t="s">
        <v>800</v>
      </c>
      <c r="P1229" s="244" t="s">
        <v>801</v>
      </c>
      <c r="Q1229" s="244" t="s">
        <v>802</v>
      </c>
      <c r="R1229" s="244" t="s">
        <v>803</v>
      </c>
      <c r="S1229" s="244" t="s">
        <v>804</v>
      </c>
      <c r="T1229" s="244" t="s">
        <v>805</v>
      </c>
      <c r="U1229" s="244" t="s">
        <v>806</v>
      </c>
      <c r="V1229" s="244" t="s">
        <v>807</v>
      </c>
      <c r="W1229" s="244" t="s">
        <v>808</v>
      </c>
      <c r="X1229" s="244" t="s">
        <v>809</v>
      </c>
      <c r="Y1229" s="244" t="s">
        <v>75</v>
      </c>
      <c r="Z1229" s="244" t="s">
        <v>75</v>
      </c>
    </row>
    <row r="1230" spans="3:26" ht="19" x14ac:dyDescent="0.2">
      <c r="C1230" s="241"/>
      <c r="D1230" s="588" t="s">
        <v>432</v>
      </c>
      <c r="E1230" s="853"/>
      <c r="F1230" s="854"/>
      <c r="G1230" s="855"/>
      <c r="H1230" s="245" t="s">
        <v>1056</v>
      </c>
      <c r="I1230" s="962" t="s">
        <v>1146</v>
      </c>
      <c r="J1230" s="962"/>
      <c r="K1230" s="963"/>
      <c r="L1230" s="617"/>
      <c r="M1230" s="374" t="s">
        <v>90</v>
      </c>
      <c r="N1230" s="243"/>
      <c r="O1230" s="246" t="s">
        <v>810</v>
      </c>
      <c r="P1230" s="247">
        <v>0.1</v>
      </c>
      <c r="Q1230" s="248">
        <v>0.04</v>
      </c>
      <c r="R1230" s="249">
        <v>2.5000000000005684E-2</v>
      </c>
      <c r="S1230" s="250"/>
      <c r="T1230" s="246">
        <v>8.5000000000005682E-2</v>
      </c>
      <c r="U1230" s="248">
        <v>-20.73</v>
      </c>
      <c r="V1230" s="247">
        <v>60.5</v>
      </c>
      <c r="W1230" s="251">
        <v>2</v>
      </c>
      <c r="X1230" s="252">
        <v>41.46</v>
      </c>
      <c r="Y1230" s="250"/>
      <c r="Z1230" s="250"/>
    </row>
    <row r="1231" spans="3:26" ht="19" x14ac:dyDescent="0.2">
      <c r="C1231" s="241"/>
      <c r="D1231" s="589" t="s">
        <v>433</v>
      </c>
      <c r="E1231" s="883">
        <v>3.2500000000000001E-2</v>
      </c>
      <c r="F1231" s="884"/>
      <c r="G1231" s="885"/>
      <c r="H1231" s="245" t="s">
        <v>1057</v>
      </c>
      <c r="I1231" s="964"/>
      <c r="J1231" s="964"/>
      <c r="K1231" s="965"/>
      <c r="L1231" s="617"/>
      <c r="M1231" s="375"/>
      <c r="N1231" s="243"/>
      <c r="O1231" s="243"/>
      <c r="P1231" s="243"/>
      <c r="Q1231" s="243"/>
      <c r="R1231" s="253"/>
      <c r="S1231" s="254"/>
      <c r="T1231" s="243"/>
      <c r="U1231" s="243"/>
      <c r="V1231" s="243"/>
      <c r="W1231" s="254"/>
      <c r="X1231" s="254"/>
      <c r="Y1231" s="255"/>
      <c r="Z1231" s="255"/>
    </row>
    <row r="1232" spans="3:26" ht="19" x14ac:dyDescent="0.2">
      <c r="C1232" s="241"/>
      <c r="D1232" s="589" t="s">
        <v>434</v>
      </c>
      <c r="E1232" s="883">
        <v>3.7499999999999999E-2</v>
      </c>
      <c r="F1232" s="884"/>
      <c r="G1232" s="885"/>
      <c r="H1232" s="245"/>
      <c r="I1232" s="964"/>
      <c r="J1232" s="964"/>
      <c r="K1232" s="965"/>
      <c r="L1232" s="617"/>
      <c r="M1232" s="375"/>
      <c r="N1232" s="243"/>
      <c r="O1232" s="256" t="s">
        <v>811</v>
      </c>
      <c r="P1232" s="257">
        <v>0.1</v>
      </c>
      <c r="Q1232" s="258">
        <v>6.9099999999999995E-2</v>
      </c>
      <c r="R1232" s="259">
        <v>0.11799999999999999</v>
      </c>
      <c r="S1232" s="260">
        <v>1</v>
      </c>
      <c r="T1232" s="256">
        <v>0.22164999999999999</v>
      </c>
      <c r="U1232" s="261">
        <v>-54.056523529408153</v>
      </c>
      <c r="V1232" s="262">
        <v>60.5</v>
      </c>
      <c r="W1232" s="263">
        <v>0.9</v>
      </c>
      <c r="X1232" s="264">
        <v>48.650871176467341</v>
      </c>
      <c r="Y1232" s="265"/>
      <c r="Z1232" s="265">
        <v>4.4350000000000005</v>
      </c>
    </row>
    <row r="1233" spans="3:26" ht="20" thickBot="1" x14ac:dyDescent="0.25">
      <c r="C1233" s="241"/>
      <c r="D1233" s="590" t="s">
        <v>435</v>
      </c>
      <c r="E1233" s="871">
        <v>0.61458333333333337</v>
      </c>
      <c r="F1233" s="872"/>
      <c r="G1233" s="873"/>
      <c r="H1233" s="266">
        <v>0.40625</v>
      </c>
      <c r="I1233" s="964"/>
      <c r="J1233" s="964"/>
      <c r="K1233" s="965"/>
      <c r="L1233" s="618">
        <v>0.84375</v>
      </c>
      <c r="M1233" s="377">
        <v>0.69791666666666663</v>
      </c>
      <c r="N1233" s="243"/>
      <c r="O1233" s="267" t="s">
        <v>812</v>
      </c>
      <c r="P1233" s="268">
        <v>0.1</v>
      </c>
      <c r="Q1233" s="269">
        <v>7.2000000000000008E-2</v>
      </c>
      <c r="R1233" s="270">
        <v>0.11799999999999999</v>
      </c>
      <c r="S1233" s="271">
        <v>1</v>
      </c>
      <c r="T1233" s="272">
        <v>0.22600000000000001</v>
      </c>
      <c r="U1233" s="273">
        <v>-55.117411764702197</v>
      </c>
      <c r="V1233" s="274">
        <v>60.5</v>
      </c>
      <c r="W1233" s="275">
        <v>1.29</v>
      </c>
      <c r="X1233" s="276">
        <v>71.101461176465833</v>
      </c>
      <c r="Y1233" s="277"/>
      <c r="Z1233" s="277"/>
    </row>
    <row r="1234" spans="3:26" ht="20" thickBot="1" x14ac:dyDescent="0.25">
      <c r="C1234" s="241"/>
      <c r="D1234" s="591" t="s">
        <v>436</v>
      </c>
      <c r="E1234" s="293" t="s">
        <v>29</v>
      </c>
      <c r="F1234" s="293" t="s">
        <v>28</v>
      </c>
      <c r="G1234" s="294" t="s">
        <v>27</v>
      </c>
      <c r="H1234" s="280" t="s">
        <v>793</v>
      </c>
      <c r="I1234" s="964"/>
      <c r="J1234" s="964"/>
      <c r="K1234" s="965"/>
      <c r="L1234" s="619" t="s">
        <v>1246</v>
      </c>
      <c r="M1234" s="379"/>
      <c r="N1234" s="243"/>
      <c r="O1234" s="254"/>
      <c r="P1234" s="255"/>
      <c r="Q1234" s="254"/>
      <c r="R1234" s="254"/>
      <c r="S1234" s="254"/>
      <c r="T1234" s="254"/>
      <c r="U1234" s="281"/>
      <c r="V1234" s="282"/>
      <c r="W1234" s="254"/>
      <c r="X1234" s="281"/>
      <c r="Y1234" s="255"/>
      <c r="Z1234" s="255"/>
    </row>
    <row r="1235" spans="3:26" ht="19" x14ac:dyDescent="0.2">
      <c r="C1235" s="241"/>
      <c r="D1235" s="592">
        <v>45618</v>
      </c>
      <c r="E1235" s="295">
        <v>57</v>
      </c>
      <c r="F1235" s="295" t="s">
        <v>586</v>
      </c>
      <c r="G1235" s="295">
        <v>55</v>
      </c>
      <c r="H1235" s="284">
        <v>0.57291666666666663</v>
      </c>
      <c r="I1235" s="964"/>
      <c r="J1235" s="964"/>
      <c r="K1235" s="965"/>
      <c r="L1235" s="621"/>
      <c r="M1235" s="382"/>
      <c r="N1235" s="243"/>
      <c r="O1235" s="254"/>
      <c r="P1235" s="255"/>
      <c r="Q1235" s="254"/>
      <c r="R1235" s="254"/>
      <c r="S1235" s="254"/>
      <c r="T1235" s="254"/>
      <c r="U1235" s="254"/>
      <c r="V1235" s="254"/>
      <c r="W1235" s="254"/>
      <c r="X1235" s="254"/>
      <c r="Y1235" s="255"/>
      <c r="Z1235" s="255"/>
    </row>
    <row r="1236" spans="3:26" ht="19" x14ac:dyDescent="0.2">
      <c r="C1236" s="241"/>
      <c r="D1236" s="592">
        <v>45601</v>
      </c>
      <c r="E1236" s="295">
        <v>55</v>
      </c>
      <c r="F1236" s="295" t="s">
        <v>585</v>
      </c>
      <c r="G1236" s="295">
        <v>55.2</v>
      </c>
      <c r="H1236" s="284">
        <v>0.57291666666666663</v>
      </c>
      <c r="I1236" s="964"/>
      <c r="J1236" s="964"/>
      <c r="K1236" s="965"/>
      <c r="L1236" s="621"/>
      <c r="M1236" s="383"/>
      <c r="N1236" s="243"/>
      <c r="O1236" s="246" t="s">
        <v>813</v>
      </c>
      <c r="P1236" s="247">
        <v>0.05</v>
      </c>
      <c r="Q1236" s="285">
        <v>7.0550000000000002E-2</v>
      </c>
      <c r="R1236" s="286">
        <v>0.11799999999999999</v>
      </c>
      <c r="S1236" s="250">
        <v>-1</v>
      </c>
      <c r="T1236" s="256">
        <v>0.223825</v>
      </c>
      <c r="U1236" s="287">
        <v>-27.293483823527584</v>
      </c>
      <c r="V1236" s="288">
        <v>30.25</v>
      </c>
      <c r="W1236" s="250">
        <v>2</v>
      </c>
      <c r="X1236" s="252">
        <v>54.586967647055168</v>
      </c>
      <c r="Y1236" s="289"/>
      <c r="Z1236" s="289"/>
    </row>
    <row r="1237" spans="3:26" ht="19" x14ac:dyDescent="0.2">
      <c r="C1237" s="241"/>
      <c r="D1237" s="592">
        <v>45589</v>
      </c>
      <c r="E1237" s="295">
        <v>55.3</v>
      </c>
      <c r="F1237" s="295" t="s">
        <v>604</v>
      </c>
      <c r="G1237" s="295">
        <v>55.2</v>
      </c>
      <c r="H1237" s="284">
        <v>0.57291666666666663</v>
      </c>
      <c r="I1237" s="964"/>
      <c r="J1237" s="964"/>
      <c r="K1237" s="965"/>
      <c r="L1237" s="621"/>
      <c r="M1237" s="375"/>
      <c r="N1237" s="243"/>
      <c r="O1237" s="246" t="s">
        <v>813</v>
      </c>
      <c r="P1237" s="247">
        <v>0.05</v>
      </c>
      <c r="Q1237" s="285">
        <v>7.0550000000000002E-2</v>
      </c>
      <c r="R1237" s="286">
        <v>0.11799999999999999</v>
      </c>
      <c r="S1237" s="250">
        <v>1</v>
      </c>
      <c r="T1237" s="256">
        <v>0.223825</v>
      </c>
      <c r="U1237" s="287">
        <v>-27.293483823527584</v>
      </c>
      <c r="V1237" s="288">
        <v>30.25</v>
      </c>
      <c r="W1237" s="250">
        <v>2</v>
      </c>
      <c r="X1237" s="252">
        <v>54.586967647055168</v>
      </c>
      <c r="Y1237" s="289"/>
      <c r="Z1237" s="289"/>
    </row>
    <row r="1238" spans="3:26" ht="19" x14ac:dyDescent="0.2">
      <c r="C1238" s="241"/>
      <c r="D1238" s="592">
        <v>45568</v>
      </c>
      <c r="E1238" s="295">
        <v>55.2</v>
      </c>
      <c r="F1238" s="295" t="s">
        <v>759</v>
      </c>
      <c r="G1238" s="295">
        <v>55.7</v>
      </c>
      <c r="H1238" s="284">
        <v>0.57291666666666663</v>
      </c>
      <c r="I1238" s="964"/>
      <c r="J1238" s="964"/>
      <c r="K1238" s="965"/>
      <c r="L1238" s="621"/>
      <c r="M1238" s="375"/>
      <c r="N1238" s="243"/>
      <c r="O1238" s="246" t="s">
        <v>816</v>
      </c>
      <c r="P1238" s="290"/>
      <c r="Q1238" s="285"/>
      <c r="R1238" s="286"/>
      <c r="S1238" s="250"/>
      <c r="T1238" s="290"/>
      <c r="U1238" s="287"/>
      <c r="V1238" s="288"/>
      <c r="W1238" s="250"/>
      <c r="X1238" s="252"/>
      <c r="Y1238" s="289"/>
      <c r="Z1238" s="289"/>
    </row>
    <row r="1239" spans="3:26" ht="19" x14ac:dyDescent="0.2">
      <c r="C1239" s="241"/>
      <c r="D1239" s="592">
        <v>45558</v>
      </c>
      <c r="E1239" s="295">
        <v>55.4</v>
      </c>
      <c r="F1239" s="295" t="s">
        <v>585</v>
      </c>
      <c r="G1239" s="295">
        <v>55.7</v>
      </c>
      <c r="H1239" s="284">
        <v>0.57291666666666663</v>
      </c>
      <c r="I1239" s="964"/>
      <c r="J1239" s="964"/>
      <c r="K1239" s="965"/>
      <c r="L1239" s="621"/>
      <c r="M1239" s="375"/>
      <c r="N1239" s="243"/>
      <c r="O1239" s="291"/>
      <c r="P1239" s="291"/>
      <c r="Q1239" s="291"/>
      <c r="R1239" s="291"/>
      <c r="S1239" s="291"/>
      <c r="T1239" s="291"/>
      <c r="U1239" s="291"/>
      <c r="V1239" s="291"/>
      <c r="W1239" s="291"/>
      <c r="X1239" s="291"/>
      <c r="Y1239" s="291"/>
      <c r="Z1239" s="291"/>
    </row>
    <row r="1240" spans="3:26" ht="20" thickBot="1" x14ac:dyDescent="0.25">
      <c r="C1240" s="241"/>
      <c r="D1240" s="608">
        <v>45540</v>
      </c>
      <c r="E1240" s="356">
        <v>55.7</v>
      </c>
      <c r="F1240" s="356" t="s">
        <v>586</v>
      </c>
      <c r="G1240" s="356">
        <v>55</v>
      </c>
      <c r="H1240" s="284">
        <v>0.61458333333333337</v>
      </c>
      <c r="I1240" s="966"/>
      <c r="J1240" s="966"/>
      <c r="K1240" s="967"/>
      <c r="L1240" s="622"/>
      <c r="M1240" s="384"/>
      <c r="N1240" s="243"/>
      <c r="O1240" s="291"/>
      <c r="P1240" s="291"/>
      <c r="Q1240" s="291"/>
      <c r="R1240" s="291"/>
      <c r="S1240" s="291"/>
      <c r="T1240" s="291"/>
      <c r="U1240" s="291"/>
      <c r="V1240" s="291"/>
      <c r="W1240" s="291"/>
      <c r="X1240" s="291"/>
      <c r="Y1240" s="291"/>
      <c r="Z1240" s="291"/>
    </row>
    <row r="1241" spans="3:26" ht="20" thickBot="1" x14ac:dyDescent="0.25">
      <c r="C1241" s="241">
        <v>7</v>
      </c>
      <c r="D1241" s="576" t="s">
        <v>30</v>
      </c>
      <c r="E1241" s="874" t="s">
        <v>9</v>
      </c>
      <c r="F1241" s="875"/>
      <c r="G1241" s="876"/>
      <c r="H1241" s="242" t="s">
        <v>790</v>
      </c>
      <c r="I1241" s="977" t="s">
        <v>633</v>
      </c>
      <c r="J1241" s="977"/>
      <c r="K1241" s="978"/>
      <c r="L1241" s="616" t="s">
        <v>430</v>
      </c>
      <c r="M1241" s="372" t="s">
        <v>431</v>
      </c>
      <c r="N1241" s="243" t="s">
        <v>105</v>
      </c>
      <c r="O1241" s="244" t="s">
        <v>800</v>
      </c>
      <c r="P1241" s="244" t="s">
        <v>801</v>
      </c>
      <c r="Q1241" s="244" t="s">
        <v>802</v>
      </c>
      <c r="R1241" s="244" t="s">
        <v>803</v>
      </c>
      <c r="S1241" s="244" t="s">
        <v>804</v>
      </c>
      <c r="T1241" s="244" t="s">
        <v>805</v>
      </c>
      <c r="U1241" s="244" t="s">
        <v>806</v>
      </c>
      <c r="V1241" s="244" t="s">
        <v>807</v>
      </c>
      <c r="W1241" s="244" t="s">
        <v>808</v>
      </c>
      <c r="X1241" s="244" t="s">
        <v>809</v>
      </c>
      <c r="Y1241" s="244" t="s">
        <v>75</v>
      </c>
      <c r="Z1241" s="244" t="s">
        <v>75</v>
      </c>
    </row>
    <row r="1242" spans="3:26" ht="19" x14ac:dyDescent="0.2">
      <c r="C1242" s="241"/>
      <c r="D1242" s="588" t="s">
        <v>432</v>
      </c>
      <c r="E1242" s="853"/>
      <c r="F1242" s="854"/>
      <c r="G1242" s="855"/>
      <c r="H1242" s="245" t="s">
        <v>796</v>
      </c>
      <c r="I1242" s="962" t="s">
        <v>1148</v>
      </c>
      <c r="J1242" s="962"/>
      <c r="K1242" s="963"/>
      <c r="L1242" s="617"/>
      <c r="M1242" s="374" t="s">
        <v>9</v>
      </c>
      <c r="N1242" s="243"/>
      <c r="O1242" s="246" t="s">
        <v>810</v>
      </c>
      <c r="P1242" s="247">
        <v>0.1</v>
      </c>
      <c r="Q1242" s="248">
        <v>3.4000000000000002E-2</v>
      </c>
      <c r="R1242" s="249">
        <v>1.5000000000014779E-2</v>
      </c>
      <c r="S1242" s="250"/>
      <c r="T1242" s="246">
        <v>6.6000000000014783E-2</v>
      </c>
      <c r="U1242" s="248">
        <v>-16.5</v>
      </c>
      <c r="V1242" s="247">
        <v>60.5</v>
      </c>
      <c r="W1242" s="251">
        <v>2</v>
      </c>
      <c r="X1242" s="252">
        <v>33</v>
      </c>
      <c r="Y1242" s="250"/>
      <c r="Z1242" s="250"/>
    </row>
    <row r="1243" spans="3:26" ht="19" x14ac:dyDescent="0.2">
      <c r="C1243" s="241"/>
      <c r="D1243" s="589" t="s">
        <v>433</v>
      </c>
      <c r="E1243" s="868"/>
      <c r="F1243" s="869"/>
      <c r="G1243" s="870"/>
      <c r="H1243" s="245" t="s">
        <v>796</v>
      </c>
      <c r="I1243" s="964"/>
      <c r="J1243" s="964"/>
      <c r="K1243" s="965"/>
      <c r="L1243" s="617"/>
      <c r="M1243" s="375"/>
      <c r="N1243" s="243"/>
      <c r="O1243" s="243"/>
      <c r="P1243" s="243"/>
      <c r="Q1243" s="243"/>
      <c r="R1243" s="253"/>
      <c r="S1243" s="254"/>
      <c r="T1243" s="243"/>
      <c r="U1243" s="243"/>
      <c r="V1243" s="243"/>
      <c r="W1243" s="243"/>
      <c r="X1243" s="254"/>
      <c r="Y1243" s="255"/>
      <c r="Z1243" s="255"/>
    </row>
    <row r="1244" spans="3:26" ht="19" x14ac:dyDescent="0.2">
      <c r="C1244" s="241"/>
      <c r="D1244" s="589" t="s">
        <v>434</v>
      </c>
      <c r="E1244" s="883" t="s">
        <v>1147</v>
      </c>
      <c r="F1244" s="884"/>
      <c r="G1244" s="885"/>
      <c r="H1244" s="245"/>
      <c r="I1244" s="964"/>
      <c r="J1244" s="964"/>
      <c r="K1244" s="965"/>
      <c r="L1244" s="617"/>
      <c r="M1244" s="375"/>
      <c r="N1244" s="243"/>
      <c r="O1244" s="256" t="s">
        <v>811</v>
      </c>
      <c r="P1244" s="257">
        <v>0.1</v>
      </c>
      <c r="Q1244" s="258">
        <v>6.88E-2</v>
      </c>
      <c r="R1244" s="259">
        <v>1.7000000000000001E-2</v>
      </c>
      <c r="S1244" s="299">
        <v>1</v>
      </c>
      <c r="T1244" s="256">
        <v>0.1202</v>
      </c>
      <c r="U1244" s="261">
        <v>-30.049999999993272</v>
      </c>
      <c r="V1244" s="262">
        <v>60.5</v>
      </c>
      <c r="W1244" s="300">
        <v>2.2999999999999998</v>
      </c>
      <c r="X1244" s="264">
        <v>69.114999999984519</v>
      </c>
      <c r="Y1244" s="265"/>
      <c r="Z1244" s="265"/>
    </row>
    <row r="1245" spans="3:26" ht="20" thickBot="1" x14ac:dyDescent="0.25">
      <c r="C1245" s="241"/>
      <c r="D1245" s="590" t="s">
        <v>435</v>
      </c>
      <c r="E1245" s="871">
        <v>0.64583333333333337</v>
      </c>
      <c r="F1245" s="872"/>
      <c r="G1245" s="873"/>
      <c r="H1245" s="266">
        <v>0.4375</v>
      </c>
      <c r="I1245" s="964"/>
      <c r="J1245" s="964"/>
      <c r="K1245" s="965"/>
      <c r="L1245" s="618">
        <v>0.875</v>
      </c>
      <c r="M1245" s="377">
        <v>0.72916666666666663</v>
      </c>
      <c r="N1245" s="243"/>
      <c r="O1245" s="267" t="s">
        <v>812</v>
      </c>
      <c r="P1245" s="268">
        <v>0.1</v>
      </c>
      <c r="Q1245" s="269">
        <v>0.10173333333333334</v>
      </c>
      <c r="R1245" s="270">
        <v>1.7000000000000001E-2</v>
      </c>
      <c r="S1245" s="301">
        <v>1</v>
      </c>
      <c r="T1245" s="272">
        <v>0.1696</v>
      </c>
      <c r="U1245" s="273">
        <v>-42.399999999990506</v>
      </c>
      <c r="V1245" s="274">
        <v>60.5</v>
      </c>
      <c r="W1245" s="302">
        <v>4</v>
      </c>
      <c r="X1245" s="276">
        <v>169.59999999996202</v>
      </c>
      <c r="Y1245" s="277"/>
      <c r="Z1245" s="277"/>
    </row>
    <row r="1246" spans="3:26" ht="20" thickBot="1" x14ac:dyDescent="0.25">
      <c r="C1246" s="241"/>
      <c r="D1246" s="591" t="s">
        <v>436</v>
      </c>
      <c r="E1246" s="278" t="s">
        <v>29</v>
      </c>
      <c r="F1246" s="278" t="s">
        <v>28</v>
      </c>
      <c r="G1246" s="279" t="s">
        <v>27</v>
      </c>
      <c r="H1246" s="280" t="s">
        <v>793</v>
      </c>
      <c r="I1246" s="964"/>
      <c r="J1246" s="964"/>
      <c r="K1246" s="965"/>
      <c r="L1246" s="619" t="s">
        <v>1246</v>
      </c>
      <c r="M1246" s="379"/>
      <c r="N1246" s="243"/>
      <c r="O1246" s="254"/>
      <c r="P1246" s="255"/>
      <c r="Q1246" s="254"/>
      <c r="R1246" s="254"/>
      <c r="S1246" s="303"/>
      <c r="T1246" s="254"/>
      <c r="U1246" s="281"/>
      <c r="V1246" s="282"/>
      <c r="W1246" s="304"/>
      <c r="X1246" s="281"/>
      <c r="Y1246" s="255"/>
      <c r="Z1246" s="255"/>
    </row>
    <row r="1247" spans="3:26" ht="19" x14ac:dyDescent="0.2">
      <c r="C1247" s="241"/>
      <c r="D1247" s="592">
        <v>45601</v>
      </c>
      <c r="E1247" s="389" t="s">
        <v>1210</v>
      </c>
      <c r="F1247" s="389" t="s">
        <v>1211</v>
      </c>
      <c r="G1247" s="389" t="s">
        <v>1212</v>
      </c>
      <c r="H1247" s="390">
        <v>0.72916666666666663</v>
      </c>
      <c r="I1247" s="964"/>
      <c r="J1247" s="964"/>
      <c r="K1247" s="965"/>
      <c r="L1247" s="621"/>
      <c r="M1247" s="382"/>
      <c r="N1247" s="243"/>
      <c r="O1247" s="254"/>
      <c r="P1247" s="255"/>
      <c r="Q1247" s="254"/>
      <c r="R1247" s="254"/>
      <c r="S1247" s="303"/>
      <c r="T1247" s="254"/>
      <c r="U1247" s="254"/>
      <c r="V1247" s="254"/>
      <c r="W1247" s="304"/>
      <c r="X1247" s="254"/>
      <c r="Y1247" s="255"/>
      <c r="Z1247" s="255"/>
    </row>
    <row r="1248" spans="3:26" ht="19" x14ac:dyDescent="0.2">
      <c r="C1248" s="241"/>
      <c r="D1248" s="592">
        <v>45568</v>
      </c>
      <c r="E1248" s="389" t="s">
        <v>1212</v>
      </c>
      <c r="F1248" s="389" t="s">
        <v>1213</v>
      </c>
      <c r="G1248" s="389" t="s">
        <v>1214</v>
      </c>
      <c r="H1248" s="390">
        <v>0.72916666666666663</v>
      </c>
      <c r="I1248" s="964"/>
      <c r="J1248" s="964"/>
      <c r="K1248" s="965"/>
      <c r="L1248" s="621"/>
      <c r="M1248" s="383"/>
      <c r="N1248" s="243"/>
      <c r="O1248" s="246" t="s">
        <v>813</v>
      </c>
      <c r="P1248" s="247">
        <v>0.06</v>
      </c>
      <c r="Q1248" s="285">
        <v>8.5266666666666671E-2</v>
      </c>
      <c r="R1248" s="286">
        <v>1.7000000000000001E-2</v>
      </c>
      <c r="S1248" s="250">
        <v>-1.5</v>
      </c>
      <c r="T1248" s="256">
        <v>0.14490000000000003</v>
      </c>
      <c r="U1248" s="287">
        <v>32.602499999992702</v>
      </c>
      <c r="V1248" s="288">
        <v>36.299999999999997</v>
      </c>
      <c r="W1248" s="250">
        <v>2</v>
      </c>
      <c r="X1248" s="252">
        <v>-65.204999999985404</v>
      </c>
      <c r="Y1248" s="289"/>
      <c r="Z1248" s="289"/>
    </row>
    <row r="1249" spans="3:26" ht="19" x14ac:dyDescent="0.2">
      <c r="C1249" s="241"/>
      <c r="D1249" s="592">
        <v>45540</v>
      </c>
      <c r="E1249" s="389" t="s">
        <v>1214</v>
      </c>
      <c r="F1249" s="389" t="s">
        <v>1215</v>
      </c>
      <c r="G1249" s="389" t="s">
        <v>1216</v>
      </c>
      <c r="H1249" s="390">
        <v>0.72916666666666663</v>
      </c>
      <c r="I1249" s="964"/>
      <c r="J1249" s="964"/>
      <c r="K1249" s="965"/>
      <c r="L1249" s="621"/>
      <c r="M1249" s="375"/>
      <c r="N1249" s="243"/>
      <c r="O1249" s="246" t="s">
        <v>813</v>
      </c>
      <c r="P1249" s="247">
        <v>0.06</v>
      </c>
      <c r="Q1249" s="285">
        <v>8.5266666666666671E-2</v>
      </c>
      <c r="R1249" s="286">
        <v>1.7000000000000001E-2</v>
      </c>
      <c r="S1249" s="250">
        <v>1.5</v>
      </c>
      <c r="T1249" s="256">
        <v>0.14490000000000003</v>
      </c>
      <c r="U1249" s="287">
        <v>-31.804697647056706</v>
      </c>
      <c r="V1249" s="288">
        <v>36.299999999999997</v>
      </c>
      <c r="W1249" s="250">
        <v>2</v>
      </c>
      <c r="X1249" s="252">
        <v>63.609395294113412</v>
      </c>
      <c r="Y1249" s="289"/>
      <c r="Z1249" s="289"/>
    </row>
    <row r="1250" spans="3:26" ht="19" x14ac:dyDescent="0.2">
      <c r="C1250" s="241"/>
      <c r="D1250" s="592">
        <v>45509</v>
      </c>
      <c r="E1250" s="389" t="s">
        <v>1216</v>
      </c>
      <c r="F1250" s="389" t="s">
        <v>1216</v>
      </c>
      <c r="G1250" s="389" t="s">
        <v>1168</v>
      </c>
      <c r="H1250" s="390">
        <v>0.75</v>
      </c>
      <c r="I1250" s="964"/>
      <c r="J1250" s="964"/>
      <c r="K1250" s="965"/>
      <c r="L1250" s="621"/>
      <c r="M1250" s="375"/>
      <c r="N1250" s="243"/>
      <c r="O1250" s="246"/>
      <c r="P1250" s="290"/>
      <c r="Q1250" s="285"/>
      <c r="R1250" s="286"/>
      <c r="S1250" s="250"/>
      <c r="T1250" s="290"/>
      <c r="U1250" s="287"/>
      <c r="V1250" s="288"/>
      <c r="W1250" s="250"/>
      <c r="X1250" s="252"/>
      <c r="Y1250" s="289"/>
      <c r="Z1250" s="289"/>
    </row>
    <row r="1251" spans="3:26" ht="19" x14ac:dyDescent="0.2">
      <c r="C1251" s="241"/>
      <c r="D1251" s="592">
        <v>45476</v>
      </c>
      <c r="E1251" s="389" t="s">
        <v>1168</v>
      </c>
      <c r="F1251" s="389" t="s">
        <v>1217</v>
      </c>
      <c r="G1251" s="389" t="s">
        <v>1211</v>
      </c>
      <c r="H1251" s="390">
        <v>0.72916666666666663</v>
      </c>
      <c r="I1251" s="964"/>
      <c r="J1251" s="964"/>
      <c r="K1251" s="965"/>
      <c r="L1251" s="621"/>
      <c r="M1251" s="375"/>
      <c r="N1251" s="243"/>
      <c r="O1251" s="291"/>
      <c r="P1251" s="291"/>
      <c r="Q1251" s="291"/>
      <c r="R1251" s="291"/>
      <c r="S1251" s="291"/>
      <c r="T1251" s="291"/>
      <c r="U1251" s="291"/>
      <c r="V1251" s="291"/>
      <c r="W1251" s="291"/>
      <c r="X1251" s="291"/>
      <c r="Y1251" s="291"/>
      <c r="Z1251" s="291"/>
    </row>
    <row r="1252" spans="3:26" ht="20" thickBot="1" x14ac:dyDescent="0.25">
      <c r="C1252" s="241"/>
      <c r="D1252" s="608">
        <v>45448</v>
      </c>
      <c r="E1252" s="391" t="s">
        <v>1211</v>
      </c>
      <c r="F1252" s="391" t="s">
        <v>1218</v>
      </c>
      <c r="G1252" s="391" t="s">
        <v>1219</v>
      </c>
      <c r="H1252" s="390">
        <v>0.6875</v>
      </c>
      <c r="I1252" s="966"/>
      <c r="J1252" s="966"/>
      <c r="K1252" s="967"/>
      <c r="L1252" s="622"/>
      <c r="M1252" s="384"/>
      <c r="N1252" s="243"/>
      <c r="O1252" s="291"/>
      <c r="P1252" s="291"/>
      <c r="Q1252" s="291"/>
      <c r="R1252" s="291"/>
      <c r="S1252" s="291"/>
      <c r="T1252" s="291"/>
      <c r="U1252" s="291"/>
      <c r="V1252" s="291"/>
      <c r="W1252" s="291"/>
      <c r="X1252" s="291"/>
      <c r="Y1252" s="291"/>
      <c r="Z1252" s="291"/>
    </row>
    <row r="1253" spans="3:26" ht="20" thickBot="1" x14ac:dyDescent="0.25">
      <c r="C1253" s="241">
        <v>8</v>
      </c>
      <c r="D1253" s="576" t="s">
        <v>30</v>
      </c>
      <c r="E1253" s="874" t="s">
        <v>52</v>
      </c>
      <c r="F1253" s="875"/>
      <c r="G1253" s="876"/>
      <c r="H1253" s="242" t="s">
        <v>790</v>
      </c>
      <c r="I1253" s="977" t="s">
        <v>633</v>
      </c>
      <c r="J1253" s="977"/>
      <c r="K1253" s="978"/>
      <c r="L1253" s="616" t="s">
        <v>430</v>
      </c>
      <c r="M1253" s="372" t="s">
        <v>431</v>
      </c>
      <c r="N1253" s="243" t="s">
        <v>105</v>
      </c>
      <c r="O1253" s="244" t="s">
        <v>800</v>
      </c>
      <c r="P1253" s="244" t="s">
        <v>801</v>
      </c>
      <c r="Q1253" s="244" t="s">
        <v>802</v>
      </c>
      <c r="R1253" s="244" t="s">
        <v>803</v>
      </c>
      <c r="S1253" s="244" t="s">
        <v>804</v>
      </c>
      <c r="T1253" s="244" t="s">
        <v>805</v>
      </c>
      <c r="U1253" s="244" t="s">
        <v>806</v>
      </c>
      <c r="V1253" s="244" t="s">
        <v>807</v>
      </c>
      <c r="W1253" s="244" t="s">
        <v>808</v>
      </c>
      <c r="X1253" s="244" t="s">
        <v>809</v>
      </c>
      <c r="Y1253" s="244" t="s">
        <v>75</v>
      </c>
      <c r="Z1253" s="244" t="s">
        <v>75</v>
      </c>
    </row>
    <row r="1254" spans="3:26" ht="19" x14ac:dyDescent="0.2">
      <c r="C1254" s="243"/>
      <c r="D1254" s="588" t="s">
        <v>432</v>
      </c>
      <c r="E1254" s="853"/>
      <c r="F1254" s="854"/>
      <c r="G1254" s="855"/>
      <c r="H1254" s="245" t="s">
        <v>794</v>
      </c>
      <c r="I1254" s="962" t="s">
        <v>1149</v>
      </c>
      <c r="J1254" s="962"/>
      <c r="K1254" s="963"/>
      <c r="L1254" s="617"/>
      <c r="M1254" s="375"/>
      <c r="N1254" s="243"/>
      <c r="O1254" s="246" t="s">
        <v>810</v>
      </c>
      <c r="P1254" s="247">
        <v>0.1</v>
      </c>
      <c r="Q1254" s="248">
        <v>3.9E-2</v>
      </c>
      <c r="R1254" s="249">
        <v>1.7000000000024329E-2</v>
      </c>
      <c r="S1254" s="250"/>
      <c r="T1254" s="246">
        <v>7.5500000000024325E-2</v>
      </c>
      <c r="U1254" s="248">
        <v>-17.670000000000002</v>
      </c>
      <c r="V1254" s="247">
        <v>60.23</v>
      </c>
      <c r="W1254" s="247"/>
      <c r="X1254" s="252"/>
      <c r="Y1254" s="250"/>
      <c r="Z1254" s="250"/>
    </row>
    <row r="1255" spans="3:26" ht="19" x14ac:dyDescent="0.2">
      <c r="C1255" s="243"/>
      <c r="D1255" s="589" t="s">
        <v>433</v>
      </c>
      <c r="E1255" s="883">
        <v>0</v>
      </c>
      <c r="F1255" s="884"/>
      <c r="G1255" s="885"/>
      <c r="H1255" s="245" t="s">
        <v>795</v>
      </c>
      <c r="I1255" s="964"/>
      <c r="J1255" s="964"/>
      <c r="K1255" s="965"/>
      <c r="L1255" s="617"/>
      <c r="M1255" s="375"/>
      <c r="N1255" s="243"/>
      <c r="O1255" s="243"/>
      <c r="P1255" s="243"/>
      <c r="Q1255" s="243"/>
      <c r="R1255" s="253"/>
      <c r="S1255" s="254"/>
      <c r="T1255" s="243"/>
      <c r="U1255" s="243"/>
      <c r="V1255" s="243"/>
      <c r="W1255" s="243"/>
      <c r="X1255" s="254"/>
      <c r="Y1255" s="255"/>
      <c r="Z1255" s="255"/>
    </row>
    <row r="1256" spans="3:26" ht="19" x14ac:dyDescent="0.2">
      <c r="C1256" s="243"/>
      <c r="D1256" s="589" t="s">
        <v>434</v>
      </c>
      <c r="E1256" s="883">
        <v>4.3470000000000002E-2</v>
      </c>
      <c r="F1256" s="884"/>
      <c r="G1256" s="885"/>
      <c r="H1256" s="245"/>
      <c r="I1256" s="964"/>
      <c r="J1256" s="964"/>
      <c r="K1256" s="965"/>
      <c r="L1256" s="617"/>
      <c r="M1256" s="375"/>
      <c r="N1256" s="243"/>
      <c r="O1256" s="256" t="s">
        <v>811</v>
      </c>
      <c r="P1256" s="257">
        <v>0.1</v>
      </c>
      <c r="Q1256" s="258">
        <v>3.9100000000000003E-2</v>
      </c>
      <c r="R1256" s="259">
        <v>1.4E-2</v>
      </c>
      <c r="S1256" s="299">
        <v>1</v>
      </c>
      <c r="T1256" s="256">
        <v>7.2650000000000006E-2</v>
      </c>
      <c r="U1256" s="261">
        <v>-17.002986754961412</v>
      </c>
      <c r="V1256" s="262">
        <v>60.5</v>
      </c>
      <c r="W1256" s="300">
        <v>4.29</v>
      </c>
      <c r="X1256" s="264">
        <v>72.942813178784462</v>
      </c>
      <c r="Y1256" s="265"/>
      <c r="Z1256" s="265"/>
    </row>
    <row r="1257" spans="3:26" ht="20" thickBot="1" x14ac:dyDescent="0.25">
      <c r="C1257" s="243"/>
      <c r="D1257" s="590" t="s">
        <v>435</v>
      </c>
      <c r="E1257" s="871">
        <v>0.75</v>
      </c>
      <c r="F1257" s="872"/>
      <c r="G1257" s="873"/>
      <c r="H1257" s="266"/>
      <c r="I1257" s="964"/>
      <c r="J1257" s="964"/>
      <c r="K1257" s="965"/>
      <c r="L1257" s="618">
        <v>0.97916666666666663</v>
      </c>
      <c r="M1257" s="377">
        <v>0.83333333333333326</v>
      </c>
      <c r="N1257" s="243"/>
      <c r="O1257" s="267" t="s">
        <v>812</v>
      </c>
      <c r="P1257" s="268">
        <v>0.1</v>
      </c>
      <c r="Q1257" s="269">
        <v>4.9933333333333337E-2</v>
      </c>
      <c r="R1257" s="270">
        <v>1.4E-2</v>
      </c>
      <c r="S1257" s="301">
        <v>1</v>
      </c>
      <c r="T1257" s="272">
        <v>8.8900000000000007E-2</v>
      </c>
      <c r="U1257" s="273">
        <v>-20.806132450324426</v>
      </c>
      <c r="V1257" s="274">
        <v>60.5</v>
      </c>
      <c r="W1257" s="302">
        <v>4.9249999999999998</v>
      </c>
      <c r="X1257" s="276">
        <v>102.47020231784779</v>
      </c>
      <c r="Y1257" s="277"/>
      <c r="Z1257" s="277"/>
    </row>
    <row r="1258" spans="3:26" ht="20" thickBot="1" x14ac:dyDescent="0.25">
      <c r="C1258" s="243"/>
      <c r="D1258" s="591" t="s">
        <v>436</v>
      </c>
      <c r="E1258" s="293" t="s">
        <v>29</v>
      </c>
      <c r="F1258" s="293" t="s">
        <v>28</v>
      </c>
      <c r="G1258" s="294" t="s">
        <v>27</v>
      </c>
      <c r="H1258" s="280" t="s">
        <v>793</v>
      </c>
      <c r="I1258" s="964"/>
      <c r="J1258" s="964"/>
      <c r="K1258" s="965"/>
      <c r="L1258" s="619" t="s">
        <v>1246</v>
      </c>
      <c r="M1258" s="379"/>
      <c r="N1258" s="243"/>
      <c r="O1258" s="254"/>
      <c r="P1258" s="255"/>
      <c r="Q1258" s="254"/>
      <c r="R1258" s="254"/>
      <c r="S1258" s="303"/>
      <c r="T1258" s="254"/>
      <c r="U1258" s="281"/>
      <c r="V1258" s="282"/>
      <c r="W1258" s="304"/>
      <c r="X1258" s="281"/>
      <c r="Y1258" s="255"/>
      <c r="Z1258" s="255"/>
    </row>
    <row r="1259" spans="3:26" ht="19" x14ac:dyDescent="0.2">
      <c r="C1259" s="243"/>
      <c r="D1259" s="592">
        <v>45601</v>
      </c>
      <c r="E1259" s="386" t="s">
        <v>1220</v>
      </c>
      <c r="F1259" s="386" t="s">
        <v>1221</v>
      </c>
      <c r="G1259" s="386" t="s">
        <v>1222</v>
      </c>
      <c r="H1259" s="284">
        <v>0.75</v>
      </c>
      <c r="I1259" s="964"/>
      <c r="J1259" s="964"/>
      <c r="K1259" s="965"/>
      <c r="L1259" s="621">
        <v>0.85416666666666663</v>
      </c>
      <c r="M1259" s="382"/>
      <c r="N1259" s="243"/>
      <c r="O1259" s="254"/>
      <c r="P1259" s="255"/>
      <c r="Q1259" s="254"/>
      <c r="R1259" s="254"/>
      <c r="S1259" s="303"/>
      <c r="T1259" s="254"/>
      <c r="U1259" s="254"/>
      <c r="V1259" s="254"/>
      <c r="W1259" s="304"/>
      <c r="X1259" s="254"/>
      <c r="Y1259" s="255"/>
      <c r="Z1259" s="255"/>
    </row>
    <row r="1260" spans="3:26" ht="19" x14ac:dyDescent="0.2">
      <c r="C1260" s="243"/>
      <c r="D1260" s="592">
        <v>45568</v>
      </c>
      <c r="E1260" s="386" t="s">
        <v>1222</v>
      </c>
      <c r="F1260" s="386" t="s">
        <v>1223</v>
      </c>
      <c r="G1260" s="386" t="s">
        <v>1224</v>
      </c>
      <c r="H1260" s="284">
        <v>0.70833333333333337</v>
      </c>
      <c r="I1260" s="964"/>
      <c r="J1260" s="964"/>
      <c r="K1260" s="965"/>
      <c r="L1260" s="621">
        <v>0.8125</v>
      </c>
      <c r="M1260" s="383"/>
      <c r="N1260" s="243"/>
      <c r="O1260" s="246" t="s">
        <v>813</v>
      </c>
      <c r="P1260" s="305">
        <v>0.1</v>
      </c>
      <c r="Q1260" s="285">
        <v>4.9933333333333337E-2</v>
      </c>
      <c r="R1260" s="286">
        <v>1.4E-2</v>
      </c>
      <c r="S1260" s="305">
        <v>1</v>
      </c>
      <c r="T1260" s="306">
        <v>8.8900000000000007E-2</v>
      </c>
      <c r="U1260" s="287">
        <v>-20.806132450324426</v>
      </c>
      <c r="V1260" s="288">
        <v>60.5</v>
      </c>
      <c r="W1260" s="307">
        <v>2</v>
      </c>
      <c r="X1260" s="252">
        <v>41.612264900648853</v>
      </c>
      <c r="Y1260" s="289"/>
      <c r="Z1260" s="289"/>
    </row>
    <row r="1261" spans="3:26" ht="19" x14ac:dyDescent="0.2">
      <c r="C1261" s="243"/>
      <c r="D1261" s="592">
        <v>45540</v>
      </c>
      <c r="E1261" s="386" t="s">
        <v>1224</v>
      </c>
      <c r="F1261" s="386" t="s">
        <v>1225</v>
      </c>
      <c r="G1261" s="386" t="s">
        <v>1226</v>
      </c>
      <c r="H1261" s="284">
        <v>0.70833333333333337</v>
      </c>
      <c r="I1261" s="964"/>
      <c r="J1261" s="964"/>
      <c r="K1261" s="965"/>
      <c r="L1261" s="621">
        <v>0.8125</v>
      </c>
      <c r="M1261" s="375"/>
      <c r="N1261" s="243"/>
      <c r="O1261" s="246" t="s">
        <v>813</v>
      </c>
      <c r="P1261" s="305">
        <v>0.1</v>
      </c>
      <c r="Q1261" s="285">
        <v>4.9933333333333337E-2</v>
      </c>
      <c r="R1261" s="286">
        <v>1.4E-2</v>
      </c>
      <c r="S1261" s="305">
        <v>1</v>
      </c>
      <c r="T1261" s="306">
        <v>8.8900000000000007E-2</v>
      </c>
      <c r="U1261" s="287">
        <v>-20.806132450324426</v>
      </c>
      <c r="V1261" s="288">
        <v>60.5</v>
      </c>
      <c r="W1261" s="307">
        <v>2</v>
      </c>
      <c r="X1261" s="252">
        <v>41.612264900648853</v>
      </c>
      <c r="Y1261" s="289"/>
      <c r="Z1261" s="289"/>
    </row>
    <row r="1262" spans="3:26" ht="19" x14ac:dyDescent="0.2">
      <c r="C1262" s="243"/>
      <c r="D1262" s="592">
        <v>45509</v>
      </c>
      <c r="E1262" s="386" t="s">
        <v>1226</v>
      </c>
      <c r="F1262" s="386" t="s">
        <v>1225</v>
      </c>
      <c r="G1262" s="386" t="s">
        <v>1223</v>
      </c>
      <c r="H1262" s="284">
        <v>0.70833333333333337</v>
      </c>
      <c r="I1262" s="964"/>
      <c r="J1262" s="964"/>
      <c r="K1262" s="965"/>
      <c r="L1262" s="621">
        <v>0.8125</v>
      </c>
      <c r="M1262" s="375"/>
      <c r="N1262" s="243"/>
      <c r="O1262" s="246"/>
      <c r="P1262" s="290"/>
      <c r="Q1262" s="285"/>
      <c r="R1262" s="286"/>
      <c r="S1262" s="250"/>
      <c r="T1262" s="290"/>
      <c r="U1262" s="287"/>
      <c r="V1262" s="288"/>
      <c r="W1262" s="250"/>
      <c r="X1262" s="252"/>
      <c r="Y1262" s="289"/>
      <c r="Z1262" s="289"/>
    </row>
    <row r="1263" spans="3:26" ht="19" x14ac:dyDescent="0.2">
      <c r="C1263" s="243"/>
      <c r="D1263" s="592">
        <v>45476</v>
      </c>
      <c r="E1263" s="386" t="s">
        <v>1223</v>
      </c>
      <c r="F1263" s="386" t="s">
        <v>1227</v>
      </c>
      <c r="G1263" s="386" t="s">
        <v>1220</v>
      </c>
      <c r="H1263" s="284">
        <v>0.70833333333333337</v>
      </c>
      <c r="I1263" s="964"/>
      <c r="J1263" s="964"/>
      <c r="K1263" s="965"/>
      <c r="L1263" s="621">
        <v>0.8125</v>
      </c>
      <c r="M1263" s="375"/>
      <c r="N1263" s="243"/>
      <c r="O1263" s="291"/>
      <c r="P1263" s="291"/>
      <c r="Q1263" s="291"/>
      <c r="R1263" s="291"/>
      <c r="S1263" s="291"/>
      <c r="T1263" s="291"/>
      <c r="U1263" s="291"/>
      <c r="V1263" s="291"/>
      <c r="W1263" s="291"/>
      <c r="X1263" s="291"/>
      <c r="Y1263" s="291"/>
      <c r="Z1263" s="291"/>
    </row>
    <row r="1264" spans="3:26" ht="20" thickBot="1" x14ac:dyDescent="0.25">
      <c r="C1264" s="243"/>
      <c r="D1264" s="608">
        <v>45448</v>
      </c>
      <c r="E1264" s="388" t="s">
        <v>1220</v>
      </c>
      <c r="F1264" s="388" t="s">
        <v>1228</v>
      </c>
      <c r="G1264" s="388" t="s">
        <v>1229</v>
      </c>
      <c r="H1264" s="284">
        <v>0.70833333333333337</v>
      </c>
      <c r="I1264" s="966"/>
      <c r="J1264" s="966"/>
      <c r="K1264" s="967"/>
      <c r="L1264" s="622">
        <v>0.8125</v>
      </c>
      <c r="M1264" s="384"/>
      <c r="N1264" s="243"/>
      <c r="O1264" s="291"/>
      <c r="P1264" s="291"/>
      <c r="Q1264" s="291"/>
      <c r="R1264" s="291"/>
      <c r="S1264" s="291"/>
      <c r="T1264" s="291"/>
      <c r="U1264" s="291"/>
      <c r="V1264" s="291"/>
      <c r="W1264" s="291"/>
      <c r="X1264" s="291"/>
      <c r="Y1264" s="291"/>
      <c r="Z1264" s="291"/>
    </row>
    <row r="1265" spans="3:26" ht="20" thickBot="1" x14ac:dyDescent="0.25">
      <c r="C1265" s="241">
        <v>9</v>
      </c>
      <c r="D1265" s="576" t="s">
        <v>30</v>
      </c>
      <c r="E1265" s="874" t="s">
        <v>1150</v>
      </c>
      <c r="F1265" s="875"/>
      <c r="G1265" s="876"/>
      <c r="H1265" s="242" t="s">
        <v>790</v>
      </c>
      <c r="I1265" s="977" t="s">
        <v>633</v>
      </c>
      <c r="J1265" s="977"/>
      <c r="K1265" s="978"/>
      <c r="L1265" s="616" t="s">
        <v>430</v>
      </c>
      <c r="M1265" s="372" t="s">
        <v>431</v>
      </c>
      <c r="N1265" s="243" t="s">
        <v>105</v>
      </c>
      <c r="O1265" s="244" t="s">
        <v>800</v>
      </c>
      <c r="P1265" s="244" t="s">
        <v>801</v>
      </c>
      <c r="Q1265" s="244" t="s">
        <v>802</v>
      </c>
      <c r="R1265" s="244" t="s">
        <v>803</v>
      </c>
      <c r="S1265" s="244" t="s">
        <v>804</v>
      </c>
      <c r="T1265" s="244" t="s">
        <v>805</v>
      </c>
      <c r="U1265" s="244" t="s">
        <v>806</v>
      </c>
      <c r="V1265" s="244" t="s">
        <v>807</v>
      </c>
      <c r="W1265" s="244" t="s">
        <v>808</v>
      </c>
      <c r="X1265" s="244" t="s">
        <v>809</v>
      </c>
      <c r="Y1265" s="244" t="s">
        <v>75</v>
      </c>
      <c r="Z1265" s="244" t="s">
        <v>75</v>
      </c>
    </row>
    <row r="1266" spans="3:26" ht="19" x14ac:dyDescent="0.2">
      <c r="C1266" s="243"/>
      <c r="D1266" s="588" t="s">
        <v>432</v>
      </c>
      <c r="E1266" s="853"/>
      <c r="F1266" s="854"/>
      <c r="G1266" s="855"/>
      <c r="H1266" s="245" t="s">
        <v>1248</v>
      </c>
      <c r="I1266" s="962" t="s">
        <v>1151</v>
      </c>
      <c r="J1266" s="962"/>
      <c r="K1266" s="963"/>
      <c r="L1266" s="617"/>
      <c r="M1266" s="374" t="s">
        <v>1150</v>
      </c>
      <c r="N1266" s="243"/>
      <c r="O1266" s="246" t="s">
        <v>810</v>
      </c>
      <c r="P1266" s="247">
        <v>0.1</v>
      </c>
      <c r="Q1266" s="248">
        <v>2.1999999999999999E-2</v>
      </c>
      <c r="R1266" s="249">
        <v>3.0000000000001137E-2</v>
      </c>
      <c r="S1266" s="250"/>
      <c r="T1266" s="246">
        <v>6.3000000000001138E-2</v>
      </c>
      <c r="U1266" s="248">
        <v>-15.02</v>
      </c>
      <c r="V1266" s="247">
        <v>99.37</v>
      </c>
      <c r="W1266" s="247"/>
      <c r="X1266" s="252"/>
      <c r="Y1266" s="250"/>
      <c r="Z1266" s="250"/>
    </row>
    <row r="1267" spans="3:26" ht="19" x14ac:dyDescent="0.2">
      <c r="C1267" s="243"/>
      <c r="D1267" s="589" t="s">
        <v>433</v>
      </c>
      <c r="E1267" s="868"/>
      <c r="F1267" s="869"/>
      <c r="G1267" s="870"/>
      <c r="H1267" s="245" t="s">
        <v>1249</v>
      </c>
      <c r="I1267" s="964"/>
      <c r="J1267" s="964"/>
      <c r="K1267" s="965"/>
      <c r="L1267" s="617"/>
      <c r="M1267" s="375"/>
      <c r="N1267" s="243"/>
      <c r="O1267" s="243"/>
      <c r="P1267" s="243"/>
      <c r="Q1267" s="243"/>
      <c r="R1267" s="253"/>
      <c r="S1267" s="254"/>
      <c r="T1267" s="243"/>
      <c r="U1267" s="243"/>
      <c r="V1267" s="243"/>
      <c r="W1267" s="243"/>
      <c r="X1267" s="254"/>
      <c r="Y1267" s="255"/>
      <c r="Z1267" s="255"/>
    </row>
    <row r="1268" spans="3:26" ht="19" x14ac:dyDescent="0.2">
      <c r="C1268" s="243"/>
      <c r="D1268" s="589" t="s">
        <v>434</v>
      </c>
      <c r="E1268" s="868">
        <v>0.01</v>
      </c>
      <c r="F1268" s="869"/>
      <c r="G1268" s="870"/>
      <c r="H1268" s="245"/>
      <c r="I1268" s="964"/>
      <c r="J1268" s="964"/>
      <c r="K1268" s="965"/>
      <c r="L1268" s="617"/>
      <c r="M1268" s="375"/>
      <c r="N1268" s="243"/>
      <c r="O1268" s="256" t="s">
        <v>811</v>
      </c>
      <c r="P1268" s="257">
        <v>0.1</v>
      </c>
      <c r="Q1268" s="258">
        <v>6.4100000000000004E-2</v>
      </c>
      <c r="R1268" s="259">
        <v>3.0000000000001137E-2</v>
      </c>
      <c r="S1268" s="299">
        <v>1</v>
      </c>
      <c r="T1268" s="256">
        <v>0.12615000000000115</v>
      </c>
      <c r="U1268" s="261">
        <v>-30.075761904761638</v>
      </c>
      <c r="V1268" s="262">
        <v>60.5</v>
      </c>
      <c r="W1268" s="300">
        <v>2.39</v>
      </c>
      <c r="X1268" s="264">
        <v>71.881070952380313</v>
      </c>
      <c r="Y1268" s="265"/>
      <c r="Z1268" s="265"/>
    </row>
    <row r="1269" spans="3:26" ht="20" thickBot="1" x14ac:dyDescent="0.25">
      <c r="C1269" s="243"/>
      <c r="D1269" s="590" t="s">
        <v>435</v>
      </c>
      <c r="E1269" s="871">
        <v>0.64583333333333337</v>
      </c>
      <c r="F1269" s="872"/>
      <c r="G1269" s="873"/>
      <c r="H1269" s="266"/>
      <c r="I1269" s="964"/>
      <c r="J1269" s="964"/>
      <c r="K1269" s="965"/>
      <c r="L1269" s="618">
        <v>0.875</v>
      </c>
      <c r="M1269" s="377">
        <v>0.72916666666666663</v>
      </c>
      <c r="N1269" s="243"/>
      <c r="O1269" s="267" t="s">
        <v>812</v>
      </c>
      <c r="P1269" s="268">
        <v>0.1</v>
      </c>
      <c r="Q1269" s="269">
        <v>7.6066666666665908E-2</v>
      </c>
      <c r="R1269" s="270">
        <v>3.0000000000001137E-2</v>
      </c>
      <c r="S1269" s="301">
        <v>1</v>
      </c>
      <c r="T1269" s="272">
        <v>0.14410000000000001</v>
      </c>
      <c r="U1269" s="273">
        <v>-34.355269841269219</v>
      </c>
      <c r="V1269" s="274">
        <v>60.5</v>
      </c>
      <c r="W1269" s="302">
        <v>2.08</v>
      </c>
      <c r="X1269" s="276">
        <v>71.458961269839975</v>
      </c>
      <c r="Y1269" s="277"/>
      <c r="Z1269" s="277"/>
    </row>
    <row r="1270" spans="3:26" ht="20" thickBot="1" x14ac:dyDescent="0.25">
      <c r="C1270" s="243"/>
      <c r="D1270" s="591" t="s">
        <v>436</v>
      </c>
      <c r="E1270" s="293" t="s">
        <v>29</v>
      </c>
      <c r="F1270" s="293" t="s">
        <v>28</v>
      </c>
      <c r="G1270" s="294" t="s">
        <v>27</v>
      </c>
      <c r="H1270" s="280" t="s">
        <v>793</v>
      </c>
      <c r="I1270" s="964"/>
      <c r="J1270" s="964"/>
      <c r="K1270" s="965"/>
      <c r="L1270" s="619" t="s">
        <v>1246</v>
      </c>
      <c r="M1270" s="379"/>
      <c r="N1270" s="243"/>
      <c r="O1270" s="254"/>
      <c r="P1270" s="255"/>
      <c r="Q1270" s="254"/>
      <c r="R1270" s="254"/>
      <c r="S1270" s="303"/>
      <c r="T1270" s="254"/>
      <c r="U1270" s="281"/>
      <c r="V1270" s="282"/>
      <c r="W1270" s="304"/>
      <c r="X1270" s="281"/>
      <c r="Y1270" s="255"/>
      <c r="Z1270" s="255"/>
    </row>
    <row r="1271" spans="3:26" ht="19" x14ac:dyDescent="0.2">
      <c r="C1271" s="243"/>
      <c r="D1271" s="592">
        <v>45623</v>
      </c>
      <c r="E1271" s="295" t="s">
        <v>1230</v>
      </c>
      <c r="F1271" s="295" t="s">
        <v>1231</v>
      </c>
      <c r="G1271" s="295" t="s">
        <v>1125</v>
      </c>
      <c r="H1271" s="284">
        <v>0.3125</v>
      </c>
      <c r="I1271" s="964"/>
      <c r="J1271" s="964"/>
      <c r="K1271" s="965"/>
      <c r="L1271" s="621"/>
      <c r="M1271" s="392"/>
      <c r="N1271" s="243"/>
      <c r="O1271" s="254"/>
      <c r="P1271" s="255"/>
      <c r="Q1271" s="254"/>
      <c r="R1271" s="254"/>
      <c r="S1271" s="303"/>
      <c r="T1271" s="254"/>
      <c r="U1271" s="254"/>
      <c r="V1271" s="254"/>
      <c r="W1271" s="304"/>
      <c r="X1271" s="254"/>
      <c r="Y1271" s="255"/>
      <c r="Z1271" s="255"/>
    </row>
    <row r="1272" spans="3:26" ht="19" x14ac:dyDescent="0.2">
      <c r="C1272" s="243"/>
      <c r="D1272" s="592">
        <v>45616</v>
      </c>
      <c r="E1272" s="295" t="s">
        <v>1125</v>
      </c>
      <c r="F1272" s="295" t="s">
        <v>1030</v>
      </c>
      <c r="G1272" s="295" t="s">
        <v>1029</v>
      </c>
      <c r="H1272" s="284">
        <v>0.3125</v>
      </c>
      <c r="I1272" s="964"/>
      <c r="J1272" s="964"/>
      <c r="K1272" s="965"/>
      <c r="L1272" s="621"/>
      <c r="M1272" s="392"/>
      <c r="N1272" s="243"/>
      <c r="O1272" s="246" t="s">
        <v>813</v>
      </c>
      <c r="P1272" s="305">
        <v>0.1</v>
      </c>
      <c r="Q1272" s="285">
        <v>7.6066666666665908E-2</v>
      </c>
      <c r="R1272" s="286">
        <v>3.0000000000001137E-2</v>
      </c>
      <c r="S1272" s="305">
        <v>1</v>
      </c>
      <c r="T1272" s="306">
        <v>0.14410000000000001</v>
      </c>
      <c r="U1272" s="287">
        <v>-34.355269841269219</v>
      </c>
      <c r="V1272" s="288">
        <v>60.5</v>
      </c>
      <c r="W1272" s="307">
        <v>2.08</v>
      </c>
      <c r="X1272" s="252">
        <v>71.458961269839975</v>
      </c>
      <c r="Y1272" s="289"/>
      <c r="Z1272" s="289"/>
    </row>
    <row r="1273" spans="3:26" ht="19" x14ac:dyDescent="0.2">
      <c r="C1273" s="243"/>
      <c r="D1273" s="592">
        <v>45610</v>
      </c>
      <c r="E1273" s="295" t="s">
        <v>1029</v>
      </c>
      <c r="F1273" s="295" t="s">
        <v>1030</v>
      </c>
      <c r="G1273" s="295" t="s">
        <v>988</v>
      </c>
      <c r="H1273" s="284">
        <v>0.35416666666666669</v>
      </c>
      <c r="I1273" s="964"/>
      <c r="J1273" s="964"/>
      <c r="K1273" s="965"/>
      <c r="L1273" s="621"/>
      <c r="M1273" s="392"/>
      <c r="N1273" s="243"/>
      <c r="O1273" s="246"/>
      <c r="P1273" s="290"/>
      <c r="Q1273" s="285"/>
      <c r="R1273" s="286"/>
      <c r="S1273" s="250"/>
      <c r="T1273" s="290"/>
      <c r="U1273" s="287"/>
      <c r="V1273" s="288"/>
      <c r="W1273" s="250"/>
      <c r="X1273" s="252"/>
      <c r="Y1273" s="289"/>
      <c r="Z1273" s="289"/>
    </row>
    <row r="1274" spans="3:26" ht="19" x14ac:dyDescent="0.2">
      <c r="C1274" s="243"/>
      <c r="D1274" s="592">
        <v>45602</v>
      </c>
      <c r="E1274" s="295" t="s">
        <v>988</v>
      </c>
      <c r="F1274" s="295" t="s">
        <v>989</v>
      </c>
      <c r="G1274" s="295" t="s">
        <v>990</v>
      </c>
      <c r="H1274" s="284">
        <v>0.35416666666666669</v>
      </c>
      <c r="I1274" s="964"/>
      <c r="J1274" s="964"/>
      <c r="K1274" s="965"/>
      <c r="L1274" s="621"/>
      <c r="M1274" s="392"/>
      <c r="N1274" s="243"/>
      <c r="O1274" s="246"/>
      <c r="P1274" s="290"/>
      <c r="Q1274" s="285"/>
      <c r="R1274" s="286"/>
      <c r="S1274" s="250"/>
      <c r="T1274" s="290"/>
      <c r="U1274" s="287"/>
      <c r="V1274" s="288"/>
      <c r="W1274" s="250"/>
      <c r="X1274" s="252"/>
      <c r="Y1274" s="289"/>
      <c r="Z1274" s="289"/>
    </row>
    <row r="1275" spans="3:26" ht="19" x14ac:dyDescent="0.2">
      <c r="C1275" s="243"/>
      <c r="D1275" s="592">
        <v>45595</v>
      </c>
      <c r="E1275" s="295" t="s">
        <v>990</v>
      </c>
      <c r="F1275" s="295" t="s">
        <v>991</v>
      </c>
      <c r="G1275" s="295" t="s">
        <v>992</v>
      </c>
      <c r="H1275" s="284">
        <v>0.3125</v>
      </c>
      <c r="I1275" s="964"/>
      <c r="J1275" s="964"/>
      <c r="K1275" s="965"/>
      <c r="L1275" s="621"/>
      <c r="M1275" s="392"/>
      <c r="N1275" s="243"/>
      <c r="O1275" s="291"/>
      <c r="P1275" s="291"/>
      <c r="Q1275" s="291"/>
      <c r="R1275" s="291"/>
      <c r="S1275" s="291"/>
      <c r="T1275" s="291"/>
      <c r="U1275" s="291"/>
      <c r="V1275" s="291"/>
      <c r="W1275" s="291"/>
      <c r="X1275" s="291"/>
      <c r="Y1275" s="291"/>
      <c r="Z1275" s="291"/>
    </row>
    <row r="1276" spans="3:26" ht="20" thickBot="1" x14ac:dyDescent="0.25">
      <c r="C1276" s="243"/>
      <c r="D1276" s="608">
        <v>45588</v>
      </c>
      <c r="E1276" s="356" t="s">
        <v>992</v>
      </c>
      <c r="F1276" s="356" t="s">
        <v>993</v>
      </c>
      <c r="G1276" s="356" t="s">
        <v>994</v>
      </c>
      <c r="H1276" s="284">
        <v>0.3125</v>
      </c>
      <c r="I1276" s="966"/>
      <c r="J1276" s="966"/>
      <c r="K1276" s="967"/>
      <c r="L1276" s="622"/>
      <c r="M1276" s="392"/>
      <c r="N1276" s="243"/>
      <c r="O1276" s="291"/>
      <c r="P1276" s="291"/>
      <c r="Q1276" s="291"/>
      <c r="R1276" s="291"/>
      <c r="S1276" s="291"/>
      <c r="T1276" s="291"/>
      <c r="U1276" s="291"/>
      <c r="V1276" s="291"/>
      <c r="W1276" s="291"/>
      <c r="X1276" s="291"/>
      <c r="Y1276" s="291"/>
      <c r="Z1276" s="291"/>
    </row>
    <row r="1277" spans="3:26" ht="20" thickBot="1" x14ac:dyDescent="0.25">
      <c r="C1277" s="241">
        <v>10</v>
      </c>
      <c r="D1277" s="576" t="s">
        <v>30</v>
      </c>
      <c r="E1277" s="874" t="s">
        <v>1152</v>
      </c>
      <c r="F1277" s="875"/>
      <c r="G1277" s="876"/>
      <c r="H1277" s="242" t="s">
        <v>790</v>
      </c>
      <c r="I1277" s="977" t="s">
        <v>633</v>
      </c>
      <c r="J1277" s="977"/>
      <c r="K1277" s="978"/>
      <c r="L1277" s="616" t="s">
        <v>430</v>
      </c>
      <c r="M1277" s="372" t="s">
        <v>431</v>
      </c>
      <c r="N1277" s="243" t="s">
        <v>105</v>
      </c>
      <c r="O1277" s="244" t="s">
        <v>800</v>
      </c>
      <c r="P1277" s="244" t="s">
        <v>801</v>
      </c>
      <c r="Q1277" s="244" t="s">
        <v>802</v>
      </c>
      <c r="R1277" s="244" t="s">
        <v>803</v>
      </c>
      <c r="S1277" s="244" t="s">
        <v>804</v>
      </c>
      <c r="T1277" s="244" t="s">
        <v>805</v>
      </c>
      <c r="U1277" s="244" t="s">
        <v>806</v>
      </c>
      <c r="V1277" s="244" t="s">
        <v>807</v>
      </c>
      <c r="W1277" s="244" t="s">
        <v>808</v>
      </c>
      <c r="X1277" s="244" t="s">
        <v>809</v>
      </c>
      <c r="Y1277" s="244" t="s">
        <v>75</v>
      </c>
      <c r="Z1277" s="244" t="s">
        <v>75</v>
      </c>
    </row>
    <row r="1278" spans="3:26" ht="19" x14ac:dyDescent="0.2">
      <c r="C1278" s="243"/>
      <c r="D1278" s="588" t="s">
        <v>432</v>
      </c>
      <c r="E1278" s="853"/>
      <c r="F1278" s="854"/>
      <c r="G1278" s="855"/>
      <c r="H1278" s="245" t="s">
        <v>909</v>
      </c>
      <c r="I1278" s="962" t="s">
        <v>1153</v>
      </c>
      <c r="J1278" s="962"/>
      <c r="K1278" s="963"/>
      <c r="L1278" s="617"/>
      <c r="M1278" s="374" t="s">
        <v>1152</v>
      </c>
      <c r="N1278" s="243"/>
      <c r="O1278" s="246" t="s">
        <v>810</v>
      </c>
      <c r="P1278" s="247">
        <v>0.1</v>
      </c>
      <c r="Q1278" s="248">
        <v>3.4000000000000002E-2</v>
      </c>
      <c r="R1278" s="249">
        <v>3.4999999999996589E-2</v>
      </c>
      <c r="S1278" s="250"/>
      <c r="T1278" s="246">
        <v>8.5999999999996593E-2</v>
      </c>
      <c r="U1278" s="248">
        <v>-20.67</v>
      </c>
      <c r="V1278" s="247">
        <v>91.8</v>
      </c>
      <c r="W1278" s="251">
        <v>2</v>
      </c>
      <c r="X1278" s="252">
        <v>41.34</v>
      </c>
      <c r="Y1278" s="250"/>
      <c r="Z1278" s="250"/>
    </row>
    <row r="1279" spans="3:26" ht="19" x14ac:dyDescent="0.2">
      <c r="C1279" s="243"/>
      <c r="D1279" s="589" t="s">
        <v>433</v>
      </c>
      <c r="E1279" s="868"/>
      <c r="F1279" s="869"/>
      <c r="G1279" s="870"/>
      <c r="H1279" s="245" t="s">
        <v>910</v>
      </c>
      <c r="I1279" s="964"/>
      <c r="J1279" s="964"/>
      <c r="K1279" s="965"/>
      <c r="L1279" s="617"/>
      <c r="M1279" s="375"/>
      <c r="N1279" s="243"/>
      <c r="O1279" s="243"/>
      <c r="P1279" s="243"/>
      <c r="Q1279" s="243"/>
      <c r="R1279" s="253"/>
      <c r="S1279" s="254"/>
      <c r="T1279" s="243"/>
      <c r="U1279" s="243"/>
      <c r="V1279" s="243"/>
      <c r="W1279" s="254"/>
      <c r="X1279" s="254"/>
      <c r="Y1279" s="255"/>
      <c r="Z1279" s="255"/>
    </row>
    <row r="1280" spans="3:26" ht="19" x14ac:dyDescent="0.2">
      <c r="C1280" s="243"/>
      <c r="D1280" s="589" t="s">
        <v>434</v>
      </c>
      <c r="E1280" s="856">
        <v>0</v>
      </c>
      <c r="F1280" s="857"/>
      <c r="G1280" s="858"/>
      <c r="H1280" s="245"/>
      <c r="I1280" s="964"/>
      <c r="J1280" s="964"/>
      <c r="K1280" s="965"/>
      <c r="L1280" s="617"/>
      <c r="M1280" s="375"/>
      <c r="N1280" s="243"/>
      <c r="O1280" s="256" t="s">
        <v>811</v>
      </c>
      <c r="P1280" s="257">
        <v>0.1</v>
      </c>
      <c r="Q1280" s="258">
        <v>6.0900000000000003E-2</v>
      </c>
      <c r="R1280" s="259">
        <v>0.03</v>
      </c>
      <c r="S1280" s="260">
        <v>1</v>
      </c>
      <c r="T1280" s="256">
        <v>0.12135</v>
      </c>
      <c r="U1280" s="261">
        <v>-29.166331395349996</v>
      </c>
      <c r="V1280" s="262">
        <v>60.5</v>
      </c>
      <c r="W1280" s="263">
        <v>5.1100000000000003</v>
      </c>
      <c r="X1280" s="264">
        <v>149.03995343023848</v>
      </c>
      <c r="Y1280" s="265"/>
      <c r="Z1280" s="265">
        <v>4.4350000000000005</v>
      </c>
    </row>
    <row r="1281" spans="3:26" ht="20" thickBot="1" x14ac:dyDescent="0.25">
      <c r="C1281" s="243"/>
      <c r="D1281" s="590" t="s">
        <v>435</v>
      </c>
      <c r="E1281" s="871">
        <v>0.64583333333333337</v>
      </c>
      <c r="F1281" s="872"/>
      <c r="G1281" s="873"/>
      <c r="H1281" s="266"/>
      <c r="I1281" s="964"/>
      <c r="J1281" s="964"/>
      <c r="K1281" s="965"/>
      <c r="L1281" s="618">
        <v>0.875</v>
      </c>
      <c r="M1281" s="377">
        <v>0.72916666666666663</v>
      </c>
      <c r="N1281" s="243"/>
      <c r="O1281" s="267" t="s">
        <v>812</v>
      </c>
      <c r="P1281" s="268">
        <v>0.1</v>
      </c>
      <c r="Q1281" s="269">
        <v>7.0866666666666675E-2</v>
      </c>
      <c r="R1281" s="270">
        <v>0.03</v>
      </c>
      <c r="S1281" s="271">
        <v>1</v>
      </c>
      <c r="T1281" s="272">
        <v>0.1363</v>
      </c>
      <c r="U1281" s="273">
        <v>-32.75954651162921</v>
      </c>
      <c r="V1281" s="274">
        <v>60.5</v>
      </c>
      <c r="W1281" s="309">
        <v>2.88</v>
      </c>
      <c r="X1281" s="276">
        <v>94.347493953492119</v>
      </c>
      <c r="Y1281" s="277"/>
      <c r="Z1281" s="277"/>
    </row>
    <row r="1282" spans="3:26" ht="20" thickBot="1" x14ac:dyDescent="0.25">
      <c r="C1282" s="243"/>
      <c r="D1282" s="591" t="s">
        <v>436</v>
      </c>
      <c r="E1282" s="293" t="s">
        <v>29</v>
      </c>
      <c r="F1282" s="293" t="s">
        <v>28</v>
      </c>
      <c r="G1282" s="294" t="s">
        <v>27</v>
      </c>
      <c r="H1282" s="280" t="s">
        <v>793</v>
      </c>
      <c r="I1282" s="964"/>
      <c r="J1282" s="964"/>
      <c r="K1282" s="965"/>
      <c r="L1282" s="619" t="s">
        <v>1246</v>
      </c>
      <c r="M1282" s="379"/>
      <c r="N1282" s="243"/>
      <c r="O1282" s="254"/>
      <c r="P1282" s="255"/>
      <c r="Q1282" s="254"/>
      <c r="R1282" s="254"/>
      <c r="S1282" s="254"/>
      <c r="T1282" s="254"/>
      <c r="U1282" s="281"/>
      <c r="V1282" s="282"/>
      <c r="W1282" s="254"/>
      <c r="X1282" s="281"/>
      <c r="Y1282" s="255"/>
      <c r="Z1282" s="255"/>
    </row>
    <row r="1283" spans="3:26" ht="18" x14ac:dyDescent="0.2">
      <c r="C1283" s="243"/>
      <c r="D1283" s="592">
        <v>45610</v>
      </c>
      <c r="E1283" s="295">
        <v>0</v>
      </c>
      <c r="F1283" s="295">
        <v>0</v>
      </c>
      <c r="G1283" s="295">
        <v>0</v>
      </c>
      <c r="H1283" s="284">
        <v>0.51041666666666663</v>
      </c>
      <c r="I1283" s="964"/>
      <c r="J1283" s="964"/>
      <c r="K1283" s="965"/>
      <c r="L1283" s="621"/>
      <c r="M1283" s="382"/>
      <c r="N1283" s="243"/>
      <c r="O1283" s="254"/>
      <c r="P1283" s="255"/>
      <c r="Q1283" s="254"/>
      <c r="R1283" s="254"/>
      <c r="S1283" s="254"/>
      <c r="T1283" s="254"/>
      <c r="U1283" s="254"/>
      <c r="V1283" s="254"/>
      <c r="W1283" s="254"/>
      <c r="X1283" s="254"/>
      <c r="Y1283" s="255"/>
      <c r="Z1283" s="255"/>
    </row>
    <row r="1284" spans="3:26" ht="18" x14ac:dyDescent="0.2">
      <c r="C1284" s="243"/>
      <c r="D1284" s="592">
        <v>45565</v>
      </c>
      <c r="E1284" s="295">
        <v>0</v>
      </c>
      <c r="F1284" s="295">
        <v>0</v>
      </c>
      <c r="G1284" s="295">
        <v>0</v>
      </c>
      <c r="H1284" s="284">
        <v>0.51041666666666663</v>
      </c>
      <c r="I1284" s="964"/>
      <c r="J1284" s="964"/>
      <c r="K1284" s="965"/>
      <c r="L1284" s="621"/>
      <c r="M1284" s="383"/>
      <c r="N1284" s="243"/>
      <c r="O1284" s="246" t="s">
        <v>813</v>
      </c>
      <c r="P1284" s="247">
        <v>0.05</v>
      </c>
      <c r="Q1284" s="285">
        <v>6.5883333333333335E-2</v>
      </c>
      <c r="R1284" s="286">
        <v>0.03</v>
      </c>
      <c r="S1284" s="250">
        <v>1.5</v>
      </c>
      <c r="T1284" s="256">
        <v>0.128825</v>
      </c>
      <c r="U1284" s="287">
        <v>-23.222204215117198</v>
      </c>
      <c r="V1284" s="288">
        <v>30.25</v>
      </c>
      <c r="W1284" s="250">
        <v>1</v>
      </c>
      <c r="X1284" s="252">
        <v>23.222204215117198</v>
      </c>
      <c r="Y1284" s="289"/>
      <c r="Z1284" s="289"/>
    </row>
    <row r="1285" spans="3:26" ht="18" x14ac:dyDescent="0.2">
      <c r="C1285" s="243"/>
      <c r="D1285" s="592">
        <v>45561</v>
      </c>
      <c r="E1285" s="295">
        <v>0</v>
      </c>
      <c r="F1285" s="295">
        <v>0</v>
      </c>
      <c r="G1285" s="295">
        <v>0</v>
      </c>
      <c r="H1285" s="284">
        <v>0.51041666666666663</v>
      </c>
      <c r="I1285" s="964"/>
      <c r="J1285" s="964"/>
      <c r="K1285" s="965"/>
      <c r="L1285" s="621"/>
      <c r="M1285" s="375"/>
      <c r="N1285" s="243"/>
      <c r="O1285" s="246" t="s">
        <v>813</v>
      </c>
      <c r="P1285" s="247">
        <v>0.05</v>
      </c>
      <c r="Q1285" s="285">
        <v>7.0866666666666675E-2</v>
      </c>
      <c r="R1285" s="286">
        <v>0.03</v>
      </c>
      <c r="S1285" s="250">
        <v>1.5</v>
      </c>
      <c r="T1285" s="256">
        <v>0.1363</v>
      </c>
      <c r="U1285" s="287">
        <v>-24.569659883721908</v>
      </c>
      <c r="V1285" s="288">
        <v>30.25</v>
      </c>
      <c r="W1285" s="250">
        <v>1</v>
      </c>
      <c r="X1285" s="252">
        <v>24.569659883721908</v>
      </c>
      <c r="Y1285" s="289"/>
      <c r="Z1285" s="289"/>
    </row>
    <row r="1286" spans="3:26" ht="18" x14ac:dyDescent="0.2">
      <c r="C1286" s="243"/>
      <c r="D1286" s="592">
        <v>45527</v>
      </c>
      <c r="E1286" s="295">
        <v>0</v>
      </c>
      <c r="F1286" s="295">
        <v>0</v>
      </c>
      <c r="G1286" s="295">
        <v>0</v>
      </c>
      <c r="H1286" s="284">
        <v>0.51041666666666663</v>
      </c>
      <c r="I1286" s="964"/>
      <c r="J1286" s="964"/>
      <c r="K1286" s="965"/>
      <c r="L1286" s="621"/>
      <c r="M1286" s="375"/>
      <c r="N1286" s="243"/>
      <c r="O1286" s="246"/>
      <c r="P1286" s="290"/>
      <c r="Q1286" s="285"/>
      <c r="R1286" s="286"/>
      <c r="S1286" s="250"/>
      <c r="T1286" s="290"/>
      <c r="U1286" s="287"/>
      <c r="V1286" s="288"/>
      <c r="W1286" s="250"/>
      <c r="X1286" s="252"/>
      <c r="Y1286" s="289"/>
      <c r="Z1286" s="289"/>
    </row>
    <row r="1287" spans="3:26" ht="18" x14ac:dyDescent="0.2">
      <c r="C1287" s="243"/>
      <c r="D1287" s="592">
        <v>45488</v>
      </c>
      <c r="E1287" s="295">
        <v>0</v>
      </c>
      <c r="F1287" s="295">
        <v>0</v>
      </c>
      <c r="G1287" s="295">
        <v>0</v>
      </c>
      <c r="H1287" s="284">
        <v>0.51041666666666663</v>
      </c>
      <c r="I1287" s="964"/>
      <c r="J1287" s="964"/>
      <c r="K1287" s="965"/>
      <c r="L1287" s="621"/>
      <c r="M1287" s="375"/>
      <c r="N1287" s="243"/>
      <c r="O1287" s="291"/>
      <c r="P1287" s="291"/>
      <c r="Q1287" s="291"/>
      <c r="R1287" s="291"/>
      <c r="S1287" s="291"/>
      <c r="T1287" s="291"/>
      <c r="U1287" s="291"/>
      <c r="V1287" s="291"/>
      <c r="W1287" s="291"/>
      <c r="X1287" s="291"/>
      <c r="Y1287" s="291"/>
      <c r="Z1287" s="291"/>
    </row>
    <row r="1288" spans="3:26" ht="19" thickBot="1" x14ac:dyDescent="0.25">
      <c r="C1288" s="243"/>
      <c r="D1288" s="608">
        <v>45475</v>
      </c>
      <c r="E1288" s="356">
        <v>0</v>
      </c>
      <c r="F1288" s="356">
        <v>0</v>
      </c>
      <c r="G1288" s="356">
        <v>0</v>
      </c>
      <c r="H1288" s="292">
        <v>0.55208333333333337</v>
      </c>
      <c r="I1288" s="966"/>
      <c r="J1288" s="966"/>
      <c r="K1288" s="967"/>
      <c r="L1288" s="622"/>
      <c r="M1288" s="384"/>
      <c r="N1288" s="243"/>
      <c r="O1288" s="291"/>
      <c r="P1288" s="291"/>
      <c r="Q1288" s="291"/>
      <c r="R1288" s="291"/>
      <c r="S1288" s="291"/>
      <c r="T1288" s="291"/>
      <c r="U1288" s="291"/>
      <c r="V1288" s="291"/>
      <c r="W1288" s="291"/>
      <c r="X1288" s="291"/>
      <c r="Y1288" s="291"/>
      <c r="Z1288" s="291"/>
    </row>
    <row r="1289" spans="3:26" ht="20" thickBot="1" x14ac:dyDescent="0.25">
      <c r="C1289" s="241">
        <v>11</v>
      </c>
      <c r="D1289" s="593" t="s">
        <v>30</v>
      </c>
      <c r="E1289" s="1018" t="s">
        <v>1154</v>
      </c>
      <c r="F1289" s="1019"/>
      <c r="G1289" s="1020"/>
      <c r="H1289" s="242" t="s">
        <v>790</v>
      </c>
      <c r="I1289" s="977" t="s">
        <v>633</v>
      </c>
      <c r="J1289" s="977"/>
      <c r="K1289" s="978"/>
      <c r="L1289" s="616" t="s">
        <v>430</v>
      </c>
      <c r="M1289" s="387" t="s">
        <v>431</v>
      </c>
      <c r="N1289" s="243" t="s">
        <v>105</v>
      </c>
      <c r="O1289" s="244" t="s">
        <v>800</v>
      </c>
      <c r="P1289" s="244" t="s">
        <v>801</v>
      </c>
      <c r="Q1289" s="244" t="s">
        <v>802</v>
      </c>
      <c r="R1289" s="244" t="s">
        <v>803</v>
      </c>
      <c r="S1289" s="244" t="s">
        <v>804</v>
      </c>
      <c r="T1289" s="244" t="s">
        <v>805</v>
      </c>
      <c r="U1289" s="244" t="s">
        <v>806</v>
      </c>
      <c r="V1289" s="244" t="s">
        <v>807</v>
      </c>
      <c r="W1289" s="244" t="s">
        <v>808</v>
      </c>
      <c r="X1289" s="244" t="s">
        <v>809</v>
      </c>
      <c r="Y1289" s="244" t="s">
        <v>75</v>
      </c>
      <c r="Z1289" s="244" t="s">
        <v>75</v>
      </c>
    </row>
    <row r="1290" spans="3:26" ht="19" x14ac:dyDescent="0.2">
      <c r="C1290" s="243"/>
      <c r="D1290" s="609" t="s">
        <v>432</v>
      </c>
      <c r="E1290" s="1009"/>
      <c r="F1290" s="1010"/>
      <c r="G1290" s="1011"/>
      <c r="H1290" s="245" t="s">
        <v>909</v>
      </c>
      <c r="I1290" s="962" t="s">
        <v>1153</v>
      </c>
      <c r="J1290" s="962"/>
      <c r="K1290" s="963"/>
      <c r="L1290" s="617"/>
      <c r="M1290" s="374" t="s">
        <v>1154</v>
      </c>
      <c r="N1290" s="243"/>
      <c r="O1290" s="246" t="s">
        <v>810</v>
      </c>
      <c r="P1290" s="247">
        <v>0.1</v>
      </c>
      <c r="Q1290" s="248">
        <v>3.4000000000000002E-2</v>
      </c>
      <c r="R1290" s="249">
        <v>1.5000000000014779E-2</v>
      </c>
      <c r="S1290" s="250"/>
      <c r="T1290" s="246">
        <v>6.6000000000014783E-2</v>
      </c>
      <c r="U1290" s="248">
        <v>-16.5</v>
      </c>
      <c r="V1290" s="247">
        <v>60.5</v>
      </c>
      <c r="W1290" s="251">
        <v>2</v>
      </c>
      <c r="X1290" s="252">
        <v>33</v>
      </c>
      <c r="Y1290" s="250"/>
      <c r="Z1290" s="250"/>
    </row>
    <row r="1291" spans="3:26" ht="19" x14ac:dyDescent="0.2">
      <c r="C1291" s="243"/>
      <c r="D1291" s="610" t="s">
        <v>433</v>
      </c>
      <c r="E1291" s="1012"/>
      <c r="F1291" s="1013"/>
      <c r="G1291" s="1014"/>
      <c r="H1291" s="245" t="s">
        <v>910</v>
      </c>
      <c r="I1291" s="964"/>
      <c r="J1291" s="964"/>
      <c r="K1291" s="965"/>
      <c r="L1291" s="617"/>
      <c r="M1291" s="375"/>
      <c r="N1291" s="243"/>
      <c r="O1291" s="243"/>
      <c r="P1291" s="243"/>
      <c r="Q1291" s="243"/>
      <c r="R1291" s="253"/>
      <c r="S1291" s="254"/>
      <c r="T1291" s="243"/>
      <c r="U1291" s="243"/>
      <c r="V1291" s="243"/>
      <c r="W1291" s="243"/>
      <c r="X1291" s="254"/>
      <c r="Y1291" s="254"/>
      <c r="Z1291" s="254"/>
    </row>
    <row r="1292" spans="3:26" ht="19" x14ac:dyDescent="0.2">
      <c r="C1292" s="243"/>
      <c r="D1292" s="610" t="s">
        <v>434</v>
      </c>
      <c r="E1292" s="1012">
        <v>3.4000000000000002E-2</v>
      </c>
      <c r="F1292" s="1013"/>
      <c r="G1292" s="1014"/>
      <c r="H1292" s="245"/>
      <c r="I1292" s="964"/>
      <c r="J1292" s="964"/>
      <c r="K1292" s="965"/>
      <c r="L1292" s="617"/>
      <c r="M1292" s="375"/>
      <c r="N1292" s="243"/>
      <c r="O1292" s="256" t="s">
        <v>811</v>
      </c>
      <c r="P1292" s="257">
        <v>0.1</v>
      </c>
      <c r="Q1292" s="258">
        <v>5.6660000000000002E-2</v>
      </c>
      <c r="R1292" s="259">
        <v>1.9E-2</v>
      </c>
      <c r="S1292" s="260">
        <v>1</v>
      </c>
      <c r="T1292" s="256">
        <v>0.10399000000000001</v>
      </c>
      <c r="U1292" s="261">
        <v>-25.997499999994179</v>
      </c>
      <c r="V1292" s="262">
        <v>60.5</v>
      </c>
      <c r="W1292" s="263">
        <v>5.7</v>
      </c>
      <c r="X1292" s="264">
        <v>148.18574999996682</v>
      </c>
      <c r="Y1292" s="265"/>
      <c r="Z1292" s="265"/>
    </row>
    <row r="1293" spans="3:26" ht="20" thickBot="1" x14ac:dyDescent="0.25">
      <c r="C1293" s="243"/>
      <c r="D1293" s="611" t="s">
        <v>435</v>
      </c>
      <c r="E1293" s="1015">
        <v>0.55208333333333337</v>
      </c>
      <c r="F1293" s="1016"/>
      <c r="G1293" s="1017"/>
      <c r="H1293" s="266"/>
      <c r="I1293" s="964"/>
      <c r="J1293" s="964"/>
      <c r="K1293" s="965"/>
      <c r="L1293" s="618">
        <v>0.78125</v>
      </c>
      <c r="M1293" s="377">
        <v>0.63541666666666663</v>
      </c>
      <c r="N1293" s="243"/>
      <c r="O1293" s="267" t="s">
        <v>812</v>
      </c>
      <c r="P1293" s="268">
        <v>0.1</v>
      </c>
      <c r="Q1293" s="269">
        <v>6.253333333333333E-2</v>
      </c>
      <c r="R1293" s="270">
        <v>1.9E-2</v>
      </c>
      <c r="S1293" s="271">
        <v>1</v>
      </c>
      <c r="T1293" s="272">
        <v>0.1128</v>
      </c>
      <c r="U1293" s="273">
        <v>-28.199999999993683</v>
      </c>
      <c r="V1293" s="274">
        <v>60.5</v>
      </c>
      <c r="W1293" s="309">
        <v>3.6</v>
      </c>
      <c r="X1293" s="276">
        <v>101.51999999997726</v>
      </c>
      <c r="Y1293" s="277"/>
      <c r="Z1293" s="277"/>
    </row>
    <row r="1294" spans="3:26" ht="20" thickBot="1" x14ac:dyDescent="0.25">
      <c r="C1294" s="243"/>
      <c r="D1294" s="612" t="s">
        <v>436</v>
      </c>
      <c r="E1294" s="358" t="s">
        <v>29</v>
      </c>
      <c r="F1294" s="358" t="s">
        <v>28</v>
      </c>
      <c r="G1294" s="359" t="s">
        <v>27</v>
      </c>
      <c r="H1294" s="280" t="s">
        <v>793</v>
      </c>
      <c r="I1294" s="964"/>
      <c r="J1294" s="964"/>
      <c r="K1294" s="965"/>
      <c r="L1294" s="619" t="s">
        <v>1246</v>
      </c>
      <c r="M1294" s="393"/>
      <c r="N1294" s="243"/>
      <c r="O1294" s="254"/>
      <c r="P1294" s="255"/>
      <c r="Q1294" s="254"/>
      <c r="R1294" s="254"/>
      <c r="S1294" s="254"/>
      <c r="T1294" s="254"/>
      <c r="U1294" s="281"/>
      <c r="V1294" s="282"/>
      <c r="W1294" s="254"/>
      <c r="X1294" s="281"/>
      <c r="Y1294" s="255"/>
      <c r="Z1294" s="255"/>
    </row>
    <row r="1295" spans="3:26" ht="19" x14ac:dyDescent="0.2">
      <c r="C1295" s="243"/>
      <c r="D1295" s="614">
        <v>45623</v>
      </c>
      <c r="E1295" s="394" t="s">
        <v>1111</v>
      </c>
      <c r="F1295" s="394" t="s">
        <v>1232</v>
      </c>
      <c r="G1295" s="394" t="s">
        <v>1232</v>
      </c>
      <c r="H1295" s="284">
        <v>0.51041666666666663</v>
      </c>
      <c r="I1295" s="964"/>
      <c r="J1295" s="964"/>
      <c r="K1295" s="965"/>
      <c r="L1295" s="621"/>
      <c r="M1295" s="382"/>
      <c r="N1295" s="243"/>
      <c r="O1295" s="254"/>
      <c r="P1295" s="255"/>
      <c r="Q1295" s="254"/>
      <c r="R1295" s="254"/>
      <c r="S1295" s="254"/>
      <c r="T1295" s="254"/>
      <c r="U1295" s="254"/>
      <c r="V1295" s="254"/>
      <c r="W1295" s="254"/>
      <c r="X1295" s="254"/>
      <c r="Y1295" s="255"/>
      <c r="Z1295" s="255"/>
    </row>
    <row r="1296" spans="3:26" ht="19" x14ac:dyDescent="0.2">
      <c r="C1296" s="243"/>
      <c r="D1296" s="614">
        <v>45617</v>
      </c>
      <c r="E1296" s="394" t="s">
        <v>1111</v>
      </c>
      <c r="F1296" s="394" t="s">
        <v>1112</v>
      </c>
      <c r="G1296" s="394" t="s">
        <v>987</v>
      </c>
      <c r="H1296" s="284">
        <v>0.51041666666666663</v>
      </c>
      <c r="I1296" s="964"/>
      <c r="J1296" s="964"/>
      <c r="K1296" s="965"/>
      <c r="L1296" s="621"/>
      <c r="M1296" s="383"/>
      <c r="N1296" s="243"/>
      <c r="O1296" s="246" t="s">
        <v>813</v>
      </c>
      <c r="P1296" s="247">
        <v>-0.1</v>
      </c>
      <c r="Q1296" s="285">
        <v>5.1064444444444447E-2</v>
      </c>
      <c r="R1296" s="286">
        <v>1.9E-2</v>
      </c>
      <c r="S1296" s="250">
        <v>-1</v>
      </c>
      <c r="T1296" s="256">
        <v>9.5596666666666677E-2</v>
      </c>
      <c r="U1296" s="287">
        <v>-23.899166666661316</v>
      </c>
      <c r="V1296" s="288">
        <v>60.5</v>
      </c>
      <c r="W1296" s="250">
        <v>2</v>
      </c>
      <c r="X1296" s="252">
        <v>47.798333333322631</v>
      </c>
      <c r="Y1296" s="289" t="s">
        <v>814</v>
      </c>
      <c r="Z1296" s="289"/>
    </row>
    <row r="1297" spans="3:26" ht="19" x14ac:dyDescent="0.2">
      <c r="C1297" s="243"/>
      <c r="D1297" s="614">
        <v>45610</v>
      </c>
      <c r="E1297" s="394" t="s">
        <v>1031</v>
      </c>
      <c r="F1297" s="394" t="s">
        <v>1032</v>
      </c>
      <c r="G1297" s="394" t="s">
        <v>972</v>
      </c>
      <c r="H1297" s="284">
        <v>0.51041666666666663</v>
      </c>
      <c r="I1297" s="964"/>
      <c r="J1297" s="964"/>
      <c r="K1297" s="965"/>
      <c r="L1297" s="621"/>
      <c r="M1297" s="375"/>
      <c r="N1297" s="243"/>
      <c r="O1297" s="246" t="s">
        <v>813</v>
      </c>
      <c r="P1297" s="395">
        <v>0.1</v>
      </c>
      <c r="Q1297" s="396">
        <v>5.1064444444444447E-2</v>
      </c>
      <c r="R1297" s="286">
        <v>0</v>
      </c>
      <c r="S1297" s="397">
        <v>1</v>
      </c>
      <c r="T1297" s="256">
        <v>9.5596666666666677E-2</v>
      </c>
      <c r="U1297" s="287">
        <v>-23.899166666661316</v>
      </c>
      <c r="V1297" s="288">
        <v>60.5</v>
      </c>
      <c r="W1297" s="398">
        <v>2</v>
      </c>
      <c r="X1297" s="252">
        <v>47.798333333322631</v>
      </c>
      <c r="Y1297" s="250" t="s">
        <v>814</v>
      </c>
      <c r="Z1297" s="250"/>
    </row>
    <row r="1298" spans="3:26" ht="19" x14ac:dyDescent="0.2">
      <c r="C1298" s="243"/>
      <c r="D1298" s="614">
        <v>45603</v>
      </c>
      <c r="E1298" s="394" t="s">
        <v>972</v>
      </c>
      <c r="F1298" s="394" t="s">
        <v>973</v>
      </c>
      <c r="G1298" s="394" t="s">
        <v>974</v>
      </c>
      <c r="H1298" s="284">
        <v>0.51041666666666663</v>
      </c>
      <c r="I1298" s="964"/>
      <c r="J1298" s="964"/>
      <c r="K1298" s="965"/>
      <c r="L1298" s="621"/>
      <c r="M1298" s="375"/>
      <c r="N1298" s="243"/>
      <c r="O1298" s="246"/>
      <c r="P1298" s="246"/>
      <c r="Q1298" s="396"/>
      <c r="R1298" s="286"/>
      <c r="S1298" s="250"/>
      <c r="T1298" s="246"/>
      <c r="U1298" s="287"/>
      <c r="V1298" s="288"/>
      <c r="W1298" s="250"/>
      <c r="X1298" s="252"/>
      <c r="Y1298" s="250"/>
      <c r="Z1298" s="250"/>
    </row>
    <row r="1299" spans="3:26" ht="19" x14ac:dyDescent="0.2">
      <c r="C1299" s="243"/>
      <c r="D1299" s="614">
        <v>45596</v>
      </c>
      <c r="E1299" s="394" t="s">
        <v>975</v>
      </c>
      <c r="F1299" s="394" t="s">
        <v>976</v>
      </c>
      <c r="G1299" s="394" t="s">
        <v>977</v>
      </c>
      <c r="H1299" s="284">
        <v>0.51041666666666663</v>
      </c>
      <c r="I1299" s="964"/>
      <c r="J1299" s="964"/>
      <c r="K1299" s="965"/>
      <c r="L1299" s="621"/>
      <c r="M1299" s="375"/>
      <c r="N1299" s="243"/>
      <c r="O1299" s="291"/>
      <c r="P1299" s="291"/>
      <c r="Q1299" s="291"/>
      <c r="R1299" s="291"/>
      <c r="S1299" s="291"/>
      <c r="T1299" s="291"/>
      <c r="U1299" s="291"/>
      <c r="V1299" s="291"/>
      <c r="W1299" s="291"/>
      <c r="X1299" s="291"/>
      <c r="Y1299" s="291"/>
      <c r="Z1299" s="291"/>
    </row>
    <row r="1300" spans="3:26" ht="20" thickBot="1" x14ac:dyDescent="0.25">
      <c r="C1300" s="243"/>
      <c r="D1300" s="615">
        <v>45589</v>
      </c>
      <c r="E1300" s="399" t="s">
        <v>978</v>
      </c>
      <c r="F1300" s="399" t="s">
        <v>979</v>
      </c>
      <c r="G1300" s="399" t="s">
        <v>980</v>
      </c>
      <c r="H1300" s="292">
        <v>0.55208333333333337</v>
      </c>
      <c r="I1300" s="966"/>
      <c r="J1300" s="966"/>
      <c r="K1300" s="967"/>
      <c r="L1300" s="622"/>
      <c r="M1300" s="384"/>
      <c r="N1300" s="243"/>
      <c r="O1300" s="291"/>
      <c r="P1300" s="291"/>
      <c r="Q1300" s="291"/>
      <c r="R1300" s="291"/>
      <c r="S1300" s="291"/>
      <c r="T1300" s="291"/>
      <c r="U1300" s="291"/>
      <c r="V1300" s="291"/>
      <c r="W1300" s="291"/>
      <c r="X1300" s="291"/>
      <c r="Y1300" s="291"/>
      <c r="Z1300" s="291"/>
    </row>
    <row r="1301" spans="3:26" ht="20" thickBot="1" x14ac:dyDescent="0.25">
      <c r="C1301" s="241">
        <v>12</v>
      </c>
      <c r="D1301" s="593" t="s">
        <v>30</v>
      </c>
      <c r="E1301" s="1018" t="s">
        <v>14</v>
      </c>
      <c r="F1301" s="1019"/>
      <c r="G1301" s="1020"/>
      <c r="H1301" s="242" t="s">
        <v>790</v>
      </c>
      <c r="I1301" s="977" t="s">
        <v>633</v>
      </c>
      <c r="J1301" s="977"/>
      <c r="K1301" s="978"/>
      <c r="L1301" s="616" t="s">
        <v>430</v>
      </c>
      <c r="M1301" s="387" t="s">
        <v>431</v>
      </c>
      <c r="N1301" s="243" t="s">
        <v>105</v>
      </c>
      <c r="O1301" s="244" t="s">
        <v>800</v>
      </c>
      <c r="P1301" s="244" t="s">
        <v>801</v>
      </c>
      <c r="Q1301" s="244" t="s">
        <v>802</v>
      </c>
      <c r="R1301" s="244" t="s">
        <v>803</v>
      </c>
      <c r="S1301" s="244" t="s">
        <v>804</v>
      </c>
      <c r="T1301" s="244" t="s">
        <v>805</v>
      </c>
      <c r="U1301" s="244" t="s">
        <v>806</v>
      </c>
      <c r="V1301" s="244" t="s">
        <v>807</v>
      </c>
      <c r="W1301" s="244" t="s">
        <v>808</v>
      </c>
      <c r="X1301" s="244" t="s">
        <v>809</v>
      </c>
      <c r="Y1301" s="244" t="s">
        <v>75</v>
      </c>
      <c r="Z1301" s="244" t="s">
        <v>75</v>
      </c>
    </row>
    <row r="1302" spans="3:26" ht="19" x14ac:dyDescent="0.2">
      <c r="C1302" s="243"/>
      <c r="D1302" s="609" t="s">
        <v>432</v>
      </c>
      <c r="E1302" s="1009"/>
      <c r="F1302" s="1010"/>
      <c r="G1302" s="1011"/>
      <c r="H1302" s="245" t="s">
        <v>794</v>
      </c>
      <c r="I1302" s="962" t="s">
        <v>1155</v>
      </c>
      <c r="J1302" s="962"/>
      <c r="K1302" s="963"/>
      <c r="L1302" s="617"/>
      <c r="M1302" s="374" t="s">
        <v>14</v>
      </c>
      <c r="N1302" s="243"/>
      <c r="O1302" s="246" t="s">
        <v>810</v>
      </c>
      <c r="P1302" s="247">
        <v>0.1</v>
      </c>
      <c r="Q1302" s="248">
        <v>3.5000000000000003E-2</v>
      </c>
      <c r="R1302" s="249">
        <v>3.4999999999996589E-2</v>
      </c>
      <c r="S1302" s="250">
        <v>1</v>
      </c>
      <c r="T1302" s="246">
        <v>5.9000000000010003E-2</v>
      </c>
      <c r="U1302" s="248">
        <v>-21.24</v>
      </c>
      <c r="V1302" s="247">
        <v>60.5</v>
      </c>
      <c r="W1302" s="251">
        <v>2</v>
      </c>
      <c r="X1302" s="252"/>
      <c r="Y1302" s="250"/>
      <c r="Z1302" s="250"/>
    </row>
    <row r="1303" spans="3:26" ht="19" x14ac:dyDescent="0.2">
      <c r="C1303" s="243"/>
      <c r="D1303" s="610" t="s">
        <v>433</v>
      </c>
      <c r="E1303" s="1012"/>
      <c r="F1303" s="1013"/>
      <c r="G1303" s="1014"/>
      <c r="H1303" s="245" t="s">
        <v>795</v>
      </c>
      <c r="I1303" s="964"/>
      <c r="J1303" s="964"/>
      <c r="K1303" s="965"/>
      <c r="L1303" s="617"/>
      <c r="M1303" s="375"/>
      <c r="N1303" s="243"/>
      <c r="O1303" s="243"/>
      <c r="P1303" s="243"/>
      <c r="Q1303" s="243"/>
      <c r="R1303" s="253"/>
      <c r="S1303" s="254"/>
      <c r="T1303" s="243"/>
      <c r="U1303" s="243"/>
      <c r="V1303" s="243"/>
      <c r="W1303" s="243"/>
      <c r="X1303" s="254"/>
      <c r="Y1303" s="254"/>
      <c r="Z1303" s="254"/>
    </row>
    <row r="1304" spans="3:26" ht="19" x14ac:dyDescent="0.2">
      <c r="C1304" s="243"/>
      <c r="D1304" s="610" t="s">
        <v>434</v>
      </c>
      <c r="E1304" s="1021" t="s">
        <v>381</v>
      </c>
      <c r="F1304" s="1022"/>
      <c r="G1304" s="1023"/>
      <c r="H1304" s="245"/>
      <c r="I1304" s="964"/>
      <c r="J1304" s="964"/>
      <c r="K1304" s="965"/>
      <c r="L1304" s="617"/>
      <c r="M1304" s="375"/>
      <c r="N1304" s="243"/>
      <c r="O1304" s="256" t="s">
        <v>811</v>
      </c>
      <c r="P1304" s="257">
        <v>0.1</v>
      </c>
      <c r="Q1304" s="258">
        <v>6.4500000000000002E-2</v>
      </c>
      <c r="R1304" s="258">
        <v>0.03</v>
      </c>
      <c r="S1304" s="260">
        <v>1</v>
      </c>
      <c r="T1304" s="256">
        <v>0.12675</v>
      </c>
      <c r="U1304" s="261">
        <v>-45.629999999992258</v>
      </c>
      <c r="V1304" s="262">
        <v>60.5</v>
      </c>
      <c r="W1304" s="263">
        <v>3.53</v>
      </c>
      <c r="X1304" s="264">
        <v>161.07389999997267</v>
      </c>
      <c r="Y1304" s="265"/>
      <c r="Z1304" s="260"/>
    </row>
    <row r="1305" spans="3:26" ht="20" thickBot="1" x14ac:dyDescent="0.25">
      <c r="C1305" s="243"/>
      <c r="D1305" s="611" t="s">
        <v>435</v>
      </c>
      <c r="E1305" s="1015">
        <v>0.5625</v>
      </c>
      <c r="F1305" s="1016"/>
      <c r="G1305" s="1017"/>
      <c r="H1305" s="266">
        <v>0.35416666666666663</v>
      </c>
      <c r="I1305" s="964"/>
      <c r="J1305" s="964"/>
      <c r="K1305" s="965"/>
      <c r="L1305" s="618">
        <v>0.79166666666666663</v>
      </c>
      <c r="M1305" s="377">
        <v>0.64583333333333326</v>
      </c>
      <c r="N1305" s="243"/>
      <c r="O1305" s="267" t="s">
        <v>812</v>
      </c>
      <c r="P1305" s="268">
        <v>0.1</v>
      </c>
      <c r="Q1305" s="269">
        <v>6.2333333333333331E-2</v>
      </c>
      <c r="R1305" s="270">
        <v>0.03</v>
      </c>
      <c r="S1305" s="271">
        <v>1</v>
      </c>
      <c r="T1305" s="272">
        <v>0.1235</v>
      </c>
      <c r="U1305" s="273">
        <v>-44.459999999992455</v>
      </c>
      <c r="V1305" s="274">
        <v>60.5</v>
      </c>
      <c r="W1305" s="309">
        <v>1.77</v>
      </c>
      <c r="X1305" s="276">
        <v>78.694199999986651</v>
      </c>
      <c r="Y1305" s="277"/>
      <c r="Z1305" s="271"/>
    </row>
    <row r="1306" spans="3:26" ht="20" thickBot="1" x14ac:dyDescent="0.25">
      <c r="C1306" s="243"/>
      <c r="D1306" s="612" t="s">
        <v>436</v>
      </c>
      <c r="E1306" s="358" t="s">
        <v>29</v>
      </c>
      <c r="F1306" s="358" t="s">
        <v>28</v>
      </c>
      <c r="G1306" s="359" t="s">
        <v>27</v>
      </c>
      <c r="H1306" s="280" t="s">
        <v>793</v>
      </c>
      <c r="I1306" s="964"/>
      <c r="J1306" s="964"/>
      <c r="K1306" s="965"/>
      <c r="L1306" s="619" t="s">
        <v>1246</v>
      </c>
      <c r="M1306" s="393"/>
      <c r="N1306" s="243"/>
      <c r="O1306" s="254"/>
      <c r="P1306" s="255"/>
      <c r="Q1306" s="254"/>
      <c r="R1306" s="254"/>
      <c r="S1306" s="254"/>
      <c r="T1306" s="254"/>
      <c r="U1306" s="281"/>
      <c r="V1306" s="282"/>
      <c r="W1306" s="254"/>
      <c r="X1306" s="281"/>
      <c r="Y1306" s="255"/>
      <c r="Z1306" s="254"/>
    </row>
    <row r="1307" spans="3:26" ht="19" x14ac:dyDescent="0.2">
      <c r="C1307" s="243"/>
      <c r="D1307" s="614">
        <v>45610</v>
      </c>
      <c r="E1307" s="400">
        <v>4.0000000000000001E-3</v>
      </c>
      <c r="F1307" s="400" t="s">
        <v>452</v>
      </c>
      <c r="G1307" s="400">
        <v>4.0000000000000001E-3</v>
      </c>
      <c r="H1307" s="284">
        <v>0.5625</v>
      </c>
      <c r="I1307" s="964"/>
      <c r="J1307" s="964"/>
      <c r="K1307" s="965"/>
      <c r="L1307" s="621"/>
      <c r="M1307" s="382"/>
      <c r="N1307" s="243"/>
      <c r="O1307" s="254"/>
      <c r="P1307" s="255"/>
      <c r="Q1307" s="254"/>
      <c r="R1307" s="254"/>
      <c r="S1307" s="254"/>
      <c r="T1307" s="254"/>
      <c r="U1307" s="254"/>
      <c r="V1307" s="254"/>
      <c r="W1307" s="254"/>
      <c r="X1307" s="254"/>
      <c r="Y1307" s="255"/>
      <c r="Z1307" s="254"/>
    </row>
    <row r="1308" spans="3:26" ht="19" x14ac:dyDescent="0.2">
      <c r="C1308" s="243"/>
      <c r="D1308" s="614">
        <v>45595</v>
      </c>
      <c r="E1308" s="400">
        <v>4.0000000000000001E-3</v>
      </c>
      <c r="F1308" s="400" t="s">
        <v>460</v>
      </c>
      <c r="G1308" s="400">
        <v>2E-3</v>
      </c>
      <c r="H1308" s="284">
        <v>0.5625</v>
      </c>
      <c r="I1308" s="964"/>
      <c r="J1308" s="964"/>
      <c r="K1308" s="965"/>
      <c r="L1308" s="621"/>
      <c r="M1308" s="383"/>
      <c r="N1308" s="243"/>
      <c r="O1308" s="246" t="s">
        <v>813</v>
      </c>
      <c r="P1308" s="247">
        <v>-0.05</v>
      </c>
      <c r="Q1308" s="285">
        <v>5.3944444444444441E-2</v>
      </c>
      <c r="R1308" s="286">
        <v>0.03</v>
      </c>
      <c r="S1308" s="250">
        <v>-1</v>
      </c>
      <c r="T1308" s="256">
        <v>0.11091666666666666</v>
      </c>
      <c r="U1308" s="287">
        <v>-19.964999999996614</v>
      </c>
      <c r="V1308" s="288">
        <v>30.25</v>
      </c>
      <c r="W1308" s="250">
        <v>2</v>
      </c>
      <c r="X1308" s="252">
        <v>39.929999999993228</v>
      </c>
      <c r="Y1308" s="289" t="s">
        <v>814</v>
      </c>
      <c r="Z1308" s="250"/>
    </row>
    <row r="1309" spans="3:26" ht="19" x14ac:dyDescent="0.2">
      <c r="C1309" s="243"/>
      <c r="D1309" s="614">
        <v>45541</v>
      </c>
      <c r="E1309" s="400">
        <v>2E-3</v>
      </c>
      <c r="F1309" s="400" t="s">
        <v>467</v>
      </c>
      <c r="G1309" s="400">
        <v>3.0000000000000001E-3</v>
      </c>
      <c r="H1309" s="284">
        <v>0.5625</v>
      </c>
      <c r="I1309" s="964"/>
      <c r="J1309" s="964"/>
      <c r="K1309" s="965"/>
      <c r="L1309" s="621"/>
      <c r="M1309" s="375"/>
      <c r="N1309" s="243"/>
      <c r="O1309" s="246" t="s">
        <v>813</v>
      </c>
      <c r="P1309" s="395">
        <v>0.05</v>
      </c>
      <c r="Q1309" s="396">
        <v>5.3944444444444441E-2</v>
      </c>
      <c r="R1309" s="286">
        <v>0</v>
      </c>
      <c r="S1309" s="397">
        <v>1</v>
      </c>
      <c r="T1309" s="256">
        <v>0.11091666666666666</v>
      </c>
      <c r="U1309" s="287">
        <v>-19.964999999996614</v>
      </c>
      <c r="V1309" s="288">
        <v>30.25</v>
      </c>
      <c r="W1309" s="398">
        <v>2</v>
      </c>
      <c r="X1309" s="252">
        <v>39.929999999993228</v>
      </c>
      <c r="Y1309" s="250" t="s">
        <v>814</v>
      </c>
      <c r="Z1309" s="250"/>
    </row>
    <row r="1310" spans="3:26" ht="19" x14ac:dyDescent="0.2">
      <c r="C1310" s="243"/>
      <c r="D1310" s="614">
        <v>45518</v>
      </c>
      <c r="E1310" s="400">
        <v>3.0000000000000001E-3</v>
      </c>
      <c r="F1310" s="400" t="s">
        <v>467</v>
      </c>
      <c r="G1310" s="400">
        <v>3.0000000000000001E-3</v>
      </c>
      <c r="H1310" s="284">
        <v>0.5625</v>
      </c>
      <c r="I1310" s="964"/>
      <c r="J1310" s="964"/>
      <c r="K1310" s="965"/>
      <c r="L1310" s="621"/>
      <c r="M1310" s="375"/>
      <c r="N1310" s="243"/>
      <c r="O1310" s="246"/>
      <c r="P1310" s="246"/>
      <c r="Q1310" s="396"/>
      <c r="R1310" s="286"/>
      <c r="S1310" s="250"/>
      <c r="T1310" s="246"/>
      <c r="U1310" s="287"/>
      <c r="V1310" s="288"/>
      <c r="W1310" s="250"/>
      <c r="X1310" s="252"/>
      <c r="Y1310" s="250"/>
      <c r="Z1310" s="250"/>
    </row>
    <row r="1311" spans="3:26" ht="19" x14ac:dyDescent="0.2">
      <c r="C1311" s="243"/>
      <c r="D1311" s="614">
        <v>45503</v>
      </c>
      <c r="E1311" s="400">
        <v>3.0000000000000001E-3</v>
      </c>
      <c r="F1311" s="400" t="s">
        <v>460</v>
      </c>
      <c r="G1311" s="400">
        <v>3.0000000000000001E-3</v>
      </c>
      <c r="H1311" s="284">
        <v>0.5625</v>
      </c>
      <c r="I1311" s="964"/>
      <c r="J1311" s="964"/>
      <c r="K1311" s="965"/>
      <c r="L1311" s="621"/>
      <c r="M1311" s="375"/>
      <c r="N1311" s="243"/>
      <c r="O1311" s="291"/>
      <c r="P1311" s="291"/>
      <c r="Q1311" s="291"/>
      <c r="R1311" s="291"/>
      <c r="S1311" s="291"/>
      <c r="T1311" s="291"/>
      <c r="U1311" s="291"/>
      <c r="V1311" s="291"/>
      <c r="W1311" s="291"/>
      <c r="X1311" s="291"/>
      <c r="Y1311" s="291"/>
      <c r="Z1311" s="291"/>
    </row>
    <row r="1312" spans="3:26" ht="20" thickBot="1" x14ac:dyDescent="0.25">
      <c r="C1312" s="243"/>
      <c r="D1312" s="615">
        <v>45450</v>
      </c>
      <c r="E1312" s="401">
        <v>3.0000000000000001E-3</v>
      </c>
      <c r="F1312" s="401" t="s">
        <v>467</v>
      </c>
      <c r="G1312" s="401">
        <v>0</v>
      </c>
      <c r="H1312" s="284">
        <v>0.52083333333333337</v>
      </c>
      <c r="I1312" s="966"/>
      <c r="J1312" s="966"/>
      <c r="K1312" s="967"/>
      <c r="L1312" s="621"/>
      <c r="M1312" s="384"/>
      <c r="N1312" s="243"/>
      <c r="O1312" s="291"/>
      <c r="P1312" s="291"/>
      <c r="Q1312" s="291"/>
      <c r="R1312" s="291"/>
      <c r="S1312" s="291"/>
      <c r="T1312" s="291"/>
      <c r="U1312" s="291"/>
      <c r="V1312" s="291"/>
      <c r="W1312" s="291"/>
      <c r="X1312" s="291"/>
      <c r="Y1312" s="291"/>
      <c r="Z1312" s="291"/>
    </row>
    <row r="1313" spans="3:26" ht="20" thickBot="1" x14ac:dyDescent="0.25">
      <c r="C1313" s="241">
        <v>12</v>
      </c>
      <c r="D1313" s="576" t="s">
        <v>30</v>
      </c>
      <c r="E1313" s="874" t="s">
        <v>1156</v>
      </c>
      <c r="F1313" s="875"/>
      <c r="G1313" s="876"/>
      <c r="H1313" s="242" t="s">
        <v>790</v>
      </c>
      <c r="I1313" s="977" t="s">
        <v>633</v>
      </c>
      <c r="J1313" s="977"/>
      <c r="K1313" s="978"/>
      <c r="L1313" s="616" t="s">
        <v>430</v>
      </c>
      <c r="M1313" s="372" t="s">
        <v>431</v>
      </c>
      <c r="N1313" s="243" t="s">
        <v>105</v>
      </c>
      <c r="O1313" s="244" t="s">
        <v>800</v>
      </c>
      <c r="P1313" s="244" t="s">
        <v>801</v>
      </c>
      <c r="Q1313" s="244" t="s">
        <v>802</v>
      </c>
      <c r="R1313" s="244" t="s">
        <v>803</v>
      </c>
      <c r="S1313" s="244" t="s">
        <v>804</v>
      </c>
      <c r="T1313" s="244" t="s">
        <v>805</v>
      </c>
      <c r="U1313" s="244" t="s">
        <v>806</v>
      </c>
      <c r="V1313" s="244" t="s">
        <v>807</v>
      </c>
      <c r="W1313" s="244" t="s">
        <v>808</v>
      </c>
      <c r="X1313" s="244" t="s">
        <v>809</v>
      </c>
      <c r="Y1313" s="244" t="s">
        <v>75</v>
      </c>
      <c r="Z1313" s="244" t="s">
        <v>75</v>
      </c>
    </row>
    <row r="1314" spans="3:26" ht="19" x14ac:dyDescent="0.2">
      <c r="C1314" s="243"/>
      <c r="D1314" s="588" t="s">
        <v>432</v>
      </c>
      <c r="E1314" s="853"/>
      <c r="F1314" s="854"/>
      <c r="G1314" s="855"/>
      <c r="H1314" s="245" t="s">
        <v>794</v>
      </c>
      <c r="I1314" s="962" t="s">
        <v>1157</v>
      </c>
      <c r="J1314" s="962"/>
      <c r="K1314" s="963"/>
      <c r="L1314" s="617"/>
      <c r="M1314" s="374" t="s">
        <v>1156</v>
      </c>
      <c r="N1314" s="243"/>
      <c r="O1314" s="246" t="s">
        <v>810</v>
      </c>
      <c r="P1314" s="247">
        <v>0.1</v>
      </c>
      <c r="Q1314" s="248">
        <v>2.7E-2</v>
      </c>
      <c r="R1314" s="249">
        <v>1.5999999999991132E-2</v>
      </c>
      <c r="S1314" s="250"/>
      <c r="T1314" s="246">
        <v>5.6499999999991134E-2</v>
      </c>
      <c r="U1314" s="248">
        <v>-13.31</v>
      </c>
      <c r="V1314" s="247">
        <v>91.8</v>
      </c>
      <c r="W1314" s="251">
        <v>2</v>
      </c>
      <c r="X1314" s="252">
        <v>26.62</v>
      </c>
      <c r="Y1314" s="250"/>
      <c r="Z1314" s="250"/>
    </row>
    <row r="1315" spans="3:26" ht="19" x14ac:dyDescent="0.2">
      <c r="C1315" s="243"/>
      <c r="D1315" s="589" t="s">
        <v>433</v>
      </c>
      <c r="E1315" s="868"/>
      <c r="F1315" s="869"/>
      <c r="G1315" s="870"/>
      <c r="H1315" s="245" t="s">
        <v>795</v>
      </c>
      <c r="I1315" s="964"/>
      <c r="J1315" s="964"/>
      <c r="K1315" s="965"/>
      <c r="L1315" s="617"/>
      <c r="M1315" s="375"/>
      <c r="N1315" s="243"/>
      <c r="O1315" s="243"/>
      <c r="P1315" s="243"/>
      <c r="Q1315" s="243"/>
      <c r="R1315" s="253"/>
      <c r="S1315" s="254"/>
      <c r="T1315" s="243"/>
      <c r="U1315" s="243"/>
      <c r="V1315" s="243"/>
      <c r="W1315" s="254"/>
      <c r="X1315" s="254"/>
      <c r="Y1315" s="255"/>
      <c r="Z1315" s="255"/>
    </row>
    <row r="1316" spans="3:26" ht="19" x14ac:dyDescent="0.2">
      <c r="C1316" s="243"/>
      <c r="D1316" s="589" t="s">
        <v>434</v>
      </c>
      <c r="E1316" s="856"/>
      <c r="F1316" s="857"/>
      <c r="G1316" s="858"/>
      <c r="H1316" s="245"/>
      <c r="I1316" s="964"/>
      <c r="J1316" s="964"/>
      <c r="K1316" s="965"/>
      <c r="L1316" s="617"/>
      <c r="M1316" s="375"/>
      <c r="N1316" s="243"/>
      <c r="O1316" s="256" t="s">
        <v>811</v>
      </c>
      <c r="P1316" s="257">
        <v>0.1</v>
      </c>
      <c r="Q1316" s="258">
        <v>4.0500000000000001E-2</v>
      </c>
      <c r="R1316" s="259">
        <v>1.7000000000000001E-2</v>
      </c>
      <c r="S1316" s="260">
        <v>1</v>
      </c>
      <c r="T1316" s="256">
        <v>7.775E-2</v>
      </c>
      <c r="U1316" s="261">
        <v>-18.315973451330308</v>
      </c>
      <c r="V1316" s="262">
        <v>60.5</v>
      </c>
      <c r="W1316" s="263">
        <v>3.27</v>
      </c>
      <c r="X1316" s="264">
        <v>59.893233185850107</v>
      </c>
      <c r="Y1316" s="265"/>
      <c r="Z1316" s="265">
        <v>4.4350000000000005</v>
      </c>
    </row>
    <row r="1317" spans="3:26" ht="20" thickBot="1" x14ac:dyDescent="0.25">
      <c r="C1317" s="243"/>
      <c r="D1317" s="590" t="s">
        <v>435</v>
      </c>
      <c r="E1317" s="871">
        <v>0.5625</v>
      </c>
      <c r="F1317" s="872"/>
      <c r="G1317" s="873"/>
      <c r="H1317" s="266">
        <v>0.35416666666666663</v>
      </c>
      <c r="I1317" s="964"/>
      <c r="J1317" s="964"/>
      <c r="K1317" s="965"/>
      <c r="L1317" s="618">
        <v>0.79166666666666663</v>
      </c>
      <c r="M1317" s="377">
        <v>0.64583333333333326</v>
      </c>
      <c r="N1317" s="243"/>
      <c r="O1317" s="267" t="s">
        <v>812</v>
      </c>
      <c r="P1317" s="268">
        <v>0.1</v>
      </c>
      <c r="Q1317" s="269">
        <v>2.5266666666666663E-2</v>
      </c>
      <c r="R1317" s="270">
        <v>1.7000000000000001E-2</v>
      </c>
      <c r="S1317" s="271">
        <v>1</v>
      </c>
      <c r="T1317" s="272">
        <v>5.4899999999999997E-2</v>
      </c>
      <c r="U1317" s="273">
        <v>-12.933079646019728</v>
      </c>
      <c r="V1317" s="274">
        <v>60.5</v>
      </c>
      <c r="W1317" s="309">
        <v>2.2200000000000002</v>
      </c>
      <c r="X1317" s="276">
        <v>28.711436814163797</v>
      </c>
      <c r="Y1317" s="277"/>
      <c r="Z1317" s="277"/>
    </row>
    <row r="1318" spans="3:26" ht="20" thickBot="1" x14ac:dyDescent="0.25">
      <c r="C1318" s="243"/>
      <c r="D1318" s="591" t="s">
        <v>436</v>
      </c>
      <c r="E1318" s="293" t="s">
        <v>29</v>
      </c>
      <c r="F1318" s="293" t="s">
        <v>28</v>
      </c>
      <c r="G1318" s="294" t="s">
        <v>27</v>
      </c>
      <c r="H1318" s="280" t="s">
        <v>793</v>
      </c>
      <c r="I1318" s="964"/>
      <c r="J1318" s="964"/>
      <c r="K1318" s="965"/>
      <c r="L1318" s="619" t="s">
        <v>1246</v>
      </c>
      <c r="M1318" s="379"/>
      <c r="N1318" s="243"/>
      <c r="O1318" s="254"/>
      <c r="P1318" s="255"/>
      <c r="Q1318" s="254"/>
      <c r="R1318" s="254"/>
      <c r="S1318" s="254"/>
      <c r="T1318" s="254"/>
      <c r="U1318" s="281"/>
      <c r="V1318" s="282"/>
      <c r="W1318" s="254"/>
      <c r="X1318" s="281"/>
      <c r="Y1318" s="255"/>
      <c r="Z1318" s="255"/>
    </row>
    <row r="1319" spans="3:26" ht="19" x14ac:dyDescent="0.2">
      <c r="C1319" s="243"/>
      <c r="D1319" s="592">
        <v>45597</v>
      </c>
      <c r="E1319" s="295">
        <v>4.0000000000000001E-3</v>
      </c>
      <c r="F1319" s="295" t="s">
        <v>467</v>
      </c>
      <c r="G1319" s="295">
        <v>3.0000000000000001E-3</v>
      </c>
      <c r="H1319" s="284">
        <v>0.52083333333333337</v>
      </c>
      <c r="I1319" s="964"/>
      <c r="J1319" s="964"/>
      <c r="K1319" s="965"/>
      <c r="L1319" s="621">
        <v>0.75</v>
      </c>
      <c r="M1319" s="382"/>
      <c r="N1319" s="243"/>
      <c r="O1319" s="254"/>
      <c r="P1319" s="255"/>
      <c r="Q1319" s="254"/>
      <c r="R1319" s="254"/>
      <c r="S1319" s="254"/>
      <c r="T1319" s="254"/>
      <c r="U1319" s="254"/>
      <c r="V1319" s="254"/>
      <c r="W1319" s="254"/>
      <c r="X1319" s="254"/>
      <c r="Y1319" s="255"/>
      <c r="Z1319" s="255"/>
    </row>
    <row r="1320" spans="3:26" ht="19" x14ac:dyDescent="0.2">
      <c r="C1320" s="243"/>
      <c r="D1320" s="592">
        <v>45569</v>
      </c>
      <c r="E1320" s="295">
        <v>4.0000000000000001E-3</v>
      </c>
      <c r="F1320" s="295" t="s">
        <v>467</v>
      </c>
      <c r="G1320" s="295">
        <v>5.0000000000000001E-3</v>
      </c>
      <c r="H1320" s="284">
        <v>0.52083333333333337</v>
      </c>
      <c r="I1320" s="964"/>
      <c r="J1320" s="964"/>
      <c r="K1320" s="965"/>
      <c r="L1320" s="621">
        <v>0.75</v>
      </c>
      <c r="M1320" s="383"/>
      <c r="N1320" s="243"/>
      <c r="O1320" s="246" t="s">
        <v>813</v>
      </c>
      <c r="P1320" s="247">
        <v>0.1</v>
      </c>
      <c r="Q1320" s="285">
        <v>3.2883333333333334E-2</v>
      </c>
      <c r="R1320" s="286">
        <v>1.7000000000000001E-2</v>
      </c>
      <c r="S1320" s="250">
        <v>1</v>
      </c>
      <c r="T1320" s="256">
        <v>6.6324999999999995E-2</v>
      </c>
      <c r="U1320" s="287">
        <v>-15.624526548675018</v>
      </c>
      <c r="V1320" s="288">
        <v>60.5</v>
      </c>
      <c r="W1320" s="250">
        <v>2</v>
      </c>
      <c r="X1320" s="252">
        <v>31.249053097350036</v>
      </c>
      <c r="Y1320" s="289"/>
      <c r="Z1320" s="289"/>
    </row>
    <row r="1321" spans="3:26" ht="19" x14ac:dyDescent="0.2">
      <c r="C1321" s="243"/>
      <c r="D1321" s="592">
        <v>45541</v>
      </c>
      <c r="E1321" s="295">
        <v>4.0000000000000001E-3</v>
      </c>
      <c r="F1321" s="295" t="s">
        <v>467</v>
      </c>
      <c r="G1321" s="295">
        <v>0</v>
      </c>
      <c r="H1321" s="284">
        <v>0.52083333333333337</v>
      </c>
      <c r="I1321" s="964"/>
      <c r="J1321" s="964"/>
      <c r="K1321" s="965"/>
      <c r="L1321" s="621">
        <v>0.75</v>
      </c>
      <c r="M1321" s="375"/>
      <c r="N1321" s="243"/>
      <c r="O1321" s="246"/>
      <c r="P1321" s="247"/>
      <c r="Q1321" s="285"/>
      <c r="R1321" s="286"/>
      <c r="S1321" s="250"/>
      <c r="T1321" s="256"/>
      <c r="U1321" s="287"/>
      <c r="V1321" s="288"/>
      <c r="W1321" s="250"/>
      <c r="X1321" s="252"/>
      <c r="Y1321" s="289"/>
      <c r="Z1321" s="289"/>
    </row>
    <row r="1322" spans="3:26" ht="19" x14ac:dyDescent="0.2">
      <c r="C1322" s="243"/>
      <c r="D1322" s="592">
        <v>45506</v>
      </c>
      <c r="E1322" s="295">
        <v>2E-3</v>
      </c>
      <c r="F1322" s="295" t="s">
        <v>467</v>
      </c>
      <c r="G1322" s="295">
        <v>3.0000000000000001E-3</v>
      </c>
      <c r="H1322" s="284">
        <v>0.52083333333333337</v>
      </c>
      <c r="I1322" s="964"/>
      <c r="J1322" s="964"/>
      <c r="K1322" s="965"/>
      <c r="L1322" s="621">
        <v>0.75</v>
      </c>
      <c r="M1322" s="375"/>
      <c r="N1322" s="243"/>
      <c r="O1322" s="246"/>
      <c r="P1322" s="290"/>
      <c r="Q1322" s="285"/>
      <c r="R1322" s="286"/>
      <c r="S1322" s="250"/>
      <c r="T1322" s="290"/>
      <c r="U1322" s="287"/>
      <c r="V1322" s="288"/>
      <c r="W1322" s="250"/>
      <c r="X1322" s="252"/>
      <c r="Y1322" s="289"/>
      <c r="Z1322" s="289"/>
    </row>
    <row r="1323" spans="3:26" ht="19" x14ac:dyDescent="0.2">
      <c r="C1323" s="243"/>
      <c r="D1323" s="592">
        <v>45478</v>
      </c>
      <c r="E1323" s="295">
        <v>3.0000000000000001E-3</v>
      </c>
      <c r="F1323" s="295" t="s">
        <v>467</v>
      </c>
      <c r="G1323" s="295">
        <v>4.0000000000000001E-3</v>
      </c>
      <c r="H1323" s="284">
        <v>0.52083333333333337</v>
      </c>
      <c r="I1323" s="964"/>
      <c r="J1323" s="964"/>
      <c r="K1323" s="965"/>
      <c r="L1323" s="621">
        <v>0.75</v>
      </c>
      <c r="M1323" s="375"/>
      <c r="N1323" s="243"/>
      <c r="O1323" s="291"/>
      <c r="P1323" s="291"/>
      <c r="Q1323" s="291"/>
      <c r="R1323" s="291"/>
      <c r="S1323" s="291"/>
      <c r="T1323" s="291"/>
      <c r="U1323" s="291"/>
      <c r="V1323" s="291"/>
      <c r="W1323" s="291"/>
      <c r="X1323" s="291"/>
      <c r="Y1323" s="291"/>
      <c r="Z1323" s="291"/>
    </row>
    <row r="1324" spans="3:26" ht="20" thickBot="1" x14ac:dyDescent="0.25">
      <c r="C1324" s="243"/>
      <c r="D1324" s="608">
        <v>45450</v>
      </c>
      <c r="E1324" s="356">
        <v>4.0000000000000001E-3</v>
      </c>
      <c r="F1324" s="356" t="s">
        <v>467</v>
      </c>
      <c r="G1324" s="356">
        <v>2E-3</v>
      </c>
      <c r="H1324" s="292">
        <v>0.52083333333333337</v>
      </c>
      <c r="I1324" s="966"/>
      <c r="J1324" s="966"/>
      <c r="K1324" s="967"/>
      <c r="L1324" s="622">
        <v>0.75</v>
      </c>
      <c r="M1324" s="384"/>
      <c r="N1324" s="243"/>
      <c r="O1324" s="291"/>
      <c r="P1324" s="291"/>
      <c r="Q1324" s="291"/>
      <c r="R1324" s="291"/>
      <c r="S1324" s="291"/>
      <c r="T1324" s="291"/>
      <c r="U1324" s="291"/>
      <c r="V1324" s="291"/>
      <c r="W1324" s="291"/>
      <c r="X1324" s="291"/>
      <c r="Y1324" s="291"/>
      <c r="Z1324" s="291"/>
    </row>
    <row r="1325" spans="3:26" ht="20" thickBot="1" x14ac:dyDescent="0.25">
      <c r="C1325" s="243"/>
      <c r="D1325" s="576" t="s">
        <v>30</v>
      </c>
      <c r="E1325" s="874" t="s">
        <v>1158</v>
      </c>
      <c r="F1325" s="875"/>
      <c r="G1325" s="876"/>
      <c r="H1325" s="242" t="s">
        <v>790</v>
      </c>
      <c r="I1325" s="977" t="s">
        <v>633</v>
      </c>
      <c r="J1325" s="977"/>
      <c r="K1325" s="978"/>
      <c r="L1325" s="616" t="s">
        <v>430</v>
      </c>
      <c r="M1325" s="372" t="s">
        <v>431</v>
      </c>
      <c r="N1325" s="243"/>
      <c r="O1325" s="291"/>
      <c r="P1325" s="291"/>
      <c r="Q1325" s="291"/>
      <c r="R1325" s="291"/>
      <c r="S1325" s="291"/>
      <c r="T1325" s="291"/>
      <c r="U1325" s="291"/>
      <c r="V1325" s="291"/>
      <c r="W1325" s="291"/>
      <c r="X1325" s="291"/>
      <c r="Y1325" s="291"/>
      <c r="Z1325" s="291"/>
    </row>
    <row r="1326" spans="3:26" ht="19" x14ac:dyDescent="0.2">
      <c r="C1326" s="243"/>
      <c r="D1326" s="588" t="s">
        <v>432</v>
      </c>
      <c r="E1326" s="853"/>
      <c r="F1326" s="854"/>
      <c r="G1326" s="855"/>
      <c r="H1326" s="245" t="s">
        <v>794</v>
      </c>
      <c r="I1326" s="962" t="s">
        <v>1159</v>
      </c>
      <c r="J1326" s="962"/>
      <c r="K1326" s="963"/>
      <c r="L1326" s="617"/>
      <c r="M1326" s="374" t="s">
        <v>1158</v>
      </c>
      <c r="N1326" s="243"/>
      <c r="O1326" s="291"/>
      <c r="P1326" s="291"/>
      <c r="Q1326" s="291"/>
      <c r="R1326" s="291"/>
      <c r="S1326" s="291"/>
      <c r="T1326" s="291"/>
      <c r="U1326" s="291"/>
      <c r="V1326" s="291"/>
      <c r="W1326" s="291"/>
      <c r="X1326" s="291"/>
      <c r="Y1326" s="291"/>
      <c r="Z1326" s="291"/>
    </row>
    <row r="1327" spans="3:26" ht="19" x14ac:dyDescent="0.2">
      <c r="C1327" s="243"/>
      <c r="D1327" s="589" t="s">
        <v>433</v>
      </c>
      <c r="E1327" s="868"/>
      <c r="F1327" s="869"/>
      <c r="G1327" s="870"/>
      <c r="H1327" s="245" t="s">
        <v>795</v>
      </c>
      <c r="I1327" s="964"/>
      <c r="J1327" s="964"/>
      <c r="K1327" s="965"/>
      <c r="L1327" s="617"/>
      <c r="M1327" s="375"/>
      <c r="N1327" s="243"/>
      <c r="O1327" s="291"/>
      <c r="P1327" s="291"/>
      <c r="Q1327" s="291"/>
      <c r="R1327" s="291"/>
      <c r="S1327" s="291"/>
      <c r="T1327" s="291"/>
      <c r="U1327" s="291"/>
      <c r="V1327" s="291"/>
      <c r="W1327" s="291"/>
      <c r="X1327" s="291"/>
      <c r="Y1327" s="291"/>
      <c r="Z1327" s="291"/>
    </row>
    <row r="1328" spans="3:26" ht="19" x14ac:dyDescent="0.2">
      <c r="C1328" s="243"/>
      <c r="D1328" s="589" t="s">
        <v>434</v>
      </c>
      <c r="E1328" s="856"/>
      <c r="F1328" s="857"/>
      <c r="G1328" s="858"/>
      <c r="H1328" s="245"/>
      <c r="I1328" s="964"/>
      <c r="J1328" s="964"/>
      <c r="K1328" s="965"/>
      <c r="L1328" s="617"/>
      <c r="M1328" s="375"/>
      <c r="N1328" s="243"/>
      <c r="O1328" s="291"/>
      <c r="P1328" s="291"/>
      <c r="Q1328" s="291"/>
      <c r="R1328" s="291"/>
      <c r="S1328" s="291"/>
      <c r="T1328" s="291"/>
      <c r="U1328" s="291"/>
      <c r="V1328" s="291"/>
      <c r="W1328" s="291"/>
      <c r="X1328" s="291"/>
      <c r="Y1328" s="291"/>
      <c r="Z1328" s="291"/>
    </row>
    <row r="1329" spans="3:26" ht="20" thickBot="1" x14ac:dyDescent="0.25">
      <c r="C1329" s="243"/>
      <c r="D1329" s="590" t="s">
        <v>435</v>
      </c>
      <c r="E1329" s="871">
        <v>0.75</v>
      </c>
      <c r="F1329" s="872"/>
      <c r="G1329" s="873"/>
      <c r="H1329" s="266">
        <v>0.54166666666666663</v>
      </c>
      <c r="I1329" s="964"/>
      <c r="J1329" s="964"/>
      <c r="K1329" s="965"/>
      <c r="L1329" s="618">
        <v>0.97916666666666663</v>
      </c>
      <c r="M1329" s="377">
        <v>0.83333333333333326</v>
      </c>
      <c r="N1329" s="243"/>
      <c r="O1329" s="291"/>
      <c r="P1329" s="291"/>
      <c r="Q1329" s="291"/>
      <c r="R1329" s="291"/>
      <c r="S1329" s="291"/>
      <c r="T1329" s="291"/>
      <c r="U1329" s="291"/>
      <c r="V1329" s="291"/>
      <c r="W1329" s="291"/>
      <c r="X1329" s="291"/>
      <c r="Y1329" s="291"/>
      <c r="Z1329" s="291"/>
    </row>
    <row r="1330" spans="3:26" ht="20" thickBot="1" x14ac:dyDescent="0.25">
      <c r="C1330" s="243"/>
      <c r="D1330" s="591" t="s">
        <v>436</v>
      </c>
      <c r="E1330" s="293" t="s">
        <v>29</v>
      </c>
      <c r="F1330" s="293" t="s">
        <v>28</v>
      </c>
      <c r="G1330" s="294" t="s">
        <v>27</v>
      </c>
      <c r="H1330" s="280" t="s">
        <v>793</v>
      </c>
      <c r="I1330" s="964"/>
      <c r="J1330" s="964"/>
      <c r="K1330" s="965"/>
      <c r="L1330" s="619" t="s">
        <v>1246</v>
      </c>
      <c r="M1330" s="379"/>
      <c r="N1330" s="243"/>
      <c r="O1330" s="291"/>
      <c r="P1330" s="291"/>
      <c r="Q1330" s="291"/>
      <c r="R1330" s="291"/>
      <c r="S1330" s="291"/>
      <c r="T1330" s="291"/>
      <c r="U1330" s="291"/>
      <c r="V1330" s="291"/>
      <c r="W1330" s="291"/>
      <c r="X1330" s="291"/>
      <c r="Y1330" s="291"/>
      <c r="Z1330" s="291"/>
    </row>
    <row r="1331" spans="3:26" ht="19" x14ac:dyDescent="0.2">
      <c r="C1331" s="243"/>
      <c r="D1331" s="592">
        <v>45602</v>
      </c>
      <c r="E1331" s="295">
        <v>4.5999999999999999E-2</v>
      </c>
      <c r="F1331" s="295" t="s">
        <v>754</v>
      </c>
      <c r="G1331" s="295">
        <v>4.2999999999999997E-2</v>
      </c>
      <c r="H1331" s="284">
        <v>0.75</v>
      </c>
      <c r="I1331" s="964"/>
      <c r="J1331" s="964"/>
      <c r="K1331" s="965"/>
      <c r="L1331" s="621">
        <v>0.97916666666666663</v>
      </c>
      <c r="M1331" s="382"/>
      <c r="N1331" s="243"/>
      <c r="O1331" s="291"/>
      <c r="P1331" s="291"/>
      <c r="Q1331" s="291"/>
      <c r="R1331" s="291"/>
      <c r="S1331" s="291"/>
      <c r="T1331" s="291"/>
      <c r="U1331" s="291"/>
      <c r="V1331" s="291"/>
      <c r="W1331" s="291"/>
      <c r="X1331" s="291"/>
      <c r="Y1331" s="291"/>
      <c r="Z1331" s="291"/>
    </row>
    <row r="1332" spans="3:26" ht="19" x14ac:dyDescent="0.2">
      <c r="C1332" s="243"/>
      <c r="D1332" s="592">
        <v>45575</v>
      </c>
      <c r="E1332" s="295">
        <v>4.2999999999999997E-2</v>
      </c>
      <c r="F1332" s="295" t="s">
        <v>754</v>
      </c>
      <c r="G1332" s="295">
        <v>0.04</v>
      </c>
      <c r="H1332" s="284">
        <v>0.70833333333333337</v>
      </c>
      <c r="I1332" s="964"/>
      <c r="J1332" s="964"/>
      <c r="K1332" s="965"/>
      <c r="L1332" s="621">
        <v>0.9375</v>
      </c>
      <c r="M1332" s="383"/>
      <c r="N1332" s="243"/>
      <c r="O1332" s="291"/>
      <c r="P1332" s="291"/>
      <c r="Q1332" s="291"/>
      <c r="R1332" s="291"/>
      <c r="S1332" s="291"/>
      <c r="T1332" s="291"/>
      <c r="U1332" s="291"/>
      <c r="V1332" s="291"/>
      <c r="W1332" s="291"/>
      <c r="X1332" s="291"/>
      <c r="Y1332" s="291"/>
      <c r="Z1332" s="291"/>
    </row>
    <row r="1333" spans="3:26" ht="19" x14ac:dyDescent="0.2">
      <c r="C1333" s="243"/>
      <c r="D1333" s="592">
        <v>45547</v>
      </c>
      <c r="E1333" s="295">
        <v>0.04</v>
      </c>
      <c r="F1333" s="295" t="s">
        <v>754</v>
      </c>
      <c r="G1333" s="295">
        <v>4.2999999999999997E-2</v>
      </c>
      <c r="H1333" s="284">
        <v>0.70833333333333337</v>
      </c>
      <c r="I1333" s="964"/>
      <c r="J1333" s="964"/>
      <c r="K1333" s="965"/>
      <c r="L1333" s="621">
        <v>0.9375</v>
      </c>
      <c r="M1333" s="375"/>
      <c r="N1333" s="243"/>
      <c r="O1333" s="291"/>
      <c r="P1333" s="291"/>
      <c r="Q1333" s="291"/>
      <c r="R1333" s="291"/>
      <c r="S1333" s="291"/>
      <c r="T1333" s="291"/>
      <c r="U1333" s="291"/>
      <c r="V1333" s="291"/>
      <c r="W1333" s="291"/>
      <c r="X1333" s="291"/>
      <c r="Y1333" s="291"/>
      <c r="Z1333" s="291"/>
    </row>
    <row r="1334" spans="3:26" ht="19" x14ac:dyDescent="0.2">
      <c r="C1334" s="243"/>
      <c r="D1334" s="592">
        <v>45512</v>
      </c>
      <c r="E1334" s="295">
        <v>4.2999999999999997E-2</v>
      </c>
      <c r="F1334" s="295" t="s">
        <v>754</v>
      </c>
      <c r="G1334" s="295">
        <v>4.3999999999999997E-2</v>
      </c>
      <c r="H1334" s="284">
        <v>0.70833333333333337</v>
      </c>
      <c r="I1334" s="964"/>
      <c r="J1334" s="964"/>
      <c r="K1334" s="965"/>
      <c r="L1334" s="621">
        <v>0.9375</v>
      </c>
      <c r="M1334" s="375"/>
      <c r="N1334" s="243"/>
      <c r="O1334" s="291"/>
      <c r="P1334" s="291"/>
      <c r="Q1334" s="291"/>
      <c r="R1334" s="291"/>
      <c r="S1334" s="291"/>
      <c r="T1334" s="291"/>
      <c r="U1334" s="291"/>
      <c r="V1334" s="291"/>
      <c r="W1334" s="291"/>
      <c r="X1334" s="291"/>
      <c r="Y1334" s="291"/>
      <c r="Z1334" s="291"/>
    </row>
    <row r="1335" spans="3:26" ht="19" x14ac:dyDescent="0.2">
      <c r="C1335" s="243"/>
      <c r="D1335" s="592">
        <v>45484</v>
      </c>
      <c r="E1335" s="295">
        <v>4.3999999999999997E-2</v>
      </c>
      <c r="F1335" s="295" t="s">
        <v>754</v>
      </c>
      <c r="G1335" s="295">
        <v>4.3999999999999997E-2</v>
      </c>
      <c r="H1335" s="284">
        <v>0.70833333333333337</v>
      </c>
      <c r="I1335" s="964"/>
      <c r="J1335" s="964"/>
      <c r="K1335" s="965"/>
      <c r="L1335" s="621">
        <v>0.9375</v>
      </c>
      <c r="M1335" s="375"/>
      <c r="N1335" s="243"/>
      <c r="O1335" s="291"/>
      <c r="P1335" s="291"/>
      <c r="Q1335" s="291"/>
      <c r="R1335" s="291"/>
      <c r="S1335" s="291"/>
      <c r="T1335" s="291"/>
      <c r="U1335" s="291"/>
      <c r="V1335" s="291"/>
      <c r="W1335" s="291"/>
      <c r="X1335" s="291"/>
      <c r="Y1335" s="291"/>
      <c r="Z1335" s="291"/>
    </row>
    <row r="1336" spans="3:26" ht="20" thickBot="1" x14ac:dyDescent="0.25">
      <c r="C1336" s="243"/>
      <c r="D1336" s="608">
        <v>45456</v>
      </c>
      <c r="E1336" s="356">
        <v>4.3999999999999997E-2</v>
      </c>
      <c r="F1336" s="356" t="s">
        <v>754</v>
      </c>
      <c r="G1336" s="356">
        <v>4.5999999999999999E-2</v>
      </c>
      <c r="H1336" s="292">
        <v>0.70833333333333337</v>
      </c>
      <c r="I1336" s="966"/>
      <c r="J1336" s="966"/>
      <c r="K1336" s="967"/>
      <c r="L1336" s="622">
        <v>0.9375</v>
      </c>
      <c r="M1336" s="384"/>
      <c r="N1336" s="243"/>
      <c r="O1336" s="291"/>
      <c r="P1336" s="291"/>
      <c r="Q1336" s="291"/>
      <c r="R1336" s="291"/>
      <c r="S1336" s="291"/>
      <c r="T1336" s="291"/>
      <c r="U1336" s="291"/>
      <c r="V1336" s="291"/>
      <c r="W1336" s="291"/>
      <c r="X1336" s="291"/>
      <c r="Y1336" s="291"/>
      <c r="Z1336" s="291"/>
    </row>
    <row r="1337" spans="3:26" ht="20" thickBot="1" x14ac:dyDescent="0.25">
      <c r="C1337" s="241">
        <v>12</v>
      </c>
      <c r="D1337" s="576" t="s">
        <v>30</v>
      </c>
      <c r="E1337" s="874" t="s">
        <v>1160</v>
      </c>
      <c r="F1337" s="875"/>
      <c r="G1337" s="876"/>
      <c r="H1337" s="242" t="s">
        <v>790</v>
      </c>
      <c r="I1337" s="977" t="s">
        <v>633</v>
      </c>
      <c r="J1337" s="977"/>
      <c r="K1337" s="978"/>
      <c r="L1337" s="616" t="s">
        <v>430</v>
      </c>
      <c r="M1337" s="372" t="s">
        <v>431</v>
      </c>
      <c r="N1337" s="243" t="s">
        <v>105</v>
      </c>
      <c r="O1337" s="244" t="s">
        <v>800</v>
      </c>
      <c r="P1337" s="244" t="s">
        <v>801</v>
      </c>
      <c r="Q1337" s="244" t="s">
        <v>802</v>
      </c>
      <c r="R1337" s="244" t="s">
        <v>803</v>
      </c>
      <c r="S1337" s="244" t="s">
        <v>804</v>
      </c>
      <c r="T1337" s="244" t="s">
        <v>805</v>
      </c>
      <c r="U1337" s="244" t="s">
        <v>806</v>
      </c>
      <c r="V1337" s="244" t="s">
        <v>807</v>
      </c>
      <c r="W1337" s="244" t="s">
        <v>808</v>
      </c>
      <c r="X1337" s="244" t="s">
        <v>809</v>
      </c>
      <c r="Y1337" s="244" t="s">
        <v>75</v>
      </c>
      <c r="Z1337" s="244" t="s">
        <v>75</v>
      </c>
    </row>
    <row r="1338" spans="3:26" ht="19" x14ac:dyDescent="0.2">
      <c r="C1338" s="243"/>
      <c r="D1338" s="588" t="s">
        <v>432</v>
      </c>
      <c r="E1338" s="853"/>
      <c r="F1338" s="854"/>
      <c r="G1338" s="855"/>
      <c r="H1338" s="245" t="s">
        <v>947</v>
      </c>
      <c r="I1338" s="962" t="s">
        <v>1161</v>
      </c>
      <c r="J1338" s="962"/>
      <c r="K1338" s="963"/>
      <c r="L1338" s="617"/>
      <c r="M1338" s="374" t="s">
        <v>1160</v>
      </c>
      <c r="N1338" s="243"/>
      <c r="O1338" s="246" t="s">
        <v>810</v>
      </c>
      <c r="P1338" s="247">
        <v>0.1</v>
      </c>
      <c r="Q1338" s="248">
        <v>3.4000000000000002E-2</v>
      </c>
      <c r="R1338" s="249">
        <v>1.5000000000014779E-2</v>
      </c>
      <c r="S1338" s="250"/>
      <c r="T1338" s="246">
        <v>6.6000000000014783E-2</v>
      </c>
      <c r="U1338" s="248">
        <v>-16.5</v>
      </c>
      <c r="V1338" s="247">
        <v>60.5</v>
      </c>
      <c r="W1338" s="251">
        <v>2</v>
      </c>
      <c r="X1338" s="252">
        <v>33</v>
      </c>
      <c r="Y1338" s="250"/>
      <c r="Z1338" s="250"/>
    </row>
    <row r="1339" spans="3:26" ht="19" x14ac:dyDescent="0.2">
      <c r="C1339" s="243"/>
      <c r="D1339" s="589" t="s">
        <v>433</v>
      </c>
      <c r="E1339" s="868"/>
      <c r="F1339" s="869"/>
      <c r="G1339" s="870"/>
      <c r="H1339" s="245" t="s">
        <v>908</v>
      </c>
      <c r="I1339" s="964"/>
      <c r="J1339" s="964"/>
      <c r="K1339" s="965"/>
      <c r="L1339" s="617"/>
      <c r="M1339" s="375"/>
      <c r="N1339" s="243"/>
      <c r="O1339" s="243"/>
      <c r="P1339" s="243"/>
      <c r="Q1339" s="243"/>
      <c r="R1339" s="253"/>
      <c r="S1339" s="254"/>
      <c r="T1339" s="243"/>
      <c r="U1339" s="243"/>
      <c r="V1339" s="243"/>
      <c r="W1339" s="243"/>
      <c r="X1339" s="254"/>
      <c r="Y1339" s="255"/>
      <c r="Z1339" s="255"/>
    </row>
    <row r="1340" spans="3:26" ht="19" x14ac:dyDescent="0.2">
      <c r="C1340" s="243"/>
      <c r="D1340" s="589" t="s">
        <v>434</v>
      </c>
      <c r="E1340" s="868">
        <v>-1E-3</v>
      </c>
      <c r="F1340" s="869"/>
      <c r="G1340" s="870"/>
      <c r="H1340" s="245"/>
      <c r="I1340" s="964"/>
      <c r="J1340" s="964"/>
      <c r="K1340" s="965"/>
      <c r="L1340" s="617"/>
      <c r="M1340" s="375"/>
      <c r="N1340" s="243"/>
      <c r="O1340" s="256" t="s">
        <v>811</v>
      </c>
      <c r="P1340" s="257">
        <v>0.05</v>
      </c>
      <c r="Q1340" s="258">
        <v>8.9800000000000005E-2</v>
      </c>
      <c r="R1340" s="259">
        <v>1.9E-2</v>
      </c>
      <c r="S1340" s="299">
        <v>1</v>
      </c>
      <c r="T1340" s="256">
        <v>0.1537</v>
      </c>
      <c r="U1340" s="261">
        <v>-19.212499999995696</v>
      </c>
      <c r="V1340" s="262">
        <v>30.25</v>
      </c>
      <c r="W1340" s="300">
        <v>6.2</v>
      </c>
      <c r="X1340" s="264">
        <v>119.11749999997332</v>
      </c>
      <c r="Y1340" s="265"/>
      <c r="Z1340" s="265"/>
    </row>
    <row r="1341" spans="3:26" ht="20" thickBot="1" x14ac:dyDescent="0.25">
      <c r="C1341" s="243"/>
      <c r="D1341" s="590" t="s">
        <v>435</v>
      </c>
      <c r="E1341" s="871">
        <v>0.29166666666666674</v>
      </c>
      <c r="F1341" s="872"/>
      <c r="G1341" s="873"/>
      <c r="H1341" s="266">
        <v>8.3333333333333398E-2</v>
      </c>
      <c r="I1341" s="964"/>
      <c r="J1341" s="964"/>
      <c r="K1341" s="965"/>
      <c r="L1341" s="618">
        <v>0.52083333333333337</v>
      </c>
      <c r="M1341" s="377">
        <v>0.375</v>
      </c>
      <c r="N1341" s="243"/>
      <c r="O1341" s="267" t="s">
        <v>812</v>
      </c>
      <c r="P1341" s="268">
        <v>0.05</v>
      </c>
      <c r="Q1341" s="269">
        <v>0.13186666666666666</v>
      </c>
      <c r="R1341" s="270">
        <v>1.9E-2</v>
      </c>
      <c r="S1341" s="301">
        <v>1</v>
      </c>
      <c r="T1341" s="272">
        <v>0.21679999999999999</v>
      </c>
      <c r="U1341" s="273">
        <v>-27.099999999993926</v>
      </c>
      <c r="V1341" s="274">
        <v>30.25</v>
      </c>
      <c r="W1341" s="302">
        <v>5.29</v>
      </c>
      <c r="X1341" s="276">
        <v>143.35899999996786</v>
      </c>
      <c r="Y1341" s="277"/>
      <c r="Z1341" s="277"/>
    </row>
    <row r="1342" spans="3:26" ht="20" thickBot="1" x14ac:dyDescent="0.25">
      <c r="C1342" s="243"/>
      <c r="D1342" s="591" t="s">
        <v>436</v>
      </c>
      <c r="E1342" s="293" t="s">
        <v>29</v>
      </c>
      <c r="F1342" s="293" t="s">
        <v>28</v>
      </c>
      <c r="G1342" s="294" t="s">
        <v>27</v>
      </c>
      <c r="H1342" s="280" t="s">
        <v>793</v>
      </c>
      <c r="I1342" s="964"/>
      <c r="J1342" s="964"/>
      <c r="K1342" s="965"/>
      <c r="L1342" s="619" t="s">
        <v>1246</v>
      </c>
      <c r="M1342" s="379"/>
      <c r="N1342" s="243"/>
      <c r="O1342" s="254"/>
      <c r="P1342" s="255"/>
      <c r="Q1342" s="254"/>
      <c r="R1342" s="254"/>
      <c r="S1342" s="303"/>
      <c r="T1342" s="254"/>
      <c r="U1342" s="281"/>
      <c r="V1342" s="282"/>
      <c r="W1342" s="304"/>
      <c r="X1342" s="281"/>
      <c r="Y1342" s="255"/>
      <c r="Z1342" s="255"/>
    </row>
    <row r="1343" spans="3:26" ht="19" x14ac:dyDescent="0.2">
      <c r="C1343" s="243"/>
      <c r="D1343" s="592">
        <v>45597</v>
      </c>
      <c r="E1343" s="353" t="s">
        <v>1233</v>
      </c>
      <c r="F1343" s="353" t="s">
        <v>1234</v>
      </c>
      <c r="G1343" s="353" t="s">
        <v>973</v>
      </c>
      <c r="H1343" s="284">
        <v>0.29166666666666669</v>
      </c>
      <c r="I1343" s="964"/>
      <c r="J1343" s="964"/>
      <c r="K1343" s="965"/>
      <c r="L1343" s="621">
        <v>0.75</v>
      </c>
      <c r="M1343" s="392">
        <v>0.52083333333333337</v>
      </c>
      <c r="N1343" s="243"/>
      <c r="O1343" s="254"/>
      <c r="P1343" s="255"/>
      <c r="Q1343" s="254"/>
      <c r="R1343" s="254"/>
      <c r="S1343" s="303"/>
      <c r="T1343" s="254"/>
      <c r="U1343" s="254"/>
      <c r="V1343" s="254"/>
      <c r="W1343" s="304"/>
      <c r="X1343" s="254"/>
      <c r="Y1343" s="255"/>
      <c r="Z1343" s="255"/>
    </row>
    <row r="1344" spans="3:26" ht="19" x14ac:dyDescent="0.2">
      <c r="C1344" s="243"/>
      <c r="D1344" s="592">
        <v>45569</v>
      </c>
      <c r="E1344" s="353" t="s">
        <v>1235</v>
      </c>
      <c r="F1344" s="353" t="s">
        <v>1202</v>
      </c>
      <c r="G1344" s="353" t="s">
        <v>1194</v>
      </c>
      <c r="H1344" s="284">
        <v>0.25</v>
      </c>
      <c r="I1344" s="964"/>
      <c r="J1344" s="964"/>
      <c r="K1344" s="965"/>
      <c r="L1344" s="621">
        <v>0.75</v>
      </c>
      <c r="M1344" s="392">
        <v>0.52083333333333337</v>
      </c>
      <c r="N1344" s="243"/>
      <c r="O1344" s="246" t="s">
        <v>813</v>
      </c>
      <c r="P1344" s="354">
        <v>0.05</v>
      </c>
      <c r="Q1344" s="285">
        <v>0.11083333333333334</v>
      </c>
      <c r="R1344" s="286">
        <v>1.9E-2</v>
      </c>
      <c r="S1344" s="305">
        <v>1</v>
      </c>
      <c r="T1344" s="256">
        <v>0.18525</v>
      </c>
      <c r="U1344" s="287">
        <v>-23.156249999994813</v>
      </c>
      <c r="V1344" s="288">
        <v>30.25</v>
      </c>
      <c r="W1344" s="307">
        <v>4</v>
      </c>
      <c r="X1344" s="252">
        <v>92.624999999979252</v>
      </c>
      <c r="Y1344" s="289"/>
      <c r="Z1344" s="289"/>
    </row>
    <row r="1345" spans="2:26" ht="19" x14ac:dyDescent="0.2">
      <c r="C1345" s="243"/>
      <c r="D1345" s="592">
        <v>45541</v>
      </c>
      <c r="E1345" s="353" t="s">
        <v>1236</v>
      </c>
      <c r="F1345" s="353" t="s">
        <v>1237</v>
      </c>
      <c r="G1345" s="353" t="s">
        <v>615</v>
      </c>
      <c r="H1345" s="284">
        <v>0.25</v>
      </c>
      <c r="I1345" s="964"/>
      <c r="J1345" s="964"/>
      <c r="K1345" s="965"/>
      <c r="L1345" s="621">
        <v>0.75</v>
      </c>
      <c r="M1345" s="392">
        <v>0.52083333333333337</v>
      </c>
      <c r="N1345" s="243"/>
      <c r="O1345" s="246" t="s">
        <v>813</v>
      </c>
      <c r="P1345" s="395">
        <v>0.05</v>
      </c>
      <c r="Q1345" s="396">
        <v>0.11083333333333334</v>
      </c>
      <c r="R1345" s="286">
        <v>1.9E-2</v>
      </c>
      <c r="S1345" s="397">
        <v>1</v>
      </c>
      <c r="T1345" s="256">
        <v>0.18525</v>
      </c>
      <c r="U1345" s="287">
        <v>-23.156249999994813</v>
      </c>
      <c r="V1345" s="288">
        <v>30.25</v>
      </c>
      <c r="W1345" s="307">
        <v>4</v>
      </c>
      <c r="X1345" s="252">
        <v>92.624999999979252</v>
      </c>
      <c r="Y1345" s="250" t="s">
        <v>814</v>
      </c>
      <c r="Z1345" s="289"/>
    </row>
    <row r="1346" spans="2:26" ht="19" x14ac:dyDescent="0.2">
      <c r="C1346" s="243"/>
      <c r="D1346" s="592">
        <v>45506</v>
      </c>
      <c r="E1346" s="353" t="s">
        <v>1238</v>
      </c>
      <c r="F1346" s="353" t="s">
        <v>1239</v>
      </c>
      <c r="G1346" s="353" t="s">
        <v>1240</v>
      </c>
      <c r="H1346" s="284">
        <v>0.25</v>
      </c>
      <c r="I1346" s="964"/>
      <c r="J1346" s="964"/>
      <c r="K1346" s="965"/>
      <c r="L1346" s="621">
        <v>0.75</v>
      </c>
      <c r="M1346" s="392">
        <v>0.52083333333333337</v>
      </c>
      <c r="N1346" s="243"/>
      <c r="O1346" s="246"/>
      <c r="P1346" s="290"/>
      <c r="Q1346" s="285"/>
      <c r="R1346" s="286"/>
      <c r="S1346" s="250"/>
      <c r="T1346" s="290"/>
      <c r="U1346" s="287"/>
      <c r="V1346" s="288"/>
      <c r="W1346" s="250"/>
      <c r="X1346" s="252"/>
      <c r="Y1346" s="289"/>
      <c r="Z1346" s="289"/>
    </row>
    <row r="1347" spans="2:26" ht="19" x14ac:dyDescent="0.2">
      <c r="C1347" s="243"/>
      <c r="D1347" s="592">
        <v>45478</v>
      </c>
      <c r="E1347" s="353" t="s">
        <v>1241</v>
      </c>
      <c r="F1347" s="353" t="s">
        <v>1242</v>
      </c>
      <c r="G1347" s="353" t="s">
        <v>974</v>
      </c>
      <c r="H1347" s="284">
        <v>0.25</v>
      </c>
      <c r="I1347" s="964"/>
      <c r="J1347" s="964"/>
      <c r="K1347" s="965"/>
      <c r="L1347" s="621">
        <v>0.75</v>
      </c>
      <c r="M1347" s="392">
        <v>0.52083333333333337</v>
      </c>
      <c r="N1347" s="243"/>
      <c r="O1347" s="291"/>
      <c r="P1347" s="291"/>
      <c r="Q1347" s="291"/>
      <c r="R1347" s="291"/>
      <c r="S1347" s="291"/>
      <c r="T1347" s="291"/>
      <c r="U1347" s="291"/>
      <c r="V1347" s="291"/>
      <c r="W1347" s="291"/>
      <c r="X1347" s="291"/>
      <c r="Y1347" s="291"/>
      <c r="Z1347" s="291"/>
    </row>
    <row r="1348" spans="2:26" ht="20" thickBot="1" x14ac:dyDescent="0.25">
      <c r="C1348" s="243"/>
      <c r="D1348" s="608">
        <v>45450</v>
      </c>
      <c r="E1348" s="355" t="s">
        <v>1243</v>
      </c>
      <c r="F1348" s="355" t="s">
        <v>1244</v>
      </c>
      <c r="G1348" s="355" t="s">
        <v>1245</v>
      </c>
      <c r="H1348" s="284">
        <v>0.25</v>
      </c>
      <c r="I1348" s="966"/>
      <c r="J1348" s="966"/>
      <c r="K1348" s="967"/>
      <c r="L1348" s="622">
        <v>0.75</v>
      </c>
      <c r="M1348" s="392">
        <v>0.52083333333333337</v>
      </c>
      <c r="N1348" s="243"/>
      <c r="O1348" s="291"/>
      <c r="P1348" s="291"/>
      <c r="Q1348" s="291"/>
      <c r="R1348" s="291"/>
      <c r="S1348" s="291"/>
      <c r="T1348" s="291"/>
      <c r="U1348" s="291"/>
      <c r="V1348" s="291"/>
      <c r="W1348" s="291"/>
      <c r="X1348" s="291"/>
      <c r="Y1348" s="291"/>
      <c r="Z1348" s="291"/>
    </row>
    <row r="1349" spans="2:26" ht="22" customHeight="1" thickBot="1" x14ac:dyDescent="0.25">
      <c r="B1349" t="s">
        <v>105</v>
      </c>
      <c r="C1349" s="241">
        <v>1</v>
      </c>
      <c r="D1349" s="576" t="s">
        <v>30</v>
      </c>
      <c r="E1349" s="874" t="s">
        <v>1250</v>
      </c>
      <c r="F1349" s="875"/>
      <c r="G1349" s="876"/>
      <c r="H1349" s="242" t="s">
        <v>790</v>
      </c>
      <c r="I1349" s="977" t="s">
        <v>633</v>
      </c>
      <c r="J1349" s="977"/>
      <c r="K1349" s="978"/>
      <c r="L1349" s="616" t="s">
        <v>430</v>
      </c>
      <c r="M1349" s="372" t="s">
        <v>431</v>
      </c>
      <c r="N1349" s="243" t="s">
        <v>105</v>
      </c>
      <c r="O1349" s="244" t="s">
        <v>800</v>
      </c>
      <c r="P1349" s="244" t="s">
        <v>801</v>
      </c>
      <c r="Q1349" s="244" t="s">
        <v>802</v>
      </c>
      <c r="R1349" s="244" t="s">
        <v>803</v>
      </c>
      <c r="S1349" s="244" t="s">
        <v>804</v>
      </c>
      <c r="T1349" s="244" t="s">
        <v>805</v>
      </c>
      <c r="U1349" s="244" t="s">
        <v>806</v>
      </c>
      <c r="V1349" s="244" t="s">
        <v>807</v>
      </c>
      <c r="W1349" s="244" t="s">
        <v>808</v>
      </c>
      <c r="X1349" s="244" t="s">
        <v>809</v>
      </c>
      <c r="Y1349" s="244" t="s">
        <v>75</v>
      </c>
      <c r="Z1349" s="244" t="s">
        <v>75</v>
      </c>
    </row>
    <row r="1350" spans="2:26" ht="19" x14ac:dyDescent="0.2">
      <c r="C1350" s="241"/>
      <c r="D1350" s="578" t="s">
        <v>432</v>
      </c>
      <c r="E1350" s="805"/>
      <c r="F1350" s="806"/>
      <c r="G1350" s="807"/>
      <c r="H1350" s="245" t="s">
        <v>794</v>
      </c>
      <c r="I1350" s="962" t="s">
        <v>1251</v>
      </c>
      <c r="J1350" s="962"/>
      <c r="K1350" s="963"/>
      <c r="L1350" s="617"/>
      <c r="M1350" s="374" t="s">
        <v>1250</v>
      </c>
      <c r="N1350" s="243"/>
      <c r="O1350" s="246" t="s">
        <v>810</v>
      </c>
      <c r="P1350" s="247">
        <v>0.1</v>
      </c>
      <c r="Q1350" s="248">
        <v>1.7999999999999999E-2</v>
      </c>
      <c r="R1350" s="249">
        <v>1.6999999999995907E-2</v>
      </c>
      <c r="S1350" s="250"/>
      <c r="T1350" s="246">
        <v>4.3999999999995903E-2</v>
      </c>
      <c r="U1350" s="248">
        <v>-10.6</v>
      </c>
      <c r="V1350" s="247">
        <v>60.5</v>
      </c>
      <c r="W1350" s="251">
        <v>2</v>
      </c>
      <c r="X1350" s="252">
        <v>21.2</v>
      </c>
      <c r="Y1350" s="250"/>
      <c r="Z1350" s="250"/>
    </row>
    <row r="1351" spans="2:26" ht="23" x14ac:dyDescent="0.2">
      <c r="C1351" s="241"/>
      <c r="D1351" s="580" t="s">
        <v>433</v>
      </c>
      <c r="E1351" s="785">
        <v>49.4</v>
      </c>
      <c r="F1351" s="786"/>
      <c r="G1351" s="787"/>
      <c r="H1351" s="245" t="s">
        <v>795</v>
      </c>
      <c r="I1351" s="964"/>
      <c r="J1351" s="964"/>
      <c r="K1351" s="965"/>
      <c r="L1351" s="617"/>
      <c r="M1351" s="375"/>
      <c r="N1351" s="243"/>
      <c r="O1351" s="243"/>
      <c r="P1351" s="243"/>
      <c r="Q1351" s="243"/>
      <c r="R1351" s="253"/>
      <c r="S1351" s="254"/>
      <c r="T1351" s="243"/>
      <c r="U1351" s="243"/>
      <c r="V1351" s="243"/>
      <c r="W1351" s="254"/>
      <c r="X1351" s="254"/>
      <c r="Y1351" s="255"/>
      <c r="Z1351" s="255"/>
    </row>
    <row r="1352" spans="2:26" ht="23" x14ac:dyDescent="0.2">
      <c r="C1352" s="241"/>
      <c r="D1352" s="580" t="s">
        <v>434</v>
      </c>
      <c r="E1352" s="785">
        <v>49.7</v>
      </c>
      <c r="F1352" s="786"/>
      <c r="G1352" s="787"/>
      <c r="H1352" s="245"/>
      <c r="I1352" s="964"/>
      <c r="J1352" s="964"/>
      <c r="K1352" s="965"/>
      <c r="L1352" s="617"/>
      <c r="M1352" s="375"/>
      <c r="N1352" s="243"/>
      <c r="O1352" s="256" t="s">
        <v>811</v>
      </c>
      <c r="P1352" s="257">
        <v>0.04</v>
      </c>
      <c r="Q1352" s="258">
        <v>6.1100000000000002E-2</v>
      </c>
      <c r="R1352" s="259">
        <v>2.8000000000000001E-2</v>
      </c>
      <c r="S1352" s="260">
        <v>1.5</v>
      </c>
      <c r="T1352" s="256">
        <v>0.11965000000000001</v>
      </c>
      <c r="U1352" s="261">
        <v>-17.294863636365246</v>
      </c>
      <c r="V1352" s="262">
        <v>24.2</v>
      </c>
      <c r="W1352" s="263">
        <v>7.2</v>
      </c>
      <c r="X1352" s="264">
        <v>124.52301818182977</v>
      </c>
      <c r="Y1352" s="265"/>
      <c r="Z1352" s="265"/>
    </row>
    <row r="1353" spans="2:26" ht="24" thickBot="1" x14ac:dyDescent="0.25">
      <c r="C1353" s="241"/>
      <c r="D1353" s="581" t="s">
        <v>435</v>
      </c>
      <c r="E1353" s="778">
        <v>0.61458333333333337</v>
      </c>
      <c r="F1353" s="779"/>
      <c r="G1353" s="780"/>
      <c r="H1353" s="266"/>
      <c r="I1353" s="964"/>
      <c r="J1353" s="964"/>
      <c r="K1353" s="965"/>
      <c r="L1353" s="618">
        <v>0.84375</v>
      </c>
      <c r="M1353" s="377">
        <v>0.69791666666666663</v>
      </c>
      <c r="N1353" s="243"/>
      <c r="O1353" s="267" t="s">
        <v>812</v>
      </c>
      <c r="P1353" s="268">
        <v>0.04</v>
      </c>
      <c r="Q1353" s="269">
        <v>6.3200000000000006E-2</v>
      </c>
      <c r="R1353" s="270">
        <v>2.8000000000000001E-2</v>
      </c>
      <c r="S1353" s="271">
        <v>1.5</v>
      </c>
      <c r="T1353" s="272">
        <v>0.12280000000000001</v>
      </c>
      <c r="U1353" s="273">
        <v>-17.750181818183471</v>
      </c>
      <c r="V1353" s="274">
        <v>24.2</v>
      </c>
      <c r="W1353" s="275">
        <v>3.62</v>
      </c>
      <c r="X1353" s="276">
        <v>64.25565818182416</v>
      </c>
      <c r="Y1353" s="277"/>
      <c r="Z1353" s="277"/>
    </row>
    <row r="1354" spans="2:26" ht="25" thickBot="1" x14ac:dyDescent="0.25">
      <c r="C1354" s="241"/>
      <c r="D1354" s="583" t="s">
        <v>436</v>
      </c>
      <c r="E1354" s="212" t="s">
        <v>29</v>
      </c>
      <c r="F1354" s="212" t="s">
        <v>28</v>
      </c>
      <c r="G1354" s="213" t="s">
        <v>27</v>
      </c>
      <c r="H1354" s="280" t="s">
        <v>793</v>
      </c>
      <c r="I1354" s="964"/>
      <c r="J1354" s="964"/>
      <c r="K1354" s="965"/>
      <c r="L1354" s="619" t="s">
        <v>1246</v>
      </c>
      <c r="M1354" s="379"/>
      <c r="N1354" s="243"/>
      <c r="O1354" s="254"/>
      <c r="P1354" s="255"/>
      <c r="Q1354" s="254"/>
      <c r="R1354" s="254"/>
      <c r="S1354" s="254"/>
      <c r="T1354" s="254"/>
      <c r="U1354" s="281"/>
      <c r="V1354" s="282"/>
      <c r="W1354" s="254"/>
      <c r="X1354" s="281"/>
      <c r="Y1354" s="255"/>
      <c r="Z1354" s="255"/>
    </row>
    <row r="1355" spans="2:26" ht="24" x14ac:dyDescent="0.2">
      <c r="C1355" s="241"/>
      <c r="D1355" s="585">
        <v>45628</v>
      </c>
      <c r="E1355" s="240">
        <v>49.7</v>
      </c>
      <c r="F1355" s="240" t="s">
        <v>510</v>
      </c>
      <c r="G1355" s="240">
        <v>48.5</v>
      </c>
      <c r="H1355" s="284">
        <v>0.61458333333333337</v>
      </c>
      <c r="I1355" s="964"/>
      <c r="J1355" s="964"/>
      <c r="K1355" s="965"/>
      <c r="L1355" s="621"/>
      <c r="M1355" s="382"/>
      <c r="N1355" s="243"/>
      <c r="O1355" s="254"/>
      <c r="P1355" s="255"/>
      <c r="Q1355" s="254"/>
      <c r="R1355" s="254"/>
      <c r="S1355" s="254"/>
      <c r="T1355" s="254"/>
      <c r="U1355" s="254"/>
      <c r="V1355" s="254"/>
      <c r="W1355" s="254"/>
      <c r="X1355" s="254"/>
      <c r="Y1355" s="255"/>
      <c r="Z1355" s="255"/>
    </row>
    <row r="1356" spans="2:26" ht="24" x14ac:dyDescent="0.2">
      <c r="C1356" s="241"/>
      <c r="D1356" s="585">
        <v>45618</v>
      </c>
      <c r="E1356" s="240">
        <v>48.8</v>
      </c>
      <c r="F1356" s="240" t="s">
        <v>510</v>
      </c>
      <c r="G1356" s="240">
        <v>48.5</v>
      </c>
      <c r="H1356" s="284">
        <v>0.61458333333333337</v>
      </c>
      <c r="I1356" s="964"/>
      <c r="J1356" s="964"/>
      <c r="K1356" s="965"/>
      <c r="L1356" s="621"/>
      <c r="M1356" s="383"/>
      <c r="N1356" s="243"/>
      <c r="O1356" s="246" t="s">
        <v>813</v>
      </c>
      <c r="P1356" s="247">
        <v>0.04</v>
      </c>
      <c r="Q1356" s="285">
        <v>6.2150000000000004E-2</v>
      </c>
      <c r="R1356" s="286">
        <v>2.8000000000000001E-2</v>
      </c>
      <c r="S1356" s="250">
        <v>1.5</v>
      </c>
      <c r="T1356" s="256">
        <v>0.121225</v>
      </c>
      <c r="U1356" s="287">
        <v>-17.522522727274357</v>
      </c>
      <c r="V1356" s="288">
        <v>24.2</v>
      </c>
      <c r="W1356" s="250">
        <v>2</v>
      </c>
      <c r="X1356" s="252">
        <v>35.045045454548713</v>
      </c>
      <c r="Y1356" s="289"/>
      <c r="Z1356" s="289"/>
    </row>
    <row r="1357" spans="2:26" ht="24" x14ac:dyDescent="0.2">
      <c r="C1357" s="241"/>
      <c r="D1357" s="585">
        <v>45597</v>
      </c>
      <c r="E1357" s="240">
        <v>48.5</v>
      </c>
      <c r="F1357" s="240" t="s">
        <v>1054</v>
      </c>
      <c r="G1357" s="240">
        <v>47.8</v>
      </c>
      <c r="H1357" s="284">
        <v>0.57291666666666663</v>
      </c>
      <c r="I1357" s="964"/>
      <c r="J1357" s="964"/>
      <c r="K1357" s="965"/>
      <c r="L1357" s="621"/>
      <c r="M1357" s="375"/>
      <c r="N1357" s="243"/>
      <c r="O1357" s="246" t="s">
        <v>813</v>
      </c>
      <c r="P1357" s="247">
        <v>-0.04</v>
      </c>
      <c r="Q1357" s="285">
        <v>6.2150000000000004E-2</v>
      </c>
      <c r="R1357" s="286">
        <v>2.8000000000000001E-2</v>
      </c>
      <c r="S1357" s="250">
        <v>-1.5</v>
      </c>
      <c r="T1357" s="256">
        <v>0.121225</v>
      </c>
      <c r="U1357" s="287">
        <v>-17.522522727274357</v>
      </c>
      <c r="V1357" s="288">
        <v>-24.2</v>
      </c>
      <c r="W1357" s="250">
        <v>2</v>
      </c>
      <c r="X1357" s="252">
        <v>35.045045454548713</v>
      </c>
      <c r="Y1357" s="289"/>
      <c r="Z1357" s="289"/>
    </row>
    <row r="1358" spans="2:26" ht="24" x14ac:dyDescent="0.2">
      <c r="C1358" s="241"/>
      <c r="D1358" s="585">
        <v>45589</v>
      </c>
      <c r="E1358" s="240">
        <v>47.8</v>
      </c>
      <c r="F1358" s="240" t="s">
        <v>509</v>
      </c>
      <c r="G1358" s="240">
        <v>47.3</v>
      </c>
      <c r="H1358" s="284">
        <v>0.57291666666666663</v>
      </c>
      <c r="I1358" s="964"/>
      <c r="J1358" s="964"/>
      <c r="K1358" s="965"/>
      <c r="L1358" s="621"/>
      <c r="M1358" s="375"/>
      <c r="N1358" s="243"/>
      <c r="O1358" s="246"/>
      <c r="P1358" s="290"/>
      <c r="Q1358" s="285"/>
      <c r="R1358" s="286"/>
      <c r="S1358" s="250"/>
      <c r="T1358" s="290"/>
      <c r="U1358" s="287"/>
      <c r="V1358" s="288"/>
      <c r="W1358" s="250"/>
      <c r="X1358" s="252"/>
      <c r="Y1358" s="289"/>
      <c r="Z1358" s="289"/>
    </row>
    <row r="1359" spans="2:26" ht="24" x14ac:dyDescent="0.2">
      <c r="C1359" s="241"/>
      <c r="D1359" s="585">
        <v>45566</v>
      </c>
      <c r="E1359" s="240">
        <v>47.3</v>
      </c>
      <c r="F1359" s="240" t="s">
        <v>758</v>
      </c>
      <c r="G1359" s="240">
        <v>47.9</v>
      </c>
      <c r="H1359" s="284">
        <v>0.57291666666666663</v>
      </c>
      <c r="I1359" s="964"/>
      <c r="J1359" s="964"/>
      <c r="K1359" s="965"/>
      <c r="L1359" s="621"/>
      <c r="M1359" s="375"/>
      <c r="N1359" s="243"/>
      <c r="O1359" s="291"/>
      <c r="P1359" s="291"/>
      <c r="Q1359" s="291"/>
      <c r="R1359" s="291"/>
      <c r="S1359" s="291"/>
      <c r="T1359" s="291"/>
      <c r="U1359" s="291"/>
      <c r="V1359" s="291"/>
      <c r="W1359" s="291"/>
      <c r="X1359" s="291"/>
      <c r="Y1359" s="291"/>
      <c r="Z1359" s="291"/>
    </row>
    <row r="1360" spans="2:26" ht="25" thickBot="1" x14ac:dyDescent="0.25">
      <c r="C1360" s="241"/>
      <c r="D1360" s="585">
        <v>45558</v>
      </c>
      <c r="E1360" s="240">
        <v>47</v>
      </c>
      <c r="F1360" s="240" t="s">
        <v>500</v>
      </c>
      <c r="G1360" s="240">
        <v>47.9</v>
      </c>
      <c r="H1360" s="284">
        <v>0.57291666666666663</v>
      </c>
      <c r="I1360" s="966"/>
      <c r="J1360" s="966"/>
      <c r="K1360" s="967"/>
      <c r="L1360" s="621"/>
      <c r="M1360" s="384"/>
      <c r="N1360" s="243"/>
      <c r="O1360" s="291"/>
      <c r="P1360" s="291"/>
      <c r="Q1360" s="291"/>
      <c r="R1360" s="291"/>
      <c r="S1360" s="291"/>
      <c r="T1360" s="291"/>
      <c r="U1360" s="291"/>
      <c r="V1360" s="291"/>
      <c r="W1360" s="291"/>
      <c r="X1360" s="291"/>
      <c r="Y1360" s="291"/>
      <c r="Z1360" s="291"/>
    </row>
    <row r="1361" spans="3:26" ht="20" thickBot="1" x14ac:dyDescent="0.25">
      <c r="C1361" s="241">
        <v>1</v>
      </c>
      <c r="D1361" s="576" t="s">
        <v>30</v>
      </c>
      <c r="E1361" s="874" t="s">
        <v>1252</v>
      </c>
      <c r="F1361" s="875"/>
      <c r="G1361" s="876"/>
      <c r="H1361" s="242" t="s">
        <v>790</v>
      </c>
      <c r="I1361" s="977" t="s">
        <v>633</v>
      </c>
      <c r="J1361" s="977"/>
      <c r="K1361" s="978"/>
      <c r="L1361" s="616" t="s">
        <v>430</v>
      </c>
      <c r="M1361" s="372" t="s">
        <v>431</v>
      </c>
      <c r="N1361" s="243" t="s">
        <v>105</v>
      </c>
      <c r="O1361" s="244" t="s">
        <v>800</v>
      </c>
      <c r="P1361" s="244" t="s">
        <v>801</v>
      </c>
      <c r="Q1361" s="244" t="s">
        <v>802</v>
      </c>
      <c r="R1361" s="244" t="s">
        <v>803</v>
      </c>
      <c r="S1361" s="244" t="s">
        <v>804</v>
      </c>
      <c r="T1361" s="244" t="s">
        <v>805</v>
      </c>
      <c r="U1361" s="244" t="s">
        <v>806</v>
      </c>
      <c r="V1361" s="244" t="s">
        <v>807</v>
      </c>
      <c r="W1361" s="244" t="s">
        <v>808</v>
      </c>
      <c r="X1361" s="244" t="s">
        <v>809</v>
      </c>
      <c r="Y1361" s="244" t="s">
        <v>75</v>
      </c>
      <c r="Z1361" s="244" t="s">
        <v>75</v>
      </c>
    </row>
    <row r="1362" spans="3:26" ht="19" x14ac:dyDescent="0.2">
      <c r="C1362" s="241"/>
      <c r="D1362" s="578" t="s">
        <v>432</v>
      </c>
      <c r="E1362" s="805"/>
      <c r="F1362" s="806"/>
      <c r="G1362" s="807"/>
      <c r="H1362" s="245" t="s">
        <v>794</v>
      </c>
      <c r="I1362" s="962" t="s">
        <v>1253</v>
      </c>
      <c r="J1362" s="962"/>
      <c r="K1362" s="963"/>
      <c r="L1362" s="617"/>
      <c r="M1362" s="374" t="s">
        <v>1252</v>
      </c>
      <c r="N1362" s="243"/>
      <c r="O1362" s="246" t="s">
        <v>810</v>
      </c>
      <c r="P1362" s="247">
        <v>0.1</v>
      </c>
      <c r="Q1362" s="248">
        <v>1.4E-2</v>
      </c>
      <c r="R1362" s="249">
        <v>2.2999999999996135E-2</v>
      </c>
      <c r="S1362" s="250"/>
      <c r="T1362" s="246">
        <v>4.3999999999996139E-2</v>
      </c>
      <c r="U1362" s="248">
        <v>-10.93</v>
      </c>
      <c r="V1362" s="247">
        <v>60.5</v>
      </c>
      <c r="W1362" s="251">
        <v>2</v>
      </c>
      <c r="X1362" s="252">
        <v>21.86</v>
      </c>
      <c r="Y1362" s="250"/>
      <c r="Z1362" s="250"/>
    </row>
    <row r="1363" spans="3:26" ht="23" x14ac:dyDescent="0.2">
      <c r="C1363" s="241"/>
      <c r="D1363" s="580" t="s">
        <v>433</v>
      </c>
      <c r="E1363" s="785">
        <v>55.7</v>
      </c>
      <c r="F1363" s="786"/>
      <c r="G1363" s="787"/>
      <c r="H1363" s="245" t="s">
        <v>795</v>
      </c>
      <c r="I1363" s="964"/>
      <c r="J1363" s="964"/>
      <c r="K1363" s="965"/>
      <c r="L1363" s="617"/>
      <c r="M1363" s="375"/>
      <c r="N1363" s="243"/>
      <c r="O1363" s="243"/>
      <c r="P1363" s="243"/>
      <c r="Q1363" s="243"/>
      <c r="R1363" s="253"/>
      <c r="S1363" s="254"/>
      <c r="T1363" s="243"/>
      <c r="U1363" s="243"/>
      <c r="V1363" s="243"/>
      <c r="W1363" s="254"/>
      <c r="X1363" s="254"/>
      <c r="Y1363" s="255"/>
      <c r="Z1363" s="255"/>
    </row>
    <row r="1364" spans="3:26" ht="23" x14ac:dyDescent="0.2">
      <c r="C1364" s="241"/>
      <c r="D1364" s="580" t="s">
        <v>434</v>
      </c>
      <c r="E1364" s="785">
        <v>56.1</v>
      </c>
      <c r="F1364" s="786"/>
      <c r="G1364" s="787"/>
      <c r="H1364" s="245"/>
      <c r="I1364" s="964"/>
      <c r="J1364" s="964"/>
      <c r="K1364" s="965"/>
      <c r="L1364" s="617"/>
      <c r="M1364" s="375"/>
      <c r="N1364" s="243"/>
      <c r="O1364" s="256" t="s">
        <v>811</v>
      </c>
      <c r="P1364" s="257">
        <v>0.1</v>
      </c>
      <c r="Q1364" s="258">
        <v>6.4699999999999994E-2</v>
      </c>
      <c r="R1364" s="259">
        <v>5.0999999999999997E-2</v>
      </c>
      <c r="S1364" s="260">
        <v>1</v>
      </c>
      <c r="T1364" s="256">
        <v>0.14804999999999999</v>
      </c>
      <c r="U1364" s="261">
        <v>-36.77696590909413</v>
      </c>
      <c r="V1364" s="262">
        <v>60.5</v>
      </c>
      <c r="W1364" s="263">
        <v>4.26</v>
      </c>
      <c r="X1364" s="264">
        <v>156.669874772741</v>
      </c>
      <c r="Y1364" s="265"/>
      <c r="Z1364" s="265"/>
    </row>
    <row r="1365" spans="3:26" ht="24" thickBot="1" x14ac:dyDescent="0.25">
      <c r="C1365" s="241"/>
      <c r="D1365" s="581" t="s">
        <v>435</v>
      </c>
      <c r="E1365" s="778">
        <v>0.61458333333333337</v>
      </c>
      <c r="F1365" s="779"/>
      <c r="G1365" s="780"/>
      <c r="H1365" s="266"/>
      <c r="I1365" s="964"/>
      <c r="J1365" s="964"/>
      <c r="K1365" s="965"/>
      <c r="L1365" s="618">
        <v>0.84375</v>
      </c>
      <c r="M1365" s="377">
        <v>0.69791666666666663</v>
      </c>
      <c r="N1365" s="243"/>
      <c r="O1365" s="267" t="s">
        <v>812</v>
      </c>
      <c r="P1365" s="268">
        <v>0.1</v>
      </c>
      <c r="Q1365" s="269">
        <v>7.2133333333333341E-2</v>
      </c>
      <c r="R1365" s="270">
        <v>5.0999999999999997E-2</v>
      </c>
      <c r="S1365" s="271">
        <v>1</v>
      </c>
      <c r="T1365" s="272">
        <v>0.15920000000000001</v>
      </c>
      <c r="U1365" s="273">
        <v>-39.546727272730742</v>
      </c>
      <c r="V1365" s="274">
        <v>60.5</v>
      </c>
      <c r="W1365" s="275">
        <v>3.07</v>
      </c>
      <c r="X1365" s="276">
        <v>121.40845272728338</v>
      </c>
      <c r="Y1365" s="277"/>
      <c r="Z1365" s="277"/>
    </row>
    <row r="1366" spans="3:26" ht="25" thickBot="1" x14ac:dyDescent="0.25">
      <c r="C1366" s="241"/>
      <c r="D1366" s="583" t="s">
        <v>436</v>
      </c>
      <c r="E1366" s="212" t="s">
        <v>29</v>
      </c>
      <c r="F1366" s="212" t="s">
        <v>28</v>
      </c>
      <c r="G1366" s="213" t="s">
        <v>27</v>
      </c>
      <c r="H1366" s="280" t="s">
        <v>793</v>
      </c>
      <c r="I1366" s="964"/>
      <c r="J1366" s="964"/>
      <c r="K1366" s="965"/>
      <c r="L1366" s="619" t="s">
        <v>1246</v>
      </c>
      <c r="M1366" s="379"/>
      <c r="N1366" s="243"/>
      <c r="O1366" s="254"/>
      <c r="P1366" s="255"/>
      <c r="Q1366" s="254"/>
      <c r="R1366" s="254"/>
      <c r="S1366" s="254"/>
      <c r="T1366" s="254"/>
      <c r="U1366" s="281"/>
      <c r="V1366" s="282"/>
      <c r="W1366" s="254"/>
      <c r="X1366" s="281"/>
      <c r="Y1366" s="255"/>
      <c r="Z1366" s="255"/>
    </row>
    <row r="1367" spans="3:26" ht="24" x14ac:dyDescent="0.2">
      <c r="C1367" s="241"/>
      <c r="D1367" s="585">
        <v>45630</v>
      </c>
      <c r="E1367" s="240">
        <v>56.1</v>
      </c>
      <c r="F1367" s="240" t="s">
        <v>1285</v>
      </c>
      <c r="G1367" s="240">
        <v>55</v>
      </c>
      <c r="H1367" s="284">
        <v>0.61458333333333337</v>
      </c>
      <c r="I1367" s="964"/>
      <c r="J1367" s="964"/>
      <c r="K1367" s="965"/>
      <c r="L1367" s="621"/>
      <c r="M1367" s="382"/>
      <c r="N1367" s="243"/>
      <c r="O1367" s="254"/>
      <c r="P1367" s="255"/>
      <c r="Q1367" s="254"/>
      <c r="R1367" s="254"/>
      <c r="S1367" s="254"/>
      <c r="T1367" s="254"/>
      <c r="U1367" s="254"/>
      <c r="V1367" s="254"/>
      <c r="W1367" s="254"/>
      <c r="X1367" s="254"/>
      <c r="Y1367" s="255"/>
      <c r="Z1367" s="255"/>
    </row>
    <row r="1368" spans="3:26" ht="24" x14ac:dyDescent="0.2">
      <c r="C1368" s="241"/>
      <c r="D1368" s="585">
        <v>45618</v>
      </c>
      <c r="E1368" s="240">
        <v>57</v>
      </c>
      <c r="F1368" s="240" t="s">
        <v>586</v>
      </c>
      <c r="G1368" s="240">
        <v>55</v>
      </c>
      <c r="H1368" s="284">
        <v>0.61458333333333337</v>
      </c>
      <c r="I1368" s="964"/>
      <c r="J1368" s="964"/>
      <c r="K1368" s="965"/>
      <c r="L1368" s="621"/>
      <c r="M1368" s="383"/>
      <c r="N1368" s="243"/>
      <c r="O1368" s="246" t="s">
        <v>813</v>
      </c>
      <c r="P1368" s="247">
        <v>0.02</v>
      </c>
      <c r="Q1368" s="285">
        <v>6.8416666666666667E-2</v>
      </c>
      <c r="R1368" s="286">
        <v>5.0999999999999997E-2</v>
      </c>
      <c r="S1368" s="250">
        <v>1.5</v>
      </c>
      <c r="T1368" s="256">
        <v>0.15362499999999998</v>
      </c>
      <c r="U1368" s="287">
        <v>-11.448553977273731</v>
      </c>
      <c r="V1368" s="288">
        <v>12.1</v>
      </c>
      <c r="W1368" s="250">
        <v>2</v>
      </c>
      <c r="X1368" s="252">
        <v>22.897107954547462</v>
      </c>
      <c r="Y1368" s="289"/>
      <c r="Z1368" s="289"/>
    </row>
    <row r="1369" spans="3:26" ht="24" x14ac:dyDescent="0.2">
      <c r="C1369" s="241"/>
      <c r="D1369" s="585">
        <v>45601</v>
      </c>
      <c r="E1369" s="240">
        <v>55</v>
      </c>
      <c r="F1369" s="240" t="s">
        <v>585</v>
      </c>
      <c r="G1369" s="240">
        <v>55.2</v>
      </c>
      <c r="H1369" s="284">
        <v>0.61458333333333337</v>
      </c>
      <c r="I1369" s="964"/>
      <c r="J1369" s="964"/>
      <c r="K1369" s="965"/>
      <c r="L1369" s="621"/>
      <c r="M1369" s="375"/>
      <c r="N1369" s="243"/>
      <c r="O1369" s="246" t="s">
        <v>813</v>
      </c>
      <c r="P1369" s="247">
        <v>-0.02</v>
      </c>
      <c r="Q1369" s="285">
        <v>6.8416666666666667E-2</v>
      </c>
      <c r="R1369" s="286">
        <v>5.0999999999999997E-2</v>
      </c>
      <c r="S1369" s="250">
        <v>-1.5</v>
      </c>
      <c r="T1369" s="256">
        <v>0.15362499999999998</v>
      </c>
      <c r="U1369" s="287">
        <v>-11.448553977273731</v>
      </c>
      <c r="V1369" s="288">
        <v>-12.1</v>
      </c>
      <c r="W1369" s="250">
        <v>2</v>
      </c>
      <c r="X1369" s="252">
        <v>22.897107954547462</v>
      </c>
      <c r="Y1369" s="289"/>
      <c r="Z1369" s="289"/>
    </row>
    <row r="1370" spans="3:26" ht="24" x14ac:dyDescent="0.2">
      <c r="C1370" s="241"/>
      <c r="D1370" s="585">
        <v>45589</v>
      </c>
      <c r="E1370" s="240">
        <v>55.3</v>
      </c>
      <c r="F1370" s="240" t="s">
        <v>604</v>
      </c>
      <c r="G1370" s="240">
        <v>55.2</v>
      </c>
      <c r="H1370" s="284">
        <v>0.57291666666666663</v>
      </c>
      <c r="I1370" s="964"/>
      <c r="J1370" s="964"/>
      <c r="K1370" s="965"/>
      <c r="L1370" s="621"/>
      <c r="M1370" s="375"/>
      <c r="N1370" s="243"/>
      <c r="O1370" s="246"/>
      <c r="P1370" s="290"/>
      <c r="Q1370" s="285"/>
      <c r="R1370" s="286"/>
      <c r="S1370" s="250"/>
      <c r="T1370" s="290"/>
      <c r="U1370" s="287"/>
      <c r="V1370" s="288"/>
      <c r="W1370" s="250"/>
      <c r="X1370" s="252"/>
      <c r="Y1370" s="289"/>
      <c r="Z1370" s="289"/>
    </row>
    <row r="1371" spans="3:26" ht="24" x14ac:dyDescent="0.2">
      <c r="C1371" s="241"/>
      <c r="D1371" s="585">
        <v>45568</v>
      </c>
      <c r="E1371" s="240">
        <v>55.2</v>
      </c>
      <c r="F1371" s="240" t="s">
        <v>759</v>
      </c>
      <c r="G1371" s="240">
        <v>55.7</v>
      </c>
      <c r="H1371" s="284">
        <v>0.57291666666666663</v>
      </c>
      <c r="I1371" s="964"/>
      <c r="J1371" s="964"/>
      <c r="K1371" s="965"/>
      <c r="L1371" s="621"/>
      <c r="M1371" s="375"/>
      <c r="N1371" s="243"/>
      <c r="O1371" s="291"/>
      <c r="P1371" s="291"/>
      <c r="Q1371" s="291"/>
      <c r="R1371" s="291"/>
      <c r="S1371" s="291"/>
      <c r="T1371" s="291"/>
      <c r="U1371" s="291"/>
      <c r="V1371" s="291"/>
      <c r="W1371" s="291"/>
      <c r="X1371" s="291"/>
      <c r="Y1371" s="291"/>
      <c r="Z1371" s="291"/>
    </row>
    <row r="1372" spans="3:26" ht="25" thickBot="1" x14ac:dyDescent="0.25">
      <c r="C1372" s="241"/>
      <c r="D1372" s="585">
        <v>45558</v>
      </c>
      <c r="E1372" s="240">
        <v>55.4</v>
      </c>
      <c r="F1372" s="240" t="s">
        <v>585</v>
      </c>
      <c r="G1372" s="240">
        <v>55.7</v>
      </c>
      <c r="H1372" s="284">
        <v>0.57291666666666663</v>
      </c>
      <c r="I1372" s="966"/>
      <c r="J1372" s="966"/>
      <c r="K1372" s="967"/>
      <c r="L1372" s="621"/>
      <c r="M1372" s="384"/>
      <c r="N1372" s="243"/>
      <c r="O1372" s="291"/>
      <c r="P1372" s="291"/>
      <c r="Q1372" s="291"/>
      <c r="R1372" s="291"/>
      <c r="S1372" s="291"/>
      <c r="T1372" s="291"/>
      <c r="U1372" s="291"/>
      <c r="V1372" s="291"/>
      <c r="W1372" s="291"/>
      <c r="X1372" s="291"/>
      <c r="Y1372" s="291"/>
      <c r="Z1372" s="291"/>
    </row>
    <row r="1373" spans="3:26" ht="20" thickBot="1" x14ac:dyDescent="0.25">
      <c r="C1373" s="241"/>
      <c r="D1373" s="576" t="s">
        <v>30</v>
      </c>
      <c r="E1373" s="874" t="s">
        <v>1254</v>
      </c>
      <c r="F1373" s="875"/>
      <c r="G1373" s="876"/>
      <c r="H1373" s="242" t="s">
        <v>790</v>
      </c>
      <c r="I1373" s="977" t="s">
        <v>633</v>
      </c>
      <c r="J1373" s="977"/>
      <c r="K1373" s="978"/>
      <c r="L1373" s="616" t="s">
        <v>430</v>
      </c>
      <c r="M1373" s="372" t="s">
        <v>431</v>
      </c>
      <c r="N1373" s="243" t="s">
        <v>105</v>
      </c>
      <c r="O1373" s="244" t="s">
        <v>800</v>
      </c>
      <c r="P1373" s="244" t="s">
        <v>801</v>
      </c>
      <c r="Q1373" s="244" t="s">
        <v>802</v>
      </c>
      <c r="R1373" s="244" t="s">
        <v>803</v>
      </c>
      <c r="S1373" s="244" t="s">
        <v>804</v>
      </c>
      <c r="T1373" s="244" t="s">
        <v>805</v>
      </c>
      <c r="U1373" s="244" t="s">
        <v>806</v>
      </c>
      <c r="V1373" s="244" t="s">
        <v>807</v>
      </c>
      <c r="W1373" s="244" t="s">
        <v>808</v>
      </c>
      <c r="X1373" s="244" t="s">
        <v>809</v>
      </c>
      <c r="Y1373" s="244" t="s">
        <v>75</v>
      </c>
      <c r="Z1373" s="244" t="s">
        <v>75</v>
      </c>
    </row>
    <row r="1374" spans="3:26" ht="19" x14ac:dyDescent="0.2">
      <c r="C1374" s="241"/>
      <c r="D1374" s="578" t="s">
        <v>432</v>
      </c>
      <c r="E1374" s="805"/>
      <c r="F1374" s="806"/>
      <c r="G1374" s="807"/>
      <c r="H1374" s="245" t="s">
        <v>1056</v>
      </c>
      <c r="I1374" s="962" t="s">
        <v>1255</v>
      </c>
      <c r="J1374" s="962"/>
      <c r="K1374" s="963"/>
      <c r="L1374" s="617"/>
      <c r="M1374" s="374" t="s">
        <v>1254</v>
      </c>
      <c r="N1374" s="243"/>
      <c r="O1374" s="246" t="s">
        <v>810</v>
      </c>
      <c r="P1374" s="247">
        <v>0.1</v>
      </c>
      <c r="Q1374" s="249">
        <v>2.2999999999996135E-2</v>
      </c>
      <c r="R1374" s="249">
        <v>1.6000000000005343E-2</v>
      </c>
      <c r="S1374" s="250"/>
      <c r="T1374" s="246">
        <v>5.0499999999999545E-2</v>
      </c>
      <c r="U1374" s="248">
        <v>-13.1</v>
      </c>
      <c r="V1374" s="247">
        <v>60.5</v>
      </c>
      <c r="W1374" s="251">
        <v>2</v>
      </c>
      <c r="X1374" s="252">
        <v>26.2</v>
      </c>
      <c r="Y1374" s="250"/>
      <c r="Z1374" s="250"/>
    </row>
    <row r="1375" spans="3:26" ht="23" x14ac:dyDescent="0.2">
      <c r="C1375" s="241"/>
      <c r="D1375" s="580" t="s">
        <v>433</v>
      </c>
      <c r="E1375" s="798"/>
      <c r="F1375" s="799"/>
      <c r="G1375" s="800"/>
      <c r="H1375" s="245" t="s">
        <v>1057</v>
      </c>
      <c r="I1375" s="964"/>
      <c r="J1375" s="964"/>
      <c r="K1375" s="965"/>
      <c r="L1375" s="617"/>
      <c r="M1375" s="375"/>
      <c r="N1375" s="243"/>
      <c r="O1375" s="243"/>
      <c r="P1375" s="243"/>
      <c r="Q1375" s="243"/>
      <c r="R1375" s="253"/>
      <c r="S1375" s="254"/>
      <c r="T1375" s="243"/>
      <c r="U1375" s="243"/>
      <c r="V1375" s="243"/>
      <c r="W1375" s="254"/>
      <c r="X1375" s="254"/>
      <c r="Y1375" s="255"/>
      <c r="Z1375" s="255"/>
    </row>
    <row r="1376" spans="3:26" ht="23" x14ac:dyDescent="0.2">
      <c r="C1376" s="241"/>
      <c r="D1376" s="580" t="s">
        <v>434</v>
      </c>
      <c r="E1376" s="798">
        <v>1.7000000000000001E-2</v>
      </c>
      <c r="F1376" s="799"/>
      <c r="G1376" s="800"/>
      <c r="H1376" s="245"/>
      <c r="I1376" s="964"/>
      <c r="J1376" s="964"/>
      <c r="K1376" s="965"/>
      <c r="L1376" s="617"/>
      <c r="M1376" s="375"/>
      <c r="N1376" s="243"/>
      <c r="O1376" s="256" t="s">
        <v>811</v>
      </c>
      <c r="P1376" s="257">
        <v>0.1</v>
      </c>
      <c r="Q1376" s="258">
        <v>7.5399999999999995E-2</v>
      </c>
      <c r="R1376" s="259">
        <v>2.1999999999999999E-2</v>
      </c>
      <c r="S1376" s="260">
        <v>1.5</v>
      </c>
      <c r="T1376" s="256">
        <v>0.1351</v>
      </c>
      <c r="U1376" s="261">
        <v>-35.045742574257744</v>
      </c>
      <c r="V1376" s="262">
        <v>60.5</v>
      </c>
      <c r="W1376" s="263">
        <v>4.1100000000000003</v>
      </c>
      <c r="X1376" s="264">
        <v>144.03800198019934</v>
      </c>
      <c r="Y1376" s="265"/>
      <c r="Z1376" s="265"/>
    </row>
    <row r="1377" spans="3:26" ht="24" thickBot="1" x14ac:dyDescent="0.25">
      <c r="C1377" s="241"/>
      <c r="D1377" s="581" t="s">
        <v>435</v>
      </c>
      <c r="E1377" s="778">
        <v>0.5625</v>
      </c>
      <c r="F1377" s="779"/>
      <c r="G1377" s="780"/>
      <c r="H1377" s="266"/>
      <c r="I1377" s="964"/>
      <c r="J1377" s="964"/>
      <c r="K1377" s="965"/>
      <c r="L1377" s="618">
        <v>0.79166666666666663</v>
      </c>
      <c r="M1377" s="377">
        <v>0.64583333333333326</v>
      </c>
      <c r="N1377" s="243"/>
      <c r="O1377" s="267" t="s">
        <v>812</v>
      </c>
      <c r="P1377" s="268">
        <v>0.1</v>
      </c>
      <c r="Q1377" s="269">
        <v>7.5600000000000001E-2</v>
      </c>
      <c r="R1377" s="270">
        <v>2.1999999999999999E-2</v>
      </c>
      <c r="S1377" s="271">
        <v>1.5</v>
      </c>
      <c r="T1377" s="272">
        <v>0.13539999999999999</v>
      </c>
      <c r="U1377" s="273">
        <v>-52.685346534653931</v>
      </c>
      <c r="V1377" s="274">
        <v>60.5</v>
      </c>
      <c r="W1377" s="275">
        <v>3.27</v>
      </c>
      <c r="X1377" s="276">
        <v>172.28108316831836</v>
      </c>
      <c r="Y1377" s="277"/>
      <c r="Z1377" s="277"/>
    </row>
    <row r="1378" spans="3:26" ht="25" thickBot="1" x14ac:dyDescent="0.25">
      <c r="C1378" s="241"/>
      <c r="D1378" s="583" t="s">
        <v>436</v>
      </c>
      <c r="E1378" s="212" t="s">
        <v>29</v>
      </c>
      <c r="F1378" s="212" t="s">
        <v>28</v>
      </c>
      <c r="G1378" s="213" t="s">
        <v>27</v>
      </c>
      <c r="H1378" s="280" t="s">
        <v>793</v>
      </c>
      <c r="I1378" s="964"/>
      <c r="J1378" s="964"/>
      <c r="K1378" s="965"/>
      <c r="L1378" s="619" t="s">
        <v>1246</v>
      </c>
      <c r="M1378" s="379"/>
      <c r="N1378" s="243"/>
      <c r="O1378" s="254"/>
      <c r="P1378" s="255"/>
      <c r="Q1378" s="254"/>
      <c r="R1378" s="254"/>
      <c r="S1378" s="254"/>
      <c r="T1378" s="254"/>
      <c r="U1378" s="281"/>
      <c r="V1378" s="282"/>
      <c r="W1378" s="254"/>
      <c r="X1378" s="281"/>
      <c r="Y1378" s="255"/>
      <c r="Z1378" s="255"/>
    </row>
    <row r="1379" spans="3:26" ht="23" x14ac:dyDescent="0.2">
      <c r="C1379" s="241"/>
      <c r="D1379" s="585">
        <v>45615</v>
      </c>
      <c r="E1379" s="214">
        <v>1.7000000000000001E-2</v>
      </c>
      <c r="F1379" s="214"/>
      <c r="G1379" s="214">
        <v>1.6E-2</v>
      </c>
      <c r="H1379" s="284">
        <v>0.5625</v>
      </c>
      <c r="I1379" s="964"/>
      <c r="J1379" s="964"/>
      <c r="K1379" s="965"/>
      <c r="L1379" s="621"/>
      <c r="M1379" s="382"/>
      <c r="N1379" s="243"/>
      <c r="O1379" s="254"/>
      <c r="P1379" s="255"/>
      <c r="Q1379" s="254"/>
      <c r="R1379" s="254"/>
      <c r="S1379" s="254"/>
      <c r="T1379" s="254"/>
      <c r="U1379" s="254"/>
      <c r="V1379" s="254"/>
      <c r="W1379" s="254"/>
      <c r="X1379" s="254"/>
      <c r="Y1379" s="255"/>
      <c r="Z1379" s="255"/>
    </row>
    <row r="1380" spans="3:26" ht="23" x14ac:dyDescent="0.2">
      <c r="C1380" s="241"/>
      <c r="D1380" s="585">
        <v>45580</v>
      </c>
      <c r="E1380" s="214">
        <v>1.6E-2</v>
      </c>
      <c r="F1380" s="214"/>
      <c r="G1380" s="214">
        <v>1.4999999999999999E-2</v>
      </c>
      <c r="H1380" s="284">
        <v>0.52083333333333337</v>
      </c>
      <c r="I1380" s="964"/>
      <c r="J1380" s="964"/>
      <c r="K1380" s="965"/>
      <c r="L1380" s="621"/>
      <c r="M1380" s="383"/>
      <c r="N1380" s="243"/>
      <c r="O1380" s="246" t="s">
        <v>813</v>
      </c>
      <c r="P1380" s="247">
        <v>0.05</v>
      </c>
      <c r="Q1380" s="285">
        <v>7.5499999999999998E-2</v>
      </c>
      <c r="R1380" s="286">
        <v>2.1999999999999999E-2</v>
      </c>
      <c r="S1380" s="250">
        <v>1.5</v>
      </c>
      <c r="T1380" s="256">
        <v>0.13524999999999998</v>
      </c>
      <c r="U1380" s="287">
        <v>-26.313490099010135</v>
      </c>
      <c r="V1380" s="288">
        <v>30.25</v>
      </c>
      <c r="W1380" s="250">
        <v>2.5</v>
      </c>
      <c r="X1380" s="252">
        <v>65.783725247525339</v>
      </c>
      <c r="Y1380" s="289"/>
      <c r="Z1380" s="289"/>
    </row>
    <row r="1381" spans="3:26" ht="23" x14ac:dyDescent="0.2">
      <c r="C1381" s="241"/>
      <c r="D1381" s="585">
        <v>45552</v>
      </c>
      <c r="E1381" s="214">
        <v>1.4999999999999999E-2</v>
      </c>
      <c r="F1381" s="214"/>
      <c r="G1381" s="214">
        <v>1.7000000000000001E-2</v>
      </c>
      <c r="H1381" s="284">
        <v>0.52083333333333337</v>
      </c>
      <c r="I1381" s="964"/>
      <c r="J1381" s="964"/>
      <c r="K1381" s="965"/>
      <c r="L1381" s="621"/>
      <c r="M1381" s="375"/>
      <c r="N1381" s="243"/>
      <c r="O1381" s="246" t="s">
        <v>813</v>
      </c>
      <c r="P1381" s="247">
        <v>-0.05</v>
      </c>
      <c r="Q1381" s="285">
        <v>7.5499999999999998E-2</v>
      </c>
      <c r="R1381" s="286">
        <v>2.1999999999999999E-2</v>
      </c>
      <c r="S1381" s="250">
        <v>-1.5</v>
      </c>
      <c r="T1381" s="256">
        <v>0.13524999999999998</v>
      </c>
      <c r="U1381" s="287">
        <v>-26.313490099010135</v>
      </c>
      <c r="V1381" s="288">
        <v>-30.25</v>
      </c>
      <c r="W1381" s="250">
        <v>2.5</v>
      </c>
      <c r="X1381" s="252">
        <v>65.783725247525339</v>
      </c>
      <c r="Y1381" s="289"/>
      <c r="Z1381" s="289"/>
    </row>
    <row r="1382" spans="3:26" ht="23" x14ac:dyDescent="0.2">
      <c r="C1382" s="241"/>
      <c r="D1382" s="585">
        <v>45524</v>
      </c>
      <c r="E1382" s="214">
        <v>1.7000000000000001E-2</v>
      </c>
      <c r="F1382" s="214"/>
      <c r="G1382" s="214">
        <v>1.9E-2</v>
      </c>
      <c r="H1382" s="284">
        <v>0.52083333333333337</v>
      </c>
      <c r="I1382" s="964"/>
      <c r="J1382" s="964"/>
      <c r="K1382" s="965"/>
      <c r="L1382" s="621"/>
      <c r="M1382" s="375"/>
      <c r="N1382" s="243"/>
      <c r="O1382" s="246"/>
      <c r="P1382" s="290"/>
      <c r="Q1382" s="285"/>
      <c r="R1382" s="286"/>
      <c r="S1382" s="250"/>
      <c r="T1382" s="290"/>
      <c r="U1382" s="287"/>
      <c r="V1382" s="288"/>
      <c r="W1382" s="250"/>
      <c r="X1382" s="252"/>
      <c r="Y1382" s="289"/>
      <c r="Z1382" s="289"/>
    </row>
    <row r="1383" spans="3:26" ht="23" x14ac:dyDescent="0.2">
      <c r="C1383" s="241"/>
      <c r="D1383" s="585">
        <v>45489</v>
      </c>
      <c r="E1383" s="214">
        <v>1.9E-2</v>
      </c>
      <c r="F1383" s="214"/>
      <c r="G1383" s="214">
        <v>1.7999999999999999E-2</v>
      </c>
      <c r="H1383" s="284">
        <v>0.52083333333333337</v>
      </c>
      <c r="I1383" s="964"/>
      <c r="J1383" s="964"/>
      <c r="K1383" s="965"/>
      <c r="L1383" s="621"/>
      <c r="M1383" s="375"/>
      <c r="N1383" s="243"/>
      <c r="O1383" s="291"/>
      <c r="P1383" s="291"/>
      <c r="Q1383" s="291"/>
      <c r="R1383" s="291"/>
      <c r="S1383" s="291"/>
      <c r="T1383" s="291"/>
      <c r="U1383" s="291"/>
      <c r="V1383" s="291"/>
      <c r="W1383" s="291"/>
      <c r="X1383" s="291"/>
      <c r="Y1383" s="291"/>
      <c r="Z1383" s="291"/>
    </row>
    <row r="1384" spans="3:26" ht="24" thickBot="1" x14ac:dyDescent="0.25">
      <c r="C1384" s="241"/>
      <c r="D1384" s="585">
        <v>45468</v>
      </c>
      <c r="E1384" s="214">
        <v>1.7999999999999999E-2</v>
      </c>
      <c r="F1384" s="214"/>
      <c r="G1384" s="214">
        <v>1.6E-2</v>
      </c>
      <c r="H1384" s="284">
        <v>0.52083333333333337</v>
      </c>
      <c r="I1384" s="966"/>
      <c r="J1384" s="966"/>
      <c r="K1384" s="967"/>
      <c r="L1384" s="621"/>
      <c r="M1384" s="384"/>
      <c r="N1384" s="243"/>
      <c r="O1384" s="291"/>
      <c r="P1384" s="291"/>
      <c r="Q1384" s="291"/>
      <c r="R1384" s="291"/>
      <c r="S1384" s="291"/>
      <c r="T1384" s="291"/>
      <c r="U1384" s="291"/>
      <c r="V1384" s="291"/>
      <c r="W1384" s="291"/>
      <c r="X1384" s="291"/>
      <c r="Y1384" s="291"/>
      <c r="Z1384" s="291"/>
    </row>
    <row r="1385" spans="3:26" ht="20" thickBot="1" x14ac:dyDescent="0.25">
      <c r="C1385" s="241"/>
      <c r="D1385" s="576" t="s">
        <v>30</v>
      </c>
      <c r="E1385" s="874" t="s">
        <v>1256</v>
      </c>
      <c r="F1385" s="875"/>
      <c r="G1385" s="876"/>
      <c r="H1385" s="242" t="s">
        <v>790</v>
      </c>
      <c r="I1385" s="977" t="s">
        <v>633</v>
      </c>
      <c r="J1385" s="977"/>
      <c r="K1385" s="978"/>
      <c r="L1385" s="616" t="s">
        <v>430</v>
      </c>
      <c r="M1385" s="372" t="s">
        <v>431</v>
      </c>
      <c r="N1385" s="243" t="s">
        <v>105</v>
      </c>
      <c r="O1385" s="244" t="s">
        <v>800</v>
      </c>
      <c r="P1385" s="244" t="s">
        <v>801</v>
      </c>
      <c r="Q1385" s="244" t="s">
        <v>802</v>
      </c>
      <c r="R1385" s="244" t="s">
        <v>803</v>
      </c>
      <c r="S1385" s="244" t="s">
        <v>804</v>
      </c>
      <c r="T1385" s="244" t="s">
        <v>805</v>
      </c>
      <c r="U1385" s="244" t="s">
        <v>806</v>
      </c>
      <c r="V1385" s="244" t="s">
        <v>807</v>
      </c>
      <c r="W1385" s="244" t="s">
        <v>808</v>
      </c>
      <c r="X1385" s="244" t="s">
        <v>809</v>
      </c>
      <c r="Y1385" s="244" t="s">
        <v>75</v>
      </c>
      <c r="Z1385" s="244" t="s">
        <v>75</v>
      </c>
    </row>
    <row r="1386" spans="3:26" ht="19" x14ac:dyDescent="0.2">
      <c r="C1386" s="241"/>
      <c r="D1386" s="578" t="s">
        <v>432</v>
      </c>
      <c r="E1386" s="805"/>
      <c r="F1386" s="806"/>
      <c r="G1386" s="807"/>
      <c r="H1386" s="245" t="s">
        <v>1056</v>
      </c>
      <c r="I1386" s="962" t="s">
        <v>1255</v>
      </c>
      <c r="J1386" s="962"/>
      <c r="K1386" s="963"/>
      <c r="L1386" s="617"/>
      <c r="M1386" s="374" t="s">
        <v>1256</v>
      </c>
      <c r="N1386" s="243"/>
      <c r="O1386" s="246" t="s">
        <v>810</v>
      </c>
      <c r="P1386" s="247">
        <v>0.1</v>
      </c>
      <c r="Q1386" s="248">
        <v>1.4E-2</v>
      </c>
      <c r="R1386" s="249">
        <v>2.2999999999996135E-2</v>
      </c>
      <c r="S1386" s="250"/>
      <c r="T1386" s="246">
        <v>4.3999999999996139E-2</v>
      </c>
      <c r="U1386" s="248">
        <v>-10.93</v>
      </c>
      <c r="V1386" s="247">
        <v>60.5</v>
      </c>
      <c r="W1386" s="251">
        <v>2</v>
      </c>
      <c r="X1386" s="252">
        <v>21.86</v>
      </c>
      <c r="Y1386" s="250"/>
      <c r="Z1386" s="250"/>
    </row>
    <row r="1387" spans="3:26" ht="23" x14ac:dyDescent="0.2">
      <c r="C1387" s="241"/>
      <c r="D1387" s="580" t="s">
        <v>433</v>
      </c>
      <c r="E1387" s="775">
        <v>1E-3</v>
      </c>
      <c r="F1387" s="776"/>
      <c r="G1387" s="777"/>
      <c r="H1387" s="245" t="s">
        <v>1057</v>
      </c>
      <c r="I1387" s="964"/>
      <c r="J1387" s="964"/>
      <c r="K1387" s="965"/>
      <c r="L1387" s="617"/>
      <c r="M1387" s="375"/>
      <c r="N1387" s="243"/>
      <c r="O1387" s="243"/>
      <c r="P1387" s="243"/>
      <c r="Q1387" s="243"/>
      <c r="R1387" s="253"/>
      <c r="S1387" s="254"/>
      <c r="T1387" s="243"/>
      <c r="U1387" s="243"/>
      <c r="V1387" s="243"/>
      <c r="W1387" s="254"/>
      <c r="X1387" s="254"/>
      <c r="Y1387" s="255"/>
      <c r="Z1387" s="255"/>
    </row>
    <row r="1388" spans="3:26" ht="23" x14ac:dyDescent="0.2">
      <c r="C1388" s="241"/>
      <c r="D1388" s="580" t="s">
        <v>434</v>
      </c>
      <c r="E1388" s="775">
        <v>4.0000000000000001E-3</v>
      </c>
      <c r="F1388" s="776"/>
      <c r="G1388" s="777"/>
      <c r="H1388" s="245"/>
      <c r="I1388" s="964"/>
      <c r="J1388" s="964"/>
      <c r="K1388" s="965"/>
      <c r="L1388" s="617"/>
      <c r="M1388" s="375"/>
      <c r="N1388" s="243"/>
      <c r="O1388" s="256" t="s">
        <v>811</v>
      </c>
      <c r="P1388" s="257">
        <v>0.1</v>
      </c>
      <c r="Q1388" s="258">
        <v>6.4699999999999994E-2</v>
      </c>
      <c r="R1388" s="259">
        <v>5.0999999999999997E-2</v>
      </c>
      <c r="S1388" s="260">
        <v>1</v>
      </c>
      <c r="T1388" s="256">
        <v>0.14804999999999999</v>
      </c>
      <c r="U1388" s="261">
        <v>-36.77696590909413</v>
      </c>
      <c r="V1388" s="262">
        <v>60.5</v>
      </c>
      <c r="W1388" s="263">
        <v>4.26</v>
      </c>
      <c r="X1388" s="264">
        <v>156.669874772741</v>
      </c>
      <c r="Y1388" s="265"/>
      <c r="Z1388" s="265"/>
    </row>
    <row r="1389" spans="3:26" ht="24" thickBot="1" x14ac:dyDescent="0.25">
      <c r="C1389" s="241"/>
      <c r="D1389" s="581" t="s">
        <v>435</v>
      </c>
      <c r="E1389" s="778">
        <v>0.5625</v>
      </c>
      <c r="F1389" s="779"/>
      <c r="G1389" s="780"/>
      <c r="H1389" s="266"/>
      <c r="I1389" s="964"/>
      <c r="J1389" s="964"/>
      <c r="K1389" s="965"/>
      <c r="L1389" s="618">
        <v>0.79166666666666663</v>
      </c>
      <c r="M1389" s="377">
        <v>0.69791666666666663</v>
      </c>
      <c r="N1389" s="243"/>
      <c r="O1389" s="267" t="s">
        <v>812</v>
      </c>
      <c r="P1389" s="268">
        <v>0.1</v>
      </c>
      <c r="Q1389" s="269">
        <v>7.2133333333333341E-2</v>
      </c>
      <c r="R1389" s="270">
        <v>5.0999999999999997E-2</v>
      </c>
      <c r="S1389" s="271">
        <v>1</v>
      </c>
      <c r="T1389" s="272">
        <v>0.15920000000000001</v>
      </c>
      <c r="U1389" s="273">
        <v>-39.546727272730742</v>
      </c>
      <c r="V1389" s="274">
        <v>60.5</v>
      </c>
      <c r="W1389" s="275">
        <v>3.07</v>
      </c>
      <c r="X1389" s="276">
        <v>121.40845272728338</v>
      </c>
      <c r="Y1389" s="277"/>
      <c r="Z1389" s="277"/>
    </row>
    <row r="1390" spans="3:26" ht="25" thickBot="1" x14ac:dyDescent="0.25">
      <c r="C1390" s="241"/>
      <c r="D1390" s="583" t="s">
        <v>436</v>
      </c>
      <c r="E1390" s="212" t="s">
        <v>29</v>
      </c>
      <c r="F1390" s="212" t="s">
        <v>28</v>
      </c>
      <c r="G1390" s="213" t="s">
        <v>27</v>
      </c>
      <c r="H1390" s="280" t="s">
        <v>793</v>
      </c>
      <c r="I1390" s="964"/>
      <c r="J1390" s="964"/>
      <c r="K1390" s="965"/>
      <c r="L1390" s="619" t="s">
        <v>1246</v>
      </c>
      <c r="M1390" s="379"/>
      <c r="N1390" s="243"/>
      <c r="O1390" s="254"/>
      <c r="P1390" s="255"/>
      <c r="Q1390" s="254"/>
      <c r="R1390" s="254"/>
      <c r="S1390" s="254"/>
      <c r="T1390" s="254"/>
      <c r="U1390" s="281"/>
      <c r="V1390" s="282"/>
      <c r="W1390" s="254"/>
      <c r="X1390" s="281"/>
      <c r="Y1390" s="255"/>
      <c r="Z1390" s="255"/>
    </row>
    <row r="1391" spans="3:26" ht="24" x14ac:dyDescent="0.2">
      <c r="C1391" s="241"/>
      <c r="D1391" s="585">
        <v>45615</v>
      </c>
      <c r="E1391" s="214">
        <v>4.0000000000000001E-3</v>
      </c>
      <c r="F1391" s="214" t="s">
        <v>467</v>
      </c>
      <c r="G1391" s="214">
        <v>-4.0000000000000001E-3</v>
      </c>
      <c r="H1391" s="284">
        <v>0.5625</v>
      </c>
      <c r="I1391" s="964"/>
      <c r="J1391" s="964"/>
      <c r="K1391" s="965"/>
      <c r="L1391" s="621"/>
      <c r="M1391" s="382"/>
      <c r="N1391" s="243"/>
      <c r="O1391" s="254"/>
      <c r="P1391" s="255"/>
      <c r="Q1391" s="254"/>
      <c r="R1391" s="254"/>
      <c r="S1391" s="254"/>
      <c r="T1391" s="254"/>
      <c r="U1391" s="254"/>
      <c r="V1391" s="254"/>
      <c r="W1391" s="254"/>
      <c r="X1391" s="254"/>
      <c r="Y1391" s="255"/>
      <c r="Z1391" s="255"/>
    </row>
    <row r="1392" spans="3:26" ht="24" x14ac:dyDescent="0.2">
      <c r="C1392" s="241"/>
      <c r="D1392" s="585">
        <v>45580</v>
      </c>
      <c r="E1392" s="214">
        <v>-4.0000000000000001E-3</v>
      </c>
      <c r="F1392" s="214" t="s">
        <v>461</v>
      </c>
      <c r="G1392" s="214">
        <v>-2E-3</v>
      </c>
      <c r="H1392" s="284">
        <v>0.52083333333333337</v>
      </c>
      <c r="I1392" s="964"/>
      <c r="J1392" s="964"/>
      <c r="K1392" s="965"/>
      <c r="L1392" s="621"/>
      <c r="M1392" s="383"/>
      <c r="N1392" s="243"/>
      <c r="O1392" s="246" t="s">
        <v>813</v>
      </c>
      <c r="P1392" s="247">
        <v>0.02</v>
      </c>
      <c r="Q1392" s="285">
        <v>6.8416666666666667E-2</v>
      </c>
      <c r="R1392" s="286">
        <v>5.0999999999999997E-2</v>
      </c>
      <c r="S1392" s="250">
        <v>1.5</v>
      </c>
      <c r="T1392" s="256">
        <v>0.15362499999999998</v>
      </c>
      <c r="U1392" s="287">
        <v>-11.448553977273731</v>
      </c>
      <c r="V1392" s="288">
        <v>12.1</v>
      </c>
      <c r="W1392" s="250">
        <v>2</v>
      </c>
      <c r="X1392" s="252">
        <v>22.897107954547462</v>
      </c>
      <c r="Y1392" s="289"/>
      <c r="Z1392" s="289"/>
    </row>
    <row r="1393" spans="3:26" ht="24" x14ac:dyDescent="0.2">
      <c r="C1393" s="241"/>
      <c r="D1393" s="585">
        <v>45552</v>
      </c>
      <c r="E1393" s="214">
        <v>-2E-3</v>
      </c>
      <c r="F1393" s="214" t="s">
        <v>458</v>
      </c>
      <c r="G1393" s="214">
        <v>4.0000000000000001E-3</v>
      </c>
      <c r="H1393" s="284">
        <v>0.52083333333333337</v>
      </c>
      <c r="I1393" s="964"/>
      <c r="J1393" s="964"/>
      <c r="K1393" s="965"/>
      <c r="L1393" s="621"/>
      <c r="M1393" s="375"/>
      <c r="N1393" s="243"/>
      <c r="O1393" s="246" t="s">
        <v>813</v>
      </c>
      <c r="P1393" s="247">
        <v>-0.02</v>
      </c>
      <c r="Q1393" s="285">
        <v>6.8416666666666667E-2</v>
      </c>
      <c r="R1393" s="286">
        <v>5.0999999999999997E-2</v>
      </c>
      <c r="S1393" s="250">
        <v>-1.5</v>
      </c>
      <c r="T1393" s="256">
        <v>0.15362499999999998</v>
      </c>
      <c r="U1393" s="287">
        <v>-11.448553977273731</v>
      </c>
      <c r="V1393" s="288">
        <v>-12.1</v>
      </c>
      <c r="W1393" s="250">
        <v>2</v>
      </c>
      <c r="X1393" s="252">
        <v>22.897107954547462</v>
      </c>
      <c r="Y1393" s="289"/>
      <c r="Z1393" s="289"/>
    </row>
    <row r="1394" spans="3:26" ht="24" x14ac:dyDescent="0.2">
      <c r="C1394" s="241"/>
      <c r="D1394" s="585">
        <v>45524</v>
      </c>
      <c r="E1394" s="214">
        <v>4.0000000000000001E-3</v>
      </c>
      <c r="F1394" s="214" t="s">
        <v>452</v>
      </c>
      <c r="G1394" s="214">
        <v>-1E-3</v>
      </c>
      <c r="H1394" s="284">
        <v>0.52083333333333337</v>
      </c>
      <c r="I1394" s="964"/>
      <c r="J1394" s="964"/>
      <c r="K1394" s="965"/>
      <c r="L1394" s="621"/>
      <c r="M1394" s="375"/>
      <c r="N1394" s="243"/>
      <c r="O1394" s="246"/>
      <c r="P1394" s="290"/>
      <c r="Q1394" s="285"/>
      <c r="R1394" s="286"/>
      <c r="S1394" s="250"/>
      <c r="T1394" s="290"/>
      <c r="U1394" s="287"/>
      <c r="V1394" s="288"/>
      <c r="W1394" s="250"/>
      <c r="X1394" s="252"/>
      <c r="Y1394" s="289"/>
      <c r="Z1394" s="289"/>
    </row>
    <row r="1395" spans="3:26" ht="24" x14ac:dyDescent="0.2">
      <c r="C1395" s="241"/>
      <c r="D1395" s="585">
        <v>45489</v>
      </c>
      <c r="E1395" s="214">
        <v>-1E-3</v>
      </c>
      <c r="F1395" s="214" t="s">
        <v>462</v>
      </c>
      <c r="G1395" s="214">
        <v>6.0000000000000001E-3</v>
      </c>
      <c r="H1395" s="284">
        <v>0.52083333333333337</v>
      </c>
      <c r="I1395" s="964"/>
      <c r="J1395" s="964"/>
      <c r="K1395" s="965"/>
      <c r="L1395" s="621"/>
      <c r="M1395" s="375"/>
      <c r="N1395" s="243"/>
      <c r="O1395" s="291"/>
      <c r="P1395" s="291"/>
      <c r="Q1395" s="291"/>
      <c r="R1395" s="291"/>
      <c r="S1395" s="291"/>
      <c r="T1395" s="291"/>
      <c r="U1395" s="291"/>
      <c r="V1395" s="291"/>
      <c r="W1395" s="291"/>
      <c r="X1395" s="291"/>
      <c r="Y1395" s="291"/>
      <c r="Z1395" s="291"/>
    </row>
    <row r="1396" spans="3:26" ht="25" thickBot="1" x14ac:dyDescent="0.25">
      <c r="C1396" s="241"/>
      <c r="D1396" s="585">
        <v>45468</v>
      </c>
      <c r="E1396" s="214">
        <v>6.0000000000000001E-3</v>
      </c>
      <c r="F1396" s="214" t="s">
        <v>467</v>
      </c>
      <c r="G1396" s="214">
        <v>5.0000000000000001E-3</v>
      </c>
      <c r="H1396" s="284">
        <v>0.52083333333333337</v>
      </c>
      <c r="I1396" s="966"/>
      <c r="J1396" s="966"/>
      <c r="K1396" s="967"/>
      <c r="L1396" s="621"/>
      <c r="M1396" s="384"/>
      <c r="N1396" s="243"/>
      <c r="O1396" s="291"/>
      <c r="P1396" s="291"/>
      <c r="Q1396" s="291"/>
      <c r="R1396" s="291"/>
      <c r="S1396" s="291"/>
      <c r="T1396" s="291"/>
      <c r="U1396" s="291"/>
      <c r="V1396" s="291"/>
      <c r="W1396" s="291"/>
      <c r="X1396" s="291"/>
      <c r="Y1396" s="291"/>
      <c r="Z1396" s="291"/>
    </row>
    <row r="1397" spans="3:26" ht="20" thickBot="1" x14ac:dyDescent="0.25">
      <c r="C1397" s="241">
        <v>2</v>
      </c>
      <c r="D1397" s="576" t="s">
        <v>30</v>
      </c>
      <c r="E1397" s="874" t="s">
        <v>1257</v>
      </c>
      <c r="F1397" s="875"/>
      <c r="G1397" s="876"/>
      <c r="H1397" s="242" t="s">
        <v>790</v>
      </c>
      <c r="I1397" s="977" t="s">
        <v>633</v>
      </c>
      <c r="J1397" s="977"/>
      <c r="K1397" s="978"/>
      <c r="L1397" s="616" t="s">
        <v>430</v>
      </c>
      <c r="M1397" s="372" t="s">
        <v>431</v>
      </c>
      <c r="N1397" s="243" t="s">
        <v>105</v>
      </c>
      <c r="O1397" s="244" t="s">
        <v>800</v>
      </c>
      <c r="P1397" s="244" t="s">
        <v>801</v>
      </c>
      <c r="Q1397" s="244" t="s">
        <v>802</v>
      </c>
      <c r="R1397" s="244" t="s">
        <v>803</v>
      </c>
      <c r="S1397" s="244" t="s">
        <v>804</v>
      </c>
      <c r="T1397" s="244" t="s">
        <v>805</v>
      </c>
      <c r="U1397" s="244" t="s">
        <v>806</v>
      </c>
      <c r="V1397" s="244" t="s">
        <v>807</v>
      </c>
      <c r="W1397" s="244" t="s">
        <v>808</v>
      </c>
      <c r="X1397" s="244" t="s">
        <v>809</v>
      </c>
      <c r="Y1397" s="244" t="s">
        <v>75</v>
      </c>
      <c r="Z1397" s="244" t="s">
        <v>75</v>
      </c>
    </row>
    <row r="1398" spans="3:26" ht="19" x14ac:dyDescent="0.2">
      <c r="C1398" s="241"/>
      <c r="D1398" s="588" t="s">
        <v>432</v>
      </c>
      <c r="E1398" s="853"/>
      <c r="F1398" s="854"/>
      <c r="G1398" s="855"/>
      <c r="H1398" s="245" t="s">
        <v>794</v>
      </c>
      <c r="I1398" s="962" t="s">
        <v>1258</v>
      </c>
      <c r="J1398" s="962"/>
      <c r="K1398" s="963"/>
      <c r="L1398" s="617"/>
      <c r="M1398" s="374" t="s">
        <v>1257</v>
      </c>
      <c r="N1398" s="243"/>
      <c r="O1398" s="246" t="s">
        <v>810</v>
      </c>
      <c r="P1398" s="247">
        <v>0.1</v>
      </c>
      <c r="Q1398" s="248">
        <v>2.5999999999999999E-2</v>
      </c>
      <c r="R1398" s="249">
        <v>1.8000000000000682E-2</v>
      </c>
      <c r="S1398" s="250"/>
      <c r="T1398" s="246">
        <v>5.7000000000000682E-2</v>
      </c>
      <c r="U1398" s="248">
        <v>-13.52</v>
      </c>
      <c r="V1398" s="247">
        <v>60.5</v>
      </c>
      <c r="W1398" s="251">
        <v>2</v>
      </c>
      <c r="X1398" s="252">
        <v>27.04</v>
      </c>
      <c r="Y1398" s="250"/>
      <c r="Z1398" s="250"/>
    </row>
    <row r="1399" spans="3:26" ht="19" x14ac:dyDescent="0.2">
      <c r="C1399" s="241"/>
      <c r="D1399" s="589" t="s">
        <v>433</v>
      </c>
      <c r="E1399" s="808">
        <v>4.0000000000000001E-3</v>
      </c>
      <c r="F1399" s="809"/>
      <c r="G1399" s="810"/>
      <c r="H1399" s="245" t="s">
        <v>795</v>
      </c>
      <c r="I1399" s="964"/>
      <c r="J1399" s="964"/>
      <c r="K1399" s="965"/>
      <c r="L1399" s="617"/>
      <c r="M1399" s="375"/>
      <c r="N1399" s="243"/>
      <c r="O1399" s="243"/>
      <c r="P1399" s="243"/>
      <c r="Q1399" s="243"/>
      <c r="R1399" s="253"/>
      <c r="S1399" s="254"/>
      <c r="T1399" s="243"/>
      <c r="U1399" s="243"/>
      <c r="V1399" s="243"/>
      <c r="W1399" s="254"/>
      <c r="X1399" s="254"/>
      <c r="Y1399" s="255"/>
      <c r="Z1399" s="255"/>
    </row>
    <row r="1400" spans="3:26" ht="19" x14ac:dyDescent="0.2">
      <c r="C1400" s="241"/>
      <c r="D1400" s="589" t="s">
        <v>434</v>
      </c>
      <c r="E1400" s="808">
        <v>1E-3</v>
      </c>
      <c r="F1400" s="809"/>
      <c r="G1400" s="810"/>
      <c r="H1400" s="245"/>
      <c r="I1400" s="964"/>
      <c r="J1400" s="964"/>
      <c r="K1400" s="965"/>
      <c r="L1400" s="617"/>
      <c r="M1400" s="375"/>
      <c r="N1400" s="243"/>
      <c r="O1400" s="256" t="s">
        <v>811</v>
      </c>
      <c r="P1400" s="257">
        <v>0.1</v>
      </c>
      <c r="Q1400" s="258">
        <v>6.8900000000000003E-2</v>
      </c>
      <c r="R1400" s="259">
        <v>2.8000000000000001E-2</v>
      </c>
      <c r="S1400" s="260">
        <v>1.6</v>
      </c>
      <c r="T1400" s="256">
        <v>0.13134999999999999</v>
      </c>
      <c r="U1400" s="261">
        <v>-31.155298245613661</v>
      </c>
      <c r="V1400" s="262">
        <v>60.5</v>
      </c>
      <c r="W1400" s="263">
        <v>3.1</v>
      </c>
      <c r="X1400" s="264">
        <v>96.581424561402358</v>
      </c>
      <c r="Y1400" s="265"/>
      <c r="Z1400" s="265"/>
    </row>
    <row r="1401" spans="3:26" ht="20" thickBot="1" x14ac:dyDescent="0.25">
      <c r="C1401" s="241"/>
      <c r="D1401" s="590" t="s">
        <v>435</v>
      </c>
      <c r="E1401" s="871">
        <v>0.5625</v>
      </c>
      <c r="F1401" s="872"/>
      <c r="G1401" s="873"/>
      <c r="H1401" s="266">
        <v>0.35416666666666663</v>
      </c>
      <c r="I1401" s="964"/>
      <c r="J1401" s="964"/>
      <c r="K1401" s="965"/>
      <c r="L1401" s="618">
        <v>0.79166666666666663</v>
      </c>
      <c r="M1401" s="377">
        <v>0.64583333333333326</v>
      </c>
      <c r="N1401" s="243"/>
      <c r="O1401" s="267" t="s">
        <v>812</v>
      </c>
      <c r="P1401" s="268">
        <v>0.1</v>
      </c>
      <c r="Q1401" s="269">
        <v>-1.4933333333333335E-2</v>
      </c>
      <c r="R1401" s="270">
        <v>0.1353</v>
      </c>
      <c r="S1401" s="271">
        <v>1.6</v>
      </c>
      <c r="T1401" s="272">
        <v>0.1129</v>
      </c>
      <c r="U1401" s="273">
        <v>-42.846540350876687</v>
      </c>
      <c r="V1401" s="274">
        <v>60.5</v>
      </c>
      <c r="W1401" s="275">
        <v>5.92</v>
      </c>
      <c r="X1401" s="276">
        <v>253.65151887718997</v>
      </c>
      <c r="Y1401" s="277"/>
      <c r="Z1401" s="277"/>
    </row>
    <row r="1402" spans="3:26" ht="20" thickBot="1" x14ac:dyDescent="0.25">
      <c r="C1402" s="241"/>
      <c r="D1402" s="591" t="s">
        <v>436</v>
      </c>
      <c r="E1402" s="293" t="s">
        <v>29</v>
      </c>
      <c r="F1402" s="293" t="s">
        <v>28</v>
      </c>
      <c r="G1402" s="294" t="s">
        <v>27</v>
      </c>
      <c r="H1402" s="280" t="s">
        <v>793</v>
      </c>
      <c r="I1402" s="964"/>
      <c r="J1402" s="964"/>
      <c r="K1402" s="965"/>
      <c r="L1402" s="619" t="s">
        <v>1246</v>
      </c>
      <c r="M1402" s="379"/>
      <c r="N1402" s="243"/>
      <c r="O1402" s="254"/>
      <c r="P1402" s="255"/>
      <c r="Q1402" s="254"/>
      <c r="R1402" s="254"/>
      <c r="S1402" s="254"/>
      <c r="T1402" s="254"/>
      <c r="U1402" s="281"/>
      <c r="V1402" s="282"/>
      <c r="W1402" s="254"/>
      <c r="X1402" s="281"/>
      <c r="Y1402" s="255"/>
      <c r="Z1402" s="255"/>
    </row>
    <row r="1403" spans="3:26" ht="19" x14ac:dyDescent="0.2">
      <c r="C1403" s="241"/>
      <c r="D1403" s="592">
        <v>45611</v>
      </c>
      <c r="E1403" s="353">
        <v>1E-3</v>
      </c>
      <c r="F1403" s="353" t="s">
        <v>467</v>
      </c>
      <c r="G1403" s="353">
        <v>0.01</v>
      </c>
      <c r="H1403" s="284">
        <v>0.5625</v>
      </c>
      <c r="I1403" s="964"/>
      <c r="J1403" s="964"/>
      <c r="K1403" s="965"/>
      <c r="L1403" s="621">
        <v>0.52083333333333337</v>
      </c>
      <c r="M1403" s="382"/>
      <c r="N1403" s="243"/>
      <c r="O1403" s="254"/>
      <c r="P1403" s="255"/>
      <c r="Q1403" s="254"/>
      <c r="R1403" s="254"/>
      <c r="S1403" s="254"/>
      <c r="T1403" s="254"/>
      <c r="U1403" s="254"/>
      <c r="V1403" s="254"/>
      <c r="W1403" s="254"/>
      <c r="X1403" s="254"/>
      <c r="Y1403" s="255"/>
      <c r="Z1403" s="255"/>
    </row>
    <row r="1404" spans="3:26" ht="19" x14ac:dyDescent="0.2">
      <c r="C1404" s="241"/>
      <c r="D1404" s="592">
        <v>45582</v>
      </c>
      <c r="E1404" s="353">
        <v>5.0000000000000001E-3</v>
      </c>
      <c r="F1404" s="353" t="s">
        <v>462</v>
      </c>
      <c r="G1404" s="353">
        <v>2E-3</v>
      </c>
      <c r="H1404" s="284">
        <v>0.52083333333333337</v>
      </c>
      <c r="I1404" s="964"/>
      <c r="J1404" s="964"/>
      <c r="K1404" s="965"/>
      <c r="L1404" s="621">
        <v>0.52083333333333337</v>
      </c>
      <c r="M1404" s="383"/>
      <c r="N1404" s="243"/>
      <c r="O1404" s="246" t="s">
        <v>813</v>
      </c>
      <c r="P1404" s="247">
        <v>0.05</v>
      </c>
      <c r="Q1404" s="285">
        <v>2.6983333333333335E-2</v>
      </c>
      <c r="R1404" s="286">
        <v>0.1353</v>
      </c>
      <c r="S1404" s="250">
        <v>1.6</v>
      </c>
      <c r="T1404" s="256">
        <v>0.17577500000000001</v>
      </c>
      <c r="U1404" s="287">
        <v>-33.354077192982061</v>
      </c>
      <c r="V1404" s="288">
        <v>30.25</v>
      </c>
      <c r="W1404" s="402">
        <v>1.8</v>
      </c>
      <c r="X1404" s="252">
        <v>60.037338947367708</v>
      </c>
      <c r="Y1404" s="289"/>
      <c r="Z1404" s="289"/>
    </row>
    <row r="1405" spans="3:26" ht="19" x14ac:dyDescent="0.2">
      <c r="C1405" s="241"/>
      <c r="D1405" s="592">
        <v>45552</v>
      </c>
      <c r="E1405" s="353">
        <v>1E-3</v>
      </c>
      <c r="F1405" s="353" t="s">
        <v>460</v>
      </c>
      <c r="G1405" s="353">
        <v>4.0000000000000001E-3</v>
      </c>
      <c r="H1405" s="284">
        <v>0.52083333333333337</v>
      </c>
      <c r="I1405" s="964"/>
      <c r="J1405" s="964"/>
      <c r="K1405" s="965"/>
      <c r="L1405" s="621">
        <v>0.52083333333333337</v>
      </c>
      <c r="M1405" s="375"/>
      <c r="N1405" s="243"/>
      <c r="O1405" s="246" t="s">
        <v>813</v>
      </c>
      <c r="P1405" s="247">
        <v>0.05</v>
      </c>
      <c r="Q1405" s="285">
        <v>2.6983333333333335E-2</v>
      </c>
      <c r="R1405" s="286">
        <v>0.1353</v>
      </c>
      <c r="S1405" s="250">
        <v>1.6</v>
      </c>
      <c r="T1405" s="256">
        <v>0.17577500000000001</v>
      </c>
      <c r="U1405" s="287">
        <v>-33.354077192982061</v>
      </c>
      <c r="V1405" s="288">
        <v>30.25</v>
      </c>
      <c r="W1405" s="402">
        <v>1.8</v>
      </c>
      <c r="X1405" s="252">
        <v>60.037338947367708</v>
      </c>
      <c r="Y1405" s="289"/>
      <c r="Z1405" s="289"/>
    </row>
    <row r="1406" spans="3:26" ht="19" x14ac:dyDescent="0.2">
      <c r="C1406" s="241"/>
      <c r="D1406" s="592">
        <v>45519</v>
      </c>
      <c r="E1406" s="353">
        <v>4.0000000000000001E-3</v>
      </c>
      <c r="F1406" s="353" t="s">
        <v>462</v>
      </c>
      <c r="G1406" s="353">
        <v>5.0000000000000001E-3</v>
      </c>
      <c r="H1406" s="284">
        <v>0.52083333333333337</v>
      </c>
      <c r="I1406" s="964"/>
      <c r="J1406" s="964"/>
      <c r="K1406" s="965"/>
      <c r="L1406" s="621">
        <v>0.52083333333333337</v>
      </c>
      <c r="M1406" s="375"/>
      <c r="N1406" s="243"/>
      <c r="O1406" s="246"/>
      <c r="P1406" s="290"/>
      <c r="Q1406" s="285"/>
      <c r="R1406" s="286"/>
      <c r="S1406" s="250"/>
      <c r="T1406" s="290"/>
      <c r="U1406" s="287"/>
      <c r="V1406" s="288"/>
      <c r="W1406" s="250"/>
      <c r="X1406" s="252"/>
      <c r="Y1406" s="289"/>
      <c r="Z1406" s="289"/>
    </row>
    <row r="1407" spans="3:26" ht="19" x14ac:dyDescent="0.2">
      <c r="C1407" s="241"/>
      <c r="D1407" s="592">
        <v>45489</v>
      </c>
      <c r="E1407" s="353">
        <v>4.0000000000000001E-3</v>
      </c>
      <c r="F1407" s="353" t="s">
        <v>462</v>
      </c>
      <c r="G1407" s="353">
        <v>1E-3</v>
      </c>
      <c r="H1407" s="284">
        <v>0.52083333333333337</v>
      </c>
      <c r="I1407" s="964"/>
      <c r="J1407" s="964"/>
      <c r="K1407" s="965"/>
      <c r="L1407" s="621">
        <v>0.52083333333333337</v>
      </c>
      <c r="M1407" s="375"/>
      <c r="N1407" s="243"/>
      <c r="O1407" s="291"/>
      <c r="P1407" s="291"/>
      <c r="Q1407" s="291"/>
      <c r="R1407" s="291"/>
      <c r="S1407" s="291"/>
      <c r="T1407" s="291"/>
      <c r="U1407" s="291"/>
      <c r="V1407" s="291"/>
      <c r="W1407" s="291"/>
      <c r="X1407" s="291"/>
      <c r="Y1407" s="291"/>
      <c r="Z1407" s="291"/>
    </row>
    <row r="1408" spans="3:26" ht="20" thickBot="1" x14ac:dyDescent="0.25">
      <c r="C1408" s="241"/>
      <c r="D1408" s="592">
        <v>45461</v>
      </c>
      <c r="E1408" s="353">
        <v>-1E-3</v>
      </c>
      <c r="F1408" s="353" t="s">
        <v>460</v>
      </c>
      <c r="G1408" s="353">
        <v>-1E-3</v>
      </c>
      <c r="H1408" s="284">
        <v>0.52083333333333337</v>
      </c>
      <c r="I1408" s="966"/>
      <c r="J1408" s="966"/>
      <c r="K1408" s="967"/>
      <c r="L1408" s="621">
        <v>0.52083333333333337</v>
      </c>
      <c r="M1408" s="384"/>
      <c r="N1408" s="243"/>
      <c r="O1408" s="291"/>
      <c r="P1408" s="296"/>
      <c r="Q1408" s="291"/>
      <c r="R1408" s="291"/>
      <c r="S1408" s="291"/>
      <c r="T1408" s="291"/>
      <c r="U1408" s="291"/>
      <c r="V1408" s="291"/>
      <c r="W1408" s="291"/>
      <c r="X1408" s="291"/>
      <c r="Y1408" s="291"/>
      <c r="Z1408" s="291"/>
    </row>
    <row r="1409" spans="3:26" ht="20" thickBot="1" x14ac:dyDescent="0.25">
      <c r="C1409" s="241">
        <v>3</v>
      </c>
      <c r="D1409" s="593" t="s">
        <v>30</v>
      </c>
      <c r="E1409" s="1018" t="s">
        <v>1259</v>
      </c>
      <c r="F1409" s="1019"/>
      <c r="G1409" s="1020"/>
      <c r="H1409" s="242" t="s">
        <v>790</v>
      </c>
      <c r="I1409" s="977" t="s">
        <v>633</v>
      </c>
      <c r="J1409" s="977"/>
      <c r="K1409" s="978"/>
      <c r="L1409" s="616" t="s">
        <v>430</v>
      </c>
      <c r="M1409" s="387" t="s">
        <v>431</v>
      </c>
      <c r="N1409" s="243" t="s">
        <v>105</v>
      </c>
      <c r="O1409" s="244" t="s">
        <v>800</v>
      </c>
      <c r="P1409" s="244" t="s">
        <v>801</v>
      </c>
      <c r="Q1409" s="244" t="s">
        <v>802</v>
      </c>
      <c r="R1409" s="244" t="s">
        <v>803</v>
      </c>
      <c r="S1409" s="244" t="s">
        <v>804</v>
      </c>
      <c r="T1409" s="244" t="s">
        <v>805</v>
      </c>
      <c r="U1409" s="244" t="s">
        <v>806</v>
      </c>
      <c r="V1409" s="244" t="s">
        <v>807</v>
      </c>
      <c r="W1409" s="244" t="s">
        <v>808</v>
      </c>
      <c r="X1409" s="244" t="s">
        <v>809</v>
      </c>
      <c r="Y1409" s="244" t="s">
        <v>75</v>
      </c>
      <c r="Z1409" s="244" t="s">
        <v>75</v>
      </c>
    </row>
    <row r="1410" spans="3:26" ht="19" x14ac:dyDescent="0.2">
      <c r="C1410" s="241"/>
      <c r="D1410" s="588" t="s">
        <v>432</v>
      </c>
      <c r="E1410" s="853"/>
      <c r="F1410" s="854"/>
      <c r="G1410" s="855"/>
      <c r="H1410" s="245" t="s">
        <v>794</v>
      </c>
      <c r="I1410" s="962" t="s">
        <v>1260</v>
      </c>
      <c r="J1410" s="962"/>
      <c r="K1410" s="963"/>
      <c r="L1410" s="617"/>
      <c r="M1410" s="374" t="s">
        <v>1259</v>
      </c>
      <c r="N1410" s="243"/>
      <c r="O1410" s="246" t="s">
        <v>810</v>
      </c>
      <c r="P1410" s="247">
        <v>0.1</v>
      </c>
      <c r="Q1410" s="248">
        <v>2.5000000000000001E-2</v>
      </c>
      <c r="R1410" s="249">
        <v>2.1000000000015007E-2</v>
      </c>
      <c r="S1410" s="250"/>
      <c r="T1410" s="246">
        <v>5.8500000000015012E-2</v>
      </c>
      <c r="U1410" s="248">
        <v>-14.31</v>
      </c>
      <c r="V1410" s="247">
        <v>60.5</v>
      </c>
      <c r="W1410" s="251">
        <v>2</v>
      </c>
      <c r="X1410" s="252">
        <v>28.62</v>
      </c>
      <c r="Y1410" s="250"/>
      <c r="Z1410" s="250"/>
    </row>
    <row r="1411" spans="3:26" ht="19" x14ac:dyDescent="0.2">
      <c r="C1411" s="241"/>
      <c r="D1411" s="589" t="s">
        <v>433</v>
      </c>
      <c r="E1411" s="808">
        <v>6.0000000000000001E-3</v>
      </c>
      <c r="F1411" s="809"/>
      <c r="G1411" s="810"/>
      <c r="H1411" s="245" t="s">
        <v>795</v>
      </c>
      <c r="I1411" s="964"/>
      <c r="J1411" s="964"/>
      <c r="K1411" s="965"/>
      <c r="L1411" s="617"/>
      <c r="M1411" s="375"/>
      <c r="N1411" s="243"/>
      <c r="O1411" s="243"/>
      <c r="P1411" s="243"/>
      <c r="Q1411" s="243"/>
      <c r="R1411" s="253"/>
      <c r="S1411" s="254"/>
      <c r="T1411" s="243"/>
      <c r="U1411" s="243"/>
      <c r="V1411" s="243"/>
      <c r="W1411" s="254"/>
      <c r="X1411" s="254"/>
      <c r="Y1411" s="255"/>
      <c r="Z1411" s="255"/>
    </row>
    <row r="1412" spans="3:26" ht="19" x14ac:dyDescent="0.2">
      <c r="C1412" s="241"/>
      <c r="D1412" s="589" t="s">
        <v>434</v>
      </c>
      <c r="E1412" s="808">
        <v>4.0000000000000001E-3</v>
      </c>
      <c r="F1412" s="809"/>
      <c r="G1412" s="810"/>
      <c r="H1412" s="245"/>
      <c r="I1412" s="964"/>
      <c r="J1412" s="964"/>
      <c r="K1412" s="965"/>
      <c r="L1412" s="617"/>
      <c r="M1412" s="375"/>
      <c r="N1412" s="243"/>
      <c r="O1412" s="256" t="s">
        <v>811</v>
      </c>
      <c r="P1412" s="257">
        <v>0.1</v>
      </c>
      <c r="Q1412" s="258">
        <v>6.8099999999999994E-2</v>
      </c>
      <c r="R1412" s="259">
        <v>4.8000000000000001E-2</v>
      </c>
      <c r="S1412" s="260">
        <v>1</v>
      </c>
      <c r="T1412" s="256">
        <v>0.15015000000000001</v>
      </c>
      <c r="U1412" s="261">
        <v>-36.728999999990577</v>
      </c>
      <c r="V1412" s="262">
        <v>60.5</v>
      </c>
      <c r="W1412" s="263">
        <v>3.83</v>
      </c>
      <c r="X1412" s="264">
        <v>140.67206999996392</v>
      </c>
      <c r="Y1412" s="265"/>
      <c r="Z1412" s="265"/>
    </row>
    <row r="1413" spans="3:26" ht="20" thickBot="1" x14ac:dyDescent="0.25">
      <c r="C1413" s="241"/>
      <c r="D1413" s="590" t="s">
        <v>435</v>
      </c>
      <c r="E1413" s="871">
        <v>0.5625</v>
      </c>
      <c r="F1413" s="872"/>
      <c r="G1413" s="873"/>
      <c r="H1413" s="266">
        <v>0.35416666666666663</v>
      </c>
      <c r="I1413" s="964"/>
      <c r="J1413" s="964"/>
      <c r="K1413" s="965"/>
      <c r="L1413" s="618">
        <v>0.79166666666666663</v>
      </c>
      <c r="M1413" s="377">
        <v>0.64583333333333326</v>
      </c>
      <c r="N1413" s="243"/>
      <c r="O1413" s="267" t="s">
        <v>812</v>
      </c>
      <c r="P1413" s="268">
        <v>0.1</v>
      </c>
      <c r="Q1413" s="269">
        <v>9.7799999999999998E-2</v>
      </c>
      <c r="R1413" s="270">
        <v>4.8000000000000001E-2</v>
      </c>
      <c r="S1413" s="271">
        <v>1</v>
      </c>
      <c r="T1413" s="272">
        <v>0.19470000000000001</v>
      </c>
      <c r="U1413" s="273">
        <v>-47.62661538460317</v>
      </c>
      <c r="V1413" s="274">
        <v>60.5</v>
      </c>
      <c r="W1413" s="275">
        <v>8.1300000000000008</v>
      </c>
      <c r="X1413" s="276">
        <v>387.20438307682383</v>
      </c>
      <c r="Y1413" s="277"/>
      <c r="Z1413" s="277"/>
    </row>
    <row r="1414" spans="3:26" ht="20" thickBot="1" x14ac:dyDescent="0.25">
      <c r="C1414" s="241"/>
      <c r="D1414" s="591" t="s">
        <v>436</v>
      </c>
      <c r="E1414" s="293" t="s">
        <v>29</v>
      </c>
      <c r="F1414" s="293" t="s">
        <v>28</v>
      </c>
      <c r="G1414" s="294" t="s">
        <v>27</v>
      </c>
      <c r="H1414" s="280" t="s">
        <v>793</v>
      </c>
      <c r="I1414" s="964"/>
      <c r="J1414" s="964"/>
      <c r="K1414" s="965"/>
      <c r="L1414" s="619"/>
      <c r="M1414" s="379"/>
      <c r="N1414" s="243"/>
      <c r="O1414" s="254"/>
      <c r="P1414" s="255"/>
      <c r="Q1414" s="254"/>
      <c r="R1414" s="254"/>
      <c r="S1414" s="254"/>
      <c r="T1414" s="254"/>
      <c r="U1414" s="281"/>
      <c r="V1414" s="282"/>
      <c r="W1414" s="254"/>
      <c r="X1414" s="281"/>
      <c r="Y1414" s="255"/>
      <c r="Z1414" s="255"/>
    </row>
    <row r="1415" spans="3:26" ht="19" x14ac:dyDescent="0.2">
      <c r="C1415" s="241"/>
      <c r="D1415" s="592">
        <v>45611</v>
      </c>
      <c r="E1415" s="353">
        <v>4.0000000000000001E-3</v>
      </c>
      <c r="F1415" s="353" t="s">
        <v>467</v>
      </c>
      <c r="G1415" s="353">
        <v>8.0000000000000002E-3</v>
      </c>
      <c r="H1415" s="284">
        <v>0.5625</v>
      </c>
      <c r="I1415" s="964"/>
      <c r="J1415" s="964"/>
      <c r="K1415" s="965"/>
      <c r="L1415" s="621"/>
      <c r="M1415" s="382"/>
      <c r="N1415" s="243"/>
      <c r="O1415" s="254"/>
      <c r="P1415" s="255"/>
      <c r="Q1415" s="254"/>
      <c r="R1415" s="254"/>
      <c r="S1415" s="254"/>
      <c r="T1415" s="254"/>
      <c r="U1415" s="254"/>
      <c r="V1415" s="254"/>
      <c r="W1415" s="254"/>
      <c r="X1415" s="254"/>
      <c r="Y1415" s="255"/>
      <c r="Z1415" s="255"/>
    </row>
    <row r="1416" spans="3:26" ht="19" x14ac:dyDescent="0.2">
      <c r="C1416" s="241"/>
      <c r="D1416" s="592">
        <v>45582</v>
      </c>
      <c r="E1416" s="353">
        <v>4.0000000000000001E-3</v>
      </c>
      <c r="F1416" s="353" t="s">
        <v>467</v>
      </c>
      <c r="G1416" s="353">
        <v>1E-3</v>
      </c>
      <c r="H1416" s="284">
        <v>0.52083333333333337</v>
      </c>
      <c r="I1416" s="964"/>
      <c r="J1416" s="964"/>
      <c r="K1416" s="965"/>
      <c r="L1416" s="621"/>
      <c r="M1416" s="383"/>
      <c r="N1416" s="243"/>
      <c r="O1416" s="246" t="s">
        <v>813</v>
      </c>
      <c r="P1416" s="247">
        <v>0.1</v>
      </c>
      <c r="Q1416" s="285">
        <v>8.2949999999999996E-2</v>
      </c>
      <c r="R1416" s="286">
        <v>4.8000000000000001E-2</v>
      </c>
      <c r="S1416" s="250">
        <v>1.5</v>
      </c>
      <c r="T1416" s="256">
        <v>0.17242499999999999</v>
      </c>
      <c r="U1416" s="287">
        <v>-63.2667115384453</v>
      </c>
      <c r="V1416" s="288">
        <v>60.5</v>
      </c>
      <c r="W1416" s="250">
        <v>2</v>
      </c>
      <c r="X1416" s="252">
        <v>126.5334230768906</v>
      </c>
      <c r="Y1416" s="289"/>
      <c r="Z1416" s="289"/>
    </row>
    <row r="1417" spans="3:26" ht="19" x14ac:dyDescent="0.2">
      <c r="C1417" s="241"/>
      <c r="D1417" s="592">
        <v>45552</v>
      </c>
      <c r="E1417" s="353">
        <v>1E-3</v>
      </c>
      <c r="F1417" s="353" t="s">
        <v>461</v>
      </c>
      <c r="G1417" s="353">
        <v>1.0999999999999999E-2</v>
      </c>
      <c r="H1417" s="284">
        <v>0.52083333333333337</v>
      </c>
      <c r="I1417" s="964"/>
      <c r="J1417" s="964"/>
      <c r="K1417" s="965"/>
      <c r="L1417" s="621"/>
      <c r="M1417" s="375"/>
      <c r="N1417" s="243"/>
      <c r="O1417" s="246" t="s">
        <v>813</v>
      </c>
      <c r="P1417" s="247">
        <v>0.1</v>
      </c>
      <c r="Q1417" s="285">
        <v>8.2949999999999996E-2</v>
      </c>
      <c r="R1417" s="286">
        <v>4.8000000000000001E-2</v>
      </c>
      <c r="S1417" s="250">
        <v>1.5</v>
      </c>
      <c r="T1417" s="256">
        <v>0.17242499999999999</v>
      </c>
      <c r="U1417" s="287">
        <v>-63.2667115384453</v>
      </c>
      <c r="V1417" s="288">
        <v>60.5</v>
      </c>
      <c r="W1417" s="250">
        <v>2</v>
      </c>
      <c r="X1417" s="252">
        <v>126.5334230768906</v>
      </c>
      <c r="Y1417" s="289"/>
      <c r="Z1417" s="289"/>
    </row>
    <row r="1418" spans="3:26" ht="19" x14ac:dyDescent="0.2">
      <c r="C1418" s="241"/>
      <c r="D1418" s="592">
        <v>45519</v>
      </c>
      <c r="E1418" s="353">
        <v>0.01</v>
      </c>
      <c r="F1418" s="353" t="s">
        <v>452</v>
      </c>
      <c r="G1418" s="353">
        <v>-2E-3</v>
      </c>
      <c r="H1418" s="284">
        <v>0.52083333333333337</v>
      </c>
      <c r="I1418" s="964"/>
      <c r="J1418" s="964"/>
      <c r="K1418" s="965"/>
      <c r="L1418" s="621"/>
      <c r="M1418" s="375"/>
      <c r="N1418" s="243"/>
      <c r="O1418" s="246"/>
      <c r="P1418" s="290"/>
      <c r="Q1418" s="285"/>
      <c r="R1418" s="286"/>
      <c r="S1418" s="250"/>
      <c r="T1418" s="290"/>
      <c r="U1418" s="287"/>
      <c r="V1418" s="288"/>
      <c r="W1418" s="250"/>
      <c r="X1418" s="252"/>
      <c r="Y1418" s="289"/>
      <c r="Z1418" s="289"/>
    </row>
    <row r="1419" spans="3:26" ht="19" x14ac:dyDescent="0.2">
      <c r="C1419" s="241"/>
      <c r="D1419" s="592">
        <v>45489</v>
      </c>
      <c r="E1419" s="353">
        <v>0</v>
      </c>
      <c r="F1419" s="353" t="s">
        <v>454</v>
      </c>
      <c r="G1419" s="353">
        <v>3.0000000000000001E-3</v>
      </c>
      <c r="H1419" s="284">
        <v>0.52083333333333337</v>
      </c>
      <c r="I1419" s="964"/>
      <c r="J1419" s="964"/>
      <c r="K1419" s="965"/>
      <c r="L1419" s="621"/>
      <c r="M1419" s="375"/>
      <c r="N1419" s="243"/>
      <c r="O1419" s="291"/>
      <c r="P1419" s="291"/>
      <c r="Q1419" s="291"/>
      <c r="R1419" s="291"/>
      <c r="S1419" s="291"/>
      <c r="T1419" s="291"/>
      <c r="U1419" s="291"/>
      <c r="V1419" s="291"/>
      <c r="W1419" s="291"/>
      <c r="X1419" s="291"/>
      <c r="Y1419" s="291"/>
      <c r="Z1419" s="291"/>
    </row>
    <row r="1420" spans="3:26" ht="20" thickBot="1" x14ac:dyDescent="0.25">
      <c r="C1420" s="241"/>
      <c r="D1420" s="608">
        <v>45461</v>
      </c>
      <c r="E1420" s="355">
        <v>1E-3</v>
      </c>
      <c r="F1420" s="355" t="s">
        <v>467</v>
      </c>
      <c r="G1420" s="355">
        <v>-2E-3</v>
      </c>
      <c r="H1420" s="284">
        <v>0.52083333333333337</v>
      </c>
      <c r="I1420" s="966"/>
      <c r="J1420" s="966"/>
      <c r="K1420" s="967"/>
      <c r="L1420" s="622"/>
      <c r="M1420" s="384"/>
      <c r="N1420" s="243"/>
      <c r="O1420" s="291"/>
      <c r="P1420" s="291"/>
      <c r="Q1420" s="291"/>
      <c r="R1420" s="291"/>
      <c r="S1420" s="291"/>
      <c r="T1420" s="291"/>
      <c r="U1420" s="291"/>
      <c r="V1420" s="291"/>
      <c r="W1420" s="291"/>
      <c r="X1420" s="291"/>
      <c r="Y1420" s="291"/>
      <c r="Z1420" s="291"/>
    </row>
    <row r="1421" spans="3:26" ht="20" thickBot="1" x14ac:dyDescent="0.25">
      <c r="C1421" s="241">
        <v>4</v>
      </c>
      <c r="D1421" s="576" t="s">
        <v>30</v>
      </c>
      <c r="E1421" s="874" t="s">
        <v>1261</v>
      </c>
      <c r="F1421" s="875"/>
      <c r="G1421" s="876"/>
      <c r="H1421" s="242" t="s">
        <v>790</v>
      </c>
      <c r="I1421" s="977" t="s">
        <v>633</v>
      </c>
      <c r="J1421" s="977"/>
      <c r="K1421" s="978"/>
      <c r="L1421" s="616" t="s">
        <v>430</v>
      </c>
      <c r="M1421" s="372" t="s">
        <v>431</v>
      </c>
      <c r="N1421" s="243" t="s">
        <v>105</v>
      </c>
      <c r="O1421" s="244" t="s">
        <v>800</v>
      </c>
      <c r="P1421" s="244" t="s">
        <v>801</v>
      </c>
      <c r="Q1421" s="244" t="s">
        <v>802</v>
      </c>
      <c r="R1421" s="244" t="s">
        <v>803</v>
      </c>
      <c r="S1421" s="244" t="s">
        <v>804</v>
      </c>
      <c r="T1421" s="244" t="s">
        <v>805</v>
      </c>
      <c r="U1421" s="244" t="s">
        <v>806</v>
      </c>
      <c r="V1421" s="244" t="s">
        <v>807</v>
      </c>
      <c r="W1421" s="244" t="s">
        <v>808</v>
      </c>
      <c r="X1421" s="244" t="s">
        <v>809</v>
      </c>
      <c r="Y1421" s="244" t="s">
        <v>75</v>
      </c>
      <c r="Z1421" s="244" t="s">
        <v>75</v>
      </c>
    </row>
    <row r="1422" spans="3:26" ht="19" x14ac:dyDescent="0.2">
      <c r="C1422" s="241"/>
      <c r="D1422" s="588" t="s">
        <v>432</v>
      </c>
      <c r="E1422" s="880"/>
      <c r="F1422" s="881"/>
      <c r="G1422" s="882"/>
      <c r="H1422" s="245" t="s">
        <v>947</v>
      </c>
      <c r="I1422" s="962" t="s">
        <v>1262</v>
      </c>
      <c r="J1422" s="962"/>
      <c r="K1422" s="963"/>
      <c r="L1422" s="617"/>
      <c r="M1422" s="374" t="s">
        <v>1261</v>
      </c>
      <c r="N1422" s="243"/>
      <c r="O1422" s="246" t="s">
        <v>810</v>
      </c>
      <c r="P1422" s="247">
        <v>0.1</v>
      </c>
      <c r="Q1422" s="248">
        <v>3.4000000000000002E-2</v>
      </c>
      <c r="R1422" s="249">
        <v>1.5000000000014779E-2</v>
      </c>
      <c r="S1422" s="250"/>
      <c r="T1422" s="246">
        <v>6.6000000000014783E-2</v>
      </c>
      <c r="U1422" s="248">
        <v>-16.5</v>
      </c>
      <c r="V1422" s="247">
        <v>60.5</v>
      </c>
      <c r="W1422" s="251">
        <v>2</v>
      </c>
      <c r="X1422" s="252">
        <v>33</v>
      </c>
      <c r="Y1422" s="250"/>
      <c r="Z1422" s="250"/>
    </row>
    <row r="1423" spans="3:26" ht="19" x14ac:dyDescent="0.2">
      <c r="C1423" s="241"/>
      <c r="D1423" s="589" t="s">
        <v>433</v>
      </c>
      <c r="E1423" s="868">
        <v>2.5999999999999999E-2</v>
      </c>
      <c r="F1423" s="869"/>
      <c r="G1423" s="870"/>
      <c r="H1423" s="245" t="s">
        <v>908</v>
      </c>
      <c r="I1423" s="964"/>
      <c r="J1423" s="964"/>
      <c r="K1423" s="965"/>
      <c r="L1423" s="617"/>
      <c r="M1423" s="375"/>
      <c r="N1423" s="243"/>
      <c r="O1423" s="243"/>
      <c r="P1423" s="243"/>
      <c r="Q1423" s="243"/>
      <c r="R1423" s="253"/>
      <c r="S1423" s="254"/>
      <c r="T1423" s="243"/>
      <c r="U1423" s="243"/>
      <c r="V1423" s="243"/>
      <c r="W1423" s="254"/>
      <c r="X1423" s="254"/>
      <c r="Y1423" s="255"/>
      <c r="Z1423" s="255"/>
    </row>
    <row r="1424" spans="3:26" ht="19" x14ac:dyDescent="0.2">
      <c r="C1424" s="241"/>
      <c r="D1424" s="589" t="s">
        <v>434</v>
      </c>
      <c r="E1424" s="868">
        <v>2.3E-2</v>
      </c>
      <c r="F1424" s="869"/>
      <c r="G1424" s="870"/>
      <c r="H1424" s="245"/>
      <c r="I1424" s="964"/>
      <c r="J1424" s="964"/>
      <c r="K1424" s="965"/>
      <c r="L1424" s="617"/>
      <c r="M1424" s="375"/>
      <c r="N1424" s="243"/>
      <c r="O1424" s="256" t="s">
        <v>811</v>
      </c>
      <c r="P1424" s="257">
        <v>0.06</v>
      </c>
      <c r="Q1424" s="258">
        <v>8.6699999999999999E-2</v>
      </c>
      <c r="R1424" s="259">
        <v>1.9E-2</v>
      </c>
      <c r="S1424" s="260">
        <v>1</v>
      </c>
      <c r="T1424" s="256">
        <v>0.14904999999999999</v>
      </c>
      <c r="U1424" s="261">
        <v>-22.357499999994992</v>
      </c>
      <c r="V1424" s="262">
        <v>36.299999999999997</v>
      </c>
      <c r="W1424" s="263">
        <v>4.58</v>
      </c>
      <c r="X1424" s="264">
        <v>102.39734999997707</v>
      </c>
      <c r="Y1424" s="265"/>
      <c r="Z1424" s="265">
        <v>4.4350000000000005</v>
      </c>
    </row>
    <row r="1425" spans="3:26" ht="20" thickBot="1" x14ac:dyDescent="0.25">
      <c r="C1425" s="241"/>
      <c r="D1425" s="590" t="s">
        <v>435</v>
      </c>
      <c r="E1425" s="871">
        <v>0.29166666666666674</v>
      </c>
      <c r="F1425" s="872"/>
      <c r="G1425" s="873"/>
      <c r="H1425" s="266"/>
      <c r="I1425" s="964"/>
      <c r="J1425" s="964"/>
      <c r="K1425" s="965"/>
      <c r="L1425" s="618"/>
      <c r="M1425" s="377">
        <v>0.375</v>
      </c>
      <c r="N1425" s="243"/>
      <c r="O1425" s="267" t="s">
        <v>812</v>
      </c>
      <c r="P1425" s="268">
        <v>0.06</v>
      </c>
      <c r="Q1425" s="269">
        <v>7.9733333333333337E-2</v>
      </c>
      <c r="R1425" s="270">
        <v>1.9E-2</v>
      </c>
      <c r="S1425" s="271">
        <v>1</v>
      </c>
      <c r="T1425" s="272">
        <v>0.1386</v>
      </c>
      <c r="U1425" s="273">
        <v>-20.789999999995342</v>
      </c>
      <c r="V1425" s="274">
        <v>36.299999999999997</v>
      </c>
      <c r="W1425" s="275">
        <v>3.37</v>
      </c>
      <c r="X1425" s="276">
        <v>70.062299999984305</v>
      </c>
      <c r="Y1425" s="277"/>
      <c r="Z1425" s="277"/>
    </row>
    <row r="1426" spans="3:26" ht="20" thickBot="1" x14ac:dyDescent="0.25">
      <c r="C1426" s="241"/>
      <c r="D1426" s="591" t="s">
        <v>436</v>
      </c>
      <c r="E1426" s="293" t="s">
        <v>29</v>
      </c>
      <c r="F1426" s="293" t="s">
        <v>28</v>
      </c>
      <c r="G1426" s="294" t="s">
        <v>27</v>
      </c>
      <c r="H1426" s="280" t="s">
        <v>793</v>
      </c>
      <c r="I1426" s="964"/>
      <c r="J1426" s="964"/>
      <c r="K1426" s="965"/>
      <c r="L1426" s="619"/>
      <c r="M1426" s="379"/>
      <c r="N1426" s="243"/>
      <c r="O1426" s="254"/>
      <c r="P1426" s="255"/>
      <c r="Q1426" s="254"/>
      <c r="R1426" s="254"/>
      <c r="S1426" s="254"/>
      <c r="T1426" s="254"/>
      <c r="U1426" s="281"/>
      <c r="V1426" s="282"/>
      <c r="W1426" s="254"/>
      <c r="X1426" s="281"/>
      <c r="Y1426" s="255"/>
      <c r="Z1426" s="255"/>
    </row>
    <row r="1427" spans="3:26" ht="19" x14ac:dyDescent="0.2">
      <c r="C1427" s="241"/>
      <c r="D1427" s="614">
        <v>45616</v>
      </c>
      <c r="E1427" s="295">
        <v>2.3E-2</v>
      </c>
      <c r="F1427" s="295" t="s">
        <v>490</v>
      </c>
      <c r="G1427" s="295">
        <v>1.7000000000000001E-2</v>
      </c>
      <c r="H1427" s="284">
        <v>0.29166666666666674</v>
      </c>
      <c r="I1427" s="964"/>
      <c r="J1427" s="964"/>
      <c r="K1427" s="965"/>
      <c r="L1427" s="621"/>
      <c r="M1427" s="382"/>
      <c r="N1427" s="243"/>
      <c r="O1427" s="254"/>
      <c r="P1427" s="255"/>
      <c r="Q1427" s="254"/>
      <c r="R1427" s="254"/>
      <c r="S1427" s="254"/>
      <c r="T1427" s="254"/>
      <c r="U1427" s="254"/>
      <c r="V1427" s="254"/>
      <c r="W1427" s="254"/>
      <c r="X1427" s="254"/>
      <c r="Y1427" s="255"/>
      <c r="Z1427" s="255"/>
    </row>
    <row r="1428" spans="3:26" ht="19" x14ac:dyDescent="0.2">
      <c r="C1428" s="241"/>
      <c r="D1428" s="614">
        <v>45581</v>
      </c>
      <c r="E1428" s="295">
        <v>1.7000000000000001E-2</v>
      </c>
      <c r="F1428" s="295" t="s">
        <v>789</v>
      </c>
      <c r="G1428" s="295">
        <v>2.1999999999999999E-2</v>
      </c>
      <c r="H1428" s="284">
        <v>0.25</v>
      </c>
      <c r="I1428" s="964"/>
      <c r="J1428" s="964"/>
      <c r="K1428" s="965"/>
      <c r="L1428" s="621"/>
      <c r="M1428" s="383"/>
      <c r="N1428" s="243"/>
      <c r="O1428" s="246" t="s">
        <v>813</v>
      </c>
      <c r="P1428" s="247">
        <v>0.06</v>
      </c>
      <c r="Q1428" s="285">
        <v>8.3216666666666661E-2</v>
      </c>
      <c r="R1428" s="286">
        <v>1.9E-2</v>
      </c>
      <c r="S1428" s="250">
        <v>1</v>
      </c>
      <c r="T1428" s="256">
        <v>0.14382499999999998</v>
      </c>
      <c r="U1428" s="287">
        <v>-21.573749999995162</v>
      </c>
      <c r="V1428" s="288">
        <v>36.299999999999997</v>
      </c>
      <c r="W1428" s="250">
        <v>2</v>
      </c>
      <c r="X1428" s="252">
        <v>43.147499999990323</v>
      </c>
      <c r="Y1428" s="289"/>
      <c r="Z1428" s="289"/>
    </row>
    <row r="1429" spans="3:26" ht="19" x14ac:dyDescent="0.2">
      <c r="C1429" s="241"/>
      <c r="D1429" s="614">
        <v>45553</v>
      </c>
      <c r="E1429" s="295">
        <v>2.1999999999999999E-2</v>
      </c>
      <c r="F1429" s="295" t="s">
        <v>490</v>
      </c>
      <c r="G1429" s="295">
        <v>2.1999999999999999E-2</v>
      </c>
      <c r="H1429" s="284">
        <v>0.25</v>
      </c>
      <c r="I1429" s="964"/>
      <c r="J1429" s="964"/>
      <c r="K1429" s="965"/>
      <c r="L1429" s="621"/>
      <c r="M1429" s="375"/>
      <c r="N1429" s="243"/>
      <c r="O1429" s="246" t="s">
        <v>813</v>
      </c>
      <c r="P1429" s="247">
        <v>0.06</v>
      </c>
      <c r="Q1429" s="285">
        <v>8.3216666666666661E-2</v>
      </c>
      <c r="R1429" s="286">
        <v>1.9E-2</v>
      </c>
      <c r="S1429" s="250">
        <v>1</v>
      </c>
      <c r="T1429" s="256">
        <v>0.14382499999999998</v>
      </c>
      <c r="U1429" s="287">
        <v>-21.573749999995162</v>
      </c>
      <c r="V1429" s="288">
        <v>36.299999999999997</v>
      </c>
      <c r="W1429" s="250">
        <v>2</v>
      </c>
      <c r="X1429" s="252">
        <v>43.147499999990323</v>
      </c>
      <c r="Y1429" s="289"/>
      <c r="Z1429" s="289"/>
    </row>
    <row r="1430" spans="3:26" ht="19" x14ac:dyDescent="0.2">
      <c r="C1430" s="241"/>
      <c r="D1430" s="614">
        <v>45518</v>
      </c>
      <c r="E1430" s="295">
        <v>2.1999999999999999E-2</v>
      </c>
      <c r="F1430" s="295" t="s">
        <v>971</v>
      </c>
      <c r="G1430" s="295">
        <v>0.02</v>
      </c>
      <c r="H1430" s="284">
        <v>0.25</v>
      </c>
      <c r="I1430" s="964"/>
      <c r="J1430" s="964"/>
      <c r="K1430" s="965"/>
      <c r="L1430" s="621"/>
      <c r="M1430" s="375"/>
      <c r="N1430" s="243"/>
      <c r="O1430" s="246" t="s">
        <v>816</v>
      </c>
      <c r="P1430" s="290"/>
      <c r="Q1430" s="285"/>
      <c r="R1430" s="286"/>
      <c r="S1430" s="250"/>
      <c r="T1430" s="290"/>
      <c r="U1430" s="287"/>
      <c r="V1430" s="288"/>
      <c r="W1430" s="250"/>
      <c r="X1430" s="252"/>
      <c r="Y1430" s="289"/>
      <c r="Z1430" s="289"/>
    </row>
    <row r="1431" spans="3:26" ht="19" x14ac:dyDescent="0.2">
      <c r="C1431" s="241"/>
      <c r="D1431" s="614">
        <v>45490</v>
      </c>
      <c r="E1431" s="295">
        <v>0.02</v>
      </c>
      <c r="F1431" s="295" t="s">
        <v>789</v>
      </c>
      <c r="G1431" s="295">
        <v>0.02</v>
      </c>
      <c r="H1431" s="284">
        <v>0.25</v>
      </c>
      <c r="I1431" s="964"/>
      <c r="J1431" s="964"/>
      <c r="K1431" s="965"/>
      <c r="L1431" s="621"/>
      <c r="M1431" s="375"/>
      <c r="N1431" s="243"/>
      <c r="O1431" s="291"/>
      <c r="P1431" s="291"/>
      <c r="Q1431" s="291"/>
      <c r="R1431" s="291"/>
      <c r="S1431" s="291"/>
      <c r="T1431" s="291"/>
      <c r="U1431" s="291"/>
      <c r="V1431" s="291"/>
      <c r="W1431" s="291"/>
      <c r="X1431" s="291"/>
      <c r="Y1431" s="291"/>
      <c r="Z1431" s="291"/>
    </row>
    <row r="1432" spans="3:26" ht="20" thickBot="1" x14ac:dyDescent="0.25">
      <c r="C1432" s="241"/>
      <c r="D1432" s="615">
        <v>45462</v>
      </c>
      <c r="E1432" s="356">
        <v>0.02</v>
      </c>
      <c r="F1432" s="356" t="s">
        <v>788</v>
      </c>
      <c r="G1432" s="356">
        <v>2.3E-2</v>
      </c>
      <c r="H1432" s="284">
        <v>0.25</v>
      </c>
      <c r="I1432" s="966"/>
      <c r="J1432" s="966"/>
      <c r="K1432" s="967"/>
      <c r="L1432" s="622"/>
      <c r="M1432" s="384"/>
      <c r="N1432" s="243"/>
      <c r="O1432" s="291"/>
      <c r="P1432" s="291"/>
      <c r="Q1432" s="291"/>
      <c r="R1432" s="291"/>
      <c r="S1432" s="291"/>
      <c r="T1432" s="291"/>
      <c r="U1432" s="291"/>
      <c r="V1432" s="291"/>
      <c r="W1432" s="291"/>
      <c r="X1432" s="291"/>
      <c r="Y1432" s="291"/>
      <c r="Z1432" s="291"/>
    </row>
    <row r="1433" spans="3:26" ht="20" thickBot="1" x14ac:dyDescent="0.25">
      <c r="C1433" s="241">
        <v>5</v>
      </c>
      <c r="D1433" s="576" t="s">
        <v>30</v>
      </c>
      <c r="E1433" s="874" t="s">
        <v>1263</v>
      </c>
      <c r="F1433" s="875"/>
      <c r="G1433" s="876"/>
      <c r="H1433" s="242" t="s">
        <v>790</v>
      </c>
      <c r="I1433" s="977" t="s">
        <v>633</v>
      </c>
      <c r="J1433" s="977"/>
      <c r="K1433" s="978"/>
      <c r="L1433" s="616" t="s">
        <v>430</v>
      </c>
      <c r="M1433" s="372" t="s">
        <v>431</v>
      </c>
      <c r="N1433" s="243" t="s">
        <v>105</v>
      </c>
      <c r="O1433" s="244" t="s">
        <v>800</v>
      </c>
      <c r="P1433" s="244" t="s">
        <v>801</v>
      </c>
      <c r="Q1433" s="244" t="s">
        <v>802</v>
      </c>
      <c r="R1433" s="244" t="s">
        <v>803</v>
      </c>
      <c r="S1433" s="244" t="s">
        <v>804</v>
      </c>
      <c r="T1433" s="244" t="s">
        <v>805</v>
      </c>
      <c r="U1433" s="244" t="s">
        <v>806</v>
      </c>
      <c r="V1433" s="244" t="s">
        <v>807</v>
      </c>
      <c r="W1433" s="244" t="s">
        <v>808</v>
      </c>
      <c r="X1433" s="244" t="s">
        <v>809</v>
      </c>
      <c r="Y1433" s="244" t="s">
        <v>75</v>
      </c>
      <c r="Z1433" s="244" t="s">
        <v>75</v>
      </c>
    </row>
    <row r="1434" spans="3:26" ht="19" x14ac:dyDescent="0.2">
      <c r="C1434" s="241"/>
      <c r="D1434" s="588" t="s">
        <v>432</v>
      </c>
      <c r="E1434" s="880"/>
      <c r="F1434" s="881"/>
      <c r="G1434" s="882"/>
      <c r="H1434" s="245" t="s">
        <v>909</v>
      </c>
      <c r="I1434" s="962" t="s">
        <v>1264</v>
      </c>
      <c r="J1434" s="962"/>
      <c r="K1434" s="963"/>
      <c r="L1434" s="617"/>
      <c r="M1434" s="374" t="s">
        <v>1263</v>
      </c>
      <c r="N1434" s="243"/>
      <c r="O1434" s="246" t="s">
        <v>810</v>
      </c>
      <c r="P1434" s="247">
        <v>0.1</v>
      </c>
      <c r="Q1434" s="248">
        <v>3.4000000000000002E-2</v>
      </c>
      <c r="R1434" s="249">
        <v>1.5000000000014779E-2</v>
      </c>
      <c r="S1434" s="250"/>
      <c r="T1434" s="246">
        <v>6.6000000000014783E-2</v>
      </c>
      <c r="U1434" s="248">
        <v>-16.5</v>
      </c>
      <c r="V1434" s="247">
        <v>60.5</v>
      </c>
      <c r="W1434" s="251">
        <v>2</v>
      </c>
      <c r="X1434" s="252">
        <v>33</v>
      </c>
      <c r="Y1434" s="250"/>
      <c r="Z1434" s="250"/>
    </row>
    <row r="1435" spans="3:26" ht="19" x14ac:dyDescent="0.2">
      <c r="C1435" s="241"/>
      <c r="D1435" s="589" t="s">
        <v>433</v>
      </c>
      <c r="E1435" s="856">
        <v>2.3E-2</v>
      </c>
      <c r="F1435" s="857"/>
      <c r="G1435" s="858"/>
      <c r="H1435" s="245" t="s">
        <v>910</v>
      </c>
      <c r="I1435" s="964"/>
      <c r="J1435" s="964"/>
      <c r="K1435" s="965"/>
      <c r="L1435" s="617"/>
      <c r="M1435" s="375"/>
      <c r="N1435" s="243"/>
      <c r="O1435" s="243"/>
      <c r="P1435" s="243"/>
      <c r="Q1435" s="243"/>
      <c r="R1435" s="253"/>
      <c r="S1435" s="254"/>
      <c r="T1435" s="243"/>
      <c r="U1435" s="243"/>
      <c r="V1435" s="243"/>
      <c r="W1435" s="254"/>
      <c r="X1435" s="254"/>
      <c r="Y1435" s="255"/>
      <c r="Z1435" s="255"/>
    </row>
    <row r="1436" spans="3:26" ht="19" x14ac:dyDescent="0.2">
      <c r="C1436" s="241"/>
      <c r="D1436" s="589" t="s">
        <v>434</v>
      </c>
      <c r="E1436" s="856">
        <v>2.3E-2</v>
      </c>
      <c r="F1436" s="857"/>
      <c r="G1436" s="858"/>
      <c r="H1436" s="245"/>
      <c r="I1436" s="964"/>
      <c r="J1436" s="964"/>
      <c r="K1436" s="965"/>
      <c r="L1436" s="617"/>
      <c r="M1436" s="375"/>
      <c r="N1436" s="243"/>
      <c r="O1436" s="256" t="s">
        <v>811</v>
      </c>
      <c r="P1436" s="257">
        <v>0.1</v>
      </c>
      <c r="Q1436" s="258">
        <v>5.9400000000000001E-2</v>
      </c>
      <c r="R1436" s="259">
        <v>6.9999999999999999E-4</v>
      </c>
      <c r="S1436" s="260">
        <v>1</v>
      </c>
      <c r="T1436" s="256">
        <v>8.9800000000000005E-2</v>
      </c>
      <c r="U1436" s="261">
        <v>-22.449999999994972</v>
      </c>
      <c r="V1436" s="262">
        <v>60.5</v>
      </c>
      <c r="W1436" s="263">
        <v>4.38</v>
      </c>
      <c r="X1436" s="264">
        <v>98.330999999977976</v>
      </c>
      <c r="Y1436" s="265"/>
      <c r="Z1436" s="265"/>
    </row>
    <row r="1437" spans="3:26" ht="20" thickBot="1" x14ac:dyDescent="0.25">
      <c r="C1437" s="241"/>
      <c r="D1437" s="590" t="s">
        <v>435</v>
      </c>
      <c r="E1437" s="871">
        <v>0.41666666666666674</v>
      </c>
      <c r="F1437" s="872"/>
      <c r="G1437" s="873"/>
      <c r="H1437" s="266"/>
      <c r="I1437" s="964"/>
      <c r="J1437" s="964"/>
      <c r="K1437" s="965"/>
      <c r="L1437" s="618">
        <v>0.64583333333333337</v>
      </c>
      <c r="M1437" s="377">
        <v>0.5</v>
      </c>
      <c r="N1437" s="243"/>
      <c r="O1437" s="267" t="s">
        <v>812</v>
      </c>
      <c r="P1437" s="268">
        <v>0.1</v>
      </c>
      <c r="Q1437" s="269">
        <v>7.1533333333333324E-2</v>
      </c>
      <c r="R1437" s="270">
        <v>6.9999999999999999E-4</v>
      </c>
      <c r="S1437" s="271">
        <v>1</v>
      </c>
      <c r="T1437" s="272">
        <v>0.108</v>
      </c>
      <c r="U1437" s="273">
        <v>-26.999999999993953</v>
      </c>
      <c r="V1437" s="274">
        <v>60.5</v>
      </c>
      <c r="W1437" s="275">
        <v>8</v>
      </c>
      <c r="X1437" s="276">
        <v>215.99999999995163</v>
      </c>
      <c r="Y1437" s="277"/>
      <c r="Z1437" s="277"/>
    </row>
    <row r="1438" spans="3:26" ht="20" thickBot="1" x14ac:dyDescent="0.25">
      <c r="C1438" s="241"/>
      <c r="D1438" s="591" t="s">
        <v>436</v>
      </c>
      <c r="E1438" s="293" t="s">
        <v>29</v>
      </c>
      <c r="F1438" s="293" t="s">
        <v>28</v>
      </c>
      <c r="G1438" s="294" t="s">
        <v>27</v>
      </c>
      <c r="H1438" s="280" t="s">
        <v>793</v>
      </c>
      <c r="I1438" s="964"/>
      <c r="J1438" s="964"/>
      <c r="K1438" s="965"/>
      <c r="L1438" s="619" t="s">
        <v>1246</v>
      </c>
      <c r="M1438" s="379"/>
      <c r="N1438" s="243"/>
      <c r="O1438" s="254"/>
      <c r="P1438" s="255"/>
      <c r="Q1438" s="254"/>
      <c r="R1438" s="254"/>
      <c r="S1438" s="254"/>
      <c r="T1438" s="254"/>
      <c r="U1438" s="281"/>
      <c r="V1438" s="282"/>
      <c r="W1438" s="254"/>
      <c r="X1438" s="281"/>
      <c r="Y1438" s="255"/>
      <c r="Z1438" s="255"/>
    </row>
    <row r="1439" spans="3:26" ht="19" x14ac:dyDescent="0.2">
      <c r="C1439" s="241"/>
      <c r="D1439" s="592">
        <v>45625</v>
      </c>
      <c r="E1439" s="295">
        <v>2.3E-2</v>
      </c>
      <c r="F1439" s="295" t="s">
        <v>971</v>
      </c>
      <c r="G1439" s="295">
        <v>0.02</v>
      </c>
      <c r="H1439" s="284">
        <v>0.41666666666666674</v>
      </c>
      <c r="I1439" s="964"/>
      <c r="J1439" s="964"/>
      <c r="K1439" s="965"/>
      <c r="L1439" s="621"/>
      <c r="M1439" s="382"/>
      <c r="N1439" s="243"/>
      <c r="O1439" s="254"/>
      <c r="P1439" s="255"/>
      <c r="Q1439" s="254"/>
      <c r="R1439" s="254"/>
      <c r="S1439" s="254"/>
      <c r="T1439" s="254"/>
      <c r="U1439" s="254"/>
      <c r="V1439" s="254"/>
      <c r="W1439" s="254"/>
      <c r="X1439" s="254"/>
      <c r="Y1439" s="255"/>
      <c r="Z1439" s="255"/>
    </row>
    <row r="1440" spans="3:26" ht="19" x14ac:dyDescent="0.2">
      <c r="C1440" s="241"/>
      <c r="D1440" s="592">
        <v>45615</v>
      </c>
      <c r="E1440" s="295">
        <v>0.02</v>
      </c>
      <c r="F1440" s="295" t="s">
        <v>788</v>
      </c>
      <c r="G1440" s="295">
        <v>0.02</v>
      </c>
      <c r="H1440" s="284">
        <v>0.41666666666666674</v>
      </c>
      <c r="I1440" s="964"/>
      <c r="J1440" s="964"/>
      <c r="K1440" s="965"/>
      <c r="L1440" s="621"/>
      <c r="M1440" s="383"/>
      <c r="N1440" s="243"/>
      <c r="O1440" s="246" t="s">
        <v>813</v>
      </c>
      <c r="P1440" s="247">
        <v>0.1</v>
      </c>
      <c r="Q1440" s="285">
        <v>6.5466666666666659E-2</v>
      </c>
      <c r="R1440" s="286">
        <v>6.9999999999999999E-4</v>
      </c>
      <c r="S1440" s="250">
        <v>1</v>
      </c>
      <c r="T1440" s="256">
        <v>9.8899999999999988E-2</v>
      </c>
      <c r="U1440" s="287">
        <v>-24.724999999994459</v>
      </c>
      <c r="V1440" s="288">
        <v>60.5</v>
      </c>
      <c r="W1440" s="250">
        <v>3</v>
      </c>
      <c r="X1440" s="252">
        <v>74.174999999983385</v>
      </c>
      <c r="Y1440" s="289"/>
      <c r="Z1440" s="289"/>
    </row>
    <row r="1441" spans="3:26" ht="19" x14ac:dyDescent="0.2">
      <c r="C1441" s="241"/>
      <c r="D1441" s="592">
        <v>45596</v>
      </c>
      <c r="E1441" s="295">
        <v>0.02</v>
      </c>
      <c r="F1441" s="295" t="s">
        <v>789</v>
      </c>
      <c r="G1441" s="295">
        <v>1.7000000000000001E-2</v>
      </c>
      <c r="H1441" s="284">
        <v>0.41666666666666674</v>
      </c>
      <c r="I1441" s="964"/>
      <c r="J1441" s="964"/>
      <c r="K1441" s="965"/>
      <c r="L1441" s="621"/>
      <c r="M1441" s="375"/>
      <c r="N1441" s="243"/>
      <c r="O1441" s="246" t="s">
        <v>813</v>
      </c>
      <c r="P1441" s="247">
        <v>0.1</v>
      </c>
      <c r="Q1441" s="285">
        <v>6.5466666666666659E-2</v>
      </c>
      <c r="R1441" s="286">
        <v>6.9999999999999999E-4</v>
      </c>
      <c r="S1441" s="250">
        <v>1</v>
      </c>
      <c r="T1441" s="256">
        <v>9.8899999999999988E-2</v>
      </c>
      <c r="U1441" s="287">
        <v>-24.724999999994459</v>
      </c>
      <c r="V1441" s="288">
        <v>60.5</v>
      </c>
      <c r="W1441" s="250">
        <v>3</v>
      </c>
      <c r="X1441" s="252">
        <v>74.174999999983385</v>
      </c>
      <c r="Y1441" s="289"/>
      <c r="Z1441" s="289"/>
    </row>
    <row r="1442" spans="3:26" ht="19" x14ac:dyDescent="0.2">
      <c r="C1442" s="241"/>
      <c r="D1442" s="592">
        <v>45582</v>
      </c>
      <c r="E1442" s="295">
        <v>1.7000000000000001E-2</v>
      </c>
      <c r="F1442" s="295" t="s">
        <v>895</v>
      </c>
      <c r="G1442" s="295">
        <v>2.1999999999999999E-2</v>
      </c>
      <c r="H1442" s="284">
        <v>0.375</v>
      </c>
      <c r="I1442" s="964"/>
      <c r="J1442" s="964"/>
      <c r="K1442" s="965"/>
      <c r="L1442" s="621"/>
      <c r="M1442" s="375"/>
      <c r="N1442" s="243"/>
      <c r="O1442" s="246"/>
      <c r="P1442" s="290"/>
      <c r="Q1442" s="285"/>
      <c r="R1442" s="286"/>
      <c r="S1442" s="250"/>
      <c r="T1442" s="290"/>
      <c r="U1442" s="287"/>
      <c r="V1442" s="288"/>
      <c r="W1442" s="250"/>
      <c r="X1442" s="252"/>
      <c r="Y1442" s="289"/>
      <c r="Z1442" s="289"/>
    </row>
    <row r="1443" spans="3:26" ht="19" x14ac:dyDescent="0.2">
      <c r="C1443" s="241"/>
      <c r="D1443" s="592">
        <v>45566</v>
      </c>
      <c r="E1443" s="295">
        <v>1.7999999999999999E-2</v>
      </c>
      <c r="F1443" s="295" t="s">
        <v>895</v>
      </c>
      <c r="G1443" s="295">
        <v>2.1999999999999999E-2</v>
      </c>
      <c r="H1443" s="284">
        <v>0.375</v>
      </c>
      <c r="I1443" s="964"/>
      <c r="J1443" s="964"/>
      <c r="K1443" s="965"/>
      <c r="L1443" s="621"/>
      <c r="M1443" s="375"/>
      <c r="N1443" s="243"/>
      <c r="O1443" s="291"/>
      <c r="P1443" s="291"/>
      <c r="Q1443" s="291"/>
      <c r="R1443" s="291"/>
      <c r="S1443" s="291"/>
      <c r="T1443" s="291"/>
      <c r="U1443" s="291"/>
      <c r="V1443" s="291"/>
      <c r="W1443" s="291"/>
      <c r="X1443" s="291"/>
      <c r="Y1443" s="291"/>
      <c r="Z1443" s="291"/>
    </row>
    <row r="1444" spans="3:26" ht="20" thickBot="1" x14ac:dyDescent="0.25">
      <c r="C1444" s="241"/>
      <c r="D1444" s="608">
        <v>45553</v>
      </c>
      <c r="E1444" s="356">
        <v>2.1999999999999999E-2</v>
      </c>
      <c r="F1444" s="356" t="s">
        <v>490</v>
      </c>
      <c r="G1444" s="356">
        <v>2.5999999999999999E-2</v>
      </c>
      <c r="H1444" s="284">
        <v>0.375</v>
      </c>
      <c r="I1444" s="966"/>
      <c r="J1444" s="966"/>
      <c r="K1444" s="967"/>
      <c r="L1444" s="622"/>
      <c r="M1444" s="384"/>
      <c r="N1444" s="243"/>
      <c r="O1444" s="291"/>
      <c r="P1444" s="291"/>
      <c r="Q1444" s="291"/>
      <c r="R1444" s="291"/>
      <c r="S1444" s="291"/>
      <c r="T1444" s="291"/>
      <c r="U1444" s="291"/>
      <c r="V1444" s="291"/>
      <c r="W1444" s="291"/>
      <c r="X1444" s="291"/>
      <c r="Y1444" s="291"/>
      <c r="Z1444" s="291"/>
    </row>
    <row r="1445" spans="3:26" ht="20" thickBot="1" x14ac:dyDescent="0.25">
      <c r="C1445" s="241">
        <v>6</v>
      </c>
      <c r="D1445" s="576" t="s">
        <v>30</v>
      </c>
      <c r="E1445" s="874" t="s">
        <v>9</v>
      </c>
      <c r="F1445" s="875"/>
      <c r="G1445" s="876"/>
      <c r="H1445" s="242" t="s">
        <v>790</v>
      </c>
      <c r="I1445" s="977" t="s">
        <v>633</v>
      </c>
      <c r="J1445" s="977"/>
      <c r="K1445" s="978"/>
      <c r="L1445" s="616" t="s">
        <v>430</v>
      </c>
      <c r="M1445" s="372" t="s">
        <v>431</v>
      </c>
      <c r="N1445" s="243" t="s">
        <v>105</v>
      </c>
      <c r="O1445" s="244" t="s">
        <v>800</v>
      </c>
      <c r="P1445" s="244" t="s">
        <v>801</v>
      </c>
      <c r="Q1445" s="244" t="s">
        <v>802</v>
      </c>
      <c r="R1445" s="244" t="s">
        <v>803</v>
      </c>
      <c r="S1445" s="244" t="s">
        <v>804</v>
      </c>
      <c r="T1445" s="244" t="s">
        <v>805</v>
      </c>
      <c r="U1445" s="244" t="s">
        <v>806</v>
      </c>
      <c r="V1445" s="244" t="s">
        <v>807</v>
      </c>
      <c r="W1445" s="244" t="s">
        <v>808</v>
      </c>
      <c r="X1445" s="244" t="s">
        <v>809</v>
      </c>
      <c r="Y1445" s="244" t="s">
        <v>75</v>
      </c>
      <c r="Z1445" s="244" t="s">
        <v>75</v>
      </c>
    </row>
    <row r="1446" spans="3:26" ht="19" x14ac:dyDescent="0.2">
      <c r="C1446" s="241"/>
      <c r="D1446" s="588" t="s">
        <v>432</v>
      </c>
      <c r="E1446" s="880"/>
      <c r="F1446" s="881"/>
      <c r="G1446" s="882"/>
      <c r="H1446" s="245" t="s">
        <v>796</v>
      </c>
      <c r="I1446" s="962" t="s">
        <v>1266</v>
      </c>
      <c r="J1446" s="962"/>
      <c r="K1446" s="963"/>
      <c r="L1446" s="617"/>
      <c r="M1446" s="374" t="s">
        <v>9</v>
      </c>
      <c r="N1446" s="243"/>
      <c r="O1446" s="246" t="s">
        <v>810</v>
      </c>
      <c r="P1446" s="247">
        <v>0.1</v>
      </c>
      <c r="Q1446" s="248">
        <v>3.4000000000000002E-2</v>
      </c>
      <c r="R1446" s="249">
        <v>1.5000000000014779E-2</v>
      </c>
      <c r="S1446" s="250"/>
      <c r="T1446" s="246">
        <v>6.6000000000014783E-2</v>
      </c>
      <c r="U1446" s="248">
        <v>-16.5</v>
      </c>
      <c r="V1446" s="247">
        <v>60.5</v>
      </c>
      <c r="W1446" s="251">
        <v>2</v>
      </c>
      <c r="X1446" s="252">
        <v>33</v>
      </c>
      <c r="Y1446" s="250"/>
      <c r="Z1446" s="250"/>
    </row>
    <row r="1447" spans="3:26" ht="19" x14ac:dyDescent="0.2">
      <c r="C1447" s="241"/>
      <c r="D1447" s="589" t="s">
        <v>433</v>
      </c>
      <c r="E1447" s="856"/>
      <c r="F1447" s="857"/>
      <c r="G1447" s="858"/>
      <c r="H1447" s="245" t="s">
        <v>796</v>
      </c>
      <c r="I1447" s="964"/>
      <c r="J1447" s="964"/>
      <c r="K1447" s="965"/>
      <c r="L1447" s="617"/>
      <c r="M1447" s="375"/>
      <c r="N1447" s="243"/>
      <c r="O1447" s="243"/>
      <c r="P1447" s="243"/>
      <c r="Q1447" s="243"/>
      <c r="R1447" s="253"/>
      <c r="S1447" s="254"/>
      <c r="T1447" s="243"/>
      <c r="U1447" s="243"/>
      <c r="V1447" s="243"/>
      <c r="W1447" s="254"/>
      <c r="X1447" s="254"/>
      <c r="Y1447" s="255"/>
      <c r="Z1447" s="255"/>
    </row>
    <row r="1448" spans="3:26" ht="19" x14ac:dyDescent="0.2">
      <c r="C1448" s="241"/>
      <c r="D1448" s="589" t="s">
        <v>434</v>
      </c>
      <c r="E1448" s="856" t="s">
        <v>1265</v>
      </c>
      <c r="F1448" s="857"/>
      <c r="G1448" s="858"/>
      <c r="H1448" s="245"/>
      <c r="I1448" s="964"/>
      <c r="J1448" s="964"/>
      <c r="K1448" s="965"/>
      <c r="L1448" s="617"/>
      <c r="M1448" s="375"/>
      <c r="N1448" s="243"/>
      <c r="O1448" s="256" t="s">
        <v>811</v>
      </c>
      <c r="P1448" s="257">
        <v>0.1</v>
      </c>
      <c r="Q1448" s="258">
        <v>5.9400000000000001E-2</v>
      </c>
      <c r="R1448" s="259">
        <v>6.9999999999999999E-4</v>
      </c>
      <c r="S1448" s="260">
        <v>1</v>
      </c>
      <c r="T1448" s="256">
        <v>8.9800000000000005E-2</v>
      </c>
      <c r="U1448" s="261">
        <v>-22.449999999994972</v>
      </c>
      <c r="V1448" s="262">
        <v>60.5</v>
      </c>
      <c r="W1448" s="263">
        <v>4.38</v>
      </c>
      <c r="X1448" s="264">
        <v>98.330999999977976</v>
      </c>
      <c r="Y1448" s="265"/>
      <c r="Z1448" s="265"/>
    </row>
    <row r="1449" spans="3:26" ht="20" thickBot="1" x14ac:dyDescent="0.25">
      <c r="C1449" s="241"/>
      <c r="D1449" s="590" t="s">
        <v>435</v>
      </c>
      <c r="E1449" s="871">
        <v>0.64583333333333337</v>
      </c>
      <c r="F1449" s="872"/>
      <c r="G1449" s="873"/>
      <c r="H1449" s="266"/>
      <c r="I1449" s="964"/>
      <c r="J1449" s="964"/>
      <c r="K1449" s="965"/>
      <c r="L1449" s="618">
        <v>0.875</v>
      </c>
      <c r="M1449" s="377">
        <v>0.72916666666666663</v>
      </c>
      <c r="N1449" s="243"/>
      <c r="O1449" s="267" t="s">
        <v>812</v>
      </c>
      <c r="P1449" s="268">
        <v>0.1</v>
      </c>
      <c r="Q1449" s="269">
        <v>7.1533333333333324E-2</v>
      </c>
      <c r="R1449" s="270">
        <v>6.9999999999999999E-4</v>
      </c>
      <c r="S1449" s="271">
        <v>1</v>
      </c>
      <c r="T1449" s="272">
        <v>0.108</v>
      </c>
      <c r="U1449" s="273">
        <v>-26.999999999993953</v>
      </c>
      <c r="V1449" s="274">
        <v>60.5</v>
      </c>
      <c r="W1449" s="275">
        <v>8</v>
      </c>
      <c r="X1449" s="276">
        <v>215.99999999995163</v>
      </c>
      <c r="Y1449" s="277"/>
      <c r="Z1449" s="277"/>
    </row>
    <row r="1450" spans="3:26" ht="20" thickBot="1" x14ac:dyDescent="0.25">
      <c r="C1450" s="241"/>
      <c r="D1450" s="591" t="s">
        <v>436</v>
      </c>
      <c r="E1450" s="293" t="s">
        <v>29</v>
      </c>
      <c r="F1450" s="293" t="s">
        <v>28</v>
      </c>
      <c r="G1450" s="294" t="s">
        <v>27</v>
      </c>
      <c r="H1450" s="280" t="s">
        <v>793</v>
      </c>
      <c r="I1450" s="964"/>
      <c r="J1450" s="964"/>
      <c r="K1450" s="965"/>
      <c r="L1450" s="619" t="s">
        <v>1246</v>
      </c>
      <c r="M1450" s="379"/>
      <c r="N1450" s="243"/>
      <c r="O1450" s="254"/>
      <c r="P1450" s="255"/>
      <c r="Q1450" s="254"/>
      <c r="R1450" s="254"/>
      <c r="S1450" s="254"/>
      <c r="T1450" s="254"/>
      <c r="U1450" s="281"/>
      <c r="V1450" s="282"/>
      <c r="W1450" s="254"/>
      <c r="X1450" s="281"/>
      <c r="Y1450" s="255"/>
      <c r="Z1450" s="255"/>
    </row>
    <row r="1451" spans="3:26" ht="19" x14ac:dyDescent="0.2">
      <c r="C1451" s="241"/>
      <c r="D1451" s="592">
        <v>45637</v>
      </c>
      <c r="E1451" s="295" t="s">
        <v>1286</v>
      </c>
      <c r="F1451" s="295" t="s">
        <v>1287</v>
      </c>
      <c r="G1451" s="295" t="s">
        <v>1288</v>
      </c>
      <c r="H1451" s="344">
        <v>0.72916666666666674</v>
      </c>
      <c r="I1451" s="964"/>
      <c r="J1451" s="964"/>
      <c r="K1451" s="965"/>
      <c r="L1451" s="621">
        <v>0.64583333333333337</v>
      </c>
      <c r="M1451" s="382"/>
      <c r="N1451" s="243"/>
      <c r="O1451" s="254"/>
      <c r="P1451" s="255"/>
      <c r="Q1451" s="254"/>
      <c r="R1451" s="254"/>
      <c r="S1451" s="254"/>
      <c r="T1451" s="254"/>
      <c r="U1451" s="254"/>
      <c r="V1451" s="254"/>
      <c r="W1451" s="254"/>
      <c r="X1451" s="254"/>
      <c r="Y1451" s="255"/>
      <c r="Z1451" s="255"/>
    </row>
    <row r="1452" spans="3:26" ht="19" x14ac:dyDescent="0.2">
      <c r="C1452" s="241"/>
      <c r="D1452" s="592">
        <v>45630</v>
      </c>
      <c r="E1452" s="295" t="s">
        <v>1288</v>
      </c>
      <c r="F1452" s="295" t="s">
        <v>1289</v>
      </c>
      <c r="G1452" s="295" t="s">
        <v>1290</v>
      </c>
      <c r="H1452" s="344">
        <v>0.72916666666666674</v>
      </c>
      <c r="I1452" s="964"/>
      <c r="J1452" s="964"/>
      <c r="K1452" s="965"/>
      <c r="L1452" s="621">
        <v>0.64583333333333337</v>
      </c>
      <c r="M1452" s="383"/>
      <c r="N1452" s="243"/>
      <c r="O1452" s="246" t="s">
        <v>813</v>
      </c>
      <c r="P1452" s="247">
        <v>0.1</v>
      </c>
      <c r="Q1452" s="285">
        <v>6.5466666666666659E-2</v>
      </c>
      <c r="R1452" s="286">
        <v>6.9999999999999999E-4</v>
      </c>
      <c r="S1452" s="250">
        <v>1</v>
      </c>
      <c r="T1452" s="256">
        <v>9.8899999999999988E-2</v>
      </c>
      <c r="U1452" s="287">
        <v>-24.724999999994459</v>
      </c>
      <c r="V1452" s="288">
        <v>60.5</v>
      </c>
      <c r="W1452" s="250">
        <v>3</v>
      </c>
      <c r="X1452" s="252">
        <v>74.174999999983385</v>
      </c>
      <c r="Y1452" s="289"/>
      <c r="Z1452" s="289"/>
    </row>
    <row r="1453" spans="3:26" ht="19" x14ac:dyDescent="0.2">
      <c r="C1453" s="241"/>
      <c r="D1453" s="592">
        <v>45623</v>
      </c>
      <c r="E1453" s="295" t="s">
        <v>1290</v>
      </c>
      <c r="F1453" s="295" t="s">
        <v>1291</v>
      </c>
      <c r="G1453" s="295" t="s">
        <v>1125</v>
      </c>
      <c r="H1453" s="344">
        <v>0.72916666666666674</v>
      </c>
      <c r="I1453" s="964"/>
      <c r="J1453" s="964"/>
      <c r="K1453" s="965"/>
      <c r="L1453" s="621">
        <v>0.64583333333333337</v>
      </c>
      <c r="M1453" s="375"/>
      <c r="N1453" s="243"/>
      <c r="O1453" s="246" t="s">
        <v>813</v>
      </c>
      <c r="P1453" s="247">
        <v>0.1</v>
      </c>
      <c r="Q1453" s="285">
        <v>6.5466666666666659E-2</v>
      </c>
      <c r="R1453" s="286">
        <v>6.9999999999999999E-4</v>
      </c>
      <c r="S1453" s="250">
        <v>1</v>
      </c>
      <c r="T1453" s="256">
        <v>9.8899999999999988E-2</v>
      </c>
      <c r="U1453" s="287">
        <v>-24.724999999994459</v>
      </c>
      <c r="V1453" s="288">
        <v>60.5</v>
      </c>
      <c r="W1453" s="250">
        <v>3</v>
      </c>
      <c r="X1453" s="252">
        <v>74.174999999983385</v>
      </c>
      <c r="Y1453" s="289"/>
      <c r="Z1453" s="289"/>
    </row>
    <row r="1454" spans="3:26" ht="19" x14ac:dyDescent="0.2">
      <c r="C1454" s="241"/>
      <c r="D1454" s="592">
        <v>45616</v>
      </c>
      <c r="E1454" s="295" t="s">
        <v>1125</v>
      </c>
      <c r="F1454" s="295" t="s">
        <v>1030</v>
      </c>
      <c r="G1454" s="295" t="s">
        <v>1029</v>
      </c>
      <c r="H1454" s="344">
        <v>0.72916666666666674</v>
      </c>
      <c r="I1454" s="964"/>
      <c r="J1454" s="964"/>
      <c r="K1454" s="965"/>
      <c r="L1454" s="621">
        <v>0.64583333333333337</v>
      </c>
      <c r="M1454" s="375"/>
      <c r="N1454" s="243"/>
      <c r="O1454" s="246"/>
      <c r="P1454" s="290"/>
      <c r="Q1454" s="285"/>
      <c r="R1454" s="286"/>
      <c r="S1454" s="250"/>
      <c r="T1454" s="290"/>
      <c r="U1454" s="287"/>
      <c r="V1454" s="288"/>
      <c r="W1454" s="250"/>
      <c r="X1454" s="252"/>
      <c r="Y1454" s="289"/>
      <c r="Z1454" s="289"/>
    </row>
    <row r="1455" spans="3:26" ht="19" x14ac:dyDescent="0.2">
      <c r="C1455" s="241"/>
      <c r="D1455" s="592">
        <v>45610</v>
      </c>
      <c r="E1455" s="295" t="s">
        <v>1029</v>
      </c>
      <c r="F1455" s="295" t="s">
        <v>1030</v>
      </c>
      <c r="G1455" s="295" t="s">
        <v>988</v>
      </c>
      <c r="H1455" s="344">
        <v>0.75</v>
      </c>
      <c r="I1455" s="964"/>
      <c r="J1455" s="964"/>
      <c r="K1455" s="965"/>
      <c r="L1455" s="621">
        <v>0.66666666666666663</v>
      </c>
      <c r="M1455" s="375"/>
      <c r="N1455" s="243"/>
      <c r="O1455" s="291"/>
      <c r="P1455" s="291"/>
      <c r="Q1455" s="291"/>
      <c r="R1455" s="291"/>
      <c r="S1455" s="291"/>
      <c r="T1455" s="291"/>
      <c r="U1455" s="291"/>
      <c r="V1455" s="291"/>
      <c r="W1455" s="291"/>
      <c r="X1455" s="291"/>
      <c r="Y1455" s="291"/>
      <c r="Z1455" s="291"/>
    </row>
    <row r="1456" spans="3:26" ht="20" thickBot="1" x14ac:dyDescent="0.25">
      <c r="C1456" s="241"/>
      <c r="D1456" s="608">
        <v>45602</v>
      </c>
      <c r="E1456" s="356" t="s">
        <v>988</v>
      </c>
      <c r="F1456" s="356" t="s">
        <v>989</v>
      </c>
      <c r="G1456" s="356" t="s">
        <v>990</v>
      </c>
      <c r="H1456" s="344">
        <v>0.75</v>
      </c>
      <c r="I1456" s="966"/>
      <c r="J1456" s="966"/>
      <c r="K1456" s="967"/>
      <c r="L1456" s="622">
        <v>0.66666666666666663</v>
      </c>
      <c r="M1456" s="384"/>
      <c r="N1456" s="243"/>
      <c r="O1456" s="291"/>
      <c r="P1456" s="291"/>
      <c r="Q1456" s="291"/>
      <c r="R1456" s="291"/>
      <c r="S1456" s="291"/>
      <c r="T1456" s="291"/>
      <c r="U1456" s="291"/>
      <c r="V1456" s="291"/>
      <c r="W1456" s="291"/>
      <c r="X1456" s="291"/>
      <c r="Y1456" s="291"/>
      <c r="Z1456" s="291"/>
    </row>
    <row r="1457" spans="3:26" ht="20" thickBot="1" x14ac:dyDescent="0.25">
      <c r="C1457" s="241">
        <v>7</v>
      </c>
      <c r="D1457" s="576" t="s">
        <v>30</v>
      </c>
      <c r="E1457" s="874" t="s">
        <v>341</v>
      </c>
      <c r="F1457" s="875"/>
      <c r="G1457" s="876"/>
      <c r="H1457" s="242" t="s">
        <v>790</v>
      </c>
      <c r="I1457" s="977" t="s">
        <v>633</v>
      </c>
      <c r="J1457" s="977"/>
      <c r="K1457" s="978"/>
      <c r="L1457" s="616" t="s">
        <v>430</v>
      </c>
      <c r="M1457" s="372" t="s">
        <v>431</v>
      </c>
      <c r="N1457" s="243" t="s">
        <v>105</v>
      </c>
      <c r="O1457" s="244" t="s">
        <v>800</v>
      </c>
      <c r="P1457" s="244" t="s">
        <v>801</v>
      </c>
      <c r="Q1457" s="244" t="s">
        <v>802</v>
      </c>
      <c r="R1457" s="244" t="s">
        <v>803</v>
      </c>
      <c r="S1457" s="244" t="s">
        <v>804</v>
      </c>
      <c r="T1457" s="244" t="s">
        <v>805</v>
      </c>
      <c r="U1457" s="244" t="s">
        <v>806</v>
      </c>
      <c r="V1457" s="244" t="s">
        <v>807</v>
      </c>
      <c r="W1457" s="244" t="s">
        <v>808</v>
      </c>
      <c r="X1457" s="244" t="s">
        <v>809</v>
      </c>
      <c r="Y1457" s="244" t="s">
        <v>75</v>
      </c>
      <c r="Z1457" s="244" t="s">
        <v>75</v>
      </c>
    </row>
    <row r="1458" spans="3:26" ht="19" x14ac:dyDescent="0.2">
      <c r="C1458" s="241"/>
      <c r="D1458" s="588" t="s">
        <v>432</v>
      </c>
      <c r="E1458" s="880"/>
      <c r="F1458" s="881"/>
      <c r="G1458" s="882"/>
      <c r="H1458" s="245" t="s">
        <v>1294</v>
      </c>
      <c r="I1458" s="962" t="s">
        <v>1267</v>
      </c>
      <c r="J1458" s="962"/>
      <c r="K1458" s="963"/>
      <c r="L1458" s="617"/>
      <c r="M1458" s="374" t="s">
        <v>341</v>
      </c>
      <c r="N1458" s="243"/>
      <c r="O1458" s="246" t="s">
        <v>810</v>
      </c>
      <c r="P1458" s="247">
        <v>0.1</v>
      </c>
      <c r="Q1458" s="248">
        <v>1.9E-2</v>
      </c>
      <c r="R1458" s="249">
        <v>2.199999999999136E-2</v>
      </c>
      <c r="S1458" s="250"/>
      <c r="T1458" s="246">
        <v>5.0499999999991357E-2</v>
      </c>
      <c r="U1458" s="248">
        <v>-11.86</v>
      </c>
      <c r="V1458" s="247">
        <v>91.8</v>
      </c>
      <c r="W1458" s="251">
        <v>2</v>
      </c>
      <c r="X1458" s="252">
        <v>23.72</v>
      </c>
      <c r="Y1458" s="250"/>
      <c r="Z1458" s="250"/>
    </row>
    <row r="1459" spans="3:26" ht="19" x14ac:dyDescent="0.2">
      <c r="C1459" s="241"/>
      <c r="D1459" s="589" t="s">
        <v>433</v>
      </c>
      <c r="E1459" s="856"/>
      <c r="F1459" s="857"/>
      <c r="G1459" s="858"/>
      <c r="H1459" s="245" t="s">
        <v>1294</v>
      </c>
      <c r="I1459" s="964"/>
      <c r="J1459" s="964"/>
      <c r="K1459" s="965"/>
      <c r="L1459" s="617"/>
      <c r="M1459" s="375"/>
      <c r="N1459" s="243"/>
      <c r="O1459" s="243"/>
      <c r="P1459" s="243"/>
      <c r="Q1459" s="243"/>
      <c r="R1459" s="253"/>
      <c r="S1459" s="254"/>
      <c r="T1459" s="243"/>
      <c r="U1459" s="243"/>
      <c r="V1459" s="243"/>
      <c r="W1459" s="254"/>
      <c r="X1459" s="254"/>
      <c r="Y1459" s="255"/>
      <c r="Z1459" s="255"/>
    </row>
    <row r="1460" spans="3:26" ht="19" x14ac:dyDescent="0.2">
      <c r="C1460" s="241"/>
      <c r="D1460" s="589" t="s">
        <v>434</v>
      </c>
      <c r="E1460" s="856"/>
      <c r="F1460" s="857"/>
      <c r="G1460" s="858"/>
      <c r="H1460" s="245"/>
      <c r="I1460" s="964"/>
      <c r="J1460" s="964"/>
      <c r="K1460" s="965"/>
      <c r="L1460" s="617"/>
      <c r="M1460" s="375"/>
      <c r="N1460" s="243"/>
      <c r="O1460" s="256" t="s">
        <v>811</v>
      </c>
      <c r="P1460" s="257">
        <v>0.1</v>
      </c>
      <c r="Q1460" s="258">
        <v>6.3600000000000004E-2</v>
      </c>
      <c r="R1460" s="259">
        <v>2.8000000000000001E-2</v>
      </c>
      <c r="S1460" s="260">
        <v>1</v>
      </c>
      <c r="T1460" s="256">
        <v>0.12340000000000001</v>
      </c>
      <c r="U1460" s="261">
        <v>-28.980673267331692</v>
      </c>
      <c r="V1460" s="261">
        <v>91.8</v>
      </c>
      <c r="W1460" s="263">
        <v>8.1199999999999992</v>
      </c>
      <c r="X1460" s="264">
        <v>235.32306693073332</v>
      </c>
      <c r="Y1460" s="265"/>
      <c r="Z1460" s="265"/>
    </row>
    <row r="1461" spans="3:26" ht="20" thickBot="1" x14ac:dyDescent="0.25">
      <c r="C1461" s="241"/>
      <c r="D1461" s="590" t="s">
        <v>435</v>
      </c>
      <c r="E1461" s="871">
        <v>0.79166666666666663</v>
      </c>
      <c r="F1461" s="872"/>
      <c r="G1461" s="873"/>
      <c r="H1461" s="266"/>
      <c r="I1461" s="964"/>
      <c r="J1461" s="964"/>
      <c r="K1461" s="965"/>
      <c r="L1461" s="618">
        <v>2.0833333333333332E-2</v>
      </c>
      <c r="M1461" s="403">
        <v>0.875</v>
      </c>
      <c r="N1461" s="243"/>
      <c r="O1461" s="267" t="s">
        <v>812</v>
      </c>
      <c r="P1461" s="268">
        <v>0.1</v>
      </c>
      <c r="Q1461" s="269">
        <v>6.4399999999999999E-2</v>
      </c>
      <c r="R1461" s="270">
        <v>2.8000000000000001E-2</v>
      </c>
      <c r="S1461" s="271">
        <v>1</v>
      </c>
      <c r="T1461" s="272">
        <v>0.1246</v>
      </c>
      <c r="U1461" s="273">
        <v>-29.262495049509958</v>
      </c>
      <c r="V1461" s="273">
        <v>91.8</v>
      </c>
      <c r="W1461" s="275">
        <v>4.9000000000000004</v>
      </c>
      <c r="X1461" s="276">
        <v>143.38622574259881</v>
      </c>
      <c r="Y1461" s="277"/>
      <c r="Z1461" s="277"/>
    </row>
    <row r="1462" spans="3:26" ht="20" thickBot="1" x14ac:dyDescent="0.25">
      <c r="C1462" s="241"/>
      <c r="D1462" s="591" t="s">
        <v>436</v>
      </c>
      <c r="E1462" s="293" t="s">
        <v>29</v>
      </c>
      <c r="F1462" s="293" t="s">
        <v>28</v>
      </c>
      <c r="G1462" s="294" t="s">
        <v>27</v>
      </c>
      <c r="H1462" s="280" t="s">
        <v>793</v>
      </c>
      <c r="I1462" s="964"/>
      <c r="J1462" s="964"/>
      <c r="K1462" s="965"/>
      <c r="L1462" s="619" t="s">
        <v>1246</v>
      </c>
      <c r="M1462" s="379"/>
      <c r="N1462" s="243"/>
      <c r="O1462" s="254"/>
      <c r="P1462" s="255"/>
      <c r="Q1462" s="254"/>
      <c r="R1462" s="254"/>
      <c r="S1462" s="254"/>
      <c r="T1462" s="254"/>
      <c r="U1462" s="281"/>
      <c r="V1462" s="282"/>
      <c r="W1462" s="254"/>
      <c r="X1462" s="281"/>
      <c r="Y1462" s="255"/>
      <c r="Z1462" s="255"/>
    </row>
    <row r="1463" spans="3:26" ht="19" x14ac:dyDescent="0.2">
      <c r="C1463" s="241"/>
      <c r="D1463" s="592">
        <v>45553</v>
      </c>
      <c r="E1463" s="295"/>
      <c r="F1463" s="295"/>
      <c r="G1463" s="295"/>
      <c r="H1463" s="284">
        <v>0.75</v>
      </c>
      <c r="I1463" s="964"/>
      <c r="J1463" s="964"/>
      <c r="K1463" s="965"/>
      <c r="L1463" s="621"/>
      <c r="M1463" s="382"/>
      <c r="N1463" s="243"/>
      <c r="O1463" s="254"/>
      <c r="P1463" s="255"/>
      <c r="Q1463" s="254"/>
      <c r="R1463" s="254"/>
      <c r="S1463" s="254"/>
      <c r="T1463" s="254"/>
      <c r="U1463" s="254"/>
      <c r="V1463" s="254"/>
      <c r="W1463" s="254"/>
      <c r="X1463" s="254"/>
      <c r="Y1463" s="255"/>
      <c r="Z1463" s="255"/>
    </row>
    <row r="1464" spans="3:26" ht="19" x14ac:dyDescent="0.2">
      <c r="C1464" s="241"/>
      <c r="D1464" s="592">
        <v>45455</v>
      </c>
      <c r="E1464" s="295"/>
      <c r="F1464" s="295"/>
      <c r="G1464" s="295"/>
      <c r="H1464" s="284">
        <v>0.75</v>
      </c>
      <c r="I1464" s="964"/>
      <c r="J1464" s="964"/>
      <c r="K1464" s="965"/>
      <c r="L1464" s="621"/>
      <c r="M1464" s="383"/>
      <c r="N1464" s="243"/>
      <c r="O1464" s="246" t="s">
        <v>813</v>
      </c>
      <c r="P1464" s="247">
        <v>0.34</v>
      </c>
      <c r="Q1464" s="285">
        <v>6.4000000000000001E-2</v>
      </c>
      <c r="R1464" s="286">
        <v>2.8000000000000001E-2</v>
      </c>
      <c r="S1464" s="250">
        <v>1.5</v>
      </c>
      <c r="T1464" s="256">
        <v>0.124</v>
      </c>
      <c r="U1464" s="287">
        <v>-148.5200792079462</v>
      </c>
      <c r="V1464" s="262">
        <v>312.12</v>
      </c>
      <c r="W1464" s="250">
        <v>2</v>
      </c>
      <c r="X1464" s="252">
        <v>297.04015841589239</v>
      </c>
      <c r="Y1464" s="289"/>
      <c r="Z1464" s="289"/>
    </row>
    <row r="1465" spans="3:26" ht="19" x14ac:dyDescent="0.2">
      <c r="C1465" s="241"/>
      <c r="D1465" s="592">
        <v>45371</v>
      </c>
      <c r="E1465" s="295"/>
      <c r="F1465" s="295"/>
      <c r="G1465" s="295"/>
      <c r="H1465" s="284">
        <v>0.75</v>
      </c>
      <c r="I1465" s="964"/>
      <c r="J1465" s="964"/>
      <c r="K1465" s="965"/>
      <c r="L1465" s="621"/>
      <c r="M1465" s="375"/>
      <c r="N1465" s="243"/>
      <c r="O1465" s="246" t="s">
        <v>813</v>
      </c>
      <c r="P1465" s="247">
        <v>0.34</v>
      </c>
      <c r="Q1465" s="285">
        <v>6.4000000000000001E-2</v>
      </c>
      <c r="R1465" s="286">
        <v>2.8000000000000001E-2</v>
      </c>
      <c r="S1465" s="250">
        <v>1.5</v>
      </c>
      <c r="T1465" s="256">
        <v>0.124</v>
      </c>
      <c r="U1465" s="287">
        <v>-148.5200792079462</v>
      </c>
      <c r="V1465" s="262">
        <v>312.12</v>
      </c>
      <c r="W1465" s="250">
        <v>2</v>
      </c>
      <c r="X1465" s="252">
        <v>297.04015841589239</v>
      </c>
      <c r="Y1465" s="289"/>
      <c r="Z1465" s="289"/>
    </row>
    <row r="1466" spans="3:26" ht="19" x14ac:dyDescent="0.2">
      <c r="C1466" s="241"/>
      <c r="D1466" s="592">
        <v>45273</v>
      </c>
      <c r="E1466" s="295"/>
      <c r="F1466" s="295"/>
      <c r="G1466" s="295"/>
      <c r="H1466" s="284">
        <v>0.79166666666666663</v>
      </c>
      <c r="I1466" s="964"/>
      <c r="J1466" s="964"/>
      <c r="K1466" s="965"/>
      <c r="L1466" s="621"/>
      <c r="M1466" s="375"/>
      <c r="N1466" s="243"/>
      <c r="O1466" s="246"/>
      <c r="P1466" s="290"/>
      <c r="Q1466" s="285"/>
      <c r="R1466" s="286"/>
      <c r="S1466" s="250"/>
      <c r="T1466" s="290"/>
      <c r="U1466" s="287"/>
      <c r="V1466" s="288"/>
      <c r="W1466" s="250"/>
      <c r="X1466" s="252"/>
      <c r="Y1466" s="289"/>
      <c r="Z1466" s="289"/>
    </row>
    <row r="1467" spans="3:26" ht="19" x14ac:dyDescent="0.2">
      <c r="C1467" s="241"/>
      <c r="D1467" s="592">
        <v>45189</v>
      </c>
      <c r="E1467" s="295"/>
      <c r="F1467" s="295"/>
      <c r="G1467" s="295"/>
      <c r="H1467" s="284">
        <v>0.75</v>
      </c>
      <c r="I1467" s="964"/>
      <c r="J1467" s="964"/>
      <c r="K1467" s="965"/>
      <c r="L1467" s="621"/>
      <c r="M1467" s="375"/>
      <c r="N1467" s="243"/>
      <c r="O1467" s="291"/>
      <c r="P1467" s="291"/>
      <c r="Q1467" s="291"/>
      <c r="R1467" s="291"/>
      <c r="S1467" s="291"/>
      <c r="T1467" s="291"/>
      <c r="U1467" s="291"/>
      <c r="V1467" s="291"/>
      <c r="W1467" s="291"/>
      <c r="X1467" s="291"/>
      <c r="Y1467" s="291"/>
      <c r="Z1467" s="291"/>
    </row>
    <row r="1468" spans="3:26" ht="20" thickBot="1" x14ac:dyDescent="0.25">
      <c r="C1468" s="241"/>
      <c r="D1468" s="608">
        <v>45091</v>
      </c>
      <c r="E1468" s="356"/>
      <c r="F1468" s="356"/>
      <c r="G1468" s="356"/>
      <c r="H1468" s="284">
        <v>0.75</v>
      </c>
      <c r="I1468" s="966"/>
      <c r="J1468" s="966"/>
      <c r="K1468" s="967"/>
      <c r="L1468" s="622"/>
      <c r="M1468" s="384"/>
      <c r="N1468" s="243"/>
      <c r="O1468" s="291"/>
      <c r="P1468" s="291"/>
      <c r="Q1468" s="291"/>
      <c r="R1468" s="291"/>
      <c r="S1468" s="291"/>
      <c r="T1468" s="291"/>
      <c r="U1468" s="291"/>
      <c r="V1468" s="291"/>
      <c r="W1468" s="291"/>
      <c r="X1468" s="291"/>
      <c r="Y1468" s="291"/>
      <c r="Z1468" s="291"/>
    </row>
    <row r="1469" spans="3:26" ht="20" thickBot="1" x14ac:dyDescent="0.25">
      <c r="C1469" s="241">
        <v>6</v>
      </c>
      <c r="D1469" s="576" t="s">
        <v>30</v>
      </c>
      <c r="E1469" s="874" t="s">
        <v>127</v>
      </c>
      <c r="F1469" s="875"/>
      <c r="G1469" s="876"/>
      <c r="H1469" s="242" t="s">
        <v>790</v>
      </c>
      <c r="I1469" s="977" t="s">
        <v>633</v>
      </c>
      <c r="J1469" s="977"/>
      <c r="K1469" s="978"/>
      <c r="L1469" s="616" t="s">
        <v>430</v>
      </c>
      <c r="M1469" s="372" t="s">
        <v>431</v>
      </c>
      <c r="N1469" s="243" t="s">
        <v>105</v>
      </c>
      <c r="O1469" s="244" t="s">
        <v>800</v>
      </c>
      <c r="P1469" s="244" t="s">
        <v>801</v>
      </c>
      <c r="Q1469" s="244" t="s">
        <v>802</v>
      </c>
      <c r="R1469" s="244" t="s">
        <v>803</v>
      </c>
      <c r="S1469" s="244" t="s">
        <v>804</v>
      </c>
      <c r="T1469" s="244" t="s">
        <v>805</v>
      </c>
      <c r="U1469" s="244" t="s">
        <v>806</v>
      </c>
      <c r="V1469" s="244" t="s">
        <v>807</v>
      </c>
      <c r="W1469" s="244" t="s">
        <v>808</v>
      </c>
      <c r="X1469" s="244" t="s">
        <v>809</v>
      </c>
      <c r="Y1469" s="244" t="s">
        <v>75</v>
      </c>
      <c r="Z1469" s="244" t="s">
        <v>75</v>
      </c>
    </row>
    <row r="1470" spans="3:26" ht="19" x14ac:dyDescent="0.2">
      <c r="C1470" s="241"/>
      <c r="D1470" s="588" t="s">
        <v>432</v>
      </c>
      <c r="E1470" s="853"/>
      <c r="F1470" s="854"/>
      <c r="G1470" s="855"/>
      <c r="H1470" s="245" t="s">
        <v>794</v>
      </c>
      <c r="I1470" s="962" t="s">
        <v>1267</v>
      </c>
      <c r="J1470" s="962"/>
      <c r="K1470" s="963"/>
      <c r="L1470" s="617"/>
      <c r="M1470" s="374" t="s">
        <v>127</v>
      </c>
      <c r="N1470" s="243"/>
      <c r="O1470" s="246" t="s">
        <v>810</v>
      </c>
      <c r="P1470" s="247">
        <v>0.1</v>
      </c>
      <c r="Q1470" s="248">
        <v>0.04</v>
      </c>
      <c r="R1470" s="249">
        <v>2.5000000000005684E-2</v>
      </c>
      <c r="S1470" s="250"/>
      <c r="T1470" s="246">
        <v>8.5000000000005682E-2</v>
      </c>
      <c r="U1470" s="248">
        <v>-20.73</v>
      </c>
      <c r="V1470" s="247">
        <v>60.5</v>
      </c>
      <c r="W1470" s="251">
        <v>2</v>
      </c>
      <c r="X1470" s="252">
        <v>41.46</v>
      </c>
      <c r="Y1470" s="250"/>
      <c r="Z1470" s="250"/>
    </row>
    <row r="1471" spans="3:26" ht="19" x14ac:dyDescent="0.2">
      <c r="C1471" s="241"/>
      <c r="D1471" s="589" t="s">
        <v>433</v>
      </c>
      <c r="E1471" s="868">
        <v>4.3799999999999999E-2</v>
      </c>
      <c r="F1471" s="869"/>
      <c r="G1471" s="870"/>
      <c r="H1471" s="245" t="s">
        <v>795</v>
      </c>
      <c r="I1471" s="964"/>
      <c r="J1471" s="964"/>
      <c r="K1471" s="965"/>
      <c r="L1471" s="617"/>
      <c r="M1471" s="375"/>
      <c r="N1471" s="243"/>
      <c r="O1471" s="243"/>
      <c r="P1471" s="243"/>
      <c r="Q1471" s="243"/>
      <c r="R1471" s="253"/>
      <c r="S1471" s="254"/>
      <c r="T1471" s="243"/>
      <c r="U1471" s="243"/>
      <c r="V1471" s="243"/>
      <c r="W1471" s="254"/>
      <c r="X1471" s="254"/>
      <c r="Y1471" s="255"/>
      <c r="Z1471" s="255"/>
    </row>
    <row r="1472" spans="3:26" ht="19" x14ac:dyDescent="0.2">
      <c r="C1472" s="241"/>
      <c r="D1472" s="589" t="s">
        <v>434</v>
      </c>
      <c r="E1472" s="868">
        <v>4.6199999999999998E-2</v>
      </c>
      <c r="F1472" s="869"/>
      <c r="G1472" s="870"/>
      <c r="H1472" s="245"/>
      <c r="I1472" s="964"/>
      <c r="J1472" s="964"/>
      <c r="K1472" s="965"/>
      <c r="L1472" s="617"/>
      <c r="M1472" s="375"/>
      <c r="N1472" s="243"/>
      <c r="O1472" s="256" t="s">
        <v>811</v>
      </c>
      <c r="P1472" s="257">
        <v>0.1</v>
      </c>
      <c r="Q1472" s="258">
        <v>6.9099999999999995E-2</v>
      </c>
      <c r="R1472" s="259">
        <v>0.11799999999999999</v>
      </c>
      <c r="S1472" s="260">
        <v>1</v>
      </c>
      <c r="T1472" s="256">
        <v>0.22164999999999999</v>
      </c>
      <c r="U1472" s="261">
        <v>-54.056523529408153</v>
      </c>
      <c r="V1472" s="262">
        <v>60.5</v>
      </c>
      <c r="W1472" s="263">
        <v>0.9</v>
      </c>
      <c r="X1472" s="264">
        <v>48.650871176467341</v>
      </c>
      <c r="Y1472" s="265"/>
      <c r="Z1472" s="265">
        <v>4.4350000000000005</v>
      </c>
    </row>
    <row r="1473" spans="3:26" ht="20" thickBot="1" x14ac:dyDescent="0.25">
      <c r="C1473" s="241"/>
      <c r="D1473" s="590" t="s">
        <v>435</v>
      </c>
      <c r="E1473" s="871">
        <v>0.79166666666666663</v>
      </c>
      <c r="F1473" s="872"/>
      <c r="G1473" s="873"/>
      <c r="H1473" s="266"/>
      <c r="I1473" s="964"/>
      <c r="J1473" s="964"/>
      <c r="K1473" s="965"/>
      <c r="L1473" s="618">
        <v>2.0833333333333332E-2</v>
      </c>
      <c r="M1473" s="403">
        <v>0.875</v>
      </c>
      <c r="N1473" s="243"/>
      <c r="O1473" s="267" t="s">
        <v>812</v>
      </c>
      <c r="P1473" s="268">
        <v>0.1</v>
      </c>
      <c r="Q1473" s="269">
        <v>7.2000000000000008E-2</v>
      </c>
      <c r="R1473" s="270">
        <v>0.11799999999999999</v>
      </c>
      <c r="S1473" s="271">
        <v>1</v>
      </c>
      <c r="T1473" s="272">
        <v>0.22600000000000001</v>
      </c>
      <c r="U1473" s="273">
        <v>-55.117411764702197</v>
      </c>
      <c r="V1473" s="274">
        <v>60.5</v>
      </c>
      <c r="W1473" s="275">
        <v>1.29</v>
      </c>
      <c r="X1473" s="276">
        <v>71.101461176465833</v>
      </c>
      <c r="Y1473" s="277"/>
      <c r="Z1473" s="277"/>
    </row>
    <row r="1474" spans="3:26" ht="20" thickBot="1" x14ac:dyDescent="0.25">
      <c r="C1474" s="241"/>
      <c r="D1474" s="591" t="s">
        <v>436</v>
      </c>
      <c r="E1474" s="293" t="s">
        <v>29</v>
      </c>
      <c r="F1474" s="293" t="s">
        <v>28</v>
      </c>
      <c r="G1474" s="294" t="s">
        <v>27</v>
      </c>
      <c r="H1474" s="280" t="s">
        <v>793</v>
      </c>
      <c r="I1474" s="964"/>
      <c r="J1474" s="964"/>
      <c r="K1474" s="965"/>
      <c r="L1474" s="619" t="s">
        <v>1246</v>
      </c>
      <c r="M1474" s="379"/>
      <c r="N1474" s="243"/>
      <c r="O1474" s="254"/>
      <c r="P1474" s="255"/>
      <c r="Q1474" s="254"/>
      <c r="R1474" s="254"/>
      <c r="S1474" s="254"/>
      <c r="T1474" s="254"/>
      <c r="U1474" s="281"/>
      <c r="V1474" s="282"/>
      <c r="W1474" s="254"/>
      <c r="X1474" s="281"/>
      <c r="Y1474" s="255"/>
      <c r="Z1474" s="255"/>
    </row>
    <row r="1475" spans="3:26" ht="19" x14ac:dyDescent="0.2">
      <c r="C1475" s="241"/>
      <c r="D1475" s="592">
        <v>45603</v>
      </c>
      <c r="E1475" s="295">
        <v>4.7500000000000001E-2</v>
      </c>
      <c r="F1475" s="295" t="s">
        <v>726</v>
      </c>
      <c r="G1475" s="295">
        <v>0.05</v>
      </c>
      <c r="H1475" s="284">
        <v>0.79166666666666663</v>
      </c>
      <c r="I1475" s="964"/>
      <c r="J1475" s="964"/>
      <c r="K1475" s="965"/>
      <c r="L1475" s="621"/>
      <c r="M1475" s="382"/>
      <c r="N1475" s="243"/>
      <c r="O1475" s="254"/>
      <c r="P1475" s="255"/>
      <c r="Q1475" s="254"/>
      <c r="R1475" s="254"/>
      <c r="S1475" s="254"/>
      <c r="T1475" s="254"/>
      <c r="U1475" s="254"/>
      <c r="V1475" s="254"/>
      <c r="W1475" s="254"/>
      <c r="X1475" s="254"/>
      <c r="Y1475" s="255"/>
      <c r="Z1475" s="255"/>
    </row>
    <row r="1476" spans="3:26" ht="19" x14ac:dyDescent="0.2">
      <c r="C1476" s="241"/>
      <c r="D1476" s="592">
        <v>45553</v>
      </c>
      <c r="E1476" s="295">
        <v>0.05</v>
      </c>
      <c r="F1476" s="295" t="s">
        <v>940</v>
      </c>
      <c r="G1476" s="295">
        <v>5.5E-2</v>
      </c>
      <c r="H1476" s="284">
        <v>0.75</v>
      </c>
      <c r="I1476" s="964"/>
      <c r="J1476" s="964"/>
      <c r="K1476" s="965"/>
      <c r="L1476" s="621"/>
      <c r="M1476" s="383"/>
      <c r="N1476" s="243"/>
      <c r="O1476" s="246" t="s">
        <v>813</v>
      </c>
      <c r="P1476" s="247">
        <v>0.05</v>
      </c>
      <c r="Q1476" s="285">
        <v>7.0550000000000002E-2</v>
      </c>
      <c r="R1476" s="286">
        <v>0.11799999999999999</v>
      </c>
      <c r="S1476" s="250">
        <v>-1</v>
      </c>
      <c r="T1476" s="256">
        <v>0.223825</v>
      </c>
      <c r="U1476" s="287">
        <v>-27.293483823527584</v>
      </c>
      <c r="V1476" s="288">
        <v>30.25</v>
      </c>
      <c r="W1476" s="250">
        <v>2</v>
      </c>
      <c r="X1476" s="252">
        <v>54.586967647055168</v>
      </c>
      <c r="Y1476" s="289"/>
      <c r="Z1476" s="289"/>
    </row>
    <row r="1477" spans="3:26" ht="19" x14ac:dyDescent="0.2">
      <c r="C1477" s="241"/>
      <c r="D1477" s="592">
        <v>45504</v>
      </c>
      <c r="E1477" s="295">
        <v>5.5E-2</v>
      </c>
      <c r="F1477" s="295" t="s">
        <v>942</v>
      </c>
      <c r="G1477" s="295">
        <v>5.5E-2</v>
      </c>
      <c r="H1477" s="284">
        <v>0.75</v>
      </c>
      <c r="I1477" s="964"/>
      <c r="J1477" s="964"/>
      <c r="K1477" s="965"/>
      <c r="L1477" s="621"/>
      <c r="M1477" s="375"/>
      <c r="N1477" s="243"/>
      <c r="O1477" s="246" t="s">
        <v>813</v>
      </c>
      <c r="P1477" s="247">
        <v>0.05</v>
      </c>
      <c r="Q1477" s="285">
        <v>7.0550000000000002E-2</v>
      </c>
      <c r="R1477" s="286">
        <v>0.11799999999999999</v>
      </c>
      <c r="S1477" s="250">
        <v>1</v>
      </c>
      <c r="T1477" s="256">
        <v>0.223825</v>
      </c>
      <c r="U1477" s="287">
        <v>-27.293483823527584</v>
      </c>
      <c r="V1477" s="288">
        <v>30.25</v>
      </c>
      <c r="W1477" s="250">
        <v>2</v>
      </c>
      <c r="X1477" s="252">
        <v>54.586967647055168</v>
      </c>
      <c r="Y1477" s="289"/>
      <c r="Z1477" s="289"/>
    </row>
    <row r="1478" spans="3:26" ht="19" x14ac:dyDescent="0.2">
      <c r="C1478" s="241"/>
      <c r="D1478" s="592">
        <v>45455</v>
      </c>
      <c r="E1478" s="295">
        <v>5.5E-2</v>
      </c>
      <c r="F1478" s="295" t="s">
        <v>942</v>
      </c>
      <c r="G1478" s="295">
        <v>5.5E-2</v>
      </c>
      <c r="H1478" s="284">
        <v>0.75</v>
      </c>
      <c r="I1478" s="964"/>
      <c r="J1478" s="964"/>
      <c r="K1478" s="965"/>
      <c r="L1478" s="621"/>
      <c r="M1478" s="375"/>
      <c r="N1478" s="243"/>
      <c r="O1478" s="246" t="s">
        <v>816</v>
      </c>
      <c r="P1478" s="290"/>
      <c r="Q1478" s="285"/>
      <c r="R1478" s="286"/>
      <c r="S1478" s="250"/>
      <c r="T1478" s="290"/>
      <c r="U1478" s="287"/>
      <c r="V1478" s="288"/>
      <c r="W1478" s="250"/>
      <c r="X1478" s="252"/>
      <c r="Y1478" s="289"/>
      <c r="Z1478" s="289"/>
    </row>
    <row r="1479" spans="3:26" ht="19" x14ac:dyDescent="0.2">
      <c r="C1479" s="241"/>
      <c r="D1479" s="592">
        <v>45413</v>
      </c>
      <c r="E1479" s="295">
        <v>5.5E-2</v>
      </c>
      <c r="F1479" s="295" t="s">
        <v>942</v>
      </c>
      <c r="G1479" s="295">
        <v>5.5E-2</v>
      </c>
      <c r="H1479" s="284">
        <v>0.75</v>
      </c>
      <c r="I1479" s="964"/>
      <c r="J1479" s="964"/>
      <c r="K1479" s="965"/>
      <c r="L1479" s="621"/>
      <c r="M1479" s="375"/>
      <c r="N1479" s="243"/>
      <c r="O1479" s="291"/>
      <c r="P1479" s="291"/>
      <c r="Q1479" s="291"/>
      <c r="R1479" s="291"/>
      <c r="S1479" s="291"/>
      <c r="T1479" s="291"/>
      <c r="U1479" s="291"/>
      <c r="V1479" s="291"/>
      <c r="W1479" s="291"/>
      <c r="X1479" s="291"/>
      <c r="Y1479" s="291"/>
      <c r="Z1479" s="291"/>
    </row>
    <row r="1480" spans="3:26" ht="20" thickBot="1" x14ac:dyDescent="0.25">
      <c r="C1480" s="241"/>
      <c r="D1480" s="608">
        <v>45371</v>
      </c>
      <c r="E1480" s="356">
        <v>5.5E-2</v>
      </c>
      <c r="F1480" s="356" t="s">
        <v>942</v>
      </c>
      <c r="G1480" s="356">
        <v>5.5E-2</v>
      </c>
      <c r="H1480" s="284">
        <v>0.75</v>
      </c>
      <c r="I1480" s="966"/>
      <c r="J1480" s="966"/>
      <c r="K1480" s="967"/>
      <c r="L1480" s="622"/>
      <c r="M1480" s="384"/>
      <c r="N1480" s="243"/>
      <c r="O1480" s="291"/>
      <c r="P1480" s="291"/>
      <c r="Q1480" s="291"/>
      <c r="R1480" s="291"/>
      <c r="S1480" s="291"/>
      <c r="T1480" s="291"/>
      <c r="U1480" s="291"/>
      <c r="V1480" s="291"/>
      <c r="W1480" s="291"/>
      <c r="X1480" s="291"/>
      <c r="Y1480" s="291"/>
      <c r="Z1480" s="291"/>
    </row>
    <row r="1481" spans="3:26" ht="20" thickBot="1" x14ac:dyDescent="0.25">
      <c r="C1481" s="241">
        <v>7</v>
      </c>
      <c r="D1481" s="576" t="s">
        <v>30</v>
      </c>
      <c r="E1481" s="874" t="s">
        <v>129</v>
      </c>
      <c r="F1481" s="875"/>
      <c r="G1481" s="876"/>
      <c r="H1481" s="242" t="s">
        <v>790</v>
      </c>
      <c r="I1481" s="977" t="s">
        <v>633</v>
      </c>
      <c r="J1481" s="977"/>
      <c r="K1481" s="978"/>
      <c r="L1481" s="616" t="s">
        <v>430</v>
      </c>
      <c r="M1481" s="372" t="s">
        <v>431</v>
      </c>
      <c r="N1481" s="243" t="s">
        <v>105</v>
      </c>
      <c r="O1481" s="244" t="s">
        <v>800</v>
      </c>
      <c r="P1481" s="244" t="s">
        <v>801</v>
      </c>
      <c r="Q1481" s="244" t="s">
        <v>802</v>
      </c>
      <c r="R1481" s="244" t="s">
        <v>803</v>
      </c>
      <c r="S1481" s="244" t="s">
        <v>804</v>
      </c>
      <c r="T1481" s="244" t="s">
        <v>805</v>
      </c>
      <c r="U1481" s="244" t="s">
        <v>806</v>
      </c>
      <c r="V1481" s="244" t="s">
        <v>807</v>
      </c>
      <c r="W1481" s="244" t="s">
        <v>808</v>
      </c>
      <c r="X1481" s="244" t="s">
        <v>809</v>
      </c>
      <c r="Y1481" s="244" t="s">
        <v>75</v>
      </c>
      <c r="Z1481" s="244" t="s">
        <v>75</v>
      </c>
    </row>
    <row r="1482" spans="3:26" ht="19" x14ac:dyDescent="0.2">
      <c r="C1482" s="241"/>
      <c r="D1482" s="588" t="s">
        <v>432</v>
      </c>
      <c r="E1482" s="853"/>
      <c r="F1482" s="854"/>
      <c r="G1482" s="855"/>
      <c r="H1482" s="245" t="s">
        <v>794</v>
      </c>
      <c r="I1482" s="962" t="s">
        <v>1267</v>
      </c>
      <c r="J1482" s="962"/>
      <c r="K1482" s="963"/>
      <c r="L1482" s="617"/>
      <c r="M1482" s="374" t="s">
        <v>129</v>
      </c>
      <c r="N1482" s="243"/>
      <c r="O1482" s="246" t="s">
        <v>810</v>
      </c>
      <c r="P1482" s="247">
        <v>0.1</v>
      </c>
      <c r="Q1482" s="248">
        <v>0.04</v>
      </c>
      <c r="R1482" s="249">
        <v>2.5000000000005684E-2</v>
      </c>
      <c r="S1482" s="250"/>
      <c r="T1482" s="246">
        <v>8.5000000000005682E-2</v>
      </c>
      <c r="U1482" s="248">
        <v>-20.73</v>
      </c>
      <c r="V1482" s="247">
        <v>60.5</v>
      </c>
      <c r="W1482" s="251">
        <v>2</v>
      </c>
      <c r="X1482" s="252">
        <v>41.46</v>
      </c>
      <c r="Y1482" s="250"/>
      <c r="Z1482" s="250"/>
    </row>
    <row r="1483" spans="3:26" ht="19" x14ac:dyDescent="0.2">
      <c r="C1483" s="241"/>
      <c r="D1483" s="589" t="s">
        <v>433</v>
      </c>
      <c r="E1483" s="868"/>
      <c r="F1483" s="869"/>
      <c r="G1483" s="870"/>
      <c r="H1483" s="245" t="s">
        <v>795</v>
      </c>
      <c r="I1483" s="964"/>
      <c r="J1483" s="964"/>
      <c r="K1483" s="965"/>
      <c r="L1483" s="617"/>
      <c r="M1483" s="375"/>
      <c r="N1483" s="243"/>
      <c r="O1483" s="243"/>
      <c r="P1483" s="243"/>
      <c r="Q1483" s="243"/>
      <c r="R1483" s="253"/>
      <c r="S1483" s="254"/>
      <c r="T1483" s="243"/>
      <c r="U1483" s="243"/>
      <c r="V1483" s="243"/>
      <c r="W1483" s="254"/>
      <c r="X1483" s="254"/>
      <c r="Y1483" s="255"/>
      <c r="Z1483" s="255"/>
    </row>
    <row r="1484" spans="3:26" ht="19" x14ac:dyDescent="0.2">
      <c r="C1484" s="241"/>
      <c r="D1484" s="589" t="s">
        <v>434</v>
      </c>
      <c r="E1484" s="868"/>
      <c r="F1484" s="869"/>
      <c r="G1484" s="870"/>
      <c r="H1484" s="245"/>
      <c r="I1484" s="964"/>
      <c r="J1484" s="964"/>
      <c r="K1484" s="965"/>
      <c r="L1484" s="617"/>
      <c r="M1484" s="375"/>
      <c r="N1484" s="243"/>
      <c r="O1484" s="256" t="s">
        <v>811</v>
      </c>
      <c r="P1484" s="257">
        <v>0.1</v>
      </c>
      <c r="Q1484" s="258">
        <v>6.9099999999999995E-2</v>
      </c>
      <c r="R1484" s="259">
        <v>0.11799999999999999</v>
      </c>
      <c r="S1484" s="260">
        <v>1</v>
      </c>
      <c r="T1484" s="256">
        <v>0.22164999999999999</v>
      </c>
      <c r="U1484" s="261">
        <v>-54.056523529408153</v>
      </c>
      <c r="V1484" s="262">
        <v>60.5</v>
      </c>
      <c r="W1484" s="263">
        <v>0.9</v>
      </c>
      <c r="X1484" s="264">
        <v>48.650871176467341</v>
      </c>
      <c r="Y1484" s="265"/>
      <c r="Z1484" s="265">
        <v>4.4350000000000005</v>
      </c>
    </row>
    <row r="1485" spans="3:26" ht="20" thickBot="1" x14ac:dyDescent="0.25">
      <c r="C1485" s="241"/>
      <c r="D1485" s="590" t="s">
        <v>435</v>
      </c>
      <c r="E1485" s="871">
        <v>0.8125</v>
      </c>
      <c r="F1485" s="872"/>
      <c r="G1485" s="873"/>
      <c r="H1485" s="266"/>
      <c r="I1485" s="964"/>
      <c r="J1485" s="964"/>
      <c r="K1485" s="965"/>
      <c r="L1485" s="618">
        <v>4.1666666666666664E-2</v>
      </c>
      <c r="M1485" s="403">
        <v>0.89583333333333337</v>
      </c>
      <c r="N1485" s="243"/>
      <c r="O1485" s="267" t="s">
        <v>812</v>
      </c>
      <c r="P1485" s="268">
        <v>0.1</v>
      </c>
      <c r="Q1485" s="269">
        <v>7.2000000000000008E-2</v>
      </c>
      <c r="R1485" s="270">
        <v>0.11799999999999999</v>
      </c>
      <c r="S1485" s="271">
        <v>1</v>
      </c>
      <c r="T1485" s="272">
        <v>0.22600000000000001</v>
      </c>
      <c r="U1485" s="273">
        <v>-55.117411764702197</v>
      </c>
      <c r="V1485" s="274">
        <v>60.5</v>
      </c>
      <c r="W1485" s="275">
        <v>1.29</v>
      </c>
      <c r="X1485" s="276">
        <v>71.101461176465833</v>
      </c>
      <c r="Y1485" s="277"/>
      <c r="Z1485" s="277"/>
    </row>
    <row r="1486" spans="3:26" ht="20" thickBot="1" x14ac:dyDescent="0.25">
      <c r="C1486" s="241"/>
      <c r="D1486" s="591" t="s">
        <v>436</v>
      </c>
      <c r="E1486" s="293" t="s">
        <v>29</v>
      </c>
      <c r="F1486" s="293" t="s">
        <v>28</v>
      </c>
      <c r="G1486" s="294" t="s">
        <v>27</v>
      </c>
      <c r="H1486" s="280" t="s">
        <v>793</v>
      </c>
      <c r="I1486" s="964"/>
      <c r="J1486" s="964"/>
      <c r="K1486" s="965"/>
      <c r="L1486" s="619" t="s">
        <v>1246</v>
      </c>
      <c r="M1486" s="379"/>
      <c r="N1486" s="243"/>
      <c r="O1486" s="254"/>
      <c r="P1486" s="255"/>
      <c r="Q1486" s="254"/>
      <c r="R1486" s="254"/>
      <c r="S1486" s="254"/>
      <c r="T1486" s="254"/>
      <c r="U1486" s="281"/>
      <c r="V1486" s="282"/>
      <c r="W1486" s="254"/>
      <c r="X1486" s="281"/>
      <c r="Y1486" s="255"/>
      <c r="Z1486" s="255"/>
    </row>
    <row r="1487" spans="3:26" ht="19" x14ac:dyDescent="0.2">
      <c r="C1487" s="241"/>
      <c r="D1487" s="592">
        <v>45603</v>
      </c>
      <c r="E1487" s="295"/>
      <c r="F1487" s="295"/>
      <c r="G1487" s="295"/>
      <c r="H1487" s="284">
        <v>0.8125</v>
      </c>
      <c r="I1487" s="964"/>
      <c r="J1487" s="964"/>
      <c r="K1487" s="965"/>
      <c r="L1487" s="621"/>
      <c r="M1487" s="382"/>
      <c r="N1487" s="243"/>
      <c r="O1487" s="254"/>
      <c r="P1487" s="255"/>
      <c r="Q1487" s="254"/>
      <c r="R1487" s="254"/>
      <c r="S1487" s="254"/>
      <c r="T1487" s="254"/>
      <c r="U1487" s="254"/>
      <c r="V1487" s="254"/>
      <c r="W1487" s="254"/>
      <c r="X1487" s="254"/>
      <c r="Y1487" s="255"/>
      <c r="Z1487" s="255"/>
    </row>
    <row r="1488" spans="3:26" ht="19" x14ac:dyDescent="0.2">
      <c r="C1488" s="241"/>
      <c r="D1488" s="592">
        <v>45553</v>
      </c>
      <c r="E1488" s="295"/>
      <c r="F1488" s="295"/>
      <c r="G1488" s="295"/>
      <c r="H1488" s="284">
        <v>0.77083333333333337</v>
      </c>
      <c r="I1488" s="964"/>
      <c r="J1488" s="964"/>
      <c r="K1488" s="965"/>
      <c r="L1488" s="621"/>
      <c r="M1488" s="383"/>
      <c r="N1488" s="243"/>
      <c r="O1488" s="246" t="s">
        <v>813</v>
      </c>
      <c r="P1488" s="247">
        <v>0.05</v>
      </c>
      <c r="Q1488" s="285">
        <v>7.0550000000000002E-2</v>
      </c>
      <c r="R1488" s="286">
        <v>0.11799999999999999</v>
      </c>
      <c r="S1488" s="250">
        <v>-1</v>
      </c>
      <c r="T1488" s="256">
        <v>0.223825</v>
      </c>
      <c r="U1488" s="287">
        <v>-27.293483823527584</v>
      </c>
      <c r="V1488" s="288">
        <v>30.25</v>
      </c>
      <c r="W1488" s="250">
        <v>2</v>
      </c>
      <c r="X1488" s="252">
        <v>54.586967647055168</v>
      </c>
      <c r="Y1488" s="289"/>
      <c r="Z1488" s="289"/>
    </row>
    <row r="1489" spans="3:26" ht="19" x14ac:dyDescent="0.2">
      <c r="C1489" s="241"/>
      <c r="D1489" s="592">
        <v>45504</v>
      </c>
      <c r="E1489" s="295"/>
      <c r="F1489" s="295"/>
      <c r="G1489" s="295"/>
      <c r="H1489" s="284">
        <v>0.77083333333333337</v>
      </c>
      <c r="I1489" s="964"/>
      <c r="J1489" s="964"/>
      <c r="K1489" s="965"/>
      <c r="L1489" s="621"/>
      <c r="M1489" s="375"/>
      <c r="N1489" s="243"/>
      <c r="O1489" s="246" t="s">
        <v>813</v>
      </c>
      <c r="P1489" s="247">
        <v>0.05</v>
      </c>
      <c r="Q1489" s="285">
        <v>7.0550000000000002E-2</v>
      </c>
      <c r="R1489" s="286">
        <v>0.11799999999999999</v>
      </c>
      <c r="S1489" s="250">
        <v>1</v>
      </c>
      <c r="T1489" s="256">
        <v>0.223825</v>
      </c>
      <c r="U1489" s="287">
        <v>-27.293483823527584</v>
      </c>
      <c r="V1489" s="288">
        <v>30.25</v>
      </c>
      <c r="W1489" s="250">
        <v>2</v>
      </c>
      <c r="X1489" s="252">
        <v>54.586967647055168</v>
      </c>
      <c r="Y1489" s="289"/>
      <c r="Z1489" s="289"/>
    </row>
    <row r="1490" spans="3:26" ht="19" x14ac:dyDescent="0.2">
      <c r="C1490" s="241"/>
      <c r="D1490" s="592">
        <v>45455</v>
      </c>
      <c r="E1490" s="295"/>
      <c r="F1490" s="295"/>
      <c r="G1490" s="295"/>
      <c r="H1490" s="284">
        <v>0.77083333333333337</v>
      </c>
      <c r="I1490" s="964"/>
      <c r="J1490" s="964"/>
      <c r="K1490" s="965"/>
      <c r="L1490" s="621"/>
      <c r="M1490" s="375"/>
      <c r="N1490" s="243"/>
      <c r="O1490" s="246" t="s">
        <v>816</v>
      </c>
      <c r="P1490" s="290"/>
      <c r="Q1490" s="285"/>
      <c r="R1490" s="286"/>
      <c r="S1490" s="250"/>
      <c r="T1490" s="290"/>
      <c r="U1490" s="287"/>
      <c r="V1490" s="288"/>
      <c r="W1490" s="250"/>
      <c r="X1490" s="252"/>
      <c r="Y1490" s="289"/>
      <c r="Z1490" s="289"/>
    </row>
    <row r="1491" spans="3:26" ht="19" x14ac:dyDescent="0.2">
      <c r="C1491" s="241"/>
      <c r="D1491" s="592">
        <v>45413</v>
      </c>
      <c r="E1491" s="295"/>
      <c r="F1491" s="295"/>
      <c r="G1491" s="295"/>
      <c r="H1491" s="284">
        <v>0.77083333333333337</v>
      </c>
      <c r="I1491" s="964"/>
      <c r="J1491" s="964"/>
      <c r="K1491" s="965"/>
      <c r="L1491" s="621"/>
      <c r="M1491" s="375"/>
      <c r="N1491" s="243"/>
      <c r="O1491" s="291"/>
      <c r="P1491" s="291"/>
      <c r="Q1491" s="291"/>
      <c r="R1491" s="291"/>
      <c r="S1491" s="291"/>
      <c r="T1491" s="291"/>
      <c r="U1491" s="291"/>
      <c r="V1491" s="291"/>
      <c r="W1491" s="291"/>
      <c r="X1491" s="291"/>
      <c r="Y1491" s="291"/>
      <c r="Z1491" s="291"/>
    </row>
    <row r="1492" spans="3:26" ht="20" thickBot="1" x14ac:dyDescent="0.25">
      <c r="C1492" s="241"/>
      <c r="D1492" s="608">
        <v>45371</v>
      </c>
      <c r="E1492" s="356"/>
      <c r="F1492" s="356"/>
      <c r="G1492" s="356"/>
      <c r="H1492" s="284">
        <v>0.77083333333333337</v>
      </c>
      <c r="I1492" s="966"/>
      <c r="J1492" s="966"/>
      <c r="K1492" s="967"/>
      <c r="L1492" s="622"/>
      <c r="M1492" s="384"/>
      <c r="N1492" s="243"/>
      <c r="O1492" s="291"/>
      <c r="P1492" s="291"/>
      <c r="Q1492" s="291"/>
      <c r="R1492" s="291"/>
      <c r="S1492" s="291"/>
      <c r="T1492" s="291"/>
      <c r="U1492" s="291"/>
      <c r="V1492" s="291"/>
      <c r="W1492" s="291"/>
      <c r="X1492" s="291"/>
      <c r="Y1492" s="291"/>
      <c r="Z1492" s="291"/>
    </row>
    <row r="1493" spans="3:26" ht="20" thickBot="1" x14ac:dyDescent="0.25">
      <c r="C1493" s="241">
        <v>7</v>
      </c>
      <c r="D1493" s="576" t="s">
        <v>30</v>
      </c>
      <c r="E1493" s="874" t="s">
        <v>118</v>
      </c>
      <c r="F1493" s="875"/>
      <c r="G1493" s="876"/>
      <c r="H1493" s="242" t="s">
        <v>790</v>
      </c>
      <c r="I1493" s="977" t="s">
        <v>633</v>
      </c>
      <c r="J1493" s="977"/>
      <c r="K1493" s="978"/>
      <c r="L1493" s="616" t="s">
        <v>430</v>
      </c>
      <c r="M1493" s="372" t="s">
        <v>431</v>
      </c>
      <c r="N1493" s="243" t="s">
        <v>105</v>
      </c>
      <c r="O1493" s="244" t="s">
        <v>800</v>
      </c>
      <c r="P1493" s="244" t="s">
        <v>801</v>
      </c>
      <c r="Q1493" s="244" t="s">
        <v>802</v>
      </c>
      <c r="R1493" s="244" t="s">
        <v>803</v>
      </c>
      <c r="S1493" s="244" t="s">
        <v>804</v>
      </c>
      <c r="T1493" s="244" t="s">
        <v>805</v>
      </c>
      <c r="U1493" s="244" t="s">
        <v>806</v>
      </c>
      <c r="V1493" s="244" t="s">
        <v>807</v>
      </c>
      <c r="W1493" s="244" t="s">
        <v>808</v>
      </c>
      <c r="X1493" s="244" t="s">
        <v>809</v>
      </c>
      <c r="Y1493" s="244" t="s">
        <v>75</v>
      </c>
      <c r="Z1493" s="244" t="s">
        <v>75</v>
      </c>
    </row>
    <row r="1494" spans="3:26" ht="19" x14ac:dyDescent="0.2">
      <c r="C1494" s="241"/>
      <c r="D1494" s="588" t="s">
        <v>432</v>
      </c>
      <c r="E1494" s="853"/>
      <c r="F1494" s="854"/>
      <c r="G1494" s="855"/>
      <c r="H1494" s="245" t="s">
        <v>794</v>
      </c>
      <c r="I1494" s="962" t="s">
        <v>1268</v>
      </c>
      <c r="J1494" s="962"/>
      <c r="K1494" s="963"/>
      <c r="L1494" s="617"/>
      <c r="M1494" s="374" t="s">
        <v>118</v>
      </c>
      <c r="N1494" s="243"/>
      <c r="O1494" s="246" t="s">
        <v>810</v>
      </c>
      <c r="P1494" s="247">
        <v>0.1</v>
      </c>
      <c r="Q1494" s="248">
        <v>3.4000000000000002E-2</v>
      </c>
      <c r="R1494" s="249">
        <v>1.5000000000014779E-2</v>
      </c>
      <c r="S1494" s="250"/>
      <c r="T1494" s="246">
        <v>6.6000000000014783E-2</v>
      </c>
      <c r="U1494" s="248">
        <v>-16.5</v>
      </c>
      <c r="V1494" s="247">
        <v>60.5</v>
      </c>
      <c r="W1494" s="251">
        <v>2</v>
      </c>
      <c r="X1494" s="252">
        <v>33</v>
      </c>
      <c r="Y1494" s="250"/>
      <c r="Z1494" s="250"/>
    </row>
    <row r="1495" spans="3:26" ht="19" x14ac:dyDescent="0.2">
      <c r="C1495" s="241"/>
      <c r="D1495" s="589" t="s">
        <v>433</v>
      </c>
      <c r="E1495" s="868">
        <v>2.5000000000000001E-3</v>
      </c>
      <c r="F1495" s="869"/>
      <c r="G1495" s="870"/>
      <c r="H1495" s="245" t="s">
        <v>795</v>
      </c>
      <c r="I1495" s="964"/>
      <c r="J1495" s="964"/>
      <c r="K1495" s="965"/>
      <c r="L1495" s="617"/>
      <c r="M1495" s="375"/>
      <c r="N1495" s="243"/>
      <c r="O1495" s="243"/>
      <c r="P1495" s="243"/>
      <c r="Q1495" s="243"/>
      <c r="R1495" s="253"/>
      <c r="S1495" s="254"/>
      <c r="T1495" s="243"/>
      <c r="U1495" s="243"/>
      <c r="V1495" s="243"/>
      <c r="W1495" s="243"/>
      <c r="X1495" s="254"/>
      <c r="Y1495" s="255"/>
      <c r="Z1495" s="255"/>
    </row>
    <row r="1496" spans="3:26" ht="19" x14ac:dyDescent="0.2">
      <c r="C1496" s="241"/>
      <c r="D1496" s="589" t="s">
        <v>434</v>
      </c>
      <c r="E1496" s="868">
        <v>2.5000000000000001E-3</v>
      </c>
      <c r="F1496" s="869"/>
      <c r="G1496" s="870"/>
      <c r="H1496" s="245"/>
      <c r="I1496" s="964"/>
      <c r="J1496" s="964"/>
      <c r="K1496" s="965"/>
      <c r="L1496" s="617"/>
      <c r="M1496" s="375"/>
      <c r="N1496" s="243"/>
      <c r="O1496" s="256" t="s">
        <v>811</v>
      </c>
      <c r="P1496" s="257">
        <v>0.1</v>
      </c>
      <c r="Q1496" s="258">
        <v>6.88E-2</v>
      </c>
      <c r="R1496" s="259">
        <v>1.7000000000000001E-2</v>
      </c>
      <c r="S1496" s="299">
        <v>1</v>
      </c>
      <c r="T1496" s="256">
        <v>0.1202</v>
      </c>
      <c r="U1496" s="261">
        <v>-30.049999999993272</v>
      </c>
      <c r="V1496" s="262">
        <v>60.5</v>
      </c>
      <c r="W1496" s="300">
        <v>2.2999999999999998</v>
      </c>
      <c r="X1496" s="264">
        <v>69.114999999984519</v>
      </c>
      <c r="Y1496" s="265"/>
      <c r="Z1496" s="265"/>
    </row>
    <row r="1497" spans="3:26" ht="20" thickBot="1" x14ac:dyDescent="0.25">
      <c r="C1497" s="241"/>
      <c r="D1497" s="590" t="s">
        <v>435</v>
      </c>
      <c r="E1497" s="871">
        <v>0.12500000000000003</v>
      </c>
      <c r="F1497" s="872"/>
      <c r="G1497" s="873"/>
      <c r="H1497" s="266"/>
      <c r="I1497" s="964"/>
      <c r="J1497" s="964"/>
      <c r="K1497" s="965"/>
      <c r="L1497" s="618">
        <v>0.35416666666666669</v>
      </c>
      <c r="M1497" s="377">
        <v>0.20833333333333334</v>
      </c>
      <c r="N1497" s="243"/>
      <c r="O1497" s="267" t="s">
        <v>812</v>
      </c>
      <c r="P1497" s="268">
        <v>0.1</v>
      </c>
      <c r="Q1497" s="269">
        <v>0.10173333333333334</v>
      </c>
      <c r="R1497" s="270">
        <v>1.7000000000000001E-2</v>
      </c>
      <c r="S1497" s="301">
        <v>1</v>
      </c>
      <c r="T1497" s="272">
        <v>0.1696</v>
      </c>
      <c r="U1497" s="273">
        <v>-42.399999999990506</v>
      </c>
      <c r="V1497" s="274">
        <v>60.5</v>
      </c>
      <c r="W1497" s="302">
        <v>4</v>
      </c>
      <c r="X1497" s="276">
        <v>169.59999999996202</v>
      </c>
      <c r="Y1497" s="277"/>
      <c r="Z1497" s="277"/>
    </row>
    <row r="1498" spans="3:26" ht="20" thickBot="1" x14ac:dyDescent="0.25">
      <c r="C1498" s="241"/>
      <c r="D1498" s="591" t="s">
        <v>436</v>
      </c>
      <c r="E1498" s="278" t="s">
        <v>29</v>
      </c>
      <c r="F1498" s="278" t="s">
        <v>28</v>
      </c>
      <c r="G1498" s="279" t="s">
        <v>27</v>
      </c>
      <c r="H1498" s="280" t="s">
        <v>793</v>
      </c>
      <c r="I1498" s="964"/>
      <c r="J1498" s="964"/>
      <c r="K1498" s="965"/>
      <c r="L1498" s="619" t="s">
        <v>1246</v>
      </c>
      <c r="M1498" s="379"/>
      <c r="N1498" s="243"/>
      <c r="O1498" s="254"/>
      <c r="P1498" s="255"/>
      <c r="Q1498" s="254"/>
      <c r="R1498" s="254"/>
      <c r="S1498" s="303"/>
      <c r="T1498" s="254"/>
      <c r="U1498" s="281"/>
      <c r="V1498" s="282"/>
      <c r="W1498" s="304"/>
      <c r="X1498" s="281"/>
      <c r="Y1498" s="255"/>
      <c r="Z1498" s="255"/>
    </row>
    <row r="1499" spans="3:26" ht="19" x14ac:dyDescent="0.2">
      <c r="C1499" s="241"/>
      <c r="D1499" s="592">
        <v>45596</v>
      </c>
      <c r="E1499" s="295">
        <v>2.5000000000000001E-3</v>
      </c>
      <c r="F1499" s="295" t="s">
        <v>892</v>
      </c>
      <c r="G1499" s="295">
        <v>2.5000000000000001E-3</v>
      </c>
      <c r="H1499" s="390">
        <v>0.12500000000000003</v>
      </c>
      <c r="I1499" s="964"/>
      <c r="J1499" s="964"/>
      <c r="K1499" s="965"/>
      <c r="L1499" s="621"/>
      <c r="M1499" s="382"/>
      <c r="N1499" s="243"/>
      <c r="O1499" s="254"/>
      <c r="P1499" s="255"/>
      <c r="Q1499" s="254"/>
      <c r="R1499" s="254"/>
      <c r="S1499" s="303"/>
      <c r="T1499" s="254"/>
      <c r="U1499" s="254"/>
      <c r="V1499" s="254"/>
      <c r="W1499" s="304"/>
      <c r="X1499" s="254"/>
      <c r="Y1499" s="255"/>
      <c r="Z1499" s="255"/>
    </row>
    <row r="1500" spans="3:26" ht="19" x14ac:dyDescent="0.2">
      <c r="C1500" s="241"/>
      <c r="D1500" s="592">
        <v>45555</v>
      </c>
      <c r="E1500" s="295">
        <v>2.5000000000000001E-3</v>
      </c>
      <c r="F1500" s="295" t="s">
        <v>892</v>
      </c>
      <c r="G1500" s="295">
        <v>2.5000000000000001E-3</v>
      </c>
      <c r="H1500" s="390">
        <v>0.12500000000000003</v>
      </c>
      <c r="I1500" s="964"/>
      <c r="J1500" s="964"/>
      <c r="K1500" s="965"/>
      <c r="L1500" s="621"/>
      <c r="M1500" s="383"/>
      <c r="N1500" s="243"/>
      <c r="O1500" s="246" t="s">
        <v>813</v>
      </c>
      <c r="P1500" s="247">
        <v>0.06</v>
      </c>
      <c r="Q1500" s="285">
        <v>8.5266666666666671E-2</v>
      </c>
      <c r="R1500" s="286">
        <v>1.7000000000000001E-2</v>
      </c>
      <c r="S1500" s="250">
        <v>-1.5</v>
      </c>
      <c r="T1500" s="256">
        <v>0.14490000000000003</v>
      </c>
      <c r="U1500" s="287">
        <v>32.602499999992702</v>
      </c>
      <c r="V1500" s="288">
        <v>36.299999999999997</v>
      </c>
      <c r="W1500" s="250">
        <v>2</v>
      </c>
      <c r="X1500" s="252">
        <v>-65.204999999985404</v>
      </c>
      <c r="Y1500" s="289"/>
      <c r="Z1500" s="289"/>
    </row>
    <row r="1501" spans="3:26" ht="19" x14ac:dyDescent="0.2">
      <c r="C1501" s="241"/>
      <c r="D1501" s="592">
        <v>45504</v>
      </c>
      <c r="E1501" s="295">
        <v>2.5000000000000001E-3</v>
      </c>
      <c r="F1501" s="295" t="s">
        <v>893</v>
      </c>
      <c r="G1501" s="295">
        <v>1E-3</v>
      </c>
      <c r="H1501" s="390">
        <v>0.16666666666666666</v>
      </c>
      <c r="I1501" s="964"/>
      <c r="J1501" s="964"/>
      <c r="K1501" s="965"/>
      <c r="L1501" s="621"/>
      <c r="M1501" s="375"/>
      <c r="N1501" s="243"/>
      <c r="O1501" s="246" t="s">
        <v>813</v>
      </c>
      <c r="P1501" s="247">
        <v>0.06</v>
      </c>
      <c r="Q1501" s="285">
        <v>8.5266666666666671E-2</v>
      </c>
      <c r="R1501" s="286">
        <v>1.7000000000000001E-2</v>
      </c>
      <c r="S1501" s="250">
        <v>1.5</v>
      </c>
      <c r="T1501" s="256">
        <v>0.14490000000000003</v>
      </c>
      <c r="U1501" s="287">
        <v>-31.804697647056706</v>
      </c>
      <c r="V1501" s="288">
        <v>36.299999999999997</v>
      </c>
      <c r="W1501" s="250">
        <v>2</v>
      </c>
      <c r="X1501" s="252">
        <v>63.609395294113412</v>
      </c>
      <c r="Y1501" s="289"/>
      <c r="Z1501" s="289"/>
    </row>
    <row r="1502" spans="3:26" ht="19" x14ac:dyDescent="0.2">
      <c r="C1502" s="241"/>
      <c r="D1502" s="592">
        <v>45457</v>
      </c>
      <c r="E1502" s="295">
        <v>1E-3</v>
      </c>
      <c r="F1502" s="295" t="s">
        <v>893</v>
      </c>
      <c r="G1502" s="295">
        <v>1E-3</v>
      </c>
      <c r="H1502" s="390">
        <v>0.1423611111111111</v>
      </c>
      <c r="I1502" s="964"/>
      <c r="J1502" s="964"/>
      <c r="K1502" s="965"/>
      <c r="L1502" s="621"/>
      <c r="M1502" s="375"/>
      <c r="N1502" s="243"/>
      <c r="O1502" s="246"/>
      <c r="P1502" s="290"/>
      <c r="Q1502" s="285"/>
      <c r="R1502" s="286"/>
      <c r="S1502" s="250"/>
      <c r="T1502" s="290"/>
      <c r="U1502" s="287"/>
      <c r="V1502" s="288"/>
      <c r="W1502" s="250"/>
      <c r="X1502" s="252"/>
      <c r="Y1502" s="289"/>
      <c r="Z1502" s="289"/>
    </row>
    <row r="1503" spans="3:26" ht="19" x14ac:dyDescent="0.2">
      <c r="C1503" s="241"/>
      <c r="D1503" s="592">
        <v>45408</v>
      </c>
      <c r="E1503" s="295">
        <v>1E-3</v>
      </c>
      <c r="F1503" s="295" t="s">
        <v>893</v>
      </c>
      <c r="G1503" s="295">
        <v>1E-3</v>
      </c>
      <c r="H1503" s="390">
        <v>0.125</v>
      </c>
      <c r="I1503" s="964"/>
      <c r="J1503" s="964"/>
      <c r="K1503" s="965"/>
      <c r="L1503" s="621"/>
      <c r="M1503" s="375"/>
      <c r="N1503" s="243"/>
      <c r="O1503" s="291"/>
      <c r="P1503" s="291"/>
      <c r="Q1503" s="291"/>
      <c r="R1503" s="291"/>
      <c r="S1503" s="291"/>
      <c r="T1503" s="291"/>
      <c r="U1503" s="291"/>
      <c r="V1503" s="291"/>
      <c r="W1503" s="291"/>
      <c r="X1503" s="291"/>
      <c r="Y1503" s="291"/>
      <c r="Z1503" s="291"/>
    </row>
    <row r="1504" spans="3:26" ht="20" thickBot="1" x14ac:dyDescent="0.25">
      <c r="C1504" s="241"/>
      <c r="D1504" s="608">
        <v>45370</v>
      </c>
      <c r="E1504" s="356">
        <v>1E-3</v>
      </c>
      <c r="F1504" s="356" t="s">
        <v>893</v>
      </c>
      <c r="G1504" s="356">
        <v>-1E-3</v>
      </c>
      <c r="H1504" s="390">
        <v>0.14930555555555555</v>
      </c>
      <c r="I1504" s="966"/>
      <c r="J1504" s="966"/>
      <c r="K1504" s="967"/>
      <c r="L1504" s="622"/>
      <c r="M1504" s="384"/>
      <c r="N1504" s="243"/>
      <c r="O1504" s="291"/>
      <c r="P1504" s="291"/>
      <c r="Q1504" s="291"/>
      <c r="R1504" s="291"/>
      <c r="S1504" s="291"/>
      <c r="T1504" s="291"/>
      <c r="U1504" s="291"/>
      <c r="V1504" s="291"/>
      <c r="W1504" s="291"/>
      <c r="X1504" s="291"/>
      <c r="Y1504" s="291"/>
      <c r="Z1504" s="291"/>
    </row>
    <row r="1505" spans="3:26" ht="20" thickBot="1" x14ac:dyDescent="0.25">
      <c r="C1505" s="241">
        <v>8</v>
      </c>
      <c r="D1505" s="576" t="s">
        <v>30</v>
      </c>
      <c r="E1505" s="874" t="s">
        <v>1269</v>
      </c>
      <c r="F1505" s="875"/>
      <c r="G1505" s="876"/>
      <c r="H1505" s="242" t="s">
        <v>790</v>
      </c>
      <c r="I1505" s="977" t="s">
        <v>633</v>
      </c>
      <c r="J1505" s="977"/>
      <c r="K1505" s="978"/>
      <c r="L1505" s="616" t="s">
        <v>430</v>
      </c>
      <c r="M1505" s="372" t="s">
        <v>431</v>
      </c>
      <c r="N1505" s="243" t="s">
        <v>105</v>
      </c>
      <c r="O1505" s="244" t="s">
        <v>800</v>
      </c>
      <c r="P1505" s="244" t="s">
        <v>801</v>
      </c>
      <c r="Q1505" s="244" t="s">
        <v>802</v>
      </c>
      <c r="R1505" s="244" t="s">
        <v>803</v>
      </c>
      <c r="S1505" s="244" t="s">
        <v>804</v>
      </c>
      <c r="T1505" s="244" t="s">
        <v>805</v>
      </c>
      <c r="U1505" s="244" t="s">
        <v>806</v>
      </c>
      <c r="V1505" s="244" t="s">
        <v>807</v>
      </c>
      <c r="W1505" s="244" t="s">
        <v>808</v>
      </c>
      <c r="X1505" s="244" t="s">
        <v>809</v>
      </c>
      <c r="Y1505" s="244" t="s">
        <v>75</v>
      </c>
      <c r="Z1505" s="244" t="s">
        <v>75</v>
      </c>
    </row>
    <row r="1506" spans="3:26" ht="19" x14ac:dyDescent="0.2">
      <c r="C1506" s="243"/>
      <c r="D1506" s="588" t="s">
        <v>432</v>
      </c>
      <c r="E1506" s="853"/>
      <c r="F1506" s="854"/>
      <c r="G1506" s="855"/>
      <c r="H1506" s="245" t="s">
        <v>947</v>
      </c>
      <c r="I1506" s="962" t="s">
        <v>1270</v>
      </c>
      <c r="J1506" s="962"/>
      <c r="K1506" s="963"/>
      <c r="L1506" s="617"/>
      <c r="M1506" s="375"/>
      <c r="N1506" s="243"/>
      <c r="O1506" s="246" t="s">
        <v>810</v>
      </c>
      <c r="P1506" s="247">
        <v>0.1</v>
      </c>
      <c r="Q1506" s="248">
        <v>1.64</v>
      </c>
      <c r="R1506" s="249">
        <v>0.6999999999998181</v>
      </c>
      <c r="S1506" s="250"/>
      <c r="T1506" s="246">
        <v>3.1599999999998181</v>
      </c>
      <c r="U1506" s="248">
        <v>-1.49</v>
      </c>
      <c r="V1506" s="247">
        <v>18.25</v>
      </c>
      <c r="W1506" s="247"/>
      <c r="X1506" s="252"/>
      <c r="Y1506" s="250"/>
      <c r="Z1506" s="250"/>
    </row>
    <row r="1507" spans="3:26" ht="19" x14ac:dyDescent="0.2">
      <c r="C1507" s="243"/>
      <c r="D1507" s="589" t="s">
        <v>433</v>
      </c>
      <c r="E1507" s="868">
        <v>4.7500000000000001E-2</v>
      </c>
      <c r="F1507" s="869"/>
      <c r="G1507" s="870"/>
      <c r="H1507" s="245" t="s">
        <v>908</v>
      </c>
      <c r="I1507" s="964"/>
      <c r="J1507" s="964"/>
      <c r="K1507" s="965"/>
      <c r="L1507" s="617"/>
      <c r="M1507" s="375"/>
      <c r="N1507" s="243"/>
      <c r="O1507" s="243"/>
      <c r="P1507" s="243"/>
      <c r="Q1507" s="243"/>
      <c r="R1507" s="253"/>
      <c r="S1507" s="254"/>
      <c r="T1507" s="243"/>
      <c r="U1507" s="243"/>
      <c r="V1507" s="243"/>
      <c r="W1507" s="243"/>
      <c r="X1507" s="254"/>
      <c r="Y1507" s="255"/>
      <c r="Z1507" s="255"/>
    </row>
    <row r="1508" spans="3:26" ht="19" x14ac:dyDescent="0.2">
      <c r="C1508" s="243"/>
      <c r="D1508" s="589" t="s">
        <v>434</v>
      </c>
      <c r="E1508" s="868">
        <v>4.7500000000000001E-2</v>
      </c>
      <c r="F1508" s="869"/>
      <c r="G1508" s="870"/>
      <c r="H1508" s="245"/>
      <c r="I1508" s="964"/>
      <c r="J1508" s="964"/>
      <c r="K1508" s="965"/>
      <c r="L1508" s="617"/>
      <c r="M1508" s="375"/>
      <c r="N1508" s="243"/>
      <c r="O1508" s="256" t="s">
        <v>811</v>
      </c>
      <c r="P1508" s="257">
        <v>1</v>
      </c>
      <c r="Q1508" s="258">
        <v>3.1436000000000002</v>
      </c>
      <c r="R1508" s="259">
        <v>0.7</v>
      </c>
      <c r="S1508" s="299">
        <v>1</v>
      </c>
      <c r="T1508" s="256">
        <v>5.4154000000000009</v>
      </c>
      <c r="U1508" s="261">
        <v>-25.534639240507801</v>
      </c>
      <c r="V1508" s="262">
        <v>182.5</v>
      </c>
      <c r="W1508" s="300">
        <v>7.8</v>
      </c>
      <c r="X1508" s="264">
        <v>199.17018607596083</v>
      </c>
      <c r="Y1508" s="265"/>
      <c r="Z1508" s="265"/>
    </row>
    <row r="1509" spans="3:26" ht="20" thickBot="1" x14ac:dyDescent="0.25">
      <c r="C1509" s="243"/>
      <c r="D1509" s="590" t="s">
        <v>435</v>
      </c>
      <c r="E1509" s="871">
        <v>0.5</v>
      </c>
      <c r="F1509" s="872"/>
      <c r="G1509" s="873"/>
      <c r="H1509" s="266"/>
      <c r="I1509" s="964"/>
      <c r="J1509" s="964"/>
      <c r="K1509" s="965"/>
      <c r="L1509" s="618">
        <v>0.72916666666666663</v>
      </c>
      <c r="M1509" s="377">
        <v>0.58333333333333326</v>
      </c>
      <c r="N1509" s="243"/>
      <c r="O1509" s="267" t="s">
        <v>812</v>
      </c>
      <c r="P1509" s="268">
        <v>1</v>
      </c>
      <c r="Q1509" s="269">
        <v>3.5429999999999997</v>
      </c>
      <c r="R1509" s="270">
        <v>0.7</v>
      </c>
      <c r="S1509" s="301">
        <v>1</v>
      </c>
      <c r="T1509" s="272">
        <v>6.0145</v>
      </c>
      <c r="U1509" s="273">
        <v>-28.359509493672519</v>
      </c>
      <c r="V1509" s="274">
        <v>605</v>
      </c>
      <c r="W1509" s="302">
        <v>3.91</v>
      </c>
      <c r="X1509" s="276">
        <v>110.88568212025956</v>
      </c>
      <c r="Y1509" s="277"/>
      <c r="Z1509" s="277"/>
    </row>
    <row r="1510" spans="3:26" ht="20" thickBot="1" x14ac:dyDescent="0.25">
      <c r="C1510" s="243"/>
      <c r="D1510" s="591" t="s">
        <v>436</v>
      </c>
      <c r="E1510" s="293" t="s">
        <v>29</v>
      </c>
      <c r="F1510" s="293" t="s">
        <v>28</v>
      </c>
      <c r="G1510" s="294" t="s">
        <v>27</v>
      </c>
      <c r="H1510" s="280" t="s">
        <v>793</v>
      </c>
      <c r="I1510" s="964"/>
      <c r="J1510" s="964"/>
      <c r="K1510" s="965"/>
      <c r="L1510" s="619" t="s">
        <v>1246</v>
      </c>
      <c r="M1510" s="379"/>
      <c r="N1510" s="243"/>
      <c r="O1510" s="254"/>
      <c r="P1510" s="255"/>
      <c r="Q1510" s="254"/>
      <c r="R1510" s="254"/>
      <c r="S1510" s="303"/>
      <c r="T1510" s="254"/>
      <c r="U1510" s="281"/>
      <c r="V1510" s="282"/>
      <c r="W1510" s="304"/>
      <c r="X1510" s="281"/>
      <c r="Y1510" s="255"/>
      <c r="Z1510" s="255"/>
    </row>
    <row r="1511" spans="3:26" ht="19" x14ac:dyDescent="0.2">
      <c r="C1511" s="243"/>
      <c r="D1511" s="592">
        <v>45603</v>
      </c>
      <c r="E1511" s="295">
        <v>4.7500000000000001E-2</v>
      </c>
      <c r="F1511" s="295" t="s">
        <v>726</v>
      </c>
      <c r="G1511" s="295">
        <v>0.05</v>
      </c>
      <c r="H1511" s="284">
        <v>0.5</v>
      </c>
      <c r="I1511" s="964"/>
      <c r="J1511" s="964"/>
      <c r="K1511" s="965"/>
      <c r="L1511" s="621"/>
      <c r="M1511" s="382"/>
      <c r="N1511" s="243"/>
      <c r="O1511" s="254"/>
      <c r="P1511" s="255"/>
      <c r="Q1511" s="254"/>
      <c r="R1511" s="254"/>
      <c r="S1511" s="303"/>
      <c r="T1511" s="254"/>
      <c r="U1511" s="254"/>
      <c r="V1511" s="254"/>
      <c r="W1511" s="304"/>
      <c r="X1511" s="254"/>
      <c r="Y1511" s="255"/>
      <c r="Z1511" s="255"/>
    </row>
    <row r="1512" spans="3:26" ht="19" x14ac:dyDescent="0.2">
      <c r="C1512" s="243"/>
      <c r="D1512" s="592">
        <v>45554</v>
      </c>
      <c r="E1512" s="295">
        <v>0.05</v>
      </c>
      <c r="F1512" s="295" t="s">
        <v>728</v>
      </c>
      <c r="G1512" s="295">
        <v>0.05</v>
      </c>
      <c r="H1512" s="284">
        <v>0.45833333333333331</v>
      </c>
      <c r="I1512" s="964"/>
      <c r="J1512" s="964"/>
      <c r="K1512" s="965"/>
      <c r="L1512" s="621"/>
      <c r="M1512" s="383"/>
      <c r="N1512" s="243"/>
      <c r="O1512" s="246" t="s">
        <v>813</v>
      </c>
      <c r="P1512" s="305">
        <v>1</v>
      </c>
      <c r="Q1512" s="285">
        <v>2.7755333333333332</v>
      </c>
      <c r="R1512" s="286">
        <v>0.7</v>
      </c>
      <c r="S1512" s="305">
        <v>1</v>
      </c>
      <c r="T1512" s="306">
        <v>6.0145</v>
      </c>
      <c r="U1512" s="287">
        <v>-28.359509493672519</v>
      </c>
      <c r="V1512" s="288">
        <v>605</v>
      </c>
      <c r="W1512" s="307">
        <v>3</v>
      </c>
      <c r="X1512" s="252">
        <v>85.078528481017557</v>
      </c>
      <c r="Y1512" s="289"/>
      <c r="Z1512" s="289"/>
    </row>
    <row r="1513" spans="3:26" ht="19" x14ac:dyDescent="0.2">
      <c r="C1513" s="243"/>
      <c r="D1513" s="592">
        <v>45505</v>
      </c>
      <c r="E1513" s="295">
        <v>0.05</v>
      </c>
      <c r="F1513" s="295" t="s">
        <v>728</v>
      </c>
      <c r="G1513" s="295">
        <v>5.2499999999999998E-2</v>
      </c>
      <c r="H1513" s="284">
        <v>0.45833333333333331</v>
      </c>
      <c r="I1513" s="964"/>
      <c r="J1513" s="964"/>
      <c r="K1513" s="965"/>
      <c r="L1513" s="621"/>
      <c r="M1513" s="375"/>
      <c r="N1513" s="243"/>
      <c r="O1513" s="246" t="s">
        <v>813</v>
      </c>
      <c r="P1513" s="305">
        <v>1</v>
      </c>
      <c r="Q1513" s="285">
        <v>2.7755333333333332</v>
      </c>
      <c r="R1513" s="286">
        <v>0.7</v>
      </c>
      <c r="S1513" s="305">
        <v>1</v>
      </c>
      <c r="T1513" s="306">
        <v>6.0145</v>
      </c>
      <c r="U1513" s="287">
        <v>-28.359509493672519</v>
      </c>
      <c r="V1513" s="288">
        <v>605</v>
      </c>
      <c r="W1513" s="307">
        <v>3</v>
      </c>
      <c r="X1513" s="252">
        <v>85.078528481017557</v>
      </c>
      <c r="Y1513" s="289"/>
      <c r="Z1513" s="289"/>
    </row>
    <row r="1514" spans="3:26" ht="19" x14ac:dyDescent="0.2">
      <c r="C1514" s="243"/>
      <c r="D1514" s="592">
        <v>45463</v>
      </c>
      <c r="E1514" s="295">
        <v>5.2499999999999998E-2</v>
      </c>
      <c r="F1514" s="295" t="s">
        <v>940</v>
      </c>
      <c r="G1514" s="295">
        <v>5.2499999999999998E-2</v>
      </c>
      <c r="H1514" s="284">
        <v>0.45833333333333331</v>
      </c>
      <c r="I1514" s="964"/>
      <c r="J1514" s="964"/>
      <c r="K1514" s="965"/>
      <c r="L1514" s="621"/>
      <c r="M1514" s="375"/>
      <c r="N1514" s="243"/>
      <c r="O1514" s="246"/>
      <c r="P1514" s="290"/>
      <c r="Q1514" s="285"/>
      <c r="R1514" s="286"/>
      <c r="S1514" s="250"/>
      <c r="T1514" s="290"/>
      <c r="U1514" s="287"/>
      <c r="V1514" s="288"/>
      <c r="W1514" s="250"/>
      <c r="X1514" s="252"/>
      <c r="Y1514" s="289"/>
      <c r="Z1514" s="289"/>
    </row>
    <row r="1515" spans="3:26" ht="19" x14ac:dyDescent="0.2">
      <c r="C1515" s="243"/>
      <c r="D1515" s="592">
        <v>45421</v>
      </c>
      <c r="E1515" s="295">
        <v>5.2499999999999998E-2</v>
      </c>
      <c r="F1515" s="295" t="s">
        <v>940</v>
      </c>
      <c r="G1515" s="295">
        <v>5.2499999999999998E-2</v>
      </c>
      <c r="H1515" s="284">
        <v>0.45833333333333331</v>
      </c>
      <c r="I1515" s="964"/>
      <c r="J1515" s="964"/>
      <c r="K1515" s="965"/>
      <c r="L1515" s="621"/>
      <c r="M1515" s="375"/>
      <c r="N1515" s="243"/>
      <c r="O1515" s="291"/>
      <c r="P1515" s="291"/>
      <c r="Q1515" s="291"/>
      <c r="R1515" s="291"/>
      <c r="S1515" s="291"/>
      <c r="T1515" s="291"/>
      <c r="U1515" s="291"/>
      <c r="V1515" s="291"/>
      <c r="W1515" s="291"/>
      <c r="X1515" s="291"/>
      <c r="Y1515" s="291"/>
      <c r="Z1515" s="291"/>
    </row>
    <row r="1516" spans="3:26" ht="20" thickBot="1" x14ac:dyDescent="0.25">
      <c r="C1516" s="243"/>
      <c r="D1516" s="608">
        <v>45372</v>
      </c>
      <c r="E1516" s="356">
        <v>5.2499999999999998E-2</v>
      </c>
      <c r="F1516" s="356" t="s">
        <v>940</v>
      </c>
      <c r="G1516" s="356">
        <v>5.2499999999999998E-2</v>
      </c>
      <c r="H1516" s="284">
        <v>0.5</v>
      </c>
      <c r="I1516" s="966"/>
      <c r="J1516" s="966"/>
      <c r="K1516" s="967"/>
      <c r="L1516" s="622"/>
      <c r="M1516" s="384"/>
      <c r="N1516" s="243"/>
      <c r="O1516" s="291"/>
      <c r="P1516" s="291"/>
      <c r="Q1516" s="291"/>
      <c r="R1516" s="291"/>
      <c r="S1516" s="291"/>
      <c r="T1516" s="291"/>
      <c r="U1516" s="291"/>
      <c r="V1516" s="291"/>
      <c r="W1516" s="291"/>
      <c r="X1516" s="291"/>
      <c r="Y1516" s="291"/>
      <c r="Z1516" s="291"/>
    </row>
    <row r="1517" spans="3:26" ht="20" thickBot="1" x14ac:dyDescent="0.25">
      <c r="C1517" s="241">
        <v>9</v>
      </c>
      <c r="D1517" s="576" t="s">
        <v>30</v>
      </c>
      <c r="E1517" s="874" t="s">
        <v>1271</v>
      </c>
      <c r="F1517" s="875"/>
      <c r="G1517" s="876"/>
      <c r="H1517" s="242" t="s">
        <v>790</v>
      </c>
      <c r="I1517" s="977" t="s">
        <v>633</v>
      </c>
      <c r="J1517" s="977"/>
      <c r="K1517" s="978"/>
      <c r="L1517" s="616" t="s">
        <v>430</v>
      </c>
      <c r="M1517" s="372" t="s">
        <v>431</v>
      </c>
      <c r="N1517" s="243" t="s">
        <v>105</v>
      </c>
      <c r="O1517" s="244" t="s">
        <v>800</v>
      </c>
      <c r="P1517" s="244" t="s">
        <v>801</v>
      </c>
      <c r="Q1517" s="244" t="s">
        <v>802</v>
      </c>
      <c r="R1517" s="244" t="s">
        <v>803</v>
      </c>
      <c r="S1517" s="244" t="s">
        <v>804</v>
      </c>
      <c r="T1517" s="244" t="s">
        <v>805</v>
      </c>
      <c r="U1517" s="244" t="s">
        <v>806</v>
      </c>
      <c r="V1517" s="244" t="s">
        <v>807</v>
      </c>
      <c r="W1517" s="244" t="s">
        <v>808</v>
      </c>
      <c r="X1517" s="244" t="s">
        <v>809</v>
      </c>
      <c r="Y1517" s="244" t="s">
        <v>75</v>
      </c>
      <c r="Z1517" s="244" t="s">
        <v>75</v>
      </c>
    </row>
    <row r="1518" spans="3:26" ht="19" x14ac:dyDescent="0.2">
      <c r="C1518" s="243"/>
      <c r="D1518" s="588" t="s">
        <v>432</v>
      </c>
      <c r="E1518" s="853"/>
      <c r="F1518" s="854"/>
      <c r="G1518" s="855"/>
      <c r="H1518" s="245" t="s">
        <v>794</v>
      </c>
      <c r="I1518" s="962" t="s">
        <v>1272</v>
      </c>
      <c r="J1518" s="962"/>
      <c r="K1518" s="963"/>
      <c r="L1518" s="617"/>
      <c r="M1518" s="374" t="s">
        <v>1271</v>
      </c>
      <c r="N1518" s="243"/>
      <c r="O1518" s="246" t="s">
        <v>810</v>
      </c>
      <c r="P1518" s="247">
        <v>0.1</v>
      </c>
      <c r="Q1518" s="248">
        <v>1.9E-2</v>
      </c>
      <c r="R1518" s="249">
        <v>2.199999999999136E-2</v>
      </c>
      <c r="S1518" s="250"/>
      <c r="T1518" s="246">
        <v>5.0499999999991357E-2</v>
      </c>
      <c r="U1518" s="248">
        <v>-11.86</v>
      </c>
      <c r="V1518" s="247">
        <v>91.8</v>
      </c>
      <c r="W1518" s="251">
        <v>2</v>
      </c>
      <c r="X1518" s="252">
        <v>23.72</v>
      </c>
      <c r="Y1518" s="250"/>
      <c r="Z1518" s="250"/>
    </row>
    <row r="1519" spans="3:26" ht="19" x14ac:dyDescent="0.2">
      <c r="C1519" s="243"/>
      <c r="D1519" s="589" t="s">
        <v>433</v>
      </c>
      <c r="E1519" s="868"/>
      <c r="F1519" s="869"/>
      <c r="G1519" s="870"/>
      <c r="H1519" s="245" t="s">
        <v>795</v>
      </c>
      <c r="I1519" s="964"/>
      <c r="J1519" s="964"/>
      <c r="K1519" s="965"/>
      <c r="L1519" s="617"/>
      <c r="M1519" s="375"/>
      <c r="N1519" s="243"/>
      <c r="O1519" s="243"/>
      <c r="P1519" s="243"/>
      <c r="Q1519" s="243"/>
      <c r="R1519" s="253"/>
      <c r="S1519" s="254"/>
      <c r="T1519" s="243"/>
      <c r="U1519" s="243"/>
      <c r="V1519" s="243"/>
      <c r="W1519" s="243"/>
      <c r="X1519" s="254"/>
      <c r="Y1519" s="255"/>
      <c r="Z1519" s="255"/>
    </row>
    <row r="1520" spans="3:26" ht="19" x14ac:dyDescent="0.2">
      <c r="C1520" s="243"/>
      <c r="D1520" s="589" t="s">
        <v>434</v>
      </c>
      <c r="E1520" s="868">
        <v>2.8000000000000001E-2</v>
      </c>
      <c r="F1520" s="869"/>
      <c r="G1520" s="870"/>
      <c r="H1520" s="245"/>
      <c r="I1520" s="964"/>
      <c r="J1520" s="964"/>
      <c r="K1520" s="965"/>
      <c r="L1520" s="617"/>
      <c r="M1520" s="375"/>
      <c r="N1520" s="243"/>
      <c r="O1520" s="256" t="s">
        <v>811</v>
      </c>
      <c r="P1520" s="257">
        <v>0.1</v>
      </c>
      <c r="Q1520" s="258">
        <v>7.9299999999999995E-2</v>
      </c>
      <c r="R1520" s="259">
        <v>2.8000000000000001E-2</v>
      </c>
      <c r="S1520" s="299">
        <v>1.5</v>
      </c>
      <c r="T1520" s="256">
        <v>0.14695</v>
      </c>
      <c r="U1520" s="261">
        <v>-34.511425742580158</v>
      </c>
      <c r="V1520" s="262">
        <v>60.5</v>
      </c>
      <c r="W1520" s="300">
        <v>5.55</v>
      </c>
      <c r="X1520" s="264">
        <v>191.53841287131988</v>
      </c>
      <c r="Y1520" s="265"/>
      <c r="Z1520" s="265"/>
    </row>
    <row r="1521" spans="3:26" ht="20" thickBot="1" x14ac:dyDescent="0.25">
      <c r="C1521" s="243"/>
      <c r="D1521" s="590" t="s">
        <v>435</v>
      </c>
      <c r="E1521" s="871">
        <v>0.5625</v>
      </c>
      <c r="F1521" s="872"/>
      <c r="G1521" s="873"/>
      <c r="H1521" s="266"/>
      <c r="I1521" s="964"/>
      <c r="J1521" s="964"/>
      <c r="K1521" s="965"/>
      <c r="L1521" s="618">
        <v>0.79166666666666663</v>
      </c>
      <c r="M1521" s="377">
        <v>0.64583333333333326</v>
      </c>
      <c r="N1521" s="243"/>
      <c r="O1521" s="267" t="s">
        <v>812</v>
      </c>
      <c r="P1521" s="268">
        <v>0.1</v>
      </c>
      <c r="Q1521" s="269">
        <v>7.1466666666666664E-2</v>
      </c>
      <c r="R1521" s="270">
        <v>2.8000000000000001E-2</v>
      </c>
      <c r="S1521" s="301">
        <v>1.5</v>
      </c>
      <c r="T1521" s="272">
        <v>0.13519999999999999</v>
      </c>
      <c r="U1521" s="273">
        <v>-47.627881188126963</v>
      </c>
      <c r="V1521" s="274">
        <v>60.5</v>
      </c>
      <c r="W1521" s="302">
        <v>5.25</v>
      </c>
      <c r="X1521" s="276">
        <v>250.04637623766655</v>
      </c>
      <c r="Y1521" s="277"/>
      <c r="Z1521" s="277"/>
    </row>
    <row r="1522" spans="3:26" ht="20" thickBot="1" x14ac:dyDescent="0.25">
      <c r="C1522" s="243"/>
      <c r="D1522" s="591" t="s">
        <v>436</v>
      </c>
      <c r="E1522" s="293" t="s">
        <v>29</v>
      </c>
      <c r="F1522" s="293" t="s">
        <v>28</v>
      </c>
      <c r="G1522" s="294" t="s">
        <v>27</v>
      </c>
      <c r="H1522" s="280" t="s">
        <v>793</v>
      </c>
      <c r="I1522" s="964"/>
      <c r="J1522" s="964"/>
      <c r="K1522" s="965"/>
      <c r="L1522" s="619" t="s">
        <v>1246</v>
      </c>
      <c r="M1522" s="379"/>
      <c r="N1522" s="243"/>
      <c r="O1522" s="254"/>
      <c r="P1522" s="255"/>
      <c r="Q1522" s="254"/>
      <c r="R1522" s="254"/>
      <c r="S1522" s="303"/>
      <c r="T1522" s="254"/>
      <c r="U1522" s="281"/>
      <c r="V1522" s="282"/>
      <c r="W1522" s="304"/>
      <c r="X1522" s="281"/>
      <c r="Y1522" s="255"/>
      <c r="Z1522" s="255"/>
    </row>
    <row r="1523" spans="3:26" ht="19" x14ac:dyDescent="0.2">
      <c r="C1523" s="243"/>
      <c r="D1523" s="592">
        <v>45623</v>
      </c>
      <c r="E1523" s="295">
        <v>2.8000000000000001E-2</v>
      </c>
      <c r="F1523" s="295" t="s">
        <v>666</v>
      </c>
      <c r="G1523" s="295">
        <v>0.03</v>
      </c>
      <c r="H1523" s="284">
        <v>0.5625</v>
      </c>
      <c r="I1523" s="964"/>
      <c r="J1523" s="964"/>
      <c r="K1523" s="965"/>
      <c r="L1523" s="621"/>
      <c r="M1523" s="392"/>
      <c r="N1523" s="243"/>
      <c r="O1523" s="254"/>
      <c r="P1523" s="255"/>
      <c r="Q1523" s="254"/>
      <c r="R1523" s="254"/>
      <c r="S1523" s="303"/>
      <c r="T1523" s="254"/>
      <c r="U1523" s="254"/>
      <c r="V1523" s="254"/>
      <c r="W1523" s="304"/>
      <c r="X1523" s="254"/>
      <c r="Y1523" s="255"/>
      <c r="Z1523" s="255"/>
    </row>
    <row r="1524" spans="3:26" ht="19" x14ac:dyDescent="0.2">
      <c r="C1524" s="243"/>
      <c r="D1524" s="592">
        <v>45595</v>
      </c>
      <c r="E1524" s="295">
        <v>2.8000000000000001E-2</v>
      </c>
      <c r="F1524" s="295" t="s">
        <v>669</v>
      </c>
      <c r="G1524" s="295">
        <v>0.03</v>
      </c>
      <c r="H1524" s="284">
        <v>0.52083333333333337</v>
      </c>
      <c r="I1524" s="964"/>
      <c r="J1524" s="964"/>
      <c r="K1524" s="965"/>
      <c r="L1524" s="621"/>
      <c r="M1524" s="392"/>
      <c r="N1524" s="243"/>
      <c r="O1524" s="246" t="s">
        <v>813</v>
      </c>
      <c r="P1524" s="305">
        <v>0.1</v>
      </c>
      <c r="Q1524" s="285">
        <v>7.1466666666666664E-2</v>
      </c>
      <c r="R1524" s="286">
        <v>2.8000000000000001E-2</v>
      </c>
      <c r="S1524" s="305">
        <v>1</v>
      </c>
      <c r="T1524" s="306">
        <v>0.13519999999999999</v>
      </c>
      <c r="U1524" s="287">
        <v>-31.75192079208464</v>
      </c>
      <c r="V1524" s="288">
        <v>60.5</v>
      </c>
      <c r="W1524" s="307">
        <v>2</v>
      </c>
      <c r="X1524" s="252">
        <v>63.50384158416928</v>
      </c>
      <c r="Y1524" s="289"/>
      <c r="Z1524" s="289"/>
    </row>
    <row r="1525" spans="3:26" ht="19" x14ac:dyDescent="0.2">
      <c r="C1525" s="243"/>
      <c r="D1525" s="592">
        <v>45561</v>
      </c>
      <c r="E1525" s="295">
        <v>0.03</v>
      </c>
      <c r="F1525" s="295" t="s">
        <v>669</v>
      </c>
      <c r="G1525" s="295">
        <v>1.6E-2</v>
      </c>
      <c r="H1525" s="284">
        <v>0.52083333333333337</v>
      </c>
      <c r="I1525" s="964"/>
      <c r="J1525" s="964"/>
      <c r="K1525" s="965"/>
      <c r="L1525" s="621"/>
      <c r="M1525" s="392"/>
      <c r="N1525" s="243"/>
      <c r="O1525" s="246" t="s">
        <v>813</v>
      </c>
      <c r="P1525" s="305">
        <v>0.1</v>
      </c>
      <c r="Q1525" s="285">
        <v>7.1466666666666664E-2</v>
      </c>
      <c r="R1525" s="285">
        <v>2.8000000000000001E-2</v>
      </c>
      <c r="S1525" s="305">
        <v>1</v>
      </c>
      <c r="T1525" s="306">
        <v>0.13519999999999999</v>
      </c>
      <c r="U1525" s="287">
        <v>-31.75192079208464</v>
      </c>
      <c r="V1525" s="288">
        <v>60.5</v>
      </c>
      <c r="W1525" s="307">
        <v>2</v>
      </c>
      <c r="X1525" s="252">
        <v>63.50384158416928</v>
      </c>
      <c r="Y1525" s="289"/>
      <c r="Z1525" s="289"/>
    </row>
    <row r="1526" spans="3:26" ht="19" x14ac:dyDescent="0.2">
      <c r="C1526" s="243"/>
      <c r="D1526" s="592">
        <v>45533</v>
      </c>
      <c r="E1526" s="295">
        <v>0.03</v>
      </c>
      <c r="F1526" s="295" t="s">
        <v>666</v>
      </c>
      <c r="G1526" s="295">
        <v>1.4E-2</v>
      </c>
      <c r="H1526" s="284">
        <v>0.52083333333333337</v>
      </c>
      <c r="I1526" s="964"/>
      <c r="J1526" s="964"/>
      <c r="K1526" s="965"/>
      <c r="L1526" s="621"/>
      <c r="M1526" s="392"/>
      <c r="N1526" s="243"/>
      <c r="O1526" s="246"/>
      <c r="P1526" s="290"/>
      <c r="Q1526" s="285"/>
      <c r="R1526" s="286"/>
      <c r="S1526" s="250"/>
      <c r="T1526" s="290"/>
      <c r="U1526" s="287"/>
      <c r="V1526" s="288"/>
      <c r="W1526" s="250"/>
      <c r="X1526" s="252"/>
      <c r="Y1526" s="289"/>
      <c r="Z1526" s="289"/>
    </row>
    <row r="1527" spans="3:26" ht="19" x14ac:dyDescent="0.2">
      <c r="C1527" s="243"/>
      <c r="D1527" s="592">
        <v>45498</v>
      </c>
      <c r="E1527" s="295">
        <v>2.8000000000000001E-2</v>
      </c>
      <c r="F1527" s="295" t="s">
        <v>788</v>
      </c>
      <c r="G1527" s="295">
        <v>1.4E-2</v>
      </c>
      <c r="H1527" s="284">
        <v>0.52083333333333337</v>
      </c>
      <c r="I1527" s="964"/>
      <c r="J1527" s="964"/>
      <c r="K1527" s="965"/>
      <c r="L1527" s="621"/>
      <c r="M1527" s="392"/>
      <c r="N1527" s="243"/>
      <c r="O1527" s="291"/>
      <c r="P1527" s="291"/>
      <c r="Q1527" s="291"/>
      <c r="R1527" s="291"/>
      <c r="S1527" s="291"/>
      <c r="T1527" s="291"/>
      <c r="U1527" s="291"/>
      <c r="V1527" s="291"/>
      <c r="W1527" s="291"/>
      <c r="X1527" s="291"/>
      <c r="Y1527" s="291"/>
      <c r="Z1527" s="291"/>
    </row>
    <row r="1528" spans="3:26" ht="20" thickBot="1" x14ac:dyDescent="0.25">
      <c r="C1528" s="243"/>
      <c r="D1528" s="608">
        <v>45470</v>
      </c>
      <c r="E1528" s="356">
        <v>1.4E-2</v>
      </c>
      <c r="F1528" s="356" t="s">
        <v>889</v>
      </c>
      <c r="G1528" s="356">
        <v>3.4000000000000002E-2</v>
      </c>
      <c r="H1528" s="284">
        <v>0.52083333333333337</v>
      </c>
      <c r="I1528" s="966"/>
      <c r="J1528" s="966"/>
      <c r="K1528" s="967"/>
      <c r="L1528" s="622"/>
      <c r="M1528" s="392"/>
      <c r="N1528" s="243"/>
      <c r="O1528" s="291"/>
      <c r="P1528" s="291"/>
      <c r="Q1528" s="291"/>
      <c r="R1528" s="291"/>
      <c r="S1528" s="291"/>
      <c r="T1528" s="291"/>
      <c r="U1528" s="291"/>
      <c r="V1528" s="291"/>
      <c r="W1528" s="291"/>
      <c r="X1528" s="291"/>
      <c r="Y1528" s="291"/>
      <c r="Z1528" s="291"/>
    </row>
    <row r="1529" spans="3:26" ht="20" thickBot="1" x14ac:dyDescent="0.25">
      <c r="C1529" s="241">
        <v>10</v>
      </c>
      <c r="D1529" s="576" t="s">
        <v>30</v>
      </c>
      <c r="E1529" s="874" t="s">
        <v>1273</v>
      </c>
      <c r="F1529" s="875"/>
      <c r="G1529" s="876"/>
      <c r="H1529" s="242" t="s">
        <v>790</v>
      </c>
      <c r="I1529" s="977" t="s">
        <v>633</v>
      </c>
      <c r="J1529" s="977"/>
      <c r="K1529" s="978"/>
      <c r="L1529" s="616" t="s">
        <v>430</v>
      </c>
      <c r="M1529" s="372" t="s">
        <v>431</v>
      </c>
      <c r="N1529" s="243" t="s">
        <v>105</v>
      </c>
      <c r="O1529" s="244" t="s">
        <v>800</v>
      </c>
      <c r="P1529" s="244" t="s">
        <v>801</v>
      </c>
      <c r="Q1529" s="244" t="s">
        <v>802</v>
      </c>
      <c r="R1529" s="244" t="s">
        <v>803</v>
      </c>
      <c r="S1529" s="244" t="s">
        <v>804</v>
      </c>
      <c r="T1529" s="244" t="s">
        <v>805</v>
      </c>
      <c r="U1529" s="244" t="s">
        <v>806</v>
      </c>
      <c r="V1529" s="244" t="s">
        <v>807</v>
      </c>
      <c r="W1529" s="244" t="s">
        <v>808</v>
      </c>
      <c r="X1529" s="244" t="s">
        <v>809</v>
      </c>
      <c r="Y1529" s="244" t="s">
        <v>75</v>
      </c>
      <c r="Z1529" s="244" t="s">
        <v>75</v>
      </c>
    </row>
    <row r="1530" spans="3:26" ht="19" x14ac:dyDescent="0.2">
      <c r="C1530" s="243"/>
      <c r="D1530" s="588" t="s">
        <v>432</v>
      </c>
      <c r="E1530" s="853"/>
      <c r="F1530" s="854"/>
      <c r="G1530" s="855"/>
      <c r="H1530" s="245" t="s">
        <v>794</v>
      </c>
      <c r="I1530" s="962" t="s">
        <v>1275</v>
      </c>
      <c r="J1530" s="962"/>
      <c r="K1530" s="963"/>
      <c r="L1530" s="617"/>
      <c r="M1530" s="374" t="s">
        <v>1273</v>
      </c>
      <c r="N1530" s="243"/>
      <c r="O1530" s="246" t="s">
        <v>810</v>
      </c>
      <c r="P1530" s="247">
        <v>0.1</v>
      </c>
      <c r="Q1530" s="248">
        <v>3.4000000000000002E-2</v>
      </c>
      <c r="R1530" s="249">
        <v>3.4999999999996589E-2</v>
      </c>
      <c r="S1530" s="250"/>
      <c r="T1530" s="246">
        <v>8.5999999999996593E-2</v>
      </c>
      <c r="U1530" s="248">
        <v>-20.67</v>
      </c>
      <c r="V1530" s="247">
        <v>91.8</v>
      </c>
      <c r="W1530" s="251">
        <v>2</v>
      </c>
      <c r="X1530" s="252">
        <v>41.34</v>
      </c>
      <c r="Y1530" s="250"/>
      <c r="Z1530" s="250"/>
    </row>
    <row r="1531" spans="3:26" ht="19" x14ac:dyDescent="0.2">
      <c r="C1531" s="243"/>
      <c r="D1531" s="589" t="s">
        <v>433</v>
      </c>
      <c r="E1531" s="868" t="s">
        <v>1274</v>
      </c>
      <c r="F1531" s="869"/>
      <c r="G1531" s="870"/>
      <c r="H1531" s="245" t="s">
        <v>795</v>
      </c>
      <c r="I1531" s="964"/>
      <c r="J1531" s="964"/>
      <c r="K1531" s="965"/>
      <c r="L1531" s="617"/>
      <c r="M1531" s="375"/>
      <c r="N1531" s="243"/>
      <c r="O1531" s="243"/>
      <c r="P1531" s="243"/>
      <c r="Q1531" s="243"/>
      <c r="R1531" s="253"/>
      <c r="S1531" s="254"/>
      <c r="T1531" s="243"/>
      <c r="U1531" s="243"/>
      <c r="V1531" s="243"/>
      <c r="W1531" s="254"/>
      <c r="X1531" s="254"/>
      <c r="Y1531" s="255"/>
      <c r="Z1531" s="255"/>
    </row>
    <row r="1532" spans="3:26" ht="19" x14ac:dyDescent="0.2">
      <c r="C1532" s="243"/>
      <c r="D1532" s="589" t="s">
        <v>434</v>
      </c>
      <c r="E1532" s="856" t="s">
        <v>897</v>
      </c>
      <c r="F1532" s="857"/>
      <c r="G1532" s="858"/>
      <c r="H1532" s="245"/>
      <c r="I1532" s="964"/>
      <c r="J1532" s="964"/>
      <c r="K1532" s="965"/>
      <c r="L1532" s="617"/>
      <c r="M1532" s="375"/>
      <c r="N1532" s="243"/>
      <c r="O1532" s="256" t="s">
        <v>811</v>
      </c>
      <c r="P1532" s="257">
        <v>0.1</v>
      </c>
      <c r="Q1532" s="258">
        <v>6.0900000000000003E-2</v>
      </c>
      <c r="R1532" s="259">
        <v>0.03</v>
      </c>
      <c r="S1532" s="260">
        <v>1</v>
      </c>
      <c r="T1532" s="256">
        <v>0.12135</v>
      </c>
      <c r="U1532" s="261">
        <v>-29.166331395349996</v>
      </c>
      <c r="V1532" s="262">
        <v>60.5</v>
      </c>
      <c r="W1532" s="263">
        <v>5.1100000000000003</v>
      </c>
      <c r="X1532" s="264">
        <v>149.03995343023848</v>
      </c>
      <c r="Y1532" s="265"/>
      <c r="Z1532" s="265">
        <v>4.4350000000000005</v>
      </c>
    </row>
    <row r="1533" spans="3:26" ht="20" thickBot="1" x14ac:dyDescent="0.25">
      <c r="C1533" s="243"/>
      <c r="D1533" s="590" t="s">
        <v>435</v>
      </c>
      <c r="E1533" s="871">
        <v>0.5625</v>
      </c>
      <c r="F1533" s="872"/>
      <c r="G1533" s="873"/>
      <c r="H1533" s="266"/>
      <c r="I1533" s="964"/>
      <c r="J1533" s="964"/>
      <c r="K1533" s="965"/>
      <c r="L1533" s="618">
        <v>0.79166666666666663</v>
      </c>
      <c r="M1533" s="377">
        <v>0.64583333333333326</v>
      </c>
      <c r="N1533" s="243"/>
      <c r="O1533" s="267" t="s">
        <v>812</v>
      </c>
      <c r="P1533" s="268">
        <v>0.1</v>
      </c>
      <c r="Q1533" s="269">
        <v>7.0866666666666675E-2</v>
      </c>
      <c r="R1533" s="270">
        <v>0.03</v>
      </c>
      <c r="S1533" s="271">
        <v>1</v>
      </c>
      <c r="T1533" s="272">
        <v>0.1363</v>
      </c>
      <c r="U1533" s="273">
        <v>-32.75954651162921</v>
      </c>
      <c r="V1533" s="274">
        <v>60.5</v>
      </c>
      <c r="W1533" s="309">
        <v>2.88</v>
      </c>
      <c r="X1533" s="276">
        <v>94.347493953492119</v>
      </c>
      <c r="Y1533" s="277"/>
      <c r="Z1533" s="277"/>
    </row>
    <row r="1534" spans="3:26" ht="20" thickBot="1" x14ac:dyDescent="0.25">
      <c r="C1534" s="243"/>
      <c r="D1534" s="591" t="s">
        <v>436</v>
      </c>
      <c r="E1534" s="293" t="s">
        <v>29</v>
      </c>
      <c r="F1534" s="293" t="s">
        <v>28</v>
      </c>
      <c r="G1534" s="294" t="s">
        <v>27</v>
      </c>
      <c r="H1534" s="280" t="s">
        <v>793</v>
      </c>
      <c r="I1534" s="964"/>
      <c r="J1534" s="964"/>
      <c r="K1534" s="965"/>
      <c r="L1534" s="619" t="s">
        <v>1246</v>
      </c>
      <c r="M1534" s="379"/>
      <c r="N1534" s="243"/>
      <c r="O1534" s="254"/>
      <c r="P1534" s="255"/>
      <c r="Q1534" s="254"/>
      <c r="R1534" s="254"/>
      <c r="S1534" s="254"/>
      <c r="T1534" s="254"/>
      <c r="U1534" s="281"/>
      <c r="V1534" s="282"/>
      <c r="W1534" s="254"/>
      <c r="X1534" s="281"/>
      <c r="Y1534" s="255"/>
      <c r="Z1534" s="255"/>
    </row>
    <row r="1535" spans="3:26" ht="19" x14ac:dyDescent="0.2">
      <c r="C1535" s="243"/>
      <c r="D1535" s="592">
        <v>45638</v>
      </c>
      <c r="E1535" s="295" t="s">
        <v>980</v>
      </c>
      <c r="F1535" s="295" t="s">
        <v>972</v>
      </c>
      <c r="G1535" s="295" t="s">
        <v>985</v>
      </c>
      <c r="H1535" s="284">
        <v>0.5625</v>
      </c>
      <c r="I1535" s="964"/>
      <c r="J1535" s="964"/>
      <c r="K1535" s="965"/>
      <c r="L1535" s="621"/>
      <c r="M1535" s="382"/>
      <c r="N1535" s="243"/>
      <c r="O1535" s="254"/>
      <c r="P1535" s="255"/>
      <c r="Q1535" s="254"/>
      <c r="R1535" s="254"/>
      <c r="S1535" s="254"/>
      <c r="T1535" s="254"/>
      <c r="U1535" s="254"/>
      <c r="V1535" s="254"/>
      <c r="W1535" s="254"/>
      <c r="X1535" s="254"/>
      <c r="Y1535" s="255"/>
      <c r="Z1535" s="255"/>
    </row>
    <row r="1536" spans="3:26" ht="19" x14ac:dyDescent="0.2">
      <c r="C1536" s="243"/>
      <c r="D1536" s="592">
        <v>45631</v>
      </c>
      <c r="E1536" s="295" t="s">
        <v>1032</v>
      </c>
      <c r="F1536" s="295" t="s">
        <v>1232</v>
      </c>
      <c r="G1536" s="295" t="s">
        <v>1232</v>
      </c>
      <c r="H1536" s="284">
        <v>0.5625</v>
      </c>
      <c r="I1536" s="964"/>
      <c r="J1536" s="964"/>
      <c r="K1536" s="965"/>
      <c r="L1536" s="621"/>
      <c r="M1536" s="383"/>
      <c r="N1536" s="243"/>
      <c r="O1536" s="246" t="s">
        <v>813</v>
      </c>
      <c r="P1536" s="247">
        <v>0.05</v>
      </c>
      <c r="Q1536" s="285">
        <v>6.5883333333333335E-2</v>
      </c>
      <c r="R1536" s="286">
        <v>0.03</v>
      </c>
      <c r="S1536" s="250">
        <v>1.5</v>
      </c>
      <c r="T1536" s="256">
        <v>0.128825</v>
      </c>
      <c r="U1536" s="287">
        <v>-23.222204215117198</v>
      </c>
      <c r="V1536" s="288">
        <v>30.25</v>
      </c>
      <c r="W1536" s="250">
        <v>1</v>
      </c>
      <c r="X1536" s="252">
        <v>23.222204215117198</v>
      </c>
      <c r="Y1536" s="289"/>
      <c r="Z1536" s="289"/>
    </row>
    <row r="1537" spans="3:26" ht="19" x14ac:dyDescent="0.2">
      <c r="C1537" s="243"/>
      <c r="D1537" s="592">
        <v>45623</v>
      </c>
      <c r="E1537" s="295" t="s">
        <v>1111</v>
      </c>
      <c r="F1537" s="295" t="s">
        <v>1232</v>
      </c>
      <c r="G1537" s="295" t="s">
        <v>1232</v>
      </c>
      <c r="H1537" s="284">
        <v>0.5625</v>
      </c>
      <c r="I1537" s="964"/>
      <c r="J1537" s="964"/>
      <c r="K1537" s="965"/>
      <c r="L1537" s="621"/>
      <c r="M1537" s="375"/>
      <c r="N1537" s="243"/>
      <c r="O1537" s="246" t="s">
        <v>813</v>
      </c>
      <c r="P1537" s="247">
        <v>0.05</v>
      </c>
      <c r="Q1537" s="285">
        <v>7.0866666666666675E-2</v>
      </c>
      <c r="R1537" s="286">
        <v>0.03</v>
      </c>
      <c r="S1537" s="250">
        <v>1.5</v>
      </c>
      <c r="T1537" s="256">
        <v>0.1363</v>
      </c>
      <c r="U1537" s="287">
        <v>-24.569659883721908</v>
      </c>
      <c r="V1537" s="288">
        <v>30.25</v>
      </c>
      <c r="W1537" s="250">
        <v>1</v>
      </c>
      <c r="X1537" s="252">
        <v>24.569659883721908</v>
      </c>
      <c r="Y1537" s="289"/>
      <c r="Z1537" s="289"/>
    </row>
    <row r="1538" spans="3:26" ht="19" x14ac:dyDescent="0.2">
      <c r="C1538" s="243"/>
      <c r="D1538" s="592">
        <v>45617</v>
      </c>
      <c r="E1538" s="295" t="s">
        <v>1111</v>
      </c>
      <c r="F1538" s="295" t="s">
        <v>1112</v>
      </c>
      <c r="G1538" s="295" t="s">
        <v>987</v>
      </c>
      <c r="H1538" s="284">
        <v>0.5625</v>
      </c>
      <c r="I1538" s="964"/>
      <c r="J1538" s="964"/>
      <c r="K1538" s="965"/>
      <c r="L1538" s="621"/>
      <c r="M1538" s="375"/>
      <c r="N1538" s="243"/>
      <c r="O1538" s="246"/>
      <c r="P1538" s="290"/>
      <c r="Q1538" s="285"/>
      <c r="R1538" s="286"/>
      <c r="S1538" s="250"/>
      <c r="T1538" s="290"/>
      <c r="U1538" s="287"/>
      <c r="V1538" s="288"/>
      <c r="W1538" s="250"/>
      <c r="X1538" s="252"/>
      <c r="Y1538" s="289"/>
      <c r="Z1538" s="289"/>
    </row>
    <row r="1539" spans="3:26" ht="19" x14ac:dyDescent="0.2">
      <c r="C1539" s="243"/>
      <c r="D1539" s="592">
        <v>45610</v>
      </c>
      <c r="E1539" s="295" t="s">
        <v>1031</v>
      </c>
      <c r="F1539" s="295" t="s">
        <v>1032</v>
      </c>
      <c r="G1539" s="295" t="s">
        <v>972</v>
      </c>
      <c r="H1539" s="284">
        <v>0.5625</v>
      </c>
      <c r="I1539" s="964"/>
      <c r="J1539" s="964"/>
      <c r="K1539" s="965"/>
      <c r="L1539" s="621"/>
      <c r="M1539" s="375"/>
      <c r="N1539" s="243"/>
      <c r="O1539" s="291"/>
      <c r="P1539" s="291"/>
      <c r="Q1539" s="291"/>
      <c r="R1539" s="291"/>
      <c r="S1539" s="291"/>
      <c r="T1539" s="291"/>
      <c r="U1539" s="291"/>
      <c r="V1539" s="291"/>
      <c r="W1539" s="291"/>
      <c r="X1539" s="291"/>
      <c r="Y1539" s="291"/>
      <c r="Z1539" s="291"/>
    </row>
    <row r="1540" spans="3:26" ht="20" thickBot="1" x14ac:dyDescent="0.25">
      <c r="C1540" s="243"/>
      <c r="D1540" s="608">
        <v>45603</v>
      </c>
      <c r="E1540" s="356" t="s">
        <v>972</v>
      </c>
      <c r="F1540" s="356" t="s">
        <v>973</v>
      </c>
      <c r="G1540" s="356" t="s">
        <v>974</v>
      </c>
      <c r="H1540" s="284">
        <v>0.5625</v>
      </c>
      <c r="I1540" s="966"/>
      <c r="J1540" s="966"/>
      <c r="K1540" s="967"/>
      <c r="L1540" s="622"/>
      <c r="M1540" s="384"/>
      <c r="N1540" s="243"/>
      <c r="O1540" s="291"/>
      <c r="P1540" s="291"/>
      <c r="Q1540" s="291"/>
      <c r="R1540" s="291"/>
      <c r="S1540" s="291"/>
      <c r="T1540" s="291"/>
      <c r="U1540" s="291"/>
      <c r="V1540" s="291"/>
      <c r="W1540" s="291"/>
      <c r="X1540" s="291"/>
      <c r="Y1540" s="291"/>
      <c r="Z1540" s="291"/>
    </row>
    <row r="1541" spans="3:26" ht="20" thickBot="1" x14ac:dyDescent="0.25">
      <c r="C1541" s="241">
        <v>11</v>
      </c>
      <c r="D1541" s="593" t="s">
        <v>30</v>
      </c>
      <c r="E1541" s="1018" t="s">
        <v>1276</v>
      </c>
      <c r="F1541" s="1019"/>
      <c r="G1541" s="1020"/>
      <c r="H1541" s="242" t="s">
        <v>790</v>
      </c>
      <c r="I1541" s="977" t="s">
        <v>633</v>
      </c>
      <c r="J1541" s="977"/>
      <c r="K1541" s="978"/>
      <c r="L1541" s="616" t="s">
        <v>430</v>
      </c>
      <c r="M1541" s="387" t="s">
        <v>431</v>
      </c>
      <c r="N1541" s="243" t="s">
        <v>105</v>
      </c>
      <c r="O1541" s="244" t="s">
        <v>800</v>
      </c>
      <c r="P1541" s="244" t="s">
        <v>801</v>
      </c>
      <c r="Q1541" s="244" t="s">
        <v>802</v>
      </c>
      <c r="R1541" s="244" t="s">
        <v>803</v>
      </c>
      <c r="S1541" s="244" t="s">
        <v>804</v>
      </c>
      <c r="T1541" s="244" t="s">
        <v>805</v>
      </c>
      <c r="U1541" s="244" t="s">
        <v>806</v>
      </c>
      <c r="V1541" s="244" t="s">
        <v>807</v>
      </c>
      <c r="W1541" s="244" t="s">
        <v>808</v>
      </c>
      <c r="X1541" s="244" t="s">
        <v>809</v>
      </c>
      <c r="Y1541" s="244" t="s">
        <v>75</v>
      </c>
      <c r="Z1541" s="244" t="s">
        <v>75</v>
      </c>
    </row>
    <row r="1542" spans="3:26" ht="19" x14ac:dyDescent="0.2">
      <c r="C1542" s="243"/>
      <c r="D1542" s="609" t="s">
        <v>432</v>
      </c>
      <c r="E1542" s="1009"/>
      <c r="F1542" s="1010"/>
      <c r="G1542" s="1011"/>
      <c r="H1542" s="245" t="s">
        <v>794</v>
      </c>
      <c r="I1542" s="962" t="s">
        <v>1277</v>
      </c>
      <c r="J1542" s="962"/>
      <c r="K1542" s="963"/>
      <c r="L1542" s="617"/>
      <c r="M1542" s="374" t="s">
        <v>1276</v>
      </c>
      <c r="N1542" s="243"/>
      <c r="O1542" s="246" t="s">
        <v>810</v>
      </c>
      <c r="P1542" s="247">
        <v>0.1</v>
      </c>
      <c r="Q1542" s="248">
        <v>3.4000000000000002E-2</v>
      </c>
      <c r="R1542" s="249">
        <v>1.5000000000014779E-2</v>
      </c>
      <c r="S1542" s="250"/>
      <c r="T1542" s="246">
        <v>6.6000000000014783E-2</v>
      </c>
      <c r="U1542" s="248">
        <v>-16.5</v>
      </c>
      <c r="V1542" s="247">
        <v>60.5</v>
      </c>
      <c r="W1542" s="251">
        <v>2</v>
      </c>
      <c r="X1542" s="252">
        <v>33</v>
      </c>
      <c r="Y1542" s="250"/>
      <c r="Z1542" s="250"/>
    </row>
    <row r="1543" spans="3:26" ht="19" x14ac:dyDescent="0.2">
      <c r="C1543" s="243"/>
      <c r="D1543" s="610" t="s">
        <v>433</v>
      </c>
      <c r="E1543" s="1012"/>
      <c r="F1543" s="1013"/>
      <c r="G1543" s="1014"/>
      <c r="H1543" s="245" t="s">
        <v>795</v>
      </c>
      <c r="I1543" s="964"/>
      <c r="J1543" s="964"/>
      <c r="K1543" s="965"/>
      <c r="L1543" s="617"/>
      <c r="M1543" s="375"/>
      <c r="N1543" s="243"/>
      <c r="O1543" s="243"/>
      <c r="P1543" s="243"/>
      <c r="Q1543" s="243"/>
      <c r="R1543" s="253"/>
      <c r="S1543" s="254"/>
      <c r="T1543" s="243"/>
      <c r="U1543" s="243"/>
      <c r="V1543" s="243"/>
      <c r="W1543" s="243"/>
      <c r="X1543" s="254"/>
      <c r="Y1543" s="254"/>
      <c r="Z1543" s="254"/>
    </row>
    <row r="1544" spans="3:26" ht="19" x14ac:dyDescent="0.2">
      <c r="C1544" s="243"/>
      <c r="D1544" s="610" t="s">
        <v>434</v>
      </c>
      <c r="E1544" s="1149">
        <v>-5.5</v>
      </c>
      <c r="F1544" s="1022"/>
      <c r="G1544" s="1023"/>
      <c r="H1544" s="245"/>
      <c r="I1544" s="964"/>
      <c r="J1544" s="964"/>
      <c r="K1544" s="965"/>
      <c r="L1544" s="617"/>
      <c r="M1544" s="375"/>
      <c r="N1544" s="243"/>
      <c r="O1544" s="256" t="s">
        <v>811</v>
      </c>
      <c r="P1544" s="257">
        <v>0.1</v>
      </c>
      <c r="Q1544" s="258">
        <v>5.6660000000000002E-2</v>
      </c>
      <c r="R1544" s="259">
        <v>1.9E-2</v>
      </c>
      <c r="S1544" s="260">
        <v>1</v>
      </c>
      <c r="T1544" s="256">
        <v>0.10399000000000001</v>
      </c>
      <c r="U1544" s="261">
        <v>-25.997499999994179</v>
      </c>
      <c r="V1544" s="262">
        <v>60.5</v>
      </c>
      <c r="W1544" s="263">
        <v>5.7</v>
      </c>
      <c r="X1544" s="264">
        <v>148.18574999996682</v>
      </c>
      <c r="Y1544" s="265"/>
      <c r="Z1544" s="265"/>
    </row>
    <row r="1545" spans="3:26" ht="20" thickBot="1" x14ac:dyDescent="0.25">
      <c r="C1545" s="243"/>
      <c r="D1545" s="611" t="s">
        <v>435</v>
      </c>
      <c r="E1545" s="1015">
        <v>0.5625</v>
      </c>
      <c r="F1545" s="1016"/>
      <c r="G1545" s="1017"/>
      <c r="H1545" s="266"/>
      <c r="I1545" s="964"/>
      <c r="J1545" s="964"/>
      <c r="K1545" s="965"/>
      <c r="L1545" s="618">
        <v>0.79166666666666663</v>
      </c>
      <c r="M1545" s="377">
        <v>0.64583333333333326</v>
      </c>
      <c r="N1545" s="243"/>
      <c r="O1545" s="267" t="s">
        <v>812</v>
      </c>
      <c r="P1545" s="268">
        <v>0.1</v>
      </c>
      <c r="Q1545" s="269">
        <v>6.253333333333333E-2</v>
      </c>
      <c r="R1545" s="270">
        <v>1.9E-2</v>
      </c>
      <c r="S1545" s="271">
        <v>1</v>
      </c>
      <c r="T1545" s="272">
        <v>0.1128</v>
      </c>
      <c r="U1545" s="273">
        <v>-28.199999999993683</v>
      </c>
      <c r="V1545" s="274">
        <v>60.5</v>
      </c>
      <c r="W1545" s="309">
        <v>3.6</v>
      </c>
      <c r="X1545" s="276">
        <v>101.51999999997726</v>
      </c>
      <c r="Y1545" s="277"/>
      <c r="Z1545" s="277"/>
    </row>
    <row r="1546" spans="3:26" ht="20" thickBot="1" x14ac:dyDescent="0.25">
      <c r="C1546" s="243"/>
      <c r="D1546" s="612" t="s">
        <v>436</v>
      </c>
      <c r="E1546" s="358" t="s">
        <v>29</v>
      </c>
      <c r="F1546" s="358" t="s">
        <v>28</v>
      </c>
      <c r="G1546" s="359" t="s">
        <v>27</v>
      </c>
      <c r="H1546" s="280" t="s">
        <v>793</v>
      </c>
      <c r="I1546" s="964"/>
      <c r="J1546" s="964"/>
      <c r="K1546" s="965"/>
      <c r="L1546" s="619" t="s">
        <v>1246</v>
      </c>
      <c r="M1546" s="393"/>
      <c r="N1546" s="243"/>
      <c r="O1546" s="254"/>
      <c r="P1546" s="255"/>
      <c r="Q1546" s="254"/>
      <c r="R1546" s="254"/>
      <c r="S1546" s="254"/>
      <c r="T1546" s="254"/>
      <c r="U1546" s="281"/>
      <c r="V1546" s="282"/>
      <c r="W1546" s="254"/>
      <c r="X1546" s="281"/>
      <c r="Y1546" s="255"/>
      <c r="Z1546" s="255"/>
    </row>
    <row r="1547" spans="3:26" ht="19" x14ac:dyDescent="0.2">
      <c r="C1547" s="243"/>
      <c r="D1547" s="614">
        <v>45617</v>
      </c>
      <c r="E1547" s="394">
        <v>-5.5</v>
      </c>
      <c r="F1547" s="394" t="s">
        <v>1292</v>
      </c>
      <c r="G1547" s="394">
        <v>10.3</v>
      </c>
      <c r="H1547" s="284">
        <v>0.5625</v>
      </c>
      <c r="I1547" s="964"/>
      <c r="J1547" s="964"/>
      <c r="K1547" s="965"/>
      <c r="L1547" s="621"/>
      <c r="M1547" s="382"/>
      <c r="N1547" s="243"/>
      <c r="O1547" s="254"/>
      <c r="P1547" s="255"/>
      <c r="Q1547" s="254"/>
      <c r="R1547" s="254"/>
      <c r="S1547" s="254"/>
      <c r="T1547" s="254"/>
      <c r="U1547" s="254"/>
      <c r="V1547" s="254"/>
      <c r="W1547" s="254"/>
      <c r="X1547" s="254"/>
      <c r="Y1547" s="255"/>
      <c r="Z1547" s="255"/>
    </row>
    <row r="1548" spans="3:26" ht="19" x14ac:dyDescent="0.2">
      <c r="C1548" s="243"/>
      <c r="D1548" s="614">
        <v>45582</v>
      </c>
      <c r="E1548" s="394">
        <v>10.3</v>
      </c>
      <c r="F1548" s="394" t="s">
        <v>1033</v>
      </c>
      <c r="G1548" s="394">
        <v>1.7</v>
      </c>
      <c r="H1548" s="284">
        <v>0.52083333333333337</v>
      </c>
      <c r="I1548" s="964"/>
      <c r="J1548" s="964"/>
      <c r="K1548" s="965"/>
      <c r="L1548" s="621"/>
      <c r="M1548" s="383"/>
      <c r="N1548" s="243"/>
      <c r="O1548" s="246" t="s">
        <v>813</v>
      </c>
      <c r="P1548" s="247">
        <v>-0.1</v>
      </c>
      <c r="Q1548" s="285">
        <v>5.1064444444444447E-2</v>
      </c>
      <c r="R1548" s="286">
        <v>1.9E-2</v>
      </c>
      <c r="S1548" s="250">
        <v>-1</v>
      </c>
      <c r="T1548" s="256">
        <v>9.5596666666666677E-2</v>
      </c>
      <c r="U1548" s="287">
        <v>-23.899166666661316</v>
      </c>
      <c r="V1548" s="288">
        <v>60.5</v>
      </c>
      <c r="W1548" s="250">
        <v>2</v>
      </c>
      <c r="X1548" s="252">
        <v>47.798333333322631</v>
      </c>
      <c r="Y1548" s="289" t="s">
        <v>814</v>
      </c>
      <c r="Z1548" s="289"/>
    </row>
    <row r="1549" spans="3:26" ht="19" x14ac:dyDescent="0.2">
      <c r="C1549" s="243"/>
      <c r="D1549" s="614">
        <v>45554</v>
      </c>
      <c r="E1549" s="394">
        <v>1.7</v>
      </c>
      <c r="F1549" s="394" t="s">
        <v>1034</v>
      </c>
      <c r="G1549" s="394">
        <v>-7</v>
      </c>
      <c r="H1549" s="284">
        <v>0.52083333333333337</v>
      </c>
      <c r="I1549" s="964"/>
      <c r="J1549" s="964"/>
      <c r="K1549" s="965"/>
      <c r="L1549" s="621"/>
      <c r="M1549" s="375"/>
      <c r="N1549" s="243"/>
      <c r="O1549" s="246" t="s">
        <v>813</v>
      </c>
      <c r="P1549" s="395">
        <v>0.1</v>
      </c>
      <c r="Q1549" s="396">
        <v>5.1064444444444447E-2</v>
      </c>
      <c r="R1549" s="286">
        <v>0</v>
      </c>
      <c r="S1549" s="397">
        <v>1</v>
      </c>
      <c r="T1549" s="256">
        <v>9.5596666666666677E-2</v>
      </c>
      <c r="U1549" s="287">
        <v>-23.899166666661316</v>
      </c>
      <c r="V1549" s="288">
        <v>60.5</v>
      </c>
      <c r="W1549" s="398">
        <v>2</v>
      </c>
      <c r="X1549" s="252">
        <v>47.798333333322631</v>
      </c>
      <c r="Y1549" s="250" t="s">
        <v>814</v>
      </c>
      <c r="Z1549" s="250"/>
    </row>
    <row r="1550" spans="3:26" ht="19" x14ac:dyDescent="0.2">
      <c r="C1550" s="243"/>
      <c r="D1550" s="614">
        <v>45519</v>
      </c>
      <c r="E1550" s="394">
        <v>-7</v>
      </c>
      <c r="F1550" s="394" t="s">
        <v>1035</v>
      </c>
      <c r="G1550" s="394">
        <v>13.9</v>
      </c>
      <c r="H1550" s="284">
        <v>0.52083333333333337</v>
      </c>
      <c r="I1550" s="964"/>
      <c r="J1550" s="964"/>
      <c r="K1550" s="965"/>
      <c r="L1550" s="621"/>
      <c r="M1550" s="375"/>
      <c r="N1550" s="243"/>
      <c r="O1550" s="246"/>
      <c r="P1550" s="246"/>
      <c r="Q1550" s="396"/>
      <c r="R1550" s="286"/>
      <c r="S1550" s="250"/>
      <c r="T1550" s="246"/>
      <c r="U1550" s="287"/>
      <c r="V1550" s="288"/>
      <c r="W1550" s="250"/>
      <c r="X1550" s="252"/>
      <c r="Y1550" s="250"/>
      <c r="Z1550" s="250"/>
    </row>
    <row r="1551" spans="3:26" ht="19" x14ac:dyDescent="0.2">
      <c r="C1551" s="243"/>
      <c r="D1551" s="614">
        <v>45491</v>
      </c>
      <c r="E1551" s="394">
        <v>13.9</v>
      </c>
      <c r="F1551" s="394" t="s">
        <v>1036</v>
      </c>
      <c r="G1551" s="394">
        <v>1.3</v>
      </c>
      <c r="H1551" s="284">
        <v>0.52083333333333337</v>
      </c>
      <c r="I1551" s="964"/>
      <c r="J1551" s="964"/>
      <c r="K1551" s="965"/>
      <c r="L1551" s="621"/>
      <c r="M1551" s="375"/>
      <c r="N1551" s="243"/>
      <c r="O1551" s="291"/>
      <c r="P1551" s="291"/>
      <c r="Q1551" s="291"/>
      <c r="R1551" s="291"/>
      <c r="S1551" s="291"/>
      <c r="T1551" s="291"/>
      <c r="U1551" s="291"/>
      <c r="V1551" s="291"/>
      <c r="W1551" s="291"/>
      <c r="X1551" s="291"/>
      <c r="Y1551" s="291"/>
      <c r="Z1551" s="291"/>
    </row>
    <row r="1552" spans="3:26" ht="20" thickBot="1" x14ac:dyDescent="0.25">
      <c r="C1552" s="243"/>
      <c r="D1552" s="615">
        <v>45463</v>
      </c>
      <c r="E1552" s="399">
        <v>1.3</v>
      </c>
      <c r="F1552" s="399" t="s">
        <v>1037</v>
      </c>
      <c r="G1552" s="399">
        <v>4.5</v>
      </c>
      <c r="H1552" s="284">
        <v>0.52083333333333337</v>
      </c>
      <c r="I1552" s="966"/>
      <c r="J1552" s="966"/>
      <c r="K1552" s="967"/>
      <c r="L1552" s="622"/>
      <c r="M1552" s="384"/>
      <c r="N1552" s="243"/>
      <c r="O1552" s="291"/>
      <c r="P1552" s="291"/>
      <c r="Q1552" s="291"/>
      <c r="R1552" s="291"/>
      <c r="S1552" s="291"/>
      <c r="T1552" s="291"/>
      <c r="U1552" s="291"/>
      <c r="V1552" s="291"/>
      <c r="W1552" s="291"/>
      <c r="X1552" s="291"/>
      <c r="Y1552" s="291"/>
      <c r="Z1552" s="291"/>
    </row>
    <row r="1553" spans="3:26" ht="20" thickBot="1" x14ac:dyDescent="0.25">
      <c r="C1553" s="241">
        <v>12</v>
      </c>
      <c r="D1553" s="593" t="s">
        <v>30</v>
      </c>
      <c r="E1553" s="1018" t="s">
        <v>1278</v>
      </c>
      <c r="F1553" s="1019"/>
      <c r="G1553" s="1020"/>
      <c r="H1553" s="242" t="s">
        <v>790</v>
      </c>
      <c r="I1553" s="977" t="s">
        <v>633</v>
      </c>
      <c r="J1553" s="977"/>
      <c r="K1553" s="978"/>
      <c r="L1553" s="616" t="s">
        <v>430</v>
      </c>
      <c r="M1553" s="387" t="s">
        <v>431</v>
      </c>
      <c r="N1553" s="243" t="s">
        <v>105</v>
      </c>
      <c r="O1553" s="244" t="s">
        <v>800</v>
      </c>
      <c r="P1553" s="244" t="s">
        <v>801</v>
      </c>
      <c r="Q1553" s="244" t="s">
        <v>802</v>
      </c>
      <c r="R1553" s="244" t="s">
        <v>803</v>
      </c>
      <c r="S1553" s="244" t="s">
        <v>804</v>
      </c>
      <c r="T1553" s="244" t="s">
        <v>805</v>
      </c>
      <c r="U1553" s="244" t="s">
        <v>806</v>
      </c>
      <c r="V1553" s="244" t="s">
        <v>807</v>
      </c>
      <c r="W1553" s="244" t="s">
        <v>808</v>
      </c>
      <c r="X1553" s="244" t="s">
        <v>809</v>
      </c>
      <c r="Y1553" s="244" t="s">
        <v>75</v>
      </c>
      <c r="Z1553" s="244" t="s">
        <v>75</v>
      </c>
    </row>
    <row r="1554" spans="3:26" ht="19" x14ac:dyDescent="0.2">
      <c r="C1554" s="243"/>
      <c r="D1554" s="609" t="s">
        <v>432</v>
      </c>
      <c r="E1554" s="1009"/>
      <c r="F1554" s="1010"/>
      <c r="G1554" s="1011"/>
      <c r="H1554" s="245" t="s">
        <v>794</v>
      </c>
      <c r="I1554" s="962" t="s">
        <v>1279</v>
      </c>
      <c r="J1554" s="962"/>
      <c r="K1554" s="963"/>
      <c r="L1554" s="617"/>
      <c r="M1554" s="374" t="s">
        <v>1278</v>
      </c>
      <c r="N1554" s="243"/>
      <c r="O1554" s="246" t="s">
        <v>810</v>
      </c>
      <c r="P1554" s="247">
        <v>0.1</v>
      </c>
      <c r="Q1554" s="248">
        <v>3.5000000000000003E-2</v>
      </c>
      <c r="R1554" s="249">
        <v>3.4999999999996589E-2</v>
      </c>
      <c r="S1554" s="250">
        <v>1</v>
      </c>
      <c r="T1554" s="246">
        <v>5.7000000000000682E-2</v>
      </c>
      <c r="U1554" s="248">
        <v>-21.24</v>
      </c>
      <c r="V1554" s="247">
        <v>60.5</v>
      </c>
      <c r="W1554" s="251">
        <v>2</v>
      </c>
      <c r="X1554" s="252"/>
      <c r="Y1554" s="250"/>
      <c r="Z1554" s="250"/>
    </row>
    <row r="1555" spans="3:26" ht="19" x14ac:dyDescent="0.2">
      <c r="C1555" s="243"/>
      <c r="D1555" s="610" t="s">
        <v>433</v>
      </c>
      <c r="E1555" s="1012"/>
      <c r="F1555" s="1013"/>
      <c r="G1555" s="1014"/>
      <c r="H1555" s="245" t="s">
        <v>795</v>
      </c>
      <c r="I1555" s="964"/>
      <c r="J1555" s="964"/>
      <c r="K1555" s="965"/>
      <c r="L1555" s="617"/>
      <c r="M1555" s="375"/>
      <c r="N1555" s="243"/>
      <c r="O1555" s="243"/>
      <c r="P1555" s="243"/>
      <c r="Q1555" s="243"/>
      <c r="R1555" s="253"/>
      <c r="S1555" s="254"/>
      <c r="T1555" s="243"/>
      <c r="U1555" s="243"/>
      <c r="V1555" s="243"/>
      <c r="W1555" s="243"/>
      <c r="X1555" s="254"/>
      <c r="Y1555" s="254"/>
      <c r="Z1555" s="254"/>
    </row>
    <row r="1556" spans="3:26" ht="19" x14ac:dyDescent="0.2">
      <c r="C1556" s="243"/>
      <c r="D1556" s="610" t="s">
        <v>434</v>
      </c>
      <c r="E1556" s="1021" t="s">
        <v>351</v>
      </c>
      <c r="F1556" s="1022"/>
      <c r="G1556" s="1023"/>
      <c r="H1556" s="245"/>
      <c r="I1556" s="964"/>
      <c r="J1556" s="964"/>
      <c r="K1556" s="965"/>
      <c r="L1556" s="617"/>
      <c r="M1556" s="375"/>
      <c r="N1556" s="243"/>
      <c r="O1556" s="256" t="s">
        <v>811</v>
      </c>
      <c r="P1556" s="257">
        <v>0.1</v>
      </c>
      <c r="Q1556" s="258">
        <v>6.4500000000000002E-2</v>
      </c>
      <c r="R1556" s="258">
        <v>0.03</v>
      </c>
      <c r="S1556" s="260">
        <v>1</v>
      </c>
      <c r="T1556" s="256">
        <v>0.12675</v>
      </c>
      <c r="U1556" s="261">
        <v>-47.231052631578379</v>
      </c>
      <c r="V1556" s="262">
        <v>60.5</v>
      </c>
      <c r="W1556" s="263">
        <v>3.53</v>
      </c>
      <c r="X1556" s="264">
        <v>166.72561578947168</v>
      </c>
      <c r="Y1556" s="265"/>
      <c r="Z1556" s="260"/>
    </row>
    <row r="1557" spans="3:26" ht="20" thickBot="1" x14ac:dyDescent="0.25">
      <c r="C1557" s="243"/>
      <c r="D1557" s="611" t="s">
        <v>435</v>
      </c>
      <c r="E1557" s="1015">
        <v>0.625</v>
      </c>
      <c r="F1557" s="1016"/>
      <c r="G1557" s="1017"/>
      <c r="H1557" s="266">
        <v>0.41666666666666663</v>
      </c>
      <c r="I1557" s="964"/>
      <c r="J1557" s="964"/>
      <c r="K1557" s="965"/>
      <c r="L1557" s="618">
        <v>0.85416666666666663</v>
      </c>
      <c r="M1557" s="377">
        <v>0.70833333333333326</v>
      </c>
      <c r="N1557" s="243"/>
      <c r="O1557" s="267" t="s">
        <v>812</v>
      </c>
      <c r="P1557" s="268">
        <v>0.1</v>
      </c>
      <c r="Q1557" s="269">
        <v>6.2333333333333331E-2</v>
      </c>
      <c r="R1557" s="270">
        <v>0.03</v>
      </c>
      <c r="S1557" s="271">
        <v>1</v>
      </c>
      <c r="T1557" s="272">
        <v>0.1235</v>
      </c>
      <c r="U1557" s="273">
        <v>-46.019999999999449</v>
      </c>
      <c r="V1557" s="274">
        <v>60.5</v>
      </c>
      <c r="W1557" s="309">
        <v>1.77</v>
      </c>
      <c r="X1557" s="276">
        <v>81.455399999999031</v>
      </c>
      <c r="Y1557" s="277"/>
      <c r="Z1557" s="271"/>
    </row>
    <row r="1558" spans="3:26" ht="20" thickBot="1" x14ac:dyDescent="0.25">
      <c r="C1558" s="243"/>
      <c r="D1558" s="612" t="s">
        <v>436</v>
      </c>
      <c r="E1558" s="358" t="s">
        <v>29</v>
      </c>
      <c r="F1558" s="358" t="s">
        <v>28</v>
      </c>
      <c r="G1558" s="359" t="s">
        <v>27</v>
      </c>
      <c r="H1558" s="280" t="s">
        <v>793</v>
      </c>
      <c r="I1558" s="964"/>
      <c r="J1558" s="964"/>
      <c r="K1558" s="965"/>
      <c r="L1558" s="619" t="s">
        <v>1246</v>
      </c>
      <c r="M1558" s="393"/>
      <c r="N1558" s="243"/>
      <c r="O1558" s="254"/>
      <c r="P1558" s="255"/>
      <c r="Q1558" s="254"/>
      <c r="R1558" s="254"/>
      <c r="S1558" s="254"/>
      <c r="T1558" s="254"/>
      <c r="U1558" s="281"/>
      <c r="V1558" s="282"/>
      <c r="W1558" s="254"/>
      <c r="X1558" s="281"/>
      <c r="Y1558" s="255"/>
      <c r="Z1558" s="254"/>
    </row>
    <row r="1559" spans="3:26" ht="19" x14ac:dyDescent="0.2">
      <c r="C1559" s="243"/>
      <c r="D1559" s="614">
        <v>45617</v>
      </c>
      <c r="E1559" s="400" t="s">
        <v>1043</v>
      </c>
      <c r="F1559" s="400" t="s">
        <v>1044</v>
      </c>
      <c r="G1559" s="400" t="s">
        <v>1293</v>
      </c>
      <c r="H1559" s="284">
        <v>0.625</v>
      </c>
      <c r="I1559" s="964"/>
      <c r="J1559" s="964"/>
      <c r="K1559" s="965"/>
      <c r="L1559" s="621"/>
      <c r="M1559" s="382"/>
      <c r="N1559" s="243"/>
      <c r="O1559" s="254"/>
      <c r="P1559" s="255"/>
      <c r="Q1559" s="254"/>
      <c r="R1559" s="254"/>
      <c r="S1559" s="254"/>
      <c r="T1559" s="254"/>
      <c r="U1559" s="254"/>
      <c r="V1559" s="254"/>
      <c r="W1559" s="254"/>
      <c r="X1559" s="254"/>
      <c r="Y1559" s="255"/>
      <c r="Z1559" s="254"/>
    </row>
    <row r="1560" spans="3:26" ht="19" x14ac:dyDescent="0.2">
      <c r="C1560" s="243"/>
      <c r="D1560" s="614">
        <v>45588</v>
      </c>
      <c r="E1560" s="400" t="s">
        <v>1039</v>
      </c>
      <c r="F1560" s="400" t="s">
        <v>1040</v>
      </c>
      <c r="G1560" s="400" t="s">
        <v>1040</v>
      </c>
      <c r="H1560" s="284">
        <v>0.58333333333333337</v>
      </c>
      <c r="I1560" s="964"/>
      <c r="J1560" s="964"/>
      <c r="K1560" s="965"/>
      <c r="L1560" s="621"/>
      <c r="M1560" s="383"/>
      <c r="N1560" s="243"/>
      <c r="O1560" s="246" t="s">
        <v>813</v>
      </c>
      <c r="P1560" s="247">
        <v>-0.05</v>
      </c>
      <c r="Q1560" s="285">
        <v>5.3944444444444441E-2</v>
      </c>
      <c r="R1560" s="286">
        <v>0.03</v>
      </c>
      <c r="S1560" s="250">
        <v>-1</v>
      </c>
      <c r="T1560" s="256">
        <v>0.11091666666666666</v>
      </c>
      <c r="U1560" s="287">
        <v>-20.665526315789226</v>
      </c>
      <c r="V1560" s="288">
        <v>30.25</v>
      </c>
      <c r="W1560" s="250">
        <v>2</v>
      </c>
      <c r="X1560" s="252">
        <v>41.331052631578451</v>
      </c>
      <c r="Y1560" s="289" t="s">
        <v>814</v>
      </c>
      <c r="Z1560" s="250"/>
    </row>
    <row r="1561" spans="3:26" ht="19" x14ac:dyDescent="0.2">
      <c r="C1561" s="243"/>
      <c r="D1561" s="614">
        <v>45554</v>
      </c>
      <c r="E1561" s="400" t="s">
        <v>1041</v>
      </c>
      <c r="F1561" s="400" t="s">
        <v>1042</v>
      </c>
      <c r="G1561" s="400" t="s">
        <v>1043</v>
      </c>
      <c r="H1561" s="284">
        <v>0.58333333333333337</v>
      </c>
      <c r="I1561" s="964"/>
      <c r="J1561" s="964"/>
      <c r="K1561" s="965"/>
      <c r="L1561" s="621"/>
      <c r="M1561" s="375"/>
      <c r="N1561" s="243"/>
      <c r="O1561" s="246" t="s">
        <v>813</v>
      </c>
      <c r="P1561" s="395">
        <v>0.05</v>
      </c>
      <c r="Q1561" s="396">
        <v>5.3944444444444441E-2</v>
      </c>
      <c r="R1561" s="286">
        <v>0</v>
      </c>
      <c r="S1561" s="397">
        <v>1</v>
      </c>
      <c r="T1561" s="256">
        <v>0.11091666666666666</v>
      </c>
      <c r="U1561" s="287">
        <v>-20.665526315789226</v>
      </c>
      <c r="V1561" s="288">
        <v>30.25</v>
      </c>
      <c r="W1561" s="398">
        <v>2</v>
      </c>
      <c r="X1561" s="252">
        <v>41.331052631578451</v>
      </c>
      <c r="Y1561" s="250" t="s">
        <v>814</v>
      </c>
      <c r="Z1561" s="250"/>
    </row>
    <row r="1562" spans="3:26" ht="19" x14ac:dyDescent="0.2">
      <c r="C1562" s="243"/>
      <c r="D1562" s="614">
        <v>45526</v>
      </c>
      <c r="E1562" s="400" t="s">
        <v>1044</v>
      </c>
      <c r="F1562" s="400" t="s">
        <v>1045</v>
      </c>
      <c r="G1562" s="400" t="s">
        <v>1046</v>
      </c>
      <c r="H1562" s="284">
        <v>0.58333333333333337</v>
      </c>
      <c r="I1562" s="964"/>
      <c r="J1562" s="964"/>
      <c r="K1562" s="965"/>
      <c r="L1562" s="621"/>
      <c r="M1562" s="375"/>
      <c r="N1562" s="243"/>
      <c r="O1562" s="246"/>
      <c r="P1562" s="246"/>
      <c r="Q1562" s="396"/>
      <c r="R1562" s="286"/>
      <c r="S1562" s="250"/>
      <c r="T1562" s="246"/>
      <c r="U1562" s="287"/>
      <c r="V1562" s="288"/>
      <c r="W1562" s="250"/>
      <c r="X1562" s="252"/>
      <c r="Y1562" s="250"/>
      <c r="Z1562" s="250"/>
    </row>
    <row r="1563" spans="3:26" ht="19" x14ac:dyDescent="0.2">
      <c r="C1563" s="243"/>
      <c r="D1563" s="614">
        <v>45496</v>
      </c>
      <c r="E1563" s="400" t="s">
        <v>1047</v>
      </c>
      <c r="F1563" s="400" t="s">
        <v>1048</v>
      </c>
      <c r="G1563" s="400" t="s">
        <v>1049</v>
      </c>
      <c r="H1563" s="284">
        <v>0.58333333333333337</v>
      </c>
      <c r="I1563" s="964"/>
      <c r="J1563" s="964"/>
      <c r="K1563" s="965"/>
      <c r="L1563" s="621"/>
      <c r="M1563" s="375"/>
      <c r="N1563" s="243"/>
      <c r="O1563" s="291"/>
      <c r="P1563" s="291"/>
      <c r="Q1563" s="291"/>
      <c r="R1563" s="291"/>
      <c r="S1563" s="291"/>
      <c r="T1563" s="291"/>
      <c r="U1563" s="291"/>
      <c r="V1563" s="291"/>
      <c r="W1563" s="291"/>
      <c r="X1563" s="291"/>
      <c r="Y1563" s="291"/>
      <c r="Z1563" s="291"/>
    </row>
    <row r="1564" spans="3:26" ht="20" thickBot="1" x14ac:dyDescent="0.25">
      <c r="C1564" s="243"/>
      <c r="D1564" s="615">
        <v>45464</v>
      </c>
      <c r="E1564" s="401" t="s">
        <v>1049</v>
      </c>
      <c r="F1564" s="401" t="s">
        <v>1050</v>
      </c>
      <c r="G1564" s="401" t="s">
        <v>1051</v>
      </c>
      <c r="H1564" s="284">
        <v>0.58333333333333337</v>
      </c>
      <c r="I1564" s="966"/>
      <c r="J1564" s="966"/>
      <c r="K1564" s="967"/>
      <c r="L1564" s="621"/>
      <c r="M1564" s="384"/>
      <c r="N1564" s="243"/>
      <c r="O1564" s="291"/>
      <c r="P1564" s="291"/>
      <c r="Q1564" s="291"/>
      <c r="R1564" s="291"/>
      <c r="S1564" s="291"/>
      <c r="T1564" s="291"/>
      <c r="U1564" s="291"/>
      <c r="V1564" s="291"/>
      <c r="W1564" s="291"/>
      <c r="X1564" s="291"/>
      <c r="Y1564" s="291"/>
      <c r="Z1564" s="291"/>
    </row>
    <row r="1565" spans="3:26" ht="20" thickBot="1" x14ac:dyDescent="0.25">
      <c r="C1565" s="241">
        <v>12</v>
      </c>
      <c r="D1565" s="576" t="s">
        <v>30</v>
      </c>
      <c r="E1565" s="874" t="s">
        <v>1280</v>
      </c>
      <c r="F1565" s="875"/>
      <c r="G1565" s="876"/>
      <c r="H1565" s="242" t="s">
        <v>790</v>
      </c>
      <c r="I1565" s="977" t="s">
        <v>633</v>
      </c>
      <c r="J1565" s="977"/>
      <c r="K1565" s="978"/>
      <c r="L1565" s="616" t="s">
        <v>430</v>
      </c>
      <c r="M1565" s="372" t="s">
        <v>431</v>
      </c>
      <c r="N1565" s="243" t="s">
        <v>105</v>
      </c>
      <c r="O1565" s="244" t="s">
        <v>800</v>
      </c>
      <c r="P1565" s="244" t="s">
        <v>801</v>
      </c>
      <c r="Q1565" s="244" t="s">
        <v>802</v>
      </c>
      <c r="R1565" s="244" t="s">
        <v>803</v>
      </c>
      <c r="S1565" s="244" t="s">
        <v>804</v>
      </c>
      <c r="T1565" s="244" t="s">
        <v>805</v>
      </c>
      <c r="U1565" s="244" t="s">
        <v>806</v>
      </c>
      <c r="V1565" s="244" t="s">
        <v>807</v>
      </c>
      <c r="W1565" s="244" t="s">
        <v>808</v>
      </c>
      <c r="X1565" s="244" t="s">
        <v>809</v>
      </c>
      <c r="Y1565" s="244" t="s">
        <v>75</v>
      </c>
      <c r="Z1565" s="244" t="s">
        <v>75</v>
      </c>
    </row>
    <row r="1566" spans="3:26" ht="19" x14ac:dyDescent="0.2">
      <c r="C1566" s="243"/>
      <c r="D1566" s="588" t="s">
        <v>432</v>
      </c>
      <c r="E1566" s="853"/>
      <c r="F1566" s="854"/>
      <c r="G1566" s="855"/>
      <c r="H1566" s="245" t="s">
        <v>794</v>
      </c>
      <c r="I1566" s="962" t="s">
        <v>1281</v>
      </c>
      <c r="J1566" s="962"/>
      <c r="K1566" s="963"/>
      <c r="L1566" s="617"/>
      <c r="M1566" s="374" t="s">
        <v>1280</v>
      </c>
      <c r="N1566" s="243"/>
      <c r="O1566" s="246" t="s">
        <v>810</v>
      </c>
      <c r="P1566" s="247">
        <v>0.1</v>
      </c>
      <c r="Q1566" s="248">
        <v>2.7E-2</v>
      </c>
      <c r="R1566" s="249">
        <v>1.5999999999991132E-2</v>
      </c>
      <c r="S1566" s="250"/>
      <c r="T1566" s="246">
        <v>5.6499999999991134E-2</v>
      </c>
      <c r="U1566" s="248">
        <v>-13.31</v>
      </c>
      <c r="V1566" s="247">
        <v>91.8</v>
      </c>
      <c r="W1566" s="251">
        <v>2</v>
      </c>
      <c r="X1566" s="252">
        <v>26.62</v>
      </c>
      <c r="Y1566" s="250"/>
      <c r="Z1566" s="250"/>
    </row>
    <row r="1567" spans="3:26" ht="19" x14ac:dyDescent="0.2">
      <c r="C1567" s="243"/>
      <c r="D1567" s="589" t="s">
        <v>433</v>
      </c>
      <c r="E1567" s="868"/>
      <c r="F1567" s="869"/>
      <c r="G1567" s="870"/>
      <c r="H1567" s="245" t="s">
        <v>795</v>
      </c>
      <c r="I1567" s="964"/>
      <c r="J1567" s="964"/>
      <c r="K1567" s="965"/>
      <c r="L1567" s="617"/>
      <c r="M1567" s="375"/>
      <c r="N1567" s="243"/>
      <c r="O1567" s="243"/>
      <c r="P1567" s="243"/>
      <c r="Q1567" s="243"/>
      <c r="R1567" s="253"/>
      <c r="S1567" s="254"/>
      <c r="T1567" s="243"/>
      <c r="U1567" s="243"/>
      <c r="V1567" s="243"/>
      <c r="W1567" s="254"/>
      <c r="X1567" s="254"/>
      <c r="Y1567" s="255"/>
      <c r="Z1567" s="255"/>
    </row>
    <row r="1568" spans="3:26" ht="19" x14ac:dyDescent="0.2">
      <c r="C1568" s="243"/>
      <c r="D1568" s="589" t="s">
        <v>434</v>
      </c>
      <c r="E1568" s="856"/>
      <c r="F1568" s="857"/>
      <c r="G1568" s="858"/>
      <c r="H1568" s="245"/>
      <c r="I1568" s="964"/>
      <c r="J1568" s="964"/>
      <c r="K1568" s="965"/>
      <c r="L1568" s="617"/>
      <c r="M1568" s="375"/>
      <c r="N1568" s="243"/>
      <c r="O1568" s="256" t="s">
        <v>811</v>
      </c>
      <c r="P1568" s="257">
        <v>0.1</v>
      </c>
      <c r="Q1568" s="258">
        <v>4.0500000000000001E-2</v>
      </c>
      <c r="R1568" s="259">
        <v>1.7000000000000001E-2</v>
      </c>
      <c r="S1568" s="260">
        <v>1</v>
      </c>
      <c r="T1568" s="256">
        <v>7.775E-2</v>
      </c>
      <c r="U1568" s="261">
        <v>-18.315973451330308</v>
      </c>
      <c r="V1568" s="262">
        <v>60.5</v>
      </c>
      <c r="W1568" s="263">
        <v>3.27</v>
      </c>
      <c r="X1568" s="264">
        <v>59.893233185850107</v>
      </c>
      <c r="Y1568" s="265"/>
      <c r="Z1568" s="265">
        <v>4.4350000000000005</v>
      </c>
    </row>
    <row r="1569" spans="3:26" ht="20" thickBot="1" x14ac:dyDescent="0.25">
      <c r="C1569" s="243"/>
      <c r="D1569" s="590" t="s">
        <v>435</v>
      </c>
      <c r="E1569" s="871">
        <v>0.5625</v>
      </c>
      <c r="F1569" s="872"/>
      <c r="G1569" s="873"/>
      <c r="H1569" s="266"/>
      <c r="I1569" s="964"/>
      <c r="J1569" s="964"/>
      <c r="K1569" s="965"/>
      <c r="L1569" s="618">
        <v>0.79166666666666663</v>
      </c>
      <c r="M1569" s="377">
        <v>0.64583333333333326</v>
      </c>
      <c r="N1569" s="243"/>
      <c r="O1569" s="267" t="s">
        <v>812</v>
      </c>
      <c r="P1569" s="268">
        <v>0.1</v>
      </c>
      <c r="Q1569" s="269">
        <v>2.5266666666666663E-2</v>
      </c>
      <c r="R1569" s="270">
        <v>1.7000000000000001E-2</v>
      </c>
      <c r="S1569" s="271">
        <v>1</v>
      </c>
      <c r="T1569" s="272">
        <v>5.4899999999999997E-2</v>
      </c>
      <c r="U1569" s="273">
        <v>-12.933079646019728</v>
      </c>
      <c r="V1569" s="274">
        <v>60.5</v>
      </c>
      <c r="W1569" s="309">
        <v>2.2200000000000002</v>
      </c>
      <c r="X1569" s="276">
        <v>28.711436814163797</v>
      </c>
      <c r="Y1569" s="277"/>
      <c r="Z1569" s="277"/>
    </row>
    <row r="1570" spans="3:26" ht="20" thickBot="1" x14ac:dyDescent="0.25">
      <c r="C1570" s="243"/>
      <c r="D1570" s="591" t="s">
        <v>436</v>
      </c>
      <c r="E1570" s="293" t="s">
        <v>29</v>
      </c>
      <c r="F1570" s="293" t="s">
        <v>28</v>
      </c>
      <c r="G1570" s="294" t="s">
        <v>27</v>
      </c>
      <c r="H1570" s="280" t="s">
        <v>793</v>
      </c>
      <c r="I1570" s="964"/>
      <c r="J1570" s="964"/>
      <c r="K1570" s="965"/>
      <c r="L1570" s="619" t="s">
        <v>1246</v>
      </c>
      <c r="M1570" s="379"/>
      <c r="N1570" s="243"/>
      <c r="O1570" s="254"/>
      <c r="P1570" s="255"/>
      <c r="Q1570" s="254"/>
      <c r="R1570" s="254"/>
      <c r="S1570" s="254"/>
      <c r="T1570" s="254"/>
      <c r="U1570" s="281"/>
      <c r="V1570" s="282"/>
      <c r="W1570" s="254"/>
      <c r="X1570" s="281"/>
      <c r="Y1570" s="255"/>
      <c r="Z1570" s="255"/>
    </row>
    <row r="1571" spans="3:26" ht="19" x14ac:dyDescent="0.2">
      <c r="C1571" s="243"/>
      <c r="D1571" s="592">
        <v>45623</v>
      </c>
      <c r="E1571" s="295">
        <v>3.0000000000000001E-3</v>
      </c>
      <c r="F1571" s="295" t="s">
        <v>467</v>
      </c>
      <c r="G1571" s="295">
        <v>3.0000000000000001E-3</v>
      </c>
      <c r="H1571" s="284">
        <v>0.625</v>
      </c>
      <c r="I1571" s="964"/>
      <c r="J1571" s="964"/>
      <c r="K1571" s="965"/>
      <c r="L1571" s="621"/>
      <c r="M1571" s="382"/>
      <c r="N1571" s="243"/>
      <c r="O1571" s="254"/>
      <c r="P1571" s="255"/>
      <c r="Q1571" s="254"/>
      <c r="R1571" s="254"/>
      <c r="S1571" s="254"/>
      <c r="T1571" s="254"/>
      <c r="U1571" s="254"/>
      <c r="V1571" s="254"/>
      <c r="W1571" s="254"/>
      <c r="X1571" s="254"/>
      <c r="Y1571" s="255"/>
      <c r="Z1571" s="255"/>
    </row>
    <row r="1572" spans="3:26" ht="19" x14ac:dyDescent="0.2">
      <c r="C1572" s="243"/>
      <c r="D1572" s="592">
        <v>45596</v>
      </c>
      <c r="E1572" s="295">
        <v>3.0000000000000001E-3</v>
      </c>
      <c r="F1572" s="295" t="s">
        <v>467</v>
      </c>
      <c r="G1572" s="295">
        <v>2E-3</v>
      </c>
      <c r="H1572" s="284">
        <v>0.52083333333333337</v>
      </c>
      <c r="I1572" s="964"/>
      <c r="J1572" s="964"/>
      <c r="K1572" s="965"/>
      <c r="L1572" s="621"/>
      <c r="M1572" s="383"/>
      <c r="N1572" s="243"/>
      <c r="O1572" s="246" t="s">
        <v>813</v>
      </c>
      <c r="P1572" s="247">
        <v>0.1</v>
      </c>
      <c r="Q1572" s="285">
        <v>3.2883333333333334E-2</v>
      </c>
      <c r="R1572" s="286">
        <v>1.7000000000000001E-2</v>
      </c>
      <c r="S1572" s="250">
        <v>1</v>
      </c>
      <c r="T1572" s="256">
        <v>6.6324999999999995E-2</v>
      </c>
      <c r="U1572" s="287">
        <v>-15.624526548675018</v>
      </c>
      <c r="V1572" s="288">
        <v>60.5</v>
      </c>
      <c r="W1572" s="250">
        <v>2</v>
      </c>
      <c r="X1572" s="252">
        <v>31.249053097350036</v>
      </c>
      <c r="Y1572" s="289"/>
      <c r="Z1572" s="289"/>
    </row>
    <row r="1573" spans="3:26" ht="19" x14ac:dyDescent="0.2">
      <c r="C1573" s="243"/>
      <c r="D1573" s="592">
        <v>45562</v>
      </c>
      <c r="E1573" s="295">
        <v>1E-3</v>
      </c>
      <c r="F1573" s="295" t="s">
        <v>460</v>
      </c>
      <c r="G1573" s="295">
        <v>2E-3</v>
      </c>
      <c r="H1573" s="284">
        <v>0.52083333333333337</v>
      </c>
      <c r="I1573" s="964"/>
      <c r="J1573" s="964"/>
      <c r="K1573" s="965"/>
      <c r="L1573" s="621"/>
      <c r="M1573" s="375"/>
      <c r="N1573" s="243"/>
      <c r="O1573" s="246"/>
      <c r="P1573" s="247"/>
      <c r="Q1573" s="285"/>
      <c r="R1573" s="286"/>
      <c r="S1573" s="250"/>
      <c r="T1573" s="256"/>
      <c r="U1573" s="287"/>
      <c r="V1573" s="288"/>
      <c r="W1573" s="250"/>
      <c r="X1573" s="252"/>
      <c r="Y1573" s="289"/>
      <c r="Z1573" s="289"/>
    </row>
    <row r="1574" spans="3:26" ht="19" x14ac:dyDescent="0.2">
      <c r="C1574" s="243"/>
      <c r="D1574" s="592">
        <v>45534</v>
      </c>
      <c r="E1574" s="295">
        <v>2E-3</v>
      </c>
      <c r="F1574" s="295" t="s">
        <v>460</v>
      </c>
      <c r="G1574" s="295">
        <v>2E-3</v>
      </c>
      <c r="H1574" s="284">
        <v>0.52083333333333337</v>
      </c>
      <c r="I1574" s="964"/>
      <c r="J1574" s="964"/>
      <c r="K1574" s="965"/>
      <c r="L1574" s="621"/>
      <c r="M1574" s="375"/>
      <c r="N1574" s="243"/>
      <c r="O1574" s="246"/>
      <c r="P1574" s="290"/>
      <c r="Q1574" s="285"/>
      <c r="R1574" s="286"/>
      <c r="S1574" s="250"/>
      <c r="T1574" s="290"/>
      <c r="U1574" s="287"/>
      <c r="V1574" s="288"/>
      <c r="W1574" s="250"/>
      <c r="X1574" s="252"/>
      <c r="Y1574" s="289"/>
      <c r="Z1574" s="289"/>
    </row>
    <row r="1575" spans="3:26" ht="19" x14ac:dyDescent="0.2">
      <c r="C1575" s="243"/>
      <c r="D1575" s="592">
        <v>45499</v>
      </c>
      <c r="E1575" s="295">
        <v>2E-3</v>
      </c>
      <c r="F1575" s="295" t="s">
        <v>460</v>
      </c>
      <c r="G1575" s="295">
        <v>1E-3</v>
      </c>
      <c r="H1575" s="284">
        <v>0.52083333333333337</v>
      </c>
      <c r="I1575" s="964"/>
      <c r="J1575" s="964"/>
      <c r="K1575" s="965"/>
      <c r="L1575" s="621"/>
      <c r="M1575" s="375"/>
      <c r="N1575" s="243"/>
      <c r="O1575" s="291"/>
      <c r="P1575" s="291"/>
      <c r="Q1575" s="291"/>
      <c r="R1575" s="291"/>
      <c r="S1575" s="291"/>
      <c r="T1575" s="291"/>
      <c r="U1575" s="291"/>
      <c r="V1575" s="291"/>
      <c r="W1575" s="291"/>
      <c r="X1575" s="291"/>
      <c r="Y1575" s="291"/>
      <c r="Z1575" s="291"/>
    </row>
    <row r="1576" spans="3:26" ht="20" thickBot="1" x14ac:dyDescent="0.25">
      <c r="C1576" s="243"/>
      <c r="D1576" s="608">
        <v>45471</v>
      </c>
      <c r="E1576" s="356">
        <v>1E-3</v>
      </c>
      <c r="F1576" s="356" t="s">
        <v>462</v>
      </c>
      <c r="G1576" s="356">
        <v>3.0000000000000001E-3</v>
      </c>
      <c r="H1576" s="284">
        <v>0.52083333333333337</v>
      </c>
      <c r="I1576" s="966"/>
      <c r="J1576" s="966"/>
      <c r="K1576" s="967"/>
      <c r="L1576" s="622"/>
      <c r="M1576" s="384"/>
      <c r="N1576" s="243"/>
      <c r="O1576" s="291"/>
      <c r="P1576" s="291"/>
      <c r="Q1576" s="291"/>
      <c r="R1576" s="291"/>
      <c r="S1576" s="291"/>
      <c r="T1576" s="291"/>
      <c r="U1576" s="291"/>
      <c r="V1576" s="291"/>
      <c r="W1576" s="291"/>
      <c r="X1576" s="291"/>
      <c r="Y1576" s="291"/>
      <c r="Z1576" s="291"/>
    </row>
    <row r="1577" spans="3:26" ht="20" thickBot="1" x14ac:dyDescent="0.25">
      <c r="C1577" s="243"/>
      <c r="D1577" s="576" t="s">
        <v>30</v>
      </c>
      <c r="E1577" s="874" t="s">
        <v>1282</v>
      </c>
      <c r="F1577" s="875"/>
      <c r="G1577" s="876"/>
      <c r="H1577" s="242" t="s">
        <v>790</v>
      </c>
      <c r="I1577" s="977" t="s">
        <v>633</v>
      </c>
      <c r="J1577" s="977"/>
      <c r="K1577" s="978"/>
      <c r="L1577" s="616" t="s">
        <v>430</v>
      </c>
      <c r="M1577" s="372" t="s">
        <v>431</v>
      </c>
      <c r="N1577" s="243"/>
      <c r="O1577" s="291"/>
      <c r="P1577" s="291"/>
      <c r="Q1577" s="291"/>
      <c r="R1577" s="291"/>
      <c r="S1577" s="291"/>
      <c r="T1577" s="291"/>
      <c r="U1577" s="291"/>
      <c r="V1577" s="291"/>
      <c r="W1577" s="291"/>
      <c r="X1577" s="291"/>
      <c r="Y1577" s="291"/>
      <c r="Z1577" s="291"/>
    </row>
    <row r="1578" spans="3:26" ht="19" x14ac:dyDescent="0.2">
      <c r="C1578" s="243"/>
      <c r="D1578" s="588" t="s">
        <v>432</v>
      </c>
      <c r="E1578" s="853"/>
      <c r="F1578" s="854"/>
      <c r="G1578" s="855"/>
      <c r="H1578" s="245" t="s">
        <v>794</v>
      </c>
      <c r="I1578" s="962" t="s">
        <v>1283</v>
      </c>
      <c r="J1578" s="962"/>
      <c r="K1578" s="963"/>
      <c r="L1578" s="617"/>
      <c r="M1578" s="374" t="s">
        <v>1282</v>
      </c>
      <c r="N1578" s="243"/>
      <c r="O1578" s="291"/>
      <c r="P1578" s="291"/>
      <c r="Q1578" s="291"/>
      <c r="R1578" s="291"/>
      <c r="S1578" s="291"/>
      <c r="T1578" s="291"/>
      <c r="U1578" s="291"/>
      <c r="V1578" s="291"/>
      <c r="W1578" s="291"/>
      <c r="X1578" s="291"/>
      <c r="Y1578" s="291"/>
      <c r="Z1578" s="291"/>
    </row>
    <row r="1579" spans="3:26" ht="19" x14ac:dyDescent="0.2">
      <c r="C1579" s="243"/>
      <c r="D1579" s="589" t="s">
        <v>433</v>
      </c>
      <c r="E1579" s="868"/>
      <c r="F1579" s="869"/>
      <c r="G1579" s="870"/>
      <c r="H1579" s="245" t="s">
        <v>795</v>
      </c>
      <c r="I1579" s="964"/>
      <c r="J1579" s="964"/>
      <c r="K1579" s="965"/>
      <c r="L1579" s="617"/>
      <c r="M1579" s="375"/>
      <c r="N1579" s="243"/>
      <c r="O1579" s="291"/>
      <c r="P1579" s="291"/>
      <c r="Q1579" s="291"/>
      <c r="R1579" s="291"/>
      <c r="S1579" s="291"/>
      <c r="T1579" s="291"/>
      <c r="U1579" s="291"/>
      <c r="V1579" s="291"/>
      <c r="W1579" s="291"/>
      <c r="X1579" s="291"/>
      <c r="Y1579" s="291"/>
      <c r="Z1579" s="291"/>
    </row>
    <row r="1580" spans="3:26" ht="19" x14ac:dyDescent="0.2">
      <c r="C1580" s="243"/>
      <c r="D1580" s="589" t="s">
        <v>434</v>
      </c>
      <c r="E1580" s="856"/>
      <c r="F1580" s="857"/>
      <c r="G1580" s="858"/>
      <c r="H1580" s="245"/>
      <c r="I1580" s="964"/>
      <c r="J1580" s="964"/>
      <c r="K1580" s="965"/>
      <c r="L1580" s="617"/>
      <c r="M1580" s="375"/>
      <c r="N1580" s="243"/>
      <c r="O1580" s="291"/>
      <c r="P1580" s="291"/>
      <c r="Q1580" s="291"/>
      <c r="R1580" s="291"/>
      <c r="S1580" s="291"/>
      <c r="T1580" s="291"/>
      <c r="U1580" s="291"/>
      <c r="V1580" s="291"/>
      <c r="W1580" s="291"/>
      <c r="X1580" s="291"/>
      <c r="Y1580" s="291"/>
      <c r="Z1580" s="291"/>
    </row>
    <row r="1581" spans="3:26" ht="20" thickBot="1" x14ac:dyDescent="0.25">
      <c r="C1581" s="243"/>
      <c r="D1581" s="590" t="s">
        <v>435</v>
      </c>
      <c r="E1581" s="871">
        <v>0.5625</v>
      </c>
      <c r="F1581" s="872"/>
      <c r="G1581" s="873"/>
      <c r="H1581" s="266"/>
      <c r="I1581" s="964"/>
      <c r="J1581" s="964"/>
      <c r="K1581" s="965"/>
      <c r="L1581" s="618">
        <v>0.79166666666666663</v>
      </c>
      <c r="M1581" s="377">
        <v>0.64583333333333326</v>
      </c>
      <c r="N1581" s="243"/>
      <c r="O1581" s="291"/>
      <c r="P1581" s="291"/>
      <c r="Q1581" s="291"/>
      <c r="R1581" s="291"/>
      <c r="S1581" s="291"/>
      <c r="T1581" s="291"/>
      <c r="U1581" s="291"/>
      <c r="V1581" s="291"/>
      <c r="W1581" s="291"/>
      <c r="X1581" s="291"/>
      <c r="Y1581" s="291"/>
      <c r="Z1581" s="291"/>
    </row>
    <row r="1582" spans="3:26" ht="20" thickBot="1" x14ac:dyDescent="0.25">
      <c r="C1582" s="243"/>
      <c r="D1582" s="591" t="s">
        <v>436</v>
      </c>
      <c r="E1582" s="293" t="s">
        <v>29</v>
      </c>
      <c r="F1582" s="293" t="s">
        <v>28</v>
      </c>
      <c r="G1582" s="294" t="s">
        <v>27</v>
      </c>
      <c r="H1582" s="280" t="s">
        <v>793</v>
      </c>
      <c r="I1582" s="964"/>
      <c r="J1582" s="964"/>
      <c r="K1582" s="965"/>
      <c r="L1582" s="619" t="s">
        <v>1246</v>
      </c>
      <c r="M1582" s="379"/>
      <c r="N1582" s="243"/>
      <c r="O1582" s="291"/>
      <c r="P1582" s="291"/>
      <c r="Q1582" s="291"/>
      <c r="R1582" s="291"/>
      <c r="S1582" s="291"/>
      <c r="T1582" s="291"/>
      <c r="U1582" s="291"/>
      <c r="V1582" s="291"/>
      <c r="W1582" s="291"/>
      <c r="X1582" s="291"/>
      <c r="Y1582" s="291"/>
      <c r="Z1582" s="291"/>
    </row>
    <row r="1583" spans="3:26" ht="19" x14ac:dyDescent="0.2">
      <c r="C1583" s="243"/>
      <c r="D1583" s="592">
        <v>45623</v>
      </c>
      <c r="E1583" s="295">
        <v>2.8000000000000001E-2</v>
      </c>
      <c r="F1583" s="295" t="s">
        <v>666</v>
      </c>
      <c r="G1583" s="295">
        <v>2.7E-2</v>
      </c>
      <c r="H1583" s="284">
        <v>0.625</v>
      </c>
      <c r="I1583" s="964"/>
      <c r="J1583" s="964"/>
      <c r="K1583" s="965"/>
      <c r="L1583" s="621"/>
      <c r="M1583" s="382"/>
      <c r="N1583" s="243"/>
      <c r="O1583" s="291"/>
      <c r="P1583" s="291"/>
      <c r="Q1583" s="291"/>
      <c r="R1583" s="291"/>
      <c r="S1583" s="291"/>
      <c r="T1583" s="291"/>
      <c r="U1583" s="291"/>
      <c r="V1583" s="291"/>
      <c r="W1583" s="291"/>
      <c r="X1583" s="291"/>
      <c r="Y1583" s="291"/>
      <c r="Z1583" s="291"/>
    </row>
    <row r="1584" spans="3:26" ht="19" x14ac:dyDescent="0.2">
      <c r="C1584" s="243"/>
      <c r="D1584" s="592">
        <v>45596</v>
      </c>
      <c r="E1584" s="295">
        <v>2.7E-2</v>
      </c>
      <c r="F1584" s="295" t="s">
        <v>493</v>
      </c>
      <c r="G1584" s="295">
        <v>2.7E-2</v>
      </c>
      <c r="H1584" s="284">
        <v>0.52083333333333337</v>
      </c>
      <c r="I1584" s="964"/>
      <c r="J1584" s="964"/>
      <c r="K1584" s="965"/>
      <c r="L1584" s="621"/>
      <c r="M1584" s="383"/>
      <c r="N1584" s="243"/>
      <c r="O1584" s="291"/>
      <c r="P1584" s="291"/>
      <c r="Q1584" s="291"/>
      <c r="R1584" s="291"/>
      <c r="S1584" s="291"/>
      <c r="T1584" s="291"/>
      <c r="U1584" s="291"/>
      <c r="V1584" s="291"/>
      <c r="W1584" s="291"/>
      <c r="X1584" s="291"/>
      <c r="Y1584" s="291"/>
      <c r="Z1584" s="291"/>
    </row>
    <row r="1585" spans="2:26" ht="19" x14ac:dyDescent="0.2">
      <c r="C1585" s="243"/>
      <c r="D1585" s="592">
        <v>45562</v>
      </c>
      <c r="E1585" s="295">
        <v>2.7E-2</v>
      </c>
      <c r="F1585" s="295" t="s">
        <v>665</v>
      </c>
      <c r="G1585" s="295">
        <v>2.5999999999999999E-2</v>
      </c>
      <c r="H1585" s="284">
        <v>0.52083333333333337</v>
      </c>
      <c r="I1585" s="964"/>
      <c r="J1585" s="964"/>
      <c r="K1585" s="965"/>
      <c r="L1585" s="621"/>
      <c r="M1585" s="375"/>
      <c r="N1585" s="243"/>
      <c r="O1585" s="291"/>
      <c r="P1585" s="291"/>
      <c r="Q1585" s="291"/>
      <c r="R1585" s="291"/>
      <c r="S1585" s="291"/>
      <c r="T1585" s="291"/>
      <c r="U1585" s="291"/>
      <c r="V1585" s="291"/>
      <c r="W1585" s="291"/>
      <c r="X1585" s="291"/>
      <c r="Y1585" s="291"/>
      <c r="Z1585" s="291"/>
    </row>
    <row r="1586" spans="2:26" ht="19" x14ac:dyDescent="0.2">
      <c r="C1586" s="243"/>
      <c r="D1586" s="592">
        <v>45534</v>
      </c>
      <c r="E1586" s="295">
        <v>2.5999999999999999E-2</v>
      </c>
      <c r="F1586" s="295" t="s">
        <v>665</v>
      </c>
      <c r="G1586" s="295">
        <v>2.5999999999999999E-2</v>
      </c>
      <c r="H1586" s="284">
        <v>0.52083333333333337</v>
      </c>
      <c r="I1586" s="964"/>
      <c r="J1586" s="964"/>
      <c r="K1586" s="965"/>
      <c r="L1586" s="621"/>
      <c r="M1586" s="375"/>
      <c r="N1586" s="243"/>
      <c r="O1586" s="291"/>
      <c r="P1586" s="291"/>
      <c r="Q1586" s="291"/>
      <c r="R1586" s="291"/>
      <c r="S1586" s="291"/>
      <c r="T1586" s="291"/>
      <c r="U1586" s="291"/>
      <c r="V1586" s="291"/>
      <c r="W1586" s="291"/>
      <c r="X1586" s="291"/>
      <c r="Y1586" s="291"/>
      <c r="Z1586" s="291"/>
    </row>
    <row r="1587" spans="2:26" ht="19" x14ac:dyDescent="0.2">
      <c r="C1587" s="243"/>
      <c r="D1587" s="592">
        <v>45499</v>
      </c>
      <c r="E1587" s="295">
        <v>2.5999999999999999E-2</v>
      </c>
      <c r="F1587" s="295" t="s">
        <v>495</v>
      </c>
      <c r="G1587" s="295">
        <v>2.5999999999999999E-2</v>
      </c>
      <c r="H1587" s="284">
        <v>0.52083333333333337</v>
      </c>
      <c r="I1587" s="964"/>
      <c r="J1587" s="964"/>
      <c r="K1587" s="965"/>
      <c r="L1587" s="621"/>
      <c r="M1587" s="375"/>
      <c r="N1587" s="243"/>
      <c r="O1587" s="291"/>
      <c r="P1587" s="291"/>
      <c r="Q1587" s="291"/>
      <c r="R1587" s="291"/>
      <c r="S1587" s="291"/>
      <c r="T1587" s="291"/>
      <c r="U1587" s="291"/>
      <c r="V1587" s="291"/>
      <c r="W1587" s="291"/>
      <c r="X1587" s="291"/>
      <c r="Y1587" s="291"/>
      <c r="Z1587" s="291"/>
    </row>
    <row r="1588" spans="2:26" ht="20" thickBot="1" x14ac:dyDescent="0.25">
      <c r="C1588" s="243"/>
      <c r="D1588" s="608">
        <v>45471</v>
      </c>
      <c r="E1588" s="356">
        <v>2.5999999999999999E-2</v>
      </c>
      <c r="F1588" s="356" t="s">
        <v>493</v>
      </c>
      <c r="G1588" s="356">
        <v>2.8000000000000001E-2</v>
      </c>
      <c r="H1588" s="284">
        <v>0.52083333333333337</v>
      </c>
      <c r="I1588" s="966"/>
      <c r="J1588" s="966"/>
      <c r="K1588" s="967"/>
      <c r="L1588" s="622"/>
      <c r="M1588" s="384"/>
      <c r="N1588" s="243"/>
      <c r="O1588" s="291"/>
      <c r="P1588" s="291"/>
      <c r="Q1588" s="291"/>
      <c r="R1588" s="291"/>
      <c r="S1588" s="291"/>
      <c r="T1588" s="291"/>
      <c r="U1588" s="291"/>
      <c r="V1588" s="291"/>
      <c r="W1588" s="291"/>
      <c r="X1588" s="291"/>
      <c r="Y1588" s="291"/>
      <c r="Z1588" s="291"/>
    </row>
    <row r="1589" spans="2:26" ht="23" thickBot="1" x14ac:dyDescent="0.25">
      <c r="B1589" t="s">
        <v>105</v>
      </c>
      <c r="C1589" s="241">
        <v>1</v>
      </c>
      <c r="D1589" s="623" t="s">
        <v>30</v>
      </c>
      <c r="E1589" s="974" t="s">
        <v>1295</v>
      </c>
      <c r="F1589" s="975"/>
      <c r="G1589" s="976"/>
      <c r="H1589" s="404" t="s">
        <v>790</v>
      </c>
      <c r="I1589" s="977" t="s">
        <v>633</v>
      </c>
      <c r="J1589" s="977"/>
      <c r="K1589" s="978"/>
      <c r="L1589" s="616" t="s">
        <v>430</v>
      </c>
      <c r="M1589" s="372" t="s">
        <v>431</v>
      </c>
      <c r="N1589" s="243" t="s">
        <v>105</v>
      </c>
      <c r="O1589" s="244" t="s">
        <v>800</v>
      </c>
      <c r="P1589" s="244" t="s">
        <v>801</v>
      </c>
      <c r="Q1589" s="244" t="s">
        <v>802</v>
      </c>
      <c r="R1589" s="244" t="s">
        <v>803</v>
      </c>
      <c r="S1589" s="244" t="s">
        <v>804</v>
      </c>
      <c r="T1589" s="244" t="s">
        <v>805</v>
      </c>
      <c r="U1589" s="244" t="s">
        <v>806</v>
      </c>
      <c r="V1589" s="244" t="s">
        <v>807</v>
      </c>
      <c r="W1589" s="244" t="s">
        <v>808</v>
      </c>
      <c r="X1589" s="244" t="s">
        <v>809</v>
      </c>
      <c r="Y1589" s="244" t="s">
        <v>75</v>
      </c>
      <c r="Z1589" s="244" t="s">
        <v>75</v>
      </c>
    </row>
    <row r="1590" spans="2:26" ht="22" x14ac:dyDescent="0.2">
      <c r="C1590" s="241"/>
      <c r="D1590" s="624" t="s">
        <v>432</v>
      </c>
      <c r="E1590" s="1000"/>
      <c r="F1590" s="1001"/>
      <c r="G1590" s="1002"/>
      <c r="H1590" s="405" t="s">
        <v>947</v>
      </c>
      <c r="I1590" s="962" t="s">
        <v>1296</v>
      </c>
      <c r="J1590" s="962"/>
      <c r="K1590" s="963"/>
      <c r="L1590" s="617"/>
      <c r="M1590" s="374" t="s">
        <v>1295</v>
      </c>
      <c r="N1590" s="243"/>
      <c r="O1590" s="246" t="s">
        <v>810</v>
      </c>
      <c r="P1590" s="247">
        <v>0.1</v>
      </c>
      <c r="Q1590" s="248">
        <v>1.7999999999999999E-2</v>
      </c>
      <c r="R1590" s="249">
        <v>1.6999999999995907E-2</v>
      </c>
      <c r="S1590" s="250"/>
      <c r="T1590" s="246">
        <v>4.3999999999995903E-2</v>
      </c>
      <c r="U1590" s="248">
        <v>-10.6</v>
      </c>
      <c r="V1590" s="247">
        <v>60.5</v>
      </c>
      <c r="W1590" s="251">
        <v>2</v>
      </c>
      <c r="X1590" s="252">
        <v>21.2</v>
      </c>
      <c r="Y1590" s="250"/>
      <c r="Z1590" s="250"/>
    </row>
    <row r="1591" spans="2:26" ht="44" x14ac:dyDescent="0.2">
      <c r="C1591" s="241"/>
      <c r="D1591" s="625" t="s">
        <v>433</v>
      </c>
      <c r="E1591" s="994">
        <v>1E-3</v>
      </c>
      <c r="F1591" s="995"/>
      <c r="G1591" s="996"/>
      <c r="H1591" s="405" t="s">
        <v>908</v>
      </c>
      <c r="I1591" s="964"/>
      <c r="J1591" s="964"/>
      <c r="K1591" s="965"/>
      <c r="L1591" s="617"/>
      <c r="M1591" s="375"/>
      <c r="N1591" s="243"/>
      <c r="O1591" s="243"/>
      <c r="P1591" s="243"/>
      <c r="Q1591" s="243"/>
      <c r="R1591" s="253"/>
      <c r="S1591" s="254"/>
      <c r="T1591" s="243"/>
      <c r="U1591" s="243"/>
      <c r="V1591" s="243"/>
      <c r="W1591" s="254"/>
      <c r="X1591" s="254"/>
      <c r="Y1591" s="255"/>
      <c r="Z1591" s="255"/>
    </row>
    <row r="1592" spans="2:26" ht="22" x14ac:dyDescent="0.2">
      <c r="C1592" s="241"/>
      <c r="D1592" s="625" t="s">
        <v>434</v>
      </c>
      <c r="E1592" s="994">
        <v>5.0000000000000001E-3</v>
      </c>
      <c r="F1592" s="995"/>
      <c r="G1592" s="996"/>
      <c r="H1592" s="405"/>
      <c r="I1592" s="964"/>
      <c r="J1592" s="964"/>
      <c r="K1592" s="965"/>
      <c r="L1592" s="617"/>
      <c r="M1592" s="375"/>
      <c r="N1592" s="243"/>
      <c r="O1592" s="256" t="s">
        <v>811</v>
      </c>
      <c r="P1592" s="257">
        <v>0.04</v>
      </c>
      <c r="Q1592" s="258">
        <v>6.1100000000000002E-2</v>
      </c>
      <c r="R1592" s="259">
        <v>2.8000000000000001E-2</v>
      </c>
      <c r="S1592" s="260">
        <v>1.5</v>
      </c>
      <c r="T1592" s="256">
        <v>0.11965000000000001</v>
      </c>
      <c r="U1592" s="261">
        <v>-17.294863636365246</v>
      </c>
      <c r="V1592" s="262">
        <v>24.2</v>
      </c>
      <c r="W1592" s="263">
        <v>7.2</v>
      </c>
      <c r="X1592" s="264">
        <v>124.52301818182977</v>
      </c>
      <c r="Y1592" s="265"/>
      <c r="Z1592" s="265"/>
    </row>
    <row r="1593" spans="2:26" ht="23" thickBot="1" x14ac:dyDescent="0.25">
      <c r="C1593" s="241"/>
      <c r="D1593" s="626" t="s">
        <v>435</v>
      </c>
      <c r="E1593" s="997">
        <v>0.29166666666666674</v>
      </c>
      <c r="F1593" s="998"/>
      <c r="G1593" s="999"/>
      <c r="H1593" s="406"/>
      <c r="I1593" s="964"/>
      <c r="J1593" s="964"/>
      <c r="K1593" s="965"/>
      <c r="L1593" s="618">
        <v>0.52083333333333337</v>
      </c>
      <c r="M1593" s="377">
        <v>0.375</v>
      </c>
      <c r="N1593" s="243"/>
      <c r="O1593" s="267" t="s">
        <v>812</v>
      </c>
      <c r="P1593" s="268">
        <v>0.04</v>
      </c>
      <c r="Q1593" s="269">
        <v>6.3200000000000006E-2</v>
      </c>
      <c r="R1593" s="270">
        <v>2.8000000000000001E-2</v>
      </c>
      <c r="S1593" s="271">
        <v>1.5</v>
      </c>
      <c r="T1593" s="272">
        <v>0.12280000000000001</v>
      </c>
      <c r="U1593" s="273">
        <v>-17.750181818183471</v>
      </c>
      <c r="V1593" s="274">
        <v>24.2</v>
      </c>
      <c r="W1593" s="275">
        <v>3.62</v>
      </c>
      <c r="X1593" s="276">
        <v>64.25565818182416</v>
      </c>
      <c r="Y1593" s="277"/>
      <c r="Z1593" s="277"/>
    </row>
    <row r="1594" spans="2:26" ht="23" thickBot="1" x14ac:dyDescent="0.25">
      <c r="C1594" s="241"/>
      <c r="D1594" s="627" t="s">
        <v>436</v>
      </c>
      <c r="E1594" s="407" t="s">
        <v>29</v>
      </c>
      <c r="F1594" s="407" t="s">
        <v>28</v>
      </c>
      <c r="G1594" s="408" t="s">
        <v>27</v>
      </c>
      <c r="H1594" s="409" t="s">
        <v>793</v>
      </c>
      <c r="I1594" s="964"/>
      <c r="J1594" s="964"/>
      <c r="K1594" s="965"/>
      <c r="L1594" s="619" t="s">
        <v>1246</v>
      </c>
      <c r="M1594" s="379"/>
      <c r="N1594" s="243"/>
      <c r="O1594" s="254"/>
      <c r="P1594" s="255"/>
      <c r="Q1594" s="254"/>
      <c r="R1594" s="254"/>
      <c r="S1594" s="254"/>
      <c r="T1594" s="254"/>
      <c r="U1594" s="281"/>
      <c r="V1594" s="282"/>
      <c r="W1594" s="254"/>
      <c r="X1594" s="281"/>
      <c r="Y1594" s="255"/>
      <c r="Z1594" s="255"/>
    </row>
    <row r="1595" spans="2:26" ht="22" x14ac:dyDescent="0.2">
      <c r="C1595" s="241"/>
      <c r="D1595" s="628">
        <v>45611</v>
      </c>
      <c r="E1595" s="410">
        <v>1E-3</v>
      </c>
      <c r="F1595" s="410" t="s">
        <v>460</v>
      </c>
      <c r="G1595" s="410">
        <v>5.0000000000000001E-3</v>
      </c>
      <c r="H1595" s="411">
        <v>0.29166666666666674</v>
      </c>
      <c r="I1595" s="964"/>
      <c r="J1595" s="964"/>
      <c r="K1595" s="965"/>
      <c r="L1595" s="621"/>
      <c r="M1595" s="382"/>
      <c r="N1595" s="243"/>
      <c r="O1595" s="254"/>
      <c r="P1595" s="255"/>
      <c r="Q1595" s="254"/>
      <c r="R1595" s="254"/>
      <c r="S1595" s="254"/>
      <c r="T1595" s="254"/>
      <c r="U1595" s="254"/>
      <c r="V1595" s="254"/>
      <c r="W1595" s="254"/>
      <c r="X1595" s="254"/>
      <c r="Y1595" s="255"/>
      <c r="Z1595" s="255"/>
    </row>
    <row r="1596" spans="2:26" ht="22" x14ac:dyDescent="0.2">
      <c r="C1596" s="241"/>
      <c r="D1596" s="628">
        <v>45565</v>
      </c>
      <c r="E1596" s="410">
        <v>5.0000000000000001E-3</v>
      </c>
      <c r="F1596" s="410" t="s">
        <v>449</v>
      </c>
      <c r="G1596" s="410">
        <v>7.0000000000000001E-3</v>
      </c>
      <c r="H1596" s="411">
        <v>0.25</v>
      </c>
      <c r="I1596" s="964"/>
      <c r="J1596" s="964"/>
      <c r="K1596" s="965"/>
      <c r="L1596" s="621"/>
      <c r="M1596" s="383"/>
      <c r="N1596" s="243"/>
      <c r="O1596" s="246" t="s">
        <v>813</v>
      </c>
      <c r="P1596" s="247">
        <v>0.04</v>
      </c>
      <c r="Q1596" s="285">
        <v>6.2150000000000004E-2</v>
      </c>
      <c r="R1596" s="286">
        <v>2.8000000000000001E-2</v>
      </c>
      <c r="S1596" s="250">
        <v>1.5</v>
      </c>
      <c r="T1596" s="256">
        <v>0.121225</v>
      </c>
      <c r="U1596" s="287">
        <v>-17.522522727274357</v>
      </c>
      <c r="V1596" s="288">
        <v>24.2</v>
      </c>
      <c r="W1596" s="250">
        <v>2</v>
      </c>
      <c r="X1596" s="252">
        <v>35.045045454548713</v>
      </c>
      <c r="Y1596" s="289"/>
      <c r="Z1596" s="289"/>
    </row>
    <row r="1597" spans="2:26" ht="22" x14ac:dyDescent="0.2">
      <c r="C1597" s="241"/>
      <c r="D1597" s="628">
        <v>45519</v>
      </c>
      <c r="E1597" s="410">
        <v>6.0000000000000001E-3</v>
      </c>
      <c r="F1597" s="410" t="s">
        <v>449</v>
      </c>
      <c r="G1597" s="410">
        <v>7.0000000000000001E-3</v>
      </c>
      <c r="H1597" s="411">
        <v>0.25</v>
      </c>
      <c r="I1597" s="964"/>
      <c r="J1597" s="964"/>
      <c r="K1597" s="965"/>
      <c r="L1597" s="621"/>
      <c r="M1597" s="375"/>
      <c r="N1597" s="243"/>
      <c r="O1597" s="246" t="s">
        <v>813</v>
      </c>
      <c r="P1597" s="247">
        <v>-0.04</v>
      </c>
      <c r="Q1597" s="285">
        <v>6.2150000000000004E-2</v>
      </c>
      <c r="R1597" s="286">
        <v>2.8000000000000001E-2</v>
      </c>
      <c r="S1597" s="250">
        <v>-1.5</v>
      </c>
      <c r="T1597" s="256">
        <v>0.121225</v>
      </c>
      <c r="U1597" s="287">
        <v>-17.522522727274357</v>
      </c>
      <c r="V1597" s="288">
        <v>-24.2</v>
      </c>
      <c r="W1597" s="250">
        <v>2</v>
      </c>
      <c r="X1597" s="252">
        <v>35.045045454548713</v>
      </c>
      <c r="Y1597" s="289"/>
      <c r="Z1597" s="289"/>
    </row>
    <row r="1598" spans="2:26" ht="22" x14ac:dyDescent="0.2">
      <c r="C1598" s="241"/>
      <c r="D1598" s="628">
        <v>45471</v>
      </c>
      <c r="E1598" s="410">
        <v>7.0000000000000001E-3</v>
      </c>
      <c r="F1598" s="410" t="s">
        <v>449</v>
      </c>
      <c r="G1598" s="410">
        <v>-3.0000000000000001E-3</v>
      </c>
      <c r="H1598" s="411">
        <v>0.25</v>
      </c>
      <c r="I1598" s="964"/>
      <c r="J1598" s="964"/>
      <c r="K1598" s="965"/>
      <c r="L1598" s="621"/>
      <c r="M1598" s="375"/>
      <c r="N1598" s="243"/>
      <c r="O1598" s="246"/>
      <c r="P1598" s="290"/>
      <c r="Q1598" s="285"/>
      <c r="R1598" s="286"/>
      <c r="S1598" s="250"/>
      <c r="T1598" s="290"/>
      <c r="U1598" s="287"/>
      <c r="V1598" s="288"/>
      <c r="W1598" s="250"/>
      <c r="X1598" s="252"/>
      <c r="Y1598" s="289"/>
      <c r="Z1598" s="289"/>
    </row>
    <row r="1599" spans="2:26" ht="22" x14ac:dyDescent="0.2">
      <c r="C1599" s="241"/>
      <c r="D1599" s="628">
        <v>45422</v>
      </c>
      <c r="E1599" s="410">
        <v>6.0000000000000001E-3</v>
      </c>
      <c r="F1599" s="410" t="s">
        <v>452</v>
      </c>
      <c r="G1599" s="410">
        <v>-3.0000000000000001E-3</v>
      </c>
      <c r="H1599" s="411">
        <v>0.25</v>
      </c>
      <c r="I1599" s="964"/>
      <c r="J1599" s="964"/>
      <c r="K1599" s="965"/>
      <c r="L1599" s="621"/>
      <c r="M1599" s="375"/>
      <c r="N1599" s="243"/>
      <c r="O1599" s="291"/>
      <c r="P1599" s="291"/>
      <c r="Q1599" s="291"/>
      <c r="R1599" s="291"/>
      <c r="S1599" s="291"/>
      <c r="T1599" s="291"/>
      <c r="U1599" s="291"/>
      <c r="V1599" s="291"/>
      <c r="W1599" s="291"/>
      <c r="X1599" s="291"/>
      <c r="Y1599" s="291"/>
      <c r="Z1599" s="291"/>
    </row>
    <row r="1600" spans="2:26" ht="23" thickBot="1" x14ac:dyDescent="0.25">
      <c r="C1600" s="241"/>
      <c r="D1600" s="628">
        <v>45379</v>
      </c>
      <c r="E1600" s="410">
        <v>-3.0000000000000001E-3</v>
      </c>
      <c r="F1600" s="410" t="s">
        <v>454</v>
      </c>
      <c r="G1600" s="410">
        <v>-1E-3</v>
      </c>
      <c r="H1600" s="411">
        <v>0.29166666666666674</v>
      </c>
      <c r="I1600" s="966"/>
      <c r="J1600" s="966"/>
      <c r="K1600" s="967"/>
      <c r="L1600" s="621"/>
      <c r="M1600" s="384"/>
      <c r="N1600" s="243"/>
      <c r="O1600" s="291"/>
      <c r="P1600" s="291"/>
      <c r="Q1600" s="291"/>
      <c r="R1600" s="291"/>
      <c r="S1600" s="291"/>
      <c r="T1600" s="291"/>
      <c r="U1600" s="291"/>
      <c r="V1600" s="291"/>
      <c r="W1600" s="291"/>
      <c r="X1600" s="291"/>
      <c r="Y1600" s="291"/>
      <c r="Z1600" s="291"/>
    </row>
    <row r="1601" spans="3:26" ht="23" thickBot="1" x14ac:dyDescent="0.25">
      <c r="C1601" s="241">
        <v>1</v>
      </c>
      <c r="D1601" s="623" t="s">
        <v>30</v>
      </c>
      <c r="E1601" s="974" t="s">
        <v>1297</v>
      </c>
      <c r="F1601" s="975"/>
      <c r="G1601" s="976"/>
      <c r="H1601" s="404" t="s">
        <v>790</v>
      </c>
      <c r="I1601" s="977" t="s">
        <v>633</v>
      </c>
      <c r="J1601" s="977"/>
      <c r="K1601" s="978"/>
      <c r="L1601" s="616" t="s">
        <v>430</v>
      </c>
      <c r="M1601" s="372" t="s">
        <v>431</v>
      </c>
      <c r="N1601" s="243" t="s">
        <v>105</v>
      </c>
      <c r="O1601" s="244" t="s">
        <v>800</v>
      </c>
      <c r="P1601" s="244" t="s">
        <v>801</v>
      </c>
      <c r="Q1601" s="244" t="s">
        <v>802</v>
      </c>
      <c r="R1601" s="244" t="s">
        <v>803</v>
      </c>
      <c r="S1601" s="244" t="s">
        <v>804</v>
      </c>
      <c r="T1601" s="244" t="s">
        <v>805</v>
      </c>
      <c r="U1601" s="244" t="s">
        <v>806</v>
      </c>
      <c r="V1601" s="244" t="s">
        <v>807</v>
      </c>
      <c r="W1601" s="244" t="s">
        <v>808</v>
      </c>
      <c r="X1601" s="244" t="s">
        <v>809</v>
      </c>
      <c r="Y1601" s="244" t="s">
        <v>75</v>
      </c>
      <c r="Z1601" s="244" t="s">
        <v>75</v>
      </c>
    </row>
    <row r="1602" spans="3:26" ht="22" x14ac:dyDescent="0.2">
      <c r="C1602" s="241"/>
      <c r="D1602" s="624" t="s">
        <v>432</v>
      </c>
      <c r="E1602" s="1000"/>
      <c r="F1602" s="1001"/>
      <c r="G1602" s="1002"/>
      <c r="H1602" s="405" t="s">
        <v>947</v>
      </c>
      <c r="I1602" s="962" t="s">
        <v>1296</v>
      </c>
      <c r="J1602" s="962"/>
      <c r="K1602" s="963"/>
      <c r="L1602" s="617"/>
      <c r="M1602" s="374" t="s">
        <v>1297</v>
      </c>
      <c r="N1602" s="243"/>
      <c r="O1602" s="246" t="s">
        <v>810</v>
      </c>
      <c r="P1602" s="247">
        <v>0.1</v>
      </c>
      <c r="Q1602" s="248">
        <v>1.4E-2</v>
      </c>
      <c r="R1602" s="249">
        <v>2.2999999999996135E-2</v>
      </c>
      <c r="S1602" s="250"/>
      <c r="T1602" s="246">
        <v>4.3999999999996139E-2</v>
      </c>
      <c r="U1602" s="248">
        <v>-10.93</v>
      </c>
      <c r="V1602" s="247">
        <v>60.5</v>
      </c>
      <c r="W1602" s="251">
        <v>2</v>
      </c>
      <c r="X1602" s="252">
        <v>21.86</v>
      </c>
      <c r="Y1602" s="250"/>
      <c r="Z1602" s="250"/>
    </row>
    <row r="1603" spans="3:26" ht="44" x14ac:dyDescent="0.2">
      <c r="C1603" s="241"/>
      <c r="D1603" s="625" t="s">
        <v>433</v>
      </c>
      <c r="E1603" s="994">
        <v>0.01</v>
      </c>
      <c r="F1603" s="995"/>
      <c r="G1603" s="996"/>
      <c r="H1603" s="405" t="s">
        <v>908</v>
      </c>
      <c r="I1603" s="964"/>
      <c r="J1603" s="964"/>
      <c r="K1603" s="965"/>
      <c r="L1603" s="617"/>
      <c r="M1603" s="375"/>
      <c r="N1603" s="243"/>
      <c r="O1603" s="243"/>
      <c r="P1603" s="243"/>
      <c r="Q1603" s="243"/>
      <c r="R1603" s="253"/>
      <c r="S1603" s="254"/>
      <c r="T1603" s="243"/>
      <c r="U1603" s="243"/>
      <c r="V1603" s="243"/>
      <c r="W1603" s="254"/>
      <c r="X1603" s="254"/>
      <c r="Y1603" s="255"/>
      <c r="Z1603" s="255"/>
    </row>
    <row r="1604" spans="3:26" ht="22" x14ac:dyDescent="0.2">
      <c r="C1604" s="241"/>
      <c r="D1604" s="625" t="s">
        <v>434</v>
      </c>
      <c r="E1604" s="994">
        <v>7.0000000000000001E-3</v>
      </c>
      <c r="F1604" s="995"/>
      <c r="G1604" s="996"/>
      <c r="H1604" s="405"/>
      <c r="I1604" s="964"/>
      <c r="J1604" s="964"/>
      <c r="K1604" s="965"/>
      <c r="L1604" s="617"/>
      <c r="M1604" s="375"/>
      <c r="N1604" s="243"/>
      <c r="O1604" s="256" t="s">
        <v>811</v>
      </c>
      <c r="P1604" s="257">
        <v>0.1</v>
      </c>
      <c r="Q1604" s="258">
        <v>6.4699999999999994E-2</v>
      </c>
      <c r="R1604" s="259">
        <v>5.0999999999999997E-2</v>
      </c>
      <c r="S1604" s="260">
        <v>1</v>
      </c>
      <c r="T1604" s="256">
        <v>0.14804999999999999</v>
      </c>
      <c r="U1604" s="261">
        <v>-36.77696590909413</v>
      </c>
      <c r="V1604" s="262">
        <v>60.5</v>
      </c>
      <c r="W1604" s="263">
        <v>4.26</v>
      </c>
      <c r="X1604" s="264">
        <v>156.669874772741</v>
      </c>
      <c r="Y1604" s="265"/>
      <c r="Z1604" s="265"/>
    </row>
    <row r="1605" spans="3:26" ht="23" thickBot="1" x14ac:dyDescent="0.25">
      <c r="C1605" s="241"/>
      <c r="D1605" s="626" t="s">
        <v>435</v>
      </c>
      <c r="E1605" s="997">
        <v>0.29166666666666674</v>
      </c>
      <c r="F1605" s="998"/>
      <c r="G1605" s="999"/>
      <c r="H1605" s="406"/>
      <c r="I1605" s="964"/>
      <c r="J1605" s="964"/>
      <c r="K1605" s="965"/>
      <c r="L1605" s="618">
        <v>0.52083333333333337</v>
      </c>
      <c r="M1605" s="377">
        <v>0.375</v>
      </c>
      <c r="N1605" s="243"/>
      <c r="O1605" s="267" t="s">
        <v>812</v>
      </c>
      <c r="P1605" s="268">
        <v>0.1</v>
      </c>
      <c r="Q1605" s="269">
        <v>7.2133333333333341E-2</v>
      </c>
      <c r="R1605" s="270">
        <v>5.0999999999999997E-2</v>
      </c>
      <c r="S1605" s="271">
        <v>1</v>
      </c>
      <c r="T1605" s="272">
        <v>0.15920000000000001</v>
      </c>
      <c r="U1605" s="273">
        <v>-39.546727272730742</v>
      </c>
      <c r="V1605" s="274">
        <v>60.5</v>
      </c>
      <c r="W1605" s="275">
        <v>3.07</v>
      </c>
      <c r="X1605" s="276">
        <v>121.40845272728338</v>
      </c>
      <c r="Y1605" s="277"/>
      <c r="Z1605" s="277"/>
    </row>
    <row r="1606" spans="3:26" ht="23" thickBot="1" x14ac:dyDescent="0.25">
      <c r="C1606" s="241"/>
      <c r="D1606" s="627" t="s">
        <v>436</v>
      </c>
      <c r="E1606" s="407" t="s">
        <v>29</v>
      </c>
      <c r="F1606" s="407" t="s">
        <v>28</v>
      </c>
      <c r="G1606" s="408" t="s">
        <v>27</v>
      </c>
      <c r="H1606" s="409" t="s">
        <v>793</v>
      </c>
      <c r="I1606" s="964"/>
      <c r="J1606" s="964"/>
      <c r="K1606" s="965"/>
      <c r="L1606" s="619" t="s">
        <v>1246</v>
      </c>
      <c r="M1606" s="379"/>
      <c r="N1606" s="243"/>
      <c r="O1606" s="254"/>
      <c r="P1606" s="255"/>
      <c r="Q1606" s="254"/>
      <c r="R1606" s="254"/>
      <c r="S1606" s="254"/>
      <c r="T1606" s="254"/>
      <c r="U1606" s="281"/>
      <c r="V1606" s="282"/>
      <c r="W1606" s="254"/>
      <c r="X1606" s="281"/>
      <c r="Y1606" s="255"/>
      <c r="Z1606" s="255"/>
    </row>
    <row r="1607" spans="3:26" ht="22" x14ac:dyDescent="0.2">
      <c r="C1607" s="241"/>
      <c r="D1607" s="628">
        <v>45611</v>
      </c>
      <c r="E1607" s="410">
        <v>0.01</v>
      </c>
      <c r="F1607" s="410" t="s">
        <v>462</v>
      </c>
      <c r="G1607" s="410">
        <v>7.0000000000000001E-3</v>
      </c>
      <c r="H1607" s="411">
        <v>0.29166666666666674</v>
      </c>
      <c r="I1607" s="964"/>
      <c r="J1607" s="964"/>
      <c r="K1607" s="965"/>
      <c r="L1607" s="621"/>
      <c r="M1607" s="382"/>
      <c r="N1607" s="243"/>
      <c r="O1607" s="254"/>
      <c r="P1607" s="255"/>
      <c r="Q1607" s="254"/>
      <c r="R1607" s="254"/>
      <c r="S1607" s="254"/>
      <c r="T1607" s="254"/>
      <c r="U1607" s="254"/>
      <c r="V1607" s="254"/>
      <c r="W1607" s="254"/>
      <c r="X1607" s="254"/>
      <c r="Y1607" s="255"/>
      <c r="Z1607" s="255"/>
    </row>
    <row r="1608" spans="3:26" ht="22" x14ac:dyDescent="0.2">
      <c r="C1608" s="241"/>
      <c r="D1608" s="628">
        <v>45565</v>
      </c>
      <c r="E1608" s="410">
        <v>7.0000000000000001E-3</v>
      </c>
      <c r="F1608" s="410" t="s">
        <v>459</v>
      </c>
      <c r="G1608" s="410">
        <v>3.0000000000000001E-3</v>
      </c>
      <c r="H1608" s="411">
        <v>0.25</v>
      </c>
      <c r="I1608" s="964"/>
      <c r="J1608" s="964"/>
      <c r="K1608" s="965"/>
      <c r="L1608" s="621"/>
      <c r="M1608" s="383"/>
      <c r="N1608" s="243"/>
      <c r="O1608" s="246" t="s">
        <v>813</v>
      </c>
      <c r="P1608" s="247">
        <v>0.02</v>
      </c>
      <c r="Q1608" s="285">
        <v>6.8416666666666667E-2</v>
      </c>
      <c r="R1608" s="286">
        <v>5.0999999999999997E-2</v>
      </c>
      <c r="S1608" s="250">
        <v>1.5</v>
      </c>
      <c r="T1608" s="256">
        <v>0.15362499999999998</v>
      </c>
      <c r="U1608" s="287">
        <v>-11.448553977273731</v>
      </c>
      <c r="V1608" s="288">
        <v>12.1</v>
      </c>
      <c r="W1608" s="250">
        <v>2</v>
      </c>
      <c r="X1608" s="252">
        <v>22.897107954547462</v>
      </c>
      <c r="Y1608" s="289"/>
      <c r="Z1608" s="289"/>
    </row>
    <row r="1609" spans="3:26" ht="22" x14ac:dyDescent="0.2">
      <c r="C1609" s="241"/>
      <c r="D1609" s="628">
        <v>45519</v>
      </c>
      <c r="E1609" s="410">
        <v>8.9999999999999993E-3</v>
      </c>
      <c r="F1609" s="410" t="s">
        <v>459</v>
      </c>
      <c r="G1609" s="410">
        <v>3.0000000000000001E-3</v>
      </c>
      <c r="H1609" s="411">
        <v>0.25</v>
      </c>
      <c r="I1609" s="964"/>
      <c r="J1609" s="964"/>
      <c r="K1609" s="965"/>
      <c r="L1609" s="621"/>
      <c r="M1609" s="375"/>
      <c r="N1609" s="243"/>
      <c r="O1609" s="246" t="s">
        <v>813</v>
      </c>
      <c r="P1609" s="247">
        <v>-0.02</v>
      </c>
      <c r="Q1609" s="285">
        <v>6.8416666666666667E-2</v>
      </c>
      <c r="R1609" s="286">
        <v>5.0999999999999997E-2</v>
      </c>
      <c r="S1609" s="250">
        <v>-1.5</v>
      </c>
      <c r="T1609" s="256">
        <v>0.15362499999999998</v>
      </c>
      <c r="U1609" s="287">
        <v>-11.448553977273731</v>
      </c>
      <c r="V1609" s="288">
        <v>-12.1</v>
      </c>
      <c r="W1609" s="250">
        <v>2</v>
      </c>
      <c r="X1609" s="252">
        <v>22.897107954547462</v>
      </c>
      <c r="Y1609" s="289"/>
      <c r="Z1609" s="289"/>
    </row>
    <row r="1610" spans="3:26" ht="22" x14ac:dyDescent="0.2">
      <c r="C1610" s="241"/>
      <c r="D1610" s="628">
        <v>45471</v>
      </c>
      <c r="E1610" s="410">
        <v>3.0000000000000001E-3</v>
      </c>
      <c r="F1610" s="410" t="s">
        <v>460</v>
      </c>
      <c r="G1610" s="410">
        <v>-2E-3</v>
      </c>
      <c r="H1610" s="411">
        <v>0.25</v>
      </c>
      <c r="I1610" s="964"/>
      <c r="J1610" s="964"/>
      <c r="K1610" s="965"/>
      <c r="L1610" s="621"/>
      <c r="M1610" s="375"/>
      <c r="N1610" s="243"/>
      <c r="O1610" s="246"/>
      <c r="P1610" s="290"/>
      <c r="Q1610" s="285"/>
      <c r="R1610" s="286"/>
      <c r="S1610" s="250"/>
      <c r="T1610" s="290"/>
      <c r="U1610" s="287"/>
      <c r="V1610" s="288"/>
      <c r="W1610" s="250"/>
      <c r="X1610" s="252"/>
      <c r="Y1610" s="289"/>
      <c r="Z1610" s="289"/>
    </row>
    <row r="1611" spans="3:26" ht="22" x14ac:dyDescent="0.2">
      <c r="C1611" s="241"/>
      <c r="D1611" s="628">
        <v>45422</v>
      </c>
      <c r="E1611" s="410">
        <v>2E-3</v>
      </c>
      <c r="F1611" s="410" t="s">
        <v>458</v>
      </c>
      <c r="G1611" s="410">
        <v>-2E-3</v>
      </c>
      <c r="H1611" s="411">
        <v>0.25</v>
      </c>
      <c r="I1611" s="964"/>
      <c r="J1611" s="964"/>
      <c r="K1611" s="965"/>
      <c r="L1611" s="621"/>
      <c r="M1611" s="375"/>
      <c r="N1611" s="243"/>
      <c r="O1611" s="291"/>
      <c r="P1611" s="291"/>
      <c r="Q1611" s="291"/>
      <c r="R1611" s="291"/>
      <c r="S1611" s="291"/>
      <c r="T1611" s="291"/>
      <c r="U1611" s="291"/>
      <c r="V1611" s="291"/>
      <c r="W1611" s="291"/>
      <c r="X1611" s="291"/>
      <c r="Y1611" s="291"/>
      <c r="Z1611" s="291"/>
    </row>
    <row r="1612" spans="3:26" ht="23" thickBot="1" x14ac:dyDescent="0.25">
      <c r="C1612" s="241"/>
      <c r="D1612" s="628">
        <v>45379</v>
      </c>
      <c r="E1612" s="410">
        <v>-2E-3</v>
      </c>
      <c r="F1612" s="410" t="s">
        <v>461</v>
      </c>
      <c r="G1612" s="410">
        <v>3.0000000000000001E-3</v>
      </c>
      <c r="H1612" s="411">
        <v>0.29166666666666674</v>
      </c>
      <c r="I1612" s="966"/>
      <c r="J1612" s="966"/>
      <c r="K1612" s="967"/>
      <c r="L1612" s="621"/>
      <c r="M1612" s="384"/>
      <c r="N1612" s="243"/>
      <c r="O1612" s="291"/>
      <c r="P1612" s="291"/>
      <c r="Q1612" s="291"/>
      <c r="R1612" s="291"/>
      <c r="S1612" s="291"/>
      <c r="T1612" s="291"/>
      <c r="U1612" s="291"/>
      <c r="V1612" s="291"/>
      <c r="W1612" s="291"/>
      <c r="X1612" s="291"/>
      <c r="Y1612" s="291"/>
      <c r="Z1612" s="291"/>
    </row>
    <row r="1613" spans="3:26" ht="23" thickBot="1" x14ac:dyDescent="0.25">
      <c r="C1613" s="241"/>
      <c r="D1613" s="629" t="s">
        <v>30</v>
      </c>
      <c r="E1613" s="1003" t="s">
        <v>1298</v>
      </c>
      <c r="F1613" s="1004"/>
      <c r="G1613" s="1005"/>
      <c r="H1613" s="404" t="s">
        <v>790</v>
      </c>
      <c r="I1613" s="977" t="s">
        <v>633</v>
      </c>
      <c r="J1613" s="977"/>
      <c r="K1613" s="978"/>
      <c r="L1613" s="616" t="s">
        <v>430</v>
      </c>
      <c r="M1613" s="372" t="s">
        <v>431</v>
      </c>
      <c r="N1613" s="243" t="s">
        <v>105</v>
      </c>
      <c r="O1613" s="244" t="s">
        <v>800</v>
      </c>
      <c r="P1613" s="244" t="s">
        <v>801</v>
      </c>
      <c r="Q1613" s="244" t="s">
        <v>802</v>
      </c>
      <c r="R1613" s="244" t="s">
        <v>803</v>
      </c>
      <c r="S1613" s="244" t="s">
        <v>804</v>
      </c>
      <c r="T1613" s="244" t="s">
        <v>805</v>
      </c>
      <c r="U1613" s="244" t="s">
        <v>806</v>
      </c>
      <c r="V1613" s="244" t="s">
        <v>807</v>
      </c>
      <c r="W1613" s="244" t="s">
        <v>808</v>
      </c>
      <c r="X1613" s="244" t="s">
        <v>809</v>
      </c>
      <c r="Y1613" s="244" t="s">
        <v>75</v>
      </c>
      <c r="Z1613" s="244" t="s">
        <v>75</v>
      </c>
    </row>
    <row r="1614" spans="3:26" ht="22" x14ac:dyDescent="0.2">
      <c r="C1614" s="241"/>
      <c r="D1614" s="624" t="s">
        <v>432</v>
      </c>
      <c r="E1614" s="1000"/>
      <c r="F1614" s="1001"/>
      <c r="G1614" s="1002"/>
      <c r="H1614" s="405" t="s">
        <v>794</v>
      </c>
      <c r="I1614" s="962" t="s">
        <v>1299</v>
      </c>
      <c r="J1614" s="962"/>
      <c r="K1614" s="963"/>
      <c r="L1614" s="617"/>
      <c r="M1614" s="374" t="s">
        <v>1298</v>
      </c>
      <c r="N1614" s="243"/>
      <c r="O1614" s="246" t="s">
        <v>810</v>
      </c>
      <c r="P1614" s="247">
        <v>0.1</v>
      </c>
      <c r="Q1614" s="249">
        <v>2.2999999999996135E-2</v>
      </c>
      <c r="R1614" s="249">
        <v>1.6000000000005343E-2</v>
      </c>
      <c r="S1614" s="250"/>
      <c r="T1614" s="246">
        <v>5.0499999999999545E-2</v>
      </c>
      <c r="U1614" s="248">
        <v>-13.1</v>
      </c>
      <c r="V1614" s="247">
        <v>60.5</v>
      </c>
      <c r="W1614" s="251">
        <v>2</v>
      </c>
      <c r="X1614" s="252">
        <v>26.2</v>
      </c>
      <c r="Y1614" s="250"/>
      <c r="Z1614" s="250"/>
    </row>
    <row r="1615" spans="3:26" ht="22" x14ac:dyDescent="0.2">
      <c r="C1615" s="241"/>
      <c r="D1615" s="625" t="s">
        <v>433</v>
      </c>
      <c r="E1615" s="1006">
        <v>113</v>
      </c>
      <c r="F1615" s="1007"/>
      <c r="G1615" s="1008"/>
      <c r="H1615" s="405" t="s">
        <v>795</v>
      </c>
      <c r="I1615" s="964"/>
      <c r="J1615" s="964"/>
      <c r="K1615" s="965"/>
      <c r="L1615" s="617"/>
      <c r="M1615" s="375"/>
      <c r="N1615" s="243"/>
      <c r="O1615" s="243"/>
      <c r="P1615" s="243"/>
      <c r="Q1615" s="243"/>
      <c r="R1615" s="253"/>
      <c r="S1615" s="254"/>
      <c r="T1615" s="243"/>
      <c r="U1615" s="243"/>
      <c r="V1615" s="243"/>
      <c r="W1615" s="254"/>
      <c r="X1615" s="254"/>
      <c r="Y1615" s="255"/>
      <c r="Z1615" s="255"/>
    </row>
    <row r="1616" spans="3:26" ht="22" x14ac:dyDescent="0.2">
      <c r="C1616" s="241"/>
      <c r="D1616" s="625" t="s">
        <v>434</v>
      </c>
      <c r="E1616" s="1006">
        <v>111.7</v>
      </c>
      <c r="F1616" s="1007"/>
      <c r="G1616" s="1008"/>
      <c r="H1616" s="405"/>
      <c r="I1616" s="964"/>
      <c r="J1616" s="964"/>
      <c r="K1616" s="965"/>
      <c r="L1616" s="617"/>
      <c r="M1616" s="375"/>
      <c r="N1616" s="243"/>
      <c r="O1616" s="256" t="s">
        <v>811</v>
      </c>
      <c r="P1616" s="257">
        <v>0.1</v>
      </c>
      <c r="Q1616" s="258">
        <v>7.5399999999999995E-2</v>
      </c>
      <c r="R1616" s="259">
        <v>2.1999999999999999E-2</v>
      </c>
      <c r="S1616" s="260">
        <v>1.5</v>
      </c>
      <c r="T1616" s="256">
        <v>0.1351</v>
      </c>
      <c r="U1616" s="261">
        <v>-35.045742574257744</v>
      </c>
      <c r="V1616" s="262">
        <v>60.5</v>
      </c>
      <c r="W1616" s="263">
        <v>4.1100000000000003</v>
      </c>
      <c r="X1616" s="264">
        <v>144.03800198019934</v>
      </c>
      <c r="Y1616" s="265"/>
      <c r="Z1616" s="265"/>
    </row>
    <row r="1617" spans="3:26" ht="23" thickBot="1" x14ac:dyDescent="0.25">
      <c r="C1617" s="241"/>
      <c r="D1617" s="626" t="s">
        <v>435</v>
      </c>
      <c r="E1617" s="997">
        <v>0.625</v>
      </c>
      <c r="F1617" s="998"/>
      <c r="G1617" s="999"/>
      <c r="H1617" s="406"/>
      <c r="I1617" s="964"/>
      <c r="J1617" s="964"/>
      <c r="K1617" s="965"/>
      <c r="L1617" s="618">
        <v>0.85416666666666663</v>
      </c>
      <c r="M1617" s="377">
        <v>0.70833333333333326</v>
      </c>
      <c r="N1617" s="243"/>
      <c r="O1617" s="267" t="s">
        <v>812</v>
      </c>
      <c r="P1617" s="268">
        <v>0.1</v>
      </c>
      <c r="Q1617" s="269">
        <v>7.5600000000000001E-2</v>
      </c>
      <c r="R1617" s="270">
        <v>2.1999999999999999E-2</v>
      </c>
      <c r="S1617" s="271">
        <v>1.5</v>
      </c>
      <c r="T1617" s="272">
        <v>0.13539999999999999</v>
      </c>
      <c r="U1617" s="273">
        <v>-52.685346534653931</v>
      </c>
      <c r="V1617" s="274">
        <v>60.5</v>
      </c>
      <c r="W1617" s="275">
        <v>3.27</v>
      </c>
      <c r="X1617" s="276">
        <v>172.28108316831836</v>
      </c>
      <c r="Y1617" s="277"/>
      <c r="Z1617" s="277"/>
    </row>
    <row r="1618" spans="3:26" ht="23" thickBot="1" x14ac:dyDescent="0.25">
      <c r="C1618" s="241"/>
      <c r="D1618" s="627" t="s">
        <v>436</v>
      </c>
      <c r="E1618" s="407" t="s">
        <v>29</v>
      </c>
      <c r="F1618" s="407" t="s">
        <v>28</v>
      </c>
      <c r="G1618" s="408" t="s">
        <v>27</v>
      </c>
      <c r="H1618" s="409" t="s">
        <v>793</v>
      </c>
      <c r="I1618" s="964"/>
      <c r="J1618" s="964"/>
      <c r="K1618" s="965"/>
      <c r="L1618" s="619" t="s">
        <v>1246</v>
      </c>
      <c r="M1618" s="379"/>
      <c r="N1618" s="243"/>
      <c r="O1618" s="254"/>
      <c r="P1618" s="255"/>
      <c r="Q1618" s="254"/>
      <c r="R1618" s="254"/>
      <c r="S1618" s="254"/>
      <c r="T1618" s="254"/>
      <c r="U1618" s="281"/>
      <c r="V1618" s="282"/>
      <c r="W1618" s="254"/>
      <c r="X1618" s="281"/>
      <c r="Y1618" s="255"/>
      <c r="Z1618" s="255"/>
    </row>
    <row r="1619" spans="3:26" ht="22" x14ac:dyDescent="0.2">
      <c r="C1619" s="241"/>
      <c r="D1619" s="628">
        <v>45622</v>
      </c>
      <c r="E1619" s="412">
        <v>111.7</v>
      </c>
      <c r="F1619" s="412" t="s">
        <v>1314</v>
      </c>
      <c r="G1619" s="412">
        <v>109.6</v>
      </c>
      <c r="H1619" s="411">
        <v>0.625</v>
      </c>
      <c r="I1619" s="964"/>
      <c r="J1619" s="964"/>
      <c r="K1619" s="965"/>
      <c r="L1619" s="621"/>
      <c r="M1619" s="382"/>
      <c r="N1619" s="243"/>
      <c r="O1619" s="254"/>
      <c r="P1619" s="255"/>
      <c r="Q1619" s="254"/>
      <c r="R1619" s="254"/>
      <c r="S1619" s="254"/>
      <c r="T1619" s="254"/>
      <c r="U1619" s="254"/>
      <c r="V1619" s="254"/>
      <c r="W1619" s="254"/>
      <c r="X1619" s="254"/>
      <c r="Y1619" s="255"/>
      <c r="Z1619" s="255"/>
    </row>
    <row r="1620" spans="3:26" ht="22" x14ac:dyDescent="0.2">
      <c r="C1620" s="241"/>
      <c r="D1620" s="628">
        <v>45594</v>
      </c>
      <c r="E1620" s="412">
        <v>108.7</v>
      </c>
      <c r="F1620" s="412" t="s">
        <v>1091</v>
      </c>
      <c r="G1620" s="412">
        <v>99.2</v>
      </c>
      <c r="H1620" s="411">
        <v>0.58333333333333337</v>
      </c>
      <c r="I1620" s="964"/>
      <c r="J1620" s="964"/>
      <c r="K1620" s="965"/>
      <c r="L1620" s="621"/>
      <c r="M1620" s="383"/>
      <c r="N1620" s="243"/>
      <c r="O1620" s="246" t="s">
        <v>813</v>
      </c>
      <c r="P1620" s="247">
        <v>0.05</v>
      </c>
      <c r="Q1620" s="285">
        <v>7.5499999999999998E-2</v>
      </c>
      <c r="R1620" s="286">
        <v>2.1999999999999999E-2</v>
      </c>
      <c r="S1620" s="250">
        <v>1.5</v>
      </c>
      <c r="T1620" s="256">
        <v>0.13524999999999998</v>
      </c>
      <c r="U1620" s="287">
        <v>-26.313490099010135</v>
      </c>
      <c r="V1620" s="288">
        <v>30.25</v>
      </c>
      <c r="W1620" s="250">
        <v>2.5</v>
      </c>
      <c r="X1620" s="252">
        <v>65.783725247525339</v>
      </c>
      <c r="Y1620" s="289"/>
      <c r="Z1620" s="289"/>
    </row>
    <row r="1621" spans="3:26" ht="22" x14ac:dyDescent="0.2">
      <c r="C1621" s="241"/>
      <c r="D1621" s="628">
        <v>45559</v>
      </c>
      <c r="E1621" s="412">
        <v>98.7</v>
      </c>
      <c r="F1621" s="412" t="s">
        <v>874</v>
      </c>
      <c r="G1621" s="412">
        <v>105.6</v>
      </c>
      <c r="H1621" s="411">
        <v>0.58333333333333337</v>
      </c>
      <c r="I1621" s="964"/>
      <c r="J1621" s="964"/>
      <c r="K1621" s="965"/>
      <c r="L1621" s="621"/>
      <c r="M1621" s="375"/>
      <c r="N1621" s="243"/>
      <c r="O1621" s="246" t="s">
        <v>813</v>
      </c>
      <c r="P1621" s="247">
        <v>-0.05</v>
      </c>
      <c r="Q1621" s="285">
        <v>7.5499999999999998E-2</v>
      </c>
      <c r="R1621" s="286">
        <v>2.1999999999999999E-2</v>
      </c>
      <c r="S1621" s="250">
        <v>-1.5</v>
      </c>
      <c r="T1621" s="256">
        <v>0.13524999999999998</v>
      </c>
      <c r="U1621" s="287">
        <v>-26.313490099010135</v>
      </c>
      <c r="V1621" s="288">
        <v>-30.25</v>
      </c>
      <c r="W1621" s="250">
        <v>2.5</v>
      </c>
      <c r="X1621" s="252">
        <v>65.783725247525339</v>
      </c>
      <c r="Y1621" s="289"/>
      <c r="Z1621" s="289"/>
    </row>
    <row r="1622" spans="3:26" ht="22" x14ac:dyDescent="0.2">
      <c r="C1622" s="241"/>
      <c r="D1622" s="628">
        <v>45531</v>
      </c>
      <c r="E1622" s="412">
        <v>103.3</v>
      </c>
      <c r="F1622" s="412" t="s">
        <v>875</v>
      </c>
      <c r="G1622" s="412">
        <v>101.9</v>
      </c>
      <c r="H1622" s="411">
        <v>0.58333333333333337</v>
      </c>
      <c r="I1622" s="964"/>
      <c r="J1622" s="964"/>
      <c r="K1622" s="965"/>
      <c r="L1622" s="621"/>
      <c r="M1622" s="375"/>
      <c r="N1622" s="243"/>
      <c r="O1622" s="246"/>
      <c r="P1622" s="290"/>
      <c r="Q1622" s="285"/>
      <c r="R1622" s="286"/>
      <c r="S1622" s="250"/>
      <c r="T1622" s="290"/>
      <c r="U1622" s="287"/>
      <c r="V1622" s="288"/>
      <c r="W1622" s="250"/>
      <c r="X1622" s="252"/>
      <c r="Y1622" s="289"/>
      <c r="Z1622" s="289"/>
    </row>
    <row r="1623" spans="3:26" ht="22" x14ac:dyDescent="0.2">
      <c r="C1623" s="241"/>
      <c r="D1623" s="628">
        <v>45503</v>
      </c>
      <c r="E1623" s="412">
        <v>100.3</v>
      </c>
      <c r="F1623" s="412" t="s">
        <v>876</v>
      </c>
      <c r="G1623" s="412">
        <v>97.8</v>
      </c>
      <c r="H1623" s="411">
        <v>0.58333333333333337</v>
      </c>
      <c r="I1623" s="964"/>
      <c r="J1623" s="964"/>
      <c r="K1623" s="965"/>
      <c r="L1623" s="621"/>
      <c r="M1623" s="375"/>
      <c r="N1623" s="243"/>
      <c r="O1623" s="291"/>
      <c r="P1623" s="291"/>
      <c r="Q1623" s="291"/>
      <c r="R1623" s="291"/>
      <c r="S1623" s="291"/>
      <c r="T1623" s="291"/>
      <c r="U1623" s="291"/>
      <c r="V1623" s="291"/>
      <c r="W1623" s="291"/>
      <c r="X1623" s="291"/>
      <c r="Y1623" s="291"/>
      <c r="Z1623" s="291"/>
    </row>
    <row r="1624" spans="3:26" ht="23" thickBot="1" x14ac:dyDescent="0.25">
      <c r="C1624" s="241"/>
      <c r="D1624" s="628">
        <v>45468</v>
      </c>
      <c r="E1624" s="412">
        <v>100.4</v>
      </c>
      <c r="F1624" s="412" t="s">
        <v>877</v>
      </c>
      <c r="G1624" s="412">
        <v>101.3</v>
      </c>
      <c r="H1624" s="411">
        <v>0.58333333333333337</v>
      </c>
      <c r="I1624" s="966"/>
      <c r="J1624" s="966"/>
      <c r="K1624" s="967"/>
      <c r="L1624" s="621"/>
      <c r="M1624" s="384"/>
      <c r="N1624" s="243"/>
      <c r="O1624" s="291"/>
      <c r="P1624" s="291"/>
      <c r="Q1624" s="291"/>
      <c r="R1624" s="291"/>
      <c r="S1624" s="291"/>
      <c r="T1624" s="291"/>
      <c r="U1624" s="291"/>
      <c r="V1624" s="291"/>
      <c r="W1624" s="291"/>
      <c r="X1624" s="291"/>
      <c r="Y1624" s="291"/>
      <c r="Z1624" s="291"/>
    </row>
    <row r="1625" spans="3:26" ht="23" thickBot="1" x14ac:dyDescent="0.25">
      <c r="C1625" s="241"/>
      <c r="D1625" s="623" t="s">
        <v>30</v>
      </c>
      <c r="E1625" s="974" t="s">
        <v>1301</v>
      </c>
      <c r="F1625" s="975"/>
      <c r="G1625" s="976"/>
      <c r="H1625" s="404" t="s">
        <v>790</v>
      </c>
      <c r="I1625" s="977" t="s">
        <v>633</v>
      </c>
      <c r="J1625" s="977"/>
      <c r="K1625" s="978"/>
      <c r="L1625" s="616" t="s">
        <v>430</v>
      </c>
      <c r="M1625" s="372" t="s">
        <v>431</v>
      </c>
      <c r="N1625" s="243" t="s">
        <v>105</v>
      </c>
      <c r="O1625" s="244" t="s">
        <v>800</v>
      </c>
      <c r="P1625" s="244" t="s">
        <v>801</v>
      </c>
      <c r="Q1625" s="244" t="s">
        <v>802</v>
      </c>
      <c r="R1625" s="244" t="s">
        <v>803</v>
      </c>
      <c r="S1625" s="244" t="s">
        <v>804</v>
      </c>
      <c r="T1625" s="244" t="s">
        <v>805</v>
      </c>
      <c r="U1625" s="244" t="s">
        <v>806</v>
      </c>
      <c r="V1625" s="244" t="s">
        <v>807</v>
      </c>
      <c r="W1625" s="244" t="s">
        <v>808</v>
      </c>
      <c r="X1625" s="244" t="s">
        <v>809</v>
      </c>
      <c r="Y1625" s="244" t="s">
        <v>75</v>
      </c>
      <c r="Z1625" s="244" t="s">
        <v>75</v>
      </c>
    </row>
    <row r="1626" spans="3:26" ht="22" x14ac:dyDescent="0.2">
      <c r="C1626" s="241"/>
      <c r="D1626" s="624" t="s">
        <v>432</v>
      </c>
      <c r="E1626" s="991"/>
      <c r="F1626" s="992"/>
      <c r="G1626" s="993"/>
      <c r="H1626" s="405" t="s">
        <v>1056</v>
      </c>
      <c r="I1626" s="962">
        <v>0</v>
      </c>
      <c r="J1626" s="962"/>
      <c r="K1626" s="963"/>
      <c r="L1626" s="617"/>
      <c r="M1626" s="374" t="s">
        <v>1301</v>
      </c>
      <c r="N1626" s="243"/>
      <c r="O1626" s="246" t="s">
        <v>810</v>
      </c>
      <c r="P1626" s="247">
        <v>0.1</v>
      </c>
      <c r="Q1626" s="248">
        <v>1.4E-2</v>
      </c>
      <c r="R1626" s="249">
        <v>2.2999999999996135E-2</v>
      </c>
      <c r="S1626" s="250"/>
      <c r="T1626" s="246">
        <v>4.3999999999996139E-2</v>
      </c>
      <c r="U1626" s="248">
        <v>-10.93</v>
      </c>
      <c r="V1626" s="247">
        <v>60.5</v>
      </c>
      <c r="W1626" s="251">
        <v>2</v>
      </c>
      <c r="X1626" s="252">
        <v>21.86</v>
      </c>
      <c r="Y1626" s="250"/>
      <c r="Z1626" s="250"/>
    </row>
    <row r="1627" spans="3:26" ht="44" x14ac:dyDescent="0.2">
      <c r="C1627" s="241"/>
      <c r="D1627" s="625" t="s">
        <v>433</v>
      </c>
      <c r="E1627" s="994">
        <v>0</v>
      </c>
      <c r="F1627" s="995"/>
      <c r="G1627" s="996"/>
      <c r="H1627" s="405" t="s">
        <v>1057</v>
      </c>
      <c r="I1627" s="964"/>
      <c r="J1627" s="964"/>
      <c r="K1627" s="965"/>
      <c r="L1627" s="617"/>
      <c r="M1627" s="375"/>
      <c r="N1627" s="243"/>
      <c r="O1627" s="243"/>
      <c r="P1627" s="243"/>
      <c r="Q1627" s="243"/>
      <c r="R1627" s="253"/>
      <c r="S1627" s="254"/>
      <c r="T1627" s="243"/>
      <c r="U1627" s="243"/>
      <c r="V1627" s="243"/>
      <c r="W1627" s="254"/>
      <c r="X1627" s="254"/>
      <c r="Y1627" s="255"/>
      <c r="Z1627" s="255"/>
    </row>
    <row r="1628" spans="3:26" ht="22" x14ac:dyDescent="0.2">
      <c r="C1628" s="241"/>
      <c r="D1628" s="625" t="s">
        <v>434</v>
      </c>
      <c r="E1628" s="994">
        <v>0</v>
      </c>
      <c r="F1628" s="995"/>
      <c r="G1628" s="996"/>
      <c r="H1628" s="405"/>
      <c r="I1628" s="964"/>
      <c r="J1628" s="964"/>
      <c r="K1628" s="965"/>
      <c r="L1628" s="617"/>
      <c r="M1628" s="375"/>
      <c r="N1628" s="243"/>
      <c r="O1628" s="256" t="s">
        <v>811</v>
      </c>
      <c r="P1628" s="257">
        <v>0.1</v>
      </c>
      <c r="Q1628" s="258">
        <v>6.4699999999999994E-2</v>
      </c>
      <c r="R1628" s="259">
        <v>5.0999999999999997E-2</v>
      </c>
      <c r="S1628" s="260">
        <v>1</v>
      </c>
      <c r="T1628" s="256">
        <v>0.14804999999999999</v>
      </c>
      <c r="U1628" s="261">
        <v>-36.77696590909413</v>
      </c>
      <c r="V1628" s="262">
        <v>60.5</v>
      </c>
      <c r="W1628" s="263">
        <v>4.26</v>
      </c>
      <c r="X1628" s="264">
        <v>156.669874772741</v>
      </c>
      <c r="Y1628" s="265"/>
      <c r="Z1628" s="265"/>
    </row>
    <row r="1629" spans="3:26" ht="23" thickBot="1" x14ac:dyDescent="0.25">
      <c r="C1629" s="241"/>
      <c r="D1629" s="626" t="s">
        <v>435</v>
      </c>
      <c r="E1629" s="997">
        <v>0</v>
      </c>
      <c r="F1629" s="998"/>
      <c r="G1629" s="999"/>
      <c r="H1629" s="406"/>
      <c r="I1629" s="964"/>
      <c r="J1629" s="964"/>
      <c r="K1629" s="965"/>
      <c r="L1629" s="618">
        <v>0.22916666666666666</v>
      </c>
      <c r="M1629" s="377">
        <v>0.375</v>
      </c>
      <c r="N1629" s="243"/>
      <c r="O1629" s="267" t="s">
        <v>812</v>
      </c>
      <c r="P1629" s="268">
        <v>0.1</v>
      </c>
      <c r="Q1629" s="269">
        <v>7.2133333333333341E-2</v>
      </c>
      <c r="R1629" s="270">
        <v>5.0999999999999997E-2</v>
      </c>
      <c r="S1629" s="271">
        <v>1</v>
      </c>
      <c r="T1629" s="272">
        <v>0.15920000000000001</v>
      </c>
      <c r="U1629" s="273">
        <v>-39.546727272730742</v>
      </c>
      <c r="V1629" s="274">
        <v>60.5</v>
      </c>
      <c r="W1629" s="275">
        <v>3.07</v>
      </c>
      <c r="X1629" s="276">
        <v>121.40845272728338</v>
      </c>
      <c r="Y1629" s="277"/>
      <c r="Z1629" s="277"/>
    </row>
    <row r="1630" spans="3:26" ht="23" thickBot="1" x14ac:dyDescent="0.25">
      <c r="C1630" s="241"/>
      <c r="D1630" s="627" t="s">
        <v>436</v>
      </c>
      <c r="E1630" s="407" t="s">
        <v>29</v>
      </c>
      <c r="F1630" s="407" t="s">
        <v>28</v>
      </c>
      <c r="G1630" s="408" t="s">
        <v>27</v>
      </c>
      <c r="H1630" s="409" t="s">
        <v>793</v>
      </c>
      <c r="I1630" s="964"/>
      <c r="J1630" s="964"/>
      <c r="K1630" s="965"/>
      <c r="L1630" s="619" t="s">
        <v>1246</v>
      </c>
      <c r="M1630" s="379"/>
      <c r="N1630" s="243"/>
      <c r="O1630" s="254"/>
      <c r="P1630" s="255"/>
      <c r="Q1630" s="254"/>
      <c r="R1630" s="254"/>
      <c r="S1630" s="254"/>
      <c r="T1630" s="254"/>
      <c r="U1630" s="281"/>
      <c r="V1630" s="282"/>
      <c r="W1630" s="254"/>
      <c r="X1630" s="281"/>
      <c r="Y1630" s="255"/>
      <c r="Z1630" s="255"/>
    </row>
    <row r="1631" spans="3:26" ht="22" x14ac:dyDescent="0.2">
      <c r="C1631" s="241"/>
      <c r="D1631" s="628">
        <v>45615</v>
      </c>
      <c r="E1631" s="410">
        <v>4.0000000000000001E-3</v>
      </c>
      <c r="F1631" s="410" t="s">
        <v>467</v>
      </c>
      <c r="G1631" s="410">
        <v>-4.0000000000000001E-3</v>
      </c>
      <c r="H1631" s="411">
        <v>0</v>
      </c>
      <c r="I1631" s="964"/>
      <c r="J1631" s="964"/>
      <c r="K1631" s="965"/>
      <c r="L1631" s="621"/>
      <c r="M1631" s="382"/>
      <c r="N1631" s="243"/>
      <c r="O1631" s="254"/>
      <c r="P1631" s="255"/>
      <c r="Q1631" s="254"/>
      <c r="R1631" s="254"/>
      <c r="S1631" s="254"/>
      <c r="T1631" s="254"/>
      <c r="U1631" s="254"/>
      <c r="V1631" s="254"/>
      <c r="W1631" s="254"/>
      <c r="X1631" s="254"/>
      <c r="Y1631" s="255"/>
      <c r="Z1631" s="255"/>
    </row>
    <row r="1632" spans="3:26" ht="22" x14ac:dyDescent="0.2">
      <c r="C1632" s="241"/>
      <c r="D1632" s="628">
        <v>45580</v>
      </c>
      <c r="E1632" s="410">
        <v>-4.0000000000000001E-3</v>
      </c>
      <c r="F1632" s="410" t="s">
        <v>461</v>
      </c>
      <c r="G1632" s="410">
        <v>-2E-3</v>
      </c>
      <c r="H1632" s="411">
        <v>0.52083333333333337</v>
      </c>
      <c r="I1632" s="964"/>
      <c r="J1632" s="964"/>
      <c r="K1632" s="965"/>
      <c r="L1632" s="621"/>
      <c r="M1632" s="383"/>
      <c r="N1632" s="243"/>
      <c r="O1632" s="246" t="s">
        <v>813</v>
      </c>
      <c r="P1632" s="247">
        <v>0.02</v>
      </c>
      <c r="Q1632" s="285">
        <v>6.8416666666666667E-2</v>
      </c>
      <c r="R1632" s="286">
        <v>5.0999999999999997E-2</v>
      </c>
      <c r="S1632" s="250">
        <v>1.5</v>
      </c>
      <c r="T1632" s="256">
        <v>0.15362499999999998</v>
      </c>
      <c r="U1632" s="287">
        <v>-11.448553977273731</v>
      </c>
      <c r="V1632" s="288">
        <v>12.1</v>
      </c>
      <c r="W1632" s="250">
        <v>2</v>
      </c>
      <c r="X1632" s="252">
        <v>22.897107954547462</v>
      </c>
      <c r="Y1632" s="289"/>
      <c r="Z1632" s="289"/>
    </row>
    <row r="1633" spans="3:26" ht="22" x14ac:dyDescent="0.2">
      <c r="C1633" s="241"/>
      <c r="D1633" s="628">
        <v>45552</v>
      </c>
      <c r="E1633" s="410">
        <v>-2E-3</v>
      </c>
      <c r="F1633" s="410" t="s">
        <v>458</v>
      </c>
      <c r="G1633" s="410">
        <v>4.0000000000000001E-3</v>
      </c>
      <c r="H1633" s="411">
        <v>0.52083333333333337</v>
      </c>
      <c r="I1633" s="964"/>
      <c r="J1633" s="964"/>
      <c r="K1633" s="965"/>
      <c r="L1633" s="621"/>
      <c r="M1633" s="375"/>
      <c r="N1633" s="243"/>
      <c r="O1633" s="246" t="s">
        <v>813</v>
      </c>
      <c r="P1633" s="247">
        <v>-0.02</v>
      </c>
      <c r="Q1633" s="285">
        <v>6.8416666666666667E-2</v>
      </c>
      <c r="R1633" s="286">
        <v>5.0999999999999997E-2</v>
      </c>
      <c r="S1633" s="250">
        <v>-1.5</v>
      </c>
      <c r="T1633" s="256">
        <v>0.15362499999999998</v>
      </c>
      <c r="U1633" s="287">
        <v>-11.448553977273731</v>
      </c>
      <c r="V1633" s="288">
        <v>-12.1</v>
      </c>
      <c r="W1633" s="250">
        <v>2</v>
      </c>
      <c r="X1633" s="252">
        <v>22.897107954547462</v>
      </c>
      <c r="Y1633" s="289"/>
      <c r="Z1633" s="289"/>
    </row>
    <row r="1634" spans="3:26" ht="22" x14ac:dyDescent="0.2">
      <c r="C1634" s="241"/>
      <c r="D1634" s="628">
        <v>45524</v>
      </c>
      <c r="E1634" s="410">
        <v>4.0000000000000001E-3</v>
      </c>
      <c r="F1634" s="410" t="s">
        <v>452</v>
      </c>
      <c r="G1634" s="410">
        <v>-1E-3</v>
      </c>
      <c r="H1634" s="411">
        <v>0.52083333333333337</v>
      </c>
      <c r="I1634" s="964"/>
      <c r="J1634" s="964"/>
      <c r="K1634" s="965"/>
      <c r="L1634" s="621"/>
      <c r="M1634" s="375"/>
      <c r="N1634" s="243"/>
      <c r="O1634" s="246"/>
      <c r="P1634" s="290"/>
      <c r="Q1634" s="285"/>
      <c r="R1634" s="286"/>
      <c r="S1634" s="250"/>
      <c r="T1634" s="290"/>
      <c r="U1634" s="287"/>
      <c r="V1634" s="288"/>
      <c r="W1634" s="250"/>
      <c r="X1634" s="252"/>
      <c r="Y1634" s="289"/>
      <c r="Z1634" s="289"/>
    </row>
    <row r="1635" spans="3:26" ht="22" x14ac:dyDescent="0.2">
      <c r="C1635" s="241"/>
      <c r="D1635" s="628">
        <v>45489</v>
      </c>
      <c r="E1635" s="410">
        <v>-1E-3</v>
      </c>
      <c r="F1635" s="410" t="s">
        <v>462</v>
      </c>
      <c r="G1635" s="410">
        <v>6.0000000000000001E-3</v>
      </c>
      <c r="H1635" s="411">
        <v>0.52083333333333337</v>
      </c>
      <c r="I1635" s="964"/>
      <c r="J1635" s="964"/>
      <c r="K1635" s="965"/>
      <c r="L1635" s="621"/>
      <c r="M1635" s="375"/>
      <c r="N1635" s="243"/>
      <c r="O1635" s="291"/>
      <c r="P1635" s="291"/>
      <c r="Q1635" s="291"/>
      <c r="R1635" s="291"/>
      <c r="S1635" s="291"/>
      <c r="T1635" s="291"/>
      <c r="U1635" s="291"/>
      <c r="V1635" s="291"/>
      <c r="W1635" s="291"/>
      <c r="X1635" s="291"/>
      <c r="Y1635" s="291"/>
      <c r="Z1635" s="291"/>
    </row>
    <row r="1636" spans="3:26" ht="23" thickBot="1" x14ac:dyDescent="0.25">
      <c r="C1636" s="241"/>
      <c r="D1636" s="628">
        <v>45468</v>
      </c>
      <c r="E1636" s="410">
        <v>6.0000000000000001E-3</v>
      </c>
      <c r="F1636" s="410" t="s">
        <v>467</v>
      </c>
      <c r="G1636" s="410">
        <v>5.0000000000000001E-3</v>
      </c>
      <c r="H1636" s="411">
        <v>0.52083333333333337</v>
      </c>
      <c r="I1636" s="966"/>
      <c r="J1636" s="966"/>
      <c r="K1636" s="967"/>
      <c r="L1636" s="621"/>
      <c r="M1636" s="384"/>
      <c r="N1636" s="243"/>
      <c r="O1636" s="291"/>
      <c r="P1636" s="291"/>
      <c r="Q1636" s="291"/>
      <c r="R1636" s="291"/>
      <c r="S1636" s="291"/>
      <c r="T1636" s="291"/>
      <c r="U1636" s="291"/>
      <c r="V1636" s="291"/>
      <c r="W1636" s="291"/>
      <c r="X1636" s="291"/>
      <c r="Y1636" s="291"/>
      <c r="Z1636" s="291"/>
    </row>
    <row r="1637" spans="3:26" ht="23" thickBot="1" x14ac:dyDescent="0.25">
      <c r="C1637" s="241">
        <v>2</v>
      </c>
      <c r="D1637" s="623" t="s">
        <v>30</v>
      </c>
      <c r="E1637" s="974" t="s">
        <v>1302</v>
      </c>
      <c r="F1637" s="975"/>
      <c r="G1637" s="976"/>
      <c r="H1637" s="404" t="s">
        <v>790</v>
      </c>
      <c r="I1637" s="977" t="s">
        <v>633</v>
      </c>
      <c r="J1637" s="977"/>
      <c r="K1637" s="978"/>
      <c r="L1637" s="616" t="s">
        <v>430</v>
      </c>
      <c r="M1637" s="372" t="s">
        <v>431</v>
      </c>
      <c r="N1637" s="243" t="s">
        <v>105</v>
      </c>
      <c r="O1637" s="244" t="s">
        <v>800</v>
      </c>
      <c r="P1637" s="244" t="s">
        <v>801</v>
      </c>
      <c r="Q1637" s="244" t="s">
        <v>802</v>
      </c>
      <c r="R1637" s="244" t="s">
        <v>803</v>
      </c>
      <c r="S1637" s="244" t="s">
        <v>804</v>
      </c>
      <c r="T1637" s="244" t="s">
        <v>805</v>
      </c>
      <c r="U1637" s="244" t="s">
        <v>806</v>
      </c>
      <c r="V1637" s="244" t="s">
        <v>807</v>
      </c>
      <c r="W1637" s="244" t="s">
        <v>808</v>
      </c>
      <c r="X1637" s="244" t="s">
        <v>809</v>
      </c>
      <c r="Y1637" s="244" t="s">
        <v>75</v>
      </c>
      <c r="Z1637" s="244" t="s">
        <v>75</v>
      </c>
    </row>
    <row r="1638" spans="3:26" ht="22" x14ac:dyDescent="0.2">
      <c r="C1638" s="241"/>
      <c r="D1638" s="630" t="s">
        <v>432</v>
      </c>
      <c r="E1638" s="982"/>
      <c r="F1638" s="983"/>
      <c r="G1638" s="984"/>
      <c r="H1638" s="405" t="s">
        <v>794</v>
      </c>
      <c r="I1638" s="962" t="s">
        <v>1303</v>
      </c>
      <c r="J1638" s="962"/>
      <c r="K1638" s="963"/>
      <c r="L1638" s="617"/>
      <c r="M1638" s="374" t="s">
        <v>1302</v>
      </c>
      <c r="N1638" s="243"/>
      <c r="O1638" s="246" t="s">
        <v>810</v>
      </c>
      <c r="P1638" s="247">
        <v>0.1</v>
      </c>
      <c r="Q1638" s="248">
        <v>2.5999999999999999E-2</v>
      </c>
      <c r="R1638" s="249">
        <v>1.8000000000000682E-2</v>
      </c>
      <c r="S1638" s="250"/>
      <c r="T1638" s="246">
        <v>5.7000000000000682E-2</v>
      </c>
      <c r="U1638" s="248">
        <v>-13.52</v>
      </c>
      <c r="V1638" s="247">
        <v>60.5</v>
      </c>
      <c r="W1638" s="251">
        <v>2</v>
      </c>
      <c r="X1638" s="252">
        <v>27.04</v>
      </c>
      <c r="Y1638" s="250"/>
      <c r="Z1638" s="250"/>
    </row>
    <row r="1639" spans="3:26" ht="22" x14ac:dyDescent="0.2">
      <c r="C1639" s="241"/>
      <c r="D1639" s="631" t="s">
        <v>433</v>
      </c>
      <c r="E1639" s="985">
        <v>-4.0000000000000001E-3</v>
      </c>
      <c r="F1639" s="986"/>
      <c r="G1639" s="987"/>
      <c r="H1639" s="405" t="s">
        <v>795</v>
      </c>
      <c r="I1639" s="964"/>
      <c r="J1639" s="964"/>
      <c r="K1639" s="965"/>
      <c r="L1639" s="617"/>
      <c r="M1639" s="375"/>
      <c r="N1639" s="243"/>
      <c r="O1639" s="243"/>
      <c r="P1639" s="243"/>
      <c r="Q1639" s="243"/>
      <c r="R1639" s="253"/>
      <c r="S1639" s="254"/>
      <c r="T1639" s="243"/>
      <c r="U1639" s="243"/>
      <c r="V1639" s="243"/>
      <c r="W1639" s="254"/>
      <c r="X1639" s="254"/>
      <c r="Y1639" s="255"/>
      <c r="Z1639" s="255"/>
    </row>
    <row r="1640" spans="3:26" ht="22" x14ac:dyDescent="0.2">
      <c r="C1640" s="241"/>
      <c r="D1640" s="631" t="s">
        <v>434</v>
      </c>
      <c r="E1640" s="985">
        <v>2E-3</v>
      </c>
      <c r="F1640" s="986"/>
      <c r="G1640" s="987"/>
      <c r="H1640" s="405"/>
      <c r="I1640" s="964"/>
      <c r="J1640" s="964"/>
      <c r="K1640" s="965"/>
      <c r="L1640" s="617"/>
      <c r="M1640" s="375"/>
      <c r="N1640" s="243"/>
      <c r="O1640" s="256" t="s">
        <v>811</v>
      </c>
      <c r="P1640" s="257">
        <v>0.1</v>
      </c>
      <c r="Q1640" s="258">
        <v>6.8900000000000003E-2</v>
      </c>
      <c r="R1640" s="259">
        <v>2.8000000000000001E-2</v>
      </c>
      <c r="S1640" s="260">
        <v>1.6</v>
      </c>
      <c r="T1640" s="256">
        <v>0.13134999999999999</v>
      </c>
      <c r="U1640" s="261">
        <v>-31.155298245613661</v>
      </c>
      <c r="V1640" s="262">
        <v>60.5</v>
      </c>
      <c r="W1640" s="263">
        <v>3.1</v>
      </c>
      <c r="X1640" s="264">
        <v>96.581424561402358</v>
      </c>
      <c r="Y1640" s="265"/>
      <c r="Z1640" s="265"/>
    </row>
    <row r="1641" spans="3:26" ht="23" thickBot="1" x14ac:dyDescent="0.25">
      <c r="C1641" s="241"/>
      <c r="D1641" s="632" t="s">
        <v>435</v>
      </c>
      <c r="E1641" s="971">
        <v>0.5625</v>
      </c>
      <c r="F1641" s="972"/>
      <c r="G1641" s="973"/>
      <c r="H1641" s="406">
        <v>0.35416666666666663</v>
      </c>
      <c r="I1641" s="964"/>
      <c r="J1641" s="964"/>
      <c r="K1641" s="965"/>
      <c r="L1641" s="618">
        <v>0.79166666666666663</v>
      </c>
      <c r="M1641" s="377">
        <v>0.64583333333333326</v>
      </c>
      <c r="N1641" s="243"/>
      <c r="O1641" s="267" t="s">
        <v>812</v>
      </c>
      <c r="P1641" s="268">
        <v>0.1</v>
      </c>
      <c r="Q1641" s="269">
        <v>-1.4933333333333335E-2</v>
      </c>
      <c r="R1641" s="270">
        <v>0.1353</v>
      </c>
      <c r="S1641" s="271">
        <v>1.6</v>
      </c>
      <c r="T1641" s="272">
        <v>0.1129</v>
      </c>
      <c r="U1641" s="273">
        <v>-42.846540350876687</v>
      </c>
      <c r="V1641" s="274">
        <v>60.5</v>
      </c>
      <c r="W1641" s="275">
        <v>5.92</v>
      </c>
      <c r="X1641" s="276">
        <v>253.65151887718997</v>
      </c>
      <c r="Y1641" s="277"/>
      <c r="Z1641" s="277"/>
    </row>
    <row r="1642" spans="3:26" ht="23" thickBot="1" x14ac:dyDescent="0.25">
      <c r="C1642" s="241"/>
      <c r="D1642" s="633" t="s">
        <v>436</v>
      </c>
      <c r="E1642" s="413" t="s">
        <v>29</v>
      </c>
      <c r="F1642" s="413" t="s">
        <v>28</v>
      </c>
      <c r="G1642" s="414" t="s">
        <v>27</v>
      </c>
      <c r="H1642" s="409" t="s">
        <v>793</v>
      </c>
      <c r="I1642" s="964"/>
      <c r="J1642" s="964"/>
      <c r="K1642" s="965"/>
      <c r="L1642" s="619" t="s">
        <v>1246</v>
      </c>
      <c r="M1642" s="379"/>
      <c r="N1642" s="243"/>
      <c r="O1642" s="254"/>
      <c r="P1642" s="255"/>
      <c r="Q1642" s="254"/>
      <c r="R1642" s="254"/>
      <c r="S1642" s="254"/>
      <c r="T1642" s="254"/>
      <c r="U1642" s="281"/>
      <c r="V1642" s="282"/>
      <c r="W1642" s="254"/>
      <c r="X1642" s="281"/>
      <c r="Y1642" s="255"/>
      <c r="Z1642" s="255"/>
    </row>
    <row r="1643" spans="3:26" ht="22" x14ac:dyDescent="0.2">
      <c r="C1643" s="241"/>
      <c r="D1643" s="634">
        <v>45623</v>
      </c>
      <c r="E1643" s="415">
        <v>2E-3</v>
      </c>
      <c r="F1643" s="415" t="s">
        <v>1315</v>
      </c>
      <c r="G1643" s="415">
        <v>-4.0000000000000001E-3</v>
      </c>
      <c r="H1643" s="411">
        <v>0.5625</v>
      </c>
      <c r="I1643" s="964"/>
      <c r="J1643" s="964"/>
      <c r="K1643" s="965"/>
      <c r="L1643" s="621">
        <v>0.52083333333333337</v>
      </c>
      <c r="M1643" s="382"/>
      <c r="N1643" s="243"/>
      <c r="O1643" s="254"/>
      <c r="P1643" s="255"/>
      <c r="Q1643" s="254"/>
      <c r="R1643" s="254"/>
      <c r="S1643" s="254"/>
      <c r="T1643" s="254"/>
      <c r="U1643" s="254"/>
      <c r="V1643" s="254"/>
      <c r="W1643" s="254"/>
      <c r="X1643" s="254"/>
      <c r="Y1643" s="255"/>
      <c r="Z1643" s="255"/>
    </row>
    <row r="1644" spans="3:26" ht="22" x14ac:dyDescent="0.2">
      <c r="C1644" s="241"/>
      <c r="D1644" s="634">
        <v>45590</v>
      </c>
      <c r="E1644" s="415">
        <v>-8.0000000000000002E-3</v>
      </c>
      <c r="F1644" s="415" t="s">
        <v>1110</v>
      </c>
      <c r="G1644" s="415">
        <v>-8.0000000000000002E-3</v>
      </c>
      <c r="H1644" s="411">
        <v>0.52083333333333337</v>
      </c>
      <c r="I1644" s="964"/>
      <c r="J1644" s="964"/>
      <c r="K1644" s="965"/>
      <c r="L1644" s="621">
        <v>0.52083333333333337</v>
      </c>
      <c r="M1644" s="383"/>
      <c r="N1644" s="243"/>
      <c r="O1644" s="246" t="s">
        <v>813</v>
      </c>
      <c r="P1644" s="247">
        <v>0.05</v>
      </c>
      <c r="Q1644" s="285">
        <v>2.6983333333333335E-2</v>
      </c>
      <c r="R1644" s="286">
        <v>0.1353</v>
      </c>
      <c r="S1644" s="250">
        <v>1.6</v>
      </c>
      <c r="T1644" s="256">
        <v>0.17577500000000001</v>
      </c>
      <c r="U1644" s="287">
        <v>-33.354077192982061</v>
      </c>
      <c r="V1644" s="288">
        <v>30.25</v>
      </c>
      <c r="W1644" s="402">
        <v>1.8</v>
      </c>
      <c r="X1644" s="252">
        <v>60.037338947367708</v>
      </c>
      <c r="Y1644" s="289"/>
      <c r="Z1644" s="289"/>
    </row>
    <row r="1645" spans="3:26" ht="22" x14ac:dyDescent="0.2">
      <c r="C1645" s="241"/>
      <c r="D1645" s="634">
        <v>45561</v>
      </c>
      <c r="E1645" s="415">
        <v>0</v>
      </c>
      <c r="F1645" s="415" t="s">
        <v>778</v>
      </c>
      <c r="G1645" s="415">
        <v>9.9000000000000005E-2</v>
      </c>
      <c r="H1645" s="411">
        <v>0.52083333333333337</v>
      </c>
      <c r="I1645" s="964"/>
      <c r="J1645" s="964"/>
      <c r="K1645" s="965"/>
      <c r="L1645" s="621">
        <v>0.52083333333333337</v>
      </c>
      <c r="M1645" s="375"/>
      <c r="N1645" s="243"/>
      <c r="O1645" s="246" t="s">
        <v>813</v>
      </c>
      <c r="P1645" s="247">
        <v>0.05</v>
      </c>
      <c r="Q1645" s="285">
        <v>2.6983333333333335E-2</v>
      </c>
      <c r="R1645" s="286">
        <v>0.1353</v>
      </c>
      <c r="S1645" s="250">
        <v>1.6</v>
      </c>
      <c r="T1645" s="256">
        <v>0.17577500000000001</v>
      </c>
      <c r="U1645" s="287">
        <v>-33.354077192982061</v>
      </c>
      <c r="V1645" s="288">
        <v>30.25</v>
      </c>
      <c r="W1645" s="402">
        <v>1.8</v>
      </c>
      <c r="X1645" s="252">
        <v>60.037338947367708</v>
      </c>
      <c r="Y1645" s="289"/>
      <c r="Z1645" s="289"/>
    </row>
    <row r="1646" spans="3:26" ht="22" x14ac:dyDescent="0.2">
      <c r="C1646" s="241"/>
      <c r="D1646" s="634">
        <v>45530</v>
      </c>
      <c r="E1646" s="415">
        <v>9.9000000000000005E-2</v>
      </c>
      <c r="F1646" s="415" t="s">
        <v>630</v>
      </c>
      <c r="G1646" s="415">
        <v>-6.9000000000000006E-2</v>
      </c>
      <c r="H1646" s="411">
        <v>0.52083333333333337</v>
      </c>
      <c r="I1646" s="964"/>
      <c r="J1646" s="964"/>
      <c r="K1646" s="965"/>
      <c r="L1646" s="621">
        <v>0.52083333333333337</v>
      </c>
      <c r="M1646" s="375"/>
      <c r="N1646" s="243"/>
      <c r="O1646" s="246"/>
      <c r="P1646" s="290"/>
      <c r="Q1646" s="285"/>
      <c r="R1646" s="286"/>
      <c r="S1646" s="250"/>
      <c r="T1646" s="290"/>
      <c r="U1646" s="287"/>
      <c r="V1646" s="288"/>
      <c r="W1646" s="250"/>
      <c r="X1646" s="252"/>
      <c r="Y1646" s="289"/>
      <c r="Z1646" s="289"/>
    </row>
    <row r="1647" spans="3:26" ht="22" x14ac:dyDescent="0.2">
      <c r="C1647" s="241"/>
      <c r="D1647" s="634">
        <v>45498</v>
      </c>
      <c r="E1647" s="415">
        <v>-6.6000000000000003E-2</v>
      </c>
      <c r="F1647" s="415" t="s">
        <v>467</v>
      </c>
      <c r="G1647" s="415">
        <v>1E-3</v>
      </c>
      <c r="H1647" s="411">
        <v>0.52083333333333337</v>
      </c>
      <c r="I1647" s="964"/>
      <c r="J1647" s="964"/>
      <c r="K1647" s="965"/>
      <c r="L1647" s="621">
        <v>0.52083333333333337</v>
      </c>
      <c r="M1647" s="375"/>
      <c r="N1647" s="243"/>
      <c r="O1647" s="291"/>
      <c r="P1647" s="291"/>
      <c r="Q1647" s="291"/>
      <c r="R1647" s="291"/>
      <c r="S1647" s="291"/>
      <c r="T1647" s="291"/>
      <c r="U1647" s="291"/>
      <c r="V1647" s="291"/>
      <c r="W1647" s="291"/>
      <c r="X1647" s="291"/>
      <c r="Y1647" s="291"/>
      <c r="Z1647" s="291"/>
    </row>
    <row r="1648" spans="3:26" ht="23" thickBot="1" x14ac:dyDescent="0.25">
      <c r="C1648" s="241"/>
      <c r="D1648" s="634">
        <v>45470</v>
      </c>
      <c r="E1648" s="415">
        <v>1E-3</v>
      </c>
      <c r="F1648" s="415" t="s">
        <v>782</v>
      </c>
      <c r="G1648" s="415">
        <v>2E-3</v>
      </c>
      <c r="H1648" s="411">
        <v>0.52083333333333337</v>
      </c>
      <c r="I1648" s="966"/>
      <c r="J1648" s="966"/>
      <c r="K1648" s="967"/>
      <c r="L1648" s="621">
        <v>0.52083333333333337</v>
      </c>
      <c r="M1648" s="384"/>
      <c r="N1648" s="243"/>
      <c r="O1648" s="291"/>
      <c r="P1648" s="296"/>
      <c r="Q1648" s="291"/>
      <c r="R1648" s="291"/>
      <c r="S1648" s="291"/>
      <c r="T1648" s="291"/>
      <c r="U1648" s="291"/>
      <c r="V1648" s="291"/>
      <c r="W1648" s="291"/>
      <c r="X1648" s="291"/>
      <c r="Y1648" s="291"/>
      <c r="Z1648" s="291"/>
    </row>
    <row r="1649" spans="3:26" ht="23" thickBot="1" x14ac:dyDescent="0.25">
      <c r="C1649" s="241">
        <v>3</v>
      </c>
      <c r="D1649" s="635" t="s">
        <v>30</v>
      </c>
      <c r="E1649" s="988" t="s">
        <v>1304</v>
      </c>
      <c r="F1649" s="989"/>
      <c r="G1649" s="990"/>
      <c r="H1649" s="404" t="s">
        <v>790</v>
      </c>
      <c r="I1649" s="977" t="s">
        <v>633</v>
      </c>
      <c r="J1649" s="977"/>
      <c r="K1649" s="978"/>
      <c r="L1649" s="616" t="s">
        <v>430</v>
      </c>
      <c r="M1649" s="387" t="s">
        <v>431</v>
      </c>
      <c r="N1649" s="243" t="s">
        <v>105</v>
      </c>
      <c r="O1649" s="244" t="s">
        <v>800</v>
      </c>
      <c r="P1649" s="244" t="s">
        <v>801</v>
      </c>
      <c r="Q1649" s="244" t="s">
        <v>802</v>
      </c>
      <c r="R1649" s="244" t="s">
        <v>803</v>
      </c>
      <c r="S1649" s="244" t="s">
        <v>804</v>
      </c>
      <c r="T1649" s="244" t="s">
        <v>805</v>
      </c>
      <c r="U1649" s="244" t="s">
        <v>806</v>
      </c>
      <c r="V1649" s="244" t="s">
        <v>807</v>
      </c>
      <c r="W1649" s="244" t="s">
        <v>808</v>
      </c>
      <c r="X1649" s="244" t="s">
        <v>809</v>
      </c>
      <c r="Y1649" s="244" t="s">
        <v>75</v>
      </c>
      <c r="Z1649" s="244" t="s">
        <v>75</v>
      </c>
    </row>
    <row r="1650" spans="3:26" ht="22" x14ac:dyDescent="0.2">
      <c r="C1650" s="241"/>
      <c r="D1650" s="630" t="s">
        <v>432</v>
      </c>
      <c r="E1650" s="982"/>
      <c r="F1650" s="983"/>
      <c r="G1650" s="984"/>
      <c r="H1650" s="405" t="s">
        <v>794</v>
      </c>
      <c r="I1650" s="962" t="s">
        <v>1307</v>
      </c>
      <c r="J1650" s="962"/>
      <c r="K1650" s="963"/>
      <c r="L1650" s="617"/>
      <c r="M1650" s="374" t="s">
        <v>1304</v>
      </c>
      <c r="N1650" s="243"/>
      <c r="O1650" s="246" t="s">
        <v>810</v>
      </c>
      <c r="P1650" s="247">
        <v>0.1</v>
      </c>
      <c r="Q1650" s="248">
        <v>2.5000000000000001E-2</v>
      </c>
      <c r="R1650" s="249">
        <v>2.1000000000015007E-2</v>
      </c>
      <c r="S1650" s="250"/>
      <c r="T1650" s="246">
        <v>5.8500000000015012E-2</v>
      </c>
      <c r="U1650" s="248">
        <v>-14.31</v>
      </c>
      <c r="V1650" s="247">
        <v>60.5</v>
      </c>
      <c r="W1650" s="251">
        <v>2</v>
      </c>
      <c r="X1650" s="252">
        <v>28.62</v>
      </c>
      <c r="Y1650" s="250"/>
      <c r="Z1650" s="250"/>
    </row>
    <row r="1651" spans="3:26" ht="22" x14ac:dyDescent="0.2">
      <c r="C1651" s="241"/>
      <c r="D1651" s="631" t="s">
        <v>433</v>
      </c>
      <c r="E1651" s="985" t="s">
        <v>1305</v>
      </c>
      <c r="F1651" s="986"/>
      <c r="G1651" s="987"/>
      <c r="H1651" s="405" t="s">
        <v>795</v>
      </c>
      <c r="I1651" s="964"/>
      <c r="J1651" s="964"/>
      <c r="K1651" s="965"/>
      <c r="L1651" s="617"/>
      <c r="M1651" s="375"/>
      <c r="N1651" s="243"/>
      <c r="O1651" s="243"/>
      <c r="P1651" s="243"/>
      <c r="Q1651" s="243"/>
      <c r="R1651" s="253"/>
      <c r="S1651" s="254"/>
      <c r="T1651" s="243"/>
      <c r="U1651" s="243"/>
      <c r="V1651" s="243"/>
      <c r="W1651" s="254"/>
      <c r="X1651" s="254"/>
      <c r="Y1651" s="255"/>
      <c r="Z1651" s="255"/>
    </row>
    <row r="1652" spans="3:26" ht="22" x14ac:dyDescent="0.2">
      <c r="C1652" s="241"/>
      <c r="D1652" s="631" t="s">
        <v>434</v>
      </c>
      <c r="E1652" s="985" t="s">
        <v>1306</v>
      </c>
      <c r="F1652" s="986"/>
      <c r="G1652" s="987"/>
      <c r="H1652" s="405"/>
      <c r="I1652" s="964"/>
      <c r="J1652" s="964"/>
      <c r="K1652" s="965"/>
      <c r="L1652" s="617"/>
      <c r="M1652" s="375"/>
      <c r="N1652" s="243"/>
      <c r="O1652" s="256" t="s">
        <v>811</v>
      </c>
      <c r="P1652" s="257">
        <v>0.1</v>
      </c>
      <c r="Q1652" s="258">
        <v>6.8099999999999994E-2</v>
      </c>
      <c r="R1652" s="259">
        <v>4.8000000000000001E-2</v>
      </c>
      <c r="S1652" s="260">
        <v>1</v>
      </c>
      <c r="T1652" s="256">
        <v>0.15015000000000001</v>
      </c>
      <c r="U1652" s="261">
        <v>-36.728999999990577</v>
      </c>
      <c r="V1652" s="262">
        <v>60.5</v>
      </c>
      <c r="W1652" s="263">
        <v>3.83</v>
      </c>
      <c r="X1652" s="264">
        <v>140.67206999996392</v>
      </c>
      <c r="Y1652" s="265"/>
      <c r="Z1652" s="265"/>
    </row>
    <row r="1653" spans="3:26" ht="23" thickBot="1" x14ac:dyDescent="0.25">
      <c r="C1653" s="241"/>
      <c r="D1653" s="632" t="s">
        <v>435</v>
      </c>
      <c r="E1653" s="971">
        <v>0.625</v>
      </c>
      <c r="F1653" s="972"/>
      <c r="G1653" s="973"/>
      <c r="H1653" s="406">
        <v>0.41666666666666663</v>
      </c>
      <c r="I1653" s="964"/>
      <c r="J1653" s="964"/>
      <c r="K1653" s="965"/>
      <c r="L1653" s="618">
        <v>0.85416666666666663</v>
      </c>
      <c r="M1653" s="377">
        <v>-0.14583333333333334</v>
      </c>
      <c r="N1653" s="243"/>
      <c r="O1653" s="267" t="s">
        <v>812</v>
      </c>
      <c r="P1653" s="268">
        <v>0.1</v>
      </c>
      <c r="Q1653" s="269">
        <v>9.7799999999999998E-2</v>
      </c>
      <c r="R1653" s="270">
        <v>4.8000000000000001E-2</v>
      </c>
      <c r="S1653" s="271">
        <v>1</v>
      </c>
      <c r="T1653" s="272">
        <v>0.19470000000000001</v>
      </c>
      <c r="U1653" s="273">
        <v>-47.62661538460317</v>
      </c>
      <c r="V1653" s="274">
        <v>60.5</v>
      </c>
      <c r="W1653" s="275">
        <v>8.1300000000000008</v>
      </c>
      <c r="X1653" s="276">
        <v>387.20438307682383</v>
      </c>
      <c r="Y1653" s="277"/>
      <c r="Z1653" s="277"/>
    </row>
    <row r="1654" spans="3:26" ht="23" thickBot="1" x14ac:dyDescent="0.25">
      <c r="C1654" s="241"/>
      <c r="D1654" s="633" t="s">
        <v>436</v>
      </c>
      <c r="E1654" s="413" t="s">
        <v>29</v>
      </c>
      <c r="F1654" s="413" t="s">
        <v>28</v>
      </c>
      <c r="G1654" s="414" t="s">
        <v>27</v>
      </c>
      <c r="H1654" s="409" t="s">
        <v>793</v>
      </c>
      <c r="I1654" s="964"/>
      <c r="J1654" s="964"/>
      <c r="K1654" s="965"/>
      <c r="L1654" s="619"/>
      <c r="M1654" s="379"/>
      <c r="N1654" s="243"/>
      <c r="O1654" s="254"/>
      <c r="P1654" s="255"/>
      <c r="Q1654" s="254"/>
      <c r="R1654" s="254"/>
      <c r="S1654" s="254"/>
      <c r="T1654" s="254"/>
      <c r="U1654" s="281"/>
      <c r="V1654" s="282"/>
      <c r="W1654" s="254"/>
      <c r="X1654" s="281"/>
      <c r="Y1654" s="255"/>
      <c r="Z1654" s="255"/>
    </row>
    <row r="1655" spans="3:26" ht="22" x14ac:dyDescent="0.2">
      <c r="C1655" s="241"/>
      <c r="D1655" s="634">
        <v>45622</v>
      </c>
      <c r="E1655" s="415" t="s">
        <v>1316</v>
      </c>
      <c r="F1655" s="415" t="s">
        <v>1317</v>
      </c>
      <c r="G1655" s="415" t="s">
        <v>1092</v>
      </c>
      <c r="H1655" s="411">
        <v>0.5625</v>
      </c>
      <c r="I1655" s="964"/>
      <c r="J1655" s="964"/>
      <c r="K1655" s="965"/>
      <c r="L1655" s="621"/>
      <c r="M1655" s="382"/>
      <c r="N1655" s="243"/>
      <c r="O1655" s="254"/>
      <c r="P1655" s="255"/>
      <c r="Q1655" s="254"/>
      <c r="R1655" s="254"/>
      <c r="S1655" s="254"/>
      <c r="T1655" s="254"/>
      <c r="U1655" s="254"/>
      <c r="V1655" s="254"/>
      <c r="W1655" s="254"/>
      <c r="X1655" s="254"/>
      <c r="Y1655" s="255"/>
      <c r="Z1655" s="255"/>
    </row>
    <row r="1656" spans="3:26" ht="22" x14ac:dyDescent="0.2">
      <c r="C1656" s="241"/>
      <c r="D1656" s="634">
        <v>45589</v>
      </c>
      <c r="E1656" s="415" t="s">
        <v>1092</v>
      </c>
      <c r="F1656" s="415" t="s">
        <v>1093</v>
      </c>
      <c r="G1656" s="415" t="s">
        <v>1094</v>
      </c>
      <c r="H1656" s="411">
        <v>0.52083333333333337</v>
      </c>
      <c r="I1656" s="964"/>
      <c r="J1656" s="964"/>
      <c r="K1656" s="965"/>
      <c r="L1656" s="621"/>
      <c r="M1656" s="383"/>
      <c r="N1656" s="243"/>
      <c r="O1656" s="246" t="s">
        <v>813</v>
      </c>
      <c r="P1656" s="247">
        <v>0.1</v>
      </c>
      <c r="Q1656" s="285">
        <v>8.2949999999999996E-2</v>
      </c>
      <c r="R1656" s="286">
        <v>4.8000000000000001E-2</v>
      </c>
      <c r="S1656" s="250">
        <v>1.5</v>
      </c>
      <c r="T1656" s="256">
        <v>0.17242499999999999</v>
      </c>
      <c r="U1656" s="287">
        <v>-63.2667115384453</v>
      </c>
      <c r="V1656" s="288">
        <v>60.5</v>
      </c>
      <c r="W1656" s="250">
        <v>2</v>
      </c>
      <c r="X1656" s="252">
        <v>126.5334230768906</v>
      </c>
      <c r="Y1656" s="289"/>
      <c r="Z1656" s="289"/>
    </row>
    <row r="1657" spans="3:26" ht="22" x14ac:dyDescent="0.2">
      <c r="C1657" s="241"/>
      <c r="D1657" s="634">
        <v>45560</v>
      </c>
      <c r="E1657" s="415" t="s">
        <v>1095</v>
      </c>
      <c r="F1657" s="415" t="s">
        <v>1096</v>
      </c>
      <c r="G1657" s="415" t="s">
        <v>1097</v>
      </c>
      <c r="H1657" s="411">
        <v>0.52083333333333337</v>
      </c>
      <c r="I1657" s="964"/>
      <c r="J1657" s="964"/>
      <c r="K1657" s="965"/>
      <c r="L1657" s="621"/>
      <c r="M1657" s="375"/>
      <c r="N1657" s="243"/>
      <c r="O1657" s="246" t="s">
        <v>813</v>
      </c>
      <c r="P1657" s="247">
        <v>0.1</v>
      </c>
      <c r="Q1657" s="285">
        <v>8.2949999999999996E-2</v>
      </c>
      <c r="R1657" s="286">
        <v>4.8000000000000001E-2</v>
      </c>
      <c r="S1657" s="250">
        <v>1.5</v>
      </c>
      <c r="T1657" s="256">
        <v>0.17242499999999999</v>
      </c>
      <c r="U1657" s="287">
        <v>-63.2667115384453</v>
      </c>
      <c r="V1657" s="288">
        <v>60.5</v>
      </c>
      <c r="W1657" s="250">
        <v>2</v>
      </c>
      <c r="X1657" s="252">
        <v>126.5334230768906</v>
      </c>
      <c r="Y1657" s="289"/>
      <c r="Z1657" s="289"/>
    </row>
    <row r="1658" spans="3:26" ht="22" x14ac:dyDescent="0.2">
      <c r="C1658" s="241"/>
      <c r="D1658" s="634">
        <v>45527</v>
      </c>
      <c r="E1658" s="415" t="s">
        <v>1098</v>
      </c>
      <c r="F1658" s="415" t="s">
        <v>1099</v>
      </c>
      <c r="G1658" s="415" t="s">
        <v>1100</v>
      </c>
      <c r="H1658" s="411">
        <v>0.52083333333333337</v>
      </c>
      <c r="I1658" s="964"/>
      <c r="J1658" s="964"/>
      <c r="K1658" s="965"/>
      <c r="L1658" s="621"/>
      <c r="M1658" s="375"/>
      <c r="N1658" s="243"/>
      <c r="O1658" s="246"/>
      <c r="P1658" s="290"/>
      <c r="Q1658" s="285"/>
      <c r="R1658" s="286"/>
      <c r="S1658" s="250"/>
      <c r="T1658" s="290"/>
      <c r="U1658" s="287"/>
      <c r="V1658" s="288"/>
      <c r="W1658" s="250"/>
      <c r="X1658" s="252"/>
      <c r="Y1658" s="289"/>
      <c r="Z1658" s="289"/>
    </row>
    <row r="1659" spans="3:26" ht="22" x14ac:dyDescent="0.2">
      <c r="C1659" s="241"/>
      <c r="D1659" s="634">
        <v>45497</v>
      </c>
      <c r="E1659" s="415" t="s">
        <v>1101</v>
      </c>
      <c r="F1659" s="415" t="s">
        <v>1102</v>
      </c>
      <c r="G1659" s="415" t="s">
        <v>1103</v>
      </c>
      <c r="H1659" s="411">
        <v>0.52083333333333337</v>
      </c>
      <c r="I1659" s="964"/>
      <c r="J1659" s="964"/>
      <c r="K1659" s="965"/>
      <c r="L1659" s="621"/>
      <c r="M1659" s="375"/>
      <c r="N1659" s="243"/>
      <c r="O1659" s="291"/>
      <c r="P1659" s="291"/>
      <c r="Q1659" s="291"/>
      <c r="R1659" s="291"/>
      <c r="S1659" s="291"/>
      <c r="T1659" s="291"/>
      <c r="U1659" s="291"/>
      <c r="V1659" s="291"/>
      <c r="W1659" s="291"/>
      <c r="X1659" s="291"/>
      <c r="Y1659" s="291"/>
      <c r="Z1659" s="291"/>
    </row>
    <row r="1660" spans="3:26" ht="23" thickBot="1" x14ac:dyDescent="0.25">
      <c r="C1660" s="241"/>
      <c r="D1660" s="636">
        <v>45469</v>
      </c>
      <c r="E1660" s="416" t="s">
        <v>1104</v>
      </c>
      <c r="F1660" s="416" t="s">
        <v>1105</v>
      </c>
      <c r="G1660" s="416" t="s">
        <v>1106</v>
      </c>
      <c r="H1660" s="411">
        <v>0.52083333333333337</v>
      </c>
      <c r="I1660" s="966"/>
      <c r="J1660" s="966"/>
      <c r="K1660" s="967"/>
      <c r="L1660" s="622"/>
      <c r="M1660" s="384"/>
      <c r="N1660" s="243"/>
      <c r="O1660" s="291"/>
      <c r="P1660" s="291"/>
      <c r="Q1660" s="291"/>
      <c r="R1660" s="291"/>
      <c r="S1660" s="291"/>
      <c r="T1660" s="291"/>
      <c r="U1660" s="291"/>
      <c r="V1660" s="291"/>
      <c r="W1660" s="291"/>
      <c r="X1660" s="291"/>
      <c r="Y1660" s="291"/>
      <c r="Z1660" s="291"/>
    </row>
    <row r="1661" spans="3:26" ht="23" thickBot="1" x14ac:dyDescent="0.25">
      <c r="C1661" s="241">
        <v>4</v>
      </c>
      <c r="D1661" s="623" t="s">
        <v>30</v>
      </c>
      <c r="E1661" s="974" t="s">
        <v>1308</v>
      </c>
      <c r="F1661" s="975"/>
      <c r="G1661" s="976"/>
      <c r="H1661" s="404" t="s">
        <v>790</v>
      </c>
      <c r="I1661" s="977" t="s">
        <v>633</v>
      </c>
      <c r="J1661" s="977"/>
      <c r="K1661" s="978"/>
      <c r="L1661" s="616" t="s">
        <v>430</v>
      </c>
      <c r="M1661" s="372" t="s">
        <v>431</v>
      </c>
      <c r="N1661" s="243" t="s">
        <v>105</v>
      </c>
      <c r="O1661" s="244" t="s">
        <v>800</v>
      </c>
      <c r="P1661" s="244" t="s">
        <v>801</v>
      </c>
      <c r="Q1661" s="244" t="s">
        <v>802</v>
      </c>
      <c r="R1661" s="244" t="s">
        <v>803</v>
      </c>
      <c r="S1661" s="244" t="s">
        <v>804</v>
      </c>
      <c r="T1661" s="244" t="s">
        <v>805</v>
      </c>
      <c r="U1661" s="244" t="s">
        <v>806</v>
      </c>
      <c r="V1661" s="244" t="s">
        <v>807</v>
      </c>
      <c r="W1661" s="244" t="s">
        <v>808</v>
      </c>
      <c r="X1661" s="244" t="s">
        <v>809</v>
      </c>
      <c r="Y1661" s="244" t="s">
        <v>75</v>
      </c>
      <c r="Z1661" s="244" t="s">
        <v>75</v>
      </c>
    </row>
    <row r="1662" spans="3:26" ht="22" x14ac:dyDescent="0.2">
      <c r="C1662" s="241"/>
      <c r="D1662" s="630" t="s">
        <v>432</v>
      </c>
      <c r="E1662" s="959"/>
      <c r="F1662" s="960"/>
      <c r="G1662" s="961"/>
      <c r="H1662" s="405" t="s">
        <v>947</v>
      </c>
      <c r="I1662" s="962">
        <v>0</v>
      </c>
      <c r="J1662" s="962"/>
      <c r="K1662" s="963"/>
      <c r="L1662" s="617"/>
      <c r="M1662" s="374" t="s">
        <v>1308</v>
      </c>
      <c r="N1662" s="243"/>
      <c r="O1662" s="246" t="s">
        <v>810</v>
      </c>
      <c r="P1662" s="247">
        <v>0.1</v>
      </c>
      <c r="Q1662" s="248">
        <v>3.4000000000000002E-2</v>
      </c>
      <c r="R1662" s="249">
        <v>1.5000000000014779E-2</v>
      </c>
      <c r="S1662" s="250"/>
      <c r="T1662" s="246">
        <v>6.6000000000014783E-2</v>
      </c>
      <c r="U1662" s="248">
        <v>-16.5</v>
      </c>
      <c r="V1662" s="247">
        <v>60.5</v>
      </c>
      <c r="W1662" s="251">
        <v>2</v>
      </c>
      <c r="X1662" s="252">
        <v>33</v>
      </c>
      <c r="Y1662" s="250"/>
      <c r="Z1662" s="250"/>
    </row>
    <row r="1663" spans="3:26" ht="44" x14ac:dyDescent="0.2">
      <c r="C1663" s="241"/>
      <c r="D1663" s="631" t="s">
        <v>433</v>
      </c>
      <c r="E1663" s="979">
        <v>0</v>
      </c>
      <c r="F1663" s="980"/>
      <c r="G1663" s="981"/>
      <c r="H1663" s="405" t="s">
        <v>908</v>
      </c>
      <c r="I1663" s="964"/>
      <c r="J1663" s="964"/>
      <c r="K1663" s="965"/>
      <c r="L1663" s="617"/>
      <c r="M1663" s="375"/>
      <c r="N1663" s="243"/>
      <c r="O1663" s="243"/>
      <c r="P1663" s="243"/>
      <c r="Q1663" s="243"/>
      <c r="R1663" s="253"/>
      <c r="S1663" s="254"/>
      <c r="T1663" s="243"/>
      <c r="U1663" s="243"/>
      <c r="V1663" s="243"/>
      <c r="W1663" s="254"/>
      <c r="X1663" s="254"/>
      <c r="Y1663" s="255"/>
      <c r="Z1663" s="255"/>
    </row>
    <row r="1664" spans="3:26" ht="22" x14ac:dyDescent="0.2">
      <c r="C1664" s="241"/>
      <c r="D1664" s="631" t="s">
        <v>434</v>
      </c>
      <c r="E1664" s="979" t="s">
        <v>931</v>
      </c>
      <c r="F1664" s="980"/>
      <c r="G1664" s="981"/>
      <c r="H1664" s="405"/>
      <c r="I1664" s="964"/>
      <c r="J1664" s="964"/>
      <c r="K1664" s="965"/>
      <c r="L1664" s="617"/>
      <c r="M1664" s="375"/>
      <c r="N1664" s="243"/>
      <c r="O1664" s="256" t="s">
        <v>811</v>
      </c>
      <c r="P1664" s="257">
        <v>0.06</v>
      </c>
      <c r="Q1664" s="258">
        <v>8.6699999999999999E-2</v>
      </c>
      <c r="R1664" s="259">
        <v>1.9E-2</v>
      </c>
      <c r="S1664" s="260">
        <v>1</v>
      </c>
      <c r="T1664" s="256">
        <v>0.14904999999999999</v>
      </c>
      <c r="U1664" s="261">
        <v>-22.357499999994992</v>
      </c>
      <c r="V1664" s="262">
        <v>36.299999999999997</v>
      </c>
      <c r="W1664" s="263">
        <v>4.58</v>
      </c>
      <c r="X1664" s="264">
        <v>102.39734999997707</v>
      </c>
      <c r="Y1664" s="265"/>
      <c r="Z1664" s="265">
        <v>4.4350000000000005</v>
      </c>
    </row>
    <row r="1665" spans="3:26" ht="23" thickBot="1" x14ac:dyDescent="0.25">
      <c r="C1665" s="241"/>
      <c r="D1665" s="632" t="s">
        <v>435</v>
      </c>
      <c r="E1665" s="971">
        <v>0</v>
      </c>
      <c r="F1665" s="972"/>
      <c r="G1665" s="973"/>
      <c r="H1665" s="406"/>
      <c r="I1665" s="964"/>
      <c r="J1665" s="964"/>
      <c r="K1665" s="965"/>
      <c r="L1665" s="618"/>
      <c r="M1665" s="377">
        <v>8.3333333333333315E-2</v>
      </c>
      <c r="N1665" s="243"/>
      <c r="O1665" s="267" t="s">
        <v>812</v>
      </c>
      <c r="P1665" s="268">
        <v>0.06</v>
      </c>
      <c r="Q1665" s="269">
        <v>7.9733333333333337E-2</v>
      </c>
      <c r="R1665" s="270">
        <v>1.9E-2</v>
      </c>
      <c r="S1665" s="271">
        <v>1</v>
      </c>
      <c r="T1665" s="272">
        <v>0.1386</v>
      </c>
      <c r="U1665" s="273">
        <v>-20.789999999995342</v>
      </c>
      <c r="V1665" s="274">
        <v>36.299999999999997</v>
      </c>
      <c r="W1665" s="275">
        <v>3.37</v>
      </c>
      <c r="X1665" s="276">
        <v>70.062299999984305</v>
      </c>
      <c r="Y1665" s="277"/>
      <c r="Z1665" s="277"/>
    </row>
    <row r="1666" spans="3:26" ht="23" thickBot="1" x14ac:dyDescent="0.25">
      <c r="C1666" s="241"/>
      <c r="D1666" s="633" t="s">
        <v>436</v>
      </c>
      <c r="E1666" s="413" t="s">
        <v>29</v>
      </c>
      <c r="F1666" s="413" t="s">
        <v>28</v>
      </c>
      <c r="G1666" s="414" t="s">
        <v>27</v>
      </c>
      <c r="H1666" s="409" t="s">
        <v>793</v>
      </c>
      <c r="I1666" s="964"/>
      <c r="J1666" s="964"/>
      <c r="K1666" s="965"/>
      <c r="L1666" s="619"/>
      <c r="M1666" s="379"/>
      <c r="N1666" s="243"/>
      <c r="O1666" s="254"/>
      <c r="P1666" s="255"/>
      <c r="Q1666" s="254"/>
      <c r="R1666" s="254"/>
      <c r="S1666" s="254"/>
      <c r="T1666" s="254"/>
      <c r="U1666" s="281"/>
      <c r="V1666" s="282"/>
      <c r="W1666" s="254"/>
      <c r="X1666" s="281"/>
      <c r="Y1666" s="255"/>
      <c r="Z1666" s="255"/>
    </row>
    <row r="1667" spans="3:26" ht="22" x14ac:dyDescent="0.2">
      <c r="C1667" s="241"/>
      <c r="D1667" s="637">
        <v>45616</v>
      </c>
      <c r="E1667" s="417">
        <v>2.3E-2</v>
      </c>
      <c r="F1667" s="417" t="s">
        <v>490</v>
      </c>
      <c r="G1667" s="417">
        <v>1.7000000000000001E-2</v>
      </c>
      <c r="H1667" s="411">
        <v>0</v>
      </c>
      <c r="I1667" s="964"/>
      <c r="J1667" s="964"/>
      <c r="K1667" s="965"/>
      <c r="L1667" s="621"/>
      <c r="M1667" s="382"/>
      <c r="N1667" s="243"/>
      <c r="O1667" s="254"/>
      <c r="P1667" s="255"/>
      <c r="Q1667" s="254"/>
      <c r="R1667" s="254"/>
      <c r="S1667" s="254"/>
      <c r="T1667" s="254"/>
      <c r="U1667" s="254"/>
      <c r="V1667" s="254"/>
      <c r="W1667" s="254"/>
      <c r="X1667" s="254"/>
      <c r="Y1667" s="255"/>
      <c r="Z1667" s="255"/>
    </row>
    <row r="1668" spans="3:26" ht="22" x14ac:dyDescent="0.2">
      <c r="C1668" s="241"/>
      <c r="D1668" s="637">
        <v>45581</v>
      </c>
      <c r="E1668" s="417">
        <v>1.7000000000000001E-2</v>
      </c>
      <c r="F1668" s="417" t="s">
        <v>789</v>
      </c>
      <c r="G1668" s="417">
        <v>2.1999999999999999E-2</v>
      </c>
      <c r="H1668" s="411">
        <v>0.25</v>
      </c>
      <c r="I1668" s="964"/>
      <c r="J1668" s="964"/>
      <c r="K1668" s="965"/>
      <c r="L1668" s="621"/>
      <c r="M1668" s="383"/>
      <c r="N1668" s="243"/>
      <c r="O1668" s="246" t="s">
        <v>813</v>
      </c>
      <c r="P1668" s="247">
        <v>0.06</v>
      </c>
      <c r="Q1668" s="285">
        <v>8.3216666666666661E-2</v>
      </c>
      <c r="R1668" s="286">
        <v>1.9E-2</v>
      </c>
      <c r="S1668" s="250">
        <v>1</v>
      </c>
      <c r="T1668" s="256">
        <v>0.14382499999999998</v>
      </c>
      <c r="U1668" s="287">
        <v>-21.573749999995162</v>
      </c>
      <c r="V1668" s="288">
        <v>36.299999999999997</v>
      </c>
      <c r="W1668" s="250">
        <v>2</v>
      </c>
      <c r="X1668" s="252">
        <v>43.147499999990323</v>
      </c>
      <c r="Y1668" s="289"/>
      <c r="Z1668" s="289"/>
    </row>
    <row r="1669" spans="3:26" ht="22" x14ac:dyDescent="0.2">
      <c r="C1669" s="241"/>
      <c r="D1669" s="637">
        <v>45553</v>
      </c>
      <c r="E1669" s="417">
        <v>2.1999999999999999E-2</v>
      </c>
      <c r="F1669" s="417" t="s">
        <v>490</v>
      </c>
      <c r="G1669" s="417">
        <v>2.1999999999999999E-2</v>
      </c>
      <c r="H1669" s="411">
        <v>0.25</v>
      </c>
      <c r="I1669" s="964"/>
      <c r="J1669" s="964"/>
      <c r="K1669" s="965"/>
      <c r="L1669" s="621"/>
      <c r="M1669" s="375"/>
      <c r="N1669" s="243"/>
      <c r="O1669" s="246" t="s">
        <v>813</v>
      </c>
      <c r="P1669" s="247">
        <v>0.06</v>
      </c>
      <c r="Q1669" s="285">
        <v>8.3216666666666661E-2</v>
      </c>
      <c r="R1669" s="286">
        <v>1.9E-2</v>
      </c>
      <c r="S1669" s="250">
        <v>1</v>
      </c>
      <c r="T1669" s="256">
        <v>0.14382499999999998</v>
      </c>
      <c r="U1669" s="287">
        <v>-21.573749999995162</v>
      </c>
      <c r="V1669" s="288">
        <v>36.299999999999997</v>
      </c>
      <c r="W1669" s="250">
        <v>2</v>
      </c>
      <c r="X1669" s="252">
        <v>43.147499999990323</v>
      </c>
      <c r="Y1669" s="289"/>
      <c r="Z1669" s="289"/>
    </row>
    <row r="1670" spans="3:26" ht="22" x14ac:dyDescent="0.2">
      <c r="C1670" s="241"/>
      <c r="D1670" s="637">
        <v>45518</v>
      </c>
      <c r="E1670" s="417">
        <v>2.1999999999999999E-2</v>
      </c>
      <c r="F1670" s="417" t="s">
        <v>971</v>
      </c>
      <c r="G1670" s="417">
        <v>0.02</v>
      </c>
      <c r="H1670" s="411">
        <v>0.25</v>
      </c>
      <c r="I1670" s="964"/>
      <c r="J1670" s="964"/>
      <c r="K1670" s="965"/>
      <c r="L1670" s="621"/>
      <c r="M1670" s="375"/>
      <c r="N1670" s="243"/>
      <c r="O1670" s="246" t="s">
        <v>816</v>
      </c>
      <c r="P1670" s="290"/>
      <c r="Q1670" s="285"/>
      <c r="R1670" s="286"/>
      <c r="S1670" s="250"/>
      <c r="T1670" s="290"/>
      <c r="U1670" s="287"/>
      <c r="V1670" s="288"/>
      <c r="W1670" s="250"/>
      <c r="X1670" s="252"/>
      <c r="Y1670" s="289"/>
      <c r="Z1670" s="289"/>
    </row>
    <row r="1671" spans="3:26" ht="22" x14ac:dyDescent="0.2">
      <c r="C1671" s="241"/>
      <c r="D1671" s="637">
        <v>45490</v>
      </c>
      <c r="E1671" s="417">
        <v>0.02</v>
      </c>
      <c r="F1671" s="417" t="s">
        <v>789</v>
      </c>
      <c r="G1671" s="417">
        <v>0.02</v>
      </c>
      <c r="H1671" s="411">
        <v>0.25</v>
      </c>
      <c r="I1671" s="964"/>
      <c r="J1671" s="964"/>
      <c r="K1671" s="965"/>
      <c r="L1671" s="621"/>
      <c r="M1671" s="375"/>
      <c r="N1671" s="243"/>
      <c r="O1671" s="291"/>
      <c r="P1671" s="291"/>
      <c r="Q1671" s="291"/>
      <c r="R1671" s="291"/>
      <c r="S1671" s="291"/>
      <c r="T1671" s="291"/>
      <c r="U1671" s="291"/>
      <c r="V1671" s="291"/>
      <c r="W1671" s="291"/>
      <c r="X1671" s="291"/>
      <c r="Y1671" s="291"/>
      <c r="Z1671" s="291"/>
    </row>
    <row r="1672" spans="3:26" ht="23" thickBot="1" x14ac:dyDescent="0.25">
      <c r="C1672" s="241"/>
      <c r="D1672" s="638">
        <v>45462</v>
      </c>
      <c r="E1672" s="418">
        <v>0.02</v>
      </c>
      <c r="F1672" s="418" t="s">
        <v>788</v>
      </c>
      <c r="G1672" s="418">
        <v>2.3E-2</v>
      </c>
      <c r="H1672" s="411">
        <v>0.25</v>
      </c>
      <c r="I1672" s="966"/>
      <c r="J1672" s="966"/>
      <c r="K1672" s="967"/>
      <c r="L1672" s="622"/>
      <c r="M1672" s="384"/>
      <c r="N1672" s="243"/>
      <c r="O1672" s="291"/>
      <c r="P1672" s="291"/>
      <c r="Q1672" s="291"/>
      <c r="R1672" s="291"/>
      <c r="S1672" s="291"/>
      <c r="T1672" s="291"/>
      <c r="U1672" s="291"/>
      <c r="V1672" s="291"/>
      <c r="W1672" s="291"/>
      <c r="X1672" s="291"/>
      <c r="Y1672" s="291"/>
      <c r="Z1672" s="291"/>
    </row>
    <row r="1673" spans="3:26" ht="23" thickBot="1" x14ac:dyDescent="0.25">
      <c r="C1673" s="241">
        <v>5</v>
      </c>
      <c r="D1673" s="623" t="s">
        <v>30</v>
      </c>
      <c r="E1673" s="974" t="s">
        <v>1309</v>
      </c>
      <c r="F1673" s="975"/>
      <c r="G1673" s="976"/>
      <c r="H1673" s="404" t="s">
        <v>790</v>
      </c>
      <c r="I1673" s="977" t="s">
        <v>633</v>
      </c>
      <c r="J1673" s="977"/>
      <c r="K1673" s="978"/>
      <c r="L1673" s="616" t="s">
        <v>430</v>
      </c>
      <c r="M1673" s="372" t="s">
        <v>431</v>
      </c>
      <c r="N1673" s="243" t="s">
        <v>105</v>
      </c>
      <c r="O1673" s="244" t="s">
        <v>800</v>
      </c>
      <c r="P1673" s="244" t="s">
        <v>801</v>
      </c>
      <c r="Q1673" s="244" t="s">
        <v>802</v>
      </c>
      <c r="R1673" s="244" t="s">
        <v>803</v>
      </c>
      <c r="S1673" s="244" t="s">
        <v>804</v>
      </c>
      <c r="T1673" s="244" t="s">
        <v>805</v>
      </c>
      <c r="U1673" s="244" t="s">
        <v>806</v>
      </c>
      <c r="V1673" s="244" t="s">
        <v>807</v>
      </c>
      <c r="W1673" s="244" t="s">
        <v>808</v>
      </c>
      <c r="X1673" s="244" t="s">
        <v>809</v>
      </c>
      <c r="Y1673" s="244" t="s">
        <v>75</v>
      </c>
      <c r="Z1673" s="244" t="s">
        <v>75</v>
      </c>
    </row>
    <row r="1674" spans="3:26" ht="22" x14ac:dyDescent="0.2">
      <c r="C1674" s="241"/>
      <c r="D1674" s="630" t="s">
        <v>432</v>
      </c>
      <c r="E1674" s="959"/>
      <c r="F1674" s="960"/>
      <c r="G1674" s="961"/>
      <c r="H1674" s="405" t="s">
        <v>794</v>
      </c>
      <c r="I1674" s="962" t="s">
        <v>1310</v>
      </c>
      <c r="J1674" s="962"/>
      <c r="K1674" s="963"/>
      <c r="L1674" s="617"/>
      <c r="M1674" s="374" t="s">
        <v>1309</v>
      </c>
      <c r="N1674" s="243"/>
      <c r="O1674" s="246" t="s">
        <v>810</v>
      </c>
      <c r="P1674" s="247">
        <v>0.1</v>
      </c>
      <c r="Q1674" s="248">
        <v>3.4000000000000002E-2</v>
      </c>
      <c r="R1674" s="249">
        <v>1.5000000000014779E-2</v>
      </c>
      <c r="S1674" s="250"/>
      <c r="T1674" s="246">
        <v>6.6000000000014783E-2</v>
      </c>
      <c r="U1674" s="248">
        <v>-16.5</v>
      </c>
      <c r="V1674" s="247">
        <v>60.5</v>
      </c>
      <c r="W1674" s="251">
        <v>2</v>
      </c>
      <c r="X1674" s="252">
        <v>33</v>
      </c>
      <c r="Y1674" s="250"/>
      <c r="Z1674" s="250"/>
    </row>
    <row r="1675" spans="3:26" ht="22" x14ac:dyDescent="0.2">
      <c r="C1675" s="241"/>
      <c r="D1675" s="631" t="s">
        <v>433</v>
      </c>
      <c r="E1675" s="968"/>
      <c r="F1675" s="969"/>
      <c r="G1675" s="970"/>
      <c r="H1675" s="405" t="s">
        <v>795</v>
      </c>
      <c r="I1675" s="964"/>
      <c r="J1675" s="964"/>
      <c r="K1675" s="965"/>
      <c r="L1675" s="617"/>
      <c r="M1675" s="375"/>
      <c r="N1675" s="243"/>
      <c r="O1675" s="243"/>
      <c r="P1675" s="243"/>
      <c r="Q1675" s="243"/>
      <c r="R1675" s="253"/>
      <c r="S1675" s="254"/>
      <c r="T1675" s="243"/>
      <c r="U1675" s="243"/>
      <c r="V1675" s="243"/>
      <c r="W1675" s="254"/>
      <c r="X1675" s="254"/>
      <c r="Y1675" s="255"/>
      <c r="Z1675" s="255"/>
    </row>
    <row r="1676" spans="3:26" ht="22" x14ac:dyDescent="0.2">
      <c r="C1676" s="241"/>
      <c r="D1676" s="631" t="s">
        <v>434</v>
      </c>
      <c r="E1676" s="968" t="s">
        <v>931</v>
      </c>
      <c r="F1676" s="969"/>
      <c r="G1676" s="970"/>
      <c r="H1676" s="405"/>
      <c r="I1676" s="964"/>
      <c r="J1676" s="964"/>
      <c r="K1676" s="965"/>
      <c r="L1676" s="617"/>
      <c r="M1676" s="375"/>
      <c r="N1676" s="243"/>
      <c r="O1676" s="256" t="s">
        <v>811</v>
      </c>
      <c r="P1676" s="257">
        <v>0.1</v>
      </c>
      <c r="Q1676" s="258">
        <v>5.9400000000000001E-2</v>
      </c>
      <c r="R1676" s="259">
        <v>6.9999999999999999E-4</v>
      </c>
      <c r="S1676" s="260">
        <v>1</v>
      </c>
      <c r="T1676" s="256">
        <v>8.9800000000000005E-2</v>
      </c>
      <c r="U1676" s="261">
        <v>-22.449999999994972</v>
      </c>
      <c r="V1676" s="262">
        <v>60.5</v>
      </c>
      <c r="W1676" s="263">
        <v>4.38</v>
      </c>
      <c r="X1676" s="264">
        <v>98.330999999977976</v>
      </c>
      <c r="Y1676" s="265"/>
      <c r="Z1676" s="265"/>
    </row>
    <row r="1677" spans="3:26" ht="23" thickBot="1" x14ac:dyDescent="0.25">
      <c r="C1677" s="241"/>
      <c r="D1677" s="632" t="s">
        <v>435</v>
      </c>
      <c r="E1677" s="971">
        <v>0.5625</v>
      </c>
      <c r="F1677" s="972"/>
      <c r="G1677" s="973"/>
      <c r="H1677" s="406"/>
      <c r="I1677" s="964"/>
      <c r="J1677" s="964"/>
      <c r="K1677" s="965"/>
      <c r="L1677" s="618">
        <v>0.79166666666666663</v>
      </c>
      <c r="M1677" s="377">
        <v>0.64583333333333326</v>
      </c>
      <c r="N1677" s="243"/>
      <c r="O1677" s="267" t="s">
        <v>812</v>
      </c>
      <c r="P1677" s="268">
        <v>0.1</v>
      </c>
      <c r="Q1677" s="269">
        <v>7.1533333333333324E-2</v>
      </c>
      <c r="R1677" s="270">
        <v>6.9999999999999999E-4</v>
      </c>
      <c r="S1677" s="271">
        <v>1</v>
      </c>
      <c r="T1677" s="272">
        <v>0.108</v>
      </c>
      <c r="U1677" s="273">
        <v>-26.999999999993953</v>
      </c>
      <c r="V1677" s="274">
        <v>60.5</v>
      </c>
      <c r="W1677" s="275">
        <v>8</v>
      </c>
      <c r="X1677" s="276">
        <v>215.99999999995163</v>
      </c>
      <c r="Y1677" s="277"/>
      <c r="Z1677" s="277"/>
    </row>
    <row r="1678" spans="3:26" ht="23" thickBot="1" x14ac:dyDescent="0.25">
      <c r="C1678" s="241"/>
      <c r="D1678" s="633" t="s">
        <v>436</v>
      </c>
      <c r="E1678" s="413" t="s">
        <v>29</v>
      </c>
      <c r="F1678" s="413" t="s">
        <v>28</v>
      </c>
      <c r="G1678" s="414" t="s">
        <v>27</v>
      </c>
      <c r="H1678" s="409" t="s">
        <v>793</v>
      </c>
      <c r="I1678" s="964"/>
      <c r="J1678" s="964"/>
      <c r="K1678" s="965"/>
      <c r="L1678" s="619" t="s">
        <v>1246</v>
      </c>
      <c r="M1678" s="379"/>
      <c r="N1678" s="243"/>
      <c r="O1678" s="254"/>
      <c r="P1678" s="255"/>
      <c r="Q1678" s="254"/>
      <c r="R1678" s="254"/>
      <c r="S1678" s="254"/>
      <c r="T1678" s="254"/>
      <c r="U1678" s="281"/>
      <c r="V1678" s="282"/>
      <c r="W1678" s="254"/>
      <c r="X1678" s="281"/>
      <c r="Y1678" s="255"/>
      <c r="Z1678" s="255"/>
    </row>
    <row r="1679" spans="3:26" ht="22" x14ac:dyDescent="0.2">
      <c r="C1679" s="241"/>
      <c r="D1679" s="634">
        <v>45645</v>
      </c>
      <c r="E1679" s="417" t="s">
        <v>1112</v>
      </c>
      <c r="F1679" s="417" t="s">
        <v>976</v>
      </c>
      <c r="G1679" s="417" t="s">
        <v>980</v>
      </c>
      <c r="H1679" s="411">
        <v>0.5625</v>
      </c>
      <c r="I1679" s="964"/>
      <c r="J1679" s="964"/>
      <c r="K1679" s="965"/>
      <c r="L1679" s="621"/>
      <c r="M1679" s="382"/>
      <c r="N1679" s="243"/>
      <c r="O1679" s="254"/>
      <c r="P1679" s="255"/>
      <c r="Q1679" s="254"/>
      <c r="R1679" s="254"/>
      <c r="S1679" s="254"/>
      <c r="T1679" s="254"/>
      <c r="U1679" s="254"/>
      <c r="V1679" s="254"/>
      <c r="W1679" s="254"/>
      <c r="X1679" s="254"/>
      <c r="Y1679" s="255"/>
      <c r="Z1679" s="255"/>
    </row>
    <row r="1680" spans="3:26" ht="22" x14ac:dyDescent="0.2">
      <c r="C1680" s="241"/>
      <c r="D1680" s="634">
        <v>45638</v>
      </c>
      <c r="E1680" s="417" t="s">
        <v>980</v>
      </c>
      <c r="F1680" s="417" t="s">
        <v>972</v>
      </c>
      <c r="G1680" s="417" t="s">
        <v>985</v>
      </c>
      <c r="H1680" s="411">
        <v>0.5625</v>
      </c>
      <c r="I1680" s="964"/>
      <c r="J1680" s="964"/>
      <c r="K1680" s="965"/>
      <c r="L1680" s="621"/>
      <c r="M1680" s="383"/>
      <c r="N1680" s="243"/>
      <c r="O1680" s="246" t="s">
        <v>813</v>
      </c>
      <c r="P1680" s="247">
        <v>0.1</v>
      </c>
      <c r="Q1680" s="285">
        <v>6.5466666666666659E-2</v>
      </c>
      <c r="R1680" s="286">
        <v>6.9999999999999999E-4</v>
      </c>
      <c r="S1680" s="250">
        <v>1</v>
      </c>
      <c r="T1680" s="256">
        <v>9.8899999999999988E-2</v>
      </c>
      <c r="U1680" s="287">
        <v>-24.724999999994459</v>
      </c>
      <c r="V1680" s="288">
        <v>60.5</v>
      </c>
      <c r="W1680" s="250">
        <v>3</v>
      </c>
      <c r="X1680" s="252">
        <v>74.174999999983385</v>
      </c>
      <c r="Y1680" s="289"/>
      <c r="Z1680" s="289"/>
    </row>
    <row r="1681" spans="3:26" ht="22" x14ac:dyDescent="0.2">
      <c r="C1681" s="241"/>
      <c r="D1681" s="634">
        <v>45631</v>
      </c>
      <c r="E1681" s="417" t="s">
        <v>1032</v>
      </c>
      <c r="F1681" s="417" t="s">
        <v>1232</v>
      </c>
      <c r="G1681" s="417" t="s">
        <v>1232</v>
      </c>
      <c r="H1681" s="411">
        <v>0.5625</v>
      </c>
      <c r="I1681" s="964"/>
      <c r="J1681" s="964"/>
      <c r="K1681" s="965"/>
      <c r="L1681" s="621"/>
      <c r="M1681" s="375"/>
      <c r="N1681" s="243"/>
      <c r="O1681" s="246" t="s">
        <v>813</v>
      </c>
      <c r="P1681" s="247">
        <v>0.1</v>
      </c>
      <c r="Q1681" s="285">
        <v>6.5466666666666659E-2</v>
      </c>
      <c r="R1681" s="286">
        <v>6.9999999999999999E-4</v>
      </c>
      <c r="S1681" s="250">
        <v>1</v>
      </c>
      <c r="T1681" s="256">
        <v>9.8899999999999988E-2</v>
      </c>
      <c r="U1681" s="287">
        <v>-24.724999999994459</v>
      </c>
      <c r="V1681" s="288">
        <v>60.5</v>
      </c>
      <c r="W1681" s="250">
        <v>3</v>
      </c>
      <c r="X1681" s="252">
        <v>74.174999999983385</v>
      </c>
      <c r="Y1681" s="289"/>
      <c r="Z1681" s="289"/>
    </row>
    <row r="1682" spans="3:26" ht="22" x14ac:dyDescent="0.2">
      <c r="C1682" s="241"/>
      <c r="D1682" s="634">
        <v>45623</v>
      </c>
      <c r="E1682" s="417" t="s">
        <v>1111</v>
      </c>
      <c r="F1682" s="417" t="s">
        <v>1232</v>
      </c>
      <c r="G1682" s="417" t="s">
        <v>1232</v>
      </c>
      <c r="H1682" s="411">
        <v>0.5625</v>
      </c>
      <c r="I1682" s="964"/>
      <c r="J1682" s="964"/>
      <c r="K1682" s="965"/>
      <c r="L1682" s="621"/>
      <c r="M1682" s="375"/>
      <c r="N1682" s="243"/>
      <c r="O1682" s="246"/>
      <c r="P1682" s="290"/>
      <c r="Q1682" s="285"/>
      <c r="R1682" s="286"/>
      <c r="S1682" s="250"/>
      <c r="T1682" s="290"/>
      <c r="U1682" s="287"/>
      <c r="V1682" s="288"/>
      <c r="W1682" s="250"/>
      <c r="X1682" s="252"/>
      <c r="Y1682" s="289"/>
      <c r="Z1682" s="289"/>
    </row>
    <row r="1683" spans="3:26" ht="22" x14ac:dyDescent="0.2">
      <c r="C1683" s="241"/>
      <c r="D1683" s="634">
        <v>45617</v>
      </c>
      <c r="E1683" s="417" t="s">
        <v>1111</v>
      </c>
      <c r="F1683" s="417" t="s">
        <v>1112</v>
      </c>
      <c r="G1683" s="417" t="s">
        <v>987</v>
      </c>
      <c r="H1683" s="411">
        <v>0.5625</v>
      </c>
      <c r="I1683" s="964"/>
      <c r="J1683" s="964"/>
      <c r="K1683" s="965"/>
      <c r="L1683" s="621"/>
      <c r="M1683" s="375"/>
      <c r="N1683" s="243"/>
      <c r="O1683" s="291"/>
      <c r="P1683" s="291"/>
      <c r="Q1683" s="291"/>
      <c r="R1683" s="291"/>
      <c r="S1683" s="291"/>
      <c r="T1683" s="291"/>
      <c r="U1683" s="291"/>
      <c r="V1683" s="291"/>
      <c r="W1683" s="291"/>
      <c r="X1683" s="291"/>
      <c r="Y1683" s="291"/>
      <c r="Z1683" s="291"/>
    </row>
    <row r="1684" spans="3:26" ht="23" thickBot="1" x14ac:dyDescent="0.25">
      <c r="C1684" s="241"/>
      <c r="D1684" s="636">
        <v>45610</v>
      </c>
      <c r="E1684" s="418" t="s">
        <v>1031</v>
      </c>
      <c r="F1684" s="418" t="s">
        <v>1032</v>
      </c>
      <c r="G1684" s="418" t="s">
        <v>972</v>
      </c>
      <c r="H1684" s="411">
        <v>0.5625</v>
      </c>
      <c r="I1684" s="966"/>
      <c r="J1684" s="966"/>
      <c r="K1684" s="967"/>
      <c r="L1684" s="622"/>
      <c r="M1684" s="384"/>
      <c r="N1684" s="243"/>
      <c r="O1684" s="291"/>
      <c r="P1684" s="291"/>
      <c r="Q1684" s="291"/>
      <c r="R1684" s="291"/>
      <c r="S1684" s="291"/>
      <c r="T1684" s="291"/>
      <c r="U1684" s="291"/>
      <c r="V1684" s="291"/>
      <c r="W1684" s="291"/>
      <c r="X1684" s="291"/>
      <c r="Y1684" s="291"/>
      <c r="Z1684" s="291"/>
    </row>
    <row r="1685" spans="3:26" ht="23" thickBot="1" x14ac:dyDescent="0.25">
      <c r="C1685" s="241">
        <v>6</v>
      </c>
      <c r="D1685" s="623" t="s">
        <v>30</v>
      </c>
      <c r="E1685" s="974" t="s">
        <v>9</v>
      </c>
      <c r="F1685" s="975"/>
      <c r="G1685" s="976"/>
      <c r="H1685" s="404" t="s">
        <v>790</v>
      </c>
      <c r="I1685" s="977" t="s">
        <v>633</v>
      </c>
      <c r="J1685" s="977"/>
      <c r="K1685" s="978"/>
      <c r="L1685" s="616" t="s">
        <v>430</v>
      </c>
      <c r="M1685" s="372" t="s">
        <v>431</v>
      </c>
      <c r="N1685" s="243" t="s">
        <v>105</v>
      </c>
      <c r="O1685" s="244" t="s">
        <v>800</v>
      </c>
      <c r="P1685" s="244" t="s">
        <v>801</v>
      </c>
      <c r="Q1685" s="244" t="s">
        <v>802</v>
      </c>
      <c r="R1685" s="244" t="s">
        <v>803</v>
      </c>
      <c r="S1685" s="244" t="s">
        <v>804</v>
      </c>
      <c r="T1685" s="244" t="s">
        <v>805</v>
      </c>
      <c r="U1685" s="244" t="s">
        <v>806</v>
      </c>
      <c r="V1685" s="244" t="s">
        <v>807</v>
      </c>
      <c r="W1685" s="244" t="s">
        <v>808</v>
      </c>
      <c r="X1685" s="244" t="s">
        <v>809</v>
      </c>
      <c r="Y1685" s="244" t="s">
        <v>75</v>
      </c>
      <c r="Z1685" s="244" t="s">
        <v>75</v>
      </c>
    </row>
    <row r="1686" spans="3:26" ht="22" x14ac:dyDescent="0.2">
      <c r="C1686" s="241"/>
      <c r="D1686" s="630" t="s">
        <v>432</v>
      </c>
      <c r="E1686" s="959"/>
      <c r="F1686" s="960"/>
      <c r="G1686" s="961"/>
      <c r="H1686" s="405" t="s">
        <v>796</v>
      </c>
      <c r="I1686" s="962" t="s">
        <v>1312</v>
      </c>
      <c r="J1686" s="962"/>
      <c r="K1686" s="963"/>
      <c r="L1686" s="617"/>
      <c r="M1686" s="374" t="s">
        <v>9</v>
      </c>
      <c r="N1686" s="243"/>
      <c r="O1686" s="246" t="s">
        <v>810</v>
      </c>
      <c r="P1686" s="247">
        <v>0.1</v>
      </c>
      <c r="Q1686" s="248">
        <v>3.4000000000000002E-2</v>
      </c>
      <c r="R1686" s="249">
        <v>1.5000000000014779E-2</v>
      </c>
      <c r="S1686" s="250"/>
      <c r="T1686" s="246">
        <v>6.6000000000014783E-2</v>
      </c>
      <c r="U1686" s="248">
        <v>-16.5</v>
      </c>
      <c r="V1686" s="247">
        <v>60.5</v>
      </c>
      <c r="W1686" s="251">
        <v>2</v>
      </c>
      <c r="X1686" s="252">
        <v>33</v>
      </c>
      <c r="Y1686" s="250"/>
      <c r="Z1686" s="250"/>
    </row>
    <row r="1687" spans="3:26" ht="22" x14ac:dyDescent="0.2">
      <c r="C1687" s="241"/>
      <c r="D1687" s="631" t="s">
        <v>433</v>
      </c>
      <c r="E1687" s="968"/>
      <c r="F1687" s="969"/>
      <c r="G1687" s="970"/>
      <c r="H1687" s="405" t="s">
        <v>796</v>
      </c>
      <c r="I1687" s="964"/>
      <c r="J1687" s="964"/>
      <c r="K1687" s="965"/>
      <c r="L1687" s="617"/>
      <c r="M1687" s="375"/>
      <c r="N1687" s="243"/>
      <c r="O1687" s="243"/>
      <c r="P1687" s="243"/>
      <c r="Q1687" s="243"/>
      <c r="R1687" s="253"/>
      <c r="S1687" s="254"/>
      <c r="T1687" s="243"/>
      <c r="U1687" s="243"/>
      <c r="V1687" s="243"/>
      <c r="W1687" s="254"/>
      <c r="X1687" s="254"/>
      <c r="Y1687" s="255"/>
      <c r="Z1687" s="255"/>
    </row>
    <row r="1688" spans="3:26" ht="22" x14ac:dyDescent="0.2">
      <c r="C1688" s="241"/>
      <c r="D1688" s="631" t="s">
        <v>434</v>
      </c>
      <c r="E1688" s="968" t="s">
        <v>1311</v>
      </c>
      <c r="F1688" s="969"/>
      <c r="G1688" s="970"/>
      <c r="H1688" s="405"/>
      <c r="I1688" s="964"/>
      <c r="J1688" s="964"/>
      <c r="K1688" s="965"/>
      <c r="L1688" s="617"/>
      <c r="M1688" s="375"/>
      <c r="N1688" s="243"/>
      <c r="O1688" s="256" t="s">
        <v>811</v>
      </c>
      <c r="P1688" s="257">
        <v>0.1</v>
      </c>
      <c r="Q1688" s="258">
        <v>5.9400000000000001E-2</v>
      </c>
      <c r="R1688" s="259">
        <v>6.9999999999999999E-4</v>
      </c>
      <c r="S1688" s="260">
        <v>1</v>
      </c>
      <c r="T1688" s="256">
        <v>8.9800000000000005E-2</v>
      </c>
      <c r="U1688" s="261">
        <v>-22.449999999994972</v>
      </c>
      <c r="V1688" s="262">
        <v>60.5</v>
      </c>
      <c r="W1688" s="263">
        <v>4.38</v>
      </c>
      <c r="X1688" s="264">
        <v>98.330999999977976</v>
      </c>
      <c r="Y1688" s="265"/>
      <c r="Z1688" s="265"/>
    </row>
    <row r="1689" spans="3:26" ht="23" thickBot="1" x14ac:dyDescent="0.25">
      <c r="C1689" s="241"/>
      <c r="D1689" s="632" t="s">
        <v>435</v>
      </c>
      <c r="E1689" s="971">
        <v>0.66666666666666674</v>
      </c>
      <c r="F1689" s="972"/>
      <c r="G1689" s="973"/>
      <c r="H1689" s="406"/>
      <c r="I1689" s="964"/>
      <c r="J1689" s="964"/>
      <c r="K1689" s="965"/>
      <c r="L1689" s="618">
        <v>0.89583333333333337</v>
      </c>
      <c r="M1689" s="377">
        <v>0.75</v>
      </c>
      <c r="N1689" s="243"/>
      <c r="O1689" s="267" t="s">
        <v>812</v>
      </c>
      <c r="P1689" s="268">
        <v>0.1</v>
      </c>
      <c r="Q1689" s="269">
        <v>7.1533333333333324E-2</v>
      </c>
      <c r="R1689" s="270">
        <v>6.9999999999999999E-4</v>
      </c>
      <c r="S1689" s="271">
        <v>1</v>
      </c>
      <c r="T1689" s="272">
        <v>0.108</v>
      </c>
      <c r="U1689" s="273">
        <v>-26.999999999993953</v>
      </c>
      <c r="V1689" s="274">
        <v>60.5</v>
      </c>
      <c r="W1689" s="275">
        <v>8</v>
      </c>
      <c r="X1689" s="276">
        <v>215.99999999995163</v>
      </c>
      <c r="Y1689" s="277"/>
      <c r="Z1689" s="277"/>
    </row>
    <row r="1690" spans="3:26" ht="23" thickBot="1" x14ac:dyDescent="0.25">
      <c r="C1690" s="241"/>
      <c r="D1690" s="633" t="s">
        <v>436</v>
      </c>
      <c r="E1690" s="413" t="s">
        <v>29</v>
      </c>
      <c r="F1690" s="413" t="s">
        <v>28</v>
      </c>
      <c r="G1690" s="414" t="s">
        <v>27</v>
      </c>
      <c r="H1690" s="409" t="s">
        <v>793</v>
      </c>
      <c r="I1690" s="964"/>
      <c r="J1690" s="964"/>
      <c r="K1690" s="965"/>
      <c r="L1690" s="619" t="s">
        <v>1246</v>
      </c>
      <c r="M1690" s="379"/>
      <c r="N1690" s="243"/>
      <c r="O1690" s="254"/>
      <c r="P1690" s="255"/>
      <c r="Q1690" s="254"/>
      <c r="R1690" s="254"/>
      <c r="S1690" s="254"/>
      <c r="T1690" s="254"/>
      <c r="U1690" s="281"/>
      <c r="V1690" s="282"/>
      <c r="W1690" s="254"/>
      <c r="X1690" s="281"/>
      <c r="Y1690" s="255"/>
      <c r="Z1690" s="255"/>
    </row>
    <row r="1691" spans="3:26" ht="22" x14ac:dyDescent="0.2">
      <c r="C1691" s="241"/>
      <c r="D1691" s="634">
        <v>45644</v>
      </c>
      <c r="E1691" s="417" t="s">
        <v>1318</v>
      </c>
      <c r="F1691" s="417" t="s">
        <v>1289</v>
      </c>
      <c r="G1691" s="417" t="s">
        <v>1286</v>
      </c>
      <c r="H1691" s="419">
        <v>0.72916666666666674</v>
      </c>
      <c r="I1691" s="964"/>
      <c r="J1691" s="964"/>
      <c r="K1691" s="965"/>
      <c r="L1691" s="621">
        <v>0.64583333333333337</v>
      </c>
      <c r="M1691" s="382"/>
      <c r="N1691" s="243"/>
      <c r="O1691" s="254"/>
      <c r="P1691" s="255"/>
      <c r="Q1691" s="254"/>
      <c r="R1691" s="254"/>
      <c r="S1691" s="254"/>
      <c r="T1691" s="254"/>
      <c r="U1691" s="254"/>
      <c r="V1691" s="254"/>
      <c r="W1691" s="254"/>
      <c r="X1691" s="254"/>
      <c r="Y1691" s="255"/>
      <c r="Z1691" s="255"/>
    </row>
    <row r="1692" spans="3:26" ht="22" x14ac:dyDescent="0.2">
      <c r="C1692" s="241"/>
      <c r="D1692" s="634">
        <v>45637</v>
      </c>
      <c r="E1692" s="417" t="s">
        <v>1286</v>
      </c>
      <c r="F1692" s="417" t="s">
        <v>1287</v>
      </c>
      <c r="G1692" s="417" t="s">
        <v>1288</v>
      </c>
      <c r="H1692" s="419">
        <v>0.72916666666666674</v>
      </c>
      <c r="I1692" s="964"/>
      <c r="J1692" s="964"/>
      <c r="K1692" s="965"/>
      <c r="L1692" s="621">
        <v>0.64583333333333337</v>
      </c>
      <c r="M1692" s="383"/>
      <c r="N1692" s="243"/>
      <c r="O1692" s="246" t="s">
        <v>813</v>
      </c>
      <c r="P1692" s="247">
        <v>0.1</v>
      </c>
      <c r="Q1692" s="285">
        <v>6.5466666666666659E-2</v>
      </c>
      <c r="R1692" s="286">
        <v>6.9999999999999999E-4</v>
      </c>
      <c r="S1692" s="250">
        <v>1</v>
      </c>
      <c r="T1692" s="256">
        <v>9.8899999999999988E-2</v>
      </c>
      <c r="U1692" s="287">
        <v>-24.724999999994459</v>
      </c>
      <c r="V1692" s="288">
        <v>60.5</v>
      </c>
      <c r="W1692" s="250">
        <v>3</v>
      </c>
      <c r="X1692" s="252">
        <v>74.174999999983385</v>
      </c>
      <c r="Y1692" s="289"/>
      <c r="Z1692" s="289"/>
    </row>
    <row r="1693" spans="3:26" ht="22" x14ac:dyDescent="0.2">
      <c r="C1693" s="241"/>
      <c r="D1693" s="634">
        <v>45630</v>
      </c>
      <c r="E1693" s="417" t="s">
        <v>1288</v>
      </c>
      <c r="F1693" s="417" t="s">
        <v>1289</v>
      </c>
      <c r="G1693" s="417" t="s">
        <v>1230</v>
      </c>
      <c r="H1693" s="419">
        <v>0.72916666666666674</v>
      </c>
      <c r="I1693" s="964"/>
      <c r="J1693" s="964"/>
      <c r="K1693" s="965"/>
      <c r="L1693" s="621">
        <v>0.64583333333333337</v>
      </c>
      <c r="M1693" s="375"/>
      <c r="N1693" s="243"/>
      <c r="O1693" s="246" t="s">
        <v>813</v>
      </c>
      <c r="P1693" s="247">
        <v>0.1</v>
      </c>
      <c r="Q1693" s="285">
        <v>6.5466666666666659E-2</v>
      </c>
      <c r="R1693" s="286">
        <v>6.9999999999999999E-4</v>
      </c>
      <c r="S1693" s="250">
        <v>1</v>
      </c>
      <c r="T1693" s="256">
        <v>9.8899999999999988E-2</v>
      </c>
      <c r="U1693" s="287">
        <v>-24.724999999994459</v>
      </c>
      <c r="V1693" s="288">
        <v>60.5</v>
      </c>
      <c r="W1693" s="250">
        <v>3</v>
      </c>
      <c r="X1693" s="252">
        <v>74.174999999983385</v>
      </c>
      <c r="Y1693" s="289"/>
      <c r="Z1693" s="289"/>
    </row>
    <row r="1694" spans="3:26" ht="22" x14ac:dyDescent="0.2">
      <c r="C1694" s="241"/>
      <c r="D1694" s="634">
        <v>45623</v>
      </c>
      <c r="E1694" s="417" t="s">
        <v>1230</v>
      </c>
      <c r="F1694" s="417" t="s">
        <v>1231</v>
      </c>
      <c r="G1694" s="417" t="s">
        <v>1125</v>
      </c>
      <c r="H1694" s="419">
        <v>0.72916666666666674</v>
      </c>
      <c r="I1694" s="964"/>
      <c r="J1694" s="964"/>
      <c r="K1694" s="965"/>
      <c r="L1694" s="621">
        <v>0.64583333333333337</v>
      </c>
      <c r="M1694" s="375"/>
      <c r="N1694" s="243"/>
      <c r="O1694" s="246"/>
      <c r="P1694" s="290"/>
      <c r="Q1694" s="285"/>
      <c r="R1694" s="286"/>
      <c r="S1694" s="250"/>
      <c r="T1694" s="290"/>
      <c r="U1694" s="287"/>
      <c r="V1694" s="288"/>
      <c r="W1694" s="250"/>
      <c r="X1694" s="252"/>
      <c r="Y1694" s="289"/>
      <c r="Z1694" s="289"/>
    </row>
    <row r="1695" spans="3:26" ht="22" x14ac:dyDescent="0.2">
      <c r="C1695" s="241"/>
      <c r="D1695" s="634">
        <v>45616</v>
      </c>
      <c r="E1695" s="417" t="s">
        <v>1125</v>
      </c>
      <c r="F1695" s="417" t="s">
        <v>1030</v>
      </c>
      <c r="G1695" s="417" t="s">
        <v>1029</v>
      </c>
      <c r="H1695" s="419">
        <v>0.72916666666666674</v>
      </c>
      <c r="I1695" s="964"/>
      <c r="J1695" s="964"/>
      <c r="K1695" s="965"/>
      <c r="L1695" s="621">
        <v>0.64583333333333337</v>
      </c>
      <c r="M1695" s="375"/>
      <c r="N1695" s="243"/>
      <c r="O1695" s="291"/>
      <c r="P1695" s="291"/>
      <c r="Q1695" s="291"/>
      <c r="R1695" s="291"/>
      <c r="S1695" s="291"/>
      <c r="T1695" s="291"/>
      <c r="U1695" s="291"/>
      <c r="V1695" s="291"/>
      <c r="W1695" s="291"/>
      <c r="X1695" s="291"/>
      <c r="Y1695" s="291"/>
      <c r="Z1695" s="291"/>
    </row>
    <row r="1696" spans="3:26" ht="23" thickBot="1" x14ac:dyDescent="0.25">
      <c r="C1696" s="241"/>
      <c r="D1696" s="636">
        <v>45610</v>
      </c>
      <c r="E1696" s="418" t="s">
        <v>1029</v>
      </c>
      <c r="F1696" s="418" t="s">
        <v>1030</v>
      </c>
      <c r="G1696" s="418" t="s">
        <v>988</v>
      </c>
      <c r="H1696" s="419">
        <v>0.75</v>
      </c>
      <c r="I1696" s="966"/>
      <c r="J1696" s="966"/>
      <c r="K1696" s="967"/>
      <c r="L1696" s="622">
        <v>0.66666666666666663</v>
      </c>
      <c r="M1696" s="384"/>
      <c r="N1696" s="243"/>
      <c r="O1696" s="291"/>
      <c r="P1696" s="291"/>
      <c r="Q1696" s="291"/>
      <c r="R1696" s="291"/>
      <c r="S1696" s="291"/>
      <c r="T1696" s="291"/>
      <c r="U1696" s="291"/>
      <c r="V1696" s="291"/>
      <c r="W1696" s="291"/>
      <c r="X1696" s="291"/>
      <c r="Y1696" s="291"/>
      <c r="Z1696" s="291"/>
    </row>
    <row r="1697" spans="2:13" ht="18" thickBot="1" x14ac:dyDescent="0.25">
      <c r="B1697" t="s">
        <v>105</v>
      </c>
      <c r="C1697" s="91">
        <v>1</v>
      </c>
      <c r="D1697" s="639" t="s">
        <v>30</v>
      </c>
      <c r="E1697" s="917" t="s">
        <v>1319</v>
      </c>
      <c r="F1697" s="918"/>
      <c r="G1697" s="919"/>
      <c r="H1697" s="422" t="s">
        <v>790</v>
      </c>
      <c r="I1697" s="921" t="s">
        <v>633</v>
      </c>
      <c r="J1697" s="921"/>
      <c r="K1697" s="922"/>
      <c r="L1697" s="640" t="s">
        <v>430</v>
      </c>
      <c r="M1697" s="423" t="s">
        <v>431</v>
      </c>
    </row>
    <row r="1698" spans="2:13" ht="17" x14ac:dyDescent="0.2">
      <c r="C1698" s="91"/>
      <c r="D1698" s="641" t="s">
        <v>432</v>
      </c>
      <c r="E1698" s="950"/>
      <c r="F1698" s="951"/>
      <c r="G1698" s="952"/>
      <c r="H1698" s="424" t="s">
        <v>794</v>
      </c>
      <c r="I1698" s="927" t="s">
        <v>1320</v>
      </c>
      <c r="J1698" s="927"/>
      <c r="K1698" s="928"/>
      <c r="L1698" s="642"/>
      <c r="M1698" s="425" t="s">
        <v>1319</v>
      </c>
    </row>
    <row r="1699" spans="2:13" ht="17" x14ac:dyDescent="0.2">
      <c r="C1699" s="91"/>
      <c r="D1699" s="643" t="s">
        <v>433</v>
      </c>
      <c r="E1699" s="947">
        <v>42.7</v>
      </c>
      <c r="F1699" s="942"/>
      <c r="G1699" s="943"/>
      <c r="H1699" s="424" t="s">
        <v>795</v>
      </c>
      <c r="I1699" s="930"/>
      <c r="J1699" s="930"/>
      <c r="K1699" s="931"/>
      <c r="L1699" s="642"/>
      <c r="M1699" s="426"/>
    </row>
    <row r="1700" spans="2:13" ht="17" x14ac:dyDescent="0.2">
      <c r="C1700" s="91"/>
      <c r="D1700" s="643" t="s">
        <v>434</v>
      </c>
      <c r="E1700" s="947">
        <v>40.200000000000003</v>
      </c>
      <c r="F1700" s="942"/>
      <c r="G1700" s="943"/>
      <c r="H1700" s="424"/>
      <c r="I1700" s="930"/>
      <c r="J1700" s="930"/>
      <c r="K1700" s="931"/>
      <c r="L1700" s="642"/>
      <c r="M1700" s="426"/>
    </row>
    <row r="1701" spans="2:13" ht="18" thickBot="1" x14ac:dyDescent="0.25">
      <c r="C1701" s="91"/>
      <c r="D1701" s="644" t="s">
        <v>435</v>
      </c>
      <c r="E1701" s="938">
        <v>0.61458333333333337</v>
      </c>
      <c r="F1701" s="939"/>
      <c r="G1701" s="940"/>
      <c r="H1701" s="427"/>
      <c r="I1701" s="930"/>
      <c r="J1701" s="930"/>
      <c r="K1701" s="931"/>
      <c r="L1701" s="645">
        <v>0.84375</v>
      </c>
      <c r="M1701" s="429">
        <v>0.69791666666666663</v>
      </c>
    </row>
    <row r="1702" spans="2:13" ht="18" thickBot="1" x14ac:dyDescent="0.25">
      <c r="C1702" s="91"/>
      <c r="D1702" s="646" t="s">
        <v>436</v>
      </c>
      <c r="E1702" s="430" t="s">
        <v>29</v>
      </c>
      <c r="F1702" s="430" t="s">
        <v>28</v>
      </c>
      <c r="G1702" s="431" t="s">
        <v>27</v>
      </c>
      <c r="H1702" s="432" t="s">
        <v>793</v>
      </c>
      <c r="I1702" s="930"/>
      <c r="J1702" s="930"/>
      <c r="K1702" s="931"/>
      <c r="L1702" s="647" t="s">
        <v>1246</v>
      </c>
      <c r="M1702" s="433"/>
    </row>
    <row r="1703" spans="2:13" ht="17" x14ac:dyDescent="0.2">
      <c r="C1703" s="91"/>
      <c r="D1703" s="648">
        <v>45625</v>
      </c>
      <c r="E1703" s="434">
        <v>40.200000000000003</v>
      </c>
      <c r="F1703" s="434" t="s">
        <v>477</v>
      </c>
      <c r="G1703" s="434">
        <v>41.6</v>
      </c>
      <c r="H1703" s="435">
        <v>0.57291666666666674</v>
      </c>
      <c r="I1703" s="930"/>
      <c r="J1703" s="930"/>
      <c r="K1703" s="931"/>
      <c r="L1703" s="649">
        <v>0.80208333333333337</v>
      </c>
      <c r="M1703" s="436"/>
    </row>
    <row r="1704" spans="2:13" ht="17" x14ac:dyDescent="0.2">
      <c r="C1704" s="91"/>
      <c r="D1704" s="648">
        <v>45596</v>
      </c>
      <c r="E1704" s="434">
        <v>41.6</v>
      </c>
      <c r="F1704" s="434" t="s">
        <v>1126</v>
      </c>
      <c r="G1704" s="434">
        <v>46.6</v>
      </c>
      <c r="H1704" s="435">
        <v>0.57291666666666674</v>
      </c>
      <c r="I1704" s="930"/>
      <c r="J1704" s="930"/>
      <c r="K1704" s="931"/>
      <c r="L1704" s="649">
        <v>0.80208333333333337</v>
      </c>
      <c r="M1704" s="437"/>
    </row>
    <row r="1705" spans="2:13" ht="17" x14ac:dyDescent="0.2">
      <c r="C1705" s="91"/>
      <c r="D1705" s="648">
        <v>45565</v>
      </c>
      <c r="E1705" s="434">
        <v>46.6</v>
      </c>
      <c r="F1705" s="434" t="s">
        <v>899</v>
      </c>
      <c r="G1705" s="434">
        <v>46.1</v>
      </c>
      <c r="H1705" s="435">
        <v>0.57291666666666674</v>
      </c>
      <c r="I1705" s="930"/>
      <c r="J1705" s="930"/>
      <c r="K1705" s="931"/>
      <c r="L1705" s="649">
        <v>0.80208333333333337</v>
      </c>
      <c r="M1705" s="426"/>
    </row>
    <row r="1706" spans="2:13" ht="17" x14ac:dyDescent="0.2">
      <c r="C1706" s="91"/>
      <c r="D1706" s="648">
        <v>45534</v>
      </c>
      <c r="E1706" s="434">
        <v>46.1</v>
      </c>
      <c r="F1706" s="434" t="s">
        <v>473</v>
      </c>
      <c r="G1706" s="434">
        <v>45.3</v>
      </c>
      <c r="H1706" s="435">
        <v>0.57291666666666674</v>
      </c>
      <c r="I1706" s="930"/>
      <c r="J1706" s="930"/>
      <c r="K1706" s="931"/>
      <c r="L1706" s="649">
        <v>0.80208333333333337</v>
      </c>
      <c r="M1706" s="426"/>
    </row>
    <row r="1707" spans="2:13" ht="17" x14ac:dyDescent="0.2">
      <c r="C1707" s="91"/>
      <c r="D1707" s="648">
        <v>45504</v>
      </c>
      <c r="E1707" s="434">
        <v>45.3</v>
      </c>
      <c r="F1707" s="434" t="s">
        <v>474</v>
      </c>
      <c r="G1707" s="434">
        <v>47.4</v>
      </c>
      <c r="H1707" s="435">
        <v>0.57291666666666674</v>
      </c>
      <c r="I1707" s="930"/>
      <c r="J1707" s="930"/>
      <c r="K1707" s="931"/>
      <c r="L1707" s="649">
        <v>0.80208333333333337</v>
      </c>
      <c r="M1707" s="426"/>
    </row>
    <row r="1708" spans="2:13" ht="18" thickBot="1" x14ac:dyDescent="0.25">
      <c r="C1708" s="91"/>
      <c r="D1708" s="648">
        <v>45471</v>
      </c>
      <c r="E1708" s="434">
        <v>47.4</v>
      </c>
      <c r="F1708" s="434" t="s">
        <v>475</v>
      </c>
      <c r="G1708" s="434">
        <v>35.4</v>
      </c>
      <c r="H1708" s="435">
        <v>0.57291666666666674</v>
      </c>
      <c r="I1708" s="933"/>
      <c r="J1708" s="933"/>
      <c r="K1708" s="934"/>
      <c r="L1708" s="649">
        <v>0.80208333333333337</v>
      </c>
      <c r="M1708" s="438"/>
    </row>
    <row r="1709" spans="2:13" ht="18" thickBot="1" x14ac:dyDescent="0.25">
      <c r="C1709" s="91">
        <v>2</v>
      </c>
      <c r="D1709" s="639" t="s">
        <v>30</v>
      </c>
      <c r="E1709" s="917" t="s">
        <v>1321</v>
      </c>
      <c r="F1709" s="918"/>
      <c r="G1709" s="919"/>
      <c r="H1709" s="422" t="s">
        <v>790</v>
      </c>
      <c r="I1709" s="921" t="s">
        <v>633</v>
      </c>
      <c r="J1709" s="921"/>
      <c r="K1709" s="922"/>
      <c r="L1709" s="640" t="s">
        <v>430</v>
      </c>
      <c r="M1709" s="423" t="s">
        <v>431</v>
      </c>
    </row>
    <row r="1710" spans="2:13" ht="17" x14ac:dyDescent="0.2">
      <c r="C1710" s="91"/>
      <c r="D1710" s="641" t="s">
        <v>432</v>
      </c>
      <c r="E1710" s="950"/>
      <c r="F1710" s="951"/>
      <c r="G1710" s="952"/>
      <c r="H1710" s="424" t="s">
        <v>906</v>
      </c>
      <c r="I1710" s="927">
        <v>0</v>
      </c>
      <c r="J1710" s="927"/>
      <c r="K1710" s="928"/>
      <c r="L1710" s="642"/>
      <c r="M1710" s="425" t="s">
        <v>1321</v>
      </c>
    </row>
    <row r="1711" spans="2:13" ht="17" x14ac:dyDescent="0.2">
      <c r="C1711" s="91"/>
      <c r="D1711" s="643" t="s">
        <v>433</v>
      </c>
      <c r="E1711" s="935" t="s">
        <v>1090</v>
      </c>
      <c r="F1711" s="936"/>
      <c r="G1711" s="937"/>
      <c r="H1711" s="424" t="s">
        <v>907</v>
      </c>
      <c r="I1711" s="930"/>
      <c r="J1711" s="930"/>
      <c r="K1711" s="931"/>
      <c r="L1711" s="642"/>
      <c r="M1711" s="426"/>
    </row>
    <row r="1712" spans="2:13" ht="17" x14ac:dyDescent="0.2">
      <c r="C1712" s="91"/>
      <c r="D1712" s="643" t="s">
        <v>434</v>
      </c>
      <c r="E1712" s="935">
        <v>0</v>
      </c>
      <c r="F1712" s="936"/>
      <c r="G1712" s="937"/>
      <c r="H1712" s="424"/>
      <c r="I1712" s="930"/>
      <c r="J1712" s="930"/>
      <c r="K1712" s="931"/>
      <c r="L1712" s="642"/>
      <c r="M1712" s="426"/>
    </row>
    <row r="1713" spans="3:13" ht="18" thickBot="1" x14ac:dyDescent="0.25">
      <c r="C1713" s="91"/>
      <c r="D1713" s="644" t="s">
        <v>435</v>
      </c>
      <c r="E1713" s="938">
        <v>0</v>
      </c>
      <c r="F1713" s="939"/>
      <c r="G1713" s="940"/>
      <c r="H1713" s="427"/>
      <c r="I1713" s="930"/>
      <c r="J1713" s="930"/>
      <c r="K1713" s="931"/>
      <c r="L1713" s="645">
        <v>0.22916666666666666</v>
      </c>
      <c r="M1713" s="429">
        <v>8.3333333333333315E-2</v>
      </c>
    </row>
    <row r="1714" spans="3:13" ht="18" thickBot="1" x14ac:dyDescent="0.25">
      <c r="C1714" s="91"/>
      <c r="D1714" s="646" t="s">
        <v>436</v>
      </c>
      <c r="E1714" s="430" t="s">
        <v>29</v>
      </c>
      <c r="F1714" s="430" t="s">
        <v>28</v>
      </c>
      <c r="G1714" s="431" t="s">
        <v>27</v>
      </c>
      <c r="H1714" s="432" t="s">
        <v>793</v>
      </c>
      <c r="I1714" s="930"/>
      <c r="J1714" s="930"/>
      <c r="K1714" s="931"/>
      <c r="L1714" s="647" t="s">
        <v>1246</v>
      </c>
      <c r="M1714" s="433"/>
    </row>
    <row r="1715" spans="3:13" ht="17" x14ac:dyDescent="0.2">
      <c r="C1715" s="91"/>
      <c r="D1715" s="648">
        <v>45642</v>
      </c>
      <c r="E1715" s="439">
        <v>58.5</v>
      </c>
      <c r="F1715" s="439" t="s">
        <v>1339</v>
      </c>
      <c r="G1715" s="439">
        <v>56.1</v>
      </c>
      <c r="H1715" s="435">
        <v>0.1875</v>
      </c>
      <c r="I1715" s="930"/>
      <c r="J1715" s="930"/>
      <c r="K1715" s="931"/>
      <c r="L1715" s="649">
        <v>0.14583333333333334</v>
      </c>
      <c r="M1715" s="436"/>
    </row>
    <row r="1716" spans="3:13" ht="17" x14ac:dyDescent="0.2">
      <c r="C1716" s="91"/>
      <c r="D1716" s="648">
        <v>45630</v>
      </c>
      <c r="E1716" s="439">
        <v>56.1</v>
      </c>
      <c r="F1716" s="439" t="s">
        <v>1285</v>
      </c>
      <c r="G1716" s="439">
        <v>55</v>
      </c>
      <c r="H1716" s="435">
        <v>0.22916666666666666</v>
      </c>
      <c r="I1716" s="930"/>
      <c r="J1716" s="930"/>
      <c r="K1716" s="931"/>
      <c r="L1716" s="649">
        <v>0.1875</v>
      </c>
      <c r="M1716" s="437"/>
    </row>
    <row r="1717" spans="3:13" ht="17" x14ac:dyDescent="0.2">
      <c r="C1717" s="91"/>
      <c r="D1717" s="648">
        <v>45618</v>
      </c>
      <c r="E1717" s="439">
        <v>57</v>
      </c>
      <c r="F1717" s="439" t="s">
        <v>586</v>
      </c>
      <c r="G1717" s="439">
        <v>55</v>
      </c>
      <c r="H1717" s="435">
        <v>0.22916666666666666</v>
      </c>
      <c r="I1717" s="930"/>
      <c r="J1717" s="930"/>
      <c r="K1717" s="931"/>
      <c r="L1717" s="649">
        <v>0.1875</v>
      </c>
      <c r="M1717" s="426"/>
    </row>
    <row r="1718" spans="3:13" ht="17" x14ac:dyDescent="0.2">
      <c r="C1718" s="91"/>
      <c r="D1718" s="648">
        <v>45601</v>
      </c>
      <c r="E1718" s="439">
        <v>55</v>
      </c>
      <c r="F1718" s="439" t="s">
        <v>585</v>
      </c>
      <c r="G1718" s="439">
        <v>55.2</v>
      </c>
      <c r="H1718" s="435">
        <v>0.22916666666666666</v>
      </c>
      <c r="I1718" s="930"/>
      <c r="J1718" s="930"/>
      <c r="K1718" s="931"/>
      <c r="L1718" s="649">
        <v>0.1875</v>
      </c>
      <c r="M1718" s="426"/>
    </row>
    <row r="1719" spans="3:13" ht="17" x14ac:dyDescent="0.2">
      <c r="C1719" s="91"/>
      <c r="D1719" s="648">
        <v>45589</v>
      </c>
      <c r="E1719" s="439">
        <v>55.3</v>
      </c>
      <c r="F1719" s="439" t="s">
        <v>604</v>
      </c>
      <c r="G1719" s="439">
        <v>55.2</v>
      </c>
      <c r="H1719" s="435">
        <v>0.22916666666666666</v>
      </c>
      <c r="I1719" s="930"/>
      <c r="J1719" s="930"/>
      <c r="K1719" s="931"/>
      <c r="L1719" s="649">
        <v>0.1875</v>
      </c>
      <c r="M1719" s="426"/>
    </row>
    <row r="1720" spans="3:13" ht="18" thickBot="1" x14ac:dyDescent="0.25">
      <c r="C1720" s="91"/>
      <c r="D1720" s="648">
        <v>45568</v>
      </c>
      <c r="E1720" s="439">
        <v>55.2</v>
      </c>
      <c r="F1720" s="439" t="s">
        <v>759</v>
      </c>
      <c r="G1720" s="439">
        <v>55.7</v>
      </c>
      <c r="H1720" s="435">
        <v>0.1875</v>
      </c>
      <c r="I1720" s="933"/>
      <c r="J1720" s="933"/>
      <c r="K1720" s="934"/>
      <c r="L1720" s="649">
        <v>0.14583333333333334</v>
      </c>
      <c r="M1720" s="438"/>
    </row>
    <row r="1721" spans="3:13" ht="18" thickBot="1" x14ac:dyDescent="0.25">
      <c r="C1721" s="91">
        <v>3</v>
      </c>
      <c r="D1721" s="639" t="s">
        <v>30</v>
      </c>
      <c r="E1721" s="917" t="s">
        <v>1322</v>
      </c>
      <c r="F1721" s="918"/>
      <c r="G1721" s="919"/>
      <c r="H1721" s="422" t="s">
        <v>790</v>
      </c>
      <c r="I1721" s="921" t="s">
        <v>633</v>
      </c>
      <c r="J1721" s="921"/>
      <c r="K1721" s="922"/>
      <c r="L1721" s="640" t="s">
        <v>430</v>
      </c>
      <c r="M1721" s="423" t="s">
        <v>431</v>
      </c>
    </row>
    <row r="1722" spans="3:13" ht="17" x14ac:dyDescent="0.2">
      <c r="C1722" s="91"/>
      <c r="D1722" s="641" t="s">
        <v>432</v>
      </c>
      <c r="E1722" s="950"/>
      <c r="F1722" s="951"/>
      <c r="G1722" s="952"/>
      <c r="H1722" s="424" t="s">
        <v>794</v>
      </c>
      <c r="I1722" s="927" t="s">
        <v>1323</v>
      </c>
      <c r="J1722" s="927"/>
      <c r="K1722" s="928"/>
      <c r="L1722" s="642"/>
      <c r="M1722" s="425" t="s">
        <v>1322</v>
      </c>
    </row>
    <row r="1723" spans="3:13" ht="17" x14ac:dyDescent="0.2">
      <c r="C1723" s="91"/>
      <c r="D1723" s="643" t="s">
        <v>433</v>
      </c>
      <c r="E1723" s="947">
        <v>50.3</v>
      </c>
      <c r="F1723" s="942"/>
      <c r="G1723" s="943"/>
      <c r="H1723" s="424" t="s">
        <v>795</v>
      </c>
      <c r="I1723" s="930"/>
      <c r="J1723" s="930"/>
      <c r="K1723" s="931"/>
      <c r="L1723" s="642"/>
      <c r="M1723" s="426"/>
    </row>
    <row r="1724" spans="3:13" ht="17" x14ac:dyDescent="0.2">
      <c r="C1724" s="91"/>
      <c r="D1724" s="643" t="s">
        <v>434</v>
      </c>
      <c r="E1724" s="947">
        <v>50.3</v>
      </c>
      <c r="F1724" s="942"/>
      <c r="G1724" s="943"/>
      <c r="H1724" s="424"/>
      <c r="I1724" s="930"/>
      <c r="J1724" s="930"/>
      <c r="K1724" s="931"/>
      <c r="L1724" s="642"/>
      <c r="M1724" s="426"/>
    </row>
    <row r="1725" spans="3:13" ht="18" thickBot="1" x14ac:dyDescent="0.25">
      <c r="C1725" s="91"/>
      <c r="D1725" s="644" t="s">
        <v>435</v>
      </c>
      <c r="E1725" s="938">
        <v>6.2500000000000028E-2</v>
      </c>
      <c r="F1725" s="939"/>
      <c r="G1725" s="940"/>
      <c r="H1725" s="427"/>
      <c r="I1725" s="930"/>
      <c r="J1725" s="930"/>
      <c r="K1725" s="931"/>
      <c r="L1725" s="645">
        <v>0.29166666666666669</v>
      </c>
      <c r="M1725" s="429">
        <v>0.14583333333333334</v>
      </c>
    </row>
    <row r="1726" spans="3:13" ht="18" thickBot="1" x14ac:dyDescent="0.25">
      <c r="C1726" s="91"/>
      <c r="D1726" s="646" t="s">
        <v>436</v>
      </c>
      <c r="E1726" s="430" t="s">
        <v>29</v>
      </c>
      <c r="F1726" s="430" t="s">
        <v>28</v>
      </c>
      <c r="G1726" s="431" t="s">
        <v>27</v>
      </c>
      <c r="H1726" s="432" t="s">
        <v>793</v>
      </c>
      <c r="I1726" s="930"/>
      <c r="J1726" s="930"/>
      <c r="K1726" s="931"/>
      <c r="L1726" s="647" t="s">
        <v>1246</v>
      </c>
      <c r="M1726" s="433"/>
    </row>
    <row r="1727" spans="3:13" ht="17" x14ac:dyDescent="0.2">
      <c r="C1727" s="91"/>
      <c r="D1727" s="648">
        <v>45626</v>
      </c>
      <c r="E1727" s="434">
        <v>50.3</v>
      </c>
      <c r="F1727" s="434" t="s">
        <v>1340</v>
      </c>
      <c r="G1727" s="434">
        <v>50.1</v>
      </c>
      <c r="H1727" s="435">
        <v>6.2500000000000028E-2</v>
      </c>
      <c r="I1727" s="930"/>
      <c r="J1727" s="930"/>
      <c r="K1727" s="931"/>
      <c r="L1727" s="649">
        <v>0.29166666666666669</v>
      </c>
      <c r="M1727" s="436"/>
    </row>
    <row r="1728" spans="3:13" ht="17" x14ac:dyDescent="0.2">
      <c r="C1728" s="91"/>
      <c r="D1728" s="648">
        <v>45596</v>
      </c>
      <c r="E1728" s="434">
        <v>50.1</v>
      </c>
      <c r="F1728" s="434" t="s">
        <v>513</v>
      </c>
      <c r="G1728" s="434">
        <v>49.8</v>
      </c>
      <c r="H1728" s="435">
        <v>6.2500000000000028E-2</v>
      </c>
      <c r="I1728" s="930"/>
      <c r="J1728" s="930"/>
      <c r="K1728" s="931"/>
      <c r="L1728" s="649">
        <v>0.29166666666666669</v>
      </c>
      <c r="M1728" s="437"/>
    </row>
    <row r="1729" spans="3:13" ht="17" x14ac:dyDescent="0.2">
      <c r="C1729" s="91"/>
      <c r="D1729" s="648">
        <v>45565</v>
      </c>
      <c r="E1729" s="434">
        <v>49.8</v>
      </c>
      <c r="F1729" s="434" t="s">
        <v>440</v>
      </c>
      <c r="G1729" s="434">
        <v>49.1</v>
      </c>
      <c r="H1729" s="435">
        <v>6.2500000000000028E-2</v>
      </c>
      <c r="I1729" s="930"/>
      <c r="J1729" s="930"/>
      <c r="K1729" s="931"/>
      <c r="L1729" s="649">
        <v>0.29166666666666669</v>
      </c>
      <c r="M1729" s="426"/>
    </row>
    <row r="1730" spans="3:13" ht="17" x14ac:dyDescent="0.2">
      <c r="C1730" s="91"/>
      <c r="D1730" s="648">
        <v>45535</v>
      </c>
      <c r="E1730" s="434">
        <v>49.1</v>
      </c>
      <c r="F1730" s="434" t="s">
        <v>438</v>
      </c>
      <c r="G1730" s="434">
        <v>49.4</v>
      </c>
      <c r="H1730" s="435">
        <v>6.2500000000000028E-2</v>
      </c>
      <c r="I1730" s="930"/>
      <c r="J1730" s="930"/>
      <c r="K1730" s="931"/>
      <c r="L1730" s="649">
        <v>0.29166666666666669</v>
      </c>
      <c r="M1730" s="426"/>
    </row>
    <row r="1731" spans="3:13" ht="17" x14ac:dyDescent="0.2">
      <c r="C1731" s="91"/>
      <c r="D1731" s="648">
        <v>45504</v>
      </c>
      <c r="E1731" s="434">
        <v>49.4</v>
      </c>
      <c r="F1731" s="434" t="s">
        <v>440</v>
      </c>
      <c r="G1731" s="434">
        <v>49.5</v>
      </c>
      <c r="H1731" s="435">
        <v>6.2500000000000028E-2</v>
      </c>
      <c r="I1731" s="930"/>
      <c r="J1731" s="930"/>
      <c r="K1731" s="931"/>
      <c r="L1731" s="649">
        <v>0.29166666666666669</v>
      </c>
      <c r="M1731" s="426"/>
    </row>
    <row r="1732" spans="3:13" ht="18" thickBot="1" x14ac:dyDescent="0.25">
      <c r="C1732" s="91"/>
      <c r="D1732" s="648">
        <v>45473</v>
      </c>
      <c r="E1732" s="434">
        <v>49.5</v>
      </c>
      <c r="F1732" s="434" t="s">
        <v>438</v>
      </c>
      <c r="G1732" s="434">
        <v>49.5</v>
      </c>
      <c r="H1732" s="435">
        <v>6.2500000000000028E-2</v>
      </c>
      <c r="I1732" s="933"/>
      <c r="J1732" s="933"/>
      <c r="K1732" s="934"/>
      <c r="L1732" s="649">
        <v>0.29166666666666669</v>
      </c>
      <c r="M1732" s="438"/>
    </row>
    <row r="1733" spans="3:13" ht="18" thickBot="1" x14ac:dyDescent="0.25">
      <c r="C1733" s="91">
        <v>5</v>
      </c>
      <c r="D1733" s="639" t="s">
        <v>30</v>
      </c>
      <c r="E1733" s="917" t="s">
        <v>1309</v>
      </c>
      <c r="F1733" s="918"/>
      <c r="G1733" s="919"/>
      <c r="H1733" s="422" t="s">
        <v>790</v>
      </c>
      <c r="I1733" s="921" t="s">
        <v>633</v>
      </c>
      <c r="J1733" s="921"/>
      <c r="K1733" s="922"/>
      <c r="L1733" s="640" t="s">
        <v>430</v>
      </c>
      <c r="M1733" s="423" t="s">
        <v>431</v>
      </c>
    </row>
    <row r="1734" spans="3:13" ht="17" x14ac:dyDescent="0.2">
      <c r="C1734" s="91"/>
      <c r="D1734" s="641" t="s">
        <v>432</v>
      </c>
      <c r="E1734" s="950"/>
      <c r="F1734" s="951"/>
      <c r="G1734" s="952"/>
      <c r="H1734" s="424" t="s">
        <v>794</v>
      </c>
      <c r="I1734" s="927" t="e">
        <v>#REF!</v>
      </c>
      <c r="J1734" s="927"/>
      <c r="K1734" s="928"/>
      <c r="L1734" s="642"/>
      <c r="M1734" s="425" t="s">
        <v>1309</v>
      </c>
    </row>
    <row r="1735" spans="3:13" ht="17" x14ac:dyDescent="0.2">
      <c r="C1735" s="91"/>
      <c r="D1735" s="643" t="s">
        <v>433</v>
      </c>
      <c r="E1735" s="947" t="s">
        <v>931</v>
      </c>
      <c r="F1735" s="942"/>
      <c r="G1735" s="943"/>
      <c r="H1735" s="424" t="s">
        <v>795</v>
      </c>
      <c r="I1735" s="930"/>
      <c r="J1735" s="930"/>
      <c r="K1735" s="931"/>
      <c r="L1735" s="642"/>
      <c r="M1735" s="426"/>
    </row>
    <row r="1736" spans="3:13" ht="17" x14ac:dyDescent="0.2">
      <c r="C1736" s="91"/>
      <c r="D1736" s="643" t="s">
        <v>434</v>
      </c>
      <c r="E1736" s="947" t="s">
        <v>345</v>
      </c>
      <c r="F1736" s="942"/>
      <c r="G1736" s="943"/>
      <c r="H1736" s="424"/>
      <c r="I1736" s="930"/>
      <c r="J1736" s="930"/>
      <c r="K1736" s="931"/>
      <c r="L1736" s="642"/>
      <c r="M1736" s="426"/>
    </row>
    <row r="1737" spans="3:13" ht="18" thickBot="1" x14ac:dyDescent="0.25">
      <c r="C1737" s="91"/>
      <c r="D1737" s="644" t="s">
        <v>435</v>
      </c>
      <c r="E1737" s="938">
        <v>0.5625</v>
      </c>
      <c r="F1737" s="939"/>
      <c r="G1737" s="940"/>
      <c r="H1737" s="427"/>
      <c r="I1737" s="930"/>
      <c r="J1737" s="930"/>
      <c r="K1737" s="931"/>
      <c r="L1737" s="645">
        <v>0.79166666666666663</v>
      </c>
      <c r="M1737" s="428">
        <v>0.64583333333333326</v>
      </c>
    </row>
    <row r="1738" spans="3:13" ht="18" thickBot="1" x14ac:dyDescent="0.25">
      <c r="C1738" s="91"/>
      <c r="D1738" s="646" t="s">
        <v>436</v>
      </c>
      <c r="E1738" s="430" t="s">
        <v>29</v>
      </c>
      <c r="F1738" s="430" t="s">
        <v>28</v>
      </c>
      <c r="G1738" s="431" t="s">
        <v>27</v>
      </c>
      <c r="H1738" s="432" t="s">
        <v>793</v>
      </c>
      <c r="I1738" s="930"/>
      <c r="J1738" s="930"/>
      <c r="K1738" s="931"/>
      <c r="L1738" s="647" t="s">
        <v>1246</v>
      </c>
      <c r="M1738" s="433"/>
    </row>
    <row r="1739" spans="3:13" ht="17" x14ac:dyDescent="0.2">
      <c r="C1739" s="91"/>
      <c r="D1739" s="648">
        <v>45652</v>
      </c>
      <c r="E1739" s="434" t="s">
        <v>987</v>
      </c>
      <c r="F1739" s="434" t="s">
        <v>973</v>
      </c>
      <c r="G1739" s="434" t="s">
        <v>1112</v>
      </c>
      <c r="H1739" s="435">
        <v>0.5625</v>
      </c>
      <c r="I1739" s="930"/>
      <c r="J1739" s="930"/>
      <c r="K1739" s="931"/>
      <c r="L1739" s="649">
        <v>0.79166666666666663</v>
      </c>
      <c r="M1739" s="436"/>
    </row>
    <row r="1740" spans="3:13" ht="17" x14ac:dyDescent="0.2">
      <c r="C1740" s="91"/>
      <c r="D1740" s="648">
        <v>45645</v>
      </c>
      <c r="E1740" s="434" t="s">
        <v>1112</v>
      </c>
      <c r="F1740" s="434" t="s">
        <v>976</v>
      </c>
      <c r="G1740" s="434" t="s">
        <v>980</v>
      </c>
      <c r="H1740" s="435">
        <v>0.5625</v>
      </c>
      <c r="I1740" s="930"/>
      <c r="J1740" s="930"/>
      <c r="K1740" s="931"/>
      <c r="L1740" s="649">
        <v>0.79166666666666663</v>
      </c>
      <c r="M1740" s="437"/>
    </row>
    <row r="1741" spans="3:13" ht="17" x14ac:dyDescent="0.2">
      <c r="C1741" s="91"/>
      <c r="D1741" s="648">
        <v>45638</v>
      </c>
      <c r="E1741" s="434" t="s">
        <v>980</v>
      </c>
      <c r="F1741" s="434" t="s">
        <v>972</v>
      </c>
      <c r="G1741" s="434" t="s">
        <v>985</v>
      </c>
      <c r="H1741" s="435">
        <v>0.5625</v>
      </c>
      <c r="I1741" s="930"/>
      <c r="J1741" s="930"/>
      <c r="K1741" s="931"/>
      <c r="L1741" s="649">
        <v>0.79166666666666663</v>
      </c>
      <c r="M1741" s="426"/>
    </row>
    <row r="1742" spans="3:13" ht="17" x14ac:dyDescent="0.2">
      <c r="C1742" s="91"/>
      <c r="D1742" s="648">
        <v>45631</v>
      </c>
      <c r="E1742" s="434" t="s">
        <v>1032</v>
      </c>
      <c r="F1742" s="434" t="s">
        <v>1232</v>
      </c>
      <c r="G1742" s="434" t="s">
        <v>1232</v>
      </c>
      <c r="H1742" s="435">
        <v>0.5625</v>
      </c>
      <c r="I1742" s="930"/>
      <c r="J1742" s="930"/>
      <c r="K1742" s="931"/>
      <c r="L1742" s="649">
        <v>0.79166666666666663</v>
      </c>
      <c r="M1742" s="426"/>
    </row>
    <row r="1743" spans="3:13" ht="17" x14ac:dyDescent="0.2">
      <c r="C1743" s="91"/>
      <c r="D1743" s="648">
        <v>45623</v>
      </c>
      <c r="E1743" s="434" t="s">
        <v>1111</v>
      </c>
      <c r="F1743" s="434" t="s">
        <v>1232</v>
      </c>
      <c r="G1743" s="434" t="s">
        <v>1232</v>
      </c>
      <c r="H1743" s="435">
        <v>0.5625</v>
      </c>
      <c r="I1743" s="930"/>
      <c r="J1743" s="930"/>
      <c r="K1743" s="931"/>
      <c r="L1743" s="649">
        <v>0.79166666666666663</v>
      </c>
      <c r="M1743" s="426"/>
    </row>
    <row r="1744" spans="3:13" ht="18" thickBot="1" x14ac:dyDescent="0.25">
      <c r="C1744" s="91"/>
      <c r="D1744" s="648">
        <v>45617</v>
      </c>
      <c r="E1744" s="434" t="s">
        <v>1111</v>
      </c>
      <c r="F1744" s="434" t="s">
        <v>1112</v>
      </c>
      <c r="G1744" s="434" t="s">
        <v>987</v>
      </c>
      <c r="H1744" s="435">
        <v>0.5625</v>
      </c>
      <c r="I1744" s="933"/>
      <c r="J1744" s="933"/>
      <c r="K1744" s="934"/>
      <c r="L1744" s="649">
        <v>0.79166666666666663</v>
      </c>
      <c r="M1744" s="438"/>
    </row>
    <row r="1745" spans="3:13" ht="18" thickBot="1" x14ac:dyDescent="0.25">
      <c r="C1745" s="91">
        <v>7</v>
      </c>
      <c r="D1745" s="639" t="s">
        <v>30</v>
      </c>
      <c r="E1745" s="917" t="s">
        <v>1309</v>
      </c>
      <c r="F1745" s="918"/>
      <c r="G1745" s="919"/>
      <c r="H1745" s="422" t="s">
        <v>790</v>
      </c>
      <c r="I1745" s="921" t="s">
        <v>633</v>
      </c>
      <c r="J1745" s="921"/>
      <c r="K1745" s="922"/>
      <c r="L1745" s="640" t="s">
        <v>430</v>
      </c>
      <c r="M1745" s="423" t="s">
        <v>431</v>
      </c>
    </row>
    <row r="1746" spans="3:13" ht="17" x14ac:dyDescent="0.2">
      <c r="C1746" s="91"/>
      <c r="D1746" s="641" t="s">
        <v>432</v>
      </c>
      <c r="E1746" s="950"/>
      <c r="F1746" s="951"/>
      <c r="G1746" s="952"/>
      <c r="H1746" s="424" t="s">
        <v>906</v>
      </c>
      <c r="I1746" s="927" t="s">
        <v>1327</v>
      </c>
      <c r="J1746" s="927"/>
      <c r="K1746" s="928"/>
      <c r="L1746" s="642"/>
      <c r="M1746" s="425" t="s">
        <v>1309</v>
      </c>
    </row>
    <row r="1747" spans="3:13" ht="17" x14ac:dyDescent="0.2">
      <c r="C1747" s="91"/>
      <c r="D1747" s="643" t="s">
        <v>433</v>
      </c>
      <c r="E1747" s="947" t="s">
        <v>931</v>
      </c>
      <c r="F1747" s="942"/>
      <c r="G1747" s="943"/>
      <c r="H1747" s="424" t="s">
        <v>907</v>
      </c>
      <c r="I1747" s="930"/>
      <c r="J1747" s="930"/>
      <c r="K1747" s="931"/>
      <c r="L1747" s="642"/>
      <c r="M1747" s="426"/>
    </row>
    <row r="1748" spans="3:13" ht="17" x14ac:dyDescent="0.2">
      <c r="C1748" s="91"/>
      <c r="D1748" s="643" t="s">
        <v>434</v>
      </c>
      <c r="E1748" s="941" t="s">
        <v>345</v>
      </c>
      <c r="F1748" s="942"/>
      <c r="G1748" s="943"/>
      <c r="H1748" s="424"/>
      <c r="I1748" s="930"/>
      <c r="J1748" s="930"/>
      <c r="K1748" s="931"/>
      <c r="L1748" s="642"/>
      <c r="M1748" s="426"/>
    </row>
    <row r="1749" spans="3:13" ht="18" thickBot="1" x14ac:dyDescent="0.25">
      <c r="C1749" s="91"/>
      <c r="D1749" s="644" t="s">
        <v>435</v>
      </c>
      <c r="E1749" s="938">
        <v>0.5625</v>
      </c>
      <c r="F1749" s="939"/>
      <c r="G1749" s="940"/>
      <c r="H1749" s="427">
        <v>0.35416666666666663</v>
      </c>
      <c r="I1749" s="930"/>
      <c r="J1749" s="930"/>
      <c r="K1749" s="931"/>
      <c r="L1749" s="645">
        <v>0.79166666666666663</v>
      </c>
      <c r="M1749" s="429">
        <v>0.64583333333333326</v>
      </c>
    </row>
    <row r="1750" spans="3:13" ht="18" thickBot="1" x14ac:dyDescent="0.25">
      <c r="C1750" s="91"/>
      <c r="D1750" s="646" t="s">
        <v>436</v>
      </c>
      <c r="E1750" s="430" t="s">
        <v>29</v>
      </c>
      <c r="F1750" s="430" t="s">
        <v>28</v>
      </c>
      <c r="G1750" s="431" t="s">
        <v>27</v>
      </c>
      <c r="H1750" s="432" t="s">
        <v>793</v>
      </c>
      <c r="I1750" s="930"/>
      <c r="J1750" s="930"/>
      <c r="K1750" s="931"/>
      <c r="L1750" s="647" t="s">
        <v>1246</v>
      </c>
      <c r="M1750" s="433"/>
    </row>
    <row r="1751" spans="3:13" ht="17" x14ac:dyDescent="0.2">
      <c r="C1751" s="91"/>
      <c r="D1751" s="648">
        <v>45652</v>
      </c>
      <c r="E1751" s="441" t="s">
        <v>987</v>
      </c>
      <c r="F1751" s="441" t="s">
        <v>973</v>
      </c>
      <c r="G1751" s="441" t="s">
        <v>1112</v>
      </c>
      <c r="H1751" s="435">
        <v>0.57291666666666663</v>
      </c>
      <c r="I1751" s="930"/>
      <c r="J1751" s="930"/>
      <c r="K1751" s="931"/>
      <c r="L1751" s="649"/>
      <c r="M1751" s="436"/>
    </row>
    <row r="1752" spans="3:13" ht="17" x14ac:dyDescent="0.2">
      <c r="C1752" s="91"/>
      <c r="D1752" s="648">
        <v>45645</v>
      </c>
      <c r="E1752" s="441" t="s">
        <v>1112</v>
      </c>
      <c r="F1752" s="441" t="s">
        <v>976</v>
      </c>
      <c r="G1752" s="441" t="s">
        <v>980</v>
      </c>
      <c r="H1752" s="435">
        <v>0.57291666666666663</v>
      </c>
      <c r="I1752" s="930"/>
      <c r="J1752" s="930"/>
      <c r="K1752" s="931"/>
      <c r="L1752" s="649"/>
      <c r="M1752" s="437"/>
    </row>
    <row r="1753" spans="3:13" ht="17" x14ac:dyDescent="0.2">
      <c r="C1753" s="91"/>
      <c r="D1753" s="648">
        <v>45638</v>
      </c>
      <c r="E1753" s="441" t="s">
        <v>980</v>
      </c>
      <c r="F1753" s="441" t="s">
        <v>972</v>
      </c>
      <c r="G1753" s="441" t="s">
        <v>985</v>
      </c>
      <c r="H1753" s="435">
        <v>0.57291666666666663</v>
      </c>
      <c r="I1753" s="930"/>
      <c r="J1753" s="930"/>
      <c r="K1753" s="931"/>
      <c r="L1753" s="649"/>
      <c r="M1753" s="426"/>
    </row>
    <row r="1754" spans="3:13" ht="17" x14ac:dyDescent="0.2">
      <c r="C1754" s="91"/>
      <c r="D1754" s="648">
        <v>45631</v>
      </c>
      <c r="E1754" s="441" t="s">
        <v>1032</v>
      </c>
      <c r="F1754" s="441" t="s">
        <v>1232</v>
      </c>
      <c r="G1754" s="441" t="s">
        <v>1232</v>
      </c>
      <c r="H1754" s="435">
        <v>0.57291666666666663</v>
      </c>
      <c r="I1754" s="930"/>
      <c r="J1754" s="930"/>
      <c r="K1754" s="931"/>
      <c r="L1754" s="649"/>
      <c r="M1754" s="426"/>
    </row>
    <row r="1755" spans="3:13" ht="17" x14ac:dyDescent="0.2">
      <c r="C1755" s="91"/>
      <c r="D1755" s="648">
        <v>45623</v>
      </c>
      <c r="E1755" s="441" t="s">
        <v>1111</v>
      </c>
      <c r="F1755" s="441" t="s">
        <v>1232</v>
      </c>
      <c r="G1755" s="441" t="s">
        <v>1232</v>
      </c>
      <c r="H1755" s="435">
        <v>0.57291666666666663</v>
      </c>
      <c r="I1755" s="930"/>
      <c r="J1755" s="930"/>
      <c r="K1755" s="931"/>
      <c r="L1755" s="649"/>
      <c r="M1755" s="426"/>
    </row>
    <row r="1756" spans="3:13" ht="18" thickBot="1" x14ac:dyDescent="0.25">
      <c r="C1756" s="91"/>
      <c r="D1756" s="648">
        <v>45617</v>
      </c>
      <c r="E1756" s="441" t="s">
        <v>1111</v>
      </c>
      <c r="F1756" s="441" t="s">
        <v>1112</v>
      </c>
      <c r="G1756" s="441" t="s">
        <v>987</v>
      </c>
      <c r="H1756" s="435">
        <v>0.61458333333333337</v>
      </c>
      <c r="I1756" s="933"/>
      <c r="J1756" s="933"/>
      <c r="K1756" s="934"/>
      <c r="L1756" s="650"/>
      <c r="M1756" s="438"/>
    </row>
    <row r="1757" spans="3:13" ht="18" thickBot="1" x14ac:dyDescent="0.25">
      <c r="C1757" s="91">
        <v>8</v>
      </c>
      <c r="D1757" s="639" t="s">
        <v>30</v>
      </c>
      <c r="E1757" s="917" t="s">
        <v>1328</v>
      </c>
      <c r="F1757" s="918"/>
      <c r="G1757" s="919"/>
      <c r="H1757" s="422" t="s">
        <v>790</v>
      </c>
      <c r="I1757" s="921" t="s">
        <v>633</v>
      </c>
      <c r="J1757" s="921"/>
      <c r="K1757" s="922"/>
      <c r="L1757" s="640" t="s">
        <v>430</v>
      </c>
      <c r="M1757" s="423" t="s">
        <v>431</v>
      </c>
    </row>
    <row r="1758" spans="3:13" ht="17" x14ac:dyDescent="0.2">
      <c r="C1758" s="91"/>
      <c r="D1758" s="641" t="s">
        <v>432</v>
      </c>
      <c r="E1758" s="950"/>
      <c r="F1758" s="951"/>
      <c r="G1758" s="952"/>
      <c r="H1758" s="424" t="s">
        <v>794</v>
      </c>
      <c r="I1758" s="927" t="s">
        <v>1329</v>
      </c>
      <c r="J1758" s="927"/>
      <c r="K1758" s="928"/>
      <c r="L1758" s="642"/>
      <c r="M1758" s="425" t="s">
        <v>1328</v>
      </c>
    </row>
    <row r="1759" spans="3:13" ht="17" x14ac:dyDescent="0.2">
      <c r="C1759" s="91"/>
      <c r="D1759" s="643" t="s">
        <v>433</v>
      </c>
      <c r="E1759" s="935"/>
      <c r="F1759" s="936"/>
      <c r="G1759" s="937"/>
      <c r="H1759" s="424" t="s">
        <v>795</v>
      </c>
      <c r="I1759" s="930"/>
      <c r="J1759" s="930"/>
      <c r="K1759" s="931"/>
      <c r="L1759" s="642"/>
      <c r="M1759" s="426"/>
    </row>
    <row r="1760" spans="3:13" ht="17" x14ac:dyDescent="0.2">
      <c r="C1760" s="91"/>
      <c r="D1760" s="643" t="s">
        <v>434</v>
      </c>
      <c r="E1760" s="935">
        <v>49.7</v>
      </c>
      <c r="F1760" s="936"/>
      <c r="G1760" s="937"/>
      <c r="H1760" s="424"/>
      <c r="I1760" s="930"/>
      <c r="J1760" s="930"/>
      <c r="K1760" s="931"/>
      <c r="L1760" s="642"/>
      <c r="M1760" s="426"/>
    </row>
    <row r="1761" spans="3:13" ht="18" thickBot="1" x14ac:dyDescent="0.25">
      <c r="C1761" s="91"/>
      <c r="D1761" s="644" t="s">
        <v>435</v>
      </c>
      <c r="E1761" s="938">
        <v>0.61458333333333337</v>
      </c>
      <c r="F1761" s="939"/>
      <c r="G1761" s="940"/>
      <c r="H1761" s="427">
        <v>0.40625</v>
      </c>
      <c r="I1761" s="930"/>
      <c r="J1761" s="930"/>
      <c r="K1761" s="931"/>
      <c r="L1761" s="645">
        <v>0.84375</v>
      </c>
      <c r="M1761" s="429">
        <v>0.69791666666666663</v>
      </c>
    </row>
    <row r="1762" spans="3:13" ht="18" thickBot="1" x14ac:dyDescent="0.25">
      <c r="C1762" s="91"/>
      <c r="D1762" s="646" t="s">
        <v>436</v>
      </c>
      <c r="E1762" s="430" t="s">
        <v>29</v>
      </c>
      <c r="F1762" s="430" t="s">
        <v>28</v>
      </c>
      <c r="G1762" s="431" t="s">
        <v>27</v>
      </c>
      <c r="H1762" s="432" t="s">
        <v>793</v>
      </c>
      <c r="I1762" s="930"/>
      <c r="J1762" s="930"/>
      <c r="K1762" s="931"/>
      <c r="L1762" s="647" t="s">
        <v>1246</v>
      </c>
      <c r="M1762" s="433"/>
    </row>
    <row r="1763" spans="3:13" ht="17" x14ac:dyDescent="0.2">
      <c r="C1763" s="91"/>
      <c r="D1763" s="648">
        <v>45642</v>
      </c>
      <c r="E1763" s="439">
        <v>48.3</v>
      </c>
      <c r="F1763" s="439" t="s">
        <v>440</v>
      </c>
      <c r="G1763" s="439">
        <v>49.7</v>
      </c>
      <c r="H1763" s="435">
        <v>0.61458333333333337</v>
      </c>
      <c r="I1763" s="930"/>
      <c r="J1763" s="930"/>
      <c r="K1763" s="931"/>
      <c r="L1763" s="649">
        <v>0.84375</v>
      </c>
      <c r="M1763" s="436"/>
    </row>
    <row r="1764" spans="3:13" ht="17" x14ac:dyDescent="0.2">
      <c r="C1764" s="91"/>
      <c r="D1764" s="648">
        <v>45628</v>
      </c>
      <c r="E1764" s="439">
        <v>49.7</v>
      </c>
      <c r="F1764" s="439" t="s">
        <v>510</v>
      </c>
      <c r="G1764" s="439">
        <v>48.5</v>
      </c>
      <c r="H1764" s="435">
        <v>0.61458333333333337</v>
      </c>
      <c r="I1764" s="930"/>
      <c r="J1764" s="930"/>
      <c r="K1764" s="931"/>
      <c r="L1764" s="649">
        <v>0.84375</v>
      </c>
      <c r="M1764" s="437"/>
    </row>
    <row r="1765" spans="3:13" ht="17" x14ac:dyDescent="0.2">
      <c r="C1765" s="91"/>
      <c r="D1765" s="648">
        <v>45618</v>
      </c>
      <c r="E1765" s="439">
        <v>48.8</v>
      </c>
      <c r="F1765" s="439" t="s">
        <v>510</v>
      </c>
      <c r="G1765" s="439">
        <v>48.5</v>
      </c>
      <c r="H1765" s="435">
        <v>0.61458333333333337</v>
      </c>
      <c r="I1765" s="930"/>
      <c r="J1765" s="930"/>
      <c r="K1765" s="931"/>
      <c r="L1765" s="649">
        <v>0.84375</v>
      </c>
      <c r="M1765" s="426"/>
    </row>
    <row r="1766" spans="3:13" ht="17" x14ac:dyDescent="0.2">
      <c r="C1766" s="91"/>
      <c r="D1766" s="648">
        <v>45597</v>
      </c>
      <c r="E1766" s="439">
        <v>48.5</v>
      </c>
      <c r="F1766" s="439" t="s">
        <v>1054</v>
      </c>
      <c r="G1766" s="439">
        <v>47.8</v>
      </c>
      <c r="H1766" s="435">
        <v>0.57291666666666674</v>
      </c>
      <c r="I1766" s="930"/>
      <c r="J1766" s="930"/>
      <c r="K1766" s="931"/>
      <c r="L1766" s="649">
        <v>0.80208333333333337</v>
      </c>
      <c r="M1766" s="426"/>
    </row>
    <row r="1767" spans="3:13" ht="17" x14ac:dyDescent="0.2">
      <c r="C1767" s="91"/>
      <c r="D1767" s="648">
        <v>45589</v>
      </c>
      <c r="E1767" s="439">
        <v>47.8</v>
      </c>
      <c r="F1767" s="439" t="s">
        <v>509</v>
      </c>
      <c r="G1767" s="439">
        <v>47.3</v>
      </c>
      <c r="H1767" s="435">
        <v>0.57291666666666674</v>
      </c>
      <c r="I1767" s="930"/>
      <c r="J1767" s="930"/>
      <c r="K1767" s="931"/>
      <c r="L1767" s="649">
        <v>0.80208333333333337</v>
      </c>
      <c r="M1767" s="426"/>
    </row>
    <row r="1768" spans="3:13" ht="18" thickBot="1" x14ac:dyDescent="0.25">
      <c r="C1768" s="91"/>
      <c r="D1768" s="648">
        <v>45566</v>
      </c>
      <c r="E1768" s="439">
        <v>47.3</v>
      </c>
      <c r="F1768" s="439" t="s">
        <v>758</v>
      </c>
      <c r="G1768" s="439">
        <v>47.9</v>
      </c>
      <c r="H1768" s="435">
        <v>0.57291666666666674</v>
      </c>
      <c r="I1768" s="933"/>
      <c r="J1768" s="933"/>
      <c r="K1768" s="934"/>
      <c r="L1768" s="649">
        <v>0.80208333333333337</v>
      </c>
      <c r="M1768" s="438"/>
    </row>
    <row r="1769" spans="3:13" ht="18" thickBot="1" x14ac:dyDescent="0.25">
      <c r="C1769" s="91">
        <v>12</v>
      </c>
      <c r="D1769" s="639" t="s">
        <v>30</v>
      </c>
      <c r="E1769" s="917" t="s">
        <v>1334</v>
      </c>
      <c r="F1769" s="918"/>
      <c r="G1769" s="919"/>
      <c r="H1769" s="422" t="s">
        <v>790</v>
      </c>
      <c r="I1769" s="921" t="s">
        <v>633</v>
      </c>
      <c r="J1769" s="921"/>
      <c r="K1769" s="922"/>
      <c r="L1769" s="640" t="s">
        <v>430</v>
      </c>
      <c r="M1769" s="440" t="s">
        <v>431</v>
      </c>
    </row>
    <row r="1770" spans="3:13" ht="17" x14ac:dyDescent="0.2">
      <c r="C1770" s="168"/>
      <c r="D1770" s="641" t="s">
        <v>432</v>
      </c>
      <c r="E1770" s="950"/>
      <c r="F1770" s="951"/>
      <c r="G1770" s="952"/>
      <c r="H1770" s="424" t="s">
        <v>796</v>
      </c>
      <c r="I1770" s="927" t="s">
        <v>1336</v>
      </c>
      <c r="J1770" s="927"/>
      <c r="K1770" s="928"/>
      <c r="L1770" s="642"/>
      <c r="M1770" s="425" t="s">
        <v>1334</v>
      </c>
    </row>
    <row r="1771" spans="3:13" ht="17" x14ac:dyDescent="0.2">
      <c r="C1771" s="168"/>
      <c r="D1771" s="643" t="s">
        <v>433</v>
      </c>
      <c r="E1771" s="947"/>
      <c r="F1771" s="942"/>
      <c r="G1771" s="943"/>
      <c r="H1771" s="424" t="s">
        <v>796</v>
      </c>
      <c r="I1771" s="930"/>
      <c r="J1771" s="930"/>
      <c r="K1771" s="931"/>
      <c r="L1771" s="642"/>
      <c r="M1771" s="426"/>
    </row>
    <row r="1772" spans="3:13" ht="17" x14ac:dyDescent="0.2">
      <c r="C1772" s="168"/>
      <c r="D1772" s="643" t="s">
        <v>434</v>
      </c>
      <c r="E1772" s="944" t="s">
        <v>1335</v>
      </c>
      <c r="F1772" s="945"/>
      <c r="G1772" s="946"/>
      <c r="H1772" s="424"/>
      <c r="I1772" s="930"/>
      <c r="J1772" s="930"/>
      <c r="K1772" s="931"/>
      <c r="L1772" s="642"/>
      <c r="M1772" s="426"/>
    </row>
    <row r="1773" spans="3:13" ht="18" thickBot="1" x14ac:dyDescent="0.25">
      <c r="C1773" s="168"/>
      <c r="D1773" s="644" t="s">
        <v>435</v>
      </c>
      <c r="E1773" s="938">
        <v>0.66666666666666674</v>
      </c>
      <c r="F1773" s="939"/>
      <c r="G1773" s="940"/>
      <c r="H1773" s="427"/>
      <c r="I1773" s="930"/>
      <c r="J1773" s="930"/>
      <c r="K1773" s="931"/>
      <c r="L1773" s="645">
        <v>0.89583333333333337</v>
      </c>
      <c r="M1773" s="429">
        <v>0.75</v>
      </c>
    </row>
    <row r="1774" spans="3:13" ht="18" thickBot="1" x14ac:dyDescent="0.25">
      <c r="C1774" s="168"/>
      <c r="D1774" s="646" t="s">
        <v>436</v>
      </c>
      <c r="E1774" s="430" t="s">
        <v>29</v>
      </c>
      <c r="F1774" s="430" t="s">
        <v>28</v>
      </c>
      <c r="G1774" s="431" t="s">
        <v>27</v>
      </c>
      <c r="H1774" s="432" t="s">
        <v>793</v>
      </c>
      <c r="I1774" s="930"/>
      <c r="J1774" s="930"/>
      <c r="K1774" s="931"/>
      <c r="L1774" s="647" t="s">
        <v>1246</v>
      </c>
      <c r="M1774" s="443"/>
    </row>
    <row r="1775" spans="3:13" ht="17" x14ac:dyDescent="0.2">
      <c r="C1775" s="168"/>
      <c r="D1775" s="648">
        <v>45653</v>
      </c>
      <c r="E1775" s="444" t="s">
        <v>1342</v>
      </c>
      <c r="F1775" s="444" t="s">
        <v>1343</v>
      </c>
      <c r="G1775" s="444" t="s">
        <v>1318</v>
      </c>
      <c r="H1775" s="435">
        <v>0.83333333333333315</v>
      </c>
      <c r="I1775" s="930"/>
      <c r="J1775" s="930"/>
      <c r="K1775" s="931"/>
      <c r="L1775" s="649">
        <v>0.97916666666666663</v>
      </c>
      <c r="M1775" s="436"/>
    </row>
    <row r="1776" spans="3:13" ht="17" x14ac:dyDescent="0.2">
      <c r="C1776" s="168"/>
      <c r="D1776" s="648">
        <v>45644</v>
      </c>
      <c r="E1776" s="444" t="s">
        <v>1318</v>
      </c>
      <c r="F1776" s="444" t="s">
        <v>1289</v>
      </c>
      <c r="G1776" s="444" t="s">
        <v>1286</v>
      </c>
      <c r="H1776" s="435">
        <v>0.72916666666666663</v>
      </c>
      <c r="I1776" s="930"/>
      <c r="J1776" s="930"/>
      <c r="K1776" s="931"/>
      <c r="L1776" s="649">
        <v>0.875</v>
      </c>
      <c r="M1776" s="437"/>
    </row>
    <row r="1777" spans="3:13" ht="17" x14ac:dyDescent="0.2">
      <c r="C1777" s="168"/>
      <c r="D1777" s="648">
        <v>45637</v>
      </c>
      <c r="E1777" s="444" t="s">
        <v>1286</v>
      </c>
      <c r="F1777" s="444" t="s">
        <v>1287</v>
      </c>
      <c r="G1777" s="444" t="s">
        <v>1288</v>
      </c>
      <c r="H1777" s="435">
        <v>0.72916666666666663</v>
      </c>
      <c r="I1777" s="930"/>
      <c r="J1777" s="930"/>
      <c r="K1777" s="931"/>
      <c r="L1777" s="649">
        <v>0.875</v>
      </c>
      <c r="M1777" s="426"/>
    </row>
    <row r="1778" spans="3:13" ht="17" x14ac:dyDescent="0.2">
      <c r="C1778" s="168"/>
      <c r="D1778" s="648">
        <v>45630</v>
      </c>
      <c r="E1778" s="444" t="s">
        <v>1288</v>
      </c>
      <c r="F1778" s="444" t="s">
        <v>1289</v>
      </c>
      <c r="G1778" s="444" t="s">
        <v>1290</v>
      </c>
      <c r="H1778" s="435">
        <v>0.72916666666666663</v>
      </c>
      <c r="I1778" s="930"/>
      <c r="J1778" s="930"/>
      <c r="K1778" s="931"/>
      <c r="L1778" s="649">
        <v>0.875</v>
      </c>
      <c r="M1778" s="426"/>
    </row>
    <row r="1779" spans="3:13" ht="17" x14ac:dyDescent="0.2">
      <c r="C1779" s="168"/>
      <c r="D1779" s="648">
        <v>45623</v>
      </c>
      <c r="E1779" s="444" t="s">
        <v>1290</v>
      </c>
      <c r="F1779" s="444" t="s">
        <v>1291</v>
      </c>
      <c r="G1779" s="444" t="s">
        <v>1125</v>
      </c>
      <c r="H1779" s="435">
        <v>0.72916666666666663</v>
      </c>
      <c r="I1779" s="930"/>
      <c r="J1779" s="930"/>
      <c r="K1779" s="931"/>
      <c r="L1779" s="649">
        <v>0.875</v>
      </c>
      <c r="M1779" s="426"/>
    </row>
    <row r="1780" spans="3:13" ht="18" thickBot="1" x14ac:dyDescent="0.25">
      <c r="C1780" s="168"/>
      <c r="D1780" s="651">
        <v>45616</v>
      </c>
      <c r="E1780" s="445" t="s">
        <v>1125</v>
      </c>
      <c r="F1780" s="445" t="s">
        <v>1030</v>
      </c>
      <c r="G1780" s="445" t="s">
        <v>1029</v>
      </c>
      <c r="H1780" s="446">
        <v>0.72916666666666663</v>
      </c>
      <c r="I1780" s="933"/>
      <c r="J1780" s="933"/>
      <c r="K1780" s="934"/>
      <c r="L1780" s="650">
        <v>0.875</v>
      </c>
      <c r="M1780" s="438"/>
    </row>
    <row r="1781" spans="3:13" ht="18" thickBot="1" x14ac:dyDescent="0.25">
      <c r="C1781" s="91">
        <v>10</v>
      </c>
      <c r="D1781" s="639" t="s">
        <v>30</v>
      </c>
      <c r="E1781" s="917" t="s">
        <v>1330</v>
      </c>
      <c r="F1781" s="918"/>
      <c r="G1781" s="919"/>
      <c r="H1781" s="422" t="s">
        <v>790</v>
      </c>
      <c r="I1781" s="921" t="s">
        <v>633</v>
      </c>
      <c r="J1781" s="921"/>
      <c r="K1781" s="922"/>
      <c r="L1781" s="640" t="s">
        <v>430</v>
      </c>
      <c r="M1781" s="423" t="s">
        <v>431</v>
      </c>
    </row>
    <row r="1782" spans="3:13" ht="17" x14ac:dyDescent="0.2">
      <c r="C1782" s="168"/>
      <c r="D1782" s="641" t="s">
        <v>432</v>
      </c>
      <c r="E1782" s="950"/>
      <c r="F1782" s="951"/>
      <c r="G1782" s="952"/>
      <c r="H1782" s="424" t="s">
        <v>794</v>
      </c>
      <c r="I1782" s="927" t="s">
        <v>1331</v>
      </c>
      <c r="J1782" s="927"/>
      <c r="K1782" s="928"/>
      <c r="L1782" s="642"/>
      <c r="M1782" s="425" t="s">
        <v>1330</v>
      </c>
    </row>
    <row r="1783" spans="3:13" ht="17" x14ac:dyDescent="0.2">
      <c r="C1783" s="168"/>
      <c r="D1783" s="643" t="s">
        <v>433</v>
      </c>
      <c r="E1783" s="935"/>
      <c r="F1783" s="936"/>
      <c r="G1783" s="937"/>
      <c r="H1783" s="424" t="s">
        <v>795</v>
      </c>
      <c r="I1783" s="930"/>
      <c r="J1783" s="930"/>
      <c r="K1783" s="931"/>
      <c r="L1783" s="642"/>
      <c r="M1783" s="426"/>
    </row>
    <row r="1784" spans="3:13" ht="17" x14ac:dyDescent="0.2">
      <c r="C1784" s="168"/>
      <c r="D1784" s="643" t="s">
        <v>434</v>
      </c>
      <c r="E1784" s="935">
        <v>48.4</v>
      </c>
      <c r="F1784" s="936"/>
      <c r="G1784" s="937"/>
      <c r="H1784" s="424"/>
      <c r="I1784" s="930"/>
      <c r="J1784" s="930"/>
      <c r="K1784" s="931"/>
      <c r="L1784" s="642"/>
      <c r="M1784" s="426"/>
    </row>
    <row r="1785" spans="3:13" ht="18" thickBot="1" x14ac:dyDescent="0.25">
      <c r="C1785" s="168"/>
      <c r="D1785" s="644" t="s">
        <v>435</v>
      </c>
      <c r="E1785" s="938">
        <v>0.625</v>
      </c>
      <c r="F1785" s="939"/>
      <c r="G1785" s="940"/>
      <c r="H1785" s="427">
        <v>0.41666666666666663</v>
      </c>
      <c r="I1785" s="930"/>
      <c r="J1785" s="930"/>
      <c r="K1785" s="931"/>
      <c r="L1785" s="645">
        <v>0.85416666666666663</v>
      </c>
      <c r="M1785" s="429">
        <v>0.70833333333333326</v>
      </c>
    </row>
    <row r="1786" spans="3:13" ht="18" thickBot="1" x14ac:dyDescent="0.25">
      <c r="C1786" s="168"/>
      <c r="D1786" s="646" t="s">
        <v>436</v>
      </c>
      <c r="E1786" s="430" t="s">
        <v>29</v>
      </c>
      <c r="F1786" s="430" t="s">
        <v>28</v>
      </c>
      <c r="G1786" s="431" t="s">
        <v>27</v>
      </c>
      <c r="H1786" s="432" t="s">
        <v>793</v>
      </c>
      <c r="I1786" s="930"/>
      <c r="J1786" s="930"/>
      <c r="K1786" s="931"/>
      <c r="L1786" s="647" t="s">
        <v>1246</v>
      </c>
      <c r="M1786" s="433"/>
    </row>
    <row r="1787" spans="3:13" ht="17" x14ac:dyDescent="0.2">
      <c r="C1787" s="168"/>
      <c r="D1787" s="648">
        <v>45628</v>
      </c>
      <c r="E1787" s="439">
        <v>48.4</v>
      </c>
      <c r="F1787" s="439" t="s">
        <v>1341</v>
      </c>
      <c r="G1787" s="439">
        <v>46.5</v>
      </c>
      <c r="H1787" s="435">
        <v>0.625</v>
      </c>
      <c r="I1787" s="930"/>
      <c r="J1787" s="930"/>
      <c r="K1787" s="931"/>
      <c r="L1787" s="649">
        <v>0.85416666666666663</v>
      </c>
      <c r="M1787" s="442"/>
    </row>
    <row r="1788" spans="3:13" ht="17" x14ac:dyDescent="0.2">
      <c r="C1788" s="168"/>
      <c r="D1788" s="648">
        <v>45597</v>
      </c>
      <c r="E1788" s="439">
        <v>46.5</v>
      </c>
      <c r="F1788" s="439" t="s">
        <v>901</v>
      </c>
      <c r="G1788" s="439">
        <v>47.2</v>
      </c>
      <c r="H1788" s="435">
        <v>0.58333333333333337</v>
      </c>
      <c r="I1788" s="930"/>
      <c r="J1788" s="930"/>
      <c r="K1788" s="931"/>
      <c r="L1788" s="649">
        <v>0.8125</v>
      </c>
      <c r="M1788" s="442"/>
    </row>
    <row r="1789" spans="3:13" ht="17" x14ac:dyDescent="0.2">
      <c r="C1789" s="168"/>
      <c r="D1789" s="648">
        <v>45566</v>
      </c>
      <c r="E1789" s="439">
        <v>47.2</v>
      </c>
      <c r="F1789" s="439" t="s">
        <v>901</v>
      </c>
      <c r="G1789" s="439">
        <v>47.2</v>
      </c>
      <c r="H1789" s="435">
        <v>0.58333333333333337</v>
      </c>
      <c r="I1789" s="930"/>
      <c r="J1789" s="930"/>
      <c r="K1789" s="931"/>
      <c r="L1789" s="649">
        <v>0.8125</v>
      </c>
      <c r="M1789" s="442"/>
    </row>
    <row r="1790" spans="3:13" ht="17" x14ac:dyDescent="0.2">
      <c r="C1790" s="168"/>
      <c r="D1790" s="648">
        <v>45538</v>
      </c>
      <c r="E1790" s="439">
        <v>47.2</v>
      </c>
      <c r="F1790" s="439" t="s">
        <v>509</v>
      </c>
      <c r="G1790" s="439">
        <v>46.8</v>
      </c>
      <c r="H1790" s="435">
        <v>0.58333333333333337</v>
      </c>
      <c r="I1790" s="930"/>
      <c r="J1790" s="930"/>
      <c r="K1790" s="931"/>
      <c r="L1790" s="649">
        <v>0.8125</v>
      </c>
      <c r="M1790" s="442"/>
    </row>
    <row r="1791" spans="3:13" ht="17" x14ac:dyDescent="0.2">
      <c r="C1791" s="168"/>
      <c r="D1791" s="648">
        <v>45505</v>
      </c>
      <c r="E1791" s="439">
        <v>46.8</v>
      </c>
      <c r="F1791" s="439" t="s">
        <v>510</v>
      </c>
      <c r="G1791" s="439">
        <v>48.5</v>
      </c>
      <c r="H1791" s="435">
        <v>0.58333333333333337</v>
      </c>
      <c r="I1791" s="930"/>
      <c r="J1791" s="930"/>
      <c r="K1791" s="931"/>
      <c r="L1791" s="649">
        <v>0.8125</v>
      </c>
      <c r="M1791" s="442"/>
    </row>
    <row r="1792" spans="3:13" ht="18" thickBot="1" x14ac:dyDescent="0.25">
      <c r="C1792" s="168"/>
      <c r="D1792" s="648">
        <v>45474</v>
      </c>
      <c r="E1792" s="439">
        <v>48.5</v>
      </c>
      <c r="F1792" s="439" t="s">
        <v>511</v>
      </c>
      <c r="G1792" s="439">
        <v>48.7</v>
      </c>
      <c r="H1792" s="435">
        <v>0.58333333333333337</v>
      </c>
      <c r="I1792" s="933"/>
      <c r="J1792" s="933"/>
      <c r="K1792" s="934"/>
      <c r="L1792" s="649">
        <v>0.8125</v>
      </c>
      <c r="M1792" s="442"/>
    </row>
    <row r="1793" spans="3:26" ht="18" thickBot="1" x14ac:dyDescent="0.25">
      <c r="C1793" s="91">
        <v>11</v>
      </c>
      <c r="D1793" s="639" t="s">
        <v>30</v>
      </c>
      <c r="E1793" s="917" t="s">
        <v>1332</v>
      </c>
      <c r="F1793" s="918"/>
      <c r="G1793" s="919"/>
      <c r="H1793" s="422" t="s">
        <v>790</v>
      </c>
      <c r="I1793" s="921" t="s">
        <v>633</v>
      </c>
      <c r="J1793" s="921"/>
      <c r="K1793" s="922"/>
      <c r="L1793" s="640" t="s">
        <v>430</v>
      </c>
      <c r="M1793" s="423" t="s">
        <v>431</v>
      </c>
    </row>
    <row r="1794" spans="3:26" ht="17" x14ac:dyDescent="0.2">
      <c r="C1794" s="168"/>
      <c r="D1794" s="641" t="s">
        <v>432</v>
      </c>
      <c r="E1794" s="950"/>
      <c r="F1794" s="951"/>
      <c r="G1794" s="952"/>
      <c r="H1794" s="424" t="s">
        <v>794</v>
      </c>
      <c r="I1794" s="927" t="s">
        <v>1333</v>
      </c>
      <c r="J1794" s="927"/>
      <c r="K1794" s="928"/>
      <c r="L1794" s="642"/>
      <c r="M1794" s="425" t="s">
        <v>1332</v>
      </c>
    </row>
    <row r="1795" spans="3:26" ht="17" x14ac:dyDescent="0.2">
      <c r="C1795" s="168"/>
      <c r="D1795" s="643" t="s">
        <v>433</v>
      </c>
      <c r="E1795" s="935"/>
      <c r="F1795" s="936"/>
      <c r="G1795" s="937"/>
      <c r="H1795" s="424" t="s">
        <v>795</v>
      </c>
      <c r="I1795" s="930"/>
      <c r="J1795" s="930"/>
      <c r="K1795" s="931"/>
      <c r="L1795" s="642"/>
      <c r="M1795" s="426"/>
    </row>
    <row r="1796" spans="3:26" ht="17" x14ac:dyDescent="0.2">
      <c r="C1796" s="168"/>
      <c r="D1796" s="643" t="s">
        <v>434</v>
      </c>
      <c r="E1796" s="935">
        <v>50.3</v>
      </c>
      <c r="F1796" s="936"/>
      <c r="G1796" s="937"/>
      <c r="H1796" s="424"/>
      <c r="I1796" s="930"/>
      <c r="J1796" s="930"/>
      <c r="K1796" s="931"/>
      <c r="L1796" s="642"/>
      <c r="M1796" s="426"/>
    </row>
    <row r="1797" spans="3:26" ht="18" thickBot="1" x14ac:dyDescent="0.25">
      <c r="C1797" s="168"/>
      <c r="D1797" s="644" t="s">
        <v>435</v>
      </c>
      <c r="E1797" s="938">
        <v>0.625</v>
      </c>
      <c r="F1797" s="939"/>
      <c r="G1797" s="940"/>
      <c r="H1797" s="427">
        <v>0.41666666666666663</v>
      </c>
      <c r="I1797" s="930"/>
      <c r="J1797" s="930"/>
      <c r="K1797" s="931"/>
      <c r="L1797" s="645">
        <v>0.85416666666666663</v>
      </c>
      <c r="M1797" s="429">
        <v>0.70833333333333326</v>
      </c>
    </row>
    <row r="1798" spans="3:26" ht="18" thickBot="1" x14ac:dyDescent="0.25">
      <c r="C1798" s="168"/>
      <c r="D1798" s="646" t="s">
        <v>436</v>
      </c>
      <c r="E1798" s="430" t="s">
        <v>29</v>
      </c>
      <c r="F1798" s="430" t="s">
        <v>28</v>
      </c>
      <c r="G1798" s="431" t="s">
        <v>27</v>
      </c>
      <c r="H1798" s="432" t="s">
        <v>793</v>
      </c>
      <c r="I1798" s="930"/>
      <c r="J1798" s="930"/>
      <c r="K1798" s="931"/>
      <c r="L1798" s="647" t="s">
        <v>1246</v>
      </c>
      <c r="M1798" s="433"/>
    </row>
    <row r="1799" spans="3:26" ht="17" x14ac:dyDescent="0.2">
      <c r="C1799" s="168"/>
      <c r="D1799" s="648">
        <v>45628</v>
      </c>
      <c r="E1799" s="439">
        <v>50.3</v>
      </c>
      <c r="F1799" s="439" t="s">
        <v>586</v>
      </c>
      <c r="G1799" s="439">
        <v>54.8</v>
      </c>
      <c r="H1799" s="435">
        <v>0.625</v>
      </c>
      <c r="I1799" s="930"/>
      <c r="J1799" s="930"/>
      <c r="K1799" s="931"/>
      <c r="L1799" s="649">
        <v>0.85416666666666663</v>
      </c>
      <c r="M1799" s="436"/>
    </row>
    <row r="1800" spans="3:26" ht="17" x14ac:dyDescent="0.2">
      <c r="C1800" s="168"/>
      <c r="D1800" s="648">
        <v>45597</v>
      </c>
      <c r="E1800" s="439">
        <v>54.8</v>
      </c>
      <c r="F1800" s="439" t="s">
        <v>1173</v>
      </c>
      <c r="G1800" s="439">
        <v>48.3</v>
      </c>
      <c r="H1800" s="435">
        <v>0.58333333333333337</v>
      </c>
      <c r="I1800" s="930"/>
      <c r="J1800" s="930"/>
      <c r="K1800" s="931"/>
      <c r="L1800" s="649">
        <v>0.8125</v>
      </c>
      <c r="M1800" s="437"/>
    </row>
    <row r="1801" spans="3:26" ht="17" x14ac:dyDescent="0.2">
      <c r="C1801" s="168"/>
      <c r="D1801" s="648">
        <v>45566</v>
      </c>
      <c r="E1801" s="439">
        <v>48.3</v>
      </c>
      <c r="F1801" s="439" t="s">
        <v>902</v>
      </c>
      <c r="G1801" s="439">
        <v>54</v>
      </c>
      <c r="H1801" s="435">
        <v>0.58333333333333337</v>
      </c>
      <c r="I1801" s="930"/>
      <c r="J1801" s="930"/>
      <c r="K1801" s="931"/>
      <c r="L1801" s="649">
        <v>0.8125</v>
      </c>
      <c r="M1801" s="426"/>
    </row>
    <row r="1802" spans="3:26" ht="17" x14ac:dyDescent="0.2">
      <c r="C1802" s="168"/>
      <c r="D1802" s="648">
        <v>45538</v>
      </c>
      <c r="E1802" s="439">
        <v>54</v>
      </c>
      <c r="F1802" s="439" t="s">
        <v>519</v>
      </c>
      <c r="G1802" s="439">
        <v>52.9</v>
      </c>
      <c r="H1802" s="435">
        <v>0.58333333333333337</v>
      </c>
      <c r="I1802" s="930"/>
      <c r="J1802" s="930"/>
      <c r="K1802" s="931"/>
      <c r="L1802" s="649">
        <v>0.8125</v>
      </c>
      <c r="M1802" s="426"/>
    </row>
    <row r="1803" spans="3:26" ht="17" x14ac:dyDescent="0.2">
      <c r="C1803" s="168"/>
      <c r="D1803" s="648">
        <v>45505</v>
      </c>
      <c r="E1803" s="439">
        <v>52.9</v>
      </c>
      <c r="F1803" s="439" t="s">
        <v>520</v>
      </c>
      <c r="G1803" s="439">
        <v>52.1</v>
      </c>
      <c r="H1803" s="435">
        <v>0.58333333333333337</v>
      </c>
      <c r="I1803" s="930"/>
      <c r="J1803" s="930"/>
      <c r="K1803" s="931"/>
      <c r="L1803" s="649">
        <v>0.8125</v>
      </c>
      <c r="M1803" s="426"/>
    </row>
    <row r="1804" spans="3:26" ht="18" thickBot="1" x14ac:dyDescent="0.25">
      <c r="C1804" s="168"/>
      <c r="D1804" s="651">
        <v>45474</v>
      </c>
      <c r="E1804" s="447">
        <v>52.1</v>
      </c>
      <c r="F1804" s="447" t="s">
        <v>521</v>
      </c>
      <c r="G1804" s="447">
        <v>57</v>
      </c>
      <c r="H1804" s="446">
        <v>0.58333333333333337</v>
      </c>
      <c r="I1804" s="933"/>
      <c r="J1804" s="933"/>
      <c r="K1804" s="934"/>
      <c r="L1804" s="650">
        <v>0.8125</v>
      </c>
      <c r="M1804" s="438"/>
    </row>
    <row r="1805" spans="3:26" ht="18" thickBot="1" x14ac:dyDescent="0.25">
      <c r="C1805" s="91">
        <v>1</v>
      </c>
      <c r="D1805" s="639" t="s">
        <v>30</v>
      </c>
      <c r="E1805" s="917" t="s">
        <v>1319</v>
      </c>
      <c r="F1805" s="918"/>
      <c r="G1805" s="919"/>
      <c r="H1805" s="422" t="s">
        <v>790</v>
      </c>
      <c r="I1805" s="921" t="s">
        <v>633</v>
      </c>
      <c r="J1805" s="921"/>
      <c r="K1805" s="922"/>
      <c r="L1805" s="640" t="s">
        <v>430</v>
      </c>
      <c r="M1805" s="423" t="s">
        <v>431</v>
      </c>
      <c r="N1805" s="168" t="s">
        <v>105</v>
      </c>
      <c r="O1805" s="118" t="s">
        <v>800</v>
      </c>
      <c r="P1805" s="118" t="s">
        <v>801</v>
      </c>
      <c r="Q1805" s="118" t="s">
        <v>802</v>
      </c>
      <c r="R1805" s="118" t="s">
        <v>803</v>
      </c>
      <c r="S1805" s="118" t="s">
        <v>804</v>
      </c>
      <c r="T1805" s="118" t="s">
        <v>805</v>
      </c>
      <c r="U1805" s="118" t="s">
        <v>806</v>
      </c>
      <c r="V1805" s="118" t="s">
        <v>807</v>
      </c>
      <c r="W1805" s="118" t="s">
        <v>808</v>
      </c>
      <c r="X1805" s="118" t="s">
        <v>809</v>
      </c>
      <c r="Y1805" s="118" t="s">
        <v>75</v>
      </c>
      <c r="Z1805" s="118" t="s">
        <v>75</v>
      </c>
    </row>
    <row r="1806" spans="3:26" ht="17" x14ac:dyDescent="0.2">
      <c r="C1806" s="91"/>
      <c r="D1806" s="641" t="s">
        <v>432</v>
      </c>
      <c r="E1806" s="950"/>
      <c r="F1806" s="951"/>
      <c r="G1806" s="952"/>
      <c r="H1806" s="424" t="s">
        <v>794</v>
      </c>
      <c r="I1806" s="927" t="s">
        <v>1320</v>
      </c>
      <c r="J1806" s="927"/>
      <c r="K1806" s="928"/>
      <c r="L1806" s="642"/>
      <c r="M1806" s="425" t="s">
        <v>1319</v>
      </c>
      <c r="N1806" s="168"/>
      <c r="O1806" s="448" t="s">
        <v>810</v>
      </c>
      <c r="P1806" s="449">
        <v>0.1</v>
      </c>
      <c r="Q1806" s="450">
        <v>3.5999999999999997E-2</v>
      </c>
      <c r="R1806" s="451">
        <v>2.2000000000005571E-2</v>
      </c>
      <c r="S1806" s="124"/>
      <c r="T1806" s="448">
        <v>7.6000000000005563E-2</v>
      </c>
      <c r="U1806" s="450">
        <v>-20.059999999999999</v>
      </c>
      <c r="V1806" s="449">
        <v>60.5</v>
      </c>
      <c r="W1806" s="452">
        <v>2</v>
      </c>
      <c r="X1806" s="453">
        <v>40.119999999999997</v>
      </c>
      <c r="Y1806" s="124"/>
      <c r="Z1806" s="124"/>
    </row>
    <row r="1807" spans="3:26" ht="17" x14ac:dyDescent="0.2">
      <c r="C1807" s="91"/>
      <c r="D1807" s="643" t="s">
        <v>433</v>
      </c>
      <c r="E1807" s="947">
        <v>42.7</v>
      </c>
      <c r="F1807" s="942"/>
      <c r="G1807" s="943"/>
      <c r="H1807" s="424" t="s">
        <v>795</v>
      </c>
      <c r="I1807" s="930"/>
      <c r="J1807" s="930"/>
      <c r="K1807" s="931"/>
      <c r="L1807" s="642"/>
      <c r="M1807" s="426"/>
      <c r="N1807" s="168"/>
      <c r="O1807" s="168"/>
      <c r="P1807" s="168"/>
      <c r="Q1807" s="168"/>
      <c r="R1807" s="454"/>
      <c r="S1807" s="152"/>
      <c r="T1807" s="168"/>
      <c r="U1807" s="168"/>
      <c r="V1807" s="168"/>
      <c r="W1807" s="152"/>
      <c r="X1807" s="152"/>
      <c r="Y1807" s="128"/>
      <c r="Z1807" s="128"/>
    </row>
    <row r="1808" spans="3:26" ht="17" x14ac:dyDescent="0.2">
      <c r="C1808" s="91"/>
      <c r="D1808" s="643" t="s">
        <v>434</v>
      </c>
      <c r="E1808" s="947">
        <v>40.200000000000003</v>
      </c>
      <c r="F1808" s="942"/>
      <c r="G1808" s="943"/>
      <c r="H1808" s="424"/>
      <c r="I1808" s="930"/>
      <c r="J1808" s="930"/>
      <c r="K1808" s="931"/>
      <c r="L1808" s="642"/>
      <c r="M1808" s="426"/>
      <c r="N1808" s="168"/>
      <c r="O1808" s="455" t="s">
        <v>811</v>
      </c>
      <c r="P1808" s="456">
        <v>0.1</v>
      </c>
      <c r="Q1808" s="457">
        <v>9.2700000000000005E-2</v>
      </c>
      <c r="R1808" s="458">
        <v>2.5999999999999999E-2</v>
      </c>
      <c r="S1808" s="459">
        <v>1</v>
      </c>
      <c r="T1808" s="455">
        <v>0.16505</v>
      </c>
      <c r="U1808" s="460">
        <v>-43.564513157891547</v>
      </c>
      <c r="V1808" s="461">
        <v>60.5</v>
      </c>
      <c r="W1808" s="462">
        <v>4.8899999999999997</v>
      </c>
      <c r="X1808" s="463">
        <v>213.03046934208965</v>
      </c>
      <c r="Y1808" s="138"/>
      <c r="Z1808" s="138"/>
    </row>
    <row r="1809" spans="3:26" ht="18" thickBot="1" x14ac:dyDescent="0.25">
      <c r="C1809" s="91"/>
      <c r="D1809" s="644" t="s">
        <v>435</v>
      </c>
      <c r="E1809" s="938">
        <v>0.61458333333333337</v>
      </c>
      <c r="F1809" s="939"/>
      <c r="G1809" s="940"/>
      <c r="H1809" s="427"/>
      <c r="I1809" s="930"/>
      <c r="J1809" s="930"/>
      <c r="K1809" s="931"/>
      <c r="L1809" s="645">
        <v>0.84375</v>
      </c>
      <c r="M1809" s="429">
        <v>0.69791666666666663</v>
      </c>
      <c r="N1809" s="168"/>
      <c r="O1809" s="464" t="s">
        <v>812</v>
      </c>
      <c r="P1809" s="465">
        <v>0.1</v>
      </c>
      <c r="Q1809" s="466">
        <v>5.8733333333333332E-2</v>
      </c>
      <c r="R1809" s="467">
        <v>2.5999999999999999E-2</v>
      </c>
      <c r="S1809" s="468">
        <v>1</v>
      </c>
      <c r="T1809" s="469">
        <v>0.11409999999999999</v>
      </c>
      <c r="U1809" s="470">
        <v>-30.116394736839897</v>
      </c>
      <c r="V1809" s="471">
        <v>60.5</v>
      </c>
      <c r="W1809" s="472">
        <v>2</v>
      </c>
      <c r="X1809" s="473">
        <v>60.232789473679794</v>
      </c>
      <c r="Y1809" s="148"/>
      <c r="Z1809" s="148"/>
    </row>
    <row r="1810" spans="3:26" ht="18" thickBot="1" x14ac:dyDescent="0.25">
      <c r="C1810" s="91"/>
      <c r="D1810" s="646" t="s">
        <v>436</v>
      </c>
      <c r="E1810" s="430" t="s">
        <v>29</v>
      </c>
      <c r="F1810" s="430" t="s">
        <v>28</v>
      </c>
      <c r="G1810" s="431" t="s">
        <v>27</v>
      </c>
      <c r="H1810" s="432" t="s">
        <v>793</v>
      </c>
      <c r="I1810" s="930"/>
      <c r="J1810" s="930"/>
      <c r="K1810" s="931"/>
      <c r="L1810" s="647" t="s">
        <v>1246</v>
      </c>
      <c r="M1810" s="433"/>
      <c r="N1810" s="168"/>
      <c r="O1810" s="152"/>
      <c r="P1810" s="128"/>
      <c r="Q1810" s="152"/>
      <c r="R1810" s="152"/>
      <c r="S1810" s="152"/>
      <c r="T1810" s="152"/>
      <c r="U1810" s="474"/>
      <c r="V1810" s="475"/>
      <c r="W1810" s="152"/>
      <c r="X1810" s="474"/>
      <c r="Y1810" s="128"/>
      <c r="Z1810" s="128"/>
    </row>
    <row r="1811" spans="3:26" ht="17" x14ac:dyDescent="0.2">
      <c r="C1811" s="91"/>
      <c r="D1811" s="648">
        <v>45625</v>
      </c>
      <c r="E1811" s="434">
        <v>40.200000000000003</v>
      </c>
      <c r="F1811" s="434" t="s">
        <v>477</v>
      </c>
      <c r="G1811" s="434">
        <v>41.6</v>
      </c>
      <c r="H1811" s="435">
        <v>0.57291666666666674</v>
      </c>
      <c r="I1811" s="930"/>
      <c r="J1811" s="930"/>
      <c r="K1811" s="931"/>
      <c r="L1811" s="649">
        <v>0.80208333333333337</v>
      </c>
      <c r="M1811" s="436"/>
      <c r="N1811" s="168"/>
      <c r="O1811" s="152"/>
      <c r="P1811" s="128"/>
      <c r="Q1811" s="152"/>
      <c r="R1811" s="152"/>
      <c r="S1811" s="152"/>
      <c r="T1811" s="152"/>
      <c r="U1811" s="152"/>
      <c r="V1811" s="152"/>
      <c r="W1811" s="152"/>
      <c r="X1811" s="152"/>
      <c r="Y1811" s="128"/>
      <c r="Z1811" s="128"/>
    </row>
    <row r="1812" spans="3:26" ht="17" x14ac:dyDescent="0.2">
      <c r="C1812" s="91"/>
      <c r="D1812" s="648">
        <v>45596</v>
      </c>
      <c r="E1812" s="434">
        <v>41.6</v>
      </c>
      <c r="F1812" s="434" t="s">
        <v>1126</v>
      </c>
      <c r="G1812" s="434">
        <v>46.6</v>
      </c>
      <c r="H1812" s="435">
        <v>0.57291666666666674</v>
      </c>
      <c r="I1812" s="930"/>
      <c r="J1812" s="930"/>
      <c r="K1812" s="931"/>
      <c r="L1812" s="649">
        <v>0.80208333333333337</v>
      </c>
      <c r="M1812" s="437"/>
      <c r="N1812" s="168"/>
      <c r="O1812" s="448" t="s">
        <v>813</v>
      </c>
      <c r="P1812" s="449">
        <v>0.05</v>
      </c>
      <c r="Q1812" s="476">
        <v>7.5716666666666668E-2</v>
      </c>
      <c r="R1812" s="477">
        <v>2.5999999999999999E-2</v>
      </c>
      <c r="S1812" s="124">
        <v>1</v>
      </c>
      <c r="T1812" s="455">
        <v>0.139575</v>
      </c>
      <c r="U1812" s="478">
        <v>-18.420226973682862</v>
      </c>
      <c r="V1812" s="479">
        <v>30.25</v>
      </c>
      <c r="W1812" s="124">
        <v>1.5</v>
      </c>
      <c r="X1812" s="453">
        <v>27.630340460524295</v>
      </c>
      <c r="Y1812" s="158"/>
      <c r="Z1812" s="158"/>
    </row>
    <row r="1813" spans="3:26" ht="17" x14ac:dyDescent="0.2">
      <c r="C1813" s="91"/>
      <c r="D1813" s="648">
        <v>45565</v>
      </c>
      <c r="E1813" s="434">
        <v>46.6</v>
      </c>
      <c r="F1813" s="434" t="s">
        <v>899</v>
      </c>
      <c r="G1813" s="434">
        <v>46.1</v>
      </c>
      <c r="H1813" s="435">
        <v>0.57291666666666674</v>
      </c>
      <c r="I1813" s="930"/>
      <c r="J1813" s="930"/>
      <c r="K1813" s="931"/>
      <c r="L1813" s="649">
        <v>0.80208333333333337</v>
      </c>
      <c r="M1813" s="426"/>
      <c r="N1813" s="168"/>
      <c r="O1813" s="448" t="s">
        <v>813</v>
      </c>
      <c r="P1813" s="449">
        <v>-0.05</v>
      </c>
      <c r="Q1813" s="476">
        <v>7.5716666666666668E-2</v>
      </c>
      <c r="R1813" s="477">
        <v>2.5999999999999999E-2</v>
      </c>
      <c r="S1813" s="124">
        <v>-1</v>
      </c>
      <c r="T1813" s="455">
        <v>0.139575</v>
      </c>
      <c r="U1813" s="478">
        <v>-18.420226973682862</v>
      </c>
      <c r="V1813" s="479">
        <v>-30.25</v>
      </c>
      <c r="W1813" s="124">
        <v>1.5</v>
      </c>
      <c r="X1813" s="453">
        <v>27.630340460524295</v>
      </c>
      <c r="Y1813" s="158"/>
      <c r="Z1813" s="158"/>
    </row>
    <row r="1814" spans="3:26" ht="17" x14ac:dyDescent="0.2">
      <c r="C1814" s="91"/>
      <c r="D1814" s="648">
        <v>45534</v>
      </c>
      <c r="E1814" s="434">
        <v>46.1</v>
      </c>
      <c r="F1814" s="434" t="s">
        <v>473</v>
      </c>
      <c r="G1814" s="434">
        <v>45.3</v>
      </c>
      <c r="H1814" s="435">
        <v>0.57291666666666674</v>
      </c>
      <c r="I1814" s="930"/>
      <c r="J1814" s="930"/>
      <c r="K1814" s="931"/>
      <c r="L1814" s="649">
        <v>0.80208333333333337</v>
      </c>
      <c r="M1814" s="426"/>
      <c r="N1814" s="168"/>
      <c r="O1814" s="448"/>
      <c r="P1814" s="480"/>
      <c r="Q1814" s="476"/>
      <c r="R1814" s="477"/>
      <c r="S1814" s="124"/>
      <c r="T1814" s="480"/>
      <c r="U1814" s="478"/>
      <c r="V1814" s="479"/>
      <c r="W1814" s="124"/>
      <c r="X1814" s="453"/>
      <c r="Y1814" s="158"/>
      <c r="Z1814" s="158"/>
    </row>
    <row r="1815" spans="3:26" ht="17" x14ac:dyDescent="0.2">
      <c r="C1815" s="91"/>
      <c r="D1815" s="648">
        <v>45504</v>
      </c>
      <c r="E1815" s="434">
        <v>45.3</v>
      </c>
      <c r="F1815" s="434" t="s">
        <v>474</v>
      </c>
      <c r="G1815" s="434">
        <v>47.4</v>
      </c>
      <c r="H1815" s="435">
        <v>0.57291666666666674</v>
      </c>
      <c r="I1815" s="930"/>
      <c r="J1815" s="930"/>
      <c r="K1815" s="931"/>
      <c r="L1815" s="649">
        <v>0.80208333333333337</v>
      </c>
      <c r="M1815" s="426"/>
      <c r="N1815" s="168"/>
      <c r="O1815" s="89"/>
      <c r="P1815" s="89"/>
      <c r="Q1815" s="89"/>
      <c r="R1815" s="89"/>
      <c r="S1815" s="89"/>
      <c r="T1815" s="89"/>
      <c r="U1815" s="89"/>
      <c r="V1815" s="89"/>
      <c r="W1815" s="89"/>
      <c r="X1815" s="89"/>
      <c r="Y1815" s="89"/>
      <c r="Z1815" s="89"/>
    </row>
    <row r="1816" spans="3:26" ht="18" thickBot="1" x14ac:dyDescent="0.25">
      <c r="C1816" s="91"/>
      <c r="D1816" s="648">
        <v>45471</v>
      </c>
      <c r="E1816" s="434">
        <v>47.4</v>
      </c>
      <c r="F1816" s="434" t="s">
        <v>475</v>
      </c>
      <c r="G1816" s="434">
        <v>35.4</v>
      </c>
      <c r="H1816" s="435">
        <v>0.57291666666666674</v>
      </c>
      <c r="I1816" s="933"/>
      <c r="J1816" s="933"/>
      <c r="K1816" s="934"/>
      <c r="L1816" s="649">
        <v>0.80208333333333337</v>
      </c>
      <c r="M1816" s="438"/>
      <c r="N1816" s="168"/>
      <c r="O1816" s="89"/>
      <c r="P1816" s="89"/>
      <c r="Q1816" s="89"/>
      <c r="R1816" s="89"/>
      <c r="S1816" s="89"/>
      <c r="T1816" s="89"/>
      <c r="U1816" s="89"/>
      <c r="V1816" s="89"/>
      <c r="W1816" s="89"/>
      <c r="X1816" s="89"/>
      <c r="Y1816" s="89"/>
      <c r="Z1816" s="89"/>
    </row>
    <row r="1817" spans="3:26" ht="18" thickBot="1" x14ac:dyDescent="0.25">
      <c r="C1817" s="91">
        <v>2</v>
      </c>
      <c r="D1817" s="639" t="s">
        <v>30</v>
      </c>
      <c r="E1817" s="917" t="s">
        <v>1321</v>
      </c>
      <c r="F1817" s="918"/>
      <c r="G1817" s="919"/>
      <c r="H1817" s="422" t="s">
        <v>790</v>
      </c>
      <c r="I1817" s="921" t="s">
        <v>633</v>
      </c>
      <c r="J1817" s="921"/>
      <c r="K1817" s="922"/>
      <c r="L1817" s="640" t="s">
        <v>430</v>
      </c>
      <c r="M1817" s="423" t="s">
        <v>431</v>
      </c>
      <c r="N1817" s="168" t="s">
        <v>105</v>
      </c>
      <c r="O1817" s="118" t="s">
        <v>800</v>
      </c>
      <c r="P1817" s="118" t="s">
        <v>801</v>
      </c>
      <c r="Q1817" s="118" t="s">
        <v>802</v>
      </c>
      <c r="R1817" s="118" t="s">
        <v>803</v>
      </c>
      <c r="S1817" s="118" t="s">
        <v>804</v>
      </c>
      <c r="T1817" s="118" t="s">
        <v>805</v>
      </c>
      <c r="U1817" s="118" t="s">
        <v>806</v>
      </c>
      <c r="V1817" s="118" t="s">
        <v>807</v>
      </c>
      <c r="W1817" s="118" t="s">
        <v>808</v>
      </c>
      <c r="X1817" s="118" t="s">
        <v>809</v>
      </c>
      <c r="Y1817" s="118" t="s">
        <v>75</v>
      </c>
      <c r="Z1817" s="118" t="s">
        <v>75</v>
      </c>
    </row>
    <row r="1818" spans="3:26" ht="17" x14ac:dyDescent="0.2">
      <c r="C1818" s="91"/>
      <c r="D1818" s="641" t="s">
        <v>432</v>
      </c>
      <c r="E1818" s="950"/>
      <c r="F1818" s="951"/>
      <c r="G1818" s="952"/>
      <c r="H1818" s="424" t="s">
        <v>906</v>
      </c>
      <c r="I1818" s="927">
        <v>0</v>
      </c>
      <c r="J1818" s="927"/>
      <c r="K1818" s="928"/>
      <c r="L1818" s="642"/>
      <c r="M1818" s="425" t="s">
        <v>1321</v>
      </c>
      <c r="N1818" s="168"/>
      <c r="O1818" s="448" t="s">
        <v>810</v>
      </c>
      <c r="P1818" s="449">
        <v>0.1</v>
      </c>
      <c r="Q1818" s="450">
        <v>3.4000000000000002E-2</v>
      </c>
      <c r="R1818" s="451">
        <v>1.5000000000014779E-2</v>
      </c>
      <c r="S1818" s="124"/>
      <c r="T1818" s="448">
        <v>6.6000000000014783E-2</v>
      </c>
      <c r="U1818" s="450">
        <v>-16.5</v>
      </c>
      <c r="V1818" s="449">
        <v>60.5</v>
      </c>
      <c r="W1818" s="452">
        <v>2</v>
      </c>
      <c r="X1818" s="453">
        <v>33</v>
      </c>
      <c r="Y1818" s="124"/>
      <c r="Z1818" s="124"/>
    </row>
    <row r="1819" spans="3:26" ht="17" x14ac:dyDescent="0.2">
      <c r="C1819" s="91"/>
      <c r="D1819" s="643" t="s">
        <v>433</v>
      </c>
      <c r="E1819" s="935" t="s">
        <v>1090</v>
      </c>
      <c r="F1819" s="936"/>
      <c r="G1819" s="937"/>
      <c r="H1819" s="424" t="s">
        <v>907</v>
      </c>
      <c r="I1819" s="930"/>
      <c r="J1819" s="930"/>
      <c r="K1819" s="931"/>
      <c r="L1819" s="642"/>
      <c r="M1819" s="426"/>
      <c r="N1819" s="168"/>
      <c r="O1819" s="168"/>
      <c r="P1819" s="168"/>
      <c r="Q1819" s="168"/>
      <c r="R1819" s="454"/>
      <c r="S1819" s="152"/>
      <c r="T1819" s="168"/>
      <c r="U1819" s="168"/>
      <c r="V1819" s="168"/>
      <c r="W1819" s="152"/>
      <c r="X1819" s="152"/>
      <c r="Y1819" s="128"/>
      <c r="Z1819" s="128"/>
    </row>
    <row r="1820" spans="3:26" ht="17" x14ac:dyDescent="0.2">
      <c r="C1820" s="91"/>
      <c r="D1820" s="643" t="s">
        <v>434</v>
      </c>
      <c r="E1820" s="935">
        <v>0</v>
      </c>
      <c r="F1820" s="936"/>
      <c r="G1820" s="937"/>
      <c r="H1820" s="424"/>
      <c r="I1820" s="930"/>
      <c r="J1820" s="930"/>
      <c r="K1820" s="931"/>
      <c r="L1820" s="642"/>
      <c r="M1820" s="426"/>
      <c r="N1820" s="168"/>
      <c r="O1820" s="455" t="s">
        <v>811</v>
      </c>
      <c r="P1820" s="456">
        <v>0.1</v>
      </c>
      <c r="Q1820" s="457">
        <v>6.4899999999999999E-2</v>
      </c>
      <c r="R1820" s="458">
        <v>1.9E-2</v>
      </c>
      <c r="S1820" s="459">
        <v>1</v>
      </c>
      <c r="T1820" s="455">
        <v>0.11635</v>
      </c>
      <c r="U1820" s="460">
        <v>-29.087499999993483</v>
      </c>
      <c r="V1820" s="461">
        <v>60.5</v>
      </c>
      <c r="W1820" s="462">
        <v>3.22</v>
      </c>
      <c r="X1820" s="463">
        <v>93.661749999979023</v>
      </c>
      <c r="Y1820" s="138"/>
      <c r="Z1820" s="138"/>
    </row>
    <row r="1821" spans="3:26" ht="18" thickBot="1" x14ac:dyDescent="0.25">
      <c r="C1821" s="91"/>
      <c r="D1821" s="644" t="s">
        <v>435</v>
      </c>
      <c r="E1821" s="938">
        <v>0</v>
      </c>
      <c r="F1821" s="939"/>
      <c r="G1821" s="940"/>
      <c r="H1821" s="427"/>
      <c r="I1821" s="930"/>
      <c r="J1821" s="930"/>
      <c r="K1821" s="931"/>
      <c r="L1821" s="645">
        <v>0.22916666666666666</v>
      </c>
      <c r="M1821" s="429">
        <v>8.3333333333333315E-2</v>
      </c>
      <c r="N1821" s="168"/>
      <c r="O1821" s="464" t="s">
        <v>812</v>
      </c>
      <c r="P1821" s="465">
        <v>0.1</v>
      </c>
      <c r="Q1821" s="466">
        <v>9.1666666666666674E-2</v>
      </c>
      <c r="R1821" s="467">
        <v>1.9E-2</v>
      </c>
      <c r="S1821" s="468">
        <v>1</v>
      </c>
      <c r="T1821" s="469">
        <v>0.1565</v>
      </c>
      <c r="U1821" s="470">
        <v>-39.124999999991232</v>
      </c>
      <c r="V1821" s="471">
        <v>60.5</v>
      </c>
      <c r="W1821" s="472">
        <v>3.51</v>
      </c>
      <c r="X1821" s="473">
        <v>137.3287499999692</v>
      </c>
      <c r="Y1821" s="148"/>
      <c r="Z1821" s="148"/>
    </row>
    <row r="1822" spans="3:26" ht="18" thickBot="1" x14ac:dyDescent="0.25">
      <c r="C1822" s="91"/>
      <c r="D1822" s="646" t="s">
        <v>436</v>
      </c>
      <c r="E1822" s="430" t="s">
        <v>29</v>
      </c>
      <c r="F1822" s="430" t="s">
        <v>28</v>
      </c>
      <c r="G1822" s="431" t="s">
        <v>27</v>
      </c>
      <c r="H1822" s="432" t="s">
        <v>793</v>
      </c>
      <c r="I1822" s="930"/>
      <c r="J1822" s="930"/>
      <c r="K1822" s="931"/>
      <c r="L1822" s="647" t="s">
        <v>1246</v>
      </c>
      <c r="M1822" s="433"/>
      <c r="N1822" s="168"/>
      <c r="O1822" s="152"/>
      <c r="P1822" s="128"/>
      <c r="Q1822" s="152"/>
      <c r="R1822" s="152"/>
      <c r="S1822" s="152"/>
      <c r="T1822" s="152"/>
      <c r="U1822" s="474"/>
      <c r="V1822" s="475"/>
      <c r="W1822" s="152"/>
      <c r="X1822" s="474"/>
      <c r="Y1822" s="128"/>
      <c r="Z1822" s="128"/>
    </row>
    <row r="1823" spans="3:26" ht="17" x14ac:dyDescent="0.2">
      <c r="C1823" s="91"/>
      <c r="D1823" s="648">
        <v>45642</v>
      </c>
      <c r="E1823" s="439">
        <v>58.5</v>
      </c>
      <c r="F1823" s="439" t="s">
        <v>1339</v>
      </c>
      <c r="G1823" s="439">
        <v>56.1</v>
      </c>
      <c r="H1823" s="435">
        <v>0.1875</v>
      </c>
      <c r="I1823" s="930"/>
      <c r="J1823" s="930"/>
      <c r="K1823" s="931"/>
      <c r="L1823" s="649">
        <v>0.14583333333333334</v>
      </c>
      <c r="M1823" s="436"/>
      <c r="N1823" s="168"/>
      <c r="O1823" s="152"/>
      <c r="P1823" s="128"/>
      <c r="Q1823" s="152"/>
      <c r="R1823" s="152"/>
      <c r="S1823" s="152"/>
      <c r="T1823" s="152"/>
      <c r="U1823" s="152"/>
      <c r="V1823" s="152"/>
      <c r="W1823" s="152"/>
      <c r="X1823" s="152"/>
      <c r="Y1823" s="128"/>
      <c r="Z1823" s="128"/>
    </row>
    <row r="1824" spans="3:26" ht="17" x14ac:dyDescent="0.2">
      <c r="C1824" s="91"/>
      <c r="D1824" s="648">
        <v>45630</v>
      </c>
      <c r="E1824" s="439">
        <v>56.1</v>
      </c>
      <c r="F1824" s="439" t="s">
        <v>1285</v>
      </c>
      <c r="G1824" s="439">
        <v>55</v>
      </c>
      <c r="H1824" s="435">
        <v>0.22916666666666666</v>
      </c>
      <c r="I1824" s="930"/>
      <c r="J1824" s="930"/>
      <c r="K1824" s="931"/>
      <c r="L1824" s="649">
        <v>0.1875</v>
      </c>
      <c r="M1824" s="437"/>
      <c r="N1824" s="168"/>
      <c r="O1824" s="448" t="s">
        <v>813</v>
      </c>
      <c r="P1824" s="449">
        <v>0.05</v>
      </c>
      <c r="Q1824" s="476">
        <v>7.8283333333333344E-2</v>
      </c>
      <c r="R1824" s="477">
        <v>1.9E-2</v>
      </c>
      <c r="S1824" s="124">
        <v>1.5</v>
      </c>
      <c r="T1824" s="455">
        <v>0.13642500000000002</v>
      </c>
      <c r="U1824" s="478">
        <v>-25.579687499994272</v>
      </c>
      <c r="V1824" s="479">
        <v>30.25</v>
      </c>
      <c r="W1824" s="124">
        <v>2</v>
      </c>
      <c r="X1824" s="453">
        <v>51.159374999988543</v>
      </c>
      <c r="Y1824" s="158"/>
      <c r="Z1824" s="158"/>
    </row>
    <row r="1825" spans="3:26" ht="17" x14ac:dyDescent="0.2">
      <c r="C1825" s="91"/>
      <c r="D1825" s="648">
        <v>45618</v>
      </c>
      <c r="E1825" s="439">
        <v>57</v>
      </c>
      <c r="F1825" s="439" t="s">
        <v>586</v>
      </c>
      <c r="G1825" s="439">
        <v>55</v>
      </c>
      <c r="H1825" s="435">
        <v>0.22916666666666666</v>
      </c>
      <c r="I1825" s="930"/>
      <c r="J1825" s="930"/>
      <c r="K1825" s="931"/>
      <c r="L1825" s="649">
        <v>0.1875</v>
      </c>
      <c r="M1825" s="426"/>
      <c r="N1825" s="168"/>
      <c r="O1825" s="448" t="s">
        <v>813</v>
      </c>
      <c r="P1825" s="449">
        <v>-0.05</v>
      </c>
      <c r="Q1825" s="476">
        <v>7.8283333333333344E-2</v>
      </c>
      <c r="R1825" s="477">
        <v>1.9E-2</v>
      </c>
      <c r="S1825" s="124">
        <v>-1.5</v>
      </c>
      <c r="T1825" s="455">
        <v>0.13642500000000002</v>
      </c>
      <c r="U1825" s="478">
        <v>-25.579687499994272</v>
      </c>
      <c r="V1825" s="479">
        <v>-30.25</v>
      </c>
      <c r="W1825" s="124">
        <v>2</v>
      </c>
      <c r="X1825" s="453">
        <v>51.159374999988543</v>
      </c>
      <c r="Y1825" s="158"/>
      <c r="Z1825" s="158"/>
    </row>
    <row r="1826" spans="3:26" ht="17" x14ac:dyDescent="0.2">
      <c r="C1826" s="91"/>
      <c r="D1826" s="648">
        <v>45601</v>
      </c>
      <c r="E1826" s="439">
        <v>55</v>
      </c>
      <c r="F1826" s="439" t="s">
        <v>585</v>
      </c>
      <c r="G1826" s="439">
        <v>55.2</v>
      </c>
      <c r="H1826" s="435">
        <v>0.22916666666666666</v>
      </c>
      <c r="I1826" s="930"/>
      <c r="J1826" s="930"/>
      <c r="K1826" s="931"/>
      <c r="L1826" s="649">
        <v>0.1875</v>
      </c>
      <c r="M1826" s="426"/>
      <c r="N1826" s="168"/>
      <c r="O1826" s="448"/>
      <c r="P1826" s="480"/>
      <c r="Q1826" s="476"/>
      <c r="R1826" s="477"/>
      <c r="S1826" s="124"/>
      <c r="T1826" s="480"/>
      <c r="U1826" s="478"/>
      <c r="V1826" s="479"/>
      <c r="W1826" s="124"/>
      <c r="X1826" s="453"/>
      <c r="Y1826" s="158"/>
      <c r="Z1826" s="158"/>
    </row>
    <row r="1827" spans="3:26" ht="17" x14ac:dyDescent="0.2">
      <c r="C1827" s="91"/>
      <c r="D1827" s="648">
        <v>45589</v>
      </c>
      <c r="E1827" s="439">
        <v>55.3</v>
      </c>
      <c r="F1827" s="439" t="s">
        <v>604</v>
      </c>
      <c r="G1827" s="439">
        <v>55.2</v>
      </c>
      <c r="H1827" s="435">
        <v>0.22916666666666666</v>
      </c>
      <c r="I1827" s="930"/>
      <c r="J1827" s="930"/>
      <c r="K1827" s="931"/>
      <c r="L1827" s="649">
        <v>0.1875</v>
      </c>
      <c r="M1827" s="426"/>
      <c r="N1827" s="168"/>
      <c r="O1827" s="89"/>
      <c r="P1827" s="89"/>
      <c r="Q1827" s="89"/>
      <c r="R1827" s="89"/>
      <c r="S1827" s="89"/>
      <c r="T1827" s="89"/>
      <c r="U1827" s="89"/>
      <c r="V1827" s="89"/>
      <c r="W1827" s="89"/>
      <c r="X1827" s="89"/>
      <c r="Y1827" s="89"/>
      <c r="Z1827" s="89"/>
    </row>
    <row r="1828" spans="3:26" ht="18" thickBot="1" x14ac:dyDescent="0.25">
      <c r="C1828" s="91"/>
      <c r="D1828" s="648">
        <v>45568</v>
      </c>
      <c r="E1828" s="439">
        <v>55.2</v>
      </c>
      <c r="F1828" s="439" t="s">
        <v>759</v>
      </c>
      <c r="G1828" s="439">
        <v>55.7</v>
      </c>
      <c r="H1828" s="435">
        <v>0.1875</v>
      </c>
      <c r="I1828" s="933"/>
      <c r="J1828" s="933"/>
      <c r="K1828" s="934"/>
      <c r="L1828" s="649">
        <v>0.14583333333333334</v>
      </c>
      <c r="M1828" s="438"/>
      <c r="N1828" s="168"/>
      <c r="O1828" s="89"/>
      <c r="P1828" s="89"/>
      <c r="Q1828" s="89"/>
      <c r="R1828" s="89"/>
      <c r="S1828" s="89"/>
      <c r="T1828" s="89"/>
      <c r="U1828" s="89"/>
      <c r="V1828" s="89"/>
      <c r="W1828" s="89"/>
      <c r="X1828" s="89"/>
      <c r="Y1828" s="89"/>
      <c r="Z1828" s="89"/>
    </row>
    <row r="1829" spans="3:26" ht="18" thickBot="1" x14ac:dyDescent="0.25">
      <c r="C1829" s="91">
        <v>3</v>
      </c>
      <c r="D1829" s="639" t="s">
        <v>30</v>
      </c>
      <c r="E1829" s="917" t="s">
        <v>1322</v>
      </c>
      <c r="F1829" s="918"/>
      <c r="G1829" s="919"/>
      <c r="H1829" s="422" t="s">
        <v>790</v>
      </c>
      <c r="I1829" s="921" t="s">
        <v>633</v>
      </c>
      <c r="J1829" s="921"/>
      <c r="K1829" s="922"/>
      <c r="L1829" s="640" t="s">
        <v>430</v>
      </c>
      <c r="M1829" s="423" t="s">
        <v>431</v>
      </c>
      <c r="N1829" s="168" t="s">
        <v>105</v>
      </c>
      <c r="O1829" s="118" t="s">
        <v>800</v>
      </c>
      <c r="P1829" s="118" t="s">
        <v>801</v>
      </c>
      <c r="Q1829" s="118" t="s">
        <v>802</v>
      </c>
      <c r="R1829" s="118" t="s">
        <v>803</v>
      </c>
      <c r="S1829" s="118" t="s">
        <v>804</v>
      </c>
      <c r="T1829" s="118" t="s">
        <v>805</v>
      </c>
      <c r="U1829" s="118" t="s">
        <v>806</v>
      </c>
      <c r="V1829" s="118" t="s">
        <v>807</v>
      </c>
      <c r="W1829" s="118" t="s">
        <v>808</v>
      </c>
      <c r="X1829" s="118" t="s">
        <v>809</v>
      </c>
      <c r="Y1829" s="118" t="s">
        <v>75</v>
      </c>
      <c r="Z1829" s="118" t="s">
        <v>75</v>
      </c>
    </row>
    <row r="1830" spans="3:26" ht="17" x14ac:dyDescent="0.2">
      <c r="C1830" s="91"/>
      <c r="D1830" s="641" t="s">
        <v>432</v>
      </c>
      <c r="E1830" s="950"/>
      <c r="F1830" s="951"/>
      <c r="G1830" s="952"/>
      <c r="H1830" s="424" t="s">
        <v>794</v>
      </c>
      <c r="I1830" s="927" t="s">
        <v>1323</v>
      </c>
      <c r="J1830" s="927"/>
      <c r="K1830" s="928"/>
      <c r="L1830" s="642"/>
      <c r="M1830" s="425" t="s">
        <v>1322</v>
      </c>
      <c r="N1830" s="168"/>
      <c r="O1830" s="448" t="s">
        <v>810</v>
      </c>
      <c r="P1830" s="449">
        <v>0.1</v>
      </c>
      <c r="Q1830" s="450">
        <v>0.03</v>
      </c>
      <c r="R1830" s="451">
        <v>1.4000000000010004E-2</v>
      </c>
      <c r="S1830" s="124"/>
      <c r="T1830" s="448">
        <v>5.9000000000010003E-2</v>
      </c>
      <c r="U1830" s="450">
        <v>-14.72</v>
      </c>
      <c r="V1830" s="449">
        <v>60.5</v>
      </c>
      <c r="W1830" s="452">
        <v>2</v>
      </c>
      <c r="X1830" s="453">
        <v>29.44</v>
      </c>
      <c r="Y1830" s="124"/>
      <c r="Z1830" s="124"/>
    </row>
    <row r="1831" spans="3:26" ht="17" x14ac:dyDescent="0.2">
      <c r="C1831" s="91"/>
      <c r="D1831" s="643" t="s">
        <v>433</v>
      </c>
      <c r="E1831" s="947">
        <v>50.3</v>
      </c>
      <c r="F1831" s="942"/>
      <c r="G1831" s="943"/>
      <c r="H1831" s="424" t="s">
        <v>795</v>
      </c>
      <c r="I1831" s="930"/>
      <c r="J1831" s="930"/>
      <c r="K1831" s="931"/>
      <c r="L1831" s="642"/>
      <c r="M1831" s="426"/>
      <c r="N1831" s="168"/>
      <c r="O1831" s="168"/>
      <c r="P1831" s="168"/>
      <c r="Q1831" s="168"/>
      <c r="R1831" s="454"/>
      <c r="S1831" s="152"/>
      <c r="T1831" s="168"/>
      <c r="U1831" s="168"/>
      <c r="V1831" s="168"/>
      <c r="W1831" s="152"/>
      <c r="X1831" s="152"/>
      <c r="Y1831" s="128"/>
      <c r="Z1831" s="128"/>
    </row>
    <row r="1832" spans="3:26" ht="17" x14ac:dyDescent="0.2">
      <c r="C1832" s="91"/>
      <c r="D1832" s="643" t="s">
        <v>434</v>
      </c>
      <c r="E1832" s="947">
        <v>50.3</v>
      </c>
      <c r="F1832" s="942"/>
      <c r="G1832" s="943"/>
      <c r="H1832" s="424"/>
      <c r="I1832" s="930"/>
      <c r="J1832" s="930"/>
      <c r="K1832" s="931"/>
      <c r="L1832" s="642"/>
      <c r="M1832" s="426"/>
      <c r="N1832" s="168"/>
      <c r="O1832" s="455" t="s">
        <v>811</v>
      </c>
      <c r="P1832" s="456">
        <v>0.1</v>
      </c>
      <c r="Q1832" s="457">
        <v>5.7000000000000002E-2</v>
      </c>
      <c r="R1832" s="458">
        <v>1.7999999999999999E-2</v>
      </c>
      <c r="S1832" s="459">
        <v>1</v>
      </c>
      <c r="T1832" s="455">
        <v>0.10350000000000001</v>
      </c>
      <c r="U1832" s="460">
        <v>-25.822372881351555</v>
      </c>
      <c r="V1832" s="461">
        <v>60.5</v>
      </c>
      <c r="W1832" s="462">
        <v>4.12</v>
      </c>
      <c r="X1832" s="463">
        <v>106.3881762711684</v>
      </c>
      <c r="Y1832" s="138"/>
      <c r="Z1832" s="138"/>
    </row>
    <row r="1833" spans="3:26" ht="18" thickBot="1" x14ac:dyDescent="0.25">
      <c r="C1833" s="91"/>
      <c r="D1833" s="644" t="s">
        <v>435</v>
      </c>
      <c r="E1833" s="938">
        <v>6.2500000000000028E-2</v>
      </c>
      <c r="F1833" s="939"/>
      <c r="G1833" s="940"/>
      <c r="H1833" s="427"/>
      <c r="I1833" s="930"/>
      <c r="J1833" s="930"/>
      <c r="K1833" s="931"/>
      <c r="L1833" s="645">
        <v>0.29166666666666669</v>
      </c>
      <c r="M1833" s="429">
        <v>0.14583333333333334</v>
      </c>
      <c r="N1833" s="168"/>
      <c r="O1833" s="464" t="s">
        <v>812</v>
      </c>
      <c r="P1833" s="465">
        <v>0.1</v>
      </c>
      <c r="Q1833" s="466">
        <v>6.3266666666666665E-2</v>
      </c>
      <c r="R1833" s="467">
        <v>1.7999999999999999E-2</v>
      </c>
      <c r="S1833" s="468">
        <v>1</v>
      </c>
      <c r="T1833" s="469">
        <v>0.1129</v>
      </c>
      <c r="U1833" s="470">
        <v>-28.167593220334208</v>
      </c>
      <c r="V1833" s="471">
        <v>60.5</v>
      </c>
      <c r="W1833" s="472">
        <v>2.46</v>
      </c>
      <c r="X1833" s="473">
        <v>69.292279322022154</v>
      </c>
      <c r="Y1833" s="148"/>
      <c r="Z1833" s="148"/>
    </row>
    <row r="1834" spans="3:26" ht="18" thickBot="1" x14ac:dyDescent="0.25">
      <c r="C1834" s="91"/>
      <c r="D1834" s="646" t="s">
        <v>436</v>
      </c>
      <c r="E1834" s="430" t="s">
        <v>29</v>
      </c>
      <c r="F1834" s="430" t="s">
        <v>28</v>
      </c>
      <c r="G1834" s="431" t="s">
        <v>27</v>
      </c>
      <c r="H1834" s="432" t="s">
        <v>793</v>
      </c>
      <c r="I1834" s="930"/>
      <c r="J1834" s="930"/>
      <c r="K1834" s="931"/>
      <c r="L1834" s="647" t="s">
        <v>1246</v>
      </c>
      <c r="M1834" s="433"/>
      <c r="N1834" s="168"/>
      <c r="O1834" s="152"/>
      <c r="P1834" s="128"/>
      <c r="Q1834" s="152"/>
      <c r="R1834" s="152"/>
      <c r="S1834" s="152"/>
      <c r="T1834" s="152"/>
      <c r="U1834" s="474"/>
      <c r="V1834" s="475"/>
      <c r="W1834" s="152"/>
      <c r="X1834" s="474"/>
      <c r="Y1834" s="128"/>
      <c r="Z1834" s="128"/>
    </row>
    <row r="1835" spans="3:26" ht="17" x14ac:dyDescent="0.2">
      <c r="C1835" s="91"/>
      <c r="D1835" s="648">
        <v>45626</v>
      </c>
      <c r="E1835" s="434">
        <v>50.3</v>
      </c>
      <c r="F1835" s="434" t="s">
        <v>1340</v>
      </c>
      <c r="G1835" s="434">
        <v>50.1</v>
      </c>
      <c r="H1835" s="435">
        <v>6.2500000000000028E-2</v>
      </c>
      <c r="I1835" s="930"/>
      <c r="J1835" s="930"/>
      <c r="K1835" s="931"/>
      <c r="L1835" s="649">
        <v>0.29166666666666669</v>
      </c>
      <c r="M1835" s="436"/>
      <c r="N1835" s="168"/>
      <c r="O1835" s="152"/>
      <c r="P1835" s="128"/>
      <c r="Q1835" s="152"/>
      <c r="R1835" s="152"/>
      <c r="S1835" s="152"/>
      <c r="T1835" s="152"/>
      <c r="U1835" s="152"/>
      <c r="V1835" s="152"/>
      <c r="W1835" s="152"/>
      <c r="X1835" s="152"/>
      <c r="Y1835" s="128"/>
      <c r="Z1835" s="128"/>
    </row>
    <row r="1836" spans="3:26" ht="17" x14ac:dyDescent="0.2">
      <c r="C1836" s="91"/>
      <c r="D1836" s="648">
        <v>45596</v>
      </c>
      <c r="E1836" s="434">
        <v>50.1</v>
      </c>
      <c r="F1836" s="434" t="s">
        <v>513</v>
      </c>
      <c r="G1836" s="434">
        <v>49.8</v>
      </c>
      <c r="H1836" s="435">
        <v>6.2500000000000028E-2</v>
      </c>
      <c r="I1836" s="930"/>
      <c r="J1836" s="930"/>
      <c r="K1836" s="931"/>
      <c r="L1836" s="649">
        <v>0.29166666666666669</v>
      </c>
      <c r="M1836" s="437"/>
      <c r="N1836" s="168"/>
      <c r="O1836" s="448" t="s">
        <v>813</v>
      </c>
      <c r="P1836" s="449">
        <v>0.1</v>
      </c>
      <c r="Q1836" s="476">
        <v>6.013333333333333E-2</v>
      </c>
      <c r="R1836" s="477">
        <v>1.7999999999999999E-2</v>
      </c>
      <c r="S1836" s="124">
        <v>1</v>
      </c>
      <c r="T1836" s="455">
        <v>0.1082</v>
      </c>
      <c r="U1836" s="478">
        <v>-26.994983050842883</v>
      </c>
      <c r="V1836" s="479">
        <v>60.5</v>
      </c>
      <c r="W1836" s="124">
        <v>2</v>
      </c>
      <c r="X1836" s="453">
        <v>53.989966101685766</v>
      </c>
      <c r="Y1836" s="158"/>
      <c r="Z1836" s="158"/>
    </row>
    <row r="1837" spans="3:26" ht="17" x14ac:dyDescent="0.2">
      <c r="C1837" s="91"/>
      <c r="D1837" s="648">
        <v>45565</v>
      </c>
      <c r="E1837" s="434">
        <v>49.8</v>
      </c>
      <c r="F1837" s="434" t="s">
        <v>440</v>
      </c>
      <c r="G1837" s="434">
        <v>49.1</v>
      </c>
      <c r="H1837" s="435">
        <v>6.2500000000000028E-2</v>
      </c>
      <c r="I1837" s="930"/>
      <c r="J1837" s="930"/>
      <c r="K1837" s="931"/>
      <c r="L1837" s="649">
        <v>0.29166666666666669</v>
      </c>
      <c r="M1837" s="426"/>
      <c r="N1837" s="168"/>
      <c r="O1837" s="448" t="s">
        <v>813</v>
      </c>
      <c r="P1837" s="449">
        <v>0.1</v>
      </c>
      <c r="Q1837" s="476">
        <v>6.013333333333333E-2</v>
      </c>
      <c r="R1837" s="477">
        <v>1.7999999999999999E-2</v>
      </c>
      <c r="S1837" s="124">
        <v>1</v>
      </c>
      <c r="T1837" s="455">
        <v>0.1082</v>
      </c>
      <c r="U1837" s="478">
        <v>-26.994983050842883</v>
      </c>
      <c r="V1837" s="479">
        <v>60.5</v>
      </c>
      <c r="W1837" s="124">
        <v>2</v>
      </c>
      <c r="X1837" s="453">
        <v>53.989966101685766</v>
      </c>
      <c r="Y1837" s="158"/>
      <c r="Z1837" s="158"/>
    </row>
    <row r="1838" spans="3:26" ht="17" x14ac:dyDescent="0.2">
      <c r="C1838" s="91"/>
      <c r="D1838" s="648">
        <v>45535</v>
      </c>
      <c r="E1838" s="434">
        <v>49.1</v>
      </c>
      <c r="F1838" s="434" t="s">
        <v>438</v>
      </c>
      <c r="G1838" s="434">
        <v>49.4</v>
      </c>
      <c r="H1838" s="435">
        <v>6.2500000000000028E-2</v>
      </c>
      <c r="I1838" s="930"/>
      <c r="J1838" s="930"/>
      <c r="K1838" s="931"/>
      <c r="L1838" s="649">
        <v>0.29166666666666669</v>
      </c>
      <c r="M1838" s="426"/>
      <c r="N1838" s="168"/>
      <c r="O1838" s="448"/>
      <c r="P1838" s="480"/>
      <c r="Q1838" s="476"/>
      <c r="R1838" s="477"/>
      <c r="S1838" s="124"/>
      <c r="T1838" s="480"/>
      <c r="U1838" s="478"/>
      <c r="V1838" s="479"/>
      <c r="W1838" s="124"/>
      <c r="X1838" s="453"/>
      <c r="Y1838" s="158"/>
      <c r="Z1838" s="158"/>
    </row>
    <row r="1839" spans="3:26" ht="17" x14ac:dyDescent="0.2">
      <c r="C1839" s="91"/>
      <c r="D1839" s="648">
        <v>45504</v>
      </c>
      <c r="E1839" s="434">
        <v>49.4</v>
      </c>
      <c r="F1839" s="434" t="s">
        <v>440</v>
      </c>
      <c r="G1839" s="434">
        <v>49.5</v>
      </c>
      <c r="H1839" s="435">
        <v>6.2500000000000028E-2</v>
      </c>
      <c r="I1839" s="930"/>
      <c r="J1839" s="930"/>
      <c r="K1839" s="931"/>
      <c r="L1839" s="649">
        <v>0.29166666666666669</v>
      </c>
      <c r="M1839" s="426"/>
      <c r="N1839" s="168"/>
      <c r="O1839" s="89"/>
      <c r="P1839" s="89"/>
      <c r="Q1839" s="89"/>
      <c r="R1839" s="89"/>
      <c r="S1839" s="89"/>
      <c r="T1839" s="89"/>
      <c r="U1839" s="89"/>
      <c r="V1839" s="89"/>
      <c r="W1839" s="89"/>
      <c r="X1839" s="89"/>
      <c r="Y1839" s="89"/>
      <c r="Z1839" s="89"/>
    </row>
    <row r="1840" spans="3:26" ht="18" thickBot="1" x14ac:dyDescent="0.25">
      <c r="C1840" s="91"/>
      <c r="D1840" s="648">
        <v>45473</v>
      </c>
      <c r="E1840" s="434">
        <v>49.5</v>
      </c>
      <c r="F1840" s="434" t="s">
        <v>438</v>
      </c>
      <c r="G1840" s="434">
        <v>49.5</v>
      </c>
      <c r="H1840" s="435">
        <v>6.2500000000000028E-2</v>
      </c>
      <c r="I1840" s="933"/>
      <c r="J1840" s="933"/>
      <c r="K1840" s="934"/>
      <c r="L1840" s="649">
        <v>0.29166666666666669</v>
      </c>
      <c r="M1840" s="438"/>
      <c r="N1840" s="168"/>
      <c r="O1840" s="89"/>
      <c r="P1840" s="481"/>
      <c r="Q1840" s="89"/>
      <c r="R1840" s="89"/>
      <c r="S1840" s="89"/>
      <c r="T1840" s="89"/>
      <c r="U1840" s="89"/>
      <c r="V1840" s="89"/>
      <c r="W1840" s="89"/>
      <c r="X1840" s="89"/>
      <c r="Y1840" s="89"/>
      <c r="Z1840" s="89"/>
    </row>
    <row r="1841" spans="3:26" ht="18" thickBot="1" x14ac:dyDescent="0.25">
      <c r="C1841" s="91">
        <v>4</v>
      </c>
      <c r="D1841" s="639" t="s">
        <v>30</v>
      </c>
      <c r="E1841" s="917" t="s">
        <v>1324</v>
      </c>
      <c r="F1841" s="918"/>
      <c r="G1841" s="919"/>
      <c r="H1841" s="422" t="s">
        <v>790</v>
      </c>
      <c r="I1841" s="921" t="s">
        <v>633</v>
      </c>
      <c r="J1841" s="921"/>
      <c r="K1841" s="922"/>
      <c r="L1841" s="640" t="s">
        <v>430</v>
      </c>
      <c r="M1841" s="440" t="s">
        <v>431</v>
      </c>
      <c r="N1841" s="168" t="s">
        <v>105</v>
      </c>
      <c r="O1841" s="118" t="s">
        <v>800</v>
      </c>
      <c r="P1841" s="118" t="s">
        <v>801</v>
      </c>
      <c r="Q1841" s="118" t="s">
        <v>802</v>
      </c>
      <c r="R1841" s="118" t="s">
        <v>803</v>
      </c>
      <c r="S1841" s="118" t="s">
        <v>804</v>
      </c>
      <c r="T1841" s="118" t="s">
        <v>805</v>
      </c>
      <c r="U1841" s="118" t="s">
        <v>806</v>
      </c>
      <c r="V1841" s="118" t="s">
        <v>807</v>
      </c>
      <c r="W1841" s="118" t="s">
        <v>808</v>
      </c>
      <c r="X1841" s="118" t="s">
        <v>809</v>
      </c>
      <c r="Y1841" s="118" t="s">
        <v>75</v>
      </c>
      <c r="Z1841" s="118" t="s">
        <v>75</v>
      </c>
    </row>
    <row r="1842" spans="3:26" ht="17" x14ac:dyDescent="0.2">
      <c r="C1842" s="91"/>
      <c r="D1842" s="641" t="s">
        <v>432</v>
      </c>
      <c r="E1842" s="950"/>
      <c r="F1842" s="951"/>
      <c r="G1842" s="952"/>
      <c r="H1842" s="424" t="s">
        <v>906</v>
      </c>
      <c r="I1842" s="927">
        <v>0</v>
      </c>
      <c r="J1842" s="927"/>
      <c r="K1842" s="928"/>
      <c r="L1842" s="642"/>
      <c r="M1842" s="425" t="s">
        <v>1324</v>
      </c>
      <c r="N1842" s="168"/>
      <c r="O1842" s="448" t="s">
        <v>810</v>
      </c>
      <c r="P1842" s="449">
        <v>0.1</v>
      </c>
      <c r="Q1842" s="450">
        <v>0.03</v>
      </c>
      <c r="R1842" s="451">
        <v>1.4000000000010004E-2</v>
      </c>
      <c r="S1842" s="124"/>
      <c r="T1842" s="448">
        <v>5.9000000000010003E-2</v>
      </c>
      <c r="U1842" s="450">
        <v>-14.72</v>
      </c>
      <c r="V1842" s="449">
        <v>60.5</v>
      </c>
      <c r="W1842" s="452">
        <v>2</v>
      </c>
      <c r="X1842" s="453">
        <v>29.44</v>
      </c>
      <c r="Y1842" s="124"/>
      <c r="Z1842" s="124"/>
    </row>
    <row r="1843" spans="3:26" ht="17" x14ac:dyDescent="0.2">
      <c r="C1843" s="91"/>
      <c r="D1843" s="643" t="s">
        <v>433</v>
      </c>
      <c r="E1843" s="947">
        <v>0</v>
      </c>
      <c r="F1843" s="942"/>
      <c r="G1843" s="943"/>
      <c r="H1843" s="424" t="s">
        <v>907</v>
      </c>
      <c r="I1843" s="930"/>
      <c r="J1843" s="930"/>
      <c r="K1843" s="931"/>
      <c r="L1843" s="642"/>
      <c r="M1843" s="426"/>
      <c r="N1843" s="168"/>
      <c r="O1843" s="168"/>
      <c r="P1843" s="168"/>
      <c r="Q1843" s="168"/>
      <c r="R1843" s="454"/>
      <c r="S1843" s="152"/>
      <c r="T1843" s="168"/>
      <c r="U1843" s="168"/>
      <c r="V1843" s="168"/>
      <c r="W1843" s="152"/>
      <c r="X1843" s="152"/>
      <c r="Y1843" s="128"/>
      <c r="Z1843" s="128"/>
    </row>
    <row r="1844" spans="3:26" ht="17" x14ac:dyDescent="0.2">
      <c r="C1844" s="91"/>
      <c r="D1844" s="643" t="s">
        <v>434</v>
      </c>
      <c r="E1844" s="944">
        <v>0</v>
      </c>
      <c r="F1844" s="945"/>
      <c r="G1844" s="946"/>
      <c r="H1844" s="424"/>
      <c r="I1844" s="930"/>
      <c r="J1844" s="930"/>
      <c r="K1844" s="931"/>
      <c r="L1844" s="642"/>
      <c r="M1844" s="426"/>
      <c r="N1844" s="168"/>
      <c r="O1844" s="455" t="s">
        <v>811</v>
      </c>
      <c r="P1844" s="456">
        <v>0.1</v>
      </c>
      <c r="Q1844" s="457">
        <v>2.7400000000000001E-2</v>
      </c>
      <c r="R1844" s="458">
        <v>1.7000000000000001E-2</v>
      </c>
      <c r="S1844" s="459">
        <v>1</v>
      </c>
      <c r="T1844" s="455">
        <v>5.8099999999999999E-2</v>
      </c>
      <c r="U1844" s="460">
        <v>-14.495457627116187</v>
      </c>
      <c r="V1844" s="461">
        <v>60.5</v>
      </c>
      <c r="W1844" s="462">
        <v>2.95</v>
      </c>
      <c r="X1844" s="463">
        <v>42.761599999992754</v>
      </c>
      <c r="Y1844" s="138"/>
      <c r="Z1844" s="138"/>
    </row>
    <row r="1845" spans="3:26" ht="18" thickBot="1" x14ac:dyDescent="0.25">
      <c r="C1845" s="91"/>
      <c r="D1845" s="644" t="s">
        <v>435</v>
      </c>
      <c r="E1845" s="938">
        <v>0</v>
      </c>
      <c r="F1845" s="939"/>
      <c r="G1845" s="940"/>
      <c r="H1845" s="427">
        <v>-0.20833333333333334</v>
      </c>
      <c r="I1845" s="930"/>
      <c r="J1845" s="930"/>
      <c r="K1845" s="931"/>
      <c r="L1845" s="645">
        <v>0.22916666666666666</v>
      </c>
      <c r="M1845" s="429">
        <v>0.70833333333333326</v>
      </c>
      <c r="N1845" s="168"/>
      <c r="O1845" s="464" t="s">
        <v>812</v>
      </c>
      <c r="P1845" s="465">
        <v>0.1</v>
      </c>
      <c r="Q1845" s="466">
        <v>2.9466666666666665E-2</v>
      </c>
      <c r="R1845" s="467">
        <v>1.7000000000000001E-2</v>
      </c>
      <c r="S1845" s="468">
        <v>1</v>
      </c>
      <c r="T1845" s="469">
        <v>6.1199999999999997E-2</v>
      </c>
      <c r="U1845" s="470">
        <v>-15.268881355929613</v>
      </c>
      <c r="V1845" s="471">
        <v>60.5</v>
      </c>
      <c r="W1845" s="472">
        <v>3.35</v>
      </c>
      <c r="X1845" s="473">
        <v>51.150752542364209</v>
      </c>
      <c r="Y1845" s="148"/>
      <c r="Z1845" s="148"/>
    </row>
    <row r="1846" spans="3:26" ht="18" thickBot="1" x14ac:dyDescent="0.25">
      <c r="C1846" s="91"/>
      <c r="D1846" s="646" t="s">
        <v>436</v>
      </c>
      <c r="E1846" s="430" t="s">
        <v>29</v>
      </c>
      <c r="F1846" s="430" t="s">
        <v>28</v>
      </c>
      <c r="G1846" s="431" t="s">
        <v>27</v>
      </c>
      <c r="H1846" s="432" t="s">
        <v>793</v>
      </c>
      <c r="I1846" s="930"/>
      <c r="J1846" s="930"/>
      <c r="K1846" s="931"/>
      <c r="L1846" s="647"/>
      <c r="M1846" s="433"/>
      <c r="N1846" s="168"/>
      <c r="O1846" s="152"/>
      <c r="P1846" s="128"/>
      <c r="Q1846" s="152"/>
      <c r="R1846" s="152"/>
      <c r="S1846" s="152"/>
      <c r="T1846" s="152"/>
      <c r="U1846" s="474"/>
      <c r="V1846" s="475"/>
      <c r="W1846" s="152"/>
      <c r="X1846" s="474"/>
      <c r="Y1846" s="128"/>
      <c r="Z1846" s="128"/>
    </row>
    <row r="1847" spans="3:26" ht="17" x14ac:dyDescent="0.2">
      <c r="C1847" s="91"/>
      <c r="D1847" s="648">
        <v>45630</v>
      </c>
      <c r="E1847" s="482">
        <v>52.1</v>
      </c>
      <c r="F1847" s="482" t="s">
        <v>523</v>
      </c>
      <c r="G1847" s="482">
        <v>56</v>
      </c>
      <c r="H1847" s="435">
        <v>0.5625</v>
      </c>
      <c r="I1847" s="930"/>
      <c r="J1847" s="930"/>
      <c r="K1847" s="931"/>
      <c r="L1847" s="649"/>
      <c r="M1847" s="436"/>
      <c r="N1847" s="168"/>
      <c r="O1847" s="152"/>
      <c r="P1847" s="128"/>
      <c r="Q1847" s="152"/>
      <c r="R1847" s="152"/>
      <c r="S1847" s="152"/>
      <c r="T1847" s="152"/>
      <c r="U1847" s="152"/>
      <c r="V1847" s="152"/>
      <c r="W1847" s="152"/>
      <c r="X1847" s="152"/>
      <c r="Y1847" s="128"/>
      <c r="Z1847" s="128"/>
    </row>
    <row r="1848" spans="3:26" ht="17" x14ac:dyDescent="0.2">
      <c r="C1848" s="91"/>
      <c r="D1848" s="648">
        <v>45601</v>
      </c>
      <c r="E1848" s="482">
        <v>56</v>
      </c>
      <c r="F1848" s="482" t="s">
        <v>1344</v>
      </c>
      <c r="G1848" s="482">
        <v>54.9</v>
      </c>
      <c r="H1848" s="435">
        <v>0.52083333333333337</v>
      </c>
      <c r="I1848" s="930"/>
      <c r="J1848" s="930"/>
      <c r="K1848" s="931"/>
      <c r="L1848" s="649"/>
      <c r="M1848" s="437"/>
      <c r="N1848" s="168"/>
      <c r="O1848" s="448" t="s">
        <v>813</v>
      </c>
      <c r="P1848" s="449">
        <v>0.2</v>
      </c>
      <c r="Q1848" s="476">
        <v>2.8433333333333331E-2</v>
      </c>
      <c r="R1848" s="477">
        <v>1.7000000000000001E-2</v>
      </c>
      <c r="S1848" s="124">
        <v>1</v>
      </c>
      <c r="T1848" s="455">
        <v>5.9649999999999995E-2</v>
      </c>
      <c r="U1848" s="478">
        <v>-29.7643389830458</v>
      </c>
      <c r="V1848" s="479">
        <v>121</v>
      </c>
      <c r="W1848" s="124">
        <v>2</v>
      </c>
      <c r="X1848" s="453">
        <v>59.5286779660916</v>
      </c>
      <c r="Y1848" s="158"/>
      <c r="Z1848" s="158"/>
    </row>
    <row r="1849" spans="3:26" ht="17" x14ac:dyDescent="0.2">
      <c r="C1849" s="91"/>
      <c r="D1849" s="648">
        <v>45568</v>
      </c>
      <c r="E1849" s="482">
        <v>54.9</v>
      </c>
      <c r="F1849" s="482" t="s">
        <v>506</v>
      </c>
      <c r="G1849" s="482">
        <v>51.5</v>
      </c>
      <c r="H1849" s="435">
        <v>0.52083333333333337</v>
      </c>
      <c r="I1849" s="930"/>
      <c r="J1849" s="930"/>
      <c r="K1849" s="931"/>
      <c r="L1849" s="649"/>
      <c r="M1849" s="426"/>
      <c r="N1849" s="168"/>
      <c r="O1849" s="448" t="s">
        <v>813</v>
      </c>
      <c r="P1849" s="449">
        <v>0.2</v>
      </c>
      <c r="Q1849" s="476">
        <v>2.8433333333333331E-2</v>
      </c>
      <c r="R1849" s="477">
        <v>1.7000000000000001E-2</v>
      </c>
      <c r="S1849" s="124">
        <v>1</v>
      </c>
      <c r="T1849" s="455">
        <v>5.9649999999999995E-2</v>
      </c>
      <c r="U1849" s="478">
        <v>-29.7643389830458</v>
      </c>
      <c r="V1849" s="479">
        <v>121</v>
      </c>
      <c r="W1849" s="124">
        <v>2</v>
      </c>
      <c r="X1849" s="453">
        <v>59.5286779660916</v>
      </c>
      <c r="Y1849" s="158"/>
      <c r="Z1849" s="158"/>
    </row>
    <row r="1850" spans="3:26" ht="17" x14ac:dyDescent="0.2">
      <c r="C1850" s="91"/>
      <c r="D1850" s="648">
        <v>45540</v>
      </c>
      <c r="E1850" s="482">
        <v>51.5</v>
      </c>
      <c r="F1850" s="482" t="s">
        <v>594</v>
      </c>
      <c r="G1850" s="482">
        <v>51.4</v>
      </c>
      <c r="H1850" s="435">
        <v>0.52083333333333337</v>
      </c>
      <c r="I1850" s="930"/>
      <c r="J1850" s="930"/>
      <c r="K1850" s="931"/>
      <c r="L1850" s="649"/>
      <c r="M1850" s="426"/>
      <c r="N1850" s="168"/>
      <c r="O1850" s="448"/>
      <c r="P1850" s="480"/>
      <c r="Q1850" s="476"/>
      <c r="R1850" s="477"/>
      <c r="S1850" s="124"/>
      <c r="T1850" s="480"/>
      <c r="U1850" s="478"/>
      <c r="V1850" s="479"/>
      <c r="W1850" s="124"/>
      <c r="X1850" s="453"/>
      <c r="Y1850" s="158"/>
      <c r="Z1850" s="158"/>
    </row>
    <row r="1851" spans="3:26" ht="17" x14ac:dyDescent="0.2">
      <c r="C1851" s="91"/>
      <c r="D1851" s="648">
        <v>45509</v>
      </c>
      <c r="E1851" s="482">
        <v>51.4</v>
      </c>
      <c r="F1851" s="482" t="s">
        <v>595</v>
      </c>
      <c r="G1851" s="482">
        <v>48.8</v>
      </c>
      <c r="H1851" s="435">
        <v>0.52083333333333337</v>
      </c>
      <c r="I1851" s="930"/>
      <c r="J1851" s="930"/>
      <c r="K1851" s="931"/>
      <c r="L1851" s="649"/>
      <c r="M1851" s="426"/>
      <c r="N1851" s="168"/>
      <c r="O1851" s="89"/>
      <c r="P1851" s="89"/>
      <c r="Q1851" s="89"/>
      <c r="R1851" s="89"/>
      <c r="S1851" s="89"/>
      <c r="T1851" s="89"/>
      <c r="U1851" s="89"/>
      <c r="V1851" s="89"/>
      <c r="W1851" s="89"/>
      <c r="X1851" s="89"/>
      <c r="Y1851" s="89"/>
      <c r="Z1851" s="89"/>
    </row>
    <row r="1852" spans="3:26" ht="18" thickBot="1" x14ac:dyDescent="0.25">
      <c r="C1852" s="91"/>
      <c r="D1852" s="648">
        <v>45476</v>
      </c>
      <c r="E1852" s="482">
        <v>48.8</v>
      </c>
      <c r="F1852" s="482" t="s">
        <v>596</v>
      </c>
      <c r="G1852" s="482">
        <v>53.8</v>
      </c>
      <c r="H1852" s="435">
        <v>0.52083333333333337</v>
      </c>
      <c r="I1852" s="933"/>
      <c r="J1852" s="933"/>
      <c r="K1852" s="934"/>
      <c r="L1852" s="650"/>
      <c r="M1852" s="438"/>
      <c r="N1852" s="168"/>
      <c r="O1852" s="89"/>
      <c r="P1852" s="89"/>
      <c r="Q1852" s="89"/>
      <c r="R1852" s="89"/>
      <c r="S1852" s="89"/>
      <c r="T1852" s="89"/>
      <c r="U1852" s="89"/>
      <c r="V1852" s="89"/>
      <c r="W1852" s="89"/>
      <c r="X1852" s="89"/>
      <c r="Y1852" s="89"/>
      <c r="Z1852" s="89"/>
    </row>
    <row r="1853" spans="3:26" ht="18" thickBot="1" x14ac:dyDescent="0.25">
      <c r="C1853" s="91">
        <v>5</v>
      </c>
      <c r="D1853" s="639" t="s">
        <v>30</v>
      </c>
      <c r="E1853" s="917" t="s">
        <v>1309</v>
      </c>
      <c r="F1853" s="918"/>
      <c r="G1853" s="919"/>
      <c r="H1853" s="422" t="s">
        <v>790</v>
      </c>
      <c r="I1853" s="921" t="s">
        <v>633</v>
      </c>
      <c r="J1853" s="921"/>
      <c r="K1853" s="922"/>
      <c r="L1853" s="640" t="s">
        <v>430</v>
      </c>
      <c r="M1853" s="423" t="s">
        <v>431</v>
      </c>
      <c r="N1853" s="168" t="s">
        <v>105</v>
      </c>
      <c r="O1853" s="118" t="s">
        <v>800</v>
      </c>
      <c r="P1853" s="118" t="s">
        <v>801</v>
      </c>
      <c r="Q1853" s="118" t="s">
        <v>802</v>
      </c>
      <c r="R1853" s="118" t="s">
        <v>803</v>
      </c>
      <c r="S1853" s="118" t="s">
        <v>804</v>
      </c>
      <c r="T1853" s="118" t="s">
        <v>805</v>
      </c>
      <c r="U1853" s="118" t="s">
        <v>806</v>
      </c>
      <c r="V1853" s="118" t="s">
        <v>807</v>
      </c>
      <c r="W1853" s="118" t="s">
        <v>808</v>
      </c>
      <c r="X1853" s="118" t="s">
        <v>809</v>
      </c>
      <c r="Y1853" s="118" t="s">
        <v>75</v>
      </c>
      <c r="Z1853" s="118" t="s">
        <v>75</v>
      </c>
    </row>
    <row r="1854" spans="3:26" ht="17" x14ac:dyDescent="0.2">
      <c r="C1854" s="91"/>
      <c r="D1854" s="641" t="s">
        <v>432</v>
      </c>
      <c r="E1854" s="950"/>
      <c r="F1854" s="951"/>
      <c r="G1854" s="952"/>
      <c r="H1854" s="424" t="s">
        <v>794</v>
      </c>
      <c r="I1854" s="927" t="e">
        <v>#REF!</v>
      </c>
      <c r="J1854" s="927"/>
      <c r="K1854" s="928"/>
      <c r="L1854" s="642"/>
      <c r="M1854" s="425" t="s">
        <v>1309</v>
      </c>
      <c r="N1854" s="168"/>
      <c r="O1854" s="448" t="s">
        <v>810</v>
      </c>
      <c r="P1854" s="449">
        <v>0.1</v>
      </c>
      <c r="Q1854" s="450">
        <v>1.6E-2</v>
      </c>
      <c r="R1854" s="451">
        <v>2.4000000000000909E-2</v>
      </c>
      <c r="S1854" s="124"/>
      <c r="T1854" s="448">
        <v>4.800000000000091E-2</v>
      </c>
      <c r="U1854" s="450">
        <v>-10.88</v>
      </c>
      <c r="V1854" s="449">
        <v>91.8</v>
      </c>
      <c r="W1854" s="452">
        <v>2</v>
      </c>
      <c r="X1854" s="453">
        <v>21.76</v>
      </c>
      <c r="Y1854" s="124"/>
      <c r="Z1854" s="124"/>
    </row>
    <row r="1855" spans="3:26" ht="17" x14ac:dyDescent="0.2">
      <c r="C1855" s="91"/>
      <c r="D1855" s="643" t="s">
        <v>433</v>
      </c>
      <c r="E1855" s="947" t="s">
        <v>931</v>
      </c>
      <c r="F1855" s="942"/>
      <c r="G1855" s="943"/>
      <c r="H1855" s="424" t="s">
        <v>795</v>
      </c>
      <c r="I1855" s="930"/>
      <c r="J1855" s="930"/>
      <c r="K1855" s="931"/>
      <c r="L1855" s="642"/>
      <c r="M1855" s="426"/>
      <c r="N1855" s="168"/>
      <c r="O1855" s="168"/>
      <c r="P1855" s="168"/>
      <c r="Q1855" s="168"/>
      <c r="R1855" s="454"/>
      <c r="S1855" s="152"/>
      <c r="T1855" s="168"/>
      <c r="U1855" s="168"/>
      <c r="V1855" s="168"/>
      <c r="W1855" s="152"/>
      <c r="X1855" s="152"/>
      <c r="Y1855" s="128"/>
      <c r="Z1855" s="128"/>
    </row>
    <row r="1856" spans="3:26" ht="17" x14ac:dyDescent="0.2">
      <c r="C1856" s="91"/>
      <c r="D1856" s="643" t="s">
        <v>434</v>
      </c>
      <c r="E1856" s="947" t="s">
        <v>345</v>
      </c>
      <c r="F1856" s="942"/>
      <c r="G1856" s="943"/>
      <c r="H1856" s="424"/>
      <c r="I1856" s="930"/>
      <c r="J1856" s="930"/>
      <c r="K1856" s="931"/>
      <c r="L1856" s="642"/>
      <c r="M1856" s="426"/>
      <c r="N1856" s="168"/>
      <c r="O1856" s="455" t="s">
        <v>811</v>
      </c>
      <c r="P1856" s="456">
        <v>0.15</v>
      </c>
      <c r="Q1856" s="457">
        <v>9.2399999999999996E-2</v>
      </c>
      <c r="R1856" s="458">
        <v>2.1999999999999999E-2</v>
      </c>
      <c r="S1856" s="459">
        <v>1</v>
      </c>
      <c r="T1856" s="455">
        <v>0.16059999999999999</v>
      </c>
      <c r="U1856" s="460">
        <v>-54.603999999998962</v>
      </c>
      <c r="V1856" s="461">
        <v>90.749999999999986</v>
      </c>
      <c r="W1856" s="462">
        <v>3.43</v>
      </c>
      <c r="X1856" s="463">
        <v>187.29171999999645</v>
      </c>
      <c r="Y1856" s="138"/>
      <c r="Z1856" s="138">
        <v>4.4350000000000005</v>
      </c>
    </row>
    <row r="1857" spans="3:26" ht="18" thickBot="1" x14ac:dyDescent="0.25">
      <c r="C1857" s="91"/>
      <c r="D1857" s="644" t="s">
        <v>435</v>
      </c>
      <c r="E1857" s="938">
        <v>0.5625</v>
      </c>
      <c r="F1857" s="939"/>
      <c r="G1857" s="940"/>
      <c r="H1857" s="427"/>
      <c r="I1857" s="930"/>
      <c r="J1857" s="930"/>
      <c r="K1857" s="931"/>
      <c r="L1857" s="645">
        <v>0.79166666666666663</v>
      </c>
      <c r="M1857" s="428">
        <v>0.64583333333333326</v>
      </c>
      <c r="N1857" s="168"/>
      <c r="O1857" s="464" t="s">
        <v>812</v>
      </c>
      <c r="P1857" s="465">
        <v>0.15</v>
      </c>
      <c r="Q1857" s="466">
        <v>0.10386666666666668</v>
      </c>
      <c r="R1857" s="467">
        <v>2.1999999999999999E-2</v>
      </c>
      <c r="S1857" s="468">
        <v>1</v>
      </c>
      <c r="T1857" s="469">
        <v>0.17780000000000001</v>
      </c>
      <c r="U1857" s="470">
        <v>-60.451999999998861</v>
      </c>
      <c r="V1857" s="471">
        <v>90.749999999999986</v>
      </c>
      <c r="W1857" s="472">
        <v>3.55</v>
      </c>
      <c r="X1857" s="473">
        <v>214.60459999999594</v>
      </c>
      <c r="Y1857" s="148"/>
      <c r="Z1857" s="148"/>
    </row>
    <row r="1858" spans="3:26" ht="18" thickBot="1" x14ac:dyDescent="0.25">
      <c r="C1858" s="91"/>
      <c r="D1858" s="646" t="s">
        <v>436</v>
      </c>
      <c r="E1858" s="430" t="s">
        <v>29</v>
      </c>
      <c r="F1858" s="430" t="s">
        <v>28</v>
      </c>
      <c r="G1858" s="431" t="s">
        <v>27</v>
      </c>
      <c r="H1858" s="432" t="s">
        <v>793</v>
      </c>
      <c r="I1858" s="930"/>
      <c r="J1858" s="930"/>
      <c r="K1858" s="931"/>
      <c r="L1858" s="647" t="s">
        <v>1246</v>
      </c>
      <c r="M1858" s="433"/>
      <c r="N1858" s="168"/>
      <c r="O1858" s="152"/>
      <c r="P1858" s="128"/>
      <c r="Q1858" s="152"/>
      <c r="R1858" s="152"/>
      <c r="S1858" s="152"/>
      <c r="T1858" s="152"/>
      <c r="U1858" s="474"/>
      <c r="V1858" s="475"/>
      <c r="W1858" s="152"/>
      <c r="X1858" s="474"/>
      <c r="Y1858" s="128"/>
      <c r="Z1858" s="128"/>
    </row>
    <row r="1859" spans="3:26" ht="17" x14ac:dyDescent="0.2">
      <c r="C1859" s="91"/>
      <c r="D1859" s="648">
        <v>45652</v>
      </c>
      <c r="E1859" s="434" t="s">
        <v>987</v>
      </c>
      <c r="F1859" s="434" t="s">
        <v>973</v>
      </c>
      <c r="G1859" s="434" t="s">
        <v>1112</v>
      </c>
      <c r="H1859" s="435">
        <v>0.5625</v>
      </c>
      <c r="I1859" s="930"/>
      <c r="J1859" s="930"/>
      <c r="K1859" s="931"/>
      <c r="L1859" s="649">
        <v>0.79166666666666663</v>
      </c>
      <c r="M1859" s="436"/>
      <c r="N1859" s="168"/>
      <c r="O1859" s="152"/>
      <c r="P1859" s="128"/>
      <c r="Q1859" s="152"/>
      <c r="R1859" s="152"/>
      <c r="S1859" s="152"/>
      <c r="T1859" s="152"/>
      <c r="U1859" s="152"/>
      <c r="V1859" s="152"/>
      <c r="W1859" s="152"/>
      <c r="X1859" s="152"/>
      <c r="Y1859" s="128"/>
      <c r="Z1859" s="128"/>
    </row>
    <row r="1860" spans="3:26" ht="17" x14ac:dyDescent="0.2">
      <c r="C1860" s="91"/>
      <c r="D1860" s="648">
        <v>45645</v>
      </c>
      <c r="E1860" s="434" t="s">
        <v>1112</v>
      </c>
      <c r="F1860" s="434" t="s">
        <v>976</v>
      </c>
      <c r="G1860" s="434" t="s">
        <v>980</v>
      </c>
      <c r="H1860" s="435">
        <v>0.5625</v>
      </c>
      <c r="I1860" s="930"/>
      <c r="J1860" s="930"/>
      <c r="K1860" s="931"/>
      <c r="L1860" s="649">
        <v>0.79166666666666663</v>
      </c>
      <c r="M1860" s="437"/>
      <c r="N1860" s="168"/>
      <c r="O1860" s="448" t="s">
        <v>813</v>
      </c>
      <c r="P1860" s="449">
        <v>0.15</v>
      </c>
      <c r="Q1860" s="476">
        <v>9.8133333333333336E-2</v>
      </c>
      <c r="R1860" s="477">
        <v>2.1999999999999999E-2</v>
      </c>
      <c r="S1860" s="124">
        <v>1</v>
      </c>
      <c r="T1860" s="455">
        <v>0.16919999999999999</v>
      </c>
      <c r="U1860" s="478">
        <v>-57.527999999998897</v>
      </c>
      <c r="V1860" s="479">
        <v>90.749999999999986</v>
      </c>
      <c r="W1860" s="124">
        <v>2.5</v>
      </c>
      <c r="X1860" s="453">
        <v>143.81999999999724</v>
      </c>
      <c r="Y1860" s="158"/>
      <c r="Z1860" s="158"/>
    </row>
    <row r="1861" spans="3:26" ht="17" x14ac:dyDescent="0.2">
      <c r="C1861" s="91"/>
      <c r="D1861" s="648">
        <v>45638</v>
      </c>
      <c r="E1861" s="434" t="s">
        <v>980</v>
      </c>
      <c r="F1861" s="434" t="s">
        <v>972</v>
      </c>
      <c r="G1861" s="434" t="s">
        <v>985</v>
      </c>
      <c r="H1861" s="435">
        <v>0.5625</v>
      </c>
      <c r="I1861" s="930"/>
      <c r="J1861" s="930"/>
      <c r="K1861" s="931"/>
      <c r="L1861" s="649">
        <v>0.79166666666666663</v>
      </c>
      <c r="M1861" s="426"/>
      <c r="N1861" s="168"/>
      <c r="O1861" s="448"/>
      <c r="P1861" s="448"/>
      <c r="Q1861" s="476"/>
      <c r="R1861" s="477"/>
      <c r="S1861" s="124"/>
      <c r="T1861" s="449"/>
      <c r="U1861" s="478"/>
      <c r="V1861" s="479"/>
      <c r="W1861" s="124"/>
      <c r="X1861" s="453"/>
      <c r="Y1861" s="158"/>
      <c r="Z1861" s="158"/>
    </row>
    <row r="1862" spans="3:26" ht="17" x14ac:dyDescent="0.2">
      <c r="C1862" s="91"/>
      <c r="D1862" s="648">
        <v>45631</v>
      </c>
      <c r="E1862" s="434" t="s">
        <v>1032</v>
      </c>
      <c r="F1862" s="434" t="s">
        <v>1232</v>
      </c>
      <c r="G1862" s="434" t="s">
        <v>1232</v>
      </c>
      <c r="H1862" s="435">
        <v>0.5625</v>
      </c>
      <c r="I1862" s="930"/>
      <c r="J1862" s="930"/>
      <c r="K1862" s="931"/>
      <c r="L1862" s="649">
        <v>0.79166666666666663</v>
      </c>
      <c r="M1862" s="426"/>
      <c r="N1862" s="168"/>
      <c r="O1862" s="448" t="s">
        <v>816</v>
      </c>
      <c r="P1862" s="480"/>
      <c r="Q1862" s="476"/>
      <c r="R1862" s="477"/>
      <c r="S1862" s="124"/>
      <c r="T1862" s="480"/>
      <c r="U1862" s="478">
        <v>0</v>
      </c>
      <c r="V1862" s="479"/>
      <c r="W1862" s="124"/>
      <c r="X1862" s="453">
        <v>0</v>
      </c>
      <c r="Y1862" s="158"/>
      <c r="Z1862" s="158"/>
    </row>
    <row r="1863" spans="3:26" ht="17" x14ac:dyDescent="0.2">
      <c r="C1863" s="91"/>
      <c r="D1863" s="648">
        <v>45623</v>
      </c>
      <c r="E1863" s="434" t="s">
        <v>1111</v>
      </c>
      <c r="F1863" s="434" t="s">
        <v>1232</v>
      </c>
      <c r="G1863" s="434" t="s">
        <v>1232</v>
      </c>
      <c r="H1863" s="435">
        <v>0.5625</v>
      </c>
      <c r="I1863" s="930"/>
      <c r="J1863" s="930"/>
      <c r="K1863" s="931"/>
      <c r="L1863" s="649">
        <v>0.79166666666666663</v>
      </c>
      <c r="M1863" s="426"/>
      <c r="N1863" s="168"/>
      <c r="O1863" s="89"/>
      <c r="P1863" s="89"/>
      <c r="Q1863" s="89"/>
      <c r="R1863" s="89"/>
      <c r="S1863" s="89"/>
      <c r="T1863" s="89"/>
      <c r="U1863" s="89"/>
      <c r="V1863" s="89"/>
      <c r="W1863" s="89"/>
      <c r="X1863" s="89"/>
      <c r="Y1863" s="89"/>
      <c r="Z1863" s="89"/>
    </row>
    <row r="1864" spans="3:26" ht="18" thickBot="1" x14ac:dyDescent="0.25">
      <c r="C1864" s="91"/>
      <c r="D1864" s="648">
        <v>45617</v>
      </c>
      <c r="E1864" s="434" t="s">
        <v>1111</v>
      </c>
      <c r="F1864" s="434" t="s">
        <v>1112</v>
      </c>
      <c r="G1864" s="434" t="s">
        <v>987</v>
      </c>
      <c r="H1864" s="435">
        <v>0.5625</v>
      </c>
      <c r="I1864" s="933"/>
      <c r="J1864" s="933"/>
      <c r="K1864" s="934"/>
      <c r="L1864" s="649">
        <v>0.79166666666666663</v>
      </c>
      <c r="M1864" s="438"/>
      <c r="N1864" s="168"/>
      <c r="O1864" s="89"/>
      <c r="P1864" s="89"/>
      <c r="Q1864" s="89"/>
      <c r="R1864" s="89"/>
      <c r="S1864" s="89"/>
      <c r="T1864" s="89"/>
      <c r="U1864" s="89"/>
      <c r="V1864" s="89"/>
      <c r="W1864" s="89"/>
      <c r="X1864" s="89"/>
      <c r="Y1864" s="89"/>
      <c r="Z1864" s="89"/>
    </row>
    <row r="1865" spans="3:26" ht="18" thickBot="1" x14ac:dyDescent="0.25">
      <c r="C1865" s="91">
        <v>6</v>
      </c>
      <c r="D1865" s="639" t="s">
        <v>30</v>
      </c>
      <c r="E1865" s="917" t="s">
        <v>1326</v>
      </c>
      <c r="F1865" s="918"/>
      <c r="G1865" s="919"/>
      <c r="H1865" s="422" t="s">
        <v>790</v>
      </c>
      <c r="I1865" s="921" t="s">
        <v>633</v>
      </c>
      <c r="J1865" s="921"/>
      <c r="K1865" s="922"/>
      <c r="L1865" s="640" t="s">
        <v>430</v>
      </c>
      <c r="M1865" s="423" t="s">
        <v>431</v>
      </c>
      <c r="N1865" s="168" t="s">
        <v>105</v>
      </c>
      <c r="O1865" s="118" t="s">
        <v>800</v>
      </c>
      <c r="P1865" s="118" t="s">
        <v>801</v>
      </c>
      <c r="Q1865" s="118" t="s">
        <v>802</v>
      </c>
      <c r="R1865" s="118" t="s">
        <v>803</v>
      </c>
      <c r="S1865" s="118" t="s">
        <v>804</v>
      </c>
      <c r="T1865" s="118" t="s">
        <v>805</v>
      </c>
      <c r="U1865" s="118" t="s">
        <v>806</v>
      </c>
      <c r="V1865" s="118" t="s">
        <v>807</v>
      </c>
      <c r="W1865" s="118" t="s">
        <v>808</v>
      </c>
      <c r="X1865" s="118" t="s">
        <v>809</v>
      </c>
      <c r="Y1865" s="118" t="s">
        <v>75</v>
      </c>
      <c r="Z1865" s="118" t="s">
        <v>75</v>
      </c>
    </row>
    <row r="1866" spans="3:26" ht="17" x14ac:dyDescent="0.2">
      <c r="C1866" s="91"/>
      <c r="D1866" s="641" t="s">
        <v>432</v>
      </c>
      <c r="E1866" s="950"/>
      <c r="F1866" s="951"/>
      <c r="G1866" s="952"/>
      <c r="H1866" s="424" t="s">
        <v>906</v>
      </c>
      <c r="I1866" s="927">
        <v>0</v>
      </c>
      <c r="J1866" s="927"/>
      <c r="K1866" s="928"/>
      <c r="L1866" s="642"/>
      <c r="M1866" s="425" t="s">
        <v>1326</v>
      </c>
      <c r="N1866" s="168"/>
      <c r="O1866" s="448" t="s">
        <v>810</v>
      </c>
      <c r="P1866" s="449">
        <v>0.1</v>
      </c>
      <c r="Q1866" s="450">
        <v>0.03</v>
      </c>
      <c r="R1866" s="451">
        <v>1.4000000000010004E-2</v>
      </c>
      <c r="S1866" s="124"/>
      <c r="T1866" s="448">
        <v>5.9000000000010003E-2</v>
      </c>
      <c r="U1866" s="450">
        <v>-14.72</v>
      </c>
      <c r="V1866" s="449">
        <v>60.5</v>
      </c>
      <c r="W1866" s="452">
        <v>2</v>
      </c>
      <c r="X1866" s="453">
        <v>29.44</v>
      </c>
      <c r="Y1866" s="124"/>
      <c r="Z1866" s="124"/>
    </row>
    <row r="1867" spans="3:26" ht="17" x14ac:dyDescent="0.2">
      <c r="C1867" s="91"/>
      <c r="D1867" s="643" t="s">
        <v>433</v>
      </c>
      <c r="E1867" s="947"/>
      <c r="F1867" s="942"/>
      <c r="G1867" s="943"/>
      <c r="H1867" s="424" t="s">
        <v>907</v>
      </c>
      <c r="I1867" s="930"/>
      <c r="J1867" s="930"/>
      <c r="K1867" s="931"/>
      <c r="L1867" s="642"/>
      <c r="M1867" s="426"/>
      <c r="N1867" s="168"/>
      <c r="O1867" s="168"/>
      <c r="P1867" s="168"/>
      <c r="Q1867" s="168"/>
      <c r="R1867" s="454"/>
      <c r="S1867" s="152"/>
      <c r="T1867" s="168"/>
      <c r="U1867" s="168"/>
      <c r="V1867" s="168"/>
      <c r="W1867" s="152"/>
      <c r="X1867" s="152"/>
      <c r="Y1867" s="128"/>
      <c r="Z1867" s="128"/>
    </row>
    <row r="1868" spans="3:26" ht="17" x14ac:dyDescent="0.2">
      <c r="C1868" s="91"/>
      <c r="D1868" s="643" t="s">
        <v>434</v>
      </c>
      <c r="E1868" s="935">
        <v>0</v>
      </c>
      <c r="F1868" s="936"/>
      <c r="G1868" s="937"/>
      <c r="H1868" s="424"/>
      <c r="I1868" s="930"/>
      <c r="J1868" s="930"/>
      <c r="K1868" s="931"/>
      <c r="L1868" s="642"/>
      <c r="M1868" s="426"/>
      <c r="N1868" s="168"/>
      <c r="O1868" s="455" t="s">
        <v>811</v>
      </c>
      <c r="P1868" s="456">
        <v>0.15</v>
      </c>
      <c r="Q1868" s="457">
        <v>20.9971</v>
      </c>
      <c r="R1868" s="458">
        <v>3</v>
      </c>
      <c r="S1868" s="459">
        <v>1</v>
      </c>
      <c r="T1868" s="455">
        <v>34.495649999999998</v>
      </c>
      <c r="U1868" s="460">
        <v>-12909.558508472384</v>
      </c>
      <c r="V1868" s="461">
        <v>90.749999999999986</v>
      </c>
      <c r="W1868" s="462">
        <v>8.0299999999999994</v>
      </c>
      <c r="X1868" s="463">
        <v>103663.75482303323</v>
      </c>
      <c r="Y1868" s="138"/>
      <c r="Z1868" s="138"/>
    </row>
    <row r="1869" spans="3:26" ht="18" thickBot="1" x14ac:dyDescent="0.25">
      <c r="C1869" s="91"/>
      <c r="D1869" s="644" t="s">
        <v>435</v>
      </c>
      <c r="E1869" s="938">
        <v>0</v>
      </c>
      <c r="F1869" s="939"/>
      <c r="G1869" s="940"/>
      <c r="H1869" s="427"/>
      <c r="I1869" s="930"/>
      <c r="J1869" s="930"/>
      <c r="K1869" s="931"/>
      <c r="L1869" s="645">
        <v>0.22916666666666666</v>
      </c>
      <c r="M1869" s="429">
        <v>0.125</v>
      </c>
      <c r="N1869" s="168"/>
      <c r="O1869" s="464" t="s">
        <v>812</v>
      </c>
      <c r="P1869" s="465">
        <v>0.25</v>
      </c>
      <c r="Q1869" s="466">
        <v>13.426666666666668</v>
      </c>
      <c r="R1869" s="467">
        <v>3</v>
      </c>
      <c r="S1869" s="468">
        <v>1</v>
      </c>
      <c r="T1869" s="469">
        <v>23.14</v>
      </c>
      <c r="U1869" s="470">
        <v>-14433.084745760265</v>
      </c>
      <c r="V1869" s="471">
        <v>151.25</v>
      </c>
      <c r="W1869" s="472">
        <v>4.75</v>
      </c>
      <c r="X1869" s="473">
        <v>68557.152542361262</v>
      </c>
      <c r="Y1869" s="148"/>
      <c r="Z1869" s="148"/>
    </row>
    <row r="1870" spans="3:26" ht="18" thickBot="1" x14ac:dyDescent="0.25">
      <c r="C1870" s="91"/>
      <c r="D1870" s="646" t="s">
        <v>436</v>
      </c>
      <c r="E1870" s="430" t="s">
        <v>29</v>
      </c>
      <c r="F1870" s="430" t="s">
        <v>28</v>
      </c>
      <c r="G1870" s="431" t="s">
        <v>27</v>
      </c>
      <c r="H1870" s="432" t="s">
        <v>793</v>
      </c>
      <c r="I1870" s="930"/>
      <c r="J1870" s="930"/>
      <c r="K1870" s="931"/>
      <c r="L1870" s="647" t="s">
        <v>1246</v>
      </c>
      <c r="M1870" s="433"/>
      <c r="N1870" s="168"/>
      <c r="O1870" s="152"/>
      <c r="P1870" s="128"/>
      <c r="Q1870" s="152"/>
      <c r="R1870" s="152"/>
      <c r="S1870" s="152"/>
      <c r="T1870" s="152"/>
      <c r="U1870" s="474"/>
      <c r="V1870" s="475"/>
      <c r="W1870" s="152"/>
      <c r="X1870" s="474"/>
      <c r="Y1870" s="128"/>
      <c r="Z1870" s="128"/>
    </row>
    <row r="1871" spans="3:26" ht="17" x14ac:dyDescent="0.2">
      <c r="C1871" s="91"/>
      <c r="D1871" s="648">
        <v>45630</v>
      </c>
      <c r="E1871" s="483">
        <v>58.2</v>
      </c>
      <c r="F1871" s="483" t="s">
        <v>1345</v>
      </c>
      <c r="G1871" s="483">
        <v>58.1</v>
      </c>
      <c r="H1871" s="435">
        <v>0.5625</v>
      </c>
      <c r="I1871" s="930"/>
      <c r="J1871" s="930"/>
      <c r="K1871" s="931"/>
      <c r="L1871" s="649">
        <v>0</v>
      </c>
      <c r="M1871" s="436"/>
      <c r="N1871" s="168"/>
      <c r="O1871" s="152"/>
      <c r="P1871" s="128"/>
      <c r="Q1871" s="152"/>
      <c r="R1871" s="152"/>
      <c r="S1871" s="152"/>
      <c r="T1871" s="152"/>
      <c r="U1871" s="152"/>
      <c r="V1871" s="152"/>
      <c r="W1871" s="152"/>
      <c r="X1871" s="152"/>
      <c r="Y1871" s="128"/>
      <c r="Z1871" s="128"/>
    </row>
    <row r="1872" spans="3:26" ht="17" x14ac:dyDescent="0.2">
      <c r="C1872" s="91"/>
      <c r="D1872" s="648">
        <v>45601</v>
      </c>
      <c r="E1872" s="483">
        <v>58.1</v>
      </c>
      <c r="F1872" s="483" t="s">
        <v>1346</v>
      </c>
      <c r="G1872" s="483">
        <v>59.4</v>
      </c>
      <c r="H1872" s="435">
        <v>0.52083333333333337</v>
      </c>
      <c r="I1872" s="930"/>
      <c r="J1872" s="930"/>
      <c r="K1872" s="931"/>
      <c r="L1872" s="649">
        <v>0</v>
      </c>
      <c r="M1872" s="437"/>
      <c r="N1872" s="168"/>
      <c r="O1872" s="448" t="s">
        <v>813</v>
      </c>
      <c r="P1872" s="449">
        <v>0.1</v>
      </c>
      <c r="Q1872" s="476">
        <v>17.211883333333333</v>
      </c>
      <c r="R1872" s="477">
        <v>3</v>
      </c>
      <c r="S1872" s="124">
        <v>1.5</v>
      </c>
      <c r="T1872" s="455">
        <v>28.817824999999999</v>
      </c>
      <c r="U1872" s="478">
        <v>-10784.704677964273</v>
      </c>
      <c r="V1872" s="479">
        <v>60.5</v>
      </c>
      <c r="W1872" s="124">
        <v>2</v>
      </c>
      <c r="X1872" s="453">
        <v>21569.409355928547</v>
      </c>
      <c r="Y1872" s="158"/>
      <c r="Z1872" s="158"/>
    </row>
    <row r="1873" spans="3:26" ht="17" x14ac:dyDescent="0.2">
      <c r="C1873" s="91"/>
      <c r="D1873" s="648">
        <v>45568</v>
      </c>
      <c r="E1873" s="483">
        <v>59.4</v>
      </c>
      <c r="F1873" s="483" t="s">
        <v>943</v>
      </c>
      <c r="G1873" s="483">
        <v>57.3</v>
      </c>
      <c r="H1873" s="435">
        <v>0.52083333333333337</v>
      </c>
      <c r="I1873" s="930"/>
      <c r="J1873" s="930"/>
      <c r="K1873" s="931"/>
      <c r="L1873" s="649">
        <v>0</v>
      </c>
      <c r="M1873" s="426"/>
      <c r="N1873" s="168"/>
      <c r="O1873" s="448" t="s">
        <v>813</v>
      </c>
      <c r="P1873" s="449">
        <v>0.1</v>
      </c>
      <c r="Q1873" s="476">
        <v>17.211883333333333</v>
      </c>
      <c r="R1873" s="477">
        <v>3</v>
      </c>
      <c r="S1873" s="124">
        <v>1.5</v>
      </c>
      <c r="T1873" s="455">
        <v>28.817824999999999</v>
      </c>
      <c r="U1873" s="478">
        <v>-10784.704677964273</v>
      </c>
      <c r="V1873" s="479">
        <v>60.5</v>
      </c>
      <c r="W1873" s="124">
        <v>2</v>
      </c>
      <c r="X1873" s="453">
        <v>21569.409355928547</v>
      </c>
      <c r="Y1873" s="158"/>
      <c r="Z1873" s="158"/>
    </row>
    <row r="1874" spans="3:26" ht="17" x14ac:dyDescent="0.2">
      <c r="C1874" s="91"/>
      <c r="D1874" s="648">
        <v>45540</v>
      </c>
      <c r="E1874" s="483">
        <v>57.3</v>
      </c>
      <c r="F1874" s="483" t="s">
        <v>589</v>
      </c>
      <c r="G1874" s="483">
        <v>57</v>
      </c>
      <c r="H1874" s="435">
        <v>0.52083333333333337</v>
      </c>
      <c r="I1874" s="930"/>
      <c r="J1874" s="930"/>
      <c r="K1874" s="931"/>
      <c r="L1874" s="649">
        <v>0</v>
      </c>
      <c r="M1874" s="426"/>
      <c r="N1874" s="168"/>
      <c r="O1874" s="448"/>
      <c r="P1874" s="480"/>
      <c r="Q1874" s="476"/>
      <c r="R1874" s="477"/>
      <c r="S1874" s="124"/>
      <c r="T1874" s="480"/>
      <c r="U1874" s="478"/>
      <c r="V1874" s="479"/>
      <c r="W1874" s="124"/>
      <c r="X1874" s="453"/>
      <c r="Y1874" s="158"/>
      <c r="Z1874" s="158"/>
    </row>
    <row r="1875" spans="3:26" ht="17" x14ac:dyDescent="0.2">
      <c r="C1875" s="91"/>
      <c r="D1875" s="648">
        <v>45509</v>
      </c>
      <c r="E1875" s="483">
        <v>57</v>
      </c>
      <c r="F1875" s="483" t="s">
        <v>589</v>
      </c>
      <c r="G1875" s="483">
        <v>56.3</v>
      </c>
      <c r="H1875" s="435">
        <v>0.52083333333333337</v>
      </c>
      <c r="I1875" s="930"/>
      <c r="J1875" s="930"/>
      <c r="K1875" s="931"/>
      <c r="L1875" s="649">
        <v>0</v>
      </c>
      <c r="M1875" s="426"/>
      <c r="N1875" s="168"/>
      <c r="O1875" s="89"/>
      <c r="P1875" s="89"/>
      <c r="Q1875" s="89"/>
      <c r="R1875" s="89"/>
      <c r="S1875" s="89"/>
      <c r="T1875" s="89"/>
      <c r="U1875" s="89"/>
      <c r="V1875" s="89"/>
      <c r="W1875" s="89"/>
      <c r="X1875" s="89"/>
      <c r="Y1875" s="89"/>
      <c r="Z1875" s="89"/>
    </row>
    <row r="1876" spans="3:26" ht="18" thickBot="1" x14ac:dyDescent="0.25">
      <c r="C1876" s="91"/>
      <c r="D1876" s="648">
        <v>45476</v>
      </c>
      <c r="E1876" s="483">
        <v>56.3</v>
      </c>
      <c r="F1876" s="483" t="s">
        <v>602</v>
      </c>
      <c r="G1876" s="483">
        <v>58.1</v>
      </c>
      <c r="H1876" s="435">
        <v>0.52083333333333337</v>
      </c>
      <c r="I1876" s="933"/>
      <c r="J1876" s="933"/>
      <c r="K1876" s="934"/>
      <c r="L1876" s="650">
        <v>0</v>
      </c>
      <c r="M1876" s="438"/>
      <c r="N1876" s="168"/>
      <c r="O1876" s="89"/>
      <c r="P1876" s="89"/>
      <c r="Q1876" s="89"/>
      <c r="R1876" s="89"/>
      <c r="S1876" s="89"/>
      <c r="T1876" s="89"/>
      <c r="U1876" s="89"/>
      <c r="V1876" s="89"/>
      <c r="W1876" s="89"/>
      <c r="X1876" s="89"/>
      <c r="Y1876" s="89"/>
      <c r="Z1876" s="89"/>
    </row>
    <row r="1877" spans="3:26" ht="18" thickBot="1" x14ac:dyDescent="0.25">
      <c r="C1877" s="91">
        <v>7</v>
      </c>
      <c r="D1877" s="639" t="s">
        <v>30</v>
      </c>
      <c r="E1877" s="917" t="s">
        <v>1309</v>
      </c>
      <c r="F1877" s="918"/>
      <c r="G1877" s="919"/>
      <c r="H1877" s="422" t="s">
        <v>790</v>
      </c>
      <c r="I1877" s="921" t="s">
        <v>633</v>
      </c>
      <c r="J1877" s="921"/>
      <c r="K1877" s="922"/>
      <c r="L1877" s="640" t="s">
        <v>430</v>
      </c>
      <c r="M1877" s="423" t="s">
        <v>431</v>
      </c>
      <c r="N1877" s="168" t="s">
        <v>105</v>
      </c>
      <c r="O1877" s="118" t="s">
        <v>800</v>
      </c>
      <c r="P1877" s="118" t="s">
        <v>801</v>
      </c>
      <c r="Q1877" s="118" t="s">
        <v>802</v>
      </c>
      <c r="R1877" s="118" t="s">
        <v>803</v>
      </c>
      <c r="S1877" s="118" t="s">
        <v>804</v>
      </c>
      <c r="T1877" s="118" t="s">
        <v>805</v>
      </c>
      <c r="U1877" s="118" t="s">
        <v>806</v>
      </c>
      <c r="V1877" s="118" t="s">
        <v>807</v>
      </c>
      <c r="W1877" s="118" t="s">
        <v>808</v>
      </c>
      <c r="X1877" s="118" t="s">
        <v>809</v>
      </c>
      <c r="Y1877" s="118" t="s">
        <v>75</v>
      </c>
      <c r="Z1877" s="118" t="s">
        <v>75</v>
      </c>
    </row>
    <row r="1878" spans="3:26" ht="17" x14ac:dyDescent="0.2">
      <c r="C1878" s="91"/>
      <c r="D1878" s="641" t="s">
        <v>432</v>
      </c>
      <c r="E1878" s="950"/>
      <c r="F1878" s="951"/>
      <c r="G1878" s="952"/>
      <c r="H1878" s="424" t="s">
        <v>906</v>
      </c>
      <c r="I1878" s="927" t="s">
        <v>1327</v>
      </c>
      <c r="J1878" s="927"/>
      <c r="K1878" s="928"/>
      <c r="L1878" s="642"/>
      <c r="M1878" s="425" t="s">
        <v>1309</v>
      </c>
      <c r="N1878" s="168"/>
      <c r="O1878" s="448" t="s">
        <v>810</v>
      </c>
      <c r="P1878" s="449">
        <v>0.1</v>
      </c>
      <c r="Q1878" s="450">
        <v>0.03</v>
      </c>
      <c r="R1878" s="451">
        <v>1.5999999999991132E-2</v>
      </c>
      <c r="S1878" s="124"/>
      <c r="T1878" s="448">
        <v>6.0999999999991131E-2</v>
      </c>
      <c r="U1878" s="450">
        <v>-14.17</v>
      </c>
      <c r="V1878" s="449">
        <v>91.8</v>
      </c>
      <c r="W1878" s="452">
        <v>2</v>
      </c>
      <c r="X1878" s="453">
        <v>28.34</v>
      </c>
      <c r="Y1878" s="124"/>
      <c r="Z1878" s="124"/>
    </row>
    <row r="1879" spans="3:26" ht="17" x14ac:dyDescent="0.2">
      <c r="C1879" s="91"/>
      <c r="D1879" s="643" t="s">
        <v>433</v>
      </c>
      <c r="E1879" s="947" t="s">
        <v>931</v>
      </c>
      <c r="F1879" s="942"/>
      <c r="G1879" s="943"/>
      <c r="H1879" s="424" t="s">
        <v>907</v>
      </c>
      <c r="I1879" s="930"/>
      <c r="J1879" s="930"/>
      <c r="K1879" s="931"/>
      <c r="L1879" s="642"/>
      <c r="M1879" s="426"/>
      <c r="N1879" s="168"/>
      <c r="O1879" s="168"/>
      <c r="P1879" s="168"/>
      <c r="Q1879" s="168"/>
      <c r="R1879" s="454"/>
      <c r="S1879" s="152"/>
      <c r="T1879" s="168"/>
      <c r="U1879" s="168"/>
      <c r="V1879" s="168"/>
      <c r="W1879" s="152"/>
      <c r="X1879" s="152"/>
      <c r="Y1879" s="128"/>
      <c r="Z1879" s="128"/>
    </row>
    <row r="1880" spans="3:26" ht="17" x14ac:dyDescent="0.2">
      <c r="C1880" s="91"/>
      <c r="D1880" s="643" t="s">
        <v>434</v>
      </c>
      <c r="E1880" s="941" t="s">
        <v>345</v>
      </c>
      <c r="F1880" s="942"/>
      <c r="G1880" s="943"/>
      <c r="H1880" s="424"/>
      <c r="I1880" s="930"/>
      <c r="J1880" s="930"/>
      <c r="K1880" s="931"/>
      <c r="L1880" s="642"/>
      <c r="M1880" s="426"/>
      <c r="N1880" s="168"/>
      <c r="O1880" s="455" t="s">
        <v>811</v>
      </c>
      <c r="P1880" s="456">
        <v>0.1</v>
      </c>
      <c r="Q1880" s="457">
        <v>7.9100000000000004E-2</v>
      </c>
      <c r="R1880" s="458">
        <v>1.6E-2</v>
      </c>
      <c r="S1880" s="459">
        <v>1</v>
      </c>
      <c r="T1880" s="455">
        <v>0.13464999999999999</v>
      </c>
      <c r="U1880" s="460">
        <v>-31.278532786889791</v>
      </c>
      <c r="V1880" s="461">
        <v>60.5</v>
      </c>
      <c r="W1880" s="462">
        <v>3.81</v>
      </c>
      <c r="X1880" s="463">
        <v>119.17120991805011</v>
      </c>
      <c r="Y1880" s="138"/>
      <c r="Z1880" s="138">
        <v>4.4350000000000005</v>
      </c>
    </row>
    <row r="1881" spans="3:26" ht="18" thickBot="1" x14ac:dyDescent="0.25">
      <c r="C1881" s="91"/>
      <c r="D1881" s="644" t="s">
        <v>435</v>
      </c>
      <c r="E1881" s="938">
        <v>0.5625</v>
      </c>
      <c r="F1881" s="939"/>
      <c r="G1881" s="940"/>
      <c r="H1881" s="427">
        <v>0.35416666666666663</v>
      </c>
      <c r="I1881" s="930"/>
      <c r="J1881" s="930"/>
      <c r="K1881" s="931"/>
      <c r="L1881" s="645">
        <v>0.79166666666666663</v>
      </c>
      <c r="M1881" s="429">
        <v>0.64583333333333326</v>
      </c>
      <c r="N1881" s="168"/>
      <c r="O1881" s="464" t="s">
        <v>812</v>
      </c>
      <c r="P1881" s="465">
        <v>0.1</v>
      </c>
      <c r="Q1881" s="466">
        <v>6.3266666666666665E-2</v>
      </c>
      <c r="R1881" s="467">
        <v>1.6E-2</v>
      </c>
      <c r="S1881" s="468">
        <v>1</v>
      </c>
      <c r="T1881" s="469">
        <v>0.1109</v>
      </c>
      <c r="U1881" s="470">
        <v>-25.761524590167678</v>
      </c>
      <c r="V1881" s="471">
        <v>60.5</v>
      </c>
      <c r="W1881" s="472">
        <v>5.21</v>
      </c>
      <c r="X1881" s="473">
        <v>134.2175431147736</v>
      </c>
      <c r="Y1881" s="148"/>
      <c r="Z1881" s="148"/>
    </row>
    <row r="1882" spans="3:26" ht="18" thickBot="1" x14ac:dyDescent="0.25">
      <c r="C1882" s="91"/>
      <c r="D1882" s="646" t="s">
        <v>436</v>
      </c>
      <c r="E1882" s="430" t="s">
        <v>29</v>
      </c>
      <c r="F1882" s="430" t="s">
        <v>28</v>
      </c>
      <c r="G1882" s="431" t="s">
        <v>27</v>
      </c>
      <c r="H1882" s="432" t="s">
        <v>793</v>
      </c>
      <c r="I1882" s="930"/>
      <c r="J1882" s="930"/>
      <c r="K1882" s="931"/>
      <c r="L1882" s="647" t="s">
        <v>1246</v>
      </c>
      <c r="M1882" s="433"/>
      <c r="N1882" s="168"/>
      <c r="O1882" s="152"/>
      <c r="P1882" s="128"/>
      <c r="Q1882" s="152"/>
      <c r="R1882" s="152"/>
      <c r="S1882" s="152"/>
      <c r="T1882" s="152"/>
      <c r="U1882" s="474"/>
      <c r="V1882" s="475"/>
      <c r="W1882" s="152"/>
      <c r="X1882" s="474"/>
      <c r="Y1882" s="128"/>
      <c r="Z1882" s="128"/>
    </row>
    <row r="1883" spans="3:26" ht="17" x14ac:dyDescent="0.2">
      <c r="C1883" s="91"/>
      <c r="D1883" s="648">
        <v>45652</v>
      </c>
      <c r="E1883" s="441" t="s">
        <v>987</v>
      </c>
      <c r="F1883" s="441" t="s">
        <v>973</v>
      </c>
      <c r="G1883" s="441" t="s">
        <v>1112</v>
      </c>
      <c r="H1883" s="435">
        <v>0.57291666666666663</v>
      </c>
      <c r="I1883" s="930"/>
      <c r="J1883" s="930"/>
      <c r="K1883" s="931"/>
      <c r="L1883" s="649"/>
      <c r="M1883" s="436"/>
      <c r="N1883" s="168"/>
      <c r="O1883" s="152"/>
      <c r="P1883" s="128"/>
      <c r="Q1883" s="152"/>
      <c r="R1883" s="152"/>
      <c r="S1883" s="152"/>
      <c r="T1883" s="152"/>
      <c r="U1883" s="152"/>
      <c r="V1883" s="152"/>
      <c r="W1883" s="152"/>
      <c r="X1883" s="152"/>
      <c r="Y1883" s="128"/>
      <c r="Z1883" s="128"/>
    </row>
    <row r="1884" spans="3:26" ht="17" x14ac:dyDescent="0.2">
      <c r="C1884" s="91"/>
      <c r="D1884" s="648">
        <v>45645</v>
      </c>
      <c r="E1884" s="441" t="s">
        <v>1112</v>
      </c>
      <c r="F1884" s="441" t="s">
        <v>976</v>
      </c>
      <c r="G1884" s="441" t="s">
        <v>980</v>
      </c>
      <c r="H1884" s="435">
        <v>0.57291666666666663</v>
      </c>
      <c r="I1884" s="930"/>
      <c r="J1884" s="930"/>
      <c r="K1884" s="931"/>
      <c r="L1884" s="649"/>
      <c r="M1884" s="437"/>
      <c r="N1884" s="168"/>
      <c r="O1884" s="448" t="s">
        <v>813</v>
      </c>
      <c r="P1884" s="449">
        <v>-0.06</v>
      </c>
      <c r="Q1884" s="476">
        <v>7.1183333333333335E-2</v>
      </c>
      <c r="R1884" s="477">
        <v>1.6E-2</v>
      </c>
      <c r="S1884" s="124">
        <v>-1.5</v>
      </c>
      <c r="T1884" s="455">
        <v>0.12277500000000001</v>
      </c>
      <c r="U1884" s="478">
        <v>-25.668025819675861</v>
      </c>
      <c r="V1884" s="479">
        <v>-36.299999999999997</v>
      </c>
      <c r="W1884" s="124">
        <v>2</v>
      </c>
      <c r="X1884" s="453">
        <v>51.336051639351723</v>
      </c>
      <c r="Y1884" s="158"/>
      <c r="Z1884" s="158"/>
    </row>
    <row r="1885" spans="3:26" ht="17" x14ac:dyDescent="0.2">
      <c r="C1885" s="91"/>
      <c r="D1885" s="648">
        <v>45638</v>
      </c>
      <c r="E1885" s="441" t="s">
        <v>980</v>
      </c>
      <c r="F1885" s="441" t="s">
        <v>972</v>
      </c>
      <c r="G1885" s="441" t="s">
        <v>985</v>
      </c>
      <c r="H1885" s="435">
        <v>0.57291666666666663</v>
      </c>
      <c r="I1885" s="930"/>
      <c r="J1885" s="930"/>
      <c r="K1885" s="931"/>
      <c r="L1885" s="649"/>
      <c r="M1885" s="426"/>
      <c r="N1885" s="168"/>
      <c r="O1885" s="448" t="s">
        <v>813</v>
      </c>
      <c r="P1885" s="449">
        <v>0.06</v>
      </c>
      <c r="Q1885" s="476">
        <v>7.1183333333333335E-2</v>
      </c>
      <c r="R1885" s="477">
        <v>1.6E-2</v>
      </c>
      <c r="S1885" s="124">
        <v>1.5</v>
      </c>
      <c r="T1885" s="455">
        <v>0.12277500000000001</v>
      </c>
      <c r="U1885" s="478">
        <v>-25.668025819675861</v>
      </c>
      <c r="V1885" s="479">
        <v>36.299999999999997</v>
      </c>
      <c r="W1885" s="124">
        <v>2</v>
      </c>
      <c r="X1885" s="453">
        <v>51.336051639351723</v>
      </c>
      <c r="Y1885" s="158"/>
      <c r="Z1885" s="158"/>
    </row>
    <row r="1886" spans="3:26" ht="17" x14ac:dyDescent="0.2">
      <c r="C1886" s="91"/>
      <c r="D1886" s="648">
        <v>45631</v>
      </c>
      <c r="E1886" s="441" t="s">
        <v>1032</v>
      </c>
      <c r="F1886" s="441" t="s">
        <v>1232</v>
      </c>
      <c r="G1886" s="441" t="s">
        <v>1232</v>
      </c>
      <c r="H1886" s="435">
        <v>0.57291666666666663</v>
      </c>
      <c r="I1886" s="930"/>
      <c r="J1886" s="930"/>
      <c r="K1886" s="931"/>
      <c r="L1886" s="649"/>
      <c r="M1886" s="426"/>
      <c r="N1886" s="168"/>
      <c r="O1886" s="448" t="s">
        <v>816</v>
      </c>
      <c r="P1886" s="480"/>
      <c r="Q1886" s="476"/>
      <c r="R1886" s="477"/>
      <c r="S1886" s="124"/>
      <c r="T1886" s="480"/>
      <c r="U1886" s="478"/>
      <c r="V1886" s="479"/>
      <c r="W1886" s="124"/>
      <c r="X1886" s="453"/>
      <c r="Y1886" s="158"/>
      <c r="Z1886" s="158"/>
    </row>
    <row r="1887" spans="3:26" ht="17" x14ac:dyDescent="0.2">
      <c r="C1887" s="91"/>
      <c r="D1887" s="648">
        <v>45623</v>
      </c>
      <c r="E1887" s="441" t="s">
        <v>1111</v>
      </c>
      <c r="F1887" s="441" t="s">
        <v>1232</v>
      </c>
      <c r="G1887" s="441" t="s">
        <v>1232</v>
      </c>
      <c r="H1887" s="435">
        <v>0.57291666666666663</v>
      </c>
      <c r="I1887" s="930"/>
      <c r="J1887" s="930"/>
      <c r="K1887" s="931"/>
      <c r="L1887" s="649"/>
      <c r="M1887" s="426"/>
      <c r="N1887" s="168"/>
      <c r="O1887" s="89"/>
      <c r="P1887" s="89"/>
      <c r="Q1887" s="89"/>
      <c r="R1887" s="89"/>
      <c r="S1887" s="89"/>
      <c r="T1887" s="89"/>
      <c r="U1887" s="89"/>
      <c r="V1887" s="89"/>
      <c r="W1887" s="89"/>
      <c r="X1887" s="89"/>
      <c r="Y1887" s="89"/>
      <c r="Z1887" s="89"/>
    </row>
    <row r="1888" spans="3:26" ht="18" thickBot="1" x14ac:dyDescent="0.25">
      <c r="C1888" s="91"/>
      <c r="D1888" s="648">
        <v>45617</v>
      </c>
      <c r="E1888" s="441" t="s">
        <v>1111</v>
      </c>
      <c r="F1888" s="441" t="s">
        <v>1112</v>
      </c>
      <c r="G1888" s="441" t="s">
        <v>987</v>
      </c>
      <c r="H1888" s="435">
        <v>0.61458333333333337</v>
      </c>
      <c r="I1888" s="933"/>
      <c r="J1888" s="933"/>
      <c r="K1888" s="934"/>
      <c r="L1888" s="650"/>
      <c r="M1888" s="438"/>
      <c r="N1888" s="168"/>
      <c r="O1888" s="89"/>
      <c r="P1888" s="89"/>
      <c r="Q1888" s="89"/>
      <c r="R1888" s="89"/>
      <c r="S1888" s="89"/>
      <c r="T1888" s="89"/>
      <c r="U1888" s="89"/>
      <c r="V1888" s="89"/>
      <c r="W1888" s="89"/>
      <c r="X1888" s="89"/>
      <c r="Y1888" s="89"/>
      <c r="Z1888" s="89"/>
    </row>
    <row r="1889" spans="3:26" ht="18" thickBot="1" x14ac:dyDescent="0.25">
      <c r="C1889" s="91">
        <v>8</v>
      </c>
      <c r="D1889" s="639" t="s">
        <v>30</v>
      </c>
      <c r="E1889" s="917" t="s">
        <v>1328</v>
      </c>
      <c r="F1889" s="918"/>
      <c r="G1889" s="919"/>
      <c r="H1889" s="422" t="s">
        <v>790</v>
      </c>
      <c r="I1889" s="921" t="s">
        <v>633</v>
      </c>
      <c r="J1889" s="921"/>
      <c r="K1889" s="922"/>
      <c r="L1889" s="640" t="s">
        <v>430</v>
      </c>
      <c r="M1889" s="423" t="s">
        <v>431</v>
      </c>
      <c r="N1889" s="168" t="s">
        <v>105</v>
      </c>
      <c r="O1889" s="118" t="s">
        <v>800</v>
      </c>
      <c r="P1889" s="118" t="s">
        <v>801</v>
      </c>
      <c r="Q1889" s="118" t="s">
        <v>802</v>
      </c>
      <c r="R1889" s="118" t="s">
        <v>803</v>
      </c>
      <c r="S1889" s="118" t="s">
        <v>804</v>
      </c>
      <c r="T1889" s="118" t="s">
        <v>805</v>
      </c>
      <c r="U1889" s="118" t="s">
        <v>806</v>
      </c>
      <c r="V1889" s="118" t="s">
        <v>807</v>
      </c>
      <c r="W1889" s="118" t="s">
        <v>808</v>
      </c>
      <c r="X1889" s="118" t="s">
        <v>809</v>
      </c>
      <c r="Y1889" s="118" t="s">
        <v>75</v>
      </c>
      <c r="Z1889" s="118" t="s">
        <v>75</v>
      </c>
    </row>
    <row r="1890" spans="3:26" ht="17" x14ac:dyDescent="0.2">
      <c r="C1890" s="91"/>
      <c r="D1890" s="641" t="s">
        <v>432</v>
      </c>
      <c r="E1890" s="950"/>
      <c r="F1890" s="951"/>
      <c r="G1890" s="952"/>
      <c r="H1890" s="424" t="s">
        <v>794</v>
      </c>
      <c r="I1890" s="927" t="s">
        <v>1329</v>
      </c>
      <c r="J1890" s="927"/>
      <c r="K1890" s="928"/>
      <c r="L1890" s="642"/>
      <c r="M1890" s="425" t="s">
        <v>1328</v>
      </c>
      <c r="N1890" s="168"/>
      <c r="O1890" s="448" t="s">
        <v>810</v>
      </c>
      <c r="P1890" s="449">
        <v>0.1</v>
      </c>
      <c r="Q1890" s="450">
        <v>6.4000000000000001E-2</v>
      </c>
      <c r="R1890" s="451">
        <v>2.2999999999996135E-2</v>
      </c>
      <c r="S1890" s="124"/>
      <c r="T1890" s="448">
        <v>0.11899999999999614</v>
      </c>
      <c r="U1890" s="450">
        <v>-26.62</v>
      </c>
      <c r="V1890" s="449">
        <v>60.23</v>
      </c>
      <c r="W1890" s="449"/>
      <c r="X1890" s="453"/>
      <c r="Y1890" s="124"/>
      <c r="Z1890" s="124"/>
    </row>
    <row r="1891" spans="3:26" ht="17" x14ac:dyDescent="0.2">
      <c r="C1891" s="91"/>
      <c r="D1891" s="643" t="s">
        <v>433</v>
      </c>
      <c r="E1891" s="935"/>
      <c r="F1891" s="936"/>
      <c r="G1891" s="937"/>
      <c r="H1891" s="424" t="s">
        <v>795</v>
      </c>
      <c r="I1891" s="930"/>
      <c r="J1891" s="930"/>
      <c r="K1891" s="931"/>
      <c r="L1891" s="642"/>
      <c r="M1891" s="426"/>
      <c r="N1891" s="168"/>
      <c r="O1891" s="168"/>
      <c r="P1891" s="168"/>
      <c r="Q1891" s="168"/>
      <c r="R1891" s="454"/>
      <c r="S1891" s="152"/>
      <c r="T1891" s="168"/>
      <c r="U1891" s="168"/>
      <c r="V1891" s="168"/>
      <c r="W1891" s="168"/>
      <c r="X1891" s="152"/>
      <c r="Y1891" s="128"/>
      <c r="Z1891" s="128"/>
    </row>
    <row r="1892" spans="3:26" ht="17" x14ac:dyDescent="0.2">
      <c r="C1892" s="91"/>
      <c r="D1892" s="643" t="s">
        <v>434</v>
      </c>
      <c r="E1892" s="935">
        <v>49.7</v>
      </c>
      <c r="F1892" s="936"/>
      <c r="G1892" s="937"/>
      <c r="H1892" s="424"/>
      <c r="I1892" s="930"/>
      <c r="J1892" s="930"/>
      <c r="K1892" s="931"/>
      <c r="L1892" s="642"/>
      <c r="M1892" s="426"/>
      <c r="N1892" s="168"/>
      <c r="O1892" s="455" t="s">
        <v>811</v>
      </c>
      <c r="P1892" s="456">
        <v>0.05</v>
      </c>
      <c r="Q1892" s="457">
        <v>6.8699999999999997E-2</v>
      </c>
      <c r="R1892" s="458">
        <v>9.9000000000000005E-2</v>
      </c>
      <c r="S1892" s="484">
        <v>2</v>
      </c>
      <c r="T1892" s="455">
        <v>0.20205000000000001</v>
      </c>
      <c r="U1892" s="460">
        <v>-22.599037815126788</v>
      </c>
      <c r="V1892" s="461">
        <v>30.25</v>
      </c>
      <c r="W1892" s="485">
        <v>4.95</v>
      </c>
      <c r="X1892" s="463">
        <v>111.8652371848776</v>
      </c>
      <c r="Y1892" s="138"/>
      <c r="Z1892" s="138"/>
    </row>
    <row r="1893" spans="3:26" ht="18" thickBot="1" x14ac:dyDescent="0.25">
      <c r="C1893" s="91"/>
      <c r="D1893" s="644" t="s">
        <v>435</v>
      </c>
      <c r="E1893" s="938">
        <v>0.61458333333333337</v>
      </c>
      <c r="F1893" s="939"/>
      <c r="G1893" s="940"/>
      <c r="H1893" s="427">
        <v>0.40625</v>
      </c>
      <c r="I1893" s="930"/>
      <c r="J1893" s="930"/>
      <c r="K1893" s="931"/>
      <c r="L1893" s="645">
        <v>0.84375</v>
      </c>
      <c r="M1893" s="429">
        <v>0.69791666666666663</v>
      </c>
      <c r="N1893" s="168"/>
      <c r="O1893" s="464" t="s">
        <v>812</v>
      </c>
      <c r="P1893" s="465">
        <v>0.05</v>
      </c>
      <c r="Q1893" s="466">
        <v>1.0599999999999998E-2</v>
      </c>
      <c r="R1893" s="467">
        <v>9.9000000000000005E-2</v>
      </c>
      <c r="S1893" s="486">
        <v>2</v>
      </c>
      <c r="T1893" s="469">
        <v>0.1149</v>
      </c>
      <c r="U1893" s="470">
        <v>-25.702840336135289</v>
      </c>
      <c r="V1893" s="471">
        <v>30.25</v>
      </c>
      <c r="W1893" s="487">
        <v>4.9249999999999998</v>
      </c>
      <c r="X1893" s="473">
        <v>126.5864886554663</v>
      </c>
      <c r="Y1893" s="148"/>
      <c r="Z1893" s="148"/>
    </row>
    <row r="1894" spans="3:26" ht="18" thickBot="1" x14ac:dyDescent="0.25">
      <c r="C1894" s="91"/>
      <c r="D1894" s="646" t="s">
        <v>436</v>
      </c>
      <c r="E1894" s="430" t="s">
        <v>29</v>
      </c>
      <c r="F1894" s="430" t="s">
        <v>28</v>
      </c>
      <c r="G1894" s="431" t="s">
        <v>27</v>
      </c>
      <c r="H1894" s="432" t="s">
        <v>793</v>
      </c>
      <c r="I1894" s="930"/>
      <c r="J1894" s="930"/>
      <c r="K1894" s="931"/>
      <c r="L1894" s="647" t="s">
        <v>1246</v>
      </c>
      <c r="M1894" s="433"/>
      <c r="N1894" s="168"/>
      <c r="O1894" s="152"/>
      <c r="P1894" s="128"/>
      <c r="Q1894" s="152"/>
      <c r="R1894" s="152"/>
      <c r="S1894" s="488"/>
      <c r="T1894" s="152"/>
      <c r="U1894" s="474"/>
      <c r="V1894" s="475"/>
      <c r="W1894" s="197"/>
      <c r="X1894" s="474"/>
      <c r="Y1894" s="128"/>
      <c r="Z1894" s="128"/>
    </row>
    <row r="1895" spans="3:26" ht="17" x14ac:dyDescent="0.2">
      <c r="C1895" s="91"/>
      <c r="D1895" s="648">
        <v>45642</v>
      </c>
      <c r="E1895" s="439">
        <v>48.3</v>
      </c>
      <c r="F1895" s="439" t="s">
        <v>440</v>
      </c>
      <c r="G1895" s="439">
        <v>49.7</v>
      </c>
      <c r="H1895" s="435">
        <v>0.61458333333333337</v>
      </c>
      <c r="I1895" s="930"/>
      <c r="J1895" s="930"/>
      <c r="K1895" s="931"/>
      <c r="L1895" s="649">
        <v>0.84375</v>
      </c>
      <c r="M1895" s="436"/>
      <c r="N1895" s="168"/>
      <c r="O1895" s="152"/>
      <c r="P1895" s="128"/>
      <c r="Q1895" s="152"/>
      <c r="R1895" s="152"/>
      <c r="S1895" s="488"/>
      <c r="T1895" s="152"/>
      <c r="U1895" s="152"/>
      <c r="V1895" s="152"/>
      <c r="W1895" s="197"/>
      <c r="X1895" s="152"/>
      <c r="Y1895" s="128"/>
      <c r="Z1895" s="128"/>
    </row>
    <row r="1896" spans="3:26" ht="17" x14ac:dyDescent="0.2">
      <c r="C1896" s="91"/>
      <c r="D1896" s="648">
        <v>45628</v>
      </c>
      <c r="E1896" s="439">
        <v>49.7</v>
      </c>
      <c r="F1896" s="439" t="s">
        <v>510</v>
      </c>
      <c r="G1896" s="439">
        <v>48.5</v>
      </c>
      <c r="H1896" s="435">
        <v>0.61458333333333337</v>
      </c>
      <c r="I1896" s="930"/>
      <c r="J1896" s="930"/>
      <c r="K1896" s="931"/>
      <c r="L1896" s="649">
        <v>0.84375</v>
      </c>
      <c r="M1896" s="437"/>
      <c r="N1896" s="168"/>
      <c r="O1896" s="448" t="s">
        <v>813</v>
      </c>
      <c r="P1896" s="489">
        <v>0.02</v>
      </c>
      <c r="Q1896" s="476">
        <v>1.0599999999999998E-2</v>
      </c>
      <c r="R1896" s="477">
        <v>9.9000000000000005E-2</v>
      </c>
      <c r="S1896" s="490">
        <v>2</v>
      </c>
      <c r="T1896" s="491">
        <v>0.1149</v>
      </c>
      <c r="U1896" s="478">
        <v>-10.281136134454115</v>
      </c>
      <c r="V1896" s="479">
        <v>12.1</v>
      </c>
      <c r="W1896" s="492">
        <v>2</v>
      </c>
      <c r="X1896" s="453">
        <v>20.562272268908231</v>
      </c>
      <c r="Y1896" s="158"/>
      <c r="Z1896" s="158"/>
    </row>
    <row r="1897" spans="3:26" ht="17" x14ac:dyDescent="0.2">
      <c r="C1897" s="91"/>
      <c r="D1897" s="648">
        <v>45618</v>
      </c>
      <c r="E1897" s="439">
        <v>48.8</v>
      </c>
      <c r="F1897" s="439" t="s">
        <v>510</v>
      </c>
      <c r="G1897" s="439">
        <v>48.5</v>
      </c>
      <c r="H1897" s="435">
        <v>0.61458333333333337</v>
      </c>
      <c r="I1897" s="930"/>
      <c r="J1897" s="930"/>
      <c r="K1897" s="931"/>
      <c r="L1897" s="649">
        <v>0.84375</v>
      </c>
      <c r="M1897" s="426"/>
      <c r="N1897" s="168"/>
      <c r="O1897" s="448" t="s">
        <v>813</v>
      </c>
      <c r="P1897" s="489">
        <v>0.02</v>
      </c>
      <c r="Q1897" s="476">
        <v>1.0599999999999998E-2</v>
      </c>
      <c r="R1897" s="477">
        <v>9.9000000000000005E-2</v>
      </c>
      <c r="S1897" s="490">
        <v>2</v>
      </c>
      <c r="T1897" s="491">
        <v>0.1149</v>
      </c>
      <c r="U1897" s="478">
        <v>-10.281136134454115</v>
      </c>
      <c r="V1897" s="479">
        <v>12.1</v>
      </c>
      <c r="W1897" s="492">
        <v>2</v>
      </c>
      <c r="X1897" s="453">
        <v>20.562272268908231</v>
      </c>
      <c r="Y1897" s="158"/>
      <c r="Z1897" s="158"/>
    </row>
    <row r="1898" spans="3:26" ht="17" x14ac:dyDescent="0.2">
      <c r="C1898" s="91"/>
      <c r="D1898" s="648">
        <v>45597</v>
      </c>
      <c r="E1898" s="439">
        <v>48.5</v>
      </c>
      <c r="F1898" s="439" t="s">
        <v>1054</v>
      </c>
      <c r="G1898" s="439">
        <v>47.8</v>
      </c>
      <c r="H1898" s="435">
        <v>0.57291666666666674</v>
      </c>
      <c r="I1898" s="930"/>
      <c r="J1898" s="930"/>
      <c r="K1898" s="931"/>
      <c r="L1898" s="649">
        <v>0.80208333333333337</v>
      </c>
      <c r="M1898" s="426"/>
      <c r="N1898" s="168"/>
      <c r="O1898" s="448"/>
      <c r="P1898" s="480"/>
      <c r="Q1898" s="476"/>
      <c r="R1898" s="477"/>
      <c r="S1898" s="124"/>
      <c r="T1898" s="480"/>
      <c r="U1898" s="478"/>
      <c r="V1898" s="479"/>
      <c r="W1898" s="124"/>
      <c r="X1898" s="453"/>
      <c r="Y1898" s="158"/>
      <c r="Z1898" s="158"/>
    </row>
    <row r="1899" spans="3:26" ht="17" x14ac:dyDescent="0.2">
      <c r="C1899" s="91"/>
      <c r="D1899" s="648">
        <v>45589</v>
      </c>
      <c r="E1899" s="439">
        <v>47.8</v>
      </c>
      <c r="F1899" s="439" t="s">
        <v>509</v>
      </c>
      <c r="G1899" s="439">
        <v>47.3</v>
      </c>
      <c r="H1899" s="435">
        <v>0.57291666666666674</v>
      </c>
      <c r="I1899" s="930"/>
      <c r="J1899" s="930"/>
      <c r="K1899" s="931"/>
      <c r="L1899" s="649">
        <v>0.80208333333333337</v>
      </c>
      <c r="M1899" s="426"/>
      <c r="N1899" s="168"/>
      <c r="O1899" s="89"/>
      <c r="P1899" s="89"/>
      <c r="Q1899" s="89"/>
      <c r="R1899" s="89"/>
      <c r="S1899" s="89"/>
      <c r="T1899" s="89"/>
      <c r="U1899" s="89"/>
      <c r="V1899" s="89"/>
      <c r="W1899" s="89"/>
      <c r="X1899" s="89"/>
      <c r="Y1899" s="89"/>
      <c r="Z1899" s="89"/>
    </row>
    <row r="1900" spans="3:26" ht="18" thickBot="1" x14ac:dyDescent="0.25">
      <c r="C1900" s="91"/>
      <c r="D1900" s="648">
        <v>45566</v>
      </c>
      <c r="E1900" s="439">
        <v>47.3</v>
      </c>
      <c r="F1900" s="439" t="s">
        <v>758</v>
      </c>
      <c r="G1900" s="439">
        <v>47.9</v>
      </c>
      <c r="H1900" s="435">
        <v>0.57291666666666674</v>
      </c>
      <c r="I1900" s="933"/>
      <c r="J1900" s="933"/>
      <c r="K1900" s="934"/>
      <c r="L1900" s="649">
        <v>0.80208333333333337</v>
      </c>
      <c r="M1900" s="438"/>
      <c r="N1900" s="168"/>
      <c r="O1900" s="89"/>
      <c r="P1900" s="89"/>
      <c r="Q1900" s="89"/>
      <c r="R1900" s="89"/>
      <c r="S1900" s="89"/>
      <c r="T1900" s="89"/>
      <c r="U1900" s="89"/>
      <c r="V1900" s="89"/>
      <c r="W1900" s="89"/>
      <c r="X1900" s="89"/>
      <c r="Y1900" s="89"/>
      <c r="Z1900" s="89"/>
    </row>
    <row r="1901" spans="3:26" ht="18" thickBot="1" x14ac:dyDescent="0.25">
      <c r="C1901" s="91">
        <v>9</v>
      </c>
      <c r="D1901" s="639" t="s">
        <v>30</v>
      </c>
      <c r="E1901" s="917" t="e">
        <v>#REF!</v>
      </c>
      <c r="F1901" s="918"/>
      <c r="G1901" s="919"/>
      <c r="H1901" s="422" t="s">
        <v>790</v>
      </c>
      <c r="I1901" s="921" t="s">
        <v>633</v>
      </c>
      <c r="J1901" s="921"/>
      <c r="K1901" s="922"/>
      <c r="L1901" s="640" t="s">
        <v>430</v>
      </c>
      <c r="M1901" s="423" t="s">
        <v>431</v>
      </c>
      <c r="N1901" s="168" t="s">
        <v>105</v>
      </c>
      <c r="O1901" s="118" t="s">
        <v>800</v>
      </c>
      <c r="P1901" s="118" t="s">
        <v>801</v>
      </c>
      <c r="Q1901" s="118" t="s">
        <v>802</v>
      </c>
      <c r="R1901" s="118" t="s">
        <v>803</v>
      </c>
      <c r="S1901" s="118" t="s">
        <v>804</v>
      </c>
      <c r="T1901" s="118" t="s">
        <v>805</v>
      </c>
      <c r="U1901" s="118" t="s">
        <v>806</v>
      </c>
      <c r="V1901" s="118" t="s">
        <v>807</v>
      </c>
      <c r="W1901" s="118" t="s">
        <v>808</v>
      </c>
      <c r="X1901" s="118" t="s">
        <v>809</v>
      </c>
      <c r="Y1901" s="118" t="s">
        <v>75</v>
      </c>
      <c r="Z1901" s="118" t="s">
        <v>75</v>
      </c>
    </row>
    <row r="1902" spans="3:26" ht="17" x14ac:dyDescent="0.2">
      <c r="C1902" s="168"/>
      <c r="D1902" s="641" t="s">
        <v>432</v>
      </c>
      <c r="E1902" s="950"/>
      <c r="F1902" s="951"/>
      <c r="G1902" s="952"/>
      <c r="H1902" s="424" t="s">
        <v>794</v>
      </c>
      <c r="I1902" s="927" t="e">
        <v>#REF!</v>
      </c>
      <c r="J1902" s="927"/>
      <c r="K1902" s="928"/>
      <c r="L1902" s="642"/>
      <c r="M1902" s="426"/>
      <c r="N1902" s="168"/>
      <c r="O1902" s="448" t="s">
        <v>810</v>
      </c>
      <c r="P1902" s="449">
        <v>0.1</v>
      </c>
      <c r="Q1902" s="450">
        <v>3.9E-2</v>
      </c>
      <c r="R1902" s="451">
        <v>1.7000000000024329E-2</v>
      </c>
      <c r="S1902" s="124"/>
      <c r="T1902" s="448">
        <v>7.5500000000024325E-2</v>
      </c>
      <c r="U1902" s="450">
        <v>-17.670000000000002</v>
      </c>
      <c r="V1902" s="449">
        <v>60.23</v>
      </c>
      <c r="W1902" s="449"/>
      <c r="X1902" s="453"/>
      <c r="Y1902" s="124"/>
      <c r="Z1902" s="124"/>
    </row>
    <row r="1903" spans="3:26" ht="17" x14ac:dyDescent="0.2">
      <c r="C1903" s="168"/>
      <c r="D1903" s="643" t="s">
        <v>433</v>
      </c>
      <c r="E1903" s="935" t="e">
        <v>#REF!</v>
      </c>
      <c r="F1903" s="936"/>
      <c r="G1903" s="937"/>
      <c r="H1903" s="424" t="s">
        <v>795</v>
      </c>
      <c r="I1903" s="930"/>
      <c r="J1903" s="930"/>
      <c r="K1903" s="931"/>
      <c r="L1903" s="642"/>
      <c r="M1903" s="426"/>
      <c r="N1903" s="168"/>
      <c r="O1903" s="168"/>
      <c r="P1903" s="168"/>
      <c r="Q1903" s="168"/>
      <c r="R1903" s="454"/>
      <c r="S1903" s="152"/>
      <c r="T1903" s="168"/>
      <c r="U1903" s="168"/>
      <c r="V1903" s="168"/>
      <c r="W1903" s="168"/>
      <c r="X1903" s="152"/>
      <c r="Y1903" s="128"/>
      <c r="Z1903" s="128"/>
    </row>
    <row r="1904" spans="3:26" ht="17" x14ac:dyDescent="0.2">
      <c r="C1904" s="168"/>
      <c r="D1904" s="643" t="s">
        <v>434</v>
      </c>
      <c r="E1904" s="935" t="e">
        <v>#REF!</v>
      </c>
      <c r="F1904" s="936"/>
      <c r="G1904" s="937"/>
      <c r="H1904" s="424"/>
      <c r="I1904" s="930"/>
      <c r="J1904" s="930"/>
      <c r="K1904" s="931"/>
      <c r="L1904" s="642"/>
      <c r="M1904" s="426"/>
      <c r="N1904" s="168"/>
      <c r="O1904" s="455" t="s">
        <v>811</v>
      </c>
      <c r="P1904" s="456">
        <v>0.1</v>
      </c>
      <c r="Q1904" s="457">
        <v>3.9100000000000003E-2</v>
      </c>
      <c r="R1904" s="458">
        <v>1.4E-2</v>
      </c>
      <c r="S1904" s="484">
        <v>1</v>
      </c>
      <c r="T1904" s="455">
        <v>7.2650000000000006E-2</v>
      </c>
      <c r="U1904" s="460">
        <v>-17.002986754961412</v>
      </c>
      <c r="V1904" s="461">
        <v>60.5</v>
      </c>
      <c r="W1904" s="485">
        <v>4.29</v>
      </c>
      <c r="X1904" s="463">
        <v>72.942813178784462</v>
      </c>
      <c r="Y1904" s="138"/>
      <c r="Z1904" s="138"/>
    </row>
    <row r="1905" spans="3:26" ht="18" thickBot="1" x14ac:dyDescent="0.25">
      <c r="C1905" s="168"/>
      <c r="D1905" s="644" t="s">
        <v>435</v>
      </c>
      <c r="E1905" s="938" t="e">
        <v>#REF!</v>
      </c>
      <c r="F1905" s="939"/>
      <c r="G1905" s="940"/>
      <c r="H1905" s="427"/>
      <c r="I1905" s="930"/>
      <c r="J1905" s="930"/>
      <c r="K1905" s="931"/>
      <c r="L1905" s="645" t="e">
        <v>#REF!</v>
      </c>
      <c r="M1905" s="429" t="e">
        <v>#REF!</v>
      </c>
      <c r="N1905" s="168"/>
      <c r="O1905" s="464" t="s">
        <v>812</v>
      </c>
      <c r="P1905" s="465">
        <v>0.1</v>
      </c>
      <c r="Q1905" s="466">
        <v>4.9933333333333337E-2</v>
      </c>
      <c r="R1905" s="467">
        <v>1.4E-2</v>
      </c>
      <c r="S1905" s="486">
        <v>1</v>
      </c>
      <c r="T1905" s="469">
        <v>8.8900000000000007E-2</v>
      </c>
      <c r="U1905" s="470">
        <v>-20.806132450324426</v>
      </c>
      <c r="V1905" s="471">
        <v>60.5</v>
      </c>
      <c r="W1905" s="487">
        <v>4.9249999999999998</v>
      </c>
      <c r="X1905" s="473">
        <v>102.47020231784779</v>
      </c>
      <c r="Y1905" s="148"/>
      <c r="Z1905" s="148"/>
    </row>
    <row r="1906" spans="3:26" ht="18" thickBot="1" x14ac:dyDescent="0.25">
      <c r="C1906" s="168"/>
      <c r="D1906" s="646" t="s">
        <v>436</v>
      </c>
      <c r="E1906" s="430" t="s">
        <v>29</v>
      </c>
      <c r="F1906" s="430" t="s">
        <v>28</v>
      </c>
      <c r="G1906" s="431" t="s">
        <v>27</v>
      </c>
      <c r="H1906" s="432" t="s">
        <v>793</v>
      </c>
      <c r="I1906" s="930"/>
      <c r="J1906" s="930"/>
      <c r="K1906" s="931"/>
      <c r="L1906" s="647" t="s">
        <v>1246</v>
      </c>
      <c r="M1906" s="433"/>
      <c r="N1906" s="168"/>
      <c r="O1906" s="152"/>
      <c r="P1906" s="128"/>
      <c r="Q1906" s="152"/>
      <c r="R1906" s="152"/>
      <c r="S1906" s="488"/>
      <c r="T1906" s="152"/>
      <c r="U1906" s="474"/>
      <c r="V1906" s="475"/>
      <c r="W1906" s="197"/>
      <c r="X1906" s="474"/>
      <c r="Y1906" s="128"/>
      <c r="Z1906" s="128"/>
    </row>
    <row r="1907" spans="3:26" ht="17" x14ac:dyDescent="0.2">
      <c r="C1907" s="168"/>
      <c r="D1907" s="648">
        <v>45601</v>
      </c>
      <c r="E1907" s="493">
        <v>4.3470000000000002E-2</v>
      </c>
      <c r="F1907" s="493" t="s">
        <v>754</v>
      </c>
      <c r="G1907" s="493">
        <v>4.0660000000000002E-2</v>
      </c>
      <c r="H1907" s="435">
        <v>0.75</v>
      </c>
      <c r="I1907" s="930"/>
      <c r="J1907" s="930"/>
      <c r="K1907" s="931"/>
      <c r="L1907" s="649">
        <v>0.84375</v>
      </c>
      <c r="M1907" s="436"/>
      <c r="N1907" s="168"/>
      <c r="O1907" s="152"/>
      <c r="P1907" s="128"/>
      <c r="Q1907" s="152"/>
      <c r="R1907" s="152"/>
      <c r="S1907" s="488"/>
      <c r="T1907" s="152"/>
      <c r="U1907" s="152"/>
      <c r="V1907" s="152"/>
      <c r="W1907" s="197"/>
      <c r="X1907" s="152"/>
      <c r="Y1907" s="128"/>
      <c r="Z1907" s="128"/>
    </row>
    <row r="1908" spans="3:26" ht="17" x14ac:dyDescent="0.2">
      <c r="C1908" s="168"/>
      <c r="D1908" s="648">
        <v>45574</v>
      </c>
      <c r="E1908" s="493">
        <v>4.0660000000000002E-2</v>
      </c>
      <c r="F1908" s="493" t="s">
        <v>754</v>
      </c>
      <c r="G1908" s="493">
        <v>3.6479999999999999E-2</v>
      </c>
      <c r="H1908" s="435">
        <v>0.70833333333333337</v>
      </c>
      <c r="I1908" s="930"/>
      <c r="J1908" s="930"/>
      <c r="K1908" s="931"/>
      <c r="L1908" s="649">
        <v>0.84375</v>
      </c>
      <c r="M1908" s="437"/>
      <c r="N1908" s="168"/>
      <c r="O1908" s="448" t="s">
        <v>813</v>
      </c>
      <c r="P1908" s="490">
        <v>0.1</v>
      </c>
      <c r="Q1908" s="476">
        <v>4.9933333333333337E-2</v>
      </c>
      <c r="R1908" s="477">
        <v>1.4E-2</v>
      </c>
      <c r="S1908" s="490">
        <v>1</v>
      </c>
      <c r="T1908" s="491">
        <v>8.8900000000000007E-2</v>
      </c>
      <c r="U1908" s="478">
        <v>-20.806132450324426</v>
      </c>
      <c r="V1908" s="479">
        <v>60.5</v>
      </c>
      <c r="W1908" s="492">
        <v>2</v>
      </c>
      <c r="X1908" s="453">
        <v>41.612264900648853</v>
      </c>
      <c r="Y1908" s="158"/>
      <c r="Z1908" s="158"/>
    </row>
    <row r="1909" spans="3:26" ht="17" x14ac:dyDescent="0.2">
      <c r="C1909" s="168"/>
      <c r="D1909" s="648">
        <v>45546</v>
      </c>
      <c r="E1909" s="493">
        <v>3.6479999999999999E-2</v>
      </c>
      <c r="F1909" s="493" t="s">
        <v>754</v>
      </c>
      <c r="G1909" s="493">
        <v>3.9600000000000003E-2</v>
      </c>
      <c r="H1909" s="435">
        <v>0.70833333333333337</v>
      </c>
      <c r="I1909" s="930"/>
      <c r="J1909" s="930"/>
      <c r="K1909" s="931"/>
      <c r="L1909" s="649">
        <v>0.80208333333333337</v>
      </c>
      <c r="M1909" s="426"/>
      <c r="N1909" s="168"/>
      <c r="O1909" s="448" t="s">
        <v>813</v>
      </c>
      <c r="P1909" s="490">
        <v>0.1</v>
      </c>
      <c r="Q1909" s="476">
        <v>4.9933333333333337E-2</v>
      </c>
      <c r="R1909" s="477">
        <v>1.4E-2</v>
      </c>
      <c r="S1909" s="490">
        <v>1</v>
      </c>
      <c r="T1909" s="491">
        <v>8.8900000000000007E-2</v>
      </c>
      <c r="U1909" s="478">
        <v>-20.806132450324426</v>
      </c>
      <c r="V1909" s="479">
        <v>60.5</v>
      </c>
      <c r="W1909" s="492">
        <v>2</v>
      </c>
      <c r="X1909" s="453">
        <v>41.612264900648853</v>
      </c>
      <c r="Y1909" s="158"/>
      <c r="Z1909" s="158"/>
    </row>
    <row r="1910" spans="3:26" ht="17" x14ac:dyDescent="0.2">
      <c r="C1910" s="168"/>
      <c r="D1910" s="648">
        <v>45511</v>
      </c>
      <c r="E1910" s="493">
        <v>3.9600000000000003E-2</v>
      </c>
      <c r="F1910" s="493" t="s">
        <v>754</v>
      </c>
      <c r="G1910" s="493">
        <v>4.2759999999999999E-2</v>
      </c>
      <c r="H1910" s="435">
        <v>0.70833333333333337</v>
      </c>
      <c r="I1910" s="930"/>
      <c r="J1910" s="930"/>
      <c r="K1910" s="931"/>
      <c r="L1910" s="649">
        <v>0.80208333333333337</v>
      </c>
      <c r="M1910" s="426"/>
      <c r="N1910" s="168"/>
      <c r="O1910" s="448"/>
      <c r="P1910" s="480"/>
      <c r="Q1910" s="476"/>
      <c r="R1910" s="477"/>
      <c r="S1910" s="124"/>
      <c r="T1910" s="480"/>
      <c r="U1910" s="478"/>
      <c r="V1910" s="479"/>
      <c r="W1910" s="124"/>
      <c r="X1910" s="453"/>
      <c r="Y1910" s="158"/>
      <c r="Z1910" s="158"/>
    </row>
    <row r="1911" spans="3:26" ht="17" x14ac:dyDescent="0.2">
      <c r="C1911" s="168"/>
      <c r="D1911" s="648">
        <v>45483</v>
      </c>
      <c r="E1911" s="493">
        <v>4.2759999999999999E-2</v>
      </c>
      <c r="F1911" s="493" t="s">
        <v>754</v>
      </c>
      <c r="G1911" s="493">
        <v>4.4380000000000003E-2</v>
      </c>
      <c r="H1911" s="435">
        <v>0.70833333333333337</v>
      </c>
      <c r="I1911" s="930"/>
      <c r="J1911" s="930"/>
      <c r="K1911" s="931"/>
      <c r="L1911" s="649">
        <v>0</v>
      </c>
      <c r="M1911" s="426"/>
      <c r="N1911" s="168"/>
      <c r="O1911" s="89"/>
      <c r="P1911" s="89"/>
      <c r="Q1911" s="89"/>
      <c r="R1911" s="89"/>
      <c r="S1911" s="89"/>
      <c r="T1911" s="89"/>
      <c r="U1911" s="89"/>
      <c r="V1911" s="89"/>
      <c r="W1911" s="89"/>
      <c r="X1911" s="89"/>
      <c r="Y1911" s="89"/>
      <c r="Z1911" s="89"/>
    </row>
    <row r="1912" spans="3:26" ht="18" thickBot="1" x14ac:dyDescent="0.25">
      <c r="C1912" s="168"/>
      <c r="D1912" s="648">
        <v>45454</v>
      </c>
      <c r="E1912" s="493">
        <v>4.4380000000000003E-2</v>
      </c>
      <c r="F1912" s="493" t="s">
        <v>754</v>
      </c>
      <c r="G1912" s="493">
        <v>4.4830000000000002E-2</v>
      </c>
      <c r="H1912" s="435">
        <v>0.70833333333333337</v>
      </c>
      <c r="I1912" s="933"/>
      <c r="J1912" s="933"/>
      <c r="K1912" s="934"/>
      <c r="L1912" s="650">
        <v>0</v>
      </c>
      <c r="M1912" s="438"/>
      <c r="N1912" s="168"/>
      <c r="O1912" s="89"/>
      <c r="P1912" s="89"/>
      <c r="Q1912" s="89"/>
      <c r="R1912" s="89"/>
      <c r="S1912" s="89"/>
      <c r="T1912" s="89"/>
      <c r="U1912" s="89"/>
      <c r="V1912" s="89"/>
      <c r="W1912" s="89"/>
      <c r="X1912" s="89"/>
      <c r="Y1912" s="89"/>
      <c r="Z1912" s="89"/>
    </row>
    <row r="1913" spans="3:26" ht="18" thickBot="1" x14ac:dyDescent="0.25">
      <c r="C1913" s="91">
        <v>10</v>
      </c>
      <c r="D1913" s="639" t="s">
        <v>30</v>
      </c>
      <c r="E1913" s="917" t="s">
        <v>1330</v>
      </c>
      <c r="F1913" s="918"/>
      <c r="G1913" s="919"/>
      <c r="H1913" s="422" t="s">
        <v>790</v>
      </c>
      <c r="I1913" s="921" t="s">
        <v>633</v>
      </c>
      <c r="J1913" s="921"/>
      <c r="K1913" s="922"/>
      <c r="L1913" s="640" t="s">
        <v>430</v>
      </c>
      <c r="M1913" s="423" t="s">
        <v>431</v>
      </c>
      <c r="N1913" s="168" t="s">
        <v>105</v>
      </c>
      <c r="O1913" s="118" t="s">
        <v>800</v>
      </c>
      <c r="P1913" s="118" t="s">
        <v>801</v>
      </c>
      <c r="Q1913" s="118" t="s">
        <v>802</v>
      </c>
      <c r="R1913" s="118" t="s">
        <v>803</v>
      </c>
      <c r="S1913" s="118" t="s">
        <v>804</v>
      </c>
      <c r="T1913" s="118" t="s">
        <v>805</v>
      </c>
      <c r="U1913" s="118" t="s">
        <v>806</v>
      </c>
      <c r="V1913" s="118" t="s">
        <v>807</v>
      </c>
      <c r="W1913" s="118" t="s">
        <v>808</v>
      </c>
      <c r="X1913" s="118" t="s">
        <v>809</v>
      </c>
      <c r="Y1913" s="118" t="s">
        <v>75</v>
      </c>
      <c r="Z1913" s="118" t="s">
        <v>75</v>
      </c>
    </row>
    <row r="1914" spans="3:26" ht="17" x14ac:dyDescent="0.2">
      <c r="C1914" s="168"/>
      <c r="D1914" s="641" t="s">
        <v>432</v>
      </c>
      <c r="E1914" s="950"/>
      <c r="F1914" s="951"/>
      <c r="G1914" s="952"/>
      <c r="H1914" s="424" t="s">
        <v>794</v>
      </c>
      <c r="I1914" s="927" t="s">
        <v>1331</v>
      </c>
      <c r="J1914" s="927"/>
      <c r="K1914" s="928"/>
      <c r="L1914" s="642"/>
      <c r="M1914" s="425" t="s">
        <v>1330</v>
      </c>
      <c r="N1914" s="168"/>
      <c r="O1914" s="448" t="s">
        <v>810</v>
      </c>
      <c r="P1914" s="449">
        <v>0.1</v>
      </c>
      <c r="Q1914" s="450">
        <v>6.4000000000000001E-2</v>
      </c>
      <c r="R1914" s="451">
        <v>2.2999999999996135E-2</v>
      </c>
      <c r="S1914" s="124"/>
      <c r="T1914" s="448">
        <v>0.11899999999999614</v>
      </c>
      <c r="U1914" s="450">
        <v>-26.62</v>
      </c>
      <c r="V1914" s="449">
        <v>60.23</v>
      </c>
      <c r="W1914" s="449"/>
      <c r="X1914" s="453"/>
      <c r="Y1914" s="124"/>
      <c r="Z1914" s="124"/>
    </row>
    <row r="1915" spans="3:26" ht="17" x14ac:dyDescent="0.2">
      <c r="C1915" s="168"/>
      <c r="D1915" s="643" t="s">
        <v>433</v>
      </c>
      <c r="E1915" s="935"/>
      <c r="F1915" s="936"/>
      <c r="G1915" s="937"/>
      <c r="H1915" s="424" t="s">
        <v>795</v>
      </c>
      <c r="I1915" s="930"/>
      <c r="J1915" s="930"/>
      <c r="K1915" s="931"/>
      <c r="L1915" s="642"/>
      <c r="M1915" s="426"/>
      <c r="N1915" s="168"/>
      <c r="O1915" s="168"/>
      <c r="P1915" s="168"/>
      <c r="Q1915" s="168"/>
      <c r="R1915" s="454"/>
      <c r="S1915" s="152"/>
      <c r="T1915" s="168"/>
      <c r="U1915" s="168"/>
      <c r="V1915" s="168"/>
      <c r="W1915" s="168"/>
      <c r="X1915" s="152"/>
      <c r="Y1915" s="128"/>
      <c r="Z1915" s="128"/>
    </row>
    <row r="1916" spans="3:26" ht="17" x14ac:dyDescent="0.2">
      <c r="C1916" s="168"/>
      <c r="D1916" s="643" t="s">
        <v>434</v>
      </c>
      <c r="E1916" s="935">
        <v>48.4</v>
      </c>
      <c r="F1916" s="936"/>
      <c r="G1916" s="937"/>
      <c r="H1916" s="424"/>
      <c r="I1916" s="930"/>
      <c r="J1916" s="930"/>
      <c r="K1916" s="931"/>
      <c r="L1916" s="642"/>
      <c r="M1916" s="426"/>
      <c r="N1916" s="168"/>
      <c r="O1916" s="455" t="s">
        <v>811</v>
      </c>
      <c r="P1916" s="456">
        <v>0.04</v>
      </c>
      <c r="Q1916" s="457">
        <v>6.8699999999999997E-2</v>
      </c>
      <c r="R1916" s="458">
        <v>0.02</v>
      </c>
      <c r="S1916" s="484">
        <v>1</v>
      </c>
      <c r="T1916" s="455">
        <v>0.12305000000000001</v>
      </c>
      <c r="U1916" s="460">
        <v>-11.010389915966744</v>
      </c>
      <c r="V1916" s="461">
        <v>24.2</v>
      </c>
      <c r="W1916" s="485">
        <v>4.95</v>
      </c>
      <c r="X1916" s="463">
        <v>54.501430084035384</v>
      </c>
      <c r="Y1916" s="138"/>
      <c r="Z1916" s="138"/>
    </row>
    <row r="1917" spans="3:26" ht="18" thickBot="1" x14ac:dyDescent="0.25">
      <c r="C1917" s="168"/>
      <c r="D1917" s="644" t="s">
        <v>435</v>
      </c>
      <c r="E1917" s="938">
        <v>0.625</v>
      </c>
      <c r="F1917" s="939"/>
      <c r="G1917" s="940"/>
      <c r="H1917" s="427">
        <v>0.41666666666666663</v>
      </c>
      <c r="I1917" s="930"/>
      <c r="J1917" s="930"/>
      <c r="K1917" s="931"/>
      <c r="L1917" s="645">
        <v>0.85416666666666663</v>
      </c>
      <c r="M1917" s="429">
        <v>0.70833333333333326</v>
      </c>
      <c r="N1917" s="168"/>
      <c r="O1917" s="464" t="s">
        <v>812</v>
      </c>
      <c r="P1917" s="465">
        <v>0.04</v>
      </c>
      <c r="Q1917" s="466">
        <v>6.8699999999999997E-2</v>
      </c>
      <c r="R1917" s="467">
        <v>0.02</v>
      </c>
      <c r="S1917" s="486">
        <v>1</v>
      </c>
      <c r="T1917" s="469">
        <v>0.12305000000000001</v>
      </c>
      <c r="U1917" s="470">
        <v>-11.010389915966744</v>
      </c>
      <c r="V1917" s="471">
        <v>24.2</v>
      </c>
      <c r="W1917" s="487">
        <v>2.12</v>
      </c>
      <c r="X1917" s="473">
        <v>23.342026621849499</v>
      </c>
      <c r="Y1917" s="148"/>
      <c r="Z1917" s="148"/>
    </row>
    <row r="1918" spans="3:26" ht="18" thickBot="1" x14ac:dyDescent="0.25">
      <c r="C1918" s="168"/>
      <c r="D1918" s="646" t="s">
        <v>436</v>
      </c>
      <c r="E1918" s="430" t="s">
        <v>29</v>
      </c>
      <c r="F1918" s="430" t="s">
        <v>28</v>
      </c>
      <c r="G1918" s="431" t="s">
        <v>27</v>
      </c>
      <c r="H1918" s="432" t="s">
        <v>793</v>
      </c>
      <c r="I1918" s="930"/>
      <c r="J1918" s="930"/>
      <c r="K1918" s="931"/>
      <c r="L1918" s="647" t="s">
        <v>1246</v>
      </c>
      <c r="M1918" s="433"/>
      <c r="N1918" s="168"/>
      <c r="O1918" s="152"/>
      <c r="P1918" s="128"/>
      <c r="Q1918" s="152"/>
      <c r="R1918" s="494"/>
      <c r="S1918" s="488"/>
      <c r="T1918" s="152"/>
      <c r="U1918" s="474"/>
      <c r="V1918" s="475"/>
      <c r="W1918" s="197"/>
      <c r="X1918" s="474"/>
      <c r="Y1918" s="128"/>
      <c r="Z1918" s="128"/>
    </row>
    <row r="1919" spans="3:26" ht="17" x14ac:dyDescent="0.2">
      <c r="C1919" s="168"/>
      <c r="D1919" s="648">
        <v>45628</v>
      </c>
      <c r="E1919" s="439">
        <v>48.4</v>
      </c>
      <c r="F1919" s="439" t="s">
        <v>1341</v>
      </c>
      <c r="G1919" s="439">
        <v>46.5</v>
      </c>
      <c r="H1919" s="435">
        <v>0.625</v>
      </c>
      <c r="I1919" s="930"/>
      <c r="J1919" s="930"/>
      <c r="K1919" s="931"/>
      <c r="L1919" s="649">
        <v>0.85416666666666663</v>
      </c>
      <c r="M1919" s="442"/>
      <c r="N1919" s="168"/>
      <c r="O1919" s="152"/>
      <c r="P1919" s="128"/>
      <c r="Q1919" s="152"/>
      <c r="R1919" s="152"/>
      <c r="S1919" s="488"/>
      <c r="T1919" s="152"/>
      <c r="U1919" s="152"/>
      <c r="V1919" s="152"/>
      <c r="W1919" s="197"/>
      <c r="X1919" s="152"/>
      <c r="Y1919" s="128"/>
      <c r="Z1919" s="128"/>
    </row>
    <row r="1920" spans="3:26" ht="17" x14ac:dyDescent="0.2">
      <c r="C1920" s="168"/>
      <c r="D1920" s="648">
        <v>45597</v>
      </c>
      <c r="E1920" s="439">
        <v>46.5</v>
      </c>
      <c r="F1920" s="439" t="s">
        <v>901</v>
      </c>
      <c r="G1920" s="439">
        <v>47.2</v>
      </c>
      <c r="H1920" s="435">
        <v>0.58333333333333337</v>
      </c>
      <c r="I1920" s="930"/>
      <c r="J1920" s="930"/>
      <c r="K1920" s="931"/>
      <c r="L1920" s="649">
        <v>0.8125</v>
      </c>
      <c r="M1920" s="442"/>
      <c r="N1920" s="168"/>
      <c r="O1920" s="448" t="s">
        <v>813</v>
      </c>
      <c r="P1920" s="495">
        <v>0.04</v>
      </c>
      <c r="Q1920" s="476">
        <v>6.8699999999999997E-2</v>
      </c>
      <c r="R1920" s="477">
        <v>0.02</v>
      </c>
      <c r="S1920" s="490">
        <v>1</v>
      </c>
      <c r="T1920" s="491">
        <v>0.12305000000000001</v>
      </c>
      <c r="U1920" s="478">
        <v>-11.010389915966744</v>
      </c>
      <c r="V1920" s="479">
        <v>24.2</v>
      </c>
      <c r="W1920" s="492">
        <v>2</v>
      </c>
      <c r="X1920" s="453">
        <v>22.020779831933488</v>
      </c>
      <c r="Y1920" s="158"/>
      <c r="Z1920" s="158"/>
    </row>
    <row r="1921" spans="3:26" ht="17" x14ac:dyDescent="0.2">
      <c r="C1921" s="168"/>
      <c r="D1921" s="648">
        <v>45566</v>
      </c>
      <c r="E1921" s="439">
        <v>47.2</v>
      </c>
      <c r="F1921" s="439" t="s">
        <v>901</v>
      </c>
      <c r="G1921" s="439">
        <v>47.2</v>
      </c>
      <c r="H1921" s="435">
        <v>0.58333333333333337</v>
      </c>
      <c r="I1921" s="930"/>
      <c r="J1921" s="930"/>
      <c r="K1921" s="931"/>
      <c r="L1921" s="649">
        <v>0.8125</v>
      </c>
      <c r="M1921" s="442"/>
      <c r="N1921" s="168"/>
      <c r="O1921" s="448" t="s">
        <v>813</v>
      </c>
      <c r="P1921" s="495">
        <v>0.04</v>
      </c>
      <c r="Q1921" s="476">
        <v>6.8699999999999997E-2</v>
      </c>
      <c r="R1921" s="477">
        <v>0.02</v>
      </c>
      <c r="S1921" s="490">
        <v>1</v>
      </c>
      <c r="T1921" s="491">
        <v>0.12305000000000001</v>
      </c>
      <c r="U1921" s="478">
        <v>-11.010389915966744</v>
      </c>
      <c r="V1921" s="479">
        <v>24.2</v>
      </c>
      <c r="W1921" s="492">
        <v>2</v>
      </c>
      <c r="X1921" s="453">
        <v>22.020779831933488</v>
      </c>
      <c r="Y1921" s="158"/>
      <c r="Z1921" s="158"/>
    </row>
    <row r="1922" spans="3:26" ht="17" x14ac:dyDescent="0.2">
      <c r="C1922" s="168"/>
      <c r="D1922" s="648">
        <v>45538</v>
      </c>
      <c r="E1922" s="439">
        <v>47.2</v>
      </c>
      <c r="F1922" s="439" t="s">
        <v>509</v>
      </c>
      <c r="G1922" s="439">
        <v>46.8</v>
      </c>
      <c r="H1922" s="435">
        <v>0.58333333333333337</v>
      </c>
      <c r="I1922" s="930"/>
      <c r="J1922" s="930"/>
      <c r="K1922" s="931"/>
      <c r="L1922" s="649">
        <v>0.8125</v>
      </c>
      <c r="M1922" s="442"/>
      <c r="N1922" s="168"/>
      <c r="O1922" s="448"/>
      <c r="P1922" s="480"/>
      <c r="Q1922" s="476"/>
      <c r="R1922" s="477"/>
      <c r="S1922" s="124"/>
      <c r="T1922" s="480"/>
      <c r="U1922" s="478"/>
      <c r="V1922" s="479"/>
      <c r="W1922" s="124"/>
      <c r="X1922" s="453"/>
      <c r="Y1922" s="158"/>
      <c r="Z1922" s="158"/>
    </row>
    <row r="1923" spans="3:26" ht="17" x14ac:dyDescent="0.2">
      <c r="C1923" s="168"/>
      <c r="D1923" s="648">
        <v>45505</v>
      </c>
      <c r="E1923" s="439">
        <v>46.8</v>
      </c>
      <c r="F1923" s="439" t="s">
        <v>510</v>
      </c>
      <c r="G1923" s="439">
        <v>48.5</v>
      </c>
      <c r="H1923" s="435">
        <v>0.58333333333333337</v>
      </c>
      <c r="I1923" s="930"/>
      <c r="J1923" s="930"/>
      <c r="K1923" s="931"/>
      <c r="L1923" s="649">
        <v>0.8125</v>
      </c>
      <c r="M1923" s="442"/>
      <c r="N1923" s="168"/>
      <c r="O1923" s="89"/>
      <c r="P1923" s="89"/>
      <c r="Q1923" s="89"/>
      <c r="R1923" s="89"/>
      <c r="S1923" s="89"/>
      <c r="T1923" s="89"/>
      <c r="U1923" s="89"/>
      <c r="V1923" s="89"/>
      <c r="W1923" s="89"/>
      <c r="X1923" s="89"/>
      <c r="Y1923" s="89"/>
      <c r="Z1923" s="89"/>
    </row>
    <row r="1924" spans="3:26" ht="18" thickBot="1" x14ac:dyDescent="0.25">
      <c r="C1924" s="168"/>
      <c r="D1924" s="648">
        <v>45474</v>
      </c>
      <c r="E1924" s="439">
        <v>48.5</v>
      </c>
      <c r="F1924" s="439" t="s">
        <v>511</v>
      </c>
      <c r="G1924" s="439">
        <v>48.7</v>
      </c>
      <c r="H1924" s="435">
        <v>0.58333333333333337</v>
      </c>
      <c r="I1924" s="933"/>
      <c r="J1924" s="933"/>
      <c r="K1924" s="934"/>
      <c r="L1924" s="649">
        <v>0.8125</v>
      </c>
      <c r="M1924" s="442"/>
      <c r="N1924" s="168"/>
      <c r="O1924" s="89"/>
      <c r="P1924" s="89"/>
      <c r="Q1924" s="89"/>
      <c r="R1924" s="89"/>
      <c r="S1924" s="89"/>
      <c r="T1924" s="89"/>
      <c r="U1924" s="89"/>
      <c r="V1924" s="89"/>
      <c r="W1924" s="89"/>
      <c r="X1924" s="89"/>
      <c r="Y1924" s="89"/>
      <c r="Z1924" s="89"/>
    </row>
    <row r="1925" spans="3:26" ht="18" thickBot="1" x14ac:dyDescent="0.25">
      <c r="C1925" s="91">
        <v>11</v>
      </c>
      <c r="D1925" s="639" t="s">
        <v>30</v>
      </c>
      <c r="E1925" s="917" t="s">
        <v>1332</v>
      </c>
      <c r="F1925" s="918"/>
      <c r="G1925" s="919"/>
      <c r="H1925" s="422" t="s">
        <v>790</v>
      </c>
      <c r="I1925" s="921" t="s">
        <v>633</v>
      </c>
      <c r="J1925" s="921"/>
      <c r="K1925" s="922"/>
      <c r="L1925" s="640" t="s">
        <v>430</v>
      </c>
      <c r="M1925" s="423" t="s">
        <v>431</v>
      </c>
      <c r="N1925" s="168" t="s">
        <v>105</v>
      </c>
      <c r="O1925" s="118" t="s">
        <v>800</v>
      </c>
      <c r="P1925" s="118" t="s">
        <v>801</v>
      </c>
      <c r="Q1925" s="118" t="s">
        <v>802</v>
      </c>
      <c r="R1925" s="118" t="s">
        <v>803</v>
      </c>
      <c r="S1925" s="118" t="s">
        <v>804</v>
      </c>
      <c r="T1925" s="118" t="s">
        <v>805</v>
      </c>
      <c r="U1925" s="118" t="s">
        <v>806</v>
      </c>
      <c r="V1925" s="118" t="s">
        <v>807</v>
      </c>
      <c r="W1925" s="118" t="s">
        <v>808</v>
      </c>
      <c r="X1925" s="118" t="s">
        <v>809</v>
      </c>
      <c r="Y1925" s="118" t="s">
        <v>75</v>
      </c>
      <c r="Z1925" s="118" t="s">
        <v>75</v>
      </c>
    </row>
    <row r="1926" spans="3:26" ht="17" x14ac:dyDescent="0.2">
      <c r="C1926" s="168"/>
      <c r="D1926" s="641" t="s">
        <v>432</v>
      </c>
      <c r="E1926" s="950"/>
      <c r="F1926" s="951"/>
      <c r="G1926" s="952"/>
      <c r="H1926" s="424" t="s">
        <v>794</v>
      </c>
      <c r="I1926" s="927" t="s">
        <v>1333</v>
      </c>
      <c r="J1926" s="927"/>
      <c r="K1926" s="928"/>
      <c r="L1926" s="642"/>
      <c r="M1926" s="425" t="s">
        <v>1332</v>
      </c>
      <c r="N1926" s="168"/>
      <c r="O1926" s="448" t="s">
        <v>810</v>
      </c>
      <c r="P1926" s="449">
        <v>0.1</v>
      </c>
      <c r="Q1926" s="450">
        <v>2.7E-2</v>
      </c>
      <c r="R1926" s="451">
        <v>1.5999999999991132E-2</v>
      </c>
      <c r="S1926" s="124"/>
      <c r="T1926" s="448">
        <v>5.6499999999991134E-2</v>
      </c>
      <c r="U1926" s="450">
        <v>-13.31</v>
      </c>
      <c r="V1926" s="449">
        <v>91.8</v>
      </c>
      <c r="W1926" s="452">
        <v>2</v>
      </c>
      <c r="X1926" s="453">
        <v>26.62</v>
      </c>
      <c r="Y1926" s="124"/>
      <c r="Z1926" s="124"/>
    </row>
    <row r="1927" spans="3:26" ht="17" x14ac:dyDescent="0.2">
      <c r="C1927" s="168"/>
      <c r="D1927" s="643" t="s">
        <v>433</v>
      </c>
      <c r="E1927" s="935"/>
      <c r="F1927" s="936"/>
      <c r="G1927" s="937"/>
      <c r="H1927" s="424" t="s">
        <v>795</v>
      </c>
      <c r="I1927" s="930"/>
      <c r="J1927" s="930"/>
      <c r="K1927" s="931"/>
      <c r="L1927" s="642"/>
      <c r="M1927" s="426"/>
      <c r="N1927" s="168"/>
      <c r="O1927" s="168"/>
      <c r="P1927" s="168"/>
      <c r="Q1927" s="168"/>
      <c r="R1927" s="454"/>
      <c r="S1927" s="152"/>
      <c r="T1927" s="168"/>
      <c r="U1927" s="168"/>
      <c r="V1927" s="168"/>
      <c r="W1927" s="152"/>
      <c r="X1927" s="152"/>
      <c r="Y1927" s="128"/>
      <c r="Z1927" s="128"/>
    </row>
    <row r="1928" spans="3:26" ht="17" x14ac:dyDescent="0.2">
      <c r="C1928" s="168"/>
      <c r="D1928" s="643" t="s">
        <v>434</v>
      </c>
      <c r="E1928" s="935">
        <v>50.3</v>
      </c>
      <c r="F1928" s="936"/>
      <c r="G1928" s="937"/>
      <c r="H1928" s="424"/>
      <c r="I1928" s="930"/>
      <c r="J1928" s="930"/>
      <c r="K1928" s="931"/>
      <c r="L1928" s="642"/>
      <c r="M1928" s="426"/>
      <c r="N1928" s="168"/>
      <c r="O1928" s="455" t="s">
        <v>811</v>
      </c>
      <c r="P1928" s="456">
        <v>0.1</v>
      </c>
      <c r="Q1928" s="457">
        <v>4.0500000000000001E-2</v>
      </c>
      <c r="R1928" s="458">
        <v>1.7000000000000001E-2</v>
      </c>
      <c r="S1928" s="459">
        <v>1</v>
      </c>
      <c r="T1928" s="455">
        <v>7.775E-2</v>
      </c>
      <c r="U1928" s="460">
        <v>-18.315973451330308</v>
      </c>
      <c r="V1928" s="461">
        <v>60.5</v>
      </c>
      <c r="W1928" s="462">
        <v>3.27</v>
      </c>
      <c r="X1928" s="463">
        <v>59.893233185850107</v>
      </c>
      <c r="Y1928" s="138"/>
      <c r="Z1928" s="138">
        <v>4.4350000000000005</v>
      </c>
    </row>
    <row r="1929" spans="3:26" ht="18" thickBot="1" x14ac:dyDescent="0.25">
      <c r="C1929" s="168"/>
      <c r="D1929" s="644" t="s">
        <v>435</v>
      </c>
      <c r="E1929" s="938">
        <v>0.625</v>
      </c>
      <c r="F1929" s="939"/>
      <c r="G1929" s="940"/>
      <c r="H1929" s="427">
        <v>0.41666666666666663</v>
      </c>
      <c r="I1929" s="930"/>
      <c r="J1929" s="930"/>
      <c r="K1929" s="931"/>
      <c r="L1929" s="645">
        <v>0.85416666666666663</v>
      </c>
      <c r="M1929" s="429">
        <v>0.70833333333333326</v>
      </c>
      <c r="N1929" s="168"/>
      <c r="O1929" s="464" t="s">
        <v>812</v>
      </c>
      <c r="P1929" s="465">
        <v>0.1</v>
      </c>
      <c r="Q1929" s="466">
        <v>2.5266666666666663E-2</v>
      </c>
      <c r="R1929" s="467">
        <v>1.7000000000000001E-2</v>
      </c>
      <c r="S1929" s="468">
        <v>1</v>
      </c>
      <c r="T1929" s="469">
        <v>5.4899999999999997E-2</v>
      </c>
      <c r="U1929" s="470">
        <v>-12.933079646019728</v>
      </c>
      <c r="V1929" s="471">
        <v>60.5</v>
      </c>
      <c r="W1929" s="496">
        <v>2.2200000000000002</v>
      </c>
      <c r="X1929" s="473">
        <v>28.711436814163797</v>
      </c>
      <c r="Y1929" s="148"/>
      <c r="Z1929" s="148"/>
    </row>
    <row r="1930" spans="3:26" ht="18" thickBot="1" x14ac:dyDescent="0.25">
      <c r="C1930" s="168"/>
      <c r="D1930" s="646" t="s">
        <v>436</v>
      </c>
      <c r="E1930" s="430" t="s">
        <v>29</v>
      </c>
      <c r="F1930" s="430" t="s">
        <v>28</v>
      </c>
      <c r="G1930" s="431" t="s">
        <v>27</v>
      </c>
      <c r="H1930" s="432" t="s">
        <v>793</v>
      </c>
      <c r="I1930" s="930"/>
      <c r="J1930" s="930"/>
      <c r="K1930" s="931"/>
      <c r="L1930" s="647" t="s">
        <v>1246</v>
      </c>
      <c r="M1930" s="433"/>
      <c r="N1930" s="168"/>
      <c r="O1930" s="152"/>
      <c r="P1930" s="128"/>
      <c r="Q1930" s="152"/>
      <c r="R1930" s="152"/>
      <c r="S1930" s="152"/>
      <c r="T1930" s="152"/>
      <c r="U1930" s="474"/>
      <c r="V1930" s="475"/>
      <c r="W1930" s="152"/>
      <c r="X1930" s="474"/>
      <c r="Y1930" s="128"/>
      <c r="Z1930" s="128"/>
    </row>
    <row r="1931" spans="3:26" ht="17" x14ac:dyDescent="0.2">
      <c r="C1931" s="168"/>
      <c r="D1931" s="648">
        <v>45628</v>
      </c>
      <c r="E1931" s="439">
        <v>50.3</v>
      </c>
      <c r="F1931" s="439" t="s">
        <v>586</v>
      </c>
      <c r="G1931" s="439">
        <v>54.8</v>
      </c>
      <c r="H1931" s="435">
        <v>0.625</v>
      </c>
      <c r="I1931" s="930"/>
      <c r="J1931" s="930"/>
      <c r="K1931" s="931"/>
      <c r="L1931" s="649">
        <v>0.85416666666666663</v>
      </c>
      <c r="M1931" s="436"/>
      <c r="N1931" s="168"/>
      <c r="O1931" s="152"/>
      <c r="P1931" s="128"/>
      <c r="Q1931" s="152"/>
      <c r="R1931" s="152"/>
      <c r="S1931" s="152"/>
      <c r="T1931" s="152"/>
      <c r="U1931" s="152"/>
      <c r="V1931" s="152"/>
      <c r="W1931" s="152"/>
      <c r="X1931" s="152"/>
      <c r="Y1931" s="128"/>
      <c r="Z1931" s="128"/>
    </row>
    <row r="1932" spans="3:26" ht="17" x14ac:dyDescent="0.2">
      <c r="C1932" s="168"/>
      <c r="D1932" s="648">
        <v>45597</v>
      </c>
      <c r="E1932" s="439">
        <v>54.8</v>
      </c>
      <c r="F1932" s="439" t="s">
        <v>1173</v>
      </c>
      <c r="G1932" s="439">
        <v>48.3</v>
      </c>
      <c r="H1932" s="435">
        <v>0.58333333333333337</v>
      </c>
      <c r="I1932" s="930"/>
      <c r="J1932" s="930"/>
      <c r="K1932" s="931"/>
      <c r="L1932" s="649">
        <v>0.8125</v>
      </c>
      <c r="M1932" s="437"/>
      <c r="N1932" s="168"/>
      <c r="O1932" s="448" t="s">
        <v>813</v>
      </c>
      <c r="P1932" s="449">
        <v>0.1</v>
      </c>
      <c r="Q1932" s="476">
        <v>3.2883333333333334E-2</v>
      </c>
      <c r="R1932" s="477">
        <v>1.7000000000000001E-2</v>
      </c>
      <c r="S1932" s="124">
        <v>1</v>
      </c>
      <c r="T1932" s="455">
        <v>6.6324999999999995E-2</v>
      </c>
      <c r="U1932" s="478">
        <v>-15.624526548675018</v>
      </c>
      <c r="V1932" s="479">
        <v>60.5</v>
      </c>
      <c r="W1932" s="124">
        <v>2</v>
      </c>
      <c r="X1932" s="453">
        <v>31.249053097350036</v>
      </c>
      <c r="Y1932" s="158"/>
      <c r="Z1932" s="158"/>
    </row>
    <row r="1933" spans="3:26" ht="17" x14ac:dyDescent="0.2">
      <c r="C1933" s="168"/>
      <c r="D1933" s="648">
        <v>45566</v>
      </c>
      <c r="E1933" s="439">
        <v>48.3</v>
      </c>
      <c r="F1933" s="439" t="s">
        <v>902</v>
      </c>
      <c r="G1933" s="439">
        <v>54</v>
      </c>
      <c r="H1933" s="435">
        <v>0.58333333333333337</v>
      </c>
      <c r="I1933" s="930"/>
      <c r="J1933" s="930"/>
      <c r="K1933" s="931"/>
      <c r="L1933" s="649">
        <v>0.8125</v>
      </c>
      <c r="M1933" s="426"/>
      <c r="N1933" s="168"/>
      <c r="O1933" s="448"/>
      <c r="P1933" s="449"/>
      <c r="Q1933" s="476"/>
      <c r="R1933" s="477"/>
      <c r="S1933" s="124"/>
      <c r="T1933" s="455"/>
      <c r="U1933" s="478"/>
      <c r="V1933" s="479"/>
      <c r="W1933" s="124"/>
      <c r="X1933" s="453"/>
      <c r="Y1933" s="158"/>
      <c r="Z1933" s="158"/>
    </row>
    <row r="1934" spans="3:26" ht="17" x14ac:dyDescent="0.2">
      <c r="C1934" s="168"/>
      <c r="D1934" s="648">
        <v>45538</v>
      </c>
      <c r="E1934" s="439">
        <v>54</v>
      </c>
      <c r="F1934" s="439" t="s">
        <v>519</v>
      </c>
      <c r="G1934" s="439">
        <v>52.9</v>
      </c>
      <c r="H1934" s="435">
        <v>0.58333333333333337</v>
      </c>
      <c r="I1934" s="930"/>
      <c r="J1934" s="930"/>
      <c r="K1934" s="931"/>
      <c r="L1934" s="649">
        <v>0.8125</v>
      </c>
      <c r="M1934" s="426"/>
      <c r="N1934" s="168"/>
      <c r="O1934" s="448"/>
      <c r="P1934" s="480"/>
      <c r="Q1934" s="476"/>
      <c r="R1934" s="477"/>
      <c r="S1934" s="124"/>
      <c r="T1934" s="480"/>
      <c r="U1934" s="478"/>
      <c r="V1934" s="479"/>
      <c r="W1934" s="124"/>
      <c r="X1934" s="453"/>
      <c r="Y1934" s="158"/>
      <c r="Z1934" s="158"/>
    </row>
    <row r="1935" spans="3:26" ht="17" x14ac:dyDescent="0.2">
      <c r="C1935" s="168"/>
      <c r="D1935" s="648">
        <v>45505</v>
      </c>
      <c r="E1935" s="439">
        <v>52.9</v>
      </c>
      <c r="F1935" s="439" t="s">
        <v>520</v>
      </c>
      <c r="G1935" s="439">
        <v>52.1</v>
      </c>
      <c r="H1935" s="435">
        <v>0.58333333333333337</v>
      </c>
      <c r="I1935" s="930"/>
      <c r="J1935" s="930"/>
      <c r="K1935" s="931"/>
      <c r="L1935" s="649">
        <v>0.8125</v>
      </c>
      <c r="M1935" s="426"/>
      <c r="N1935" s="168"/>
      <c r="O1935" s="89"/>
      <c r="P1935" s="89"/>
      <c r="Q1935" s="89"/>
      <c r="R1935" s="89"/>
      <c r="S1935" s="89"/>
      <c r="T1935" s="89"/>
      <c r="U1935" s="89"/>
      <c r="V1935" s="89"/>
      <c r="W1935" s="89"/>
      <c r="X1935" s="89"/>
      <c r="Y1935" s="89"/>
      <c r="Z1935" s="89"/>
    </row>
    <row r="1936" spans="3:26" ht="18" thickBot="1" x14ac:dyDescent="0.25">
      <c r="C1936" s="168"/>
      <c r="D1936" s="648">
        <v>45474</v>
      </c>
      <c r="E1936" s="439">
        <v>52.1</v>
      </c>
      <c r="F1936" s="439" t="s">
        <v>521</v>
      </c>
      <c r="G1936" s="439">
        <v>57</v>
      </c>
      <c r="H1936" s="435">
        <v>0.58333333333333337</v>
      </c>
      <c r="I1936" s="933"/>
      <c r="J1936" s="933"/>
      <c r="K1936" s="934"/>
      <c r="L1936" s="649">
        <v>0.8125</v>
      </c>
      <c r="M1936" s="438"/>
      <c r="N1936" s="168"/>
      <c r="O1936" s="89"/>
      <c r="P1936" s="89"/>
      <c r="Q1936" s="89"/>
      <c r="R1936" s="89"/>
      <c r="S1936" s="89"/>
      <c r="T1936" s="89"/>
      <c r="U1936" s="89"/>
      <c r="V1936" s="89"/>
      <c r="W1936" s="89"/>
      <c r="X1936" s="89"/>
      <c r="Y1936" s="89"/>
      <c r="Z1936" s="89"/>
    </row>
    <row r="1937" spans="2:26" ht="18" thickBot="1" x14ac:dyDescent="0.25">
      <c r="C1937" s="91">
        <v>12</v>
      </c>
      <c r="D1937" s="639" t="s">
        <v>30</v>
      </c>
      <c r="E1937" s="917" t="s">
        <v>1334</v>
      </c>
      <c r="F1937" s="918"/>
      <c r="G1937" s="919"/>
      <c r="H1937" s="422" t="s">
        <v>790</v>
      </c>
      <c r="I1937" s="921" t="s">
        <v>633</v>
      </c>
      <c r="J1937" s="921"/>
      <c r="K1937" s="922"/>
      <c r="L1937" s="640" t="s">
        <v>430</v>
      </c>
      <c r="M1937" s="440" t="s">
        <v>431</v>
      </c>
      <c r="N1937" s="168" t="s">
        <v>105</v>
      </c>
      <c r="O1937" s="497" t="s">
        <v>800</v>
      </c>
      <c r="P1937" s="497" t="s">
        <v>801</v>
      </c>
      <c r="Q1937" s="497" t="s">
        <v>802</v>
      </c>
      <c r="R1937" s="497" t="s">
        <v>803</v>
      </c>
      <c r="S1937" s="497" t="s">
        <v>804</v>
      </c>
      <c r="T1937" s="497" t="s">
        <v>805</v>
      </c>
      <c r="U1937" s="497" t="s">
        <v>806</v>
      </c>
      <c r="V1937" s="497" t="s">
        <v>807</v>
      </c>
      <c r="W1937" s="497" t="s">
        <v>808</v>
      </c>
      <c r="X1937" s="497" t="s">
        <v>809</v>
      </c>
      <c r="Y1937" s="497" t="s">
        <v>75</v>
      </c>
      <c r="Z1937" s="497" t="s">
        <v>75</v>
      </c>
    </row>
    <row r="1938" spans="2:26" ht="17" x14ac:dyDescent="0.2">
      <c r="C1938" s="168"/>
      <c r="D1938" s="641" t="s">
        <v>432</v>
      </c>
      <c r="E1938" s="950"/>
      <c r="F1938" s="951"/>
      <c r="G1938" s="952"/>
      <c r="H1938" s="424" t="s">
        <v>796</v>
      </c>
      <c r="I1938" s="927" t="s">
        <v>1336</v>
      </c>
      <c r="J1938" s="927"/>
      <c r="K1938" s="928"/>
      <c r="L1938" s="642"/>
      <c r="M1938" s="425" t="s">
        <v>1334</v>
      </c>
      <c r="N1938" s="168"/>
      <c r="O1938" s="448" t="s">
        <v>810</v>
      </c>
      <c r="P1938" s="448">
        <v>0.1</v>
      </c>
      <c r="Q1938" s="498">
        <v>3.3E-4</v>
      </c>
      <c r="R1938" s="477">
        <v>1.500000000000945E-4</v>
      </c>
      <c r="S1938" s="124">
        <v>1</v>
      </c>
      <c r="T1938" s="448">
        <v>6.6000000000014783E-2</v>
      </c>
      <c r="U1938" s="498">
        <v>-22.85</v>
      </c>
      <c r="V1938" s="448">
        <v>60.5</v>
      </c>
      <c r="W1938" s="124">
        <v>2</v>
      </c>
      <c r="X1938" s="453"/>
      <c r="Y1938" s="124"/>
      <c r="Z1938" s="124"/>
    </row>
    <row r="1939" spans="2:26" ht="17" x14ac:dyDescent="0.2">
      <c r="C1939" s="168"/>
      <c r="D1939" s="643" t="s">
        <v>433</v>
      </c>
      <c r="E1939" s="947"/>
      <c r="F1939" s="942"/>
      <c r="G1939" s="943"/>
      <c r="H1939" s="424" t="s">
        <v>796</v>
      </c>
      <c r="I1939" s="930"/>
      <c r="J1939" s="930"/>
      <c r="K1939" s="931"/>
      <c r="L1939" s="642"/>
      <c r="M1939" s="426"/>
      <c r="N1939" s="168"/>
      <c r="O1939" s="168"/>
      <c r="P1939" s="168"/>
      <c r="Q1939" s="168"/>
      <c r="R1939" s="454"/>
      <c r="S1939" s="152"/>
      <c r="T1939" s="168"/>
      <c r="U1939" s="168"/>
      <c r="V1939" s="168"/>
      <c r="W1939" s="168"/>
      <c r="X1939" s="152"/>
      <c r="Y1939" s="152"/>
      <c r="Z1939" s="152"/>
    </row>
    <row r="1940" spans="2:26" ht="17" x14ac:dyDescent="0.2">
      <c r="C1940" s="168"/>
      <c r="D1940" s="643" t="s">
        <v>434</v>
      </c>
      <c r="E1940" s="944" t="s">
        <v>1335</v>
      </c>
      <c r="F1940" s="945"/>
      <c r="G1940" s="946"/>
      <c r="H1940" s="424"/>
      <c r="I1940" s="930"/>
      <c r="J1940" s="930"/>
      <c r="K1940" s="931"/>
      <c r="L1940" s="642"/>
      <c r="M1940" s="426"/>
      <c r="N1940" s="168"/>
      <c r="O1940" s="455" t="s">
        <v>811</v>
      </c>
      <c r="P1940" s="455">
        <v>0.1</v>
      </c>
      <c r="Q1940" s="499">
        <v>2.9999999999999997E-4</v>
      </c>
      <c r="R1940" s="500">
        <v>2.0000000000000001E-4</v>
      </c>
      <c r="S1940" s="501">
        <v>1</v>
      </c>
      <c r="T1940" s="455">
        <v>6.4999999999999997E-4</v>
      </c>
      <c r="U1940" s="460">
        <v>-0.22503787878782841</v>
      </c>
      <c r="V1940" s="461">
        <v>60.5</v>
      </c>
      <c r="W1940" s="502">
        <v>2.81</v>
      </c>
      <c r="X1940" s="463">
        <v>0.63235643939379782</v>
      </c>
      <c r="Y1940" s="459"/>
      <c r="Z1940" s="459"/>
    </row>
    <row r="1941" spans="2:26" ht="18" thickBot="1" x14ac:dyDescent="0.25">
      <c r="C1941" s="168"/>
      <c r="D1941" s="644" t="s">
        <v>435</v>
      </c>
      <c r="E1941" s="938">
        <v>0.66666666666666674</v>
      </c>
      <c r="F1941" s="939"/>
      <c r="G1941" s="940"/>
      <c r="H1941" s="427"/>
      <c r="I1941" s="930"/>
      <c r="J1941" s="930"/>
      <c r="K1941" s="931"/>
      <c r="L1941" s="645">
        <v>0.89583333333333337</v>
      </c>
      <c r="M1941" s="429">
        <v>0.75</v>
      </c>
      <c r="N1941" s="168"/>
      <c r="O1941" s="464" t="s">
        <v>812</v>
      </c>
      <c r="P1941" s="464">
        <v>0.1</v>
      </c>
      <c r="Q1941" s="466">
        <v>4.0000000000000002E-4</v>
      </c>
      <c r="R1941" s="503">
        <v>2.0000000000000001E-4</v>
      </c>
      <c r="S1941" s="504">
        <v>1</v>
      </c>
      <c r="T1941" s="505">
        <v>8.0000000000000004E-4</v>
      </c>
      <c r="U1941" s="470">
        <v>-0.27696969696963497</v>
      </c>
      <c r="V1941" s="471">
        <v>60.5</v>
      </c>
      <c r="W1941" s="506">
        <v>2.48</v>
      </c>
      <c r="X1941" s="473">
        <v>0.68688484848469478</v>
      </c>
      <c r="Y1941" s="468"/>
      <c r="Z1941" s="468"/>
    </row>
    <row r="1942" spans="2:26" ht="18" thickBot="1" x14ac:dyDescent="0.25">
      <c r="C1942" s="168"/>
      <c r="D1942" s="646" t="s">
        <v>436</v>
      </c>
      <c r="E1942" s="430" t="s">
        <v>29</v>
      </c>
      <c r="F1942" s="430" t="s">
        <v>28</v>
      </c>
      <c r="G1942" s="431" t="s">
        <v>27</v>
      </c>
      <c r="H1942" s="432" t="s">
        <v>793</v>
      </c>
      <c r="I1942" s="930"/>
      <c r="J1942" s="930"/>
      <c r="K1942" s="931"/>
      <c r="L1942" s="647" t="s">
        <v>1246</v>
      </c>
      <c r="M1942" s="443"/>
      <c r="N1942" s="168"/>
      <c r="O1942" s="152"/>
      <c r="P1942" s="152"/>
      <c r="Q1942" s="152"/>
      <c r="R1942" s="152"/>
      <c r="S1942" s="507"/>
      <c r="T1942" s="152"/>
      <c r="U1942" s="474"/>
      <c r="V1942" s="475"/>
      <c r="W1942" s="197"/>
      <c r="X1942" s="474"/>
      <c r="Y1942" s="152"/>
      <c r="Z1942" s="152"/>
    </row>
    <row r="1943" spans="2:26" ht="17" x14ac:dyDescent="0.2">
      <c r="C1943" s="168"/>
      <c r="D1943" s="648">
        <v>45653</v>
      </c>
      <c r="E1943" s="444" t="s">
        <v>1342</v>
      </c>
      <c r="F1943" s="444" t="s">
        <v>1343</v>
      </c>
      <c r="G1943" s="444" t="s">
        <v>1318</v>
      </c>
      <c r="H1943" s="435">
        <v>0.83333333333333315</v>
      </c>
      <c r="I1943" s="930"/>
      <c r="J1943" s="930"/>
      <c r="K1943" s="931"/>
      <c r="L1943" s="649">
        <v>0.97916666666666663</v>
      </c>
      <c r="M1943" s="436"/>
      <c r="N1943" s="168"/>
      <c r="O1943" s="152"/>
      <c r="P1943" s="152"/>
      <c r="Q1943" s="152"/>
      <c r="R1943" s="152"/>
      <c r="S1943" s="507"/>
      <c r="T1943" s="152"/>
      <c r="U1943" s="152"/>
      <c r="V1943" s="152"/>
      <c r="W1943" s="197"/>
      <c r="X1943" s="152"/>
      <c r="Y1943" s="152"/>
      <c r="Z1943" s="152"/>
    </row>
    <row r="1944" spans="2:26" ht="17" x14ac:dyDescent="0.2">
      <c r="C1944" s="168"/>
      <c r="D1944" s="648">
        <v>45644</v>
      </c>
      <c r="E1944" s="444" t="s">
        <v>1318</v>
      </c>
      <c r="F1944" s="444" t="s">
        <v>1289</v>
      </c>
      <c r="G1944" s="444" t="s">
        <v>1286</v>
      </c>
      <c r="H1944" s="435">
        <v>0.72916666666666663</v>
      </c>
      <c r="I1944" s="930"/>
      <c r="J1944" s="930"/>
      <c r="K1944" s="931"/>
      <c r="L1944" s="649">
        <v>0.875</v>
      </c>
      <c r="M1944" s="437"/>
      <c r="N1944" s="168"/>
      <c r="O1944" s="448" t="s">
        <v>813</v>
      </c>
      <c r="P1944" s="508">
        <v>-0.1</v>
      </c>
      <c r="Q1944" s="509">
        <v>3.4333333333333329E-4</v>
      </c>
      <c r="R1944" s="477">
        <v>2.0000000000000001E-4</v>
      </c>
      <c r="S1944" s="510">
        <v>-1</v>
      </c>
      <c r="T1944" s="455">
        <v>7.1499999999999992E-4</v>
      </c>
      <c r="U1944" s="478">
        <v>-0.2475416666666112</v>
      </c>
      <c r="V1944" s="479">
        <v>60.5</v>
      </c>
      <c r="W1944" s="511">
        <v>2</v>
      </c>
      <c r="X1944" s="453">
        <v>0.49508333333322241</v>
      </c>
      <c r="Y1944" s="124" t="s">
        <v>814</v>
      </c>
      <c r="Z1944" s="124"/>
    </row>
    <row r="1945" spans="2:26" ht="17" x14ac:dyDescent="0.2">
      <c r="C1945" s="168"/>
      <c r="D1945" s="648">
        <v>45637</v>
      </c>
      <c r="E1945" s="444" t="s">
        <v>1286</v>
      </c>
      <c r="F1945" s="444" t="s">
        <v>1287</v>
      </c>
      <c r="G1945" s="444" t="s">
        <v>1288</v>
      </c>
      <c r="H1945" s="435">
        <v>0.72916666666666663</v>
      </c>
      <c r="I1945" s="930"/>
      <c r="J1945" s="930"/>
      <c r="K1945" s="931"/>
      <c r="L1945" s="649">
        <v>0.875</v>
      </c>
      <c r="M1945" s="426"/>
      <c r="N1945" s="168"/>
      <c r="O1945" s="448" t="s">
        <v>813</v>
      </c>
      <c r="P1945" s="508">
        <v>0.1</v>
      </c>
      <c r="Q1945" s="509">
        <v>3.4333333333333329E-4</v>
      </c>
      <c r="R1945" s="477">
        <v>0</v>
      </c>
      <c r="S1945" s="510">
        <v>1</v>
      </c>
      <c r="T1945" s="455">
        <v>7.1499999999999992E-4</v>
      </c>
      <c r="U1945" s="478">
        <v>-0.2475416666666112</v>
      </c>
      <c r="V1945" s="479">
        <v>60.5</v>
      </c>
      <c r="W1945" s="511">
        <v>2</v>
      </c>
      <c r="X1945" s="453">
        <v>0.49508333333322241</v>
      </c>
      <c r="Y1945" s="124" t="s">
        <v>814</v>
      </c>
      <c r="Z1945" s="124"/>
    </row>
    <row r="1946" spans="2:26" ht="17" x14ac:dyDescent="0.2">
      <c r="C1946" s="168"/>
      <c r="D1946" s="648">
        <v>45630</v>
      </c>
      <c r="E1946" s="444" t="s">
        <v>1288</v>
      </c>
      <c r="F1946" s="444" t="s">
        <v>1289</v>
      </c>
      <c r="G1946" s="444" t="s">
        <v>1290</v>
      </c>
      <c r="H1946" s="435">
        <v>0.72916666666666663</v>
      </c>
      <c r="I1946" s="930"/>
      <c r="J1946" s="930"/>
      <c r="K1946" s="931"/>
      <c r="L1946" s="649">
        <v>0.875</v>
      </c>
      <c r="M1946" s="426"/>
      <c r="N1946" s="168"/>
      <c r="O1946" s="448"/>
      <c r="P1946" s="448"/>
      <c r="Q1946" s="509"/>
      <c r="R1946" s="477"/>
      <c r="S1946" s="124"/>
      <c r="T1946" s="448"/>
      <c r="U1946" s="478"/>
      <c r="V1946" s="479"/>
      <c r="W1946" s="124"/>
      <c r="X1946" s="453"/>
      <c r="Y1946" s="124"/>
      <c r="Z1946" s="124"/>
    </row>
    <row r="1947" spans="2:26" ht="17" x14ac:dyDescent="0.2">
      <c r="C1947" s="168"/>
      <c r="D1947" s="648">
        <v>45623</v>
      </c>
      <c r="E1947" s="444" t="s">
        <v>1290</v>
      </c>
      <c r="F1947" s="444" t="s">
        <v>1291</v>
      </c>
      <c r="G1947" s="444" t="s">
        <v>1125</v>
      </c>
      <c r="H1947" s="435">
        <v>0.72916666666666663</v>
      </c>
      <c r="I1947" s="930"/>
      <c r="J1947" s="930"/>
      <c r="K1947" s="931"/>
      <c r="L1947" s="649">
        <v>0.875</v>
      </c>
      <c r="M1947" s="426"/>
      <c r="N1947" s="168"/>
      <c r="O1947" s="89"/>
      <c r="P1947" s="89"/>
      <c r="Q1947" s="89"/>
      <c r="R1947" s="89"/>
      <c r="S1947" s="89"/>
      <c r="T1947" s="89"/>
      <c r="U1947" s="89"/>
      <c r="V1947" s="89"/>
      <c r="W1947" s="89"/>
      <c r="X1947" s="89"/>
      <c r="Y1947" s="89"/>
      <c r="Z1947" s="89"/>
    </row>
    <row r="1948" spans="2:26" ht="18" thickBot="1" x14ac:dyDescent="0.25">
      <c r="C1948" s="168"/>
      <c r="D1948" s="652">
        <v>45616</v>
      </c>
      <c r="E1948" s="653" t="s">
        <v>1125</v>
      </c>
      <c r="F1948" s="653" t="s">
        <v>1030</v>
      </c>
      <c r="G1948" s="653" t="s">
        <v>1029</v>
      </c>
      <c r="H1948" s="654">
        <v>0.72916666666666663</v>
      </c>
      <c r="I1948" s="957"/>
      <c r="J1948" s="957"/>
      <c r="K1948" s="958"/>
      <c r="L1948" s="655">
        <v>0.875</v>
      </c>
      <c r="M1948" s="438"/>
      <c r="N1948" s="168"/>
      <c r="O1948" s="89"/>
      <c r="P1948" s="89"/>
      <c r="Q1948" s="89"/>
      <c r="R1948" s="89"/>
      <c r="S1948" s="89"/>
      <c r="T1948" s="89"/>
      <c r="U1948" s="89"/>
      <c r="V1948" s="89"/>
      <c r="W1948" s="89"/>
      <c r="X1948" s="89"/>
      <c r="Y1948" s="89"/>
      <c r="Z1948" s="89"/>
    </row>
    <row r="1949" spans="2:26" ht="18" thickBot="1" x14ac:dyDescent="0.25">
      <c r="B1949" t="s">
        <v>105</v>
      </c>
      <c r="C1949" s="91">
        <v>1</v>
      </c>
      <c r="D1949" s="663" t="s">
        <v>30</v>
      </c>
      <c r="E1949" s="917" t="s">
        <v>1348</v>
      </c>
      <c r="F1949" s="918"/>
      <c r="G1949" s="919"/>
      <c r="H1949" s="664" t="s">
        <v>790</v>
      </c>
      <c r="I1949" s="921" t="s">
        <v>633</v>
      </c>
      <c r="J1949" s="921"/>
      <c r="K1949" s="922"/>
      <c r="L1949" s="664" t="s">
        <v>430</v>
      </c>
      <c r="M1949" s="423" t="s">
        <v>431</v>
      </c>
    </row>
    <row r="1950" spans="2:26" ht="17" x14ac:dyDescent="0.2">
      <c r="C1950" s="91"/>
      <c r="D1950" s="665" t="s">
        <v>432</v>
      </c>
      <c r="E1950" s="950"/>
      <c r="F1950" s="951"/>
      <c r="G1950" s="952"/>
      <c r="H1950" s="666" t="s">
        <v>906</v>
      </c>
      <c r="I1950" s="927" t="s">
        <v>1349</v>
      </c>
      <c r="J1950" s="927"/>
      <c r="K1950" s="928"/>
      <c r="L1950" s="667"/>
      <c r="M1950" s="425" t="s">
        <v>1348</v>
      </c>
    </row>
    <row r="1951" spans="2:26" ht="17" x14ac:dyDescent="0.2">
      <c r="C1951" s="91"/>
      <c r="D1951" s="668" t="s">
        <v>433</v>
      </c>
      <c r="E1951" s="956" t="s">
        <v>1090</v>
      </c>
      <c r="F1951" s="936"/>
      <c r="G1951" s="937"/>
      <c r="H1951" s="424" t="s">
        <v>907</v>
      </c>
      <c r="I1951" s="930"/>
      <c r="J1951" s="930"/>
      <c r="K1951" s="931"/>
      <c r="L1951" s="667"/>
      <c r="M1951" s="426"/>
    </row>
    <row r="1952" spans="2:26" ht="17" x14ac:dyDescent="0.2">
      <c r="C1952" s="91"/>
      <c r="D1952" s="668" t="s">
        <v>434</v>
      </c>
      <c r="E1952" s="956">
        <v>-2E-3</v>
      </c>
      <c r="F1952" s="936"/>
      <c r="G1952" s="937"/>
      <c r="H1952" s="424"/>
      <c r="I1952" s="930"/>
      <c r="J1952" s="930"/>
      <c r="K1952" s="931"/>
      <c r="L1952" s="667"/>
      <c r="M1952" s="426"/>
    </row>
    <row r="1953" spans="3:13" ht="18" thickBot="1" x14ac:dyDescent="0.25">
      <c r="C1953" s="91"/>
      <c r="D1953" s="669" t="s">
        <v>435</v>
      </c>
      <c r="E1953" s="938">
        <v>0.54166666666666674</v>
      </c>
      <c r="F1953" s="939"/>
      <c r="G1953" s="940"/>
      <c r="H1953" s="427"/>
      <c r="I1953" s="930"/>
      <c r="J1953" s="930"/>
      <c r="K1953" s="931"/>
      <c r="L1953" s="428">
        <v>0.77083333333333337</v>
      </c>
      <c r="M1953" s="429">
        <v>0.625</v>
      </c>
    </row>
    <row r="1954" spans="3:13" ht="18" thickBot="1" x14ac:dyDescent="0.25">
      <c r="C1954" s="91"/>
      <c r="D1954" s="670" t="s">
        <v>436</v>
      </c>
      <c r="E1954" s="430" t="s">
        <v>29</v>
      </c>
      <c r="F1954" s="430" t="s">
        <v>28</v>
      </c>
      <c r="G1954" s="431" t="s">
        <v>27</v>
      </c>
      <c r="H1954" s="432" t="s">
        <v>793</v>
      </c>
      <c r="I1954" s="930"/>
      <c r="J1954" s="930"/>
      <c r="K1954" s="931"/>
      <c r="L1954" s="671" t="s">
        <v>1246</v>
      </c>
      <c r="M1954" s="433"/>
    </row>
    <row r="1955" spans="3:13" ht="17" x14ac:dyDescent="0.2">
      <c r="C1955" s="91"/>
      <c r="D1955" s="672">
        <v>45636</v>
      </c>
      <c r="E1955" s="673">
        <v>-2E-3</v>
      </c>
      <c r="F1955" s="673" t="s">
        <v>461</v>
      </c>
      <c r="G1955" s="673">
        <v>4.0000000000000001E-3</v>
      </c>
      <c r="H1955" s="674">
        <v>0.29166666666666669</v>
      </c>
      <c r="I1955" s="930"/>
      <c r="J1955" s="930"/>
      <c r="K1955" s="931"/>
      <c r="L1955" s="674"/>
      <c r="M1955" s="436"/>
    </row>
    <row r="1956" spans="3:13" ht="17" x14ac:dyDescent="0.2">
      <c r="C1956" s="91"/>
      <c r="D1956" s="672">
        <v>45624</v>
      </c>
      <c r="E1956" s="673">
        <v>-2E-3</v>
      </c>
      <c r="F1956" s="673" t="s">
        <v>461</v>
      </c>
      <c r="G1956" s="673">
        <v>4.0000000000000001E-3</v>
      </c>
      <c r="H1956" s="674">
        <v>0.54166666666666663</v>
      </c>
      <c r="I1956" s="930"/>
      <c r="J1956" s="930"/>
      <c r="K1956" s="931"/>
      <c r="L1956" s="674"/>
      <c r="M1956" s="437"/>
    </row>
    <row r="1957" spans="3:13" ht="17" x14ac:dyDescent="0.2">
      <c r="C1957" s="91"/>
      <c r="D1957" s="672">
        <v>45608</v>
      </c>
      <c r="E1957" s="673">
        <v>4.0000000000000001E-3</v>
      </c>
      <c r="F1957" s="673" t="s">
        <v>452</v>
      </c>
      <c r="G1957" s="673">
        <v>0</v>
      </c>
      <c r="H1957" s="674">
        <v>0.29166666666666669</v>
      </c>
      <c r="I1957" s="930"/>
      <c r="J1957" s="930"/>
      <c r="K1957" s="931"/>
      <c r="L1957" s="674"/>
      <c r="M1957" s="426"/>
    </row>
    <row r="1958" spans="3:13" ht="17" x14ac:dyDescent="0.2">
      <c r="C1958" s="91"/>
      <c r="D1958" s="672">
        <v>45595</v>
      </c>
      <c r="E1958" s="673">
        <v>4.0000000000000001E-3</v>
      </c>
      <c r="F1958" s="673" t="s">
        <v>460</v>
      </c>
      <c r="G1958" s="673">
        <v>0</v>
      </c>
      <c r="H1958" s="674">
        <v>0.54166666666666663</v>
      </c>
      <c r="I1958" s="930"/>
      <c r="J1958" s="930"/>
      <c r="K1958" s="931"/>
      <c r="L1958" s="674"/>
      <c r="M1958" s="426"/>
    </row>
    <row r="1959" spans="3:13" ht="17" x14ac:dyDescent="0.2">
      <c r="C1959" s="91"/>
      <c r="D1959" s="672">
        <v>45576</v>
      </c>
      <c r="E1959" s="673">
        <v>0</v>
      </c>
      <c r="F1959" s="673" t="s">
        <v>458</v>
      </c>
      <c r="G1959" s="673">
        <v>-1E-3</v>
      </c>
      <c r="H1959" s="674">
        <v>0.25</v>
      </c>
      <c r="I1959" s="930"/>
      <c r="J1959" s="930"/>
      <c r="K1959" s="931"/>
      <c r="L1959" s="674"/>
      <c r="M1959" s="426"/>
    </row>
    <row r="1960" spans="3:13" ht="18" thickBot="1" x14ac:dyDescent="0.25">
      <c r="C1960" s="91"/>
      <c r="D1960" s="672">
        <v>45565</v>
      </c>
      <c r="E1960" s="673">
        <v>0</v>
      </c>
      <c r="F1960" s="673" t="s">
        <v>462</v>
      </c>
      <c r="G1960" s="673">
        <v>-1E-3</v>
      </c>
      <c r="H1960" s="674">
        <v>0.5</v>
      </c>
      <c r="I1960" s="933"/>
      <c r="J1960" s="933"/>
      <c r="K1960" s="934"/>
      <c r="L1960" s="674"/>
      <c r="M1960" s="438"/>
    </row>
    <row r="1961" spans="3:13" ht="18" thickBot="1" x14ac:dyDescent="0.25">
      <c r="C1961" s="91">
        <v>2</v>
      </c>
      <c r="D1961" s="663" t="s">
        <v>30</v>
      </c>
      <c r="E1961" s="917" t="s">
        <v>1350</v>
      </c>
      <c r="F1961" s="918"/>
      <c r="G1961" s="919"/>
      <c r="H1961" s="664" t="s">
        <v>790</v>
      </c>
      <c r="I1961" s="921" t="s">
        <v>633</v>
      </c>
      <c r="J1961" s="921"/>
      <c r="K1961" s="922"/>
      <c r="L1961" s="664" t="s">
        <v>430</v>
      </c>
      <c r="M1961" s="423" t="s">
        <v>431</v>
      </c>
    </row>
    <row r="1962" spans="3:13" ht="17" x14ac:dyDescent="0.2">
      <c r="C1962" s="91"/>
      <c r="D1962" s="665" t="s">
        <v>432</v>
      </c>
      <c r="E1962" s="950"/>
      <c r="F1962" s="951"/>
      <c r="G1962" s="952"/>
      <c r="H1962" s="666" t="s">
        <v>906</v>
      </c>
      <c r="I1962" s="927" t="s">
        <v>1351</v>
      </c>
      <c r="J1962" s="927"/>
      <c r="K1962" s="928"/>
      <c r="L1962" s="667"/>
      <c r="M1962" s="425" t="s">
        <v>1350</v>
      </c>
    </row>
    <row r="1963" spans="3:13" ht="17" x14ac:dyDescent="0.2">
      <c r="C1963" s="91"/>
      <c r="D1963" s="668" t="s">
        <v>433</v>
      </c>
      <c r="E1963" s="935">
        <v>58.5</v>
      </c>
      <c r="F1963" s="936"/>
      <c r="G1963" s="937"/>
      <c r="H1963" s="424" t="s">
        <v>907</v>
      </c>
      <c r="I1963" s="930"/>
      <c r="J1963" s="930"/>
      <c r="K1963" s="931"/>
      <c r="L1963" s="667"/>
      <c r="M1963" s="426"/>
    </row>
    <row r="1964" spans="3:13" ht="17" x14ac:dyDescent="0.2">
      <c r="C1964" s="91"/>
      <c r="D1964" s="668" t="s">
        <v>434</v>
      </c>
      <c r="E1964" s="935">
        <v>56.1</v>
      </c>
      <c r="F1964" s="936"/>
      <c r="G1964" s="937"/>
      <c r="H1964" s="424"/>
      <c r="I1964" s="930"/>
      <c r="J1964" s="930"/>
      <c r="K1964" s="931"/>
      <c r="L1964" s="667"/>
      <c r="M1964" s="426"/>
    </row>
    <row r="1965" spans="3:13" ht="18" thickBot="1" x14ac:dyDescent="0.25">
      <c r="C1965" s="91"/>
      <c r="D1965" s="669" t="s">
        <v>435</v>
      </c>
      <c r="E1965" s="938">
        <v>0.61458333333333337</v>
      </c>
      <c r="F1965" s="939"/>
      <c r="G1965" s="940"/>
      <c r="H1965" s="427"/>
      <c r="I1965" s="930"/>
      <c r="J1965" s="930"/>
      <c r="K1965" s="931"/>
      <c r="L1965" s="428">
        <v>0.84375</v>
      </c>
      <c r="M1965" s="429">
        <v>0.69791666666666663</v>
      </c>
    </row>
    <row r="1966" spans="3:13" ht="18" thickBot="1" x14ac:dyDescent="0.25">
      <c r="C1966" s="91"/>
      <c r="D1966" s="670" t="s">
        <v>436</v>
      </c>
      <c r="E1966" s="430" t="s">
        <v>29</v>
      </c>
      <c r="F1966" s="430" t="s">
        <v>28</v>
      </c>
      <c r="G1966" s="431" t="s">
        <v>27</v>
      </c>
      <c r="H1966" s="432" t="s">
        <v>793</v>
      </c>
      <c r="I1966" s="930"/>
      <c r="J1966" s="930"/>
      <c r="K1966" s="931"/>
      <c r="L1966" s="671" t="s">
        <v>1246</v>
      </c>
      <c r="M1966" s="433"/>
    </row>
    <row r="1967" spans="3:13" ht="17" x14ac:dyDescent="0.2">
      <c r="C1967" s="91"/>
      <c r="D1967" s="672">
        <v>45642</v>
      </c>
      <c r="E1967" s="439">
        <v>58.5</v>
      </c>
      <c r="F1967" s="439" t="s">
        <v>1339</v>
      </c>
      <c r="G1967" s="439">
        <v>56.1</v>
      </c>
      <c r="H1967" s="674">
        <v>0.61458333333333337</v>
      </c>
      <c r="I1967" s="930"/>
      <c r="J1967" s="930"/>
      <c r="K1967" s="931"/>
      <c r="L1967" s="675"/>
      <c r="M1967" s="436"/>
    </row>
    <row r="1968" spans="3:13" ht="17" x14ac:dyDescent="0.2">
      <c r="C1968" s="91"/>
      <c r="D1968" s="672">
        <v>45630</v>
      </c>
      <c r="E1968" s="439">
        <v>56.1</v>
      </c>
      <c r="F1968" s="439" t="s">
        <v>1285</v>
      </c>
      <c r="G1968" s="439">
        <v>55</v>
      </c>
      <c r="H1968" s="674">
        <v>0.61458333333333337</v>
      </c>
      <c r="I1968" s="930"/>
      <c r="J1968" s="930"/>
      <c r="K1968" s="931"/>
      <c r="L1968" s="675"/>
      <c r="M1968" s="437"/>
    </row>
    <row r="1969" spans="3:13" ht="17" x14ac:dyDescent="0.2">
      <c r="C1969" s="91"/>
      <c r="D1969" s="672">
        <v>45618</v>
      </c>
      <c r="E1969" s="439">
        <v>57</v>
      </c>
      <c r="F1969" s="439" t="s">
        <v>586</v>
      </c>
      <c r="G1969" s="439">
        <v>55</v>
      </c>
      <c r="H1969" s="674">
        <v>0.61458333333333337</v>
      </c>
      <c r="I1969" s="930"/>
      <c r="J1969" s="930"/>
      <c r="K1969" s="931"/>
      <c r="L1969" s="675"/>
      <c r="M1969" s="426"/>
    </row>
    <row r="1970" spans="3:13" ht="17" x14ac:dyDescent="0.2">
      <c r="C1970" s="91"/>
      <c r="D1970" s="672">
        <v>45601</v>
      </c>
      <c r="E1970" s="439">
        <v>55</v>
      </c>
      <c r="F1970" s="439" t="s">
        <v>585</v>
      </c>
      <c r="G1970" s="439">
        <v>55.2</v>
      </c>
      <c r="H1970" s="674">
        <v>0.61458333333333337</v>
      </c>
      <c r="I1970" s="930"/>
      <c r="J1970" s="930"/>
      <c r="K1970" s="931"/>
      <c r="L1970" s="675"/>
      <c r="M1970" s="426"/>
    </row>
    <row r="1971" spans="3:13" ht="17" x14ac:dyDescent="0.2">
      <c r="C1971" s="91"/>
      <c r="D1971" s="672">
        <v>45589</v>
      </c>
      <c r="E1971" s="439">
        <v>55.3</v>
      </c>
      <c r="F1971" s="439" t="s">
        <v>604</v>
      </c>
      <c r="G1971" s="439">
        <v>55.2</v>
      </c>
      <c r="H1971" s="674">
        <v>0.57291666666666663</v>
      </c>
      <c r="I1971" s="930"/>
      <c r="J1971" s="930"/>
      <c r="K1971" s="931"/>
      <c r="L1971" s="675"/>
      <c r="M1971" s="426"/>
    </row>
    <row r="1972" spans="3:13" ht="18" thickBot="1" x14ac:dyDescent="0.25">
      <c r="C1972" s="91"/>
      <c r="D1972" s="672">
        <v>45568</v>
      </c>
      <c r="E1972" s="439">
        <v>55.2</v>
      </c>
      <c r="F1972" s="439" t="s">
        <v>759</v>
      </c>
      <c r="G1972" s="439">
        <v>55.7</v>
      </c>
      <c r="H1972" s="674">
        <v>0.57291666666666663</v>
      </c>
      <c r="I1972" s="933"/>
      <c r="J1972" s="933"/>
      <c r="K1972" s="934"/>
      <c r="L1972" s="675"/>
      <c r="M1972" s="438"/>
    </row>
    <row r="1973" spans="3:13" ht="18" thickBot="1" x14ac:dyDescent="0.25">
      <c r="C1973" s="91">
        <v>3</v>
      </c>
      <c r="D1973" s="663" t="s">
        <v>30</v>
      </c>
      <c r="E1973" s="917" t="s">
        <v>1352</v>
      </c>
      <c r="F1973" s="918"/>
      <c r="G1973" s="919"/>
      <c r="H1973" s="664" t="s">
        <v>790</v>
      </c>
      <c r="I1973" s="921" t="s">
        <v>633</v>
      </c>
      <c r="J1973" s="921"/>
      <c r="K1973" s="922"/>
      <c r="L1973" s="664" t="s">
        <v>430</v>
      </c>
      <c r="M1973" s="423" t="s">
        <v>431</v>
      </c>
    </row>
    <row r="1974" spans="3:13" ht="17" x14ac:dyDescent="0.2">
      <c r="C1974" s="91"/>
      <c r="D1974" s="665" t="s">
        <v>432</v>
      </c>
      <c r="E1974" s="950"/>
      <c r="F1974" s="951"/>
      <c r="G1974" s="952"/>
      <c r="H1974" s="666" t="s">
        <v>1400</v>
      </c>
      <c r="I1974" s="927" t="s">
        <v>1353</v>
      </c>
      <c r="J1974" s="927"/>
      <c r="K1974" s="928"/>
      <c r="L1974" s="667"/>
      <c r="M1974" s="425" t="s">
        <v>1352</v>
      </c>
    </row>
    <row r="1975" spans="3:13" ht="17" x14ac:dyDescent="0.2">
      <c r="C1975" s="91"/>
      <c r="D1975" s="668" t="s">
        <v>433</v>
      </c>
      <c r="E1975" s="956" t="s">
        <v>1090</v>
      </c>
      <c r="F1975" s="936"/>
      <c r="G1975" s="937"/>
      <c r="H1975" s="424" t="s">
        <v>1401</v>
      </c>
      <c r="I1975" s="930"/>
      <c r="J1975" s="930"/>
      <c r="K1975" s="931"/>
      <c r="L1975" s="667"/>
      <c r="M1975" s="426"/>
    </row>
    <row r="1976" spans="3:13" ht="17" x14ac:dyDescent="0.2">
      <c r="C1976" s="91"/>
      <c r="D1976" s="668" t="s">
        <v>434</v>
      </c>
      <c r="E1976" s="956">
        <v>7.0000000000000001E-3</v>
      </c>
      <c r="F1976" s="936"/>
      <c r="G1976" s="937"/>
      <c r="H1976" s="424"/>
      <c r="I1976" s="930"/>
      <c r="J1976" s="930"/>
      <c r="K1976" s="931"/>
      <c r="L1976" s="667"/>
      <c r="M1976" s="426"/>
    </row>
    <row r="1977" spans="3:13" ht="18" thickBot="1" x14ac:dyDescent="0.25">
      <c r="C1977" s="91"/>
      <c r="D1977" s="669" t="s">
        <v>435</v>
      </c>
      <c r="E1977" s="938">
        <v>0.3125</v>
      </c>
      <c r="F1977" s="939"/>
      <c r="G1977" s="940"/>
      <c r="H1977" s="427"/>
      <c r="I1977" s="930"/>
      <c r="J1977" s="930"/>
      <c r="K1977" s="931"/>
      <c r="L1977" s="428">
        <v>0.54166666666666663</v>
      </c>
      <c r="M1977" s="429">
        <v>0.39583333333333326</v>
      </c>
    </row>
    <row r="1978" spans="3:13" ht="18" thickBot="1" x14ac:dyDescent="0.25">
      <c r="C1978" s="91"/>
      <c r="D1978" s="670" t="s">
        <v>436</v>
      </c>
      <c r="E1978" s="430" t="s">
        <v>29</v>
      </c>
      <c r="F1978" s="430" t="s">
        <v>28</v>
      </c>
      <c r="G1978" s="431" t="s">
        <v>27</v>
      </c>
      <c r="H1978" s="432" t="s">
        <v>793</v>
      </c>
      <c r="I1978" s="930"/>
      <c r="J1978" s="930"/>
      <c r="K1978" s="931"/>
      <c r="L1978" s="671" t="s">
        <v>1246</v>
      </c>
      <c r="M1978" s="433"/>
    </row>
    <row r="1979" spans="3:13" ht="17" x14ac:dyDescent="0.2">
      <c r="C1979" s="91"/>
      <c r="D1979" s="672">
        <v>45629</v>
      </c>
      <c r="E1979" s="673">
        <v>7.0000000000000001E-3</v>
      </c>
      <c r="F1979" s="673" t="s">
        <v>1001</v>
      </c>
      <c r="G1979" s="673">
        <v>6.0000000000000001E-3</v>
      </c>
      <c r="H1979" s="674">
        <v>0.3125</v>
      </c>
      <c r="I1979" s="930"/>
      <c r="J1979" s="930"/>
      <c r="K1979" s="931"/>
      <c r="L1979" s="675"/>
      <c r="M1979" s="436"/>
    </row>
    <row r="1980" spans="3:13" ht="17" x14ac:dyDescent="0.2">
      <c r="C1980" s="91"/>
      <c r="D1980" s="672">
        <v>45597</v>
      </c>
      <c r="E1980" s="673">
        <v>6.0000000000000001E-3</v>
      </c>
      <c r="F1980" s="673" t="s">
        <v>1001</v>
      </c>
      <c r="G1980" s="673">
        <v>8.0000000000000002E-3</v>
      </c>
      <c r="H1980" s="674">
        <v>0.3125</v>
      </c>
      <c r="I1980" s="930"/>
      <c r="J1980" s="930"/>
      <c r="K1980" s="931"/>
      <c r="L1980" s="675"/>
      <c r="M1980" s="437"/>
    </row>
    <row r="1981" spans="3:13" ht="17" x14ac:dyDescent="0.2">
      <c r="C1981" s="91"/>
      <c r="D1981" s="672">
        <v>45568</v>
      </c>
      <c r="E1981" s="673">
        <v>8.0000000000000002E-3</v>
      </c>
      <c r="F1981" s="673" t="s">
        <v>1382</v>
      </c>
      <c r="G1981" s="673">
        <v>1.0999999999999999E-2</v>
      </c>
      <c r="H1981" s="674">
        <v>0.27083333333333331</v>
      </c>
      <c r="I1981" s="930"/>
      <c r="J1981" s="930"/>
      <c r="K1981" s="931"/>
      <c r="L1981" s="675"/>
      <c r="M1981" s="426"/>
    </row>
    <row r="1982" spans="3:13" ht="17" x14ac:dyDescent="0.2">
      <c r="C1982" s="91"/>
      <c r="D1982" s="672">
        <v>45538</v>
      </c>
      <c r="E1982" s="673">
        <v>1.0999999999999999E-2</v>
      </c>
      <c r="F1982" s="673" t="s">
        <v>1383</v>
      </c>
      <c r="G1982" s="673">
        <v>1.2999999999999999E-2</v>
      </c>
      <c r="H1982" s="674">
        <v>0.27083333333333331</v>
      </c>
      <c r="I1982" s="930"/>
      <c r="J1982" s="930"/>
      <c r="K1982" s="931"/>
      <c r="L1982" s="675"/>
      <c r="M1982" s="426"/>
    </row>
    <row r="1983" spans="3:13" ht="17" x14ac:dyDescent="0.2">
      <c r="C1983" s="91"/>
      <c r="D1983" s="672">
        <v>45506</v>
      </c>
      <c r="E1983" s="673">
        <v>1.2999999999999999E-2</v>
      </c>
      <c r="F1983" s="673" t="s">
        <v>889</v>
      </c>
      <c r="G1983" s="673">
        <v>1.2999999999999999E-2</v>
      </c>
      <c r="H1983" s="674">
        <v>0.27083333333333331</v>
      </c>
      <c r="I1983" s="930"/>
      <c r="J1983" s="930"/>
      <c r="K1983" s="931"/>
      <c r="L1983" s="675"/>
      <c r="M1983" s="426"/>
    </row>
    <row r="1984" spans="3:13" ht="18" thickBot="1" x14ac:dyDescent="0.25">
      <c r="C1984" s="91"/>
      <c r="D1984" s="672">
        <v>45477</v>
      </c>
      <c r="E1984" s="673">
        <v>1.2999999999999999E-2</v>
      </c>
      <c r="F1984" s="673" t="s">
        <v>1384</v>
      </c>
      <c r="G1984" s="673">
        <v>1.4E-2</v>
      </c>
      <c r="H1984" s="674">
        <v>0.27083333333333331</v>
      </c>
      <c r="I1984" s="933"/>
      <c r="J1984" s="933"/>
      <c r="K1984" s="934"/>
      <c r="L1984" s="675"/>
      <c r="M1984" s="438"/>
    </row>
    <row r="1985" spans="3:13" ht="18" thickBot="1" x14ac:dyDescent="0.25">
      <c r="C1985" s="91">
        <v>3</v>
      </c>
      <c r="D1985" s="663" t="s">
        <v>30</v>
      </c>
      <c r="E1985" s="917" t="s">
        <v>1354</v>
      </c>
      <c r="F1985" s="918"/>
      <c r="G1985" s="919"/>
      <c r="H1985" s="664" t="s">
        <v>790</v>
      </c>
      <c r="I1985" s="921" t="s">
        <v>633</v>
      </c>
      <c r="J1985" s="921"/>
      <c r="K1985" s="922"/>
      <c r="L1985" s="664" t="s">
        <v>430</v>
      </c>
      <c r="M1985" s="423" t="s">
        <v>431</v>
      </c>
    </row>
    <row r="1986" spans="3:13" ht="17" x14ac:dyDescent="0.2">
      <c r="C1986" s="91"/>
      <c r="D1986" s="665" t="s">
        <v>432</v>
      </c>
      <c r="E1986" s="950"/>
      <c r="F1986" s="951"/>
      <c r="G1986" s="952"/>
      <c r="H1986" s="666" t="s">
        <v>1400</v>
      </c>
      <c r="I1986" s="927" t="s">
        <v>1353</v>
      </c>
      <c r="J1986" s="927"/>
      <c r="K1986" s="928"/>
      <c r="L1986" s="667"/>
      <c r="M1986" s="425" t="s">
        <v>1354</v>
      </c>
    </row>
    <row r="1987" spans="3:13" ht="17" x14ac:dyDescent="0.2">
      <c r="C1987" s="91"/>
      <c r="D1987" s="668" t="s">
        <v>433</v>
      </c>
      <c r="E1987" s="941">
        <v>0</v>
      </c>
      <c r="F1987" s="942"/>
      <c r="G1987" s="943"/>
      <c r="H1987" s="424" t="s">
        <v>1401</v>
      </c>
      <c r="I1987" s="930"/>
      <c r="J1987" s="930"/>
      <c r="K1987" s="931"/>
      <c r="L1987" s="667"/>
      <c r="M1987" s="426"/>
    </row>
    <row r="1988" spans="3:13" ht="17" x14ac:dyDescent="0.2">
      <c r="C1988" s="91"/>
      <c r="D1988" s="668" t="s">
        <v>434</v>
      </c>
      <c r="E1988" s="941">
        <v>2.1999999999999999E-2</v>
      </c>
      <c r="F1988" s="942"/>
      <c r="G1988" s="943"/>
      <c r="H1988" s="424"/>
      <c r="I1988" s="930"/>
      <c r="J1988" s="930"/>
      <c r="K1988" s="931"/>
      <c r="L1988" s="667"/>
      <c r="M1988" s="426"/>
    </row>
    <row r="1989" spans="3:13" ht="18" thickBot="1" x14ac:dyDescent="0.25">
      <c r="C1989" s="91"/>
      <c r="D1989" s="669" t="s">
        <v>435</v>
      </c>
      <c r="E1989" s="938">
        <v>0.41666666666666674</v>
      </c>
      <c r="F1989" s="939"/>
      <c r="G1989" s="940"/>
      <c r="H1989" s="427">
        <v>0.2083333333333334</v>
      </c>
      <c r="I1989" s="930"/>
      <c r="J1989" s="930"/>
      <c r="K1989" s="931"/>
      <c r="L1989" s="428">
        <v>0.64583333333333337</v>
      </c>
      <c r="M1989" s="429">
        <v>0.5</v>
      </c>
    </row>
    <row r="1990" spans="3:13" ht="18" thickBot="1" x14ac:dyDescent="0.25">
      <c r="C1990" s="91"/>
      <c r="D1990" s="670" t="s">
        <v>436</v>
      </c>
      <c r="E1990" s="430" t="s">
        <v>29</v>
      </c>
      <c r="F1990" s="430" t="s">
        <v>28</v>
      </c>
      <c r="G1990" s="431" t="s">
        <v>27</v>
      </c>
      <c r="H1990" s="432" t="s">
        <v>793</v>
      </c>
      <c r="I1990" s="930"/>
      <c r="J1990" s="930"/>
      <c r="K1990" s="931"/>
      <c r="L1990" s="671" t="s">
        <v>1246</v>
      </c>
      <c r="M1990" s="433"/>
    </row>
    <row r="1991" spans="3:13" ht="17" x14ac:dyDescent="0.2">
      <c r="C1991" s="91"/>
      <c r="D1991" s="672">
        <v>45644</v>
      </c>
      <c r="E1991" s="676">
        <v>2.1999999999999999E-2</v>
      </c>
      <c r="F1991" s="676" t="s">
        <v>971</v>
      </c>
      <c r="G1991" s="676">
        <v>0.02</v>
      </c>
      <c r="H1991" s="674">
        <v>0.41666666666666669</v>
      </c>
      <c r="I1991" s="930"/>
      <c r="J1991" s="930"/>
      <c r="K1991" s="931"/>
      <c r="L1991" s="675"/>
      <c r="M1991" s="436"/>
    </row>
    <row r="1992" spans="3:13" ht="17" x14ac:dyDescent="0.2">
      <c r="C1992" s="91"/>
      <c r="D1992" s="672">
        <v>45625</v>
      </c>
      <c r="E1992" s="676">
        <v>2.3E-2</v>
      </c>
      <c r="F1992" s="676" t="s">
        <v>971</v>
      </c>
      <c r="G1992" s="676">
        <v>0.02</v>
      </c>
      <c r="H1992" s="674">
        <v>0.41666666666666669</v>
      </c>
      <c r="I1992" s="930"/>
      <c r="J1992" s="930"/>
      <c r="K1992" s="931"/>
      <c r="L1992" s="675"/>
      <c r="M1992" s="437"/>
    </row>
    <row r="1993" spans="3:13" ht="17" x14ac:dyDescent="0.2">
      <c r="C1993" s="91"/>
      <c r="D1993" s="672">
        <v>45615</v>
      </c>
      <c r="E1993" s="676">
        <v>0.02</v>
      </c>
      <c r="F1993" s="676" t="s">
        <v>788</v>
      </c>
      <c r="G1993" s="676">
        <v>0.02</v>
      </c>
      <c r="H1993" s="674">
        <v>0.41666666666666669</v>
      </c>
      <c r="I1993" s="930"/>
      <c r="J1993" s="930"/>
      <c r="K1993" s="931"/>
      <c r="L1993" s="675"/>
      <c r="M1993" s="426"/>
    </row>
    <row r="1994" spans="3:13" ht="17" x14ac:dyDescent="0.2">
      <c r="C1994" s="91"/>
      <c r="D1994" s="672">
        <v>45596</v>
      </c>
      <c r="E1994" s="676">
        <v>0.02</v>
      </c>
      <c r="F1994" s="676" t="s">
        <v>789</v>
      </c>
      <c r="G1994" s="676">
        <v>1.7000000000000001E-2</v>
      </c>
      <c r="H1994" s="674">
        <v>0.41666666666666669</v>
      </c>
      <c r="I1994" s="930"/>
      <c r="J1994" s="930"/>
      <c r="K1994" s="931"/>
      <c r="L1994" s="675"/>
      <c r="M1994" s="426"/>
    </row>
    <row r="1995" spans="3:13" ht="17" x14ac:dyDescent="0.2">
      <c r="C1995" s="91"/>
      <c r="D1995" s="672">
        <v>45582</v>
      </c>
      <c r="E1995" s="676">
        <v>1.7000000000000001E-2</v>
      </c>
      <c r="F1995" s="676" t="s">
        <v>895</v>
      </c>
      <c r="G1995" s="676">
        <v>2.1999999999999999E-2</v>
      </c>
      <c r="H1995" s="674">
        <v>0.375</v>
      </c>
      <c r="I1995" s="930"/>
      <c r="J1995" s="930"/>
      <c r="K1995" s="931"/>
      <c r="L1995" s="675"/>
      <c r="M1995" s="426"/>
    </row>
    <row r="1996" spans="3:13" ht="18" thickBot="1" x14ac:dyDescent="0.25">
      <c r="C1996" s="91"/>
      <c r="D1996" s="672">
        <v>45566</v>
      </c>
      <c r="E1996" s="676">
        <v>1.7999999999999999E-2</v>
      </c>
      <c r="F1996" s="676" t="s">
        <v>895</v>
      </c>
      <c r="G1996" s="676">
        <v>2.1999999999999999E-2</v>
      </c>
      <c r="H1996" s="674">
        <v>0.375</v>
      </c>
      <c r="I1996" s="933"/>
      <c r="J1996" s="933"/>
      <c r="K1996" s="934"/>
      <c r="L1996" s="675"/>
      <c r="M1996" s="438"/>
    </row>
    <row r="1997" spans="3:13" ht="18" thickBot="1" x14ac:dyDescent="0.25">
      <c r="C1997" s="91">
        <v>4</v>
      </c>
      <c r="D1997" s="663" t="s">
        <v>30</v>
      </c>
      <c r="E1997" s="917" t="s">
        <v>1355</v>
      </c>
      <c r="F1997" s="918"/>
      <c r="G1997" s="919"/>
      <c r="H1997" s="664" t="s">
        <v>790</v>
      </c>
      <c r="I1997" s="921" t="s">
        <v>633</v>
      </c>
      <c r="J1997" s="921"/>
      <c r="K1997" s="922"/>
      <c r="L1997" s="664" t="s">
        <v>430</v>
      </c>
      <c r="M1997" s="440" t="s">
        <v>431</v>
      </c>
    </row>
    <row r="1998" spans="3:13" ht="17" x14ac:dyDescent="0.2">
      <c r="C1998" s="91"/>
      <c r="D1998" s="665" t="s">
        <v>432</v>
      </c>
      <c r="E1998" s="950"/>
      <c r="F1998" s="951"/>
      <c r="G1998" s="952"/>
      <c r="H1998" s="666" t="s">
        <v>906</v>
      </c>
      <c r="I1998" s="927" t="s">
        <v>1356</v>
      </c>
      <c r="J1998" s="927"/>
      <c r="K1998" s="928"/>
      <c r="L1998" s="667"/>
      <c r="M1998" s="425" t="s">
        <v>1355</v>
      </c>
    </row>
    <row r="1999" spans="3:13" ht="17" x14ac:dyDescent="0.2">
      <c r="C1999" s="91"/>
      <c r="D1999" s="668" t="s">
        <v>433</v>
      </c>
      <c r="E1999" s="947">
        <v>53.5</v>
      </c>
      <c r="F1999" s="942"/>
      <c r="G1999" s="943"/>
      <c r="H1999" s="424" t="s">
        <v>907</v>
      </c>
      <c r="I1999" s="930"/>
      <c r="J1999" s="930"/>
      <c r="K1999" s="931"/>
      <c r="L1999" s="667"/>
      <c r="M1999" s="426"/>
    </row>
    <row r="2000" spans="3:13" ht="17" x14ac:dyDescent="0.2">
      <c r="C2000" s="91"/>
      <c r="D2000" s="668" t="s">
        <v>434</v>
      </c>
      <c r="E2000" s="944">
        <v>52.1</v>
      </c>
      <c r="F2000" s="945"/>
      <c r="G2000" s="946"/>
      <c r="H2000" s="424"/>
      <c r="I2000" s="930"/>
      <c r="J2000" s="930"/>
      <c r="K2000" s="931"/>
      <c r="L2000" s="667"/>
      <c r="M2000" s="426"/>
    </row>
    <row r="2001" spans="3:13" ht="18" thickBot="1" x14ac:dyDescent="0.25">
      <c r="C2001" s="91"/>
      <c r="D2001" s="669" t="s">
        <v>435</v>
      </c>
      <c r="E2001" s="938">
        <v>0.625</v>
      </c>
      <c r="F2001" s="939"/>
      <c r="G2001" s="940"/>
      <c r="H2001" s="427">
        <v>0.41666666666666663</v>
      </c>
      <c r="I2001" s="930"/>
      <c r="J2001" s="930"/>
      <c r="K2001" s="931"/>
      <c r="L2001" s="428">
        <v>0.85416666666666663</v>
      </c>
      <c r="M2001" s="429">
        <v>0.70833333333333326</v>
      </c>
    </row>
    <row r="2002" spans="3:13" ht="18" thickBot="1" x14ac:dyDescent="0.25">
      <c r="C2002" s="91"/>
      <c r="D2002" s="670" t="s">
        <v>436</v>
      </c>
      <c r="E2002" s="430" t="s">
        <v>29</v>
      </c>
      <c r="F2002" s="430" t="s">
        <v>28</v>
      </c>
      <c r="G2002" s="431" t="s">
        <v>27</v>
      </c>
      <c r="H2002" s="432" t="s">
        <v>793</v>
      </c>
      <c r="I2002" s="930"/>
      <c r="J2002" s="930"/>
      <c r="K2002" s="931"/>
      <c r="L2002" s="671"/>
      <c r="M2002" s="433"/>
    </row>
    <row r="2003" spans="3:13" ht="17" x14ac:dyDescent="0.2">
      <c r="C2003" s="91"/>
      <c r="D2003" s="672">
        <v>45630</v>
      </c>
      <c r="E2003" s="482">
        <v>52.1</v>
      </c>
      <c r="F2003" s="482" t="s">
        <v>523</v>
      </c>
      <c r="G2003" s="482">
        <v>56</v>
      </c>
      <c r="H2003" s="674">
        <v>0.625</v>
      </c>
      <c r="I2003" s="930"/>
      <c r="J2003" s="930"/>
      <c r="K2003" s="931"/>
      <c r="L2003" s="675"/>
      <c r="M2003" s="436"/>
    </row>
    <row r="2004" spans="3:13" ht="17" x14ac:dyDescent="0.2">
      <c r="C2004" s="91"/>
      <c r="D2004" s="672">
        <v>45601</v>
      </c>
      <c r="E2004" s="482">
        <v>56</v>
      </c>
      <c r="F2004" s="482" t="s">
        <v>1344</v>
      </c>
      <c r="G2004" s="482">
        <v>54.9</v>
      </c>
      <c r="H2004" s="674">
        <v>0.625</v>
      </c>
      <c r="I2004" s="930"/>
      <c r="J2004" s="930"/>
      <c r="K2004" s="931"/>
      <c r="L2004" s="675"/>
      <c r="M2004" s="437"/>
    </row>
    <row r="2005" spans="3:13" ht="17" x14ac:dyDescent="0.2">
      <c r="C2005" s="91"/>
      <c r="D2005" s="672">
        <v>45568</v>
      </c>
      <c r="E2005" s="482">
        <v>54.9</v>
      </c>
      <c r="F2005" s="482" t="s">
        <v>506</v>
      </c>
      <c r="G2005" s="482">
        <v>51.5</v>
      </c>
      <c r="H2005" s="674">
        <v>0.58333333333333337</v>
      </c>
      <c r="I2005" s="930"/>
      <c r="J2005" s="930"/>
      <c r="K2005" s="931"/>
      <c r="L2005" s="675"/>
      <c r="M2005" s="426"/>
    </row>
    <row r="2006" spans="3:13" ht="17" x14ac:dyDescent="0.2">
      <c r="C2006" s="91"/>
      <c r="D2006" s="672">
        <v>45540</v>
      </c>
      <c r="E2006" s="482">
        <v>51.5</v>
      </c>
      <c r="F2006" s="482" t="s">
        <v>594</v>
      </c>
      <c r="G2006" s="482">
        <v>51.4</v>
      </c>
      <c r="H2006" s="674">
        <v>0.58333333333333337</v>
      </c>
      <c r="I2006" s="930"/>
      <c r="J2006" s="930"/>
      <c r="K2006" s="931"/>
      <c r="L2006" s="675"/>
      <c r="M2006" s="426"/>
    </row>
    <row r="2007" spans="3:13" ht="17" x14ac:dyDescent="0.2">
      <c r="C2007" s="91"/>
      <c r="D2007" s="672">
        <v>45509</v>
      </c>
      <c r="E2007" s="482">
        <v>51.4</v>
      </c>
      <c r="F2007" s="482" t="s">
        <v>595</v>
      </c>
      <c r="G2007" s="482">
        <v>48.8</v>
      </c>
      <c r="H2007" s="674">
        <v>0.58333333333333337</v>
      </c>
      <c r="I2007" s="930"/>
      <c r="J2007" s="930"/>
      <c r="K2007" s="931"/>
      <c r="L2007" s="675"/>
      <c r="M2007" s="426"/>
    </row>
    <row r="2008" spans="3:13" ht="18" thickBot="1" x14ac:dyDescent="0.25">
      <c r="C2008" s="91"/>
      <c r="D2008" s="672">
        <v>45476</v>
      </c>
      <c r="E2008" s="482">
        <v>48.8</v>
      </c>
      <c r="F2008" s="482" t="s">
        <v>596</v>
      </c>
      <c r="G2008" s="482">
        <v>53.8</v>
      </c>
      <c r="H2008" s="674">
        <v>0.58333333333333337</v>
      </c>
      <c r="I2008" s="933"/>
      <c r="J2008" s="933"/>
      <c r="K2008" s="934"/>
      <c r="L2008" s="677"/>
      <c r="M2008" s="438"/>
    </row>
    <row r="2009" spans="3:13" ht="18" thickBot="1" x14ac:dyDescent="0.25">
      <c r="C2009" s="91" t="e">
        <v>#REF!</v>
      </c>
      <c r="D2009" s="663" t="s">
        <v>30</v>
      </c>
      <c r="E2009" s="917" t="s">
        <v>1357</v>
      </c>
      <c r="F2009" s="918"/>
      <c r="G2009" s="919"/>
      <c r="H2009" s="664" t="s">
        <v>790</v>
      </c>
      <c r="I2009" s="921" t="s">
        <v>633</v>
      </c>
      <c r="J2009" s="921"/>
      <c r="K2009" s="922"/>
      <c r="L2009" s="664" t="s">
        <v>430</v>
      </c>
      <c r="M2009" s="423" t="s">
        <v>431</v>
      </c>
    </row>
    <row r="2010" spans="3:13" ht="17" x14ac:dyDescent="0.2">
      <c r="C2010" s="91"/>
      <c r="D2010" s="665" t="s">
        <v>432</v>
      </c>
      <c r="E2010" s="950"/>
      <c r="F2010" s="951"/>
      <c r="G2010" s="952"/>
      <c r="H2010" s="666" t="s">
        <v>906</v>
      </c>
      <c r="I2010" s="927" t="s">
        <v>1358</v>
      </c>
      <c r="J2010" s="927"/>
      <c r="K2010" s="928"/>
      <c r="L2010" s="667"/>
      <c r="M2010" s="425" t="s">
        <v>1357</v>
      </c>
    </row>
    <row r="2011" spans="3:13" ht="17" x14ac:dyDescent="0.2">
      <c r="C2011" s="91"/>
      <c r="D2011" s="668" t="s">
        <v>433</v>
      </c>
      <c r="E2011" s="947"/>
      <c r="F2011" s="942"/>
      <c r="G2011" s="943"/>
      <c r="H2011" s="424" t="s">
        <v>907</v>
      </c>
      <c r="I2011" s="930"/>
      <c r="J2011" s="930"/>
      <c r="K2011" s="931"/>
      <c r="L2011" s="667"/>
      <c r="M2011" s="426"/>
    </row>
    <row r="2012" spans="3:13" ht="17" x14ac:dyDescent="0.2">
      <c r="C2012" s="91"/>
      <c r="D2012" s="668" t="s">
        <v>434</v>
      </c>
      <c r="E2012" s="935">
        <v>58.2</v>
      </c>
      <c r="F2012" s="936"/>
      <c r="G2012" s="937"/>
      <c r="H2012" s="424"/>
      <c r="I2012" s="930"/>
      <c r="J2012" s="930"/>
      <c r="K2012" s="931"/>
      <c r="L2012" s="667"/>
      <c r="M2012" s="426"/>
    </row>
    <row r="2013" spans="3:13" ht="18" thickBot="1" x14ac:dyDescent="0.25">
      <c r="C2013" s="91"/>
      <c r="D2013" s="669" t="s">
        <v>435</v>
      </c>
      <c r="E2013" s="938">
        <v>0.625</v>
      </c>
      <c r="F2013" s="939"/>
      <c r="G2013" s="940"/>
      <c r="H2013" s="427">
        <v>0.41666666666666663</v>
      </c>
      <c r="I2013" s="930"/>
      <c r="J2013" s="930"/>
      <c r="K2013" s="931"/>
      <c r="L2013" s="428">
        <v>0.85416666666666663</v>
      </c>
      <c r="M2013" s="429">
        <v>0.75</v>
      </c>
    </row>
    <row r="2014" spans="3:13" ht="18" thickBot="1" x14ac:dyDescent="0.25">
      <c r="C2014" s="91"/>
      <c r="D2014" s="670" t="s">
        <v>436</v>
      </c>
      <c r="E2014" s="430" t="s">
        <v>29</v>
      </c>
      <c r="F2014" s="430" t="s">
        <v>28</v>
      </c>
      <c r="G2014" s="431" t="s">
        <v>27</v>
      </c>
      <c r="H2014" s="432" t="s">
        <v>793</v>
      </c>
      <c r="I2014" s="930"/>
      <c r="J2014" s="930"/>
      <c r="K2014" s="931"/>
      <c r="L2014" s="671" t="s">
        <v>1246</v>
      </c>
      <c r="M2014" s="433"/>
    </row>
    <row r="2015" spans="3:13" ht="17" x14ac:dyDescent="0.2">
      <c r="C2015" s="91"/>
      <c r="D2015" s="672">
        <v>45630</v>
      </c>
      <c r="E2015" s="483">
        <v>58.2</v>
      </c>
      <c r="F2015" s="483" t="s">
        <v>1345</v>
      </c>
      <c r="G2015" s="483">
        <v>58.1</v>
      </c>
      <c r="H2015" s="674">
        <v>0.625</v>
      </c>
      <c r="I2015" s="930"/>
      <c r="J2015" s="930"/>
      <c r="K2015" s="931"/>
      <c r="L2015" s="675">
        <v>0</v>
      </c>
      <c r="M2015" s="436"/>
    </row>
    <row r="2016" spans="3:13" ht="17" x14ac:dyDescent="0.2">
      <c r="C2016" s="91"/>
      <c r="D2016" s="672">
        <v>45601</v>
      </c>
      <c r="E2016" s="483">
        <v>58.1</v>
      </c>
      <c r="F2016" s="483" t="s">
        <v>1346</v>
      </c>
      <c r="G2016" s="483">
        <v>59.4</v>
      </c>
      <c r="H2016" s="674">
        <v>0.625</v>
      </c>
      <c r="I2016" s="930"/>
      <c r="J2016" s="930"/>
      <c r="K2016" s="931"/>
      <c r="L2016" s="675">
        <v>0</v>
      </c>
      <c r="M2016" s="437"/>
    </row>
    <row r="2017" spans="3:13" ht="17" x14ac:dyDescent="0.2">
      <c r="C2017" s="91"/>
      <c r="D2017" s="672">
        <v>45568</v>
      </c>
      <c r="E2017" s="483">
        <v>59.4</v>
      </c>
      <c r="F2017" s="483" t="s">
        <v>943</v>
      </c>
      <c r="G2017" s="483">
        <v>57.3</v>
      </c>
      <c r="H2017" s="674">
        <v>0.58333333333333337</v>
      </c>
      <c r="I2017" s="930"/>
      <c r="J2017" s="930"/>
      <c r="K2017" s="931"/>
      <c r="L2017" s="675">
        <v>0</v>
      </c>
      <c r="M2017" s="426"/>
    </row>
    <row r="2018" spans="3:13" ht="17" x14ac:dyDescent="0.2">
      <c r="C2018" s="91"/>
      <c r="D2018" s="672">
        <v>45540</v>
      </c>
      <c r="E2018" s="483">
        <v>57.3</v>
      </c>
      <c r="F2018" s="483" t="s">
        <v>589</v>
      </c>
      <c r="G2018" s="483">
        <v>57</v>
      </c>
      <c r="H2018" s="674">
        <v>0.58333333333333337</v>
      </c>
      <c r="I2018" s="930"/>
      <c r="J2018" s="930"/>
      <c r="K2018" s="931"/>
      <c r="L2018" s="675">
        <v>0</v>
      </c>
      <c r="M2018" s="426"/>
    </row>
    <row r="2019" spans="3:13" ht="17" x14ac:dyDescent="0.2">
      <c r="C2019" s="91"/>
      <c r="D2019" s="672">
        <v>45509</v>
      </c>
      <c r="E2019" s="483">
        <v>57</v>
      </c>
      <c r="F2019" s="483" t="s">
        <v>589</v>
      </c>
      <c r="G2019" s="483">
        <v>56.3</v>
      </c>
      <c r="H2019" s="674">
        <v>0.58333333333333337</v>
      </c>
      <c r="I2019" s="930"/>
      <c r="J2019" s="930"/>
      <c r="K2019" s="931"/>
      <c r="L2019" s="675">
        <v>0</v>
      </c>
      <c r="M2019" s="426"/>
    </row>
    <row r="2020" spans="3:13" ht="18" thickBot="1" x14ac:dyDescent="0.25">
      <c r="C2020" s="91"/>
      <c r="D2020" s="672">
        <v>45476</v>
      </c>
      <c r="E2020" s="483">
        <v>56.3</v>
      </c>
      <c r="F2020" s="483" t="s">
        <v>602</v>
      </c>
      <c r="G2020" s="483">
        <v>58.1</v>
      </c>
      <c r="H2020" s="674">
        <v>0.58333333333333337</v>
      </c>
      <c r="I2020" s="933"/>
      <c r="J2020" s="933"/>
      <c r="K2020" s="934"/>
      <c r="L2020" s="677">
        <v>0</v>
      </c>
      <c r="M2020" s="438"/>
    </row>
    <row r="2021" spans="3:13" ht="18" thickBot="1" x14ac:dyDescent="0.25">
      <c r="C2021" s="91" t="e">
        <v>#REF!</v>
      </c>
      <c r="D2021" s="663" t="s">
        <v>30</v>
      </c>
      <c r="E2021" s="917" t="s">
        <v>1359</v>
      </c>
      <c r="F2021" s="918"/>
      <c r="G2021" s="919"/>
      <c r="H2021" s="664" t="s">
        <v>790</v>
      </c>
      <c r="I2021" s="921" t="s">
        <v>633</v>
      </c>
      <c r="J2021" s="921"/>
      <c r="K2021" s="922"/>
      <c r="L2021" s="664" t="s">
        <v>430</v>
      </c>
      <c r="M2021" s="423" t="s">
        <v>431</v>
      </c>
    </row>
    <row r="2022" spans="3:13" ht="17" x14ac:dyDescent="0.2">
      <c r="C2022" s="91"/>
      <c r="D2022" s="665" t="s">
        <v>432</v>
      </c>
      <c r="E2022" s="950"/>
      <c r="F2022" s="951"/>
      <c r="G2022" s="952"/>
      <c r="H2022" s="666" t="s">
        <v>906</v>
      </c>
      <c r="I2022" s="927" t="s">
        <v>1362</v>
      </c>
      <c r="J2022" s="927"/>
      <c r="K2022" s="928"/>
      <c r="L2022" s="667"/>
      <c r="M2022" s="425" t="s">
        <v>1359</v>
      </c>
    </row>
    <row r="2023" spans="3:13" ht="17" x14ac:dyDescent="0.2">
      <c r="C2023" s="91"/>
      <c r="D2023" s="668" t="s">
        <v>433</v>
      </c>
      <c r="E2023" s="947" t="s">
        <v>1360</v>
      </c>
      <c r="F2023" s="942"/>
      <c r="G2023" s="943"/>
      <c r="H2023" s="424" t="s">
        <v>907</v>
      </c>
      <c r="I2023" s="930"/>
      <c r="J2023" s="930"/>
      <c r="K2023" s="931"/>
      <c r="L2023" s="667"/>
      <c r="M2023" s="426"/>
    </row>
    <row r="2024" spans="3:13" ht="17" x14ac:dyDescent="0.2">
      <c r="C2024" s="91"/>
      <c r="D2024" s="668" t="s">
        <v>434</v>
      </c>
      <c r="E2024" s="947" t="s">
        <v>1361</v>
      </c>
      <c r="F2024" s="942"/>
      <c r="G2024" s="943"/>
      <c r="H2024" s="424"/>
      <c r="I2024" s="930"/>
      <c r="J2024" s="930"/>
      <c r="K2024" s="931"/>
      <c r="L2024" s="667"/>
      <c r="M2024" s="426"/>
    </row>
    <row r="2025" spans="3:13" ht="18" thickBot="1" x14ac:dyDescent="0.25">
      <c r="C2025" s="91"/>
      <c r="D2025" s="669" t="s">
        <v>435</v>
      </c>
      <c r="E2025" s="938">
        <v>0.625</v>
      </c>
      <c r="F2025" s="939"/>
      <c r="G2025" s="940"/>
      <c r="H2025" s="427">
        <v>0.41666666666666663</v>
      </c>
      <c r="I2025" s="930"/>
      <c r="J2025" s="930"/>
      <c r="K2025" s="931"/>
      <c r="L2025" s="428">
        <v>0.85416666666666663</v>
      </c>
      <c r="M2025" s="429">
        <v>0.70833333333333326</v>
      </c>
    </row>
    <row r="2026" spans="3:13" ht="18" thickBot="1" x14ac:dyDescent="0.25">
      <c r="C2026" s="91"/>
      <c r="D2026" s="670" t="s">
        <v>436</v>
      </c>
      <c r="E2026" s="430" t="s">
        <v>29</v>
      </c>
      <c r="F2026" s="430" t="s">
        <v>28</v>
      </c>
      <c r="G2026" s="431" t="s">
        <v>27</v>
      </c>
      <c r="H2026" s="432" t="s">
        <v>793</v>
      </c>
      <c r="I2026" s="930"/>
      <c r="J2026" s="930"/>
      <c r="K2026" s="931"/>
      <c r="L2026" s="671" t="s">
        <v>1246</v>
      </c>
      <c r="M2026" s="433"/>
    </row>
    <row r="2027" spans="3:13" ht="17" x14ac:dyDescent="0.2">
      <c r="C2027" s="91"/>
      <c r="D2027" s="672">
        <v>45629</v>
      </c>
      <c r="E2027" s="441" t="s">
        <v>1385</v>
      </c>
      <c r="F2027" s="441" t="s">
        <v>1386</v>
      </c>
      <c r="G2027" s="441" t="s">
        <v>1387</v>
      </c>
      <c r="H2027" s="674">
        <v>0.625</v>
      </c>
      <c r="I2027" s="930"/>
      <c r="J2027" s="930"/>
      <c r="K2027" s="931"/>
      <c r="L2027" s="675"/>
      <c r="M2027" s="436"/>
    </row>
    <row r="2028" spans="3:13" ht="17" x14ac:dyDescent="0.2">
      <c r="C2028" s="91"/>
      <c r="D2028" s="672">
        <v>45594</v>
      </c>
      <c r="E2028" s="441" t="s">
        <v>1174</v>
      </c>
      <c r="F2028" s="441" t="s">
        <v>1175</v>
      </c>
      <c r="G2028" s="441" t="s">
        <v>1176</v>
      </c>
      <c r="H2028" s="674">
        <v>0.58333333333333337</v>
      </c>
      <c r="I2028" s="930"/>
      <c r="J2028" s="930"/>
      <c r="K2028" s="931"/>
      <c r="L2028" s="675"/>
      <c r="M2028" s="437"/>
    </row>
    <row r="2029" spans="3:13" ht="17" x14ac:dyDescent="0.2">
      <c r="C2029" s="91"/>
      <c r="D2029" s="672">
        <v>45566</v>
      </c>
      <c r="E2029" s="441" t="s">
        <v>1177</v>
      </c>
      <c r="F2029" s="441" t="s">
        <v>1178</v>
      </c>
      <c r="G2029" s="441" t="s">
        <v>1179</v>
      </c>
      <c r="H2029" s="674">
        <v>0.58333333333333337</v>
      </c>
      <c r="I2029" s="930"/>
      <c r="J2029" s="930"/>
      <c r="K2029" s="931"/>
      <c r="L2029" s="675"/>
      <c r="M2029" s="426"/>
    </row>
    <row r="2030" spans="3:13" ht="17" x14ac:dyDescent="0.2">
      <c r="C2030" s="91"/>
      <c r="D2030" s="672">
        <v>45539</v>
      </c>
      <c r="E2030" s="441" t="s">
        <v>1180</v>
      </c>
      <c r="F2030" s="441" t="s">
        <v>1181</v>
      </c>
      <c r="G2030" s="441" t="s">
        <v>1182</v>
      </c>
      <c r="H2030" s="674">
        <v>0.58333333333333337</v>
      </c>
      <c r="I2030" s="930"/>
      <c r="J2030" s="930"/>
      <c r="K2030" s="931"/>
      <c r="L2030" s="675"/>
      <c r="M2030" s="426"/>
    </row>
    <row r="2031" spans="3:13" ht="17" x14ac:dyDescent="0.2">
      <c r="C2031" s="91"/>
      <c r="D2031" s="672">
        <v>45503</v>
      </c>
      <c r="E2031" s="441" t="s">
        <v>1183</v>
      </c>
      <c r="F2031" s="441" t="s">
        <v>1184</v>
      </c>
      <c r="G2031" s="441" t="s">
        <v>1185</v>
      </c>
      <c r="H2031" s="674">
        <v>0.58333333333333337</v>
      </c>
      <c r="I2031" s="930"/>
      <c r="J2031" s="930"/>
      <c r="K2031" s="931"/>
      <c r="L2031" s="675"/>
      <c r="M2031" s="426"/>
    </row>
    <row r="2032" spans="3:13" ht="18" thickBot="1" x14ac:dyDescent="0.25">
      <c r="C2032" s="91"/>
      <c r="D2032" s="672">
        <v>45475</v>
      </c>
      <c r="E2032" s="441" t="s">
        <v>1186</v>
      </c>
      <c r="F2032" s="441" t="s">
        <v>1187</v>
      </c>
      <c r="G2032" s="441" t="s">
        <v>1188</v>
      </c>
      <c r="H2032" s="674">
        <v>0.58333333333333337</v>
      </c>
      <c r="I2032" s="933"/>
      <c r="J2032" s="933"/>
      <c r="K2032" s="934"/>
      <c r="L2032" s="677"/>
      <c r="M2032" s="438"/>
    </row>
    <row r="2033" spans="3:13" ht="18" thickBot="1" x14ac:dyDescent="0.25">
      <c r="C2033" s="91" t="e">
        <v>#REF!</v>
      </c>
      <c r="D2033" s="663" t="s">
        <v>30</v>
      </c>
      <c r="E2033" s="917" t="s">
        <v>1364</v>
      </c>
      <c r="F2033" s="918"/>
      <c r="G2033" s="919"/>
      <c r="H2033" s="664" t="s">
        <v>790</v>
      </c>
      <c r="I2033" s="921" t="s">
        <v>633</v>
      </c>
      <c r="J2033" s="921"/>
      <c r="K2033" s="922"/>
      <c r="L2033" s="664" t="s">
        <v>430</v>
      </c>
      <c r="M2033" s="423" t="s">
        <v>431</v>
      </c>
    </row>
    <row r="2034" spans="3:13" ht="17" x14ac:dyDescent="0.2">
      <c r="C2034" s="91"/>
      <c r="D2034" s="665" t="s">
        <v>432</v>
      </c>
      <c r="E2034" s="950"/>
      <c r="F2034" s="951"/>
      <c r="G2034" s="952"/>
      <c r="H2034" s="666" t="s">
        <v>906</v>
      </c>
      <c r="I2034" s="927" t="s">
        <v>1366</v>
      </c>
      <c r="J2034" s="927"/>
      <c r="K2034" s="928"/>
      <c r="L2034" s="667"/>
      <c r="M2034" s="425" t="s">
        <v>1364</v>
      </c>
    </row>
    <row r="2035" spans="3:13" ht="17" x14ac:dyDescent="0.2">
      <c r="C2035" s="91"/>
      <c r="D2035" s="668" t="s">
        <v>433</v>
      </c>
      <c r="E2035" s="935"/>
      <c r="F2035" s="936"/>
      <c r="G2035" s="937"/>
      <c r="H2035" s="424" t="s">
        <v>907</v>
      </c>
      <c r="I2035" s="930"/>
      <c r="J2035" s="930"/>
      <c r="K2035" s="931"/>
      <c r="L2035" s="667"/>
      <c r="M2035" s="426"/>
    </row>
    <row r="2036" spans="3:13" ht="17" x14ac:dyDescent="0.2">
      <c r="C2036" s="91"/>
      <c r="D2036" s="668" t="s">
        <v>434</v>
      </c>
      <c r="E2036" s="935" t="s">
        <v>1365</v>
      </c>
      <c r="F2036" s="936"/>
      <c r="G2036" s="937"/>
      <c r="H2036" s="424"/>
      <c r="I2036" s="930"/>
      <c r="J2036" s="930"/>
      <c r="K2036" s="931"/>
      <c r="L2036" s="667"/>
      <c r="M2036" s="426"/>
    </row>
    <row r="2037" spans="3:13" ht="18" thickBot="1" x14ac:dyDescent="0.25">
      <c r="C2037" s="91"/>
      <c r="D2037" s="669" t="s">
        <v>435</v>
      </c>
      <c r="E2037" s="938">
        <v>0.75</v>
      </c>
      <c r="F2037" s="939"/>
      <c r="G2037" s="940"/>
      <c r="H2037" s="427">
        <v>0.54166666666666663</v>
      </c>
      <c r="I2037" s="930"/>
      <c r="J2037" s="930"/>
      <c r="K2037" s="931"/>
      <c r="L2037" s="428">
        <v>0.97916666666666663</v>
      </c>
      <c r="M2037" s="429">
        <v>0.83333333333333326</v>
      </c>
    </row>
    <row r="2038" spans="3:13" ht="18" thickBot="1" x14ac:dyDescent="0.25">
      <c r="C2038" s="91"/>
      <c r="D2038" s="670" t="s">
        <v>436</v>
      </c>
      <c r="E2038" s="430" t="s">
        <v>29</v>
      </c>
      <c r="F2038" s="430" t="s">
        <v>28</v>
      </c>
      <c r="G2038" s="431" t="s">
        <v>27</v>
      </c>
      <c r="H2038" s="432" t="s">
        <v>793</v>
      </c>
      <c r="I2038" s="930"/>
      <c r="J2038" s="930"/>
      <c r="K2038" s="931"/>
      <c r="L2038" s="671" t="s">
        <v>1246</v>
      </c>
      <c r="M2038" s="433"/>
    </row>
    <row r="2039" spans="3:13" ht="17" x14ac:dyDescent="0.2">
      <c r="C2039" s="91"/>
      <c r="D2039" s="672">
        <v>45630</v>
      </c>
      <c r="E2039" s="439" t="s">
        <v>1388</v>
      </c>
      <c r="F2039" s="439" t="s">
        <v>1389</v>
      </c>
      <c r="G2039" s="439" t="s">
        <v>1390</v>
      </c>
      <c r="H2039" s="678">
        <v>0.55208333333333337</v>
      </c>
      <c r="I2039" s="930"/>
      <c r="J2039" s="930"/>
      <c r="K2039" s="931"/>
      <c r="L2039" s="675"/>
      <c r="M2039" s="436"/>
    </row>
    <row r="2040" spans="3:13" ht="17" x14ac:dyDescent="0.2">
      <c r="C2040" s="91"/>
      <c r="D2040" s="672">
        <v>45595</v>
      </c>
      <c r="E2040" s="439" t="s">
        <v>1192</v>
      </c>
      <c r="F2040" s="439" t="s">
        <v>1193</v>
      </c>
      <c r="G2040" s="439" t="s">
        <v>1194</v>
      </c>
      <c r="H2040" s="678">
        <v>0.51041666666666663</v>
      </c>
      <c r="I2040" s="930"/>
      <c r="J2040" s="930"/>
      <c r="K2040" s="931"/>
      <c r="L2040" s="675"/>
      <c r="M2040" s="437"/>
    </row>
    <row r="2041" spans="3:13" ht="17" x14ac:dyDescent="0.2">
      <c r="C2041" s="91"/>
      <c r="D2041" s="672">
        <v>45567</v>
      </c>
      <c r="E2041" s="439" t="s">
        <v>1195</v>
      </c>
      <c r="F2041" s="439" t="s">
        <v>1196</v>
      </c>
      <c r="G2041" s="439" t="s">
        <v>1197</v>
      </c>
      <c r="H2041" s="678">
        <v>0.51041666666666663</v>
      </c>
      <c r="I2041" s="930"/>
      <c r="J2041" s="930"/>
      <c r="K2041" s="931"/>
      <c r="L2041" s="675"/>
      <c r="M2041" s="426"/>
    </row>
    <row r="2042" spans="3:13" ht="17" x14ac:dyDescent="0.2">
      <c r="C2042" s="91"/>
      <c r="D2042" s="672">
        <v>45540</v>
      </c>
      <c r="E2042" s="439" t="s">
        <v>407</v>
      </c>
      <c r="F2042" s="439" t="s">
        <v>1199</v>
      </c>
      <c r="G2042" s="439" t="s">
        <v>1200</v>
      </c>
      <c r="H2042" s="678">
        <v>0.51041666666666663</v>
      </c>
      <c r="I2042" s="930"/>
      <c r="J2042" s="930"/>
      <c r="K2042" s="931"/>
      <c r="L2042" s="675"/>
      <c r="M2042" s="426"/>
    </row>
    <row r="2043" spans="3:13" ht="17" x14ac:dyDescent="0.2">
      <c r="C2043" s="91"/>
      <c r="D2043" s="672">
        <v>45504</v>
      </c>
      <c r="E2043" s="439" t="s">
        <v>1201</v>
      </c>
      <c r="F2043" s="439" t="s">
        <v>1202</v>
      </c>
      <c r="G2043" s="439" t="s">
        <v>1203</v>
      </c>
      <c r="H2043" s="678">
        <v>0.51041666666666663</v>
      </c>
      <c r="I2043" s="930"/>
      <c r="J2043" s="930"/>
      <c r="K2043" s="931"/>
      <c r="L2043" s="675"/>
      <c r="M2043" s="426"/>
    </row>
    <row r="2044" spans="3:13" ht="18" thickBot="1" x14ac:dyDescent="0.25">
      <c r="C2044" s="91"/>
      <c r="D2044" s="672">
        <v>45476</v>
      </c>
      <c r="E2044" s="439" t="s">
        <v>1204</v>
      </c>
      <c r="F2044" s="439" t="s">
        <v>1205</v>
      </c>
      <c r="G2044" s="439" t="s">
        <v>1206</v>
      </c>
      <c r="H2044" s="678">
        <v>0.51041666666666663</v>
      </c>
      <c r="I2044" s="933"/>
      <c r="J2044" s="933"/>
      <c r="K2044" s="934"/>
      <c r="L2044" s="677"/>
      <c r="M2044" s="438"/>
    </row>
    <row r="2045" spans="3:13" ht="18" thickBot="1" x14ac:dyDescent="0.25">
      <c r="C2045" s="91" t="e">
        <v>#REF!</v>
      </c>
      <c r="D2045" s="663" t="s">
        <v>30</v>
      </c>
      <c r="E2045" s="917" t="s">
        <v>9</v>
      </c>
      <c r="F2045" s="918"/>
      <c r="G2045" s="919"/>
      <c r="H2045" s="664" t="s">
        <v>790</v>
      </c>
      <c r="I2045" s="921" t="s">
        <v>633</v>
      </c>
      <c r="J2045" s="921"/>
      <c r="K2045" s="922"/>
      <c r="L2045" s="664" t="s">
        <v>430</v>
      </c>
      <c r="M2045" s="423" t="s">
        <v>431</v>
      </c>
    </row>
    <row r="2046" spans="3:13" ht="17" x14ac:dyDescent="0.2">
      <c r="C2046" s="168"/>
      <c r="D2046" s="665" t="s">
        <v>432</v>
      </c>
      <c r="E2046" s="950"/>
      <c r="F2046" s="951"/>
      <c r="G2046" s="952"/>
      <c r="H2046" s="666" t="s">
        <v>796</v>
      </c>
      <c r="I2046" s="927" t="s">
        <v>1370</v>
      </c>
      <c r="J2046" s="927"/>
      <c r="K2046" s="928"/>
      <c r="L2046" s="667"/>
      <c r="M2046" s="426"/>
    </row>
    <row r="2047" spans="3:13" ht="17" x14ac:dyDescent="0.2">
      <c r="C2047" s="168"/>
      <c r="D2047" s="668" t="s">
        <v>433</v>
      </c>
      <c r="E2047" s="935">
        <v>0</v>
      </c>
      <c r="F2047" s="936"/>
      <c r="G2047" s="937"/>
      <c r="H2047" s="666" t="s">
        <v>796</v>
      </c>
      <c r="I2047" s="930"/>
      <c r="J2047" s="930"/>
      <c r="K2047" s="931"/>
      <c r="L2047" s="667"/>
      <c r="M2047" s="426"/>
    </row>
    <row r="2048" spans="3:13" ht="17" x14ac:dyDescent="0.2">
      <c r="C2048" s="168"/>
      <c r="D2048" s="668" t="s">
        <v>434</v>
      </c>
      <c r="E2048" s="935" t="s">
        <v>1369</v>
      </c>
      <c r="F2048" s="936"/>
      <c r="G2048" s="937"/>
      <c r="H2048" s="424"/>
      <c r="I2048" s="930"/>
      <c r="J2048" s="930"/>
      <c r="K2048" s="931"/>
      <c r="L2048" s="667"/>
      <c r="M2048" s="426"/>
    </row>
    <row r="2049" spans="3:13" ht="18" thickBot="1" x14ac:dyDescent="0.25">
      <c r="C2049" s="168"/>
      <c r="D2049" s="669" t="s">
        <v>435</v>
      </c>
      <c r="E2049" s="938">
        <v>0.55208333333333337</v>
      </c>
      <c r="F2049" s="939"/>
      <c r="G2049" s="940"/>
      <c r="H2049" s="427"/>
      <c r="I2049" s="930"/>
      <c r="J2049" s="930"/>
      <c r="K2049" s="931"/>
      <c r="L2049" s="428">
        <v>0.78125</v>
      </c>
      <c r="M2049" s="429">
        <v>0.63541666666666663</v>
      </c>
    </row>
    <row r="2050" spans="3:13" ht="18" thickBot="1" x14ac:dyDescent="0.25">
      <c r="C2050" s="168"/>
      <c r="D2050" s="670" t="s">
        <v>436</v>
      </c>
      <c r="E2050" s="430" t="s">
        <v>29</v>
      </c>
      <c r="F2050" s="430" t="s">
        <v>28</v>
      </c>
      <c r="G2050" s="431" t="s">
        <v>27</v>
      </c>
      <c r="H2050" s="432" t="s">
        <v>793</v>
      </c>
      <c r="I2050" s="930"/>
      <c r="J2050" s="930"/>
      <c r="K2050" s="931"/>
      <c r="L2050" s="671" t="s">
        <v>1246</v>
      </c>
      <c r="M2050" s="433"/>
    </row>
    <row r="2051" spans="3:13" ht="17" x14ac:dyDescent="0.2">
      <c r="C2051" s="168"/>
      <c r="D2051" s="672">
        <v>45659</v>
      </c>
      <c r="E2051" s="493" t="s">
        <v>1391</v>
      </c>
      <c r="F2051" s="493" t="s">
        <v>1392</v>
      </c>
      <c r="G2051" s="493" t="s">
        <v>1342</v>
      </c>
      <c r="H2051" s="678">
        <v>0.66666666666666663</v>
      </c>
      <c r="I2051" s="930"/>
      <c r="J2051" s="930"/>
      <c r="K2051" s="931"/>
      <c r="L2051" s="675"/>
      <c r="M2051" s="436"/>
    </row>
    <row r="2052" spans="3:13" ht="17" x14ac:dyDescent="0.2">
      <c r="C2052" s="168"/>
      <c r="D2052" s="672">
        <v>45653</v>
      </c>
      <c r="E2052" s="493" t="s">
        <v>1342</v>
      </c>
      <c r="F2052" s="493" t="s">
        <v>1343</v>
      </c>
      <c r="G2052" s="493" t="s">
        <v>1318</v>
      </c>
      <c r="H2052" s="678">
        <v>0.75</v>
      </c>
      <c r="I2052" s="930"/>
      <c r="J2052" s="930"/>
      <c r="K2052" s="931"/>
      <c r="L2052" s="675"/>
      <c r="M2052" s="437"/>
    </row>
    <row r="2053" spans="3:13" ht="17" x14ac:dyDescent="0.2">
      <c r="C2053" s="168"/>
      <c r="D2053" s="672">
        <v>45644</v>
      </c>
      <c r="E2053" s="493" t="s">
        <v>1318</v>
      </c>
      <c r="F2053" s="493" t="s">
        <v>1289</v>
      </c>
      <c r="G2053" s="493" t="s">
        <v>1393</v>
      </c>
      <c r="H2053" s="678">
        <v>0.64583333333333337</v>
      </c>
      <c r="I2053" s="930"/>
      <c r="J2053" s="930"/>
      <c r="K2053" s="931"/>
      <c r="L2053" s="675"/>
      <c r="M2053" s="426"/>
    </row>
    <row r="2054" spans="3:13" ht="17" x14ac:dyDescent="0.2">
      <c r="C2054" s="168"/>
      <c r="D2054" s="672">
        <v>45637</v>
      </c>
      <c r="E2054" s="493" t="s">
        <v>1393</v>
      </c>
      <c r="F2054" s="493" t="s">
        <v>1394</v>
      </c>
      <c r="G2054" s="493" t="s">
        <v>1395</v>
      </c>
      <c r="H2054" s="678">
        <v>0.64583333333333337</v>
      </c>
      <c r="I2054" s="930"/>
      <c r="J2054" s="930"/>
      <c r="K2054" s="931"/>
      <c r="L2054" s="675"/>
      <c r="M2054" s="426"/>
    </row>
    <row r="2055" spans="3:13" ht="17" x14ac:dyDescent="0.2">
      <c r="C2055" s="168"/>
      <c r="D2055" s="672">
        <v>45630</v>
      </c>
      <c r="E2055" s="493" t="s">
        <v>1395</v>
      </c>
      <c r="F2055" s="493" t="s">
        <v>1396</v>
      </c>
      <c r="G2055" s="493" t="s">
        <v>1230</v>
      </c>
      <c r="H2055" s="678">
        <v>0.64583333333333337</v>
      </c>
      <c r="I2055" s="930"/>
      <c r="J2055" s="930"/>
      <c r="K2055" s="931"/>
      <c r="L2055" s="675"/>
      <c r="M2055" s="426"/>
    </row>
    <row r="2056" spans="3:13" ht="18" thickBot="1" x14ac:dyDescent="0.25">
      <c r="C2056" s="168"/>
      <c r="D2056" s="672">
        <v>45623</v>
      </c>
      <c r="E2056" s="493" t="s">
        <v>1230</v>
      </c>
      <c r="F2056" s="493" t="s">
        <v>1231</v>
      </c>
      <c r="G2056" s="493" t="s">
        <v>1125</v>
      </c>
      <c r="H2056" s="678">
        <v>0.64583333333333337</v>
      </c>
      <c r="I2056" s="933"/>
      <c r="J2056" s="933"/>
      <c r="K2056" s="934"/>
      <c r="L2056" s="677"/>
      <c r="M2056" s="438"/>
    </row>
    <row r="2057" spans="3:13" ht="18" thickBot="1" x14ac:dyDescent="0.25">
      <c r="C2057" s="91" t="e">
        <v>#REF!</v>
      </c>
      <c r="D2057" s="663" t="s">
        <v>30</v>
      </c>
      <c r="E2057" s="917" t="s">
        <v>927</v>
      </c>
      <c r="F2057" s="918"/>
      <c r="G2057" s="919"/>
      <c r="H2057" s="664" t="s">
        <v>790</v>
      </c>
      <c r="I2057" s="921" t="s">
        <v>633</v>
      </c>
      <c r="J2057" s="921"/>
      <c r="K2057" s="922"/>
      <c r="L2057" s="664" t="s">
        <v>430</v>
      </c>
      <c r="M2057" s="423" t="s">
        <v>431</v>
      </c>
    </row>
    <row r="2058" spans="3:13" ht="17" x14ac:dyDescent="0.2">
      <c r="C2058" s="168"/>
      <c r="D2058" s="665" t="s">
        <v>432</v>
      </c>
      <c r="E2058" s="950"/>
      <c r="F2058" s="951"/>
      <c r="G2058" s="952"/>
      <c r="H2058" s="666" t="s">
        <v>906</v>
      </c>
      <c r="I2058" s="927" t="e">
        <v>#REF!</v>
      </c>
      <c r="J2058" s="927"/>
      <c r="K2058" s="928"/>
      <c r="L2058" s="679"/>
      <c r="M2058" s="426"/>
    </row>
    <row r="2059" spans="3:13" ht="17" x14ac:dyDescent="0.2">
      <c r="C2059" s="168"/>
      <c r="D2059" s="668" t="s">
        <v>433</v>
      </c>
      <c r="E2059" s="935">
        <v>0</v>
      </c>
      <c r="F2059" s="936"/>
      <c r="G2059" s="937"/>
      <c r="H2059" s="424" t="s">
        <v>907</v>
      </c>
      <c r="I2059" s="930"/>
      <c r="J2059" s="930"/>
      <c r="K2059" s="931"/>
      <c r="L2059" s="667"/>
      <c r="M2059" s="426"/>
    </row>
    <row r="2060" spans="3:13" ht="17" x14ac:dyDescent="0.2">
      <c r="C2060" s="168"/>
      <c r="D2060" s="668" t="s">
        <v>434</v>
      </c>
      <c r="E2060" s="953">
        <v>4.5350000000000001E-2</v>
      </c>
      <c r="F2060" s="954"/>
      <c r="G2060" s="955"/>
      <c r="H2060" s="424"/>
      <c r="I2060" s="930"/>
      <c r="J2060" s="930"/>
      <c r="K2060" s="931"/>
      <c r="L2060" s="667"/>
      <c r="M2060" s="426"/>
    </row>
    <row r="2061" spans="3:13" ht="18" thickBot="1" x14ac:dyDescent="0.25">
      <c r="C2061" s="168"/>
      <c r="D2061" s="669" t="s">
        <v>435</v>
      </c>
      <c r="E2061" s="938">
        <v>0.5625</v>
      </c>
      <c r="F2061" s="939"/>
      <c r="G2061" s="940"/>
      <c r="H2061" s="427"/>
      <c r="I2061" s="930"/>
      <c r="J2061" s="930"/>
      <c r="K2061" s="931"/>
      <c r="L2061" s="428">
        <v>0.79166666666666663</v>
      </c>
      <c r="M2061" s="429">
        <v>0.64583333333333326</v>
      </c>
    </row>
    <row r="2062" spans="3:13" ht="18" thickBot="1" x14ac:dyDescent="0.25">
      <c r="C2062" s="168"/>
      <c r="D2062" s="670" t="s">
        <v>436</v>
      </c>
      <c r="E2062" s="430" t="s">
        <v>29</v>
      </c>
      <c r="F2062" s="430" t="s">
        <v>28</v>
      </c>
      <c r="G2062" s="431" t="s">
        <v>27</v>
      </c>
      <c r="H2062" s="432" t="s">
        <v>793</v>
      </c>
      <c r="I2062" s="930"/>
      <c r="J2062" s="930"/>
      <c r="K2062" s="931"/>
      <c r="L2062" s="671" t="s">
        <v>1246</v>
      </c>
      <c r="M2062" s="433"/>
    </row>
    <row r="2063" spans="3:13" ht="17" x14ac:dyDescent="0.2">
      <c r="C2063" s="168"/>
      <c r="D2063" s="672">
        <v>45637</v>
      </c>
      <c r="E2063" s="493">
        <v>4.2349999999999999E-2</v>
      </c>
      <c r="F2063" s="493" t="s">
        <v>754</v>
      </c>
      <c r="G2063" s="493">
        <v>4.3470000000000002E-2</v>
      </c>
      <c r="H2063" s="678">
        <v>0.75</v>
      </c>
      <c r="I2063" s="930"/>
      <c r="J2063" s="930"/>
      <c r="K2063" s="931"/>
      <c r="L2063" s="675"/>
      <c r="M2063" s="436"/>
    </row>
    <row r="2064" spans="3:13" ht="17" x14ac:dyDescent="0.2">
      <c r="C2064" s="168"/>
      <c r="D2064" s="672">
        <v>45601</v>
      </c>
      <c r="E2064" s="493">
        <v>4.3470000000000002E-2</v>
      </c>
      <c r="F2064" s="493" t="s">
        <v>754</v>
      </c>
      <c r="G2064" s="493">
        <v>4.0660000000000002E-2</v>
      </c>
      <c r="H2064" s="678">
        <v>0.75</v>
      </c>
      <c r="I2064" s="930"/>
      <c r="J2064" s="930"/>
      <c r="K2064" s="931"/>
      <c r="L2064" s="675"/>
      <c r="M2064" s="437"/>
    </row>
    <row r="2065" spans="3:13" ht="17" x14ac:dyDescent="0.2">
      <c r="C2065" s="168"/>
      <c r="D2065" s="672">
        <v>45574</v>
      </c>
      <c r="E2065" s="493">
        <v>4.0660000000000002E-2</v>
      </c>
      <c r="F2065" s="493" t="s">
        <v>754</v>
      </c>
      <c r="G2065" s="493">
        <v>3.6479999999999999E-2</v>
      </c>
      <c r="H2065" s="678">
        <v>0.70833333333333337</v>
      </c>
      <c r="I2065" s="930"/>
      <c r="J2065" s="930"/>
      <c r="K2065" s="931"/>
      <c r="L2065" s="675"/>
      <c r="M2065" s="426"/>
    </row>
    <row r="2066" spans="3:13" ht="17" x14ac:dyDescent="0.2">
      <c r="C2066" s="168"/>
      <c r="D2066" s="672">
        <v>45546</v>
      </c>
      <c r="E2066" s="493">
        <v>3.6479999999999999E-2</v>
      </c>
      <c r="F2066" s="493" t="s">
        <v>754</v>
      </c>
      <c r="G2066" s="493">
        <v>3.9600000000000003E-2</v>
      </c>
      <c r="H2066" s="678">
        <v>0.70833333333333337</v>
      </c>
      <c r="I2066" s="930"/>
      <c r="J2066" s="930"/>
      <c r="K2066" s="931"/>
      <c r="L2066" s="675"/>
      <c r="M2066" s="426"/>
    </row>
    <row r="2067" spans="3:13" ht="17" x14ac:dyDescent="0.2">
      <c r="C2067" s="168"/>
      <c r="D2067" s="672">
        <v>45511</v>
      </c>
      <c r="E2067" s="493">
        <v>3.9600000000000003E-2</v>
      </c>
      <c r="F2067" s="493" t="s">
        <v>754</v>
      </c>
      <c r="G2067" s="493">
        <v>4.2759999999999999E-2</v>
      </c>
      <c r="H2067" s="678">
        <v>0.70833333333333337</v>
      </c>
      <c r="I2067" s="930"/>
      <c r="J2067" s="930"/>
      <c r="K2067" s="931"/>
      <c r="L2067" s="675"/>
      <c r="M2067" s="426"/>
    </row>
    <row r="2068" spans="3:13" ht="18" thickBot="1" x14ac:dyDescent="0.25">
      <c r="C2068" s="168"/>
      <c r="D2068" s="672">
        <v>45483</v>
      </c>
      <c r="E2068" s="493">
        <v>4.2759999999999999E-2</v>
      </c>
      <c r="F2068" s="493" t="s">
        <v>754</v>
      </c>
      <c r="G2068" s="493">
        <v>4.4380000000000003E-2</v>
      </c>
      <c r="H2068" s="678">
        <v>0.70833333333333337</v>
      </c>
      <c r="I2068" s="933"/>
      <c r="J2068" s="933"/>
      <c r="K2068" s="934"/>
      <c r="L2068" s="677"/>
      <c r="M2068" s="438"/>
    </row>
    <row r="2069" spans="3:13" ht="18" thickBot="1" x14ac:dyDescent="0.25">
      <c r="C2069" s="91" t="e">
        <v>#REF!</v>
      </c>
      <c r="D2069" s="663" t="s">
        <v>30</v>
      </c>
      <c r="E2069" s="917" t="s">
        <v>7</v>
      </c>
      <c r="F2069" s="918"/>
      <c r="G2069" s="919"/>
      <c r="H2069" s="664" t="s">
        <v>790</v>
      </c>
      <c r="I2069" s="921" t="s">
        <v>633</v>
      </c>
      <c r="J2069" s="921"/>
      <c r="K2069" s="922"/>
      <c r="L2069" s="664" t="s">
        <v>430</v>
      </c>
      <c r="M2069" s="423" t="s">
        <v>431</v>
      </c>
    </row>
    <row r="2070" spans="3:13" ht="17" x14ac:dyDescent="0.2">
      <c r="C2070" s="168"/>
      <c r="D2070" s="665" t="s">
        <v>432</v>
      </c>
      <c r="E2070" s="950"/>
      <c r="F2070" s="951"/>
      <c r="G2070" s="952"/>
      <c r="H2070" s="666" t="s">
        <v>906</v>
      </c>
      <c r="I2070" s="927" t="s">
        <v>1371</v>
      </c>
      <c r="J2070" s="927"/>
      <c r="K2070" s="928"/>
      <c r="L2070" s="667"/>
      <c r="M2070" s="426"/>
    </row>
    <row r="2071" spans="3:13" ht="17" x14ac:dyDescent="0.2">
      <c r="C2071" s="168"/>
      <c r="D2071" s="668" t="s">
        <v>433</v>
      </c>
      <c r="E2071" s="935">
        <v>0</v>
      </c>
      <c r="F2071" s="936"/>
      <c r="G2071" s="937"/>
      <c r="H2071" s="424" t="s">
        <v>907</v>
      </c>
      <c r="I2071" s="930"/>
      <c r="J2071" s="930"/>
      <c r="K2071" s="931"/>
      <c r="L2071" s="667"/>
      <c r="M2071" s="426"/>
    </row>
    <row r="2072" spans="3:13" ht="17" x14ac:dyDescent="0.2">
      <c r="C2072" s="168"/>
      <c r="D2072" s="668" t="s">
        <v>434</v>
      </c>
      <c r="E2072" s="935">
        <v>0</v>
      </c>
      <c r="F2072" s="936"/>
      <c r="G2072" s="937"/>
      <c r="H2072" s="424"/>
      <c r="I2072" s="930"/>
      <c r="J2072" s="930"/>
      <c r="K2072" s="931"/>
      <c r="L2072" s="667"/>
      <c r="M2072" s="426"/>
    </row>
    <row r="2073" spans="3:13" ht="18" thickBot="1" x14ac:dyDescent="0.25">
      <c r="C2073" s="168"/>
      <c r="D2073" s="669" t="s">
        <v>435</v>
      </c>
      <c r="E2073" s="938">
        <v>0.79166666666666663</v>
      </c>
      <c r="F2073" s="939"/>
      <c r="G2073" s="940"/>
      <c r="H2073" s="427"/>
      <c r="I2073" s="930"/>
      <c r="J2073" s="930"/>
      <c r="K2073" s="931"/>
      <c r="L2073" s="428" t="e">
        <v>#REF!</v>
      </c>
      <c r="M2073" s="429">
        <v>0.875</v>
      </c>
    </row>
    <row r="2074" spans="3:13" ht="18" thickBot="1" x14ac:dyDescent="0.25">
      <c r="C2074" s="168"/>
      <c r="D2074" s="670" t="s">
        <v>436</v>
      </c>
      <c r="E2074" s="430" t="s">
        <v>29</v>
      </c>
      <c r="F2074" s="430" t="s">
        <v>28</v>
      </c>
      <c r="G2074" s="431" t="s">
        <v>27</v>
      </c>
      <c r="H2074" s="432" t="s">
        <v>793</v>
      </c>
      <c r="I2074" s="930"/>
      <c r="J2074" s="930"/>
      <c r="K2074" s="931"/>
      <c r="L2074" s="671" t="s">
        <v>1246</v>
      </c>
      <c r="M2074" s="433"/>
    </row>
    <row r="2075" spans="3:13" ht="17" x14ac:dyDescent="0.2">
      <c r="C2075" s="168"/>
      <c r="D2075" s="680">
        <v>45622</v>
      </c>
      <c r="E2075" s="493" t="s">
        <v>1090</v>
      </c>
      <c r="F2075" s="493" t="s">
        <v>754</v>
      </c>
      <c r="G2075" s="493" t="s">
        <v>1090</v>
      </c>
      <c r="H2075" s="678">
        <v>0.79166666666666663</v>
      </c>
      <c r="I2075" s="930"/>
      <c r="J2075" s="930"/>
      <c r="K2075" s="931"/>
      <c r="L2075" s="675"/>
      <c r="M2075" s="436"/>
    </row>
    <row r="2076" spans="3:13" ht="17" x14ac:dyDescent="0.2">
      <c r="C2076" s="168"/>
      <c r="D2076" s="680">
        <v>45574</v>
      </c>
      <c r="E2076" s="493" t="s">
        <v>1090</v>
      </c>
      <c r="F2076" s="493" t="s">
        <v>754</v>
      </c>
      <c r="G2076" s="493" t="s">
        <v>1090</v>
      </c>
      <c r="H2076" s="678">
        <v>0.75</v>
      </c>
      <c r="I2076" s="930"/>
      <c r="J2076" s="930"/>
      <c r="K2076" s="931"/>
      <c r="L2076" s="675"/>
      <c r="M2076" s="437"/>
    </row>
    <row r="2077" spans="3:13" ht="17" x14ac:dyDescent="0.2">
      <c r="C2077" s="168"/>
      <c r="D2077" s="680">
        <v>45525</v>
      </c>
      <c r="E2077" s="493" t="s">
        <v>1090</v>
      </c>
      <c r="F2077" s="493" t="s">
        <v>754</v>
      </c>
      <c r="G2077" s="493" t="s">
        <v>1090</v>
      </c>
      <c r="H2077" s="678">
        <v>0.75</v>
      </c>
      <c r="I2077" s="930"/>
      <c r="J2077" s="930"/>
      <c r="K2077" s="931"/>
      <c r="L2077" s="675"/>
      <c r="M2077" s="426"/>
    </row>
    <row r="2078" spans="3:13" ht="17" x14ac:dyDescent="0.2">
      <c r="C2078" s="168"/>
      <c r="D2078" s="680">
        <v>45476</v>
      </c>
      <c r="E2078" s="493" t="s">
        <v>1090</v>
      </c>
      <c r="F2078" s="493" t="s">
        <v>754</v>
      </c>
      <c r="G2078" s="493" t="s">
        <v>1090</v>
      </c>
      <c r="H2078" s="678">
        <v>0.75</v>
      </c>
      <c r="I2078" s="930"/>
      <c r="J2078" s="930"/>
      <c r="K2078" s="931"/>
      <c r="L2078" s="675"/>
      <c r="M2078" s="426"/>
    </row>
    <row r="2079" spans="3:13" ht="17" x14ac:dyDescent="0.2">
      <c r="C2079" s="168"/>
      <c r="D2079" s="680">
        <v>45434</v>
      </c>
      <c r="E2079" s="493" t="s">
        <v>1090</v>
      </c>
      <c r="F2079" s="493" t="s">
        <v>754</v>
      </c>
      <c r="G2079" s="493" t="s">
        <v>1090</v>
      </c>
      <c r="H2079" s="678">
        <v>0.75</v>
      </c>
      <c r="I2079" s="930"/>
      <c r="J2079" s="930"/>
      <c r="K2079" s="931"/>
      <c r="L2079" s="675"/>
      <c r="M2079" s="426"/>
    </row>
    <row r="2080" spans="3:13" ht="18" thickBot="1" x14ac:dyDescent="0.25">
      <c r="C2080" s="168"/>
      <c r="D2080" s="680">
        <v>45392</v>
      </c>
      <c r="E2080" s="493" t="s">
        <v>1090</v>
      </c>
      <c r="F2080" s="493" t="s">
        <v>754</v>
      </c>
      <c r="G2080" s="493" t="s">
        <v>1090</v>
      </c>
      <c r="H2080" s="678">
        <v>0.75</v>
      </c>
      <c r="I2080" s="933"/>
      <c r="J2080" s="933"/>
      <c r="K2080" s="934"/>
      <c r="L2080" s="677"/>
      <c r="M2080" s="438"/>
    </row>
    <row r="2081" spans="3:13" ht="18" thickBot="1" x14ac:dyDescent="0.25">
      <c r="C2081" s="91" t="e">
        <v>#REF!</v>
      </c>
      <c r="D2081" s="663" t="s">
        <v>30</v>
      </c>
      <c r="E2081" s="917" t="s">
        <v>1376</v>
      </c>
      <c r="F2081" s="918"/>
      <c r="G2081" s="919"/>
      <c r="H2081" s="664" t="s">
        <v>790</v>
      </c>
      <c r="I2081" s="921" t="s">
        <v>633</v>
      </c>
      <c r="J2081" s="921"/>
      <c r="K2081" s="922"/>
      <c r="L2081" s="664" t="s">
        <v>430</v>
      </c>
      <c r="M2081" s="423" t="s">
        <v>431</v>
      </c>
    </row>
    <row r="2082" spans="3:13" ht="17" x14ac:dyDescent="0.2">
      <c r="C2082" s="168"/>
      <c r="D2082" s="665" t="s">
        <v>432</v>
      </c>
      <c r="E2082" s="950"/>
      <c r="F2082" s="951"/>
      <c r="G2082" s="952"/>
      <c r="H2082" s="666" t="s">
        <v>906</v>
      </c>
      <c r="I2082" s="927" t="s">
        <v>1375</v>
      </c>
      <c r="J2082" s="927"/>
      <c r="K2082" s="928"/>
      <c r="L2082" s="667"/>
      <c r="M2082" s="425" t="s">
        <v>1376</v>
      </c>
    </row>
    <row r="2083" spans="3:13" ht="17" x14ac:dyDescent="0.2">
      <c r="C2083" s="168"/>
      <c r="D2083" s="668" t="s">
        <v>433</v>
      </c>
      <c r="E2083" s="935"/>
      <c r="F2083" s="936"/>
      <c r="G2083" s="937"/>
      <c r="H2083" s="424" t="s">
        <v>907</v>
      </c>
      <c r="I2083" s="930"/>
      <c r="J2083" s="930"/>
      <c r="K2083" s="931"/>
      <c r="L2083" s="667"/>
      <c r="M2083" s="426"/>
    </row>
    <row r="2084" spans="3:13" ht="17" x14ac:dyDescent="0.2">
      <c r="C2084" s="168"/>
      <c r="D2084" s="668" t="s">
        <v>434</v>
      </c>
      <c r="E2084" s="941">
        <v>4.0000000000000001E-3</v>
      </c>
      <c r="F2084" s="942"/>
      <c r="G2084" s="943"/>
      <c r="H2084" s="424"/>
      <c r="I2084" s="930"/>
      <c r="J2084" s="930"/>
      <c r="K2084" s="931"/>
      <c r="L2084" s="667"/>
      <c r="M2084" s="426"/>
    </row>
    <row r="2085" spans="3:13" ht="18" thickBot="1" x14ac:dyDescent="0.25">
      <c r="C2085" s="168"/>
      <c r="D2085" s="669" t="s">
        <v>435</v>
      </c>
      <c r="E2085" s="938">
        <v>0.5625</v>
      </c>
      <c r="F2085" s="939"/>
      <c r="G2085" s="940"/>
      <c r="H2085" s="427"/>
      <c r="I2085" s="930"/>
      <c r="J2085" s="930"/>
      <c r="K2085" s="931"/>
      <c r="L2085" s="428">
        <v>0.79166666666666663</v>
      </c>
      <c r="M2085" s="429">
        <v>0.64583333333333326</v>
      </c>
    </row>
    <row r="2086" spans="3:13" ht="18" thickBot="1" x14ac:dyDescent="0.25">
      <c r="C2086" s="168"/>
      <c r="D2086" s="670" t="s">
        <v>436</v>
      </c>
      <c r="E2086" s="430" t="s">
        <v>29</v>
      </c>
      <c r="F2086" s="430" t="s">
        <v>28</v>
      </c>
      <c r="G2086" s="431" t="s">
        <v>27</v>
      </c>
      <c r="H2086" s="432" t="s">
        <v>793</v>
      </c>
      <c r="I2086" s="930"/>
      <c r="J2086" s="930"/>
      <c r="K2086" s="931"/>
      <c r="L2086" s="671" t="s">
        <v>1246</v>
      </c>
      <c r="M2086" s="433"/>
    </row>
    <row r="2087" spans="3:13" ht="17" x14ac:dyDescent="0.2">
      <c r="C2087" s="168"/>
      <c r="D2087" s="672">
        <v>45632</v>
      </c>
      <c r="E2087" s="441">
        <v>4.0000000000000001E-3</v>
      </c>
      <c r="F2087" s="441" t="s">
        <v>467</v>
      </c>
      <c r="G2087" s="441">
        <v>4.0000000000000001E-3</v>
      </c>
      <c r="H2087" s="678">
        <v>0.5625</v>
      </c>
      <c r="I2087" s="930"/>
      <c r="J2087" s="930"/>
      <c r="K2087" s="931"/>
      <c r="L2087" s="675"/>
      <c r="M2087" s="442"/>
    </row>
    <row r="2088" spans="3:13" ht="17" x14ac:dyDescent="0.2">
      <c r="C2088" s="168"/>
      <c r="D2088" s="672">
        <v>45597</v>
      </c>
      <c r="E2088" s="441">
        <v>4.0000000000000001E-3</v>
      </c>
      <c r="F2088" s="441" t="s">
        <v>467</v>
      </c>
      <c r="G2088" s="441">
        <v>3.0000000000000001E-3</v>
      </c>
      <c r="H2088" s="678">
        <v>0.52083333333333337</v>
      </c>
      <c r="I2088" s="930"/>
      <c r="J2088" s="930"/>
      <c r="K2088" s="931"/>
      <c r="L2088" s="675"/>
      <c r="M2088" s="442"/>
    </row>
    <row r="2089" spans="3:13" ht="17" x14ac:dyDescent="0.2">
      <c r="C2089" s="168"/>
      <c r="D2089" s="672">
        <v>45569</v>
      </c>
      <c r="E2089" s="441">
        <v>4.0000000000000001E-3</v>
      </c>
      <c r="F2089" s="441" t="s">
        <v>467</v>
      </c>
      <c r="G2089" s="441">
        <v>5.0000000000000001E-3</v>
      </c>
      <c r="H2089" s="678">
        <v>0.52083333333333337</v>
      </c>
      <c r="I2089" s="930"/>
      <c r="J2089" s="930"/>
      <c r="K2089" s="931"/>
      <c r="L2089" s="675"/>
      <c r="M2089" s="442"/>
    </row>
    <row r="2090" spans="3:13" ht="17" x14ac:dyDescent="0.2">
      <c r="C2090" s="168"/>
      <c r="D2090" s="672">
        <v>45541</v>
      </c>
      <c r="E2090" s="441">
        <v>4.0000000000000001E-3</v>
      </c>
      <c r="F2090" s="441" t="s">
        <v>467</v>
      </c>
      <c r="G2090" s="441">
        <v>-1E-3</v>
      </c>
      <c r="H2090" s="678">
        <v>0.52083333333333337</v>
      </c>
      <c r="I2090" s="930"/>
      <c r="J2090" s="930"/>
      <c r="K2090" s="931"/>
      <c r="L2090" s="675"/>
      <c r="M2090" s="442"/>
    </row>
    <row r="2091" spans="3:13" ht="17" x14ac:dyDescent="0.2">
      <c r="C2091" s="168"/>
      <c r="D2091" s="672">
        <v>45506</v>
      </c>
      <c r="E2091" s="441">
        <v>2E-3</v>
      </c>
      <c r="F2091" s="441" t="s">
        <v>467</v>
      </c>
      <c r="G2091" s="441">
        <v>3.0000000000000001E-3</v>
      </c>
      <c r="H2091" s="678">
        <v>0.52083333333333337</v>
      </c>
      <c r="I2091" s="930"/>
      <c r="J2091" s="930"/>
      <c r="K2091" s="931"/>
      <c r="L2091" s="675"/>
      <c r="M2091" s="442"/>
    </row>
    <row r="2092" spans="3:13" ht="18" thickBot="1" x14ac:dyDescent="0.25">
      <c r="C2092" s="168"/>
      <c r="D2092" s="672">
        <v>45478</v>
      </c>
      <c r="E2092" s="441">
        <v>3.0000000000000001E-3</v>
      </c>
      <c r="F2092" s="441" t="s">
        <v>467</v>
      </c>
      <c r="G2092" s="441">
        <v>4.0000000000000001E-3</v>
      </c>
      <c r="H2092" s="678">
        <v>0.52083333333333337</v>
      </c>
      <c r="I2092" s="933"/>
      <c r="J2092" s="933"/>
      <c r="K2092" s="934"/>
      <c r="L2092" s="677"/>
      <c r="M2092" s="442"/>
    </row>
    <row r="2093" spans="3:13" ht="18" thickBot="1" x14ac:dyDescent="0.25">
      <c r="C2093" s="91" t="e">
        <v>#REF!</v>
      </c>
      <c r="D2093" s="663" t="s">
        <v>30</v>
      </c>
      <c r="E2093" s="917" t="s">
        <v>1378</v>
      </c>
      <c r="F2093" s="918"/>
      <c r="G2093" s="919"/>
      <c r="H2093" s="664" t="s">
        <v>790</v>
      </c>
      <c r="I2093" s="921" t="s">
        <v>633</v>
      </c>
      <c r="J2093" s="921"/>
      <c r="K2093" s="922"/>
      <c r="L2093" s="664" t="s">
        <v>430</v>
      </c>
      <c r="M2093" s="423" t="s">
        <v>431</v>
      </c>
    </row>
    <row r="2094" spans="3:13" ht="17" x14ac:dyDescent="0.2">
      <c r="C2094" s="168"/>
      <c r="D2094" s="665" t="s">
        <v>432</v>
      </c>
      <c r="E2094" s="950"/>
      <c r="F2094" s="951"/>
      <c r="G2094" s="952"/>
      <c r="H2094" s="666" t="s">
        <v>906</v>
      </c>
      <c r="I2094" s="927" t="s">
        <v>1375</v>
      </c>
      <c r="J2094" s="927"/>
      <c r="K2094" s="928"/>
      <c r="L2094" s="667"/>
      <c r="M2094" s="425" t="s">
        <v>1378</v>
      </c>
    </row>
    <row r="2095" spans="3:13" ht="17" x14ac:dyDescent="0.2">
      <c r="C2095" s="168"/>
      <c r="D2095" s="668" t="s">
        <v>433</v>
      </c>
      <c r="E2095" s="953"/>
      <c r="F2095" s="954"/>
      <c r="G2095" s="955"/>
      <c r="H2095" s="424" t="s">
        <v>907</v>
      </c>
      <c r="I2095" s="930"/>
      <c r="J2095" s="930"/>
      <c r="K2095" s="931"/>
      <c r="L2095" s="667"/>
      <c r="M2095" s="426"/>
    </row>
    <row r="2096" spans="3:13" ht="17" x14ac:dyDescent="0.2">
      <c r="C2096" s="168"/>
      <c r="D2096" s="668" t="s">
        <v>434</v>
      </c>
      <c r="E2096" s="947" t="s">
        <v>209</v>
      </c>
      <c r="F2096" s="942"/>
      <c r="G2096" s="943"/>
      <c r="H2096" s="424"/>
      <c r="I2096" s="930"/>
      <c r="J2096" s="930"/>
      <c r="K2096" s="931"/>
      <c r="L2096" s="667"/>
      <c r="M2096" s="426"/>
    </row>
    <row r="2097" spans="3:13" ht="18" thickBot="1" x14ac:dyDescent="0.25">
      <c r="C2097" s="168"/>
      <c r="D2097" s="669" t="s">
        <v>435</v>
      </c>
      <c r="E2097" s="938">
        <v>0.5625</v>
      </c>
      <c r="F2097" s="939"/>
      <c r="G2097" s="940"/>
      <c r="H2097" s="427"/>
      <c r="I2097" s="930"/>
      <c r="J2097" s="930"/>
      <c r="K2097" s="931"/>
      <c r="L2097" s="428">
        <v>0.79166666666666663</v>
      </c>
      <c r="M2097" s="429">
        <v>0.64583333333333326</v>
      </c>
    </row>
    <row r="2098" spans="3:13" ht="18" thickBot="1" x14ac:dyDescent="0.25">
      <c r="C2098" s="168"/>
      <c r="D2098" s="670" t="s">
        <v>436</v>
      </c>
      <c r="E2098" s="430" t="s">
        <v>29</v>
      </c>
      <c r="F2098" s="430" t="s">
        <v>28</v>
      </c>
      <c r="G2098" s="431" t="s">
        <v>27</v>
      </c>
      <c r="H2098" s="432" t="s">
        <v>793</v>
      </c>
      <c r="I2098" s="930"/>
      <c r="J2098" s="930"/>
      <c r="K2098" s="931"/>
      <c r="L2098" s="671" t="s">
        <v>1246</v>
      </c>
      <c r="M2098" s="433"/>
    </row>
    <row r="2099" spans="3:13" ht="17" x14ac:dyDescent="0.2">
      <c r="C2099" s="168"/>
      <c r="D2099" s="672">
        <v>45632</v>
      </c>
      <c r="E2099" s="441" t="s">
        <v>978</v>
      </c>
      <c r="F2099" s="441" t="s">
        <v>1397</v>
      </c>
      <c r="G2099" s="441" t="s">
        <v>1398</v>
      </c>
      <c r="H2099" s="678">
        <v>0.5625</v>
      </c>
      <c r="I2099" s="930"/>
      <c r="J2099" s="930"/>
      <c r="K2099" s="931"/>
      <c r="L2099" s="675"/>
      <c r="M2099" s="436"/>
    </row>
    <row r="2100" spans="3:13" ht="17" x14ac:dyDescent="0.2">
      <c r="C2100" s="168"/>
      <c r="D2100" s="672">
        <v>45597</v>
      </c>
      <c r="E2100" s="441" t="s">
        <v>1233</v>
      </c>
      <c r="F2100" s="441" t="s">
        <v>1234</v>
      </c>
      <c r="G2100" s="441" t="s">
        <v>973</v>
      </c>
      <c r="H2100" s="678">
        <v>0.52083333333333337</v>
      </c>
      <c r="I2100" s="930"/>
      <c r="J2100" s="930"/>
      <c r="K2100" s="931"/>
      <c r="L2100" s="675"/>
      <c r="M2100" s="437"/>
    </row>
    <row r="2101" spans="3:13" ht="17" x14ac:dyDescent="0.2">
      <c r="C2101" s="168"/>
      <c r="D2101" s="672">
        <v>45569</v>
      </c>
      <c r="E2101" s="441" t="s">
        <v>1235</v>
      </c>
      <c r="F2101" s="441" t="s">
        <v>1202</v>
      </c>
      <c r="G2101" s="441" t="s">
        <v>1194</v>
      </c>
      <c r="H2101" s="678">
        <v>0.52083333333333337</v>
      </c>
      <c r="I2101" s="930"/>
      <c r="J2101" s="930"/>
      <c r="K2101" s="931"/>
      <c r="L2101" s="675"/>
      <c r="M2101" s="426"/>
    </row>
    <row r="2102" spans="3:13" ht="17" x14ac:dyDescent="0.2">
      <c r="C2102" s="168"/>
      <c r="D2102" s="672">
        <v>45541</v>
      </c>
      <c r="E2102" s="441" t="s">
        <v>1236</v>
      </c>
      <c r="F2102" s="441" t="s">
        <v>1237</v>
      </c>
      <c r="G2102" s="441" t="s">
        <v>1399</v>
      </c>
      <c r="H2102" s="678">
        <v>0.52083333333333337</v>
      </c>
      <c r="I2102" s="930"/>
      <c r="J2102" s="930"/>
      <c r="K2102" s="931"/>
      <c r="L2102" s="675"/>
      <c r="M2102" s="426"/>
    </row>
    <row r="2103" spans="3:13" ht="17" x14ac:dyDescent="0.2">
      <c r="C2103" s="168"/>
      <c r="D2103" s="672">
        <v>45506</v>
      </c>
      <c r="E2103" s="441" t="s">
        <v>1238</v>
      </c>
      <c r="F2103" s="441" t="s">
        <v>1239</v>
      </c>
      <c r="G2103" s="441" t="s">
        <v>1240</v>
      </c>
      <c r="H2103" s="678">
        <v>0.52083333333333337</v>
      </c>
      <c r="I2103" s="930"/>
      <c r="J2103" s="930"/>
      <c r="K2103" s="931"/>
      <c r="L2103" s="675"/>
      <c r="M2103" s="426"/>
    </row>
    <row r="2104" spans="3:13" ht="18" thickBot="1" x14ac:dyDescent="0.25">
      <c r="C2104" s="168"/>
      <c r="D2104" s="672">
        <v>45478</v>
      </c>
      <c r="E2104" s="441" t="s">
        <v>1241</v>
      </c>
      <c r="F2104" s="441" t="s">
        <v>1242</v>
      </c>
      <c r="G2104" s="441" t="s">
        <v>974</v>
      </c>
      <c r="H2104" s="678">
        <v>0.52083333333333337</v>
      </c>
      <c r="I2104" s="933"/>
      <c r="J2104" s="933"/>
      <c r="K2104" s="934"/>
      <c r="L2104" s="677"/>
      <c r="M2104" s="438"/>
    </row>
    <row r="2105" spans="3:13" ht="18" thickBot="1" x14ac:dyDescent="0.25">
      <c r="C2105" s="91" t="e">
        <v>#REF!</v>
      </c>
      <c r="D2105" s="663" t="s">
        <v>30</v>
      </c>
      <c r="E2105" s="917" t="s">
        <v>1379</v>
      </c>
      <c r="F2105" s="918"/>
      <c r="G2105" s="919"/>
      <c r="H2105" s="664" t="s">
        <v>790</v>
      </c>
      <c r="I2105" s="921" t="s">
        <v>633</v>
      </c>
      <c r="J2105" s="921"/>
      <c r="K2105" s="922"/>
      <c r="L2105" s="664" t="s">
        <v>430</v>
      </c>
      <c r="M2105" s="440" t="s">
        <v>431</v>
      </c>
    </row>
    <row r="2106" spans="3:13" ht="17" x14ac:dyDescent="0.2">
      <c r="C2106" s="168"/>
      <c r="D2106" s="665" t="s">
        <v>432</v>
      </c>
      <c r="E2106" s="950"/>
      <c r="F2106" s="951"/>
      <c r="G2106" s="952"/>
      <c r="H2106" s="666" t="s">
        <v>906</v>
      </c>
      <c r="I2106" s="927" t="s">
        <v>1375</v>
      </c>
      <c r="J2106" s="927"/>
      <c r="K2106" s="928"/>
      <c r="L2106" s="679"/>
      <c r="M2106" s="425" t="s">
        <v>1379</v>
      </c>
    </row>
    <row r="2107" spans="3:13" ht="17" x14ac:dyDescent="0.2">
      <c r="C2107" s="168"/>
      <c r="D2107" s="668" t="s">
        <v>433</v>
      </c>
      <c r="E2107" s="947"/>
      <c r="F2107" s="942"/>
      <c r="G2107" s="943"/>
      <c r="H2107" s="424" t="s">
        <v>907</v>
      </c>
      <c r="I2107" s="930"/>
      <c r="J2107" s="930"/>
      <c r="K2107" s="931"/>
      <c r="L2107" s="667"/>
      <c r="M2107" s="426"/>
    </row>
    <row r="2108" spans="3:13" ht="17" x14ac:dyDescent="0.2">
      <c r="C2108" s="168"/>
      <c r="D2108" s="668" t="s">
        <v>434</v>
      </c>
      <c r="E2108" s="944">
        <v>4.2000000000000003E-2</v>
      </c>
      <c r="F2108" s="945"/>
      <c r="G2108" s="946"/>
      <c r="H2108" s="424"/>
      <c r="I2108" s="930"/>
      <c r="J2108" s="930"/>
      <c r="K2108" s="931"/>
      <c r="L2108" s="667"/>
      <c r="M2108" s="426"/>
    </row>
    <row r="2109" spans="3:13" ht="18" thickBot="1" x14ac:dyDescent="0.25">
      <c r="C2109" s="168"/>
      <c r="D2109" s="669" t="s">
        <v>435</v>
      </c>
      <c r="E2109" s="938">
        <v>0.5625</v>
      </c>
      <c r="F2109" s="939"/>
      <c r="G2109" s="940"/>
      <c r="H2109" s="427"/>
      <c r="I2109" s="930"/>
      <c r="J2109" s="930"/>
      <c r="K2109" s="931"/>
      <c r="L2109" s="428">
        <v>0.79166666666666663</v>
      </c>
      <c r="M2109" s="429">
        <v>0.64583333333333326</v>
      </c>
    </row>
    <row r="2110" spans="3:13" ht="18" thickBot="1" x14ac:dyDescent="0.25">
      <c r="C2110" s="168"/>
      <c r="D2110" s="670" t="s">
        <v>436</v>
      </c>
      <c r="E2110" s="430" t="s">
        <v>29</v>
      </c>
      <c r="F2110" s="430" t="s">
        <v>28</v>
      </c>
      <c r="G2110" s="431" t="s">
        <v>27</v>
      </c>
      <c r="H2110" s="432" t="s">
        <v>793</v>
      </c>
      <c r="I2110" s="930"/>
      <c r="J2110" s="930"/>
      <c r="K2110" s="931"/>
      <c r="L2110" s="671" t="s">
        <v>1246</v>
      </c>
      <c r="M2110" s="443"/>
    </row>
    <row r="2111" spans="3:13" ht="17" x14ac:dyDescent="0.2">
      <c r="C2111" s="168"/>
      <c r="D2111" s="672">
        <v>45632</v>
      </c>
      <c r="E2111" s="444">
        <v>4.2000000000000003E-2</v>
      </c>
      <c r="F2111" s="444" t="s">
        <v>628</v>
      </c>
      <c r="G2111" s="444">
        <v>4.1000000000000002E-2</v>
      </c>
      <c r="H2111" s="678">
        <v>0.5625</v>
      </c>
      <c r="I2111" s="930"/>
      <c r="J2111" s="930"/>
      <c r="K2111" s="931"/>
      <c r="L2111" s="675"/>
      <c r="M2111" s="436"/>
    </row>
    <row r="2112" spans="3:13" ht="17" x14ac:dyDescent="0.2">
      <c r="C2112" s="168"/>
      <c r="D2112" s="672">
        <v>45597</v>
      </c>
      <c r="E2112" s="444">
        <v>4.1000000000000002E-2</v>
      </c>
      <c r="F2112" s="444" t="s">
        <v>629</v>
      </c>
      <c r="G2112" s="444">
        <v>4.1000000000000002E-2</v>
      </c>
      <c r="H2112" s="678">
        <v>0.52083333333333337</v>
      </c>
      <c r="I2112" s="930"/>
      <c r="J2112" s="930"/>
      <c r="K2112" s="931"/>
      <c r="L2112" s="675"/>
      <c r="M2112" s="437"/>
    </row>
    <row r="2113" spans="2:13" ht="17" x14ac:dyDescent="0.2">
      <c r="C2113" s="168"/>
      <c r="D2113" s="672">
        <v>45569</v>
      </c>
      <c r="E2113" s="444">
        <v>4.1000000000000002E-2</v>
      </c>
      <c r="F2113" s="444" t="s">
        <v>628</v>
      </c>
      <c r="G2113" s="444">
        <v>4.2000000000000003E-2</v>
      </c>
      <c r="H2113" s="678">
        <v>0.52083333333333337</v>
      </c>
      <c r="I2113" s="930"/>
      <c r="J2113" s="930"/>
      <c r="K2113" s="931"/>
      <c r="L2113" s="675"/>
      <c r="M2113" s="426"/>
    </row>
    <row r="2114" spans="2:13" ht="17" x14ac:dyDescent="0.2">
      <c r="C2114" s="168"/>
      <c r="D2114" s="672">
        <v>45541</v>
      </c>
      <c r="E2114" s="444">
        <v>4.2000000000000003E-2</v>
      </c>
      <c r="F2114" s="444" t="s">
        <v>628</v>
      </c>
      <c r="G2114" s="444">
        <v>4.2999999999999997E-2</v>
      </c>
      <c r="H2114" s="678">
        <v>0.52083333333333337</v>
      </c>
      <c r="I2114" s="930"/>
      <c r="J2114" s="930"/>
      <c r="K2114" s="931"/>
      <c r="L2114" s="675"/>
      <c r="M2114" s="426"/>
    </row>
    <row r="2115" spans="2:13" ht="17" x14ac:dyDescent="0.2">
      <c r="C2115" s="168"/>
      <c r="D2115" s="672">
        <v>45506</v>
      </c>
      <c r="E2115" s="444">
        <v>4.2999999999999997E-2</v>
      </c>
      <c r="F2115" s="444" t="s">
        <v>629</v>
      </c>
      <c r="G2115" s="444">
        <v>4.1000000000000002E-2</v>
      </c>
      <c r="H2115" s="678">
        <v>0.52083333333333337</v>
      </c>
      <c r="I2115" s="930"/>
      <c r="J2115" s="930"/>
      <c r="K2115" s="931"/>
      <c r="L2115" s="675"/>
      <c r="M2115" s="426"/>
    </row>
    <row r="2116" spans="2:13" ht="18" thickBot="1" x14ac:dyDescent="0.25">
      <c r="C2116" s="168"/>
      <c r="D2116" s="681">
        <v>45478</v>
      </c>
      <c r="E2116" s="445">
        <v>4.1000000000000002E-2</v>
      </c>
      <c r="F2116" s="445" t="s">
        <v>630</v>
      </c>
      <c r="G2116" s="445">
        <v>0.04</v>
      </c>
      <c r="H2116" s="682">
        <v>0.52083333333333337</v>
      </c>
      <c r="I2116" s="933"/>
      <c r="J2116" s="933"/>
      <c r="K2116" s="934"/>
      <c r="L2116" s="677"/>
      <c r="M2116" s="438"/>
    </row>
    <row r="2117" spans="2:13" ht="18" thickBot="1" x14ac:dyDescent="0.25">
      <c r="B2117" t="s">
        <v>105</v>
      </c>
      <c r="C2117" s="91">
        <v>2</v>
      </c>
      <c r="D2117" s="663" t="s">
        <v>30</v>
      </c>
      <c r="E2117" s="917" t="s">
        <v>1404</v>
      </c>
      <c r="F2117" s="918"/>
      <c r="G2117" s="919"/>
      <c r="H2117" s="664" t="s">
        <v>790</v>
      </c>
      <c r="I2117" s="921" t="s">
        <v>633</v>
      </c>
      <c r="J2117" s="921"/>
      <c r="K2117" s="922"/>
      <c r="L2117" s="664" t="s">
        <v>430</v>
      </c>
      <c r="M2117" s="664" t="s">
        <v>431</v>
      </c>
    </row>
    <row r="2118" spans="2:13" ht="17" x14ac:dyDescent="0.2">
      <c r="C2118" s="91"/>
      <c r="D2118" s="665" t="s">
        <v>432</v>
      </c>
      <c r="E2118" s="950"/>
      <c r="F2118" s="951"/>
      <c r="G2118" s="952"/>
      <c r="H2118" s="666" t="s">
        <v>906</v>
      </c>
      <c r="I2118" s="927" t="s">
        <v>1405</v>
      </c>
      <c r="J2118" s="927"/>
      <c r="K2118" s="928"/>
      <c r="L2118" s="667"/>
      <c r="M2118" s="425" t="s">
        <v>1404</v>
      </c>
    </row>
    <row r="2119" spans="2:13" ht="17" x14ac:dyDescent="0.2">
      <c r="C2119" s="91"/>
      <c r="D2119" s="668" t="s">
        <v>433</v>
      </c>
      <c r="E2119" s="956">
        <v>4.0000000000000001E-3</v>
      </c>
      <c r="F2119" s="936"/>
      <c r="G2119" s="937"/>
      <c r="H2119" s="424" t="s">
        <v>907</v>
      </c>
      <c r="I2119" s="930"/>
      <c r="J2119" s="930"/>
      <c r="K2119" s="931"/>
      <c r="L2119" s="667"/>
      <c r="M2119" s="426"/>
    </row>
    <row r="2120" spans="2:13" ht="17" x14ac:dyDescent="0.2">
      <c r="C2120" s="91"/>
      <c r="D2120" s="668" t="s">
        <v>434</v>
      </c>
      <c r="E2120" s="956">
        <v>4.0000000000000001E-3</v>
      </c>
      <c r="F2120" s="936"/>
      <c r="G2120" s="937"/>
      <c r="H2120" s="424"/>
      <c r="I2120" s="930"/>
      <c r="J2120" s="930"/>
      <c r="K2120" s="931"/>
      <c r="L2120" s="667"/>
      <c r="M2120" s="426"/>
    </row>
    <row r="2121" spans="2:13" ht="18" thickBot="1" x14ac:dyDescent="0.25">
      <c r="C2121" s="91"/>
      <c r="D2121" s="669" t="s">
        <v>435</v>
      </c>
      <c r="E2121" s="938">
        <v>0.5625</v>
      </c>
      <c r="F2121" s="939"/>
      <c r="G2121" s="940"/>
      <c r="H2121" s="427"/>
      <c r="I2121" s="930"/>
      <c r="J2121" s="930"/>
      <c r="K2121" s="931"/>
      <c r="L2121" s="428">
        <v>0.79166666666666663</v>
      </c>
      <c r="M2121" s="429">
        <v>0.64583333333333326</v>
      </c>
    </row>
    <row r="2122" spans="2:13" ht="18" thickBot="1" x14ac:dyDescent="0.25">
      <c r="C2122" s="91"/>
      <c r="D2122" s="670" t="s">
        <v>436</v>
      </c>
      <c r="E2122" s="430" t="s">
        <v>29</v>
      </c>
      <c r="F2122" s="430" t="s">
        <v>28</v>
      </c>
      <c r="G2122" s="431" t="s">
        <v>27</v>
      </c>
      <c r="H2122" s="432" t="s">
        <v>793</v>
      </c>
      <c r="I2122" s="930"/>
      <c r="J2122" s="930"/>
      <c r="K2122" s="931"/>
      <c r="L2122" s="671" t="s">
        <v>1246</v>
      </c>
      <c r="M2122" s="433"/>
    </row>
    <row r="2123" spans="2:13" ht="17" x14ac:dyDescent="0.2">
      <c r="C2123" s="91"/>
      <c r="D2123" s="672">
        <v>45638</v>
      </c>
      <c r="E2123" s="673">
        <v>4.0000000000000001E-3</v>
      </c>
      <c r="F2123" s="673" t="s">
        <v>460</v>
      </c>
      <c r="G2123" s="673">
        <v>3.0000000000000001E-3</v>
      </c>
      <c r="H2123" s="674">
        <v>0.5625</v>
      </c>
      <c r="I2123" s="930"/>
      <c r="J2123" s="930"/>
      <c r="K2123" s="931"/>
      <c r="L2123" s="675"/>
      <c r="M2123" s="436"/>
    </row>
    <row r="2124" spans="2:13" ht="17" x14ac:dyDescent="0.2">
      <c r="C2124" s="91"/>
      <c r="D2124" s="672">
        <v>45610</v>
      </c>
      <c r="E2124" s="673">
        <v>2E-3</v>
      </c>
      <c r="F2124" s="673" t="s">
        <v>460</v>
      </c>
      <c r="G2124" s="673">
        <v>1E-3</v>
      </c>
      <c r="H2124" s="674">
        <v>0.5625</v>
      </c>
      <c r="I2124" s="930"/>
      <c r="J2124" s="930"/>
      <c r="K2124" s="931"/>
      <c r="L2124" s="675"/>
      <c r="M2124" s="437"/>
    </row>
    <row r="2125" spans="2:13" ht="17" x14ac:dyDescent="0.2">
      <c r="C2125" s="91"/>
      <c r="D2125" s="672">
        <v>45576</v>
      </c>
      <c r="E2125" s="673">
        <v>0</v>
      </c>
      <c r="F2125" s="673" t="s">
        <v>462</v>
      </c>
      <c r="G2125" s="673">
        <v>2E-3</v>
      </c>
      <c r="H2125" s="674">
        <v>0.52083333333333337</v>
      </c>
      <c r="I2125" s="930"/>
      <c r="J2125" s="930"/>
      <c r="K2125" s="931"/>
      <c r="L2125" s="675"/>
      <c r="M2125" s="426"/>
    </row>
    <row r="2126" spans="2:13" ht="17" x14ac:dyDescent="0.2">
      <c r="C2126" s="91"/>
      <c r="D2126" s="672">
        <v>45547</v>
      </c>
      <c r="E2126" s="673">
        <v>2E-3</v>
      </c>
      <c r="F2126" s="673" t="s">
        <v>462</v>
      </c>
      <c r="G2126" s="673">
        <v>0</v>
      </c>
      <c r="H2126" s="674">
        <v>0.52083333333333337</v>
      </c>
      <c r="I2126" s="930"/>
      <c r="J2126" s="930"/>
      <c r="K2126" s="931"/>
      <c r="L2126" s="675"/>
      <c r="M2126" s="426"/>
    </row>
    <row r="2127" spans="2:13" ht="17" x14ac:dyDescent="0.2">
      <c r="C2127" s="91"/>
      <c r="D2127" s="672">
        <v>45517</v>
      </c>
      <c r="E2127" s="673">
        <v>1E-3</v>
      </c>
      <c r="F2127" s="673" t="s">
        <v>460</v>
      </c>
      <c r="G2127" s="673">
        <v>2E-3</v>
      </c>
      <c r="H2127" s="674">
        <v>0.52083333333333337</v>
      </c>
      <c r="I2127" s="930"/>
      <c r="J2127" s="930"/>
      <c r="K2127" s="931"/>
      <c r="L2127" s="675"/>
      <c r="M2127" s="426"/>
    </row>
    <row r="2128" spans="2:13" ht="18" thickBot="1" x14ac:dyDescent="0.25">
      <c r="C2128" s="91"/>
      <c r="D2128" s="672">
        <v>45485</v>
      </c>
      <c r="E2128" s="673">
        <v>2E-3</v>
      </c>
      <c r="F2128" s="673" t="s">
        <v>462</v>
      </c>
      <c r="G2128" s="673">
        <v>0</v>
      </c>
      <c r="H2128" s="674">
        <v>0.52083333333333337</v>
      </c>
      <c r="I2128" s="933"/>
      <c r="J2128" s="933"/>
      <c r="K2128" s="934"/>
      <c r="L2128" s="675"/>
      <c r="M2128" s="438"/>
    </row>
    <row r="2129" spans="3:13" ht="18" thickBot="1" x14ac:dyDescent="0.25">
      <c r="C2129" s="91">
        <v>3</v>
      </c>
      <c r="D2129" s="663" t="s">
        <v>30</v>
      </c>
      <c r="E2129" s="917" t="s">
        <v>1406</v>
      </c>
      <c r="F2129" s="918"/>
      <c r="G2129" s="919"/>
      <c r="H2129" s="664" t="s">
        <v>790</v>
      </c>
      <c r="I2129" s="921" t="s">
        <v>633</v>
      </c>
      <c r="J2129" s="921"/>
      <c r="K2129" s="922"/>
      <c r="L2129" s="664" t="s">
        <v>430</v>
      </c>
      <c r="M2129" s="423" t="s">
        <v>431</v>
      </c>
    </row>
    <row r="2130" spans="3:13" ht="17" x14ac:dyDescent="0.2">
      <c r="C2130" s="91"/>
      <c r="D2130" s="665" t="s">
        <v>432</v>
      </c>
      <c r="E2130" s="950"/>
      <c r="F2130" s="951"/>
      <c r="G2130" s="952"/>
      <c r="H2130" s="666" t="s">
        <v>798</v>
      </c>
      <c r="I2130" s="927" t="s">
        <v>1407</v>
      </c>
      <c r="J2130" s="927"/>
      <c r="K2130" s="928"/>
      <c r="L2130" s="667"/>
      <c r="M2130" s="425" t="s">
        <v>1406</v>
      </c>
    </row>
    <row r="2131" spans="3:13" ht="17" x14ac:dyDescent="0.2">
      <c r="C2131" s="91"/>
      <c r="D2131" s="668" t="s">
        <v>433</v>
      </c>
      <c r="E2131" s="935">
        <v>2.5999999999999999E-2</v>
      </c>
      <c r="F2131" s="936"/>
      <c r="G2131" s="937"/>
      <c r="H2131" s="424" t="s">
        <v>799</v>
      </c>
      <c r="I2131" s="930"/>
      <c r="J2131" s="930"/>
      <c r="K2131" s="931"/>
      <c r="L2131" s="667"/>
      <c r="M2131" s="426"/>
    </row>
    <row r="2132" spans="3:13" ht="17" x14ac:dyDescent="0.2">
      <c r="C2132" s="91"/>
      <c r="D2132" s="668" t="s">
        <v>434</v>
      </c>
      <c r="E2132" s="956">
        <v>2.5999999999999999E-2</v>
      </c>
      <c r="F2132" s="936"/>
      <c r="G2132" s="937"/>
      <c r="H2132" s="424"/>
      <c r="I2132" s="930"/>
      <c r="J2132" s="930"/>
      <c r="K2132" s="931"/>
      <c r="L2132" s="667"/>
      <c r="M2132" s="426"/>
    </row>
    <row r="2133" spans="3:13" ht="18" thickBot="1" x14ac:dyDescent="0.25">
      <c r="C2133" s="91"/>
      <c r="D2133" s="669" t="s">
        <v>435</v>
      </c>
      <c r="E2133" s="938">
        <v>0.29166666666666674</v>
      </c>
      <c r="F2133" s="939"/>
      <c r="G2133" s="940"/>
      <c r="H2133" s="427"/>
      <c r="I2133" s="930"/>
      <c r="J2133" s="930"/>
      <c r="K2133" s="931"/>
      <c r="L2133" s="428">
        <v>0.52083333333333337</v>
      </c>
      <c r="M2133" s="429">
        <v>0.375</v>
      </c>
    </row>
    <row r="2134" spans="3:13" ht="18" thickBot="1" x14ac:dyDescent="0.25">
      <c r="C2134" s="91"/>
      <c r="D2134" s="670" t="s">
        <v>436</v>
      </c>
      <c r="E2134" s="430" t="s">
        <v>29</v>
      </c>
      <c r="F2134" s="430" t="s">
        <v>28</v>
      </c>
      <c r="G2134" s="431" t="s">
        <v>27</v>
      </c>
      <c r="H2134" s="432" t="s">
        <v>793</v>
      </c>
      <c r="I2134" s="930"/>
      <c r="J2134" s="930"/>
      <c r="K2134" s="931"/>
      <c r="L2134" s="671" t="s">
        <v>1246</v>
      </c>
      <c r="M2134" s="433"/>
    </row>
    <row r="2135" spans="3:13" ht="17" x14ac:dyDescent="0.2">
      <c r="C2135" s="91"/>
      <c r="D2135" s="672">
        <v>45644</v>
      </c>
      <c r="E2135" s="673">
        <v>2.5999999999999999E-2</v>
      </c>
      <c r="F2135" s="673" t="s">
        <v>493</v>
      </c>
      <c r="G2135" s="673">
        <v>2.3E-2</v>
      </c>
      <c r="H2135" s="674">
        <v>0.29166666666666669</v>
      </c>
      <c r="I2135" s="930"/>
      <c r="J2135" s="930"/>
      <c r="K2135" s="931"/>
      <c r="L2135" s="675"/>
      <c r="M2135" s="436"/>
    </row>
    <row r="2136" spans="3:13" ht="17" x14ac:dyDescent="0.2">
      <c r="C2136" s="91"/>
      <c r="D2136" s="672">
        <v>45616</v>
      </c>
      <c r="E2136" s="673">
        <v>2.3E-2</v>
      </c>
      <c r="F2136" s="673" t="s">
        <v>490</v>
      </c>
      <c r="G2136" s="673">
        <v>1.7000000000000001E-2</v>
      </c>
      <c r="H2136" s="674">
        <v>0.29166666666666669</v>
      </c>
      <c r="I2136" s="930"/>
      <c r="J2136" s="930"/>
      <c r="K2136" s="931"/>
      <c r="L2136" s="675"/>
      <c r="M2136" s="437"/>
    </row>
    <row r="2137" spans="3:13" ht="17" x14ac:dyDescent="0.2">
      <c r="C2137" s="91"/>
      <c r="D2137" s="672">
        <v>45581</v>
      </c>
      <c r="E2137" s="673">
        <v>1.7000000000000001E-2</v>
      </c>
      <c r="F2137" s="673" t="s">
        <v>789</v>
      </c>
      <c r="G2137" s="673">
        <v>2.1999999999999999E-2</v>
      </c>
      <c r="H2137" s="674">
        <v>0.25</v>
      </c>
      <c r="I2137" s="930"/>
      <c r="J2137" s="930"/>
      <c r="K2137" s="931"/>
      <c r="L2137" s="675"/>
      <c r="M2137" s="426"/>
    </row>
    <row r="2138" spans="3:13" ht="17" x14ac:dyDescent="0.2">
      <c r="C2138" s="91"/>
      <c r="D2138" s="672">
        <v>45553</v>
      </c>
      <c r="E2138" s="673">
        <v>2.1999999999999999E-2</v>
      </c>
      <c r="F2138" s="673" t="s">
        <v>490</v>
      </c>
      <c r="G2138" s="673">
        <v>2.1999999999999999E-2</v>
      </c>
      <c r="H2138" s="674">
        <v>0.25</v>
      </c>
      <c r="I2138" s="930"/>
      <c r="J2138" s="930"/>
      <c r="K2138" s="931"/>
      <c r="L2138" s="675"/>
      <c r="M2138" s="426"/>
    </row>
    <row r="2139" spans="3:13" ht="17" x14ac:dyDescent="0.2">
      <c r="C2139" s="91"/>
      <c r="D2139" s="672">
        <v>45518</v>
      </c>
      <c r="E2139" s="673">
        <v>2.1999999999999999E-2</v>
      </c>
      <c r="F2139" s="673" t="s">
        <v>971</v>
      </c>
      <c r="G2139" s="673">
        <v>0.02</v>
      </c>
      <c r="H2139" s="674">
        <v>0.25</v>
      </c>
      <c r="I2139" s="930"/>
      <c r="J2139" s="930"/>
      <c r="K2139" s="931"/>
      <c r="L2139" s="675"/>
      <c r="M2139" s="426"/>
    </row>
    <row r="2140" spans="3:13" ht="18" thickBot="1" x14ac:dyDescent="0.25">
      <c r="C2140" s="91"/>
      <c r="D2140" s="672">
        <v>45490</v>
      </c>
      <c r="E2140" s="673">
        <v>0.02</v>
      </c>
      <c r="F2140" s="673" t="s">
        <v>789</v>
      </c>
      <c r="G2140" s="673">
        <v>0.02</v>
      </c>
      <c r="H2140" s="674">
        <v>0.25</v>
      </c>
      <c r="I2140" s="933"/>
      <c r="J2140" s="933"/>
      <c r="K2140" s="934"/>
      <c r="L2140" s="675"/>
      <c r="M2140" s="438"/>
    </row>
    <row r="2141" spans="3:13" ht="18" thickBot="1" x14ac:dyDescent="0.25">
      <c r="C2141" s="91">
        <v>3</v>
      </c>
      <c r="D2141" s="663" t="s">
        <v>30</v>
      </c>
      <c r="E2141" s="917" t="s">
        <v>1408</v>
      </c>
      <c r="F2141" s="918"/>
      <c r="G2141" s="919"/>
      <c r="H2141" s="664" t="s">
        <v>790</v>
      </c>
      <c r="I2141" s="921" t="s">
        <v>633</v>
      </c>
      <c r="J2141" s="921"/>
      <c r="K2141" s="922"/>
      <c r="L2141" s="664" t="s">
        <v>430</v>
      </c>
      <c r="M2141" s="423" t="s">
        <v>431</v>
      </c>
    </row>
    <row r="2142" spans="3:13" ht="17" x14ac:dyDescent="0.2">
      <c r="C2142" s="91"/>
      <c r="D2142" s="665" t="s">
        <v>432</v>
      </c>
      <c r="E2142" s="950"/>
      <c r="F2142" s="951"/>
      <c r="G2142" s="952"/>
      <c r="H2142" s="666" t="s">
        <v>906</v>
      </c>
      <c r="I2142" s="927" t="s">
        <v>1409</v>
      </c>
      <c r="J2142" s="927"/>
      <c r="K2142" s="928"/>
      <c r="L2142" s="667"/>
      <c r="M2142" s="425" t="s">
        <v>1408</v>
      </c>
    </row>
    <row r="2143" spans="3:13" ht="17" x14ac:dyDescent="0.2">
      <c r="C2143" s="91"/>
      <c r="D2143" s="668" t="s">
        <v>433</v>
      </c>
      <c r="E2143" s="941">
        <v>2E-3</v>
      </c>
      <c r="F2143" s="942"/>
      <c r="G2143" s="943"/>
      <c r="H2143" s="666" t="s">
        <v>907</v>
      </c>
      <c r="I2143" s="930"/>
      <c r="J2143" s="930"/>
      <c r="K2143" s="931"/>
      <c r="L2143" s="667"/>
      <c r="M2143" s="426"/>
    </row>
    <row r="2144" spans="3:13" ht="17" x14ac:dyDescent="0.2">
      <c r="C2144" s="91"/>
      <c r="D2144" s="668" t="s">
        <v>434</v>
      </c>
      <c r="E2144" s="941">
        <v>3.0000000000000001E-3</v>
      </c>
      <c r="F2144" s="942"/>
      <c r="G2144" s="943"/>
      <c r="H2144" s="424"/>
      <c r="I2144" s="930"/>
      <c r="J2144" s="930"/>
      <c r="K2144" s="931"/>
      <c r="L2144" s="667"/>
      <c r="M2144" s="426"/>
    </row>
    <row r="2145" spans="3:13" ht="18" thickBot="1" x14ac:dyDescent="0.25">
      <c r="C2145" s="91"/>
      <c r="D2145" s="669" t="s">
        <v>435</v>
      </c>
      <c r="E2145" s="938">
        <v>0.5625</v>
      </c>
      <c r="F2145" s="939"/>
      <c r="G2145" s="940"/>
      <c r="H2145" s="427">
        <v>0.35416666666666663</v>
      </c>
      <c r="I2145" s="930"/>
      <c r="J2145" s="930"/>
      <c r="K2145" s="931"/>
      <c r="L2145" s="428">
        <v>0.79166666666666663</v>
      </c>
      <c r="M2145" s="429">
        <v>0.64583333333333326</v>
      </c>
    </row>
    <row r="2146" spans="3:13" ht="18" thickBot="1" x14ac:dyDescent="0.25">
      <c r="C2146" s="91"/>
      <c r="D2146" s="670" t="s">
        <v>436</v>
      </c>
      <c r="E2146" s="430" t="s">
        <v>29</v>
      </c>
      <c r="F2146" s="430" t="s">
        <v>28</v>
      </c>
      <c r="G2146" s="431" t="s">
        <v>27</v>
      </c>
      <c r="H2146" s="432" t="s">
        <v>793</v>
      </c>
      <c r="I2146" s="930"/>
      <c r="J2146" s="930"/>
      <c r="K2146" s="931"/>
      <c r="L2146" s="671" t="s">
        <v>1246</v>
      </c>
      <c r="M2146" s="433"/>
    </row>
    <row r="2147" spans="3:13" ht="17" x14ac:dyDescent="0.2">
      <c r="C2147" s="91"/>
      <c r="D2147" s="672">
        <v>45637</v>
      </c>
      <c r="E2147" s="676">
        <v>3.0000000000000001E-3</v>
      </c>
      <c r="F2147" s="676" t="s">
        <v>467</v>
      </c>
      <c r="G2147" s="676">
        <v>3.0000000000000001E-3</v>
      </c>
      <c r="H2147" s="674">
        <v>0.5625</v>
      </c>
      <c r="I2147" s="930"/>
      <c r="J2147" s="930"/>
      <c r="K2147" s="931"/>
      <c r="L2147" s="675"/>
      <c r="M2147" s="436"/>
    </row>
    <row r="2148" spans="3:13" ht="17" x14ac:dyDescent="0.2">
      <c r="C2148" s="91"/>
      <c r="D2148" s="672">
        <v>45609</v>
      </c>
      <c r="E2148" s="676">
        <v>3.0000000000000001E-3</v>
      </c>
      <c r="F2148" s="676" t="s">
        <v>467</v>
      </c>
      <c r="G2148" s="676">
        <v>3.0000000000000001E-3</v>
      </c>
      <c r="H2148" s="674">
        <v>0.5625</v>
      </c>
      <c r="I2148" s="930"/>
      <c r="J2148" s="930"/>
      <c r="K2148" s="931"/>
      <c r="L2148" s="675"/>
      <c r="M2148" s="437"/>
    </row>
    <row r="2149" spans="3:13" ht="17" x14ac:dyDescent="0.2">
      <c r="C2149" s="91"/>
      <c r="D2149" s="672">
        <v>45575</v>
      </c>
      <c r="E2149" s="676">
        <v>3.0000000000000001E-3</v>
      </c>
      <c r="F2149" s="676" t="s">
        <v>460</v>
      </c>
      <c r="G2149" s="676">
        <v>3.0000000000000001E-3</v>
      </c>
      <c r="H2149" s="674">
        <v>0.52083333333333337</v>
      </c>
      <c r="I2149" s="930"/>
      <c r="J2149" s="930"/>
      <c r="K2149" s="931"/>
      <c r="L2149" s="675"/>
      <c r="M2149" s="426"/>
    </row>
    <row r="2150" spans="3:13" ht="17" x14ac:dyDescent="0.2">
      <c r="C2150" s="91"/>
      <c r="D2150" s="672">
        <v>45546</v>
      </c>
      <c r="E2150" s="676">
        <v>3.0000000000000001E-3</v>
      </c>
      <c r="F2150" s="676" t="s">
        <v>460</v>
      </c>
      <c r="G2150" s="676">
        <v>2E-3</v>
      </c>
      <c r="H2150" s="674">
        <v>0.52083333333333337</v>
      </c>
      <c r="I2150" s="930"/>
      <c r="J2150" s="930"/>
      <c r="K2150" s="931"/>
      <c r="L2150" s="675"/>
      <c r="M2150" s="426"/>
    </row>
    <row r="2151" spans="3:13" ht="17" x14ac:dyDescent="0.2">
      <c r="C2151" s="91"/>
      <c r="D2151" s="672">
        <v>45518</v>
      </c>
      <c r="E2151" s="676">
        <v>2E-3</v>
      </c>
      <c r="F2151" s="676" t="s">
        <v>460</v>
      </c>
      <c r="G2151" s="676">
        <v>1E-3</v>
      </c>
      <c r="H2151" s="674">
        <v>0.52083333333333337</v>
      </c>
      <c r="I2151" s="930"/>
      <c r="J2151" s="930"/>
      <c r="K2151" s="931"/>
      <c r="L2151" s="675"/>
      <c r="M2151" s="426"/>
    </row>
    <row r="2152" spans="3:13" ht="18" thickBot="1" x14ac:dyDescent="0.25">
      <c r="C2152" s="91"/>
      <c r="D2152" s="672">
        <v>45484</v>
      </c>
      <c r="E2152" s="676">
        <v>1E-3</v>
      </c>
      <c r="F2152" s="676" t="s">
        <v>460</v>
      </c>
      <c r="G2152" s="676">
        <v>2E-3</v>
      </c>
      <c r="H2152" s="674">
        <v>0.52083333333333337</v>
      </c>
      <c r="I2152" s="933"/>
      <c r="J2152" s="933"/>
      <c r="K2152" s="934"/>
      <c r="L2152" s="675"/>
      <c r="M2152" s="438"/>
    </row>
    <row r="2153" spans="3:13" ht="18" thickBot="1" x14ac:dyDescent="0.25">
      <c r="C2153" s="91">
        <v>4</v>
      </c>
      <c r="D2153" s="663" t="s">
        <v>30</v>
      </c>
      <c r="E2153" s="917" t="s">
        <v>1410</v>
      </c>
      <c r="F2153" s="918"/>
      <c r="G2153" s="919"/>
      <c r="H2153" s="664" t="s">
        <v>790</v>
      </c>
      <c r="I2153" s="921" t="s">
        <v>633</v>
      </c>
      <c r="J2153" s="921"/>
      <c r="K2153" s="922"/>
      <c r="L2153" s="664" t="s">
        <v>430</v>
      </c>
      <c r="M2153" s="440" t="s">
        <v>431</v>
      </c>
    </row>
    <row r="2154" spans="3:13" ht="17" x14ac:dyDescent="0.2">
      <c r="C2154" s="91"/>
      <c r="D2154" s="665" t="s">
        <v>432</v>
      </c>
      <c r="E2154" s="950"/>
      <c r="F2154" s="951"/>
      <c r="G2154" s="952"/>
      <c r="H2154" s="666" t="s">
        <v>906</v>
      </c>
      <c r="I2154" s="927" t="s">
        <v>1409</v>
      </c>
      <c r="J2154" s="927"/>
      <c r="K2154" s="928"/>
      <c r="L2154" s="667"/>
      <c r="M2154" s="425" t="s">
        <v>1410</v>
      </c>
    </row>
    <row r="2155" spans="3:13" ht="17" x14ac:dyDescent="0.2">
      <c r="C2155" s="91"/>
      <c r="D2155" s="668" t="s">
        <v>433</v>
      </c>
      <c r="E2155" s="944">
        <v>2.9000000000000001E-2</v>
      </c>
      <c r="F2155" s="945"/>
      <c r="G2155" s="946"/>
      <c r="H2155" s="666" t="s">
        <v>907</v>
      </c>
      <c r="I2155" s="930"/>
      <c r="J2155" s="930"/>
      <c r="K2155" s="931"/>
      <c r="L2155" s="667"/>
      <c r="M2155" s="426"/>
    </row>
    <row r="2156" spans="3:13" ht="17" x14ac:dyDescent="0.2">
      <c r="C2156" s="91"/>
      <c r="D2156" s="668" t="s">
        <v>434</v>
      </c>
      <c r="E2156" s="944">
        <v>2.7E-2</v>
      </c>
      <c r="F2156" s="945"/>
      <c r="G2156" s="946"/>
      <c r="H2156" s="424"/>
      <c r="I2156" s="930"/>
      <c r="J2156" s="930"/>
      <c r="K2156" s="931"/>
      <c r="L2156" s="667"/>
      <c r="M2156" s="426"/>
    </row>
    <row r="2157" spans="3:13" ht="18" thickBot="1" x14ac:dyDescent="0.25">
      <c r="C2157" s="91"/>
      <c r="D2157" s="669" t="s">
        <v>435</v>
      </c>
      <c r="E2157" s="938">
        <v>0.5625</v>
      </c>
      <c r="F2157" s="939"/>
      <c r="G2157" s="940"/>
      <c r="H2157" s="427">
        <v>0.35416666666666663</v>
      </c>
      <c r="I2157" s="930"/>
      <c r="J2157" s="930"/>
      <c r="K2157" s="931"/>
      <c r="L2157" s="428">
        <v>0.79166666666666663</v>
      </c>
      <c r="M2157" s="429">
        <v>0.64583333333333326</v>
      </c>
    </row>
    <row r="2158" spans="3:13" ht="18" thickBot="1" x14ac:dyDescent="0.25">
      <c r="C2158" s="91"/>
      <c r="D2158" s="670" t="s">
        <v>436</v>
      </c>
      <c r="E2158" s="430" t="s">
        <v>29</v>
      </c>
      <c r="F2158" s="430" t="s">
        <v>28</v>
      </c>
      <c r="G2158" s="431" t="s">
        <v>27</v>
      </c>
      <c r="H2158" s="432" t="s">
        <v>793</v>
      </c>
      <c r="I2158" s="930"/>
      <c r="J2158" s="930"/>
      <c r="K2158" s="931"/>
      <c r="L2158" s="671"/>
      <c r="M2158" s="433"/>
    </row>
    <row r="2159" spans="3:13" ht="17" x14ac:dyDescent="0.2">
      <c r="C2159" s="91"/>
      <c r="D2159" s="672">
        <v>45637</v>
      </c>
      <c r="E2159" s="676">
        <v>2.7E-2</v>
      </c>
      <c r="F2159" s="676" t="s">
        <v>665</v>
      </c>
      <c r="G2159" s="676">
        <v>2.5999999999999999E-2</v>
      </c>
      <c r="H2159" s="674">
        <v>0.5625</v>
      </c>
      <c r="I2159" s="930"/>
      <c r="J2159" s="930"/>
      <c r="K2159" s="931"/>
      <c r="L2159" s="675"/>
      <c r="M2159" s="436"/>
    </row>
    <row r="2160" spans="3:13" ht="17" x14ac:dyDescent="0.2">
      <c r="C2160" s="91"/>
      <c r="D2160" s="672">
        <v>45609</v>
      </c>
      <c r="E2160" s="676">
        <v>2.5999999999999999E-2</v>
      </c>
      <c r="F2160" s="676" t="s">
        <v>493</v>
      </c>
      <c r="G2160" s="676">
        <v>2.4E-2</v>
      </c>
      <c r="H2160" s="674">
        <v>0.5625</v>
      </c>
      <c r="I2160" s="930"/>
      <c r="J2160" s="930"/>
      <c r="K2160" s="931"/>
      <c r="L2160" s="675"/>
      <c r="M2160" s="437"/>
    </row>
    <row r="2161" spans="3:13" ht="17" x14ac:dyDescent="0.2">
      <c r="C2161" s="91"/>
      <c r="D2161" s="672">
        <v>45575</v>
      </c>
      <c r="E2161" s="676">
        <v>2.4E-2</v>
      </c>
      <c r="F2161" s="676" t="s">
        <v>971</v>
      </c>
      <c r="G2161" s="676">
        <v>2.5000000000000001E-2</v>
      </c>
      <c r="H2161" s="674">
        <v>0.52083333333333337</v>
      </c>
      <c r="I2161" s="930"/>
      <c r="J2161" s="930"/>
      <c r="K2161" s="931"/>
      <c r="L2161" s="675"/>
      <c r="M2161" s="426"/>
    </row>
    <row r="2162" spans="3:13" ht="17" x14ac:dyDescent="0.2">
      <c r="C2162" s="91"/>
      <c r="D2162" s="672">
        <v>45546</v>
      </c>
      <c r="E2162" s="676">
        <v>2.5000000000000001E-2</v>
      </c>
      <c r="F2162" s="676" t="s">
        <v>495</v>
      </c>
      <c r="G2162" s="676">
        <v>2.9000000000000001E-2</v>
      </c>
      <c r="H2162" s="674">
        <v>0.52083333333333337</v>
      </c>
      <c r="I2162" s="930"/>
      <c r="J2162" s="930"/>
      <c r="K2162" s="931"/>
      <c r="L2162" s="675"/>
      <c r="M2162" s="426"/>
    </row>
    <row r="2163" spans="3:13" ht="17" x14ac:dyDescent="0.2">
      <c r="C2163" s="91"/>
      <c r="D2163" s="672">
        <v>45518</v>
      </c>
      <c r="E2163" s="676">
        <v>2.9000000000000001E-2</v>
      </c>
      <c r="F2163" s="676" t="s">
        <v>669</v>
      </c>
      <c r="G2163" s="676">
        <v>0.03</v>
      </c>
      <c r="H2163" s="674">
        <v>0.52083333333333337</v>
      </c>
      <c r="I2163" s="930"/>
      <c r="J2163" s="930"/>
      <c r="K2163" s="931"/>
      <c r="L2163" s="675"/>
      <c r="M2163" s="426"/>
    </row>
    <row r="2164" spans="3:13" ht="18" thickBot="1" x14ac:dyDescent="0.25">
      <c r="C2164" s="91"/>
      <c r="D2164" s="672">
        <v>45484</v>
      </c>
      <c r="E2164" s="676">
        <v>0.03</v>
      </c>
      <c r="F2164" s="676" t="s">
        <v>668</v>
      </c>
      <c r="G2164" s="676">
        <v>3.3000000000000002E-2</v>
      </c>
      <c r="H2164" s="674">
        <v>0.52083333333333337</v>
      </c>
      <c r="I2164" s="933"/>
      <c r="J2164" s="933"/>
      <c r="K2164" s="934"/>
      <c r="L2164" s="677"/>
      <c r="M2164" s="438"/>
    </row>
    <row r="2165" spans="3:13" ht="18" thickBot="1" x14ac:dyDescent="0.25">
      <c r="C2165" s="91">
        <v>6</v>
      </c>
      <c r="D2165" s="663" t="s">
        <v>30</v>
      </c>
      <c r="E2165" s="917" t="s">
        <v>1411</v>
      </c>
      <c r="F2165" s="918"/>
      <c r="G2165" s="919"/>
      <c r="H2165" s="664" t="s">
        <v>790</v>
      </c>
      <c r="I2165" s="921" t="s">
        <v>633</v>
      </c>
      <c r="J2165" s="921"/>
      <c r="K2165" s="922"/>
      <c r="L2165" s="664" t="s">
        <v>430</v>
      </c>
      <c r="M2165" s="423" t="s">
        <v>431</v>
      </c>
    </row>
    <row r="2166" spans="3:13" ht="17" x14ac:dyDescent="0.2">
      <c r="C2166" s="91"/>
      <c r="D2166" s="665" t="s">
        <v>432</v>
      </c>
      <c r="E2166" s="950"/>
      <c r="F2166" s="951"/>
      <c r="G2166" s="952"/>
      <c r="H2166" s="666" t="s">
        <v>906</v>
      </c>
      <c r="I2166" s="927" t="s">
        <v>1409</v>
      </c>
      <c r="J2166" s="927"/>
      <c r="K2166" s="928"/>
      <c r="L2166" s="667"/>
      <c r="M2166" s="425" t="s">
        <v>1411</v>
      </c>
    </row>
    <row r="2167" spans="3:13" ht="17" x14ac:dyDescent="0.2">
      <c r="C2167" s="91"/>
      <c r="D2167" s="668" t="s">
        <v>433</v>
      </c>
      <c r="E2167" s="944">
        <v>3.0000000000000001E-3</v>
      </c>
      <c r="F2167" s="945"/>
      <c r="G2167" s="946"/>
      <c r="H2167" s="666" t="s">
        <v>907</v>
      </c>
      <c r="I2167" s="930"/>
      <c r="J2167" s="930"/>
      <c r="K2167" s="931"/>
      <c r="L2167" s="667"/>
      <c r="M2167" s="426"/>
    </row>
    <row r="2168" spans="3:13" ht="17" x14ac:dyDescent="0.2">
      <c r="C2168" s="91"/>
      <c r="D2168" s="668" t="s">
        <v>434</v>
      </c>
      <c r="E2168" s="944">
        <v>3.0000000000000001E-3</v>
      </c>
      <c r="F2168" s="945"/>
      <c r="G2168" s="946"/>
      <c r="H2168" s="424"/>
      <c r="I2168" s="930"/>
      <c r="J2168" s="930"/>
      <c r="K2168" s="931"/>
      <c r="L2168" s="667"/>
      <c r="M2168" s="426"/>
    </row>
    <row r="2169" spans="3:13" ht="18" thickBot="1" x14ac:dyDescent="0.25">
      <c r="C2169" s="91"/>
      <c r="D2169" s="669" t="s">
        <v>435</v>
      </c>
      <c r="E2169" s="938">
        <v>0.5625</v>
      </c>
      <c r="F2169" s="939"/>
      <c r="G2169" s="940"/>
      <c r="H2169" s="427">
        <v>0.35416666666666663</v>
      </c>
      <c r="I2169" s="930"/>
      <c r="J2169" s="930"/>
      <c r="K2169" s="931"/>
      <c r="L2169" s="428">
        <v>0.79166666666666663</v>
      </c>
      <c r="M2169" s="429">
        <v>0.6875</v>
      </c>
    </row>
    <row r="2170" spans="3:13" ht="18" thickBot="1" x14ac:dyDescent="0.25">
      <c r="C2170" s="91"/>
      <c r="D2170" s="670" t="s">
        <v>436</v>
      </c>
      <c r="E2170" s="430" t="s">
        <v>29</v>
      </c>
      <c r="F2170" s="430" t="s">
        <v>28</v>
      </c>
      <c r="G2170" s="431" t="s">
        <v>27</v>
      </c>
      <c r="H2170" s="432" t="s">
        <v>793</v>
      </c>
      <c r="I2170" s="930"/>
      <c r="J2170" s="930"/>
      <c r="K2170" s="931"/>
      <c r="L2170" s="671" t="s">
        <v>1246</v>
      </c>
      <c r="M2170" s="433"/>
    </row>
    <row r="2171" spans="3:13" ht="17" x14ac:dyDescent="0.2">
      <c r="C2171" s="91"/>
      <c r="D2171" s="672">
        <v>45637</v>
      </c>
      <c r="E2171" s="676">
        <v>3.0000000000000001E-3</v>
      </c>
      <c r="F2171" s="676" t="s">
        <v>467</v>
      </c>
      <c r="G2171" s="676">
        <v>2E-3</v>
      </c>
      <c r="H2171" s="674">
        <v>0.5625</v>
      </c>
      <c r="I2171" s="930"/>
      <c r="J2171" s="930"/>
      <c r="K2171" s="931"/>
      <c r="L2171" s="675">
        <v>0</v>
      </c>
      <c r="M2171" s="436"/>
    </row>
    <row r="2172" spans="3:13" ht="17" x14ac:dyDescent="0.2">
      <c r="C2172" s="91"/>
      <c r="D2172" s="672">
        <v>45609</v>
      </c>
      <c r="E2172" s="676">
        <v>2E-3</v>
      </c>
      <c r="F2172" s="676" t="s">
        <v>460</v>
      </c>
      <c r="G2172" s="676">
        <v>2E-3</v>
      </c>
      <c r="H2172" s="674">
        <v>0.5625</v>
      </c>
      <c r="I2172" s="930"/>
      <c r="J2172" s="930"/>
      <c r="K2172" s="931"/>
      <c r="L2172" s="675">
        <v>0</v>
      </c>
      <c r="M2172" s="437"/>
    </row>
    <row r="2173" spans="3:13" ht="17" x14ac:dyDescent="0.2">
      <c r="C2173" s="91"/>
      <c r="D2173" s="672">
        <v>45575</v>
      </c>
      <c r="E2173" s="676">
        <v>2E-3</v>
      </c>
      <c r="F2173" s="676" t="s">
        <v>462</v>
      </c>
      <c r="G2173" s="676">
        <v>2E-3</v>
      </c>
      <c r="H2173" s="674">
        <v>0.52083333333333337</v>
      </c>
      <c r="I2173" s="930"/>
      <c r="J2173" s="930"/>
      <c r="K2173" s="931"/>
      <c r="L2173" s="675">
        <v>0</v>
      </c>
      <c r="M2173" s="426"/>
    </row>
    <row r="2174" spans="3:13" ht="17" x14ac:dyDescent="0.2">
      <c r="C2174" s="91"/>
      <c r="D2174" s="672">
        <v>45546</v>
      </c>
      <c r="E2174" s="676">
        <v>2E-3</v>
      </c>
      <c r="F2174" s="676" t="s">
        <v>460</v>
      </c>
      <c r="G2174" s="676">
        <v>2E-3</v>
      </c>
      <c r="H2174" s="674">
        <v>0.52083333333333337</v>
      </c>
      <c r="I2174" s="930"/>
      <c r="J2174" s="930"/>
      <c r="K2174" s="931"/>
      <c r="L2174" s="675">
        <v>0</v>
      </c>
      <c r="M2174" s="426"/>
    </row>
    <row r="2175" spans="3:13" ht="17" x14ac:dyDescent="0.2">
      <c r="C2175" s="91"/>
      <c r="D2175" s="672">
        <v>45518</v>
      </c>
      <c r="E2175" s="676">
        <v>2E-3</v>
      </c>
      <c r="F2175" s="676" t="s">
        <v>460</v>
      </c>
      <c r="G2175" s="676">
        <v>-1E-3</v>
      </c>
      <c r="H2175" s="674">
        <v>0.52083333333333337</v>
      </c>
      <c r="I2175" s="930"/>
      <c r="J2175" s="930"/>
      <c r="K2175" s="931"/>
      <c r="L2175" s="675">
        <v>0</v>
      </c>
      <c r="M2175" s="426"/>
    </row>
    <row r="2176" spans="3:13" ht="18" thickBot="1" x14ac:dyDescent="0.25">
      <c r="C2176" s="91"/>
      <c r="D2176" s="672">
        <v>45484</v>
      </c>
      <c r="E2176" s="676">
        <v>-1E-3</v>
      </c>
      <c r="F2176" s="676" t="s">
        <v>462</v>
      </c>
      <c r="G2176" s="676">
        <v>0</v>
      </c>
      <c r="H2176" s="674">
        <v>0.52083333333333337</v>
      </c>
      <c r="I2176" s="933"/>
      <c r="J2176" s="933"/>
      <c r="K2176" s="934"/>
      <c r="L2176" s="677">
        <v>0</v>
      </c>
      <c r="M2176" s="438"/>
    </row>
    <row r="2177" spans="3:13" ht="18" thickBot="1" x14ac:dyDescent="0.25">
      <c r="C2177" s="91">
        <v>7</v>
      </c>
      <c r="D2177" s="663" t="s">
        <v>30</v>
      </c>
      <c r="E2177" s="1150" t="s">
        <v>1412</v>
      </c>
      <c r="F2177" s="1151"/>
      <c r="G2177" s="1152"/>
      <c r="H2177" s="664" t="s">
        <v>790</v>
      </c>
      <c r="I2177" s="921" t="s">
        <v>633</v>
      </c>
      <c r="J2177" s="921"/>
      <c r="K2177" s="922"/>
      <c r="L2177" s="664" t="s">
        <v>430</v>
      </c>
      <c r="M2177" s="423" t="s">
        <v>431</v>
      </c>
    </row>
    <row r="2178" spans="3:13" ht="17" x14ac:dyDescent="0.2">
      <c r="C2178" s="91"/>
      <c r="D2178" s="665" t="s">
        <v>432</v>
      </c>
      <c r="E2178" s="950"/>
      <c r="F2178" s="951"/>
      <c r="G2178" s="952"/>
      <c r="H2178" s="666" t="s">
        <v>796</v>
      </c>
      <c r="I2178" s="927" t="s">
        <v>1414</v>
      </c>
      <c r="J2178" s="927"/>
      <c r="K2178" s="928"/>
      <c r="L2178" s="667"/>
      <c r="M2178" s="425" t="s">
        <v>1412</v>
      </c>
    </row>
    <row r="2179" spans="3:13" ht="17" x14ac:dyDescent="0.2">
      <c r="C2179" s="91"/>
      <c r="D2179" s="668" t="s">
        <v>433</v>
      </c>
      <c r="E2179" s="947">
        <v>0</v>
      </c>
      <c r="F2179" s="942"/>
      <c r="G2179" s="943"/>
      <c r="H2179" s="666" t="s">
        <v>796</v>
      </c>
      <c r="I2179" s="930"/>
      <c r="J2179" s="930"/>
      <c r="K2179" s="931"/>
      <c r="L2179" s="667"/>
      <c r="M2179" s="426"/>
    </row>
    <row r="2180" spans="3:13" ht="17" x14ac:dyDescent="0.2">
      <c r="C2180" s="91"/>
      <c r="D2180" s="668" t="s">
        <v>434</v>
      </c>
      <c r="E2180" s="941" t="s">
        <v>1413</v>
      </c>
      <c r="F2180" s="942"/>
      <c r="G2180" s="943"/>
      <c r="H2180" s="424"/>
      <c r="I2180" s="930"/>
      <c r="J2180" s="930"/>
      <c r="K2180" s="931"/>
      <c r="L2180" s="667"/>
      <c r="M2180" s="426"/>
    </row>
    <row r="2181" spans="3:13" ht="18" thickBot="1" x14ac:dyDescent="0.25">
      <c r="C2181" s="91"/>
      <c r="D2181" s="669" t="s">
        <v>435</v>
      </c>
      <c r="E2181" s="938">
        <v>0.64583333333333337</v>
      </c>
      <c r="F2181" s="939"/>
      <c r="G2181" s="940"/>
      <c r="H2181" s="427">
        <v>0.4375</v>
      </c>
      <c r="I2181" s="930"/>
      <c r="J2181" s="930"/>
      <c r="K2181" s="931"/>
      <c r="L2181" s="428">
        <v>0.875</v>
      </c>
      <c r="M2181" s="429">
        <v>0.72916666666666663</v>
      </c>
    </row>
    <row r="2182" spans="3:13" ht="18" thickBot="1" x14ac:dyDescent="0.25">
      <c r="C2182" s="91"/>
      <c r="D2182" s="670" t="s">
        <v>436</v>
      </c>
      <c r="E2182" s="430" t="s">
        <v>29</v>
      </c>
      <c r="F2182" s="430" t="s">
        <v>28</v>
      </c>
      <c r="G2182" s="431" t="s">
        <v>27</v>
      </c>
      <c r="H2182" s="738" t="s">
        <v>1448</v>
      </c>
      <c r="I2182" s="930"/>
      <c r="J2182" s="930"/>
      <c r="K2182" s="931"/>
      <c r="L2182" s="671" t="s">
        <v>1246</v>
      </c>
      <c r="M2182" s="433"/>
    </row>
    <row r="2183" spans="3:13" ht="17" x14ac:dyDescent="0.2">
      <c r="C2183" s="91"/>
      <c r="D2183" s="672">
        <v>45665</v>
      </c>
      <c r="E2183" s="441" t="s">
        <v>1436</v>
      </c>
      <c r="F2183" s="441" t="s">
        <v>1437</v>
      </c>
      <c r="G2183" s="441" t="s">
        <v>1391</v>
      </c>
      <c r="H2183" s="674">
        <v>0.72916666666666663</v>
      </c>
      <c r="I2183" s="930"/>
      <c r="J2183" s="930"/>
      <c r="K2183" s="931"/>
      <c r="L2183" s="675">
        <v>0.64583333333333337</v>
      </c>
      <c r="M2183" s="436"/>
    </row>
    <row r="2184" spans="3:13" ht="17" x14ac:dyDescent="0.2">
      <c r="C2184" s="91"/>
      <c r="D2184" s="672">
        <v>45659</v>
      </c>
      <c r="E2184" s="441" t="s">
        <v>1391</v>
      </c>
      <c r="F2184" s="441" t="s">
        <v>1392</v>
      </c>
      <c r="G2184" s="441" t="s">
        <v>1342</v>
      </c>
      <c r="H2184" s="674">
        <v>0.75</v>
      </c>
      <c r="I2184" s="930"/>
      <c r="J2184" s="930"/>
      <c r="K2184" s="931"/>
      <c r="L2184" s="675">
        <v>0.66666666666666663</v>
      </c>
      <c r="M2184" s="437"/>
    </row>
    <row r="2185" spans="3:13" ht="17" x14ac:dyDescent="0.2">
      <c r="C2185" s="91"/>
      <c r="D2185" s="672">
        <v>45653</v>
      </c>
      <c r="E2185" s="441" t="s">
        <v>1342</v>
      </c>
      <c r="F2185" s="441" t="s">
        <v>1343</v>
      </c>
      <c r="G2185" s="441" t="s">
        <v>1318</v>
      </c>
      <c r="H2185" s="674">
        <v>0.83333333333333337</v>
      </c>
      <c r="I2185" s="930"/>
      <c r="J2185" s="930"/>
      <c r="K2185" s="931"/>
      <c r="L2185" s="675">
        <v>0.75</v>
      </c>
      <c r="M2185" s="426"/>
    </row>
    <row r="2186" spans="3:13" ht="17" x14ac:dyDescent="0.2">
      <c r="C2186" s="91"/>
      <c r="D2186" s="672">
        <v>45644</v>
      </c>
      <c r="E2186" s="441" t="s">
        <v>1318</v>
      </c>
      <c r="F2186" s="441" t="s">
        <v>1289</v>
      </c>
      <c r="G2186" s="441" t="s">
        <v>1286</v>
      </c>
      <c r="H2186" s="674">
        <v>0.72916666666666663</v>
      </c>
      <c r="I2186" s="930"/>
      <c r="J2186" s="930"/>
      <c r="K2186" s="931"/>
      <c r="L2186" s="675">
        <v>0.64583333333333337</v>
      </c>
      <c r="M2186" s="426"/>
    </row>
    <row r="2187" spans="3:13" ht="17" x14ac:dyDescent="0.2">
      <c r="C2187" s="91"/>
      <c r="D2187" s="672">
        <v>45637</v>
      </c>
      <c r="E2187" s="441" t="s">
        <v>1286</v>
      </c>
      <c r="F2187" s="441" t="s">
        <v>1287</v>
      </c>
      <c r="G2187" s="441" t="s">
        <v>1288</v>
      </c>
      <c r="H2187" s="674">
        <v>0.72916666666666663</v>
      </c>
      <c r="I2187" s="930"/>
      <c r="J2187" s="930"/>
      <c r="K2187" s="931"/>
      <c r="L2187" s="675">
        <v>0.64583333333333337</v>
      </c>
      <c r="M2187" s="426"/>
    </row>
    <row r="2188" spans="3:13" ht="18" thickBot="1" x14ac:dyDescent="0.25">
      <c r="C2188" s="91"/>
      <c r="D2188" s="672">
        <v>45630</v>
      </c>
      <c r="E2188" s="441" t="s">
        <v>1288</v>
      </c>
      <c r="F2188" s="441" t="s">
        <v>1289</v>
      </c>
      <c r="G2188" s="441" t="s">
        <v>1290</v>
      </c>
      <c r="H2188" s="674">
        <v>0.72916666666666663</v>
      </c>
      <c r="I2188" s="933"/>
      <c r="J2188" s="933"/>
      <c r="K2188" s="934"/>
      <c r="L2188" s="675">
        <v>0.64583333333333337</v>
      </c>
      <c r="M2188" s="438"/>
    </row>
    <row r="2189" spans="3:13" ht="18" thickBot="1" x14ac:dyDescent="0.25">
      <c r="C2189" s="91">
        <v>8</v>
      </c>
      <c r="D2189" s="663" t="s">
        <v>30</v>
      </c>
      <c r="E2189" s="917" t="s">
        <v>1415</v>
      </c>
      <c r="F2189" s="918"/>
      <c r="G2189" s="919"/>
      <c r="H2189" s="664" t="s">
        <v>790</v>
      </c>
      <c r="I2189" s="921" t="s">
        <v>633</v>
      </c>
      <c r="J2189" s="921"/>
      <c r="K2189" s="922"/>
      <c r="L2189" s="664" t="s">
        <v>430</v>
      </c>
      <c r="M2189" s="423" t="s">
        <v>431</v>
      </c>
    </row>
    <row r="2190" spans="3:13" ht="17" x14ac:dyDescent="0.2">
      <c r="C2190" s="91"/>
      <c r="D2190" s="665" t="s">
        <v>432</v>
      </c>
      <c r="E2190" s="950"/>
      <c r="F2190" s="951"/>
      <c r="G2190" s="952"/>
      <c r="H2190" s="666" t="s">
        <v>798</v>
      </c>
      <c r="I2190" s="927" t="s">
        <v>1416</v>
      </c>
      <c r="J2190" s="927"/>
      <c r="K2190" s="928"/>
      <c r="L2190" s="667"/>
      <c r="M2190" s="425" t="s">
        <v>1415</v>
      </c>
    </row>
    <row r="2191" spans="3:13" ht="17" x14ac:dyDescent="0.2">
      <c r="C2191" s="91"/>
      <c r="D2191" s="668" t="s">
        <v>433</v>
      </c>
      <c r="E2191" s="944">
        <v>2E-3</v>
      </c>
      <c r="F2191" s="945"/>
      <c r="G2191" s="946"/>
      <c r="H2191" s="424" t="s">
        <v>799</v>
      </c>
      <c r="I2191" s="930"/>
      <c r="J2191" s="930"/>
      <c r="K2191" s="931"/>
      <c r="L2191" s="667"/>
      <c r="M2191" s="426"/>
    </row>
    <row r="2192" spans="3:13" ht="17" x14ac:dyDescent="0.2">
      <c r="C2192" s="91"/>
      <c r="D2192" s="668" t="s">
        <v>434</v>
      </c>
      <c r="E2192" s="944">
        <v>-1E-3</v>
      </c>
      <c r="F2192" s="945"/>
      <c r="G2192" s="946"/>
      <c r="H2192" s="424"/>
      <c r="I2192" s="930"/>
      <c r="J2192" s="930"/>
      <c r="K2192" s="931"/>
      <c r="L2192" s="667"/>
      <c r="M2192" s="426"/>
    </row>
    <row r="2193" spans="3:13" ht="18" thickBot="1" x14ac:dyDescent="0.25">
      <c r="C2193" s="91"/>
      <c r="D2193" s="669" t="s">
        <v>435</v>
      </c>
      <c r="E2193" s="938">
        <v>0.29166666666666674</v>
      </c>
      <c r="F2193" s="939"/>
      <c r="G2193" s="940"/>
      <c r="H2193" s="427">
        <v>8.3333333333333398E-2</v>
      </c>
      <c r="I2193" s="930"/>
      <c r="J2193" s="930"/>
      <c r="K2193" s="931"/>
      <c r="L2193" s="428">
        <v>0.52083333333333337</v>
      </c>
      <c r="M2193" s="429">
        <v>0.375</v>
      </c>
    </row>
    <row r="2194" spans="3:13" ht="18" thickBot="1" x14ac:dyDescent="0.25">
      <c r="C2194" s="91"/>
      <c r="D2194" s="670" t="s">
        <v>436</v>
      </c>
      <c r="E2194" s="430" t="s">
        <v>29</v>
      </c>
      <c r="F2194" s="430" t="s">
        <v>28</v>
      </c>
      <c r="G2194" s="431" t="s">
        <v>27</v>
      </c>
      <c r="H2194" s="432" t="s">
        <v>793</v>
      </c>
      <c r="I2194" s="930"/>
      <c r="J2194" s="930"/>
      <c r="K2194" s="931"/>
      <c r="L2194" s="671" t="s">
        <v>1246</v>
      </c>
      <c r="M2194" s="433"/>
    </row>
    <row r="2195" spans="3:13" ht="17" x14ac:dyDescent="0.2">
      <c r="C2195" s="91"/>
      <c r="D2195" s="672">
        <v>45639</v>
      </c>
      <c r="E2195" s="676">
        <v>-1E-3</v>
      </c>
      <c r="F2195" s="676" t="s">
        <v>462</v>
      </c>
      <c r="G2195" s="676">
        <v>-1E-3</v>
      </c>
      <c r="H2195" s="674">
        <v>0.29166666666666669</v>
      </c>
      <c r="I2195" s="930"/>
      <c r="J2195" s="930"/>
      <c r="K2195" s="931"/>
      <c r="L2195" s="675"/>
      <c r="M2195" s="436"/>
    </row>
    <row r="2196" spans="3:13" ht="17" x14ac:dyDescent="0.2">
      <c r="C2196" s="91"/>
      <c r="D2196" s="672">
        <v>45611</v>
      </c>
      <c r="E2196" s="676">
        <v>-1E-3</v>
      </c>
      <c r="F2196" s="676" t="s">
        <v>460</v>
      </c>
      <c r="G2196" s="676">
        <v>2E-3</v>
      </c>
      <c r="H2196" s="674">
        <v>0.29166666666666669</v>
      </c>
      <c r="I2196" s="930"/>
      <c r="J2196" s="930"/>
      <c r="K2196" s="931"/>
      <c r="L2196" s="675"/>
      <c r="M2196" s="437"/>
    </row>
    <row r="2197" spans="3:13" ht="17" x14ac:dyDescent="0.2">
      <c r="C2197" s="91"/>
      <c r="D2197" s="672">
        <v>45576</v>
      </c>
      <c r="E2197" s="676">
        <v>2E-3</v>
      </c>
      <c r="F2197" s="676" t="s">
        <v>460</v>
      </c>
      <c r="G2197" s="676">
        <v>0</v>
      </c>
      <c r="H2197" s="674">
        <v>0.25</v>
      </c>
      <c r="I2197" s="930"/>
      <c r="J2197" s="930"/>
      <c r="K2197" s="931"/>
      <c r="L2197" s="675"/>
      <c r="M2197" s="426"/>
    </row>
    <row r="2198" spans="3:13" ht="17" x14ac:dyDescent="0.2">
      <c r="C2198" s="91"/>
      <c r="D2198" s="672">
        <v>45546</v>
      </c>
      <c r="E2198" s="676">
        <v>0</v>
      </c>
      <c r="F2198" s="676" t="s">
        <v>460</v>
      </c>
      <c r="G2198" s="676">
        <v>0</v>
      </c>
      <c r="H2198" s="674">
        <v>0.25</v>
      </c>
      <c r="I2198" s="930"/>
      <c r="J2198" s="930"/>
      <c r="K2198" s="931"/>
      <c r="L2198" s="675"/>
      <c r="M2198" s="426"/>
    </row>
    <row r="2199" spans="3:13" ht="17" x14ac:dyDescent="0.2">
      <c r="C2199" s="91"/>
      <c r="D2199" s="672">
        <v>45519</v>
      </c>
      <c r="E2199" s="676">
        <v>0</v>
      </c>
      <c r="F2199" s="676" t="s">
        <v>458</v>
      </c>
      <c r="G2199" s="676">
        <v>4.0000000000000001E-3</v>
      </c>
      <c r="H2199" s="674">
        <v>0.25</v>
      </c>
      <c r="I2199" s="930"/>
      <c r="J2199" s="930"/>
      <c r="K2199" s="931"/>
      <c r="L2199" s="675"/>
      <c r="M2199" s="426"/>
    </row>
    <row r="2200" spans="3:13" ht="18" thickBot="1" x14ac:dyDescent="0.25">
      <c r="C2200" s="91"/>
      <c r="D2200" s="672">
        <v>45484</v>
      </c>
      <c r="E2200" s="676">
        <v>4.0000000000000001E-3</v>
      </c>
      <c r="F2200" s="676" t="s">
        <v>460</v>
      </c>
      <c r="G2200" s="676">
        <v>0</v>
      </c>
      <c r="H2200" s="674">
        <v>0.25</v>
      </c>
      <c r="I2200" s="933"/>
      <c r="J2200" s="933"/>
      <c r="K2200" s="934"/>
      <c r="L2200" s="677"/>
      <c r="M2200" s="438"/>
    </row>
    <row r="2201" spans="3:13" ht="18" thickBot="1" x14ac:dyDescent="0.25">
      <c r="C2201" s="91">
        <v>9</v>
      </c>
      <c r="D2201" s="663" t="s">
        <v>30</v>
      </c>
      <c r="E2201" s="917" t="s">
        <v>1417</v>
      </c>
      <c r="F2201" s="918"/>
      <c r="G2201" s="919"/>
      <c r="H2201" s="664" t="s">
        <v>790</v>
      </c>
      <c r="I2201" s="921" t="s">
        <v>633</v>
      </c>
      <c r="J2201" s="921"/>
      <c r="K2201" s="922"/>
      <c r="L2201" s="664" t="s">
        <v>430</v>
      </c>
      <c r="M2201" s="423" t="s">
        <v>431</v>
      </c>
    </row>
    <row r="2202" spans="3:13" ht="17" x14ac:dyDescent="0.2">
      <c r="C2202" s="168"/>
      <c r="D2202" s="665" t="s">
        <v>432</v>
      </c>
      <c r="E2202" s="950"/>
      <c r="F2202" s="951"/>
      <c r="G2202" s="952"/>
      <c r="H2202" s="666" t="s">
        <v>906</v>
      </c>
      <c r="I2202" s="927" t="s">
        <v>1418</v>
      </c>
      <c r="J2202" s="927"/>
      <c r="K2202" s="928"/>
      <c r="L2202" s="667"/>
      <c r="M2202" s="426"/>
    </row>
    <row r="2203" spans="3:13" ht="17" x14ac:dyDescent="0.2">
      <c r="C2203" s="168"/>
      <c r="D2203" s="668" t="s">
        <v>433</v>
      </c>
      <c r="E2203" s="944">
        <v>4.0000000000000001E-3</v>
      </c>
      <c r="F2203" s="945"/>
      <c r="G2203" s="946"/>
      <c r="H2203" s="666" t="s">
        <v>907</v>
      </c>
      <c r="I2203" s="930"/>
      <c r="J2203" s="930"/>
      <c r="K2203" s="931"/>
      <c r="L2203" s="667"/>
      <c r="M2203" s="426"/>
    </row>
    <row r="2204" spans="3:13" ht="17" x14ac:dyDescent="0.2">
      <c r="C2204" s="168"/>
      <c r="D2204" s="668" t="s">
        <v>434</v>
      </c>
      <c r="E2204" s="944">
        <v>4.0000000000000001E-3</v>
      </c>
      <c r="F2204" s="945"/>
      <c r="G2204" s="946"/>
      <c r="H2204" s="424"/>
      <c r="I2204" s="930"/>
      <c r="J2204" s="930"/>
      <c r="K2204" s="931"/>
      <c r="L2204" s="667"/>
      <c r="M2204" s="426"/>
    </row>
    <row r="2205" spans="3:13" ht="18" thickBot="1" x14ac:dyDescent="0.25">
      <c r="C2205" s="168"/>
      <c r="D2205" s="669" t="s">
        <v>435</v>
      </c>
      <c r="E2205" s="938">
        <v>0.29166666666666674</v>
      </c>
      <c r="F2205" s="939"/>
      <c r="G2205" s="940"/>
      <c r="H2205" s="427"/>
      <c r="I2205" s="930"/>
      <c r="J2205" s="930"/>
      <c r="K2205" s="931"/>
      <c r="L2205" s="428">
        <v>0.52083333333333337</v>
      </c>
      <c r="M2205" s="429">
        <v>0.375</v>
      </c>
    </row>
    <row r="2206" spans="3:13" ht="18" thickBot="1" x14ac:dyDescent="0.25">
      <c r="C2206" s="168"/>
      <c r="D2206" s="670" t="s">
        <v>436</v>
      </c>
      <c r="E2206" s="430" t="s">
        <v>29</v>
      </c>
      <c r="F2206" s="430" t="s">
        <v>28</v>
      </c>
      <c r="G2206" s="431" t="s">
        <v>27</v>
      </c>
      <c r="H2206" s="432" t="s">
        <v>793</v>
      </c>
      <c r="I2206" s="930"/>
      <c r="J2206" s="930"/>
      <c r="K2206" s="931"/>
      <c r="L2206" s="671" t="s">
        <v>1246</v>
      </c>
      <c r="M2206" s="433"/>
    </row>
    <row r="2207" spans="3:13" ht="17" x14ac:dyDescent="0.2">
      <c r="C2207" s="168"/>
      <c r="D2207" s="672">
        <v>45663</v>
      </c>
      <c r="E2207" s="676">
        <v>4.0000000000000001E-3</v>
      </c>
      <c r="F2207" s="676" t="s">
        <v>467</v>
      </c>
      <c r="G2207" s="676">
        <v>-2E-3</v>
      </c>
      <c r="H2207" s="678">
        <v>0.54166666666666663</v>
      </c>
      <c r="I2207" s="930"/>
      <c r="J2207" s="930"/>
      <c r="K2207" s="931"/>
      <c r="L2207" s="675"/>
      <c r="M2207" s="436"/>
    </row>
    <row r="2208" spans="3:13" ht="17" x14ac:dyDescent="0.2">
      <c r="C2208" s="168"/>
      <c r="D2208" s="672">
        <v>45636</v>
      </c>
      <c r="E2208" s="676">
        <v>-2E-3</v>
      </c>
      <c r="F2208" s="676" t="s">
        <v>461</v>
      </c>
      <c r="G2208" s="676">
        <v>4.0000000000000001E-3</v>
      </c>
      <c r="H2208" s="678">
        <v>0.29166666666666669</v>
      </c>
      <c r="I2208" s="930"/>
      <c r="J2208" s="930"/>
      <c r="K2208" s="931"/>
      <c r="L2208" s="675"/>
      <c r="M2208" s="437"/>
    </row>
    <row r="2209" spans="3:13" ht="17" x14ac:dyDescent="0.2">
      <c r="C2209" s="168"/>
      <c r="D2209" s="672">
        <v>45624</v>
      </c>
      <c r="E2209" s="676">
        <v>-2E-3</v>
      </c>
      <c r="F2209" s="676" t="s">
        <v>461</v>
      </c>
      <c r="G2209" s="676">
        <v>4.0000000000000001E-3</v>
      </c>
      <c r="H2209" s="678">
        <v>0.54166666666666663</v>
      </c>
      <c r="I2209" s="930"/>
      <c r="J2209" s="930"/>
      <c r="K2209" s="931"/>
      <c r="L2209" s="675"/>
      <c r="M2209" s="426"/>
    </row>
    <row r="2210" spans="3:13" ht="17" x14ac:dyDescent="0.2">
      <c r="C2210" s="168"/>
      <c r="D2210" s="672">
        <v>45608</v>
      </c>
      <c r="E2210" s="676">
        <v>4.0000000000000001E-3</v>
      </c>
      <c r="F2210" s="676" t="s">
        <v>452</v>
      </c>
      <c r="G2210" s="676">
        <v>0</v>
      </c>
      <c r="H2210" s="678">
        <v>0.29166666666666669</v>
      </c>
      <c r="I2210" s="930"/>
      <c r="J2210" s="930"/>
      <c r="K2210" s="931"/>
      <c r="L2210" s="675"/>
      <c r="M2210" s="426"/>
    </row>
    <row r="2211" spans="3:13" ht="17" x14ac:dyDescent="0.2">
      <c r="C2211" s="168"/>
      <c r="D2211" s="672">
        <v>45595</v>
      </c>
      <c r="E2211" s="676">
        <v>4.0000000000000001E-3</v>
      </c>
      <c r="F2211" s="676" t="s">
        <v>460</v>
      </c>
      <c r="G2211" s="676">
        <v>0</v>
      </c>
      <c r="H2211" s="678">
        <v>0.54166666666666663</v>
      </c>
      <c r="I2211" s="930"/>
      <c r="J2211" s="930"/>
      <c r="K2211" s="931"/>
      <c r="L2211" s="675"/>
      <c r="M2211" s="426"/>
    </row>
    <row r="2212" spans="3:13" ht="18" thickBot="1" x14ac:dyDescent="0.25">
      <c r="C2212" s="168"/>
      <c r="D2212" s="672">
        <v>45576</v>
      </c>
      <c r="E2212" s="676">
        <v>0</v>
      </c>
      <c r="F2212" s="676" t="s">
        <v>458</v>
      </c>
      <c r="G2212" s="676">
        <v>-1E-3</v>
      </c>
      <c r="H2212" s="678">
        <v>0.25</v>
      </c>
      <c r="I2212" s="933"/>
      <c r="J2212" s="933"/>
      <c r="K2212" s="934"/>
      <c r="L2212" s="677"/>
      <c r="M2212" s="438"/>
    </row>
    <row r="2213" spans="3:13" ht="18" thickBot="1" x14ac:dyDescent="0.25">
      <c r="C2213" s="91">
        <v>10</v>
      </c>
      <c r="D2213" s="663" t="s">
        <v>30</v>
      </c>
      <c r="E2213" s="917" t="s">
        <v>1419</v>
      </c>
      <c r="F2213" s="918"/>
      <c r="G2213" s="919"/>
      <c r="H2213" s="664" t="s">
        <v>790</v>
      </c>
      <c r="I2213" s="921" t="s">
        <v>633</v>
      </c>
      <c r="J2213" s="921"/>
      <c r="K2213" s="922"/>
      <c r="L2213" s="664" t="s">
        <v>430</v>
      </c>
      <c r="M2213" s="423" t="s">
        <v>431</v>
      </c>
    </row>
    <row r="2214" spans="3:13" ht="17" x14ac:dyDescent="0.2">
      <c r="C2214" s="168"/>
      <c r="D2214" s="665" t="s">
        <v>432</v>
      </c>
      <c r="E2214" s="950"/>
      <c r="F2214" s="951"/>
      <c r="G2214" s="952"/>
      <c r="H2214" s="666" t="s">
        <v>906</v>
      </c>
      <c r="I2214" s="927" t="s">
        <v>1420</v>
      </c>
      <c r="J2214" s="927"/>
      <c r="K2214" s="928"/>
      <c r="L2214" s="679"/>
      <c r="M2214" s="426"/>
    </row>
    <row r="2215" spans="3:13" ht="17" x14ac:dyDescent="0.2">
      <c r="C2215" s="168"/>
      <c r="D2215" s="668" t="s">
        <v>433</v>
      </c>
      <c r="E2215" s="944">
        <v>4.0000000000000001E-3</v>
      </c>
      <c r="F2215" s="945"/>
      <c r="G2215" s="946"/>
      <c r="H2215" s="666" t="s">
        <v>907</v>
      </c>
      <c r="I2215" s="930"/>
      <c r="J2215" s="930"/>
      <c r="K2215" s="931"/>
      <c r="L2215" s="667"/>
      <c r="M2215" s="426"/>
    </row>
    <row r="2216" spans="3:13" ht="17" x14ac:dyDescent="0.2">
      <c r="C2216" s="168"/>
      <c r="D2216" s="668" t="s">
        <v>434</v>
      </c>
      <c r="E2216" s="944">
        <v>2E-3</v>
      </c>
      <c r="F2216" s="945"/>
      <c r="G2216" s="946"/>
      <c r="H2216" s="424"/>
      <c r="I2216" s="930"/>
      <c r="J2216" s="930"/>
      <c r="K2216" s="931"/>
      <c r="L2216" s="667"/>
      <c r="M2216" s="426"/>
    </row>
    <row r="2217" spans="3:13" ht="18" thickBot="1" x14ac:dyDescent="0.25">
      <c r="C2217" s="168"/>
      <c r="D2217" s="669" t="s">
        <v>435</v>
      </c>
      <c r="E2217" s="938">
        <v>0.5625</v>
      </c>
      <c r="F2217" s="939"/>
      <c r="G2217" s="940"/>
      <c r="H2217" s="427"/>
      <c r="I2217" s="930"/>
      <c r="J2217" s="930"/>
      <c r="K2217" s="931"/>
      <c r="L2217" s="428">
        <v>0.79166666666666663</v>
      </c>
      <c r="M2217" s="429">
        <v>0.64583333333333326</v>
      </c>
    </row>
    <row r="2218" spans="3:13" ht="18" thickBot="1" x14ac:dyDescent="0.25">
      <c r="C2218" s="168"/>
      <c r="D2218" s="670" t="s">
        <v>436</v>
      </c>
      <c r="E2218" s="430" t="s">
        <v>29</v>
      </c>
      <c r="F2218" s="430" t="s">
        <v>28</v>
      </c>
      <c r="G2218" s="431" t="s">
        <v>27</v>
      </c>
      <c r="H2218" s="432" t="s">
        <v>793</v>
      </c>
      <c r="I2218" s="930"/>
      <c r="J2218" s="930"/>
      <c r="K2218" s="931"/>
      <c r="L2218" s="671" t="s">
        <v>1246</v>
      </c>
      <c r="M2218" s="433"/>
    </row>
    <row r="2219" spans="3:13" ht="17" x14ac:dyDescent="0.2">
      <c r="C2219" s="168"/>
      <c r="D2219" s="672">
        <v>45643</v>
      </c>
      <c r="E2219" s="676">
        <v>2E-3</v>
      </c>
      <c r="F2219" s="676" t="s">
        <v>452</v>
      </c>
      <c r="G2219" s="676">
        <v>2E-3</v>
      </c>
      <c r="H2219" s="678">
        <v>0.5625</v>
      </c>
      <c r="I2219" s="930"/>
      <c r="J2219" s="930"/>
      <c r="K2219" s="931"/>
      <c r="L2219" s="675"/>
      <c r="M2219" s="436"/>
    </row>
    <row r="2220" spans="3:13" ht="17" x14ac:dyDescent="0.2">
      <c r="C2220" s="168"/>
      <c r="D2220" s="672">
        <v>45611</v>
      </c>
      <c r="E2220" s="676">
        <v>1E-3</v>
      </c>
      <c r="F2220" s="676" t="s">
        <v>467</v>
      </c>
      <c r="G2220" s="676">
        <v>0.01</v>
      </c>
      <c r="H2220" s="678">
        <v>0.5625</v>
      </c>
      <c r="I2220" s="930"/>
      <c r="J2220" s="930"/>
      <c r="K2220" s="931"/>
      <c r="L2220" s="675"/>
      <c r="M2220" s="437"/>
    </row>
    <row r="2221" spans="3:13" ht="17" x14ac:dyDescent="0.2">
      <c r="C2221" s="168"/>
      <c r="D2221" s="672">
        <v>45582</v>
      </c>
      <c r="E2221" s="676">
        <v>5.0000000000000001E-3</v>
      </c>
      <c r="F2221" s="676" t="s">
        <v>462</v>
      </c>
      <c r="G2221" s="676">
        <v>2E-3</v>
      </c>
      <c r="H2221" s="678">
        <v>0.52083333333333337</v>
      </c>
      <c r="I2221" s="930"/>
      <c r="J2221" s="930"/>
      <c r="K2221" s="931"/>
      <c r="L2221" s="675"/>
      <c r="M2221" s="426"/>
    </row>
    <row r="2222" spans="3:13" ht="17" x14ac:dyDescent="0.2">
      <c r="C2222" s="168"/>
      <c r="D2222" s="672">
        <v>45552</v>
      </c>
      <c r="E2222" s="676">
        <v>1E-3</v>
      </c>
      <c r="F2222" s="676" t="s">
        <v>460</v>
      </c>
      <c r="G2222" s="676">
        <v>4.0000000000000001E-3</v>
      </c>
      <c r="H2222" s="678">
        <v>0.52083333333333337</v>
      </c>
      <c r="I2222" s="930"/>
      <c r="J2222" s="930"/>
      <c r="K2222" s="931"/>
      <c r="L2222" s="675"/>
      <c r="M2222" s="426"/>
    </row>
    <row r="2223" spans="3:13" ht="17" x14ac:dyDescent="0.2">
      <c r="C2223" s="168"/>
      <c r="D2223" s="672">
        <v>45519</v>
      </c>
      <c r="E2223" s="676">
        <v>4.0000000000000001E-3</v>
      </c>
      <c r="F2223" s="676" t="s">
        <v>462</v>
      </c>
      <c r="G2223" s="676">
        <v>5.0000000000000001E-3</v>
      </c>
      <c r="H2223" s="678">
        <v>0.52083333333333337</v>
      </c>
      <c r="I2223" s="930"/>
      <c r="J2223" s="930"/>
      <c r="K2223" s="931"/>
      <c r="L2223" s="675"/>
      <c r="M2223" s="426"/>
    </row>
    <row r="2224" spans="3:13" ht="18" thickBot="1" x14ac:dyDescent="0.25">
      <c r="C2224" s="168"/>
      <c r="D2224" s="672">
        <v>45489</v>
      </c>
      <c r="E2224" s="676">
        <v>4.0000000000000001E-3</v>
      </c>
      <c r="F2224" s="676" t="s">
        <v>462</v>
      </c>
      <c r="G2224" s="676">
        <v>1E-3</v>
      </c>
      <c r="H2224" s="678">
        <v>0.52083333333333337</v>
      </c>
      <c r="I2224" s="933"/>
      <c r="J2224" s="933"/>
      <c r="K2224" s="934"/>
      <c r="L2224" s="677"/>
      <c r="M2224" s="438"/>
    </row>
    <row r="2225" spans="3:13" ht="18" thickBot="1" x14ac:dyDescent="0.25">
      <c r="C2225" s="91">
        <v>11</v>
      </c>
      <c r="D2225" s="663" t="s">
        <v>30</v>
      </c>
      <c r="E2225" s="917" t="s">
        <v>1421</v>
      </c>
      <c r="F2225" s="918"/>
      <c r="G2225" s="919"/>
      <c r="H2225" s="664" t="s">
        <v>790</v>
      </c>
      <c r="I2225" s="921" t="s">
        <v>633</v>
      </c>
      <c r="J2225" s="921"/>
      <c r="K2225" s="922"/>
      <c r="L2225" s="664" t="s">
        <v>430</v>
      </c>
      <c r="M2225" s="423" t="s">
        <v>431</v>
      </c>
    </row>
    <row r="2226" spans="3:13" ht="17" x14ac:dyDescent="0.2">
      <c r="C2226" s="168"/>
      <c r="D2226" s="665" t="s">
        <v>432</v>
      </c>
      <c r="E2226" s="950"/>
      <c r="F2226" s="951"/>
      <c r="G2226" s="952"/>
      <c r="H2226" s="666" t="s">
        <v>906</v>
      </c>
      <c r="I2226" s="927" t="s">
        <v>1424</v>
      </c>
      <c r="J2226" s="927"/>
      <c r="K2226" s="928"/>
      <c r="L2226" s="679"/>
      <c r="M2226" s="426"/>
    </row>
    <row r="2227" spans="3:13" ht="17" x14ac:dyDescent="0.2">
      <c r="C2227" s="168"/>
      <c r="D2227" s="668" t="s">
        <v>433</v>
      </c>
      <c r="E2227" s="944" t="s">
        <v>1422</v>
      </c>
      <c r="F2227" s="945"/>
      <c r="G2227" s="946"/>
      <c r="H2227" s="666" t="s">
        <v>907</v>
      </c>
      <c r="I2227" s="930"/>
      <c r="J2227" s="930"/>
      <c r="K2227" s="931"/>
      <c r="L2227" s="667"/>
      <c r="M2227" s="426"/>
    </row>
    <row r="2228" spans="3:13" ht="17" x14ac:dyDescent="0.2">
      <c r="C2228" s="168"/>
      <c r="D2228" s="668" t="s">
        <v>434</v>
      </c>
      <c r="E2228" s="944" t="s">
        <v>1423</v>
      </c>
      <c r="F2228" s="945"/>
      <c r="G2228" s="946"/>
      <c r="H2228" s="424"/>
      <c r="I2228" s="930"/>
      <c r="J2228" s="930"/>
      <c r="K2228" s="931"/>
      <c r="L2228" s="667"/>
      <c r="M2228" s="426"/>
    </row>
    <row r="2229" spans="3:13" ht="18" thickBot="1" x14ac:dyDescent="0.25">
      <c r="C2229" s="168"/>
      <c r="D2229" s="669" t="s">
        <v>435</v>
      </c>
      <c r="E2229" s="938">
        <v>0.5625</v>
      </c>
      <c r="F2229" s="939"/>
      <c r="G2229" s="940"/>
      <c r="H2229" s="427"/>
      <c r="I2229" s="930"/>
      <c r="J2229" s="930"/>
      <c r="K2229" s="931"/>
      <c r="L2229" s="428">
        <v>0.79166666666666663</v>
      </c>
      <c r="M2229" s="429">
        <v>0.64583333333333326</v>
      </c>
    </row>
    <row r="2230" spans="3:13" ht="18" thickBot="1" x14ac:dyDescent="0.25">
      <c r="C2230" s="168"/>
      <c r="D2230" s="670" t="s">
        <v>436</v>
      </c>
      <c r="E2230" s="430" t="s">
        <v>29</v>
      </c>
      <c r="F2230" s="430" t="s">
        <v>28</v>
      </c>
      <c r="G2230" s="431" t="s">
        <v>27</v>
      </c>
      <c r="H2230" s="432" t="s">
        <v>793</v>
      </c>
      <c r="I2230" s="930"/>
      <c r="J2230" s="930"/>
      <c r="K2230" s="931"/>
      <c r="L2230" s="671" t="s">
        <v>1246</v>
      </c>
      <c r="M2230" s="433"/>
    </row>
    <row r="2231" spans="3:13" ht="17" x14ac:dyDescent="0.2">
      <c r="C2231" s="168"/>
      <c r="D2231" s="672">
        <v>45665</v>
      </c>
      <c r="E2231" s="676" t="s">
        <v>1438</v>
      </c>
      <c r="F2231" s="676" t="s">
        <v>1439</v>
      </c>
      <c r="G2231" s="676" t="s">
        <v>1440</v>
      </c>
      <c r="H2231" s="678">
        <v>0.5625</v>
      </c>
      <c r="I2231" s="930"/>
      <c r="J2231" s="930"/>
      <c r="K2231" s="931"/>
      <c r="L2231" s="675"/>
      <c r="M2231" s="436"/>
    </row>
    <row r="2232" spans="3:13" ht="17" x14ac:dyDescent="0.2">
      <c r="C2232" s="168"/>
      <c r="D2232" s="672">
        <v>45659</v>
      </c>
      <c r="E2232" s="676" t="s">
        <v>1440</v>
      </c>
      <c r="F2232" s="676" t="s">
        <v>986</v>
      </c>
      <c r="G2232" s="676" t="s">
        <v>1112</v>
      </c>
      <c r="H2232" s="678">
        <v>0.5625</v>
      </c>
      <c r="I2232" s="930"/>
      <c r="J2232" s="930"/>
      <c r="K2232" s="931"/>
      <c r="L2232" s="675"/>
      <c r="M2232" s="437"/>
    </row>
    <row r="2233" spans="3:13" ht="17" x14ac:dyDescent="0.2">
      <c r="C2233" s="168"/>
      <c r="D2233" s="672">
        <v>45652</v>
      </c>
      <c r="E2233" s="676" t="s">
        <v>987</v>
      </c>
      <c r="F2233" s="676" t="s">
        <v>973</v>
      </c>
      <c r="G2233" s="676" t="s">
        <v>1112</v>
      </c>
      <c r="H2233" s="678">
        <v>0.5625</v>
      </c>
      <c r="I2233" s="930"/>
      <c r="J2233" s="930"/>
      <c r="K2233" s="931"/>
      <c r="L2233" s="675"/>
      <c r="M2233" s="426"/>
    </row>
    <row r="2234" spans="3:13" ht="17" x14ac:dyDescent="0.2">
      <c r="C2234" s="168"/>
      <c r="D2234" s="672">
        <v>45645</v>
      </c>
      <c r="E2234" s="676" t="s">
        <v>1112</v>
      </c>
      <c r="F2234" s="676" t="s">
        <v>976</v>
      </c>
      <c r="G2234" s="676" t="s">
        <v>980</v>
      </c>
      <c r="H2234" s="678">
        <v>0.5625</v>
      </c>
      <c r="I2234" s="930"/>
      <c r="J2234" s="930"/>
      <c r="K2234" s="931"/>
      <c r="L2234" s="675"/>
      <c r="M2234" s="426"/>
    </row>
    <row r="2235" spans="3:13" ht="17" x14ac:dyDescent="0.2">
      <c r="C2235" s="168"/>
      <c r="D2235" s="672">
        <v>45638</v>
      </c>
      <c r="E2235" s="676" t="s">
        <v>980</v>
      </c>
      <c r="F2235" s="676" t="s">
        <v>972</v>
      </c>
      <c r="G2235" s="676" t="s">
        <v>985</v>
      </c>
      <c r="H2235" s="678">
        <v>0.5625</v>
      </c>
      <c r="I2235" s="930"/>
      <c r="J2235" s="930"/>
      <c r="K2235" s="931"/>
      <c r="L2235" s="675"/>
      <c r="M2235" s="426"/>
    </row>
    <row r="2236" spans="3:13" ht="18" thickBot="1" x14ac:dyDescent="0.25">
      <c r="C2236" s="168"/>
      <c r="D2236" s="672">
        <v>45631</v>
      </c>
      <c r="E2236" s="676" t="s">
        <v>1032</v>
      </c>
      <c r="F2236" s="676" t="s">
        <v>1232</v>
      </c>
      <c r="G2236" s="676" t="s">
        <v>1232</v>
      </c>
      <c r="H2236" s="678">
        <v>0.5625</v>
      </c>
      <c r="I2236" s="933"/>
      <c r="J2236" s="933"/>
      <c r="K2236" s="934"/>
      <c r="L2236" s="677"/>
      <c r="M2236" s="438"/>
    </row>
    <row r="2237" spans="3:13" ht="18" thickBot="1" x14ac:dyDescent="0.25">
      <c r="C2237" s="91">
        <v>11</v>
      </c>
      <c r="D2237" s="663" t="s">
        <v>30</v>
      </c>
      <c r="E2237" s="917" t="s">
        <v>1425</v>
      </c>
      <c r="F2237" s="918"/>
      <c r="G2237" s="919"/>
      <c r="H2237" s="664" t="s">
        <v>790</v>
      </c>
      <c r="I2237" s="921" t="s">
        <v>633</v>
      </c>
      <c r="J2237" s="921"/>
      <c r="K2237" s="922"/>
      <c r="L2237" s="664" t="s">
        <v>430</v>
      </c>
      <c r="M2237" s="423" t="s">
        <v>431</v>
      </c>
    </row>
    <row r="2238" spans="3:13" ht="17" x14ac:dyDescent="0.2">
      <c r="C2238" s="168"/>
      <c r="D2238" s="665" t="s">
        <v>432</v>
      </c>
      <c r="E2238" s="950"/>
      <c r="F2238" s="951"/>
      <c r="G2238" s="952"/>
      <c r="H2238" s="666" t="s">
        <v>906</v>
      </c>
      <c r="I2238" s="927" t="s">
        <v>1428</v>
      </c>
      <c r="J2238" s="927"/>
      <c r="K2238" s="928"/>
      <c r="L2238" s="667"/>
      <c r="M2238" s="426"/>
    </row>
    <row r="2239" spans="3:13" ht="17" x14ac:dyDescent="0.2">
      <c r="C2239" s="168"/>
      <c r="D2239" s="668" t="s">
        <v>433</v>
      </c>
      <c r="E2239" s="935" t="s">
        <v>1426</v>
      </c>
      <c r="F2239" s="936"/>
      <c r="G2239" s="937"/>
      <c r="H2239" s="666" t="s">
        <v>907</v>
      </c>
      <c r="I2239" s="930"/>
      <c r="J2239" s="930"/>
      <c r="K2239" s="931"/>
      <c r="L2239" s="667"/>
      <c r="M2239" s="426"/>
    </row>
    <row r="2240" spans="3:13" ht="17" x14ac:dyDescent="0.2">
      <c r="C2240" s="168"/>
      <c r="D2240" s="668" t="s">
        <v>434</v>
      </c>
      <c r="E2240" s="935" t="s">
        <v>1427</v>
      </c>
      <c r="F2240" s="936"/>
      <c r="G2240" s="937"/>
      <c r="H2240" s="424"/>
      <c r="I2240" s="930"/>
      <c r="J2240" s="930"/>
      <c r="K2240" s="931"/>
      <c r="L2240" s="667"/>
      <c r="M2240" s="426"/>
    </row>
    <row r="2241" spans="3:13" ht="18" thickBot="1" x14ac:dyDescent="0.25">
      <c r="C2241" s="168"/>
      <c r="D2241" s="669" t="s">
        <v>435</v>
      </c>
      <c r="E2241" s="938">
        <v>0.5625</v>
      </c>
      <c r="F2241" s="939"/>
      <c r="G2241" s="940"/>
      <c r="H2241" s="427"/>
      <c r="I2241" s="930"/>
      <c r="J2241" s="930"/>
      <c r="K2241" s="931"/>
      <c r="L2241" s="428">
        <v>0.79166666666666663</v>
      </c>
      <c r="M2241" s="429">
        <v>0.875</v>
      </c>
    </row>
    <row r="2242" spans="3:13" ht="18" thickBot="1" x14ac:dyDescent="0.25">
      <c r="C2242" s="168"/>
      <c r="D2242" s="670" t="s">
        <v>436</v>
      </c>
      <c r="E2242" s="430" t="s">
        <v>29</v>
      </c>
      <c r="F2242" s="430" t="s">
        <v>28</v>
      </c>
      <c r="G2242" s="431" t="s">
        <v>27</v>
      </c>
      <c r="H2242" s="432" t="s">
        <v>793</v>
      </c>
      <c r="I2242" s="930"/>
      <c r="J2242" s="930"/>
      <c r="K2242" s="931"/>
      <c r="L2242" s="671" t="s">
        <v>1246</v>
      </c>
      <c r="M2242" s="433"/>
    </row>
    <row r="2243" spans="3:13" ht="17" x14ac:dyDescent="0.2">
      <c r="C2243" s="168"/>
      <c r="D2243" s="680">
        <v>45645</v>
      </c>
      <c r="E2243" s="434">
        <v>-16.399999999999999</v>
      </c>
      <c r="F2243" s="434" t="s">
        <v>1441</v>
      </c>
      <c r="G2243" s="434">
        <v>-5.5</v>
      </c>
      <c r="H2243" s="678">
        <v>0.5625</v>
      </c>
      <c r="I2243" s="930"/>
      <c r="J2243" s="930"/>
      <c r="K2243" s="931"/>
      <c r="L2243" s="675"/>
      <c r="M2243" s="436"/>
    </row>
    <row r="2244" spans="3:13" ht="17" x14ac:dyDescent="0.2">
      <c r="C2244" s="168"/>
      <c r="D2244" s="680">
        <v>45617</v>
      </c>
      <c r="E2244" s="434">
        <v>-5.5</v>
      </c>
      <c r="F2244" s="434" t="s">
        <v>1292</v>
      </c>
      <c r="G2244" s="434">
        <v>10.3</v>
      </c>
      <c r="H2244" s="678">
        <v>0.5625</v>
      </c>
      <c r="I2244" s="930"/>
      <c r="J2244" s="930"/>
      <c r="K2244" s="931"/>
      <c r="L2244" s="675"/>
      <c r="M2244" s="437"/>
    </row>
    <row r="2245" spans="3:13" ht="17" x14ac:dyDescent="0.2">
      <c r="C2245" s="168"/>
      <c r="D2245" s="680">
        <v>45582</v>
      </c>
      <c r="E2245" s="434">
        <v>10.3</v>
      </c>
      <c r="F2245" s="434" t="s">
        <v>1033</v>
      </c>
      <c r="G2245" s="434">
        <v>1.7</v>
      </c>
      <c r="H2245" s="678">
        <v>0.52083333333333337</v>
      </c>
      <c r="I2245" s="930"/>
      <c r="J2245" s="930"/>
      <c r="K2245" s="931"/>
      <c r="L2245" s="675"/>
      <c r="M2245" s="426"/>
    </row>
    <row r="2246" spans="3:13" ht="17" x14ac:dyDescent="0.2">
      <c r="C2246" s="168"/>
      <c r="D2246" s="680">
        <v>45554</v>
      </c>
      <c r="E2246" s="434">
        <v>1.7</v>
      </c>
      <c r="F2246" s="434" t="s">
        <v>1034</v>
      </c>
      <c r="G2246" s="434">
        <v>-7</v>
      </c>
      <c r="H2246" s="678">
        <v>0.52083333333333337</v>
      </c>
      <c r="I2246" s="930"/>
      <c r="J2246" s="930"/>
      <c r="K2246" s="931"/>
      <c r="L2246" s="675"/>
      <c r="M2246" s="426"/>
    </row>
    <row r="2247" spans="3:13" ht="17" x14ac:dyDescent="0.2">
      <c r="C2247" s="168"/>
      <c r="D2247" s="680">
        <v>45519</v>
      </c>
      <c r="E2247" s="434">
        <v>-7</v>
      </c>
      <c r="F2247" s="434" t="s">
        <v>1035</v>
      </c>
      <c r="G2247" s="434">
        <v>13.9</v>
      </c>
      <c r="H2247" s="678">
        <v>0.52083333333333337</v>
      </c>
      <c r="I2247" s="930"/>
      <c r="J2247" s="930"/>
      <c r="K2247" s="931"/>
      <c r="L2247" s="675"/>
      <c r="M2247" s="426"/>
    </row>
    <row r="2248" spans="3:13" ht="18" thickBot="1" x14ac:dyDescent="0.25">
      <c r="C2248" s="168"/>
      <c r="D2248" s="680">
        <v>45491</v>
      </c>
      <c r="E2248" s="434">
        <v>13.9</v>
      </c>
      <c r="F2248" s="434" t="s">
        <v>1036</v>
      </c>
      <c r="G2248" s="434">
        <v>1.3</v>
      </c>
      <c r="H2248" s="678">
        <v>0.52083333333333337</v>
      </c>
      <c r="I2248" s="933"/>
      <c r="J2248" s="933"/>
      <c r="K2248" s="934"/>
      <c r="L2248" s="677"/>
      <c r="M2248" s="438"/>
    </row>
    <row r="2249" spans="3:13" ht="18" thickBot="1" x14ac:dyDescent="0.25">
      <c r="C2249" s="91">
        <v>12</v>
      </c>
      <c r="D2249" s="663" t="s">
        <v>30</v>
      </c>
      <c r="E2249" s="917" t="s">
        <v>1429</v>
      </c>
      <c r="F2249" s="918"/>
      <c r="G2249" s="919"/>
      <c r="H2249" s="664" t="s">
        <v>790</v>
      </c>
      <c r="I2249" s="921" t="s">
        <v>633</v>
      </c>
      <c r="J2249" s="921"/>
      <c r="K2249" s="922"/>
      <c r="L2249" s="664" t="s">
        <v>430</v>
      </c>
      <c r="M2249" s="423" t="s">
        <v>431</v>
      </c>
    </row>
    <row r="2250" spans="3:13" ht="17" x14ac:dyDescent="0.2">
      <c r="C2250" s="168"/>
      <c r="D2250" s="665" t="s">
        <v>432</v>
      </c>
      <c r="E2250" s="950"/>
      <c r="F2250" s="951"/>
      <c r="G2250" s="952"/>
      <c r="H2250" s="666" t="s">
        <v>906</v>
      </c>
      <c r="I2250" s="927" t="s">
        <v>1430</v>
      </c>
      <c r="J2250" s="927"/>
      <c r="K2250" s="928"/>
      <c r="L2250" s="667"/>
      <c r="M2250" s="426"/>
    </row>
    <row r="2251" spans="3:13" ht="17" x14ac:dyDescent="0.2">
      <c r="C2251" s="168"/>
      <c r="D2251" s="668" t="s">
        <v>433</v>
      </c>
      <c r="E2251" s="944">
        <v>5.0000000000000001E-3</v>
      </c>
      <c r="F2251" s="945"/>
      <c r="G2251" s="946"/>
      <c r="H2251" s="666" t="s">
        <v>907</v>
      </c>
      <c r="I2251" s="930"/>
      <c r="J2251" s="930"/>
      <c r="K2251" s="931"/>
      <c r="L2251" s="667"/>
      <c r="M2251" s="426"/>
    </row>
    <row r="2252" spans="3:13" ht="17" x14ac:dyDescent="0.2">
      <c r="C2252" s="168"/>
      <c r="D2252" s="668" t="s">
        <v>434</v>
      </c>
      <c r="E2252" s="944">
        <v>7.0000000000000001E-3</v>
      </c>
      <c r="F2252" s="945"/>
      <c r="G2252" s="946"/>
      <c r="H2252" s="424"/>
      <c r="I2252" s="930"/>
      <c r="J2252" s="930"/>
      <c r="K2252" s="931"/>
      <c r="L2252" s="667"/>
      <c r="M2252" s="426"/>
    </row>
    <row r="2253" spans="3:13" ht="18" thickBot="1" x14ac:dyDescent="0.25">
      <c r="C2253" s="168"/>
      <c r="D2253" s="669" t="s">
        <v>435</v>
      </c>
      <c r="E2253" s="938">
        <v>0.5625</v>
      </c>
      <c r="F2253" s="939"/>
      <c r="G2253" s="940"/>
      <c r="H2253" s="427"/>
      <c r="I2253" s="930"/>
      <c r="J2253" s="930"/>
      <c r="K2253" s="931"/>
      <c r="L2253" s="428">
        <v>0.79166666666666663</v>
      </c>
      <c r="M2253" s="429">
        <v>0.64583333333333326</v>
      </c>
    </row>
    <row r="2254" spans="3:13" ht="18" thickBot="1" x14ac:dyDescent="0.25">
      <c r="C2254" s="168"/>
      <c r="D2254" s="670" t="s">
        <v>436</v>
      </c>
      <c r="E2254" s="430" t="s">
        <v>29</v>
      </c>
      <c r="F2254" s="430" t="s">
        <v>28</v>
      </c>
      <c r="G2254" s="431" t="s">
        <v>27</v>
      </c>
      <c r="H2254" s="432" t="s">
        <v>793</v>
      </c>
      <c r="I2254" s="930"/>
      <c r="J2254" s="930"/>
      <c r="K2254" s="931"/>
      <c r="L2254" s="671" t="s">
        <v>1246</v>
      </c>
      <c r="M2254" s="433"/>
    </row>
    <row r="2255" spans="3:13" ht="17" x14ac:dyDescent="0.2">
      <c r="C2255" s="168"/>
      <c r="D2255" s="672">
        <v>45643</v>
      </c>
      <c r="E2255" s="676">
        <v>7.0000000000000001E-3</v>
      </c>
      <c r="F2255" s="676" t="s">
        <v>449</v>
      </c>
      <c r="G2255" s="676">
        <v>5.0000000000000001E-3</v>
      </c>
      <c r="H2255" s="678">
        <v>0.5625</v>
      </c>
      <c r="I2255" s="930"/>
      <c r="J2255" s="930"/>
      <c r="K2255" s="931"/>
      <c r="L2255" s="675"/>
      <c r="M2255" s="436"/>
    </row>
    <row r="2256" spans="3:13" ht="17" x14ac:dyDescent="0.2">
      <c r="C2256" s="168"/>
      <c r="D2256" s="672">
        <v>45611</v>
      </c>
      <c r="E2256" s="676">
        <v>4.0000000000000001E-3</v>
      </c>
      <c r="F2256" s="676" t="s">
        <v>467</v>
      </c>
      <c r="G2256" s="676">
        <v>8.0000000000000002E-3</v>
      </c>
      <c r="H2256" s="678">
        <v>0.5625</v>
      </c>
      <c r="I2256" s="930"/>
      <c r="J2256" s="930"/>
      <c r="K2256" s="931"/>
      <c r="L2256" s="675"/>
      <c r="M2256" s="437"/>
    </row>
    <row r="2257" spans="3:13" ht="17" x14ac:dyDescent="0.2">
      <c r="C2257" s="168"/>
      <c r="D2257" s="672">
        <v>45582</v>
      </c>
      <c r="E2257" s="676">
        <v>4.0000000000000001E-3</v>
      </c>
      <c r="F2257" s="676" t="s">
        <v>467</v>
      </c>
      <c r="G2257" s="676">
        <v>1E-3</v>
      </c>
      <c r="H2257" s="678">
        <v>0.52083333333333337</v>
      </c>
      <c r="I2257" s="930"/>
      <c r="J2257" s="930"/>
      <c r="K2257" s="931"/>
      <c r="L2257" s="675"/>
      <c r="M2257" s="426"/>
    </row>
    <row r="2258" spans="3:13" ht="17" x14ac:dyDescent="0.2">
      <c r="C2258" s="168"/>
      <c r="D2258" s="672">
        <v>45552</v>
      </c>
      <c r="E2258" s="676">
        <v>1E-3</v>
      </c>
      <c r="F2258" s="676" t="s">
        <v>461</v>
      </c>
      <c r="G2258" s="676">
        <v>1.0999999999999999E-2</v>
      </c>
      <c r="H2258" s="678">
        <v>0.52083333333333337</v>
      </c>
      <c r="I2258" s="930"/>
      <c r="J2258" s="930"/>
      <c r="K2258" s="931"/>
      <c r="L2258" s="675"/>
      <c r="M2258" s="426"/>
    </row>
    <row r="2259" spans="3:13" ht="17" x14ac:dyDescent="0.2">
      <c r="C2259" s="168"/>
      <c r="D2259" s="672">
        <v>45519</v>
      </c>
      <c r="E2259" s="676">
        <v>0.01</v>
      </c>
      <c r="F2259" s="676" t="s">
        <v>452</v>
      </c>
      <c r="G2259" s="676">
        <v>-2E-3</v>
      </c>
      <c r="H2259" s="678">
        <v>0.52083333333333337</v>
      </c>
      <c r="I2259" s="930"/>
      <c r="J2259" s="930"/>
      <c r="K2259" s="931"/>
      <c r="L2259" s="675"/>
      <c r="M2259" s="426"/>
    </row>
    <row r="2260" spans="3:13" ht="18" thickBot="1" x14ac:dyDescent="0.25">
      <c r="C2260" s="168"/>
      <c r="D2260" s="672">
        <v>45489</v>
      </c>
      <c r="E2260" s="676">
        <v>0</v>
      </c>
      <c r="F2260" s="676" t="s">
        <v>454</v>
      </c>
      <c r="G2260" s="676">
        <v>3.0000000000000001E-3</v>
      </c>
      <c r="H2260" s="678">
        <v>0.52083333333333337</v>
      </c>
      <c r="I2260" s="933"/>
      <c r="J2260" s="933"/>
      <c r="K2260" s="934"/>
      <c r="L2260" s="677"/>
      <c r="M2260" s="438"/>
    </row>
    <row r="2261" spans="3:13" ht="18" thickBot="1" x14ac:dyDescent="0.25">
      <c r="C2261" s="91">
        <v>13</v>
      </c>
      <c r="D2261" s="663" t="s">
        <v>30</v>
      </c>
      <c r="E2261" s="917" t="s">
        <v>1431</v>
      </c>
      <c r="F2261" s="918"/>
      <c r="G2261" s="919"/>
      <c r="H2261" s="664" t="s">
        <v>790</v>
      </c>
      <c r="I2261" s="921" t="s">
        <v>633</v>
      </c>
      <c r="J2261" s="921"/>
      <c r="K2261" s="922"/>
      <c r="L2261" s="664" t="s">
        <v>430</v>
      </c>
      <c r="M2261" s="423" t="s">
        <v>431</v>
      </c>
    </row>
    <row r="2262" spans="3:13" ht="17" x14ac:dyDescent="0.2">
      <c r="C2262" s="168"/>
      <c r="D2262" s="665" t="s">
        <v>432</v>
      </c>
      <c r="E2262" s="950"/>
      <c r="F2262" s="951"/>
      <c r="G2262" s="952"/>
      <c r="H2262" s="666" t="s">
        <v>911</v>
      </c>
      <c r="I2262" s="927" t="s">
        <v>1432</v>
      </c>
      <c r="J2262" s="927"/>
      <c r="K2262" s="928"/>
      <c r="L2262" s="667"/>
      <c r="M2262" s="426"/>
    </row>
    <row r="2263" spans="3:13" ht="17" x14ac:dyDescent="0.2">
      <c r="C2263" s="168"/>
      <c r="D2263" s="668" t="s">
        <v>433</v>
      </c>
      <c r="E2263" s="953">
        <v>5.0999999999999997E-2</v>
      </c>
      <c r="F2263" s="954"/>
      <c r="G2263" s="955"/>
      <c r="H2263" s="424" t="s">
        <v>912</v>
      </c>
      <c r="I2263" s="930"/>
      <c r="J2263" s="930"/>
      <c r="K2263" s="931"/>
      <c r="L2263" s="667"/>
      <c r="M2263" s="426"/>
    </row>
    <row r="2264" spans="3:13" ht="17" x14ac:dyDescent="0.2">
      <c r="C2264" s="168"/>
      <c r="D2264" s="668" t="s">
        <v>434</v>
      </c>
      <c r="E2264" s="953">
        <v>4.5999999999999999E-2</v>
      </c>
      <c r="F2264" s="954"/>
      <c r="G2264" s="955"/>
      <c r="H2264" s="424"/>
      <c r="I2264" s="930"/>
      <c r="J2264" s="930"/>
      <c r="K2264" s="931"/>
      <c r="L2264" s="667"/>
      <c r="M2264" s="426"/>
    </row>
    <row r="2265" spans="3:13" ht="18" thickBot="1" x14ac:dyDescent="0.25">
      <c r="C2265" s="168"/>
      <c r="D2265" s="669" t="s">
        <v>435</v>
      </c>
      <c r="E2265" s="938">
        <v>8.3333333333333343E-2</v>
      </c>
      <c r="F2265" s="939"/>
      <c r="G2265" s="940"/>
      <c r="H2265" s="427"/>
      <c r="I2265" s="930"/>
      <c r="J2265" s="930"/>
      <c r="K2265" s="931"/>
      <c r="L2265" s="428">
        <v>0.3125</v>
      </c>
      <c r="M2265" s="429">
        <v>0.16666666666666666</v>
      </c>
    </row>
    <row r="2266" spans="3:13" ht="18" thickBot="1" x14ac:dyDescent="0.25">
      <c r="C2266" s="168"/>
      <c r="D2266" s="670" t="s">
        <v>436</v>
      </c>
      <c r="E2266" s="430" t="s">
        <v>29</v>
      </c>
      <c r="F2266" s="430" t="s">
        <v>28</v>
      </c>
      <c r="G2266" s="431" t="s">
        <v>27</v>
      </c>
      <c r="H2266" s="432" t="s">
        <v>793</v>
      </c>
      <c r="I2266" s="930"/>
      <c r="J2266" s="930"/>
      <c r="K2266" s="931"/>
      <c r="L2266" s="671" t="s">
        <v>1246</v>
      </c>
      <c r="M2266" s="433"/>
    </row>
    <row r="2267" spans="3:13" ht="17" x14ac:dyDescent="0.2">
      <c r="C2267" s="168"/>
      <c r="D2267" s="672">
        <v>45583</v>
      </c>
      <c r="E2267" s="493">
        <v>4.5999999999999999E-2</v>
      </c>
      <c r="F2267" s="493" t="s">
        <v>1442</v>
      </c>
      <c r="G2267" s="493">
        <v>4.7E-2</v>
      </c>
      <c r="H2267" s="678">
        <v>8.3333333333333329E-2</v>
      </c>
      <c r="I2267" s="930"/>
      <c r="J2267" s="930"/>
      <c r="K2267" s="931"/>
      <c r="L2267" s="675"/>
      <c r="M2267" s="436"/>
    </row>
    <row r="2268" spans="3:13" ht="17" x14ac:dyDescent="0.2">
      <c r="C2268" s="168"/>
      <c r="D2268" s="672">
        <v>45488</v>
      </c>
      <c r="E2268" s="493">
        <v>4.7E-2</v>
      </c>
      <c r="F2268" s="493" t="s">
        <v>1443</v>
      </c>
      <c r="G2268" s="493">
        <v>5.2999999999999999E-2</v>
      </c>
      <c r="H2268" s="678">
        <v>8.3333333333333329E-2</v>
      </c>
      <c r="I2268" s="930"/>
      <c r="J2268" s="930"/>
      <c r="K2268" s="931"/>
      <c r="L2268" s="675"/>
      <c r="M2268" s="437"/>
    </row>
    <row r="2269" spans="3:13" ht="17" x14ac:dyDescent="0.2">
      <c r="C2269" s="168"/>
      <c r="D2269" s="672">
        <v>45398</v>
      </c>
      <c r="E2269" s="493">
        <v>5.2999999999999999E-2</v>
      </c>
      <c r="F2269" s="493" t="s">
        <v>1444</v>
      </c>
      <c r="G2269" s="493">
        <v>5.1999999999999998E-2</v>
      </c>
      <c r="H2269" s="678">
        <v>8.3333333333333329E-2</v>
      </c>
      <c r="I2269" s="930"/>
      <c r="J2269" s="930"/>
      <c r="K2269" s="931"/>
      <c r="L2269" s="675"/>
      <c r="M2269" s="426"/>
    </row>
    <row r="2270" spans="3:13" ht="17" x14ac:dyDescent="0.2">
      <c r="C2270" s="168"/>
      <c r="D2270" s="672">
        <v>45308</v>
      </c>
      <c r="E2270" s="493">
        <v>5.1999999999999998E-2</v>
      </c>
      <c r="F2270" s="493" t="s">
        <v>884</v>
      </c>
      <c r="G2270" s="493">
        <v>4.9000000000000002E-2</v>
      </c>
      <c r="H2270" s="678">
        <v>8.3333333333333329E-2</v>
      </c>
      <c r="I2270" s="930"/>
      <c r="J2270" s="930"/>
      <c r="K2270" s="931"/>
      <c r="L2270" s="675"/>
      <c r="M2270" s="426"/>
    </row>
    <row r="2271" spans="3:13" ht="17" x14ac:dyDescent="0.2">
      <c r="C2271" s="168"/>
      <c r="D2271" s="672">
        <v>45217</v>
      </c>
      <c r="E2271" s="493">
        <v>4.9000000000000002E-2</v>
      </c>
      <c r="F2271" s="493" t="s">
        <v>1445</v>
      </c>
      <c r="G2271" s="493">
        <v>6.3E-2</v>
      </c>
      <c r="H2271" s="678">
        <v>8.3333333333333329E-2</v>
      </c>
      <c r="I2271" s="930"/>
      <c r="J2271" s="930"/>
      <c r="K2271" s="931"/>
      <c r="L2271" s="675"/>
      <c r="M2271" s="426"/>
    </row>
    <row r="2272" spans="3:13" ht="18" thickBot="1" x14ac:dyDescent="0.25">
      <c r="C2272" s="168"/>
      <c r="D2272" s="672">
        <v>45124</v>
      </c>
      <c r="E2272" s="493">
        <v>6.3E-2</v>
      </c>
      <c r="F2272" s="493" t="s">
        <v>1446</v>
      </c>
      <c r="G2272" s="493">
        <v>4.4999999999999998E-2</v>
      </c>
      <c r="H2272" s="678">
        <v>8.3333333333333329E-2</v>
      </c>
      <c r="I2272" s="933"/>
      <c r="J2272" s="933"/>
      <c r="K2272" s="934"/>
      <c r="L2272" s="677"/>
      <c r="M2272" s="438"/>
    </row>
    <row r="2273" spans="2:13" ht="18" thickBot="1" x14ac:dyDescent="0.25">
      <c r="C2273" s="91">
        <v>10</v>
      </c>
      <c r="D2273" s="663" t="s">
        <v>30</v>
      </c>
      <c r="E2273" s="917" t="s">
        <v>1433</v>
      </c>
      <c r="F2273" s="918"/>
      <c r="G2273" s="919"/>
      <c r="H2273" s="664" t="s">
        <v>790</v>
      </c>
      <c r="I2273" s="921" t="s">
        <v>633</v>
      </c>
      <c r="J2273" s="921"/>
      <c r="K2273" s="922"/>
      <c r="L2273" s="664" t="s">
        <v>430</v>
      </c>
      <c r="M2273" s="423" t="s">
        <v>431</v>
      </c>
    </row>
    <row r="2274" spans="2:13" ht="17" x14ac:dyDescent="0.2">
      <c r="C2274" s="168"/>
      <c r="D2274" s="665" t="s">
        <v>432</v>
      </c>
      <c r="E2274" s="950"/>
      <c r="F2274" s="951"/>
      <c r="G2274" s="952"/>
      <c r="H2274" s="666" t="s">
        <v>906</v>
      </c>
      <c r="I2274" s="927" t="s">
        <v>1434</v>
      </c>
      <c r="J2274" s="927"/>
      <c r="K2274" s="928"/>
      <c r="L2274" s="667"/>
      <c r="M2274" s="425" t="s">
        <v>1433</v>
      </c>
    </row>
    <row r="2275" spans="2:13" ht="17" x14ac:dyDescent="0.2">
      <c r="C2275" s="168"/>
      <c r="D2275" s="668" t="s">
        <v>433</v>
      </c>
      <c r="E2275" s="941">
        <v>2.4E-2</v>
      </c>
      <c r="F2275" s="942"/>
      <c r="G2275" s="943"/>
      <c r="H2275" s="666" t="s">
        <v>907</v>
      </c>
      <c r="I2275" s="930"/>
      <c r="J2275" s="930"/>
      <c r="K2275" s="931"/>
      <c r="L2275" s="667"/>
      <c r="M2275" s="426"/>
    </row>
    <row r="2276" spans="2:13" ht="17" x14ac:dyDescent="0.2">
      <c r="C2276" s="168"/>
      <c r="D2276" s="668" t="s">
        <v>434</v>
      </c>
      <c r="E2276" s="941">
        <v>2.4E-2</v>
      </c>
      <c r="F2276" s="942"/>
      <c r="G2276" s="943"/>
      <c r="H2276" s="424"/>
      <c r="I2276" s="930"/>
      <c r="J2276" s="930"/>
      <c r="K2276" s="931"/>
      <c r="L2276" s="667"/>
      <c r="M2276" s="426"/>
    </row>
    <row r="2277" spans="2:13" ht="18" thickBot="1" x14ac:dyDescent="0.25">
      <c r="C2277" s="168"/>
      <c r="D2277" s="669" t="s">
        <v>435</v>
      </c>
      <c r="E2277" s="938">
        <v>0.41666666666666674</v>
      </c>
      <c r="F2277" s="939"/>
      <c r="G2277" s="940"/>
      <c r="H2277" s="427"/>
      <c r="I2277" s="930"/>
      <c r="J2277" s="930"/>
      <c r="K2277" s="931"/>
      <c r="L2277" s="428">
        <v>0.64583333333333337</v>
      </c>
      <c r="M2277" s="429">
        <v>0.5</v>
      </c>
    </row>
    <row r="2278" spans="2:13" ht="18" thickBot="1" x14ac:dyDescent="0.25">
      <c r="C2278" s="168"/>
      <c r="D2278" s="670" t="s">
        <v>436</v>
      </c>
      <c r="E2278" s="430" t="s">
        <v>29</v>
      </c>
      <c r="F2278" s="430" t="s">
        <v>28</v>
      </c>
      <c r="G2278" s="431" t="s">
        <v>27</v>
      </c>
      <c r="H2278" s="432" t="s">
        <v>793</v>
      </c>
      <c r="I2278" s="930"/>
      <c r="J2278" s="930"/>
      <c r="K2278" s="931"/>
      <c r="L2278" s="671" t="s">
        <v>1246</v>
      </c>
      <c r="M2278" s="433"/>
    </row>
    <row r="2279" spans="2:13" ht="17" x14ac:dyDescent="0.2">
      <c r="C2279" s="168"/>
      <c r="D2279" s="672">
        <v>45664</v>
      </c>
      <c r="E2279" s="441">
        <v>2.4E-2</v>
      </c>
      <c r="F2279" s="441" t="s">
        <v>1447</v>
      </c>
      <c r="G2279" s="441">
        <v>2.1999999999999999E-2</v>
      </c>
      <c r="H2279" s="678">
        <v>0.41666666666666669</v>
      </c>
      <c r="I2279" s="930"/>
      <c r="J2279" s="930"/>
      <c r="K2279" s="931"/>
      <c r="L2279" s="675"/>
      <c r="M2279" s="442"/>
    </row>
    <row r="2280" spans="2:13" ht="17" x14ac:dyDescent="0.2">
      <c r="C2280" s="168"/>
      <c r="D2280" s="672">
        <v>45644</v>
      </c>
      <c r="E2280" s="441">
        <v>2.1999999999999999E-2</v>
      </c>
      <c r="F2280" s="441" t="s">
        <v>971</v>
      </c>
      <c r="G2280" s="441">
        <v>0.02</v>
      </c>
      <c r="H2280" s="678">
        <v>0.41666666666666669</v>
      </c>
      <c r="I2280" s="930"/>
      <c r="J2280" s="930"/>
      <c r="K2280" s="931"/>
      <c r="L2280" s="675"/>
      <c r="M2280" s="442"/>
    </row>
    <row r="2281" spans="2:13" ht="17" x14ac:dyDescent="0.2">
      <c r="C2281" s="168"/>
      <c r="D2281" s="672">
        <v>45625</v>
      </c>
      <c r="E2281" s="441">
        <v>2.3E-2</v>
      </c>
      <c r="F2281" s="441" t="s">
        <v>971</v>
      </c>
      <c r="G2281" s="441">
        <v>0.02</v>
      </c>
      <c r="H2281" s="678">
        <v>0.41666666666666669</v>
      </c>
      <c r="I2281" s="930"/>
      <c r="J2281" s="930"/>
      <c r="K2281" s="931"/>
      <c r="L2281" s="675"/>
      <c r="M2281" s="442"/>
    </row>
    <row r="2282" spans="2:13" ht="17" x14ac:dyDescent="0.2">
      <c r="C2282" s="168"/>
      <c r="D2282" s="672">
        <v>45615</v>
      </c>
      <c r="E2282" s="441">
        <v>0.02</v>
      </c>
      <c r="F2282" s="441" t="s">
        <v>788</v>
      </c>
      <c r="G2282" s="441">
        <v>0.02</v>
      </c>
      <c r="H2282" s="678">
        <v>0.41666666666666669</v>
      </c>
      <c r="I2282" s="930"/>
      <c r="J2282" s="930"/>
      <c r="K2282" s="931"/>
      <c r="L2282" s="675"/>
      <c r="M2282" s="442"/>
    </row>
    <row r="2283" spans="2:13" ht="17" x14ac:dyDescent="0.2">
      <c r="C2283" s="168"/>
      <c r="D2283" s="672">
        <v>45596</v>
      </c>
      <c r="E2283" s="441">
        <v>0.02</v>
      </c>
      <c r="F2283" s="441" t="s">
        <v>789</v>
      </c>
      <c r="G2283" s="441">
        <v>1.7000000000000001E-2</v>
      </c>
      <c r="H2283" s="678">
        <v>0.41666666666666669</v>
      </c>
      <c r="I2283" s="930"/>
      <c r="J2283" s="930"/>
      <c r="K2283" s="931"/>
      <c r="L2283" s="675"/>
      <c r="M2283" s="442"/>
    </row>
    <row r="2284" spans="2:13" ht="18" thickBot="1" x14ac:dyDescent="0.25">
      <c r="C2284" s="168"/>
      <c r="D2284" s="672">
        <v>45582</v>
      </c>
      <c r="E2284" s="441">
        <v>1.7000000000000001E-2</v>
      </c>
      <c r="F2284" s="441" t="s">
        <v>895</v>
      </c>
      <c r="G2284" s="441">
        <v>2.1999999999999999E-2</v>
      </c>
      <c r="H2284" s="678">
        <v>0.375</v>
      </c>
      <c r="I2284" s="933"/>
      <c r="J2284" s="933"/>
      <c r="K2284" s="934"/>
      <c r="L2284" s="677"/>
      <c r="M2284" s="442"/>
    </row>
    <row r="2285" spans="2:13" ht="25" customHeight="1" thickBot="1" x14ac:dyDescent="0.25">
      <c r="B2285" t="s">
        <v>1559</v>
      </c>
      <c r="C2285" s="91">
        <v>1</v>
      </c>
      <c r="D2285" s="663" t="s">
        <v>30</v>
      </c>
      <c r="E2285" s="917" t="s">
        <v>1477</v>
      </c>
      <c r="F2285" s="918"/>
      <c r="G2285" s="919"/>
      <c r="H2285" s="664" t="s">
        <v>790</v>
      </c>
      <c r="I2285" s="920" t="s">
        <v>633</v>
      </c>
      <c r="J2285" s="921"/>
      <c r="K2285" s="922"/>
      <c r="L2285" s="664" t="s">
        <v>430</v>
      </c>
      <c r="M2285" s="664" t="s">
        <v>431</v>
      </c>
    </row>
    <row r="2286" spans="2:13" ht="24" customHeight="1" x14ac:dyDescent="0.2">
      <c r="C2286" s="91"/>
      <c r="D2286" s="665" t="s">
        <v>432</v>
      </c>
      <c r="E2286" s="923"/>
      <c r="F2286" s="924"/>
      <c r="G2286" s="925"/>
      <c r="H2286" s="666" t="s">
        <v>911</v>
      </c>
      <c r="I2286" s="926" t="s">
        <v>1478</v>
      </c>
      <c r="J2286" s="927"/>
      <c r="K2286" s="928"/>
      <c r="L2286" s="667"/>
      <c r="M2286" s="425" t="s">
        <v>1477</v>
      </c>
    </row>
    <row r="2287" spans="2:13" ht="17" x14ac:dyDescent="0.2">
      <c r="C2287" s="91"/>
      <c r="D2287" s="668" t="s">
        <v>433</v>
      </c>
      <c r="E2287" s="941">
        <v>50.1</v>
      </c>
      <c r="F2287" s="942"/>
      <c r="G2287" s="943"/>
      <c r="H2287" s="666" t="s">
        <v>912</v>
      </c>
      <c r="I2287" s="929"/>
      <c r="J2287" s="930"/>
      <c r="K2287" s="931"/>
      <c r="L2287" s="667"/>
      <c r="M2287" s="426"/>
    </row>
    <row r="2288" spans="2:13" ht="17" x14ac:dyDescent="0.2">
      <c r="C2288" s="91"/>
      <c r="D2288" s="668" t="s">
        <v>434</v>
      </c>
      <c r="E2288" s="941">
        <v>50.1</v>
      </c>
      <c r="F2288" s="942"/>
      <c r="G2288" s="943"/>
      <c r="H2288" s="424"/>
      <c r="I2288" s="929"/>
      <c r="J2288" s="930"/>
      <c r="K2288" s="931"/>
      <c r="L2288" s="667"/>
      <c r="M2288" s="426"/>
    </row>
    <row r="2289" spans="3:13" ht="18" thickBot="1" x14ac:dyDescent="0.25">
      <c r="C2289" s="91"/>
      <c r="D2289" s="669" t="s">
        <v>435</v>
      </c>
      <c r="E2289" s="938">
        <v>6.2500000000000028E-2</v>
      </c>
      <c r="F2289" s="939"/>
      <c r="G2289" s="940"/>
      <c r="H2289" s="427"/>
      <c r="I2289" s="929"/>
      <c r="J2289" s="930"/>
      <c r="K2289" s="931"/>
      <c r="L2289" s="428">
        <v>0.29166666666666669</v>
      </c>
      <c r="M2289" s="429">
        <v>0.14583333333333334</v>
      </c>
    </row>
    <row r="2290" spans="3:13" ht="18" thickBot="1" x14ac:dyDescent="0.25">
      <c r="C2290" s="91"/>
      <c r="D2290" s="670" t="s">
        <v>436</v>
      </c>
      <c r="E2290" s="430" t="s">
        <v>29</v>
      </c>
      <c r="F2290" s="430" t="s">
        <v>28</v>
      </c>
      <c r="G2290" s="431" t="s">
        <v>27</v>
      </c>
      <c r="H2290" s="432" t="s">
        <v>793</v>
      </c>
      <c r="I2290" s="929"/>
      <c r="J2290" s="930"/>
      <c r="K2290" s="931"/>
      <c r="L2290" s="671" t="s">
        <v>1246</v>
      </c>
      <c r="M2290" s="433"/>
    </row>
    <row r="2291" spans="3:13" ht="17" x14ac:dyDescent="0.2">
      <c r="C2291" s="91"/>
      <c r="D2291" s="672">
        <v>45657</v>
      </c>
      <c r="E2291" s="441">
        <v>50.1</v>
      </c>
      <c r="F2291" s="441" t="s">
        <v>445</v>
      </c>
      <c r="G2291" s="441">
        <v>50.3</v>
      </c>
      <c r="H2291" s="678">
        <v>6.2500000000000028E-2</v>
      </c>
      <c r="I2291" s="929"/>
      <c r="J2291" s="930"/>
      <c r="K2291" s="931"/>
      <c r="L2291" s="675">
        <v>0.29166666666666669</v>
      </c>
      <c r="M2291" s="436"/>
    </row>
    <row r="2292" spans="3:13" ht="17" x14ac:dyDescent="0.2">
      <c r="C2292" s="91"/>
      <c r="D2292" s="672">
        <v>45626</v>
      </c>
      <c r="E2292" s="441">
        <v>50.3</v>
      </c>
      <c r="F2292" s="441" t="s">
        <v>1340</v>
      </c>
      <c r="G2292" s="441">
        <v>50.1</v>
      </c>
      <c r="H2292" s="678">
        <v>6.2500000000000028E-2</v>
      </c>
      <c r="I2292" s="929"/>
      <c r="J2292" s="930"/>
      <c r="K2292" s="931"/>
      <c r="L2292" s="675">
        <v>0.29166666666666669</v>
      </c>
      <c r="M2292" s="437"/>
    </row>
    <row r="2293" spans="3:13" ht="17" x14ac:dyDescent="0.2">
      <c r="C2293" s="91"/>
      <c r="D2293" s="672">
        <v>45596</v>
      </c>
      <c r="E2293" s="441">
        <v>50.1</v>
      </c>
      <c r="F2293" s="441" t="s">
        <v>513</v>
      </c>
      <c r="G2293" s="441">
        <v>49.8</v>
      </c>
      <c r="H2293" s="678">
        <v>6.2500000000000028E-2</v>
      </c>
      <c r="I2293" s="929"/>
      <c r="J2293" s="930"/>
      <c r="K2293" s="931"/>
      <c r="L2293" s="675">
        <v>0.29166666666666669</v>
      </c>
      <c r="M2293" s="426"/>
    </row>
    <row r="2294" spans="3:13" ht="17" x14ac:dyDescent="0.2">
      <c r="C2294" s="91"/>
      <c r="D2294" s="672">
        <v>45565</v>
      </c>
      <c r="E2294" s="441">
        <v>49.8</v>
      </c>
      <c r="F2294" s="441" t="s">
        <v>440</v>
      </c>
      <c r="G2294" s="441">
        <v>49.1</v>
      </c>
      <c r="H2294" s="678">
        <v>6.2500000000000028E-2</v>
      </c>
      <c r="I2294" s="929"/>
      <c r="J2294" s="930"/>
      <c r="K2294" s="931"/>
      <c r="L2294" s="675">
        <v>0.29166666666666669</v>
      </c>
      <c r="M2294" s="426"/>
    </row>
    <row r="2295" spans="3:13" ht="17" x14ac:dyDescent="0.2">
      <c r="C2295" s="91"/>
      <c r="D2295" s="672">
        <v>45535</v>
      </c>
      <c r="E2295" s="441">
        <v>49.1</v>
      </c>
      <c r="F2295" s="441" t="s">
        <v>438</v>
      </c>
      <c r="G2295" s="441">
        <v>49.4</v>
      </c>
      <c r="H2295" s="678">
        <v>6.2500000000000028E-2</v>
      </c>
      <c r="I2295" s="929"/>
      <c r="J2295" s="930"/>
      <c r="K2295" s="931"/>
      <c r="L2295" s="675">
        <v>0.29166666666666669</v>
      </c>
      <c r="M2295" s="426"/>
    </row>
    <row r="2296" spans="3:13" ht="18" thickBot="1" x14ac:dyDescent="0.25">
      <c r="C2296" s="91"/>
      <c r="D2296" s="672">
        <v>45504</v>
      </c>
      <c r="E2296" s="441">
        <v>49.4</v>
      </c>
      <c r="F2296" s="441" t="s">
        <v>440</v>
      </c>
      <c r="G2296" s="441">
        <v>49.5</v>
      </c>
      <c r="H2296" s="678">
        <v>6.2500000000000028E-2</v>
      </c>
      <c r="I2296" s="932"/>
      <c r="J2296" s="933"/>
      <c r="K2296" s="934"/>
      <c r="L2296" s="677">
        <v>0.29166666666666669</v>
      </c>
      <c r="M2296" s="438"/>
    </row>
    <row r="2297" spans="3:13" ht="25" customHeight="1" thickBot="1" x14ac:dyDescent="0.25">
      <c r="C2297" s="91">
        <v>1</v>
      </c>
      <c r="D2297" s="663" t="s">
        <v>30</v>
      </c>
      <c r="E2297" s="917" t="s">
        <v>1479</v>
      </c>
      <c r="F2297" s="918"/>
      <c r="G2297" s="919"/>
      <c r="H2297" s="664" t="s">
        <v>790</v>
      </c>
      <c r="I2297" s="920" t="s">
        <v>633</v>
      </c>
      <c r="J2297" s="921"/>
      <c r="K2297" s="922"/>
      <c r="L2297" s="664" t="s">
        <v>430</v>
      </c>
      <c r="M2297" s="664" t="s">
        <v>431</v>
      </c>
    </row>
    <row r="2298" spans="3:13" ht="24" customHeight="1" x14ac:dyDescent="0.2">
      <c r="C2298" s="91"/>
      <c r="D2298" s="665" t="s">
        <v>432</v>
      </c>
      <c r="E2298" s="923"/>
      <c r="F2298" s="924"/>
      <c r="G2298" s="925"/>
      <c r="H2298" s="666" t="s">
        <v>906</v>
      </c>
      <c r="I2298" s="926" t="s">
        <v>1482</v>
      </c>
      <c r="J2298" s="927"/>
      <c r="K2298" s="928"/>
      <c r="L2298" s="667"/>
      <c r="M2298" s="425" t="s">
        <v>1479</v>
      </c>
    </row>
    <row r="2299" spans="3:13" ht="17" x14ac:dyDescent="0.2">
      <c r="C2299" s="91"/>
      <c r="D2299" s="668" t="s">
        <v>433</v>
      </c>
      <c r="E2299" s="941"/>
      <c r="F2299" s="942"/>
      <c r="G2299" s="943"/>
      <c r="H2299" s="424" t="s">
        <v>907</v>
      </c>
      <c r="I2299" s="929"/>
      <c r="J2299" s="930"/>
      <c r="K2299" s="931"/>
      <c r="L2299" s="667"/>
      <c r="M2299" s="426"/>
    </row>
    <row r="2300" spans="3:13" ht="17" x14ac:dyDescent="0.2">
      <c r="C2300" s="91"/>
      <c r="D2300" s="668" t="s">
        <v>434</v>
      </c>
      <c r="E2300" s="941" t="s">
        <v>1481</v>
      </c>
      <c r="F2300" s="942"/>
      <c r="G2300" s="943"/>
      <c r="H2300" s="424"/>
      <c r="I2300" s="929"/>
      <c r="J2300" s="930"/>
      <c r="K2300" s="931"/>
      <c r="L2300" s="667"/>
      <c r="M2300" s="426"/>
    </row>
    <row r="2301" spans="3:13" ht="18" thickBot="1" x14ac:dyDescent="0.25">
      <c r="C2301" s="91"/>
      <c r="D2301" s="669" t="s">
        <v>435</v>
      </c>
      <c r="E2301" s="938">
        <v>0.625</v>
      </c>
      <c r="F2301" s="939"/>
      <c r="G2301" s="940"/>
      <c r="H2301" s="427"/>
      <c r="I2301" s="929"/>
      <c r="J2301" s="930"/>
      <c r="K2301" s="931"/>
      <c r="L2301" s="428">
        <v>0.85416666666666663</v>
      </c>
      <c r="M2301" s="429">
        <v>0.70833333333333326</v>
      </c>
    </row>
    <row r="2302" spans="3:13" ht="18" thickBot="1" x14ac:dyDescent="0.25">
      <c r="C2302" s="91"/>
      <c r="D2302" s="670" t="s">
        <v>436</v>
      </c>
      <c r="E2302" s="430" t="s">
        <v>29</v>
      </c>
      <c r="F2302" s="430" t="s">
        <v>28</v>
      </c>
      <c r="G2302" s="431" t="s">
        <v>27</v>
      </c>
      <c r="H2302" s="432" t="s">
        <v>793</v>
      </c>
      <c r="I2302" s="929"/>
      <c r="J2302" s="930"/>
      <c r="K2302" s="931"/>
      <c r="L2302" s="671" t="s">
        <v>1246</v>
      </c>
      <c r="M2302" s="433"/>
    </row>
    <row r="2303" spans="3:13" ht="17" x14ac:dyDescent="0.2">
      <c r="C2303" s="91"/>
      <c r="D2303" s="672">
        <v>45649</v>
      </c>
      <c r="E2303" s="673" t="s">
        <v>1532</v>
      </c>
      <c r="F2303" s="673" t="s">
        <v>1533</v>
      </c>
      <c r="G2303" s="673" t="s">
        <v>1534</v>
      </c>
      <c r="H2303" s="758">
        <v>0.625</v>
      </c>
      <c r="I2303" s="929"/>
      <c r="J2303" s="930"/>
      <c r="K2303" s="931"/>
      <c r="L2303" s="674">
        <v>0.85416666666666663</v>
      </c>
      <c r="M2303" s="436"/>
    </row>
    <row r="2304" spans="3:13" ht="17" x14ac:dyDescent="0.2">
      <c r="C2304" s="91"/>
      <c r="D2304" s="672">
        <v>45622</v>
      </c>
      <c r="E2304" s="673" t="s">
        <v>1316</v>
      </c>
      <c r="F2304" s="673" t="s">
        <v>1317</v>
      </c>
      <c r="G2304" s="673" t="s">
        <v>1092</v>
      </c>
      <c r="H2304" s="758">
        <v>0.625</v>
      </c>
      <c r="I2304" s="929"/>
      <c r="J2304" s="930"/>
      <c r="K2304" s="931"/>
      <c r="L2304" s="674">
        <v>0.85416666666666663</v>
      </c>
      <c r="M2304" s="437"/>
    </row>
    <row r="2305" spans="3:13" ht="17" x14ac:dyDescent="0.2">
      <c r="C2305" s="91"/>
      <c r="D2305" s="672">
        <v>45589</v>
      </c>
      <c r="E2305" s="673" t="s">
        <v>1092</v>
      </c>
      <c r="F2305" s="673" t="s">
        <v>1093</v>
      </c>
      <c r="G2305" s="673" t="s">
        <v>1094</v>
      </c>
      <c r="H2305" s="758">
        <v>0.58333333333333337</v>
      </c>
      <c r="I2305" s="929"/>
      <c r="J2305" s="930"/>
      <c r="K2305" s="931"/>
      <c r="L2305" s="674">
        <v>0.8125</v>
      </c>
      <c r="M2305" s="426"/>
    </row>
    <row r="2306" spans="3:13" ht="17" x14ac:dyDescent="0.2">
      <c r="C2306" s="91"/>
      <c r="D2306" s="672">
        <v>45560</v>
      </c>
      <c r="E2306" s="673" t="s">
        <v>1095</v>
      </c>
      <c r="F2306" s="673" t="s">
        <v>1096</v>
      </c>
      <c r="G2306" s="673" t="s">
        <v>1097</v>
      </c>
      <c r="H2306" s="758">
        <v>0.58333333333333337</v>
      </c>
      <c r="I2306" s="929"/>
      <c r="J2306" s="930"/>
      <c r="K2306" s="931"/>
      <c r="L2306" s="674">
        <v>0.8125</v>
      </c>
      <c r="M2306" s="426"/>
    </row>
    <row r="2307" spans="3:13" ht="17" x14ac:dyDescent="0.2">
      <c r="C2307" s="91"/>
      <c r="D2307" s="672">
        <v>45527</v>
      </c>
      <c r="E2307" s="673" t="s">
        <v>1098</v>
      </c>
      <c r="F2307" s="673" t="s">
        <v>1099</v>
      </c>
      <c r="G2307" s="673" t="s">
        <v>1100</v>
      </c>
      <c r="H2307" s="758">
        <v>0.58333333333333337</v>
      </c>
      <c r="I2307" s="929"/>
      <c r="J2307" s="930"/>
      <c r="K2307" s="931"/>
      <c r="L2307" s="674">
        <v>0.8125</v>
      </c>
      <c r="M2307" s="426"/>
    </row>
    <row r="2308" spans="3:13" ht="18" thickBot="1" x14ac:dyDescent="0.25">
      <c r="C2308" s="91"/>
      <c r="D2308" s="672">
        <v>45497</v>
      </c>
      <c r="E2308" s="673" t="s">
        <v>1101</v>
      </c>
      <c r="F2308" s="673" t="s">
        <v>1102</v>
      </c>
      <c r="G2308" s="673" t="s">
        <v>1103</v>
      </c>
      <c r="H2308" s="758">
        <v>0.58333333333333337</v>
      </c>
      <c r="I2308" s="932"/>
      <c r="J2308" s="933"/>
      <c r="K2308" s="934"/>
      <c r="L2308" s="674">
        <v>0.8125</v>
      </c>
      <c r="M2308" s="438"/>
    </row>
    <row r="2309" spans="3:13" ht="25" customHeight="1" thickBot="1" x14ac:dyDescent="0.25">
      <c r="C2309" s="91" t="e">
        <v>#REF!</v>
      </c>
      <c r="D2309" s="663" t="s">
        <v>30</v>
      </c>
      <c r="E2309" s="917" t="s">
        <v>1483</v>
      </c>
      <c r="F2309" s="918"/>
      <c r="G2309" s="919"/>
      <c r="H2309" s="664" t="s">
        <v>790</v>
      </c>
      <c r="I2309" s="920" t="s">
        <v>633</v>
      </c>
      <c r="J2309" s="921"/>
      <c r="K2309" s="922"/>
      <c r="L2309" s="664" t="s">
        <v>430</v>
      </c>
      <c r="M2309" s="664" t="s">
        <v>431</v>
      </c>
    </row>
    <row r="2310" spans="3:13" ht="24" customHeight="1" x14ac:dyDescent="0.2">
      <c r="C2310" s="91"/>
      <c r="D2310" s="665" t="s">
        <v>432</v>
      </c>
      <c r="E2310" s="923"/>
      <c r="F2310" s="924"/>
      <c r="G2310" s="925"/>
      <c r="H2310" s="666" t="s">
        <v>1557</v>
      </c>
      <c r="I2310" s="926" t="s">
        <v>1484</v>
      </c>
      <c r="J2310" s="927"/>
      <c r="K2310" s="928"/>
      <c r="L2310" s="667"/>
      <c r="M2310" s="425" t="s">
        <v>1483</v>
      </c>
    </row>
    <row r="2311" spans="3:13" ht="17" x14ac:dyDescent="0.2">
      <c r="C2311" s="91"/>
      <c r="D2311" s="668" t="s">
        <v>433</v>
      </c>
      <c r="E2311" s="941">
        <v>0</v>
      </c>
      <c r="F2311" s="942"/>
      <c r="G2311" s="943"/>
      <c r="H2311" s="424" t="s">
        <v>1558</v>
      </c>
      <c r="I2311" s="929"/>
      <c r="J2311" s="930"/>
      <c r="K2311" s="931"/>
      <c r="L2311" s="667"/>
      <c r="M2311" s="426"/>
    </row>
    <row r="2312" spans="3:13" ht="17" x14ac:dyDescent="0.2">
      <c r="C2312" s="91"/>
      <c r="D2312" s="668" t="s">
        <v>434</v>
      </c>
      <c r="E2312" s="941">
        <v>0</v>
      </c>
      <c r="F2312" s="942"/>
      <c r="G2312" s="943"/>
      <c r="H2312" s="424"/>
      <c r="I2312" s="929"/>
      <c r="J2312" s="930"/>
      <c r="K2312" s="931"/>
      <c r="L2312" s="667"/>
      <c r="M2312" s="426"/>
    </row>
    <row r="2313" spans="3:13" ht="18" thickBot="1" x14ac:dyDescent="0.25">
      <c r="C2313" s="91"/>
      <c r="D2313" s="669" t="s">
        <v>435</v>
      </c>
      <c r="E2313" s="938" t="e">
        <v>#VALUE!</v>
      </c>
      <c r="F2313" s="939"/>
      <c r="G2313" s="940"/>
      <c r="H2313" s="427"/>
      <c r="I2313" s="929"/>
      <c r="J2313" s="930"/>
      <c r="K2313" s="931"/>
      <c r="L2313" s="428" t="s">
        <v>1449</v>
      </c>
      <c r="M2313" s="429" t="e">
        <v>#VALUE!</v>
      </c>
    </row>
    <row r="2314" spans="3:13" ht="18" thickBot="1" x14ac:dyDescent="0.25">
      <c r="C2314" s="91"/>
      <c r="D2314" s="670" t="s">
        <v>436</v>
      </c>
      <c r="E2314" s="430" t="s">
        <v>29</v>
      </c>
      <c r="F2314" s="430" t="s">
        <v>28</v>
      </c>
      <c r="G2314" s="431" t="s">
        <v>27</v>
      </c>
      <c r="H2314" s="432" t="s">
        <v>793</v>
      </c>
      <c r="I2314" s="929"/>
      <c r="J2314" s="930"/>
      <c r="K2314" s="931"/>
      <c r="L2314" s="671" t="s">
        <v>1246</v>
      </c>
      <c r="M2314" s="433"/>
    </row>
    <row r="2315" spans="3:13" ht="17" x14ac:dyDescent="0.2">
      <c r="C2315" s="91"/>
      <c r="D2315" s="672">
        <v>45643</v>
      </c>
      <c r="E2315" s="673">
        <v>0.02</v>
      </c>
      <c r="F2315" s="673" t="s">
        <v>1028</v>
      </c>
      <c r="G2315" s="673">
        <v>2.1999999999999999E-2</v>
      </c>
      <c r="H2315" s="758">
        <v>0.52083333333333337</v>
      </c>
      <c r="I2315" s="929"/>
      <c r="J2315" s="930"/>
      <c r="K2315" s="931"/>
      <c r="L2315" s="674">
        <v>0.29166666666666669</v>
      </c>
      <c r="M2315" s="436"/>
    </row>
    <row r="2316" spans="3:13" ht="17" x14ac:dyDescent="0.2">
      <c r="C2316" s="91"/>
      <c r="D2316" s="672">
        <v>45615</v>
      </c>
      <c r="E2316" s="673">
        <v>2.1999999999999999E-2</v>
      </c>
      <c r="F2316" s="673" t="s">
        <v>1028</v>
      </c>
      <c r="G2316" s="673">
        <v>2.1000000000000001E-2</v>
      </c>
      <c r="H2316" s="758">
        <v>0.52083333333333337</v>
      </c>
      <c r="I2316" s="929"/>
      <c r="J2316" s="930"/>
      <c r="K2316" s="931"/>
      <c r="L2316" s="674">
        <v>0.29166666666666669</v>
      </c>
      <c r="M2316" s="437"/>
    </row>
    <row r="2317" spans="3:13" ht="17" x14ac:dyDescent="0.2">
      <c r="C2317" s="91"/>
      <c r="D2317" s="672">
        <v>45580</v>
      </c>
      <c r="E2317" s="673">
        <v>2.1000000000000001E-2</v>
      </c>
      <c r="F2317" s="673" t="s">
        <v>1028</v>
      </c>
      <c r="G2317" s="673">
        <v>1.9E-2</v>
      </c>
      <c r="H2317" s="758">
        <v>0.47916666666666663</v>
      </c>
      <c r="I2317" s="929"/>
      <c r="J2317" s="930"/>
      <c r="K2317" s="931"/>
      <c r="L2317" s="674">
        <v>0.25</v>
      </c>
      <c r="M2317" s="426"/>
    </row>
    <row r="2318" spans="3:13" ht="17" x14ac:dyDescent="0.2">
      <c r="C2318" s="91"/>
      <c r="D2318" s="672">
        <v>45552</v>
      </c>
      <c r="E2318" s="673">
        <v>0.02</v>
      </c>
      <c r="F2318" s="673" t="s">
        <v>490</v>
      </c>
      <c r="G2318" s="673">
        <v>2.1999999999999999E-2</v>
      </c>
      <c r="H2318" s="758">
        <v>0.47916666666666663</v>
      </c>
      <c r="I2318" s="929"/>
      <c r="J2318" s="930"/>
      <c r="K2318" s="931"/>
      <c r="L2318" s="674">
        <v>0.25</v>
      </c>
      <c r="M2318" s="426"/>
    </row>
    <row r="2319" spans="3:13" ht="17" x14ac:dyDescent="0.2">
      <c r="C2319" s="91"/>
      <c r="D2319" s="672">
        <v>45524</v>
      </c>
      <c r="E2319" s="673">
        <v>2.1999999999999999E-2</v>
      </c>
      <c r="F2319" s="673" t="s">
        <v>490</v>
      </c>
      <c r="G2319" s="673">
        <v>2.3E-2</v>
      </c>
      <c r="H2319" s="758">
        <v>0.47916666666666663</v>
      </c>
      <c r="I2319" s="929"/>
      <c r="J2319" s="930"/>
      <c r="K2319" s="931"/>
      <c r="L2319" s="674">
        <v>0.25</v>
      </c>
      <c r="M2319" s="426"/>
    </row>
    <row r="2320" spans="3:13" ht="18" thickBot="1" x14ac:dyDescent="0.25">
      <c r="C2320" s="91"/>
      <c r="D2320" s="672">
        <v>45489</v>
      </c>
      <c r="E2320" s="673">
        <v>2.3E-2</v>
      </c>
      <c r="F2320" s="673" t="s">
        <v>1447</v>
      </c>
      <c r="G2320" s="673">
        <v>2.4E-2</v>
      </c>
      <c r="H2320" s="758">
        <v>0.47916666666666663</v>
      </c>
      <c r="I2320" s="932"/>
      <c r="J2320" s="933"/>
      <c r="K2320" s="934"/>
      <c r="L2320" s="674">
        <v>0.25</v>
      </c>
      <c r="M2320" s="438"/>
    </row>
    <row r="2321" spans="3:13" ht="25" customHeight="1" thickBot="1" x14ac:dyDescent="0.25">
      <c r="C2321" s="91" t="e">
        <v>#REF!</v>
      </c>
      <c r="D2321" s="663" t="s">
        <v>30</v>
      </c>
      <c r="E2321" s="917" t="s">
        <v>1486</v>
      </c>
      <c r="F2321" s="918"/>
      <c r="G2321" s="919"/>
      <c r="H2321" s="664" t="s">
        <v>790</v>
      </c>
      <c r="I2321" s="920" t="s">
        <v>633</v>
      </c>
      <c r="J2321" s="921"/>
      <c r="K2321" s="922"/>
      <c r="L2321" s="664" t="s">
        <v>430</v>
      </c>
      <c r="M2321" s="664" t="s">
        <v>431</v>
      </c>
    </row>
    <row r="2322" spans="3:13" ht="24" customHeight="1" x14ac:dyDescent="0.2">
      <c r="C2322" s="91"/>
      <c r="D2322" s="665" t="s">
        <v>432</v>
      </c>
      <c r="E2322" s="923"/>
      <c r="F2322" s="924"/>
      <c r="G2322" s="925"/>
      <c r="H2322" s="666" t="s">
        <v>1557</v>
      </c>
      <c r="I2322" s="926" t="s">
        <v>1487</v>
      </c>
      <c r="J2322" s="927"/>
      <c r="K2322" s="928"/>
      <c r="L2322" s="667"/>
      <c r="M2322" s="425" t="s">
        <v>1486</v>
      </c>
    </row>
    <row r="2323" spans="3:13" ht="17" x14ac:dyDescent="0.2">
      <c r="C2323" s="91"/>
      <c r="D2323" s="668" t="s">
        <v>433</v>
      </c>
      <c r="E2323" s="941">
        <v>0</v>
      </c>
      <c r="F2323" s="942"/>
      <c r="G2323" s="943"/>
      <c r="H2323" s="424" t="s">
        <v>1558</v>
      </c>
      <c r="I2323" s="929"/>
      <c r="J2323" s="930"/>
      <c r="K2323" s="931"/>
      <c r="L2323" s="667"/>
      <c r="M2323" s="426"/>
    </row>
    <row r="2324" spans="3:13" ht="17" x14ac:dyDescent="0.2">
      <c r="C2324" s="91"/>
      <c r="D2324" s="668" t="s">
        <v>434</v>
      </c>
      <c r="E2324" s="941">
        <v>0</v>
      </c>
      <c r="F2324" s="942"/>
      <c r="G2324" s="943"/>
      <c r="H2324" s="424"/>
      <c r="I2324" s="929"/>
      <c r="J2324" s="930"/>
      <c r="K2324" s="931"/>
      <c r="L2324" s="667"/>
      <c r="M2324" s="426"/>
    </row>
    <row r="2325" spans="3:13" ht="18" thickBot="1" x14ac:dyDescent="0.25">
      <c r="C2325" s="91"/>
      <c r="D2325" s="669" t="s">
        <v>435</v>
      </c>
      <c r="E2325" s="802">
        <v>0.90625</v>
      </c>
      <c r="F2325" s="803"/>
      <c r="G2325" s="804"/>
      <c r="H2325" s="427"/>
      <c r="I2325" s="929"/>
      <c r="J2325" s="930"/>
      <c r="K2325" s="931"/>
      <c r="L2325" s="428" t="s">
        <v>1449</v>
      </c>
      <c r="M2325" s="429">
        <v>0.98958333333333337</v>
      </c>
    </row>
    <row r="2326" spans="3:13" ht="18" thickBot="1" x14ac:dyDescent="0.25">
      <c r="C2326" s="91"/>
      <c r="D2326" s="670" t="s">
        <v>436</v>
      </c>
      <c r="E2326" s="430" t="s">
        <v>29</v>
      </c>
      <c r="F2326" s="430" t="s">
        <v>28</v>
      </c>
      <c r="G2326" s="431" t="s">
        <v>27</v>
      </c>
      <c r="H2326" s="432" t="s">
        <v>793</v>
      </c>
      <c r="I2326" s="929"/>
      <c r="J2326" s="930"/>
      <c r="K2326" s="931"/>
      <c r="L2326" s="671" t="s">
        <v>1246</v>
      </c>
      <c r="M2326" s="433"/>
    </row>
    <row r="2327" spans="3:13" ht="17" x14ac:dyDescent="0.2">
      <c r="C2327" s="91"/>
      <c r="D2327" s="759">
        <v>45580</v>
      </c>
      <c r="E2327" s="673">
        <v>6.0000000000000001E-3</v>
      </c>
      <c r="F2327" s="673" t="s">
        <v>1535</v>
      </c>
      <c r="G2327" s="673">
        <v>4.0000000000000001E-3</v>
      </c>
      <c r="H2327" s="758">
        <v>0.52083333333333337</v>
      </c>
      <c r="I2327" s="929"/>
      <c r="J2327" s="930"/>
      <c r="K2327" s="931"/>
      <c r="L2327" s="674">
        <v>0.29166666666666669</v>
      </c>
      <c r="M2327" s="436"/>
    </row>
    <row r="2328" spans="3:13" ht="17" x14ac:dyDescent="0.2">
      <c r="C2328" s="91"/>
      <c r="D2328" s="759">
        <v>45489</v>
      </c>
      <c r="E2328" s="673">
        <v>4.0000000000000001E-3</v>
      </c>
      <c r="F2328" s="673" t="s">
        <v>903</v>
      </c>
      <c r="G2328" s="673">
        <v>6.0000000000000001E-3</v>
      </c>
      <c r="H2328" s="758">
        <v>0.52083333333333337</v>
      </c>
      <c r="I2328" s="929"/>
      <c r="J2328" s="930"/>
      <c r="K2328" s="931"/>
      <c r="L2328" s="674">
        <v>0.29166666666666669</v>
      </c>
      <c r="M2328" s="437"/>
    </row>
    <row r="2329" spans="3:13" ht="17" x14ac:dyDescent="0.2">
      <c r="C2329" s="91"/>
      <c r="D2329" s="759">
        <v>45398</v>
      </c>
      <c r="E2329" s="673">
        <v>6.0000000000000001E-3</v>
      </c>
      <c r="F2329" s="673" t="s">
        <v>449</v>
      </c>
      <c r="G2329" s="673">
        <v>5.0000000000000001E-3</v>
      </c>
      <c r="H2329" s="758">
        <v>0.47916666666666663</v>
      </c>
      <c r="I2329" s="929"/>
      <c r="J2329" s="930"/>
      <c r="K2329" s="931"/>
      <c r="L2329" s="674">
        <v>0.25</v>
      </c>
      <c r="M2329" s="426"/>
    </row>
    <row r="2330" spans="3:13" ht="17" x14ac:dyDescent="0.2">
      <c r="C2330" s="91"/>
      <c r="D2330" s="759">
        <v>45314</v>
      </c>
      <c r="E2330" s="673">
        <v>5.0000000000000001E-3</v>
      </c>
      <c r="F2330" s="673" t="s">
        <v>903</v>
      </c>
      <c r="G2330" s="673">
        <v>1.7999999999999999E-2</v>
      </c>
      <c r="H2330" s="758">
        <v>0.47916666666666663</v>
      </c>
      <c r="I2330" s="929"/>
      <c r="J2330" s="930"/>
      <c r="K2330" s="931"/>
      <c r="L2330" s="674">
        <v>0.25</v>
      </c>
      <c r="M2330" s="426"/>
    </row>
    <row r="2331" spans="3:13" ht="17" x14ac:dyDescent="0.2">
      <c r="C2331" s="91"/>
      <c r="D2331" s="759">
        <v>45215</v>
      </c>
      <c r="E2331" s="673">
        <v>1.7999999999999999E-2</v>
      </c>
      <c r="F2331" s="673" t="s">
        <v>788</v>
      </c>
      <c r="G2331" s="673">
        <v>1.0999999999999999E-2</v>
      </c>
      <c r="H2331" s="758">
        <v>0.47916666666666663</v>
      </c>
      <c r="I2331" s="929"/>
      <c r="J2331" s="930"/>
      <c r="K2331" s="931"/>
      <c r="L2331" s="674">
        <v>0.25</v>
      </c>
      <c r="M2331" s="426"/>
    </row>
    <row r="2332" spans="3:13" ht="18" thickBot="1" x14ac:dyDescent="0.25">
      <c r="C2332" s="91"/>
      <c r="D2332" s="759">
        <v>45125</v>
      </c>
      <c r="E2332" s="673">
        <v>1.0999999999999999E-2</v>
      </c>
      <c r="F2332" s="673" t="s">
        <v>1536</v>
      </c>
      <c r="G2332" s="673">
        <v>1.2E-2</v>
      </c>
      <c r="H2332" s="758">
        <v>0.47916666666666663</v>
      </c>
      <c r="I2332" s="932"/>
      <c r="J2332" s="933"/>
      <c r="K2332" s="934"/>
      <c r="L2332" s="674">
        <v>0.25</v>
      </c>
      <c r="M2332" s="438"/>
    </row>
    <row r="2333" spans="3:13" ht="25" customHeight="1" thickBot="1" x14ac:dyDescent="0.25">
      <c r="C2333" s="91">
        <v>1</v>
      </c>
      <c r="D2333" s="663" t="s">
        <v>30</v>
      </c>
      <c r="E2333" s="917" t="s">
        <v>1488</v>
      </c>
      <c r="F2333" s="918"/>
      <c r="G2333" s="919"/>
      <c r="H2333" s="664" t="s">
        <v>790</v>
      </c>
      <c r="I2333" s="920" t="s">
        <v>633</v>
      </c>
      <c r="J2333" s="921"/>
      <c r="K2333" s="922"/>
      <c r="L2333" s="664" t="s">
        <v>430</v>
      </c>
      <c r="M2333" s="664" t="s">
        <v>431</v>
      </c>
    </row>
    <row r="2334" spans="3:13" ht="24" customHeight="1" x14ac:dyDescent="0.2">
      <c r="C2334" s="91"/>
      <c r="D2334" s="665" t="s">
        <v>432</v>
      </c>
      <c r="E2334" s="923"/>
      <c r="F2334" s="924"/>
      <c r="G2334" s="925"/>
      <c r="H2334" s="666" t="s">
        <v>906</v>
      </c>
      <c r="I2334" s="926" t="s">
        <v>1489</v>
      </c>
      <c r="J2334" s="927"/>
      <c r="K2334" s="928"/>
      <c r="L2334" s="667"/>
      <c r="M2334" s="425" t="s">
        <v>1488</v>
      </c>
    </row>
    <row r="2335" spans="3:13" ht="17" x14ac:dyDescent="0.2">
      <c r="C2335" s="91"/>
      <c r="D2335" s="668" t="s">
        <v>433</v>
      </c>
      <c r="E2335" s="941">
        <v>8.0000000000000002E-3</v>
      </c>
      <c r="F2335" s="942"/>
      <c r="G2335" s="943"/>
      <c r="H2335" s="424" t="s">
        <v>907</v>
      </c>
      <c r="I2335" s="929"/>
      <c r="J2335" s="930"/>
      <c r="K2335" s="931"/>
      <c r="L2335" s="667"/>
      <c r="M2335" s="426"/>
    </row>
    <row r="2336" spans="3:13" ht="17" x14ac:dyDescent="0.2">
      <c r="C2336" s="91"/>
      <c r="D2336" s="668" t="s">
        <v>434</v>
      </c>
      <c r="E2336" s="941">
        <v>-1.2E-2</v>
      </c>
      <c r="F2336" s="942"/>
      <c r="G2336" s="943"/>
      <c r="H2336" s="424"/>
      <c r="I2336" s="929"/>
      <c r="J2336" s="930"/>
      <c r="K2336" s="931"/>
      <c r="L2336" s="667"/>
      <c r="M2336" s="426"/>
    </row>
    <row r="2337" spans="3:13" ht="18" thickBot="1" x14ac:dyDescent="0.25">
      <c r="C2337" s="91"/>
      <c r="D2337" s="669" t="s">
        <v>435</v>
      </c>
      <c r="E2337" s="938">
        <v>0.5625</v>
      </c>
      <c r="F2337" s="939"/>
      <c r="G2337" s="940"/>
      <c r="H2337" s="427"/>
      <c r="I2337" s="929"/>
      <c r="J2337" s="930"/>
      <c r="K2337" s="931"/>
      <c r="L2337" s="428">
        <v>0.79166666666666663</v>
      </c>
      <c r="M2337" s="429">
        <v>0.64583333333333326</v>
      </c>
    </row>
    <row r="2338" spans="3:13" ht="18" thickBot="1" x14ac:dyDescent="0.25">
      <c r="C2338" s="91"/>
      <c r="D2338" s="670" t="s">
        <v>436</v>
      </c>
      <c r="E2338" s="430" t="s">
        <v>29</v>
      </c>
      <c r="F2338" s="430" t="s">
        <v>28</v>
      </c>
      <c r="G2338" s="431" t="s">
        <v>27</v>
      </c>
      <c r="H2338" s="432" t="s">
        <v>793</v>
      </c>
      <c r="I2338" s="929"/>
      <c r="J2338" s="930"/>
      <c r="K2338" s="931"/>
      <c r="L2338" s="671" t="s">
        <v>1246</v>
      </c>
      <c r="M2338" s="433"/>
    </row>
    <row r="2339" spans="3:13" ht="17" x14ac:dyDescent="0.2">
      <c r="C2339" s="91"/>
      <c r="D2339" s="672">
        <v>45649</v>
      </c>
      <c r="E2339" s="673">
        <v>-1.0999999999999999E-2</v>
      </c>
      <c r="F2339" s="673" t="s">
        <v>454</v>
      </c>
      <c r="G2339" s="673">
        <v>8.0000000000000002E-3</v>
      </c>
      <c r="H2339" s="758">
        <v>0.5625</v>
      </c>
      <c r="I2339" s="929"/>
      <c r="J2339" s="930"/>
      <c r="K2339" s="931"/>
      <c r="L2339" s="674">
        <v>0.79166666666666663</v>
      </c>
      <c r="M2339" s="436"/>
    </row>
    <row r="2340" spans="3:13" ht="17" x14ac:dyDescent="0.2">
      <c r="C2340" s="91"/>
      <c r="D2340" s="672">
        <v>45623</v>
      </c>
      <c r="E2340" s="673">
        <v>2E-3</v>
      </c>
      <c r="F2340" s="673" t="s">
        <v>1315</v>
      </c>
      <c r="G2340" s="673">
        <v>-4.0000000000000001E-3</v>
      </c>
      <c r="H2340" s="758">
        <v>0.5625</v>
      </c>
      <c r="I2340" s="929"/>
      <c r="J2340" s="930"/>
      <c r="K2340" s="931"/>
      <c r="L2340" s="674">
        <v>0.79166666666666663</v>
      </c>
      <c r="M2340" s="437"/>
    </row>
    <row r="2341" spans="3:13" ht="17" x14ac:dyDescent="0.2">
      <c r="C2341" s="91"/>
      <c r="D2341" s="672">
        <v>45590</v>
      </c>
      <c r="E2341" s="673">
        <v>-8.0000000000000002E-3</v>
      </c>
      <c r="F2341" s="673" t="s">
        <v>1110</v>
      </c>
      <c r="G2341" s="673">
        <v>-8.0000000000000002E-3</v>
      </c>
      <c r="H2341" s="758">
        <v>0.52083333333333337</v>
      </c>
      <c r="I2341" s="929"/>
      <c r="J2341" s="930"/>
      <c r="K2341" s="931"/>
      <c r="L2341" s="674">
        <v>0.75</v>
      </c>
      <c r="M2341" s="426"/>
    </row>
    <row r="2342" spans="3:13" ht="17" x14ac:dyDescent="0.2">
      <c r="C2342" s="91"/>
      <c r="D2342" s="672">
        <v>45561</v>
      </c>
      <c r="E2342" s="673">
        <v>0</v>
      </c>
      <c r="F2342" s="673" t="s">
        <v>778</v>
      </c>
      <c r="G2342" s="673">
        <v>9.9000000000000005E-2</v>
      </c>
      <c r="H2342" s="758">
        <v>0.52083333333333337</v>
      </c>
      <c r="I2342" s="929"/>
      <c r="J2342" s="930"/>
      <c r="K2342" s="931"/>
      <c r="L2342" s="674">
        <v>0.75</v>
      </c>
      <c r="M2342" s="426"/>
    </row>
    <row r="2343" spans="3:13" ht="17" x14ac:dyDescent="0.2">
      <c r="C2343" s="91"/>
      <c r="D2343" s="672">
        <v>45530</v>
      </c>
      <c r="E2343" s="673">
        <v>9.9000000000000005E-2</v>
      </c>
      <c r="F2343" s="673" t="s">
        <v>630</v>
      </c>
      <c r="G2343" s="673">
        <v>-6.9000000000000006E-2</v>
      </c>
      <c r="H2343" s="758">
        <v>0.52083333333333337</v>
      </c>
      <c r="I2343" s="929"/>
      <c r="J2343" s="930"/>
      <c r="K2343" s="931"/>
      <c r="L2343" s="674">
        <v>0.75</v>
      </c>
      <c r="M2343" s="426"/>
    </row>
    <row r="2344" spans="3:13" ht="18" thickBot="1" x14ac:dyDescent="0.25">
      <c r="C2344" s="91"/>
      <c r="D2344" s="672">
        <v>45498</v>
      </c>
      <c r="E2344" s="673">
        <v>-6.6000000000000003E-2</v>
      </c>
      <c r="F2344" s="673" t="s">
        <v>467</v>
      </c>
      <c r="G2344" s="673">
        <v>1E-3</v>
      </c>
      <c r="H2344" s="758">
        <v>0.52083333333333337</v>
      </c>
      <c r="I2344" s="932"/>
      <c r="J2344" s="933"/>
      <c r="K2344" s="934"/>
      <c r="L2344" s="674">
        <v>0.75</v>
      </c>
      <c r="M2344" s="438"/>
    </row>
    <row r="2345" spans="3:13" ht="25" customHeight="1" thickBot="1" x14ac:dyDescent="0.25">
      <c r="C2345" s="91">
        <v>1</v>
      </c>
      <c r="D2345" s="663" t="s">
        <v>30</v>
      </c>
      <c r="E2345" s="917" t="s">
        <v>1490</v>
      </c>
      <c r="F2345" s="918"/>
      <c r="G2345" s="919"/>
      <c r="H2345" s="664" t="s">
        <v>790</v>
      </c>
      <c r="I2345" s="920" t="s">
        <v>633</v>
      </c>
      <c r="J2345" s="921"/>
      <c r="K2345" s="922"/>
      <c r="L2345" s="664" t="s">
        <v>430</v>
      </c>
      <c r="M2345" s="664" t="s">
        <v>431</v>
      </c>
    </row>
    <row r="2346" spans="3:13" ht="24" customHeight="1" x14ac:dyDescent="0.2">
      <c r="C2346" s="91"/>
      <c r="D2346" s="665" t="s">
        <v>432</v>
      </c>
      <c r="E2346" s="923"/>
      <c r="F2346" s="924"/>
      <c r="G2346" s="925"/>
      <c r="H2346" s="666" t="s">
        <v>906</v>
      </c>
      <c r="I2346" s="926" t="s">
        <v>1491</v>
      </c>
      <c r="J2346" s="927"/>
      <c r="K2346" s="928"/>
      <c r="L2346" s="667"/>
      <c r="M2346" s="425" t="s">
        <v>1490</v>
      </c>
    </row>
    <row r="2347" spans="3:13" ht="17" x14ac:dyDescent="0.2">
      <c r="C2347" s="91"/>
      <c r="D2347" s="668" t="s">
        <v>433</v>
      </c>
      <c r="E2347" s="935">
        <v>106</v>
      </c>
      <c r="F2347" s="936"/>
      <c r="G2347" s="937"/>
      <c r="H2347" s="424" t="s">
        <v>907</v>
      </c>
      <c r="I2347" s="929"/>
      <c r="J2347" s="930"/>
      <c r="K2347" s="931"/>
      <c r="L2347" s="667"/>
      <c r="M2347" s="426"/>
    </row>
    <row r="2348" spans="3:13" ht="17" x14ac:dyDescent="0.2">
      <c r="C2348" s="91"/>
      <c r="D2348" s="668" t="s">
        <v>434</v>
      </c>
      <c r="E2348" s="935">
        <v>104.7</v>
      </c>
      <c r="F2348" s="936"/>
      <c r="G2348" s="937"/>
      <c r="H2348" s="424"/>
      <c r="I2348" s="929"/>
      <c r="J2348" s="930"/>
      <c r="K2348" s="931"/>
      <c r="L2348" s="667"/>
      <c r="M2348" s="426"/>
    </row>
    <row r="2349" spans="3:13" ht="18" thickBot="1" x14ac:dyDescent="0.25">
      <c r="C2349" s="91"/>
      <c r="D2349" s="669" t="s">
        <v>435</v>
      </c>
      <c r="E2349" s="938">
        <v>0.625</v>
      </c>
      <c r="F2349" s="939"/>
      <c r="G2349" s="940"/>
      <c r="H2349" s="427"/>
      <c r="I2349" s="929"/>
      <c r="J2349" s="930"/>
      <c r="K2349" s="931"/>
      <c r="L2349" s="428">
        <v>0.85416666666666663</v>
      </c>
      <c r="M2349" s="429">
        <v>0.70833333333333326</v>
      </c>
    </row>
    <row r="2350" spans="3:13" ht="18" thickBot="1" x14ac:dyDescent="0.25">
      <c r="C2350" s="91"/>
      <c r="D2350" s="670" t="s">
        <v>436</v>
      </c>
      <c r="E2350" s="430" t="s">
        <v>29</v>
      </c>
      <c r="F2350" s="430" t="s">
        <v>28</v>
      </c>
      <c r="G2350" s="431" t="s">
        <v>27</v>
      </c>
      <c r="H2350" s="432" t="s">
        <v>793</v>
      </c>
      <c r="I2350" s="929"/>
      <c r="J2350" s="930"/>
      <c r="K2350" s="931"/>
      <c r="L2350" s="671" t="s">
        <v>1246</v>
      </c>
      <c r="M2350" s="433"/>
    </row>
    <row r="2351" spans="3:13" ht="17" x14ac:dyDescent="0.2">
      <c r="C2351" s="91"/>
      <c r="D2351" s="672">
        <v>45649</v>
      </c>
      <c r="E2351" s="439">
        <v>104.7</v>
      </c>
      <c r="F2351" s="439" t="s">
        <v>1537</v>
      </c>
      <c r="G2351" s="439">
        <v>112.8</v>
      </c>
      <c r="H2351" s="758">
        <v>0.625</v>
      </c>
      <c r="I2351" s="929"/>
      <c r="J2351" s="930"/>
      <c r="K2351" s="931"/>
      <c r="L2351" s="674">
        <v>0.85416666666666663</v>
      </c>
      <c r="M2351" s="436"/>
    </row>
    <row r="2352" spans="3:13" ht="17" x14ac:dyDescent="0.2">
      <c r="C2352" s="91"/>
      <c r="D2352" s="672">
        <v>45622</v>
      </c>
      <c r="E2352" s="439">
        <v>111.7</v>
      </c>
      <c r="F2352" s="439" t="s">
        <v>1314</v>
      </c>
      <c r="G2352" s="439">
        <v>109.6</v>
      </c>
      <c r="H2352" s="758">
        <v>0.625</v>
      </c>
      <c r="I2352" s="929"/>
      <c r="J2352" s="930"/>
      <c r="K2352" s="931"/>
      <c r="L2352" s="674">
        <v>0.85416666666666663</v>
      </c>
      <c r="M2352" s="437"/>
    </row>
    <row r="2353" spans="3:13" ht="17" x14ac:dyDescent="0.2">
      <c r="C2353" s="91"/>
      <c r="D2353" s="672">
        <v>45594</v>
      </c>
      <c r="E2353" s="439">
        <v>108.7</v>
      </c>
      <c r="F2353" s="439" t="s">
        <v>1091</v>
      </c>
      <c r="G2353" s="439">
        <v>99.2</v>
      </c>
      <c r="H2353" s="758">
        <v>0.58333333333333337</v>
      </c>
      <c r="I2353" s="929"/>
      <c r="J2353" s="930"/>
      <c r="K2353" s="931"/>
      <c r="L2353" s="674">
        <v>0.8125</v>
      </c>
      <c r="M2353" s="426"/>
    </row>
    <row r="2354" spans="3:13" ht="17" x14ac:dyDescent="0.2">
      <c r="C2354" s="91"/>
      <c r="D2354" s="672">
        <v>45559</v>
      </c>
      <c r="E2354" s="439">
        <v>98.7</v>
      </c>
      <c r="F2354" s="439" t="s">
        <v>874</v>
      </c>
      <c r="G2354" s="439">
        <v>105.6</v>
      </c>
      <c r="H2354" s="758">
        <v>0.58333333333333337</v>
      </c>
      <c r="I2354" s="929"/>
      <c r="J2354" s="930"/>
      <c r="K2354" s="931"/>
      <c r="L2354" s="674">
        <v>0.8125</v>
      </c>
      <c r="M2354" s="426"/>
    </row>
    <row r="2355" spans="3:13" ht="17" x14ac:dyDescent="0.2">
      <c r="C2355" s="91"/>
      <c r="D2355" s="672">
        <v>45531</v>
      </c>
      <c r="E2355" s="439">
        <v>103.3</v>
      </c>
      <c r="F2355" s="439" t="s">
        <v>875</v>
      </c>
      <c r="G2355" s="439">
        <v>101.9</v>
      </c>
      <c r="H2355" s="758">
        <v>0.58333333333333337</v>
      </c>
      <c r="I2355" s="929"/>
      <c r="J2355" s="930"/>
      <c r="K2355" s="931"/>
      <c r="L2355" s="674">
        <v>0.8125</v>
      </c>
      <c r="M2355" s="426"/>
    </row>
    <row r="2356" spans="3:13" ht="18" thickBot="1" x14ac:dyDescent="0.25">
      <c r="C2356" s="91"/>
      <c r="D2356" s="672">
        <v>45503</v>
      </c>
      <c r="E2356" s="439">
        <v>100.3</v>
      </c>
      <c r="F2356" s="439" t="s">
        <v>876</v>
      </c>
      <c r="G2356" s="439">
        <v>97.8</v>
      </c>
      <c r="H2356" s="758">
        <v>0.58333333333333337</v>
      </c>
      <c r="I2356" s="932"/>
      <c r="J2356" s="933"/>
      <c r="K2356" s="934"/>
      <c r="L2356" s="674">
        <v>0.8125</v>
      </c>
      <c r="M2356" s="438"/>
    </row>
    <row r="2357" spans="3:13" ht="25" customHeight="1" thickBot="1" x14ac:dyDescent="0.25">
      <c r="C2357" s="91" t="e">
        <v>#REF!</v>
      </c>
      <c r="D2357" s="663" t="s">
        <v>30</v>
      </c>
      <c r="E2357" s="917" t="s">
        <v>1483</v>
      </c>
      <c r="F2357" s="918"/>
      <c r="G2357" s="919"/>
      <c r="H2357" s="664" t="s">
        <v>790</v>
      </c>
      <c r="I2357" s="920" t="s">
        <v>633</v>
      </c>
      <c r="J2357" s="921"/>
      <c r="K2357" s="922"/>
      <c r="L2357" s="664" t="s">
        <v>430</v>
      </c>
      <c r="M2357" s="664" t="s">
        <v>431</v>
      </c>
    </row>
    <row r="2358" spans="3:13" ht="24" customHeight="1" x14ac:dyDescent="0.2">
      <c r="C2358" s="91"/>
      <c r="D2358" s="665" t="s">
        <v>432</v>
      </c>
      <c r="E2358" s="923"/>
      <c r="F2358" s="924"/>
      <c r="G2358" s="925"/>
      <c r="H2358" s="666" t="s">
        <v>1557</v>
      </c>
      <c r="I2358" s="926" t="s">
        <v>1484</v>
      </c>
      <c r="J2358" s="927"/>
      <c r="K2358" s="928"/>
      <c r="L2358" s="667"/>
      <c r="M2358" s="425" t="s">
        <v>1483</v>
      </c>
    </row>
    <row r="2359" spans="3:13" ht="17" x14ac:dyDescent="0.2">
      <c r="C2359" s="91"/>
      <c r="D2359" s="668" t="s">
        <v>433</v>
      </c>
      <c r="E2359" s="941">
        <v>0</v>
      </c>
      <c r="F2359" s="942"/>
      <c r="G2359" s="943"/>
      <c r="H2359" s="424" t="s">
        <v>1558</v>
      </c>
      <c r="I2359" s="929"/>
      <c r="J2359" s="930"/>
      <c r="K2359" s="931"/>
      <c r="L2359" s="667"/>
      <c r="M2359" s="426"/>
    </row>
    <row r="2360" spans="3:13" ht="17" x14ac:dyDescent="0.2">
      <c r="C2360" s="91"/>
      <c r="D2360" s="668" t="s">
        <v>434</v>
      </c>
      <c r="E2360" s="941">
        <v>0</v>
      </c>
      <c r="F2360" s="942"/>
      <c r="G2360" s="943"/>
      <c r="H2360" s="424"/>
      <c r="I2360" s="929"/>
      <c r="J2360" s="930"/>
      <c r="K2360" s="931"/>
      <c r="L2360" s="667"/>
      <c r="M2360" s="426"/>
    </row>
    <row r="2361" spans="3:13" ht="18" thickBot="1" x14ac:dyDescent="0.25">
      <c r="C2361" s="91"/>
      <c r="D2361" s="669" t="s">
        <v>435</v>
      </c>
      <c r="E2361" s="938" t="e">
        <v>#VALUE!</v>
      </c>
      <c r="F2361" s="939"/>
      <c r="G2361" s="940"/>
      <c r="H2361" s="427"/>
      <c r="I2361" s="929"/>
      <c r="J2361" s="930"/>
      <c r="K2361" s="931"/>
      <c r="L2361" s="428" t="s">
        <v>1449</v>
      </c>
      <c r="M2361" s="429" t="e">
        <v>#VALUE!</v>
      </c>
    </row>
    <row r="2362" spans="3:13" ht="18" thickBot="1" x14ac:dyDescent="0.25">
      <c r="C2362" s="91"/>
      <c r="D2362" s="670" t="s">
        <v>436</v>
      </c>
      <c r="E2362" s="430" t="s">
        <v>29</v>
      </c>
      <c r="F2362" s="430" t="s">
        <v>28</v>
      </c>
      <c r="G2362" s="431" t="s">
        <v>27</v>
      </c>
      <c r="H2362" s="432" t="s">
        <v>793</v>
      </c>
      <c r="I2362" s="929"/>
      <c r="J2362" s="930"/>
      <c r="K2362" s="931"/>
      <c r="L2362" s="671" t="s">
        <v>1246</v>
      </c>
      <c r="M2362" s="433"/>
    </row>
    <row r="2363" spans="3:13" ht="17" x14ac:dyDescent="0.2">
      <c r="C2363" s="91"/>
      <c r="D2363" s="672">
        <v>45645</v>
      </c>
      <c r="E2363" s="493">
        <v>2.5000000000000001E-3</v>
      </c>
      <c r="F2363" s="493" t="s">
        <v>892</v>
      </c>
      <c r="G2363" s="493">
        <v>2.5000000000000001E-3</v>
      </c>
      <c r="H2363" s="758">
        <v>0.52083333333333337</v>
      </c>
      <c r="I2363" s="929"/>
      <c r="J2363" s="930"/>
      <c r="K2363" s="931"/>
      <c r="L2363" s="674">
        <v>0.29166666666666669</v>
      </c>
      <c r="M2363" s="436"/>
    </row>
    <row r="2364" spans="3:13" ht="17" x14ac:dyDescent="0.2">
      <c r="C2364" s="91"/>
      <c r="D2364" s="672">
        <v>45596</v>
      </c>
      <c r="E2364" s="493">
        <v>2.5000000000000001E-3</v>
      </c>
      <c r="F2364" s="493" t="s">
        <v>892</v>
      </c>
      <c r="G2364" s="493">
        <v>2.5000000000000001E-3</v>
      </c>
      <c r="H2364" s="758">
        <v>0.52083333333333337</v>
      </c>
      <c r="I2364" s="929"/>
      <c r="J2364" s="930"/>
      <c r="K2364" s="931"/>
      <c r="L2364" s="674">
        <v>0.29166666666666669</v>
      </c>
      <c r="M2364" s="437"/>
    </row>
    <row r="2365" spans="3:13" ht="17" x14ac:dyDescent="0.2">
      <c r="C2365" s="91"/>
      <c r="D2365" s="672">
        <v>45555</v>
      </c>
      <c r="E2365" s="493">
        <v>2.5000000000000001E-3</v>
      </c>
      <c r="F2365" s="493" t="s">
        <v>892</v>
      </c>
      <c r="G2365" s="493">
        <v>2.5000000000000001E-3</v>
      </c>
      <c r="H2365" s="758">
        <v>0.47916666666666663</v>
      </c>
      <c r="I2365" s="929"/>
      <c r="J2365" s="930"/>
      <c r="K2365" s="931"/>
      <c r="L2365" s="674">
        <v>0.25</v>
      </c>
      <c r="M2365" s="426"/>
    </row>
    <row r="2366" spans="3:13" ht="17" x14ac:dyDescent="0.2">
      <c r="C2366" s="91"/>
      <c r="D2366" s="672">
        <v>45504</v>
      </c>
      <c r="E2366" s="493">
        <v>2.5000000000000001E-3</v>
      </c>
      <c r="F2366" s="493" t="s">
        <v>893</v>
      </c>
      <c r="G2366" s="493">
        <v>1E-3</v>
      </c>
      <c r="H2366" s="758">
        <v>0.47916666666666663</v>
      </c>
      <c r="I2366" s="929"/>
      <c r="J2366" s="930"/>
      <c r="K2366" s="931"/>
      <c r="L2366" s="674">
        <v>0.25</v>
      </c>
      <c r="M2366" s="426"/>
    </row>
    <row r="2367" spans="3:13" ht="17" x14ac:dyDescent="0.2">
      <c r="C2367" s="91"/>
      <c r="D2367" s="672">
        <v>45457</v>
      </c>
      <c r="E2367" s="493">
        <v>1E-3</v>
      </c>
      <c r="F2367" s="493" t="s">
        <v>893</v>
      </c>
      <c r="G2367" s="493">
        <v>1E-3</v>
      </c>
      <c r="H2367" s="758">
        <v>0.47916666666666663</v>
      </c>
      <c r="I2367" s="929"/>
      <c r="J2367" s="930"/>
      <c r="K2367" s="931"/>
      <c r="L2367" s="674">
        <v>0.25</v>
      </c>
      <c r="M2367" s="426"/>
    </row>
    <row r="2368" spans="3:13" ht="18" thickBot="1" x14ac:dyDescent="0.25">
      <c r="C2368" s="91"/>
      <c r="D2368" s="672">
        <v>45408</v>
      </c>
      <c r="E2368" s="493">
        <v>1E-3</v>
      </c>
      <c r="F2368" s="493" t="s">
        <v>893</v>
      </c>
      <c r="G2368" s="493">
        <v>1E-3</v>
      </c>
      <c r="H2368" s="758">
        <v>0.47916666666666663</v>
      </c>
      <c r="I2368" s="932"/>
      <c r="J2368" s="933"/>
      <c r="K2368" s="934"/>
      <c r="L2368" s="674">
        <v>0.25</v>
      </c>
      <c r="M2368" s="438"/>
    </row>
    <row r="2369" spans="3:13" ht="25" customHeight="1" thickBot="1" x14ac:dyDescent="0.25">
      <c r="C2369" s="91" t="e">
        <v>#REF!</v>
      </c>
      <c r="D2369" s="663" t="s">
        <v>30</v>
      </c>
      <c r="E2369" s="917" t="s">
        <v>1486</v>
      </c>
      <c r="F2369" s="918"/>
      <c r="G2369" s="919"/>
      <c r="H2369" s="664" t="s">
        <v>790</v>
      </c>
      <c r="I2369" s="920" t="s">
        <v>633</v>
      </c>
      <c r="J2369" s="921"/>
      <c r="K2369" s="922"/>
      <c r="L2369" s="664" t="s">
        <v>430</v>
      </c>
      <c r="M2369" s="664" t="s">
        <v>431</v>
      </c>
    </row>
    <row r="2370" spans="3:13" ht="24" customHeight="1" x14ac:dyDescent="0.2">
      <c r="C2370" s="91"/>
      <c r="D2370" s="665" t="s">
        <v>432</v>
      </c>
      <c r="E2370" s="923"/>
      <c r="F2370" s="924"/>
      <c r="G2370" s="925"/>
      <c r="H2370" s="666" t="s">
        <v>1557</v>
      </c>
      <c r="I2370" s="926" t="s">
        <v>1487</v>
      </c>
      <c r="J2370" s="927"/>
      <c r="K2370" s="928"/>
      <c r="L2370" s="667"/>
      <c r="M2370" s="425" t="s">
        <v>1486</v>
      </c>
    </row>
    <row r="2371" spans="3:13" ht="17" x14ac:dyDescent="0.2">
      <c r="C2371" s="91"/>
      <c r="D2371" s="668" t="s">
        <v>433</v>
      </c>
      <c r="E2371" s="935">
        <v>0</v>
      </c>
      <c r="F2371" s="936"/>
      <c r="G2371" s="937"/>
      <c r="H2371" s="424" t="s">
        <v>1558</v>
      </c>
      <c r="I2371" s="929"/>
      <c r="J2371" s="930"/>
      <c r="K2371" s="931"/>
      <c r="L2371" s="667"/>
      <c r="M2371" s="426"/>
    </row>
    <row r="2372" spans="3:13" ht="17" x14ac:dyDescent="0.2">
      <c r="C2372" s="91"/>
      <c r="D2372" s="668" t="s">
        <v>434</v>
      </c>
      <c r="E2372" s="935">
        <v>0</v>
      </c>
      <c r="F2372" s="936"/>
      <c r="G2372" s="937"/>
      <c r="H2372" s="424"/>
      <c r="I2372" s="929"/>
      <c r="J2372" s="930"/>
      <c r="K2372" s="931"/>
      <c r="L2372" s="667"/>
      <c r="M2372" s="426"/>
    </row>
    <row r="2373" spans="3:13" ht="18" thickBot="1" x14ac:dyDescent="0.25">
      <c r="C2373" s="91"/>
      <c r="D2373" s="669" t="s">
        <v>435</v>
      </c>
      <c r="E2373" s="938" t="e">
        <v>#VALUE!</v>
      </c>
      <c r="F2373" s="939"/>
      <c r="G2373" s="940"/>
      <c r="H2373" s="427"/>
      <c r="I2373" s="929"/>
      <c r="J2373" s="930"/>
      <c r="K2373" s="931"/>
      <c r="L2373" s="428" t="s">
        <v>1449</v>
      </c>
      <c r="M2373" s="429" t="e">
        <v>#VALUE!</v>
      </c>
    </row>
    <row r="2374" spans="3:13" ht="18" thickBot="1" x14ac:dyDescent="0.25">
      <c r="C2374" s="91"/>
      <c r="D2374" s="670" t="s">
        <v>436</v>
      </c>
      <c r="E2374" s="430" t="s">
        <v>29</v>
      </c>
      <c r="F2374" s="430" t="s">
        <v>28</v>
      </c>
      <c r="G2374" s="431" t="s">
        <v>27</v>
      </c>
      <c r="H2374" s="432" t="s">
        <v>793</v>
      </c>
      <c r="I2374" s="929"/>
      <c r="J2374" s="930"/>
      <c r="K2374" s="931"/>
      <c r="L2374" s="671" t="s">
        <v>1246</v>
      </c>
      <c r="M2374" s="433"/>
    </row>
    <row r="2375" spans="3:13" ht="17" x14ac:dyDescent="0.2">
      <c r="C2375" s="91"/>
      <c r="D2375" s="672">
        <v>45659</v>
      </c>
      <c r="E2375" s="434">
        <v>49.4</v>
      </c>
      <c r="F2375" s="434" t="s">
        <v>1538</v>
      </c>
      <c r="G2375" s="434">
        <v>49.7</v>
      </c>
      <c r="H2375" s="758">
        <v>0.52083333333333337</v>
      </c>
      <c r="I2375" s="929"/>
      <c r="J2375" s="930"/>
      <c r="K2375" s="931"/>
      <c r="L2375" s="674">
        <v>0.29166666666666669</v>
      </c>
      <c r="M2375" s="436"/>
    </row>
    <row r="2376" spans="3:13" ht="17" x14ac:dyDescent="0.2">
      <c r="C2376" s="91"/>
      <c r="D2376" s="672">
        <v>45642</v>
      </c>
      <c r="E2376" s="434">
        <v>48.3</v>
      </c>
      <c r="F2376" s="434" t="s">
        <v>440</v>
      </c>
      <c r="G2376" s="434">
        <v>49.7</v>
      </c>
      <c r="H2376" s="758">
        <v>0.52083333333333337</v>
      </c>
      <c r="I2376" s="929"/>
      <c r="J2376" s="930"/>
      <c r="K2376" s="931"/>
      <c r="L2376" s="674">
        <v>0.29166666666666669</v>
      </c>
      <c r="M2376" s="437"/>
    </row>
    <row r="2377" spans="3:13" ht="17" x14ac:dyDescent="0.2">
      <c r="C2377" s="91"/>
      <c r="D2377" s="672">
        <v>45628</v>
      </c>
      <c r="E2377" s="434">
        <v>49.7</v>
      </c>
      <c r="F2377" s="434" t="s">
        <v>510</v>
      </c>
      <c r="G2377" s="434">
        <v>48.5</v>
      </c>
      <c r="H2377" s="758">
        <v>0.47916666666666663</v>
      </c>
      <c r="I2377" s="929"/>
      <c r="J2377" s="930"/>
      <c r="K2377" s="931"/>
      <c r="L2377" s="674">
        <v>0.25</v>
      </c>
      <c r="M2377" s="426"/>
    </row>
    <row r="2378" spans="3:13" ht="17" x14ac:dyDescent="0.2">
      <c r="C2378" s="91"/>
      <c r="D2378" s="672">
        <v>45618</v>
      </c>
      <c r="E2378" s="434">
        <v>48.8</v>
      </c>
      <c r="F2378" s="434" t="s">
        <v>510</v>
      </c>
      <c r="G2378" s="434">
        <v>48.5</v>
      </c>
      <c r="H2378" s="758">
        <v>0.47916666666666663</v>
      </c>
      <c r="I2378" s="929"/>
      <c r="J2378" s="930"/>
      <c r="K2378" s="931"/>
      <c r="L2378" s="674">
        <v>0.25</v>
      </c>
      <c r="M2378" s="426"/>
    </row>
    <row r="2379" spans="3:13" ht="17" x14ac:dyDescent="0.2">
      <c r="C2379" s="91"/>
      <c r="D2379" s="672">
        <v>45597</v>
      </c>
      <c r="E2379" s="434">
        <v>48.5</v>
      </c>
      <c r="F2379" s="434" t="s">
        <v>1054</v>
      </c>
      <c r="G2379" s="434">
        <v>47.8</v>
      </c>
      <c r="H2379" s="758">
        <v>0.47916666666666663</v>
      </c>
      <c r="I2379" s="929"/>
      <c r="J2379" s="930"/>
      <c r="K2379" s="931"/>
      <c r="L2379" s="674">
        <v>0.25</v>
      </c>
      <c r="M2379" s="426"/>
    </row>
    <row r="2380" spans="3:13" ht="18" thickBot="1" x14ac:dyDescent="0.25">
      <c r="C2380" s="91"/>
      <c r="D2380" s="672">
        <v>45589</v>
      </c>
      <c r="E2380" s="434">
        <v>47.8</v>
      </c>
      <c r="F2380" s="434" t="s">
        <v>509</v>
      </c>
      <c r="G2380" s="434">
        <v>47.3</v>
      </c>
      <c r="H2380" s="758">
        <v>0.47916666666666663</v>
      </c>
      <c r="I2380" s="932"/>
      <c r="J2380" s="933"/>
      <c r="K2380" s="934"/>
      <c r="L2380" s="674">
        <v>0.25</v>
      </c>
      <c r="M2380" s="438"/>
    </row>
    <row r="2381" spans="3:13" ht="18" thickBot="1" x14ac:dyDescent="0.25">
      <c r="C2381" s="91" t="e">
        <v>#REF!</v>
      </c>
      <c r="D2381" s="663" t="s">
        <v>30</v>
      </c>
      <c r="E2381" s="917" t="e">
        <v>#REF!</v>
      </c>
      <c r="F2381" s="918"/>
      <c r="G2381" s="919"/>
      <c r="H2381" s="422" t="s">
        <v>790</v>
      </c>
      <c r="I2381" s="920" t="s">
        <v>633</v>
      </c>
      <c r="J2381" s="921"/>
      <c r="K2381" s="922"/>
      <c r="L2381" s="739" t="s">
        <v>430</v>
      </c>
      <c r="M2381" s="440" t="s">
        <v>431</v>
      </c>
    </row>
    <row r="2382" spans="3:13" ht="17" x14ac:dyDescent="0.2">
      <c r="C2382" s="91"/>
      <c r="D2382" s="665" t="s">
        <v>432</v>
      </c>
      <c r="E2382" s="923"/>
      <c r="F2382" s="924"/>
      <c r="G2382" s="925"/>
      <c r="H2382" s="424" t="s">
        <v>906</v>
      </c>
      <c r="I2382" s="926" t="e">
        <v>#REF!</v>
      </c>
      <c r="J2382" s="927"/>
      <c r="K2382" s="928"/>
      <c r="L2382" s="667"/>
      <c r="M2382" s="425" t="e">
        <v>#REF!</v>
      </c>
    </row>
    <row r="2383" spans="3:13" ht="17" x14ac:dyDescent="0.2">
      <c r="C2383" s="91"/>
      <c r="D2383" s="668" t="s">
        <v>433</v>
      </c>
      <c r="E2383" s="947" t="e">
        <v>#REF!</v>
      </c>
      <c r="F2383" s="948"/>
      <c r="G2383" s="949"/>
      <c r="H2383" s="424" t="s">
        <v>907</v>
      </c>
      <c r="I2383" s="929"/>
      <c r="J2383" s="930"/>
      <c r="K2383" s="931"/>
      <c r="L2383" s="667"/>
      <c r="M2383" s="426"/>
    </row>
    <row r="2384" spans="3:13" ht="17" x14ac:dyDescent="0.2">
      <c r="C2384" s="91"/>
      <c r="D2384" s="668" t="s">
        <v>434</v>
      </c>
      <c r="E2384" s="941" t="e">
        <v>#REF!</v>
      </c>
      <c r="F2384" s="942"/>
      <c r="G2384" s="943"/>
      <c r="H2384" s="424"/>
      <c r="I2384" s="929"/>
      <c r="J2384" s="930"/>
      <c r="K2384" s="931"/>
      <c r="L2384" s="667"/>
      <c r="M2384" s="426"/>
    </row>
    <row r="2385" spans="3:13" ht="18" thickBot="1" x14ac:dyDescent="0.25">
      <c r="C2385" s="91"/>
      <c r="D2385" s="669" t="s">
        <v>435</v>
      </c>
      <c r="E2385" s="938" t="e">
        <v>#REF!</v>
      </c>
      <c r="F2385" s="939"/>
      <c r="G2385" s="940"/>
      <c r="H2385" s="427" t="e">
        <v>#REF!</v>
      </c>
      <c r="I2385" s="929"/>
      <c r="J2385" s="930"/>
      <c r="K2385" s="931"/>
      <c r="L2385" s="428" t="e">
        <v>#REF!</v>
      </c>
      <c r="M2385" s="429">
        <v>0.63541666666666663</v>
      </c>
    </row>
    <row r="2386" spans="3:13" ht="18" thickBot="1" x14ac:dyDescent="0.25">
      <c r="C2386" s="91"/>
      <c r="D2386" s="670" t="s">
        <v>436</v>
      </c>
      <c r="E2386" s="430" t="s">
        <v>29</v>
      </c>
      <c r="F2386" s="430" t="s">
        <v>28</v>
      </c>
      <c r="G2386" s="431" t="s">
        <v>27</v>
      </c>
      <c r="H2386" s="432" t="s">
        <v>793</v>
      </c>
      <c r="I2386" s="929"/>
      <c r="J2386" s="930"/>
      <c r="K2386" s="931"/>
      <c r="L2386" s="671"/>
      <c r="M2386" s="433"/>
    </row>
    <row r="2387" spans="3:13" ht="17" x14ac:dyDescent="0.2">
      <c r="C2387" s="91"/>
      <c r="D2387" s="672">
        <v>45609</v>
      </c>
      <c r="E2387" s="441">
        <v>2E-3</v>
      </c>
      <c r="F2387" s="441" t="s">
        <v>460</v>
      </c>
      <c r="G2387" s="441">
        <v>2E-3</v>
      </c>
      <c r="H2387" s="435">
        <v>0.5625</v>
      </c>
      <c r="I2387" s="929"/>
      <c r="J2387" s="930"/>
      <c r="K2387" s="931"/>
      <c r="L2387" s="675"/>
      <c r="M2387" s="436"/>
    </row>
    <row r="2388" spans="3:13" ht="17" x14ac:dyDescent="0.2">
      <c r="C2388" s="91"/>
      <c r="D2388" s="672">
        <v>45575</v>
      </c>
      <c r="E2388" s="441">
        <v>2E-3</v>
      </c>
      <c r="F2388" s="441" t="s">
        <v>462</v>
      </c>
      <c r="G2388" s="441">
        <v>2E-3</v>
      </c>
      <c r="H2388" s="435">
        <v>0.52083333333333337</v>
      </c>
      <c r="I2388" s="929"/>
      <c r="J2388" s="930"/>
      <c r="K2388" s="931"/>
      <c r="L2388" s="675"/>
      <c r="M2388" s="437"/>
    </row>
    <row r="2389" spans="3:13" ht="17" x14ac:dyDescent="0.2">
      <c r="C2389" s="91"/>
      <c r="D2389" s="672">
        <v>45546</v>
      </c>
      <c r="E2389" s="441">
        <v>2E-3</v>
      </c>
      <c r="F2389" s="441" t="s">
        <v>460</v>
      </c>
      <c r="G2389" s="441">
        <v>2E-3</v>
      </c>
      <c r="H2389" s="435">
        <v>0.52083333333333337</v>
      </c>
      <c r="I2389" s="929"/>
      <c r="J2389" s="930"/>
      <c r="K2389" s="931"/>
      <c r="L2389" s="675"/>
      <c r="M2389" s="426"/>
    </row>
    <row r="2390" spans="3:13" ht="17" x14ac:dyDescent="0.2">
      <c r="C2390" s="91"/>
      <c r="D2390" s="672">
        <v>45518</v>
      </c>
      <c r="E2390" s="441">
        <v>2E-3</v>
      </c>
      <c r="F2390" s="441" t="s">
        <v>460</v>
      </c>
      <c r="G2390" s="441">
        <v>-1E-3</v>
      </c>
      <c r="H2390" s="435">
        <v>0.52083333333333337</v>
      </c>
      <c r="I2390" s="929"/>
      <c r="J2390" s="930"/>
      <c r="K2390" s="931"/>
      <c r="L2390" s="675"/>
      <c r="M2390" s="426"/>
    </row>
    <row r="2391" spans="3:13" ht="17" x14ac:dyDescent="0.2">
      <c r="C2391" s="91"/>
      <c r="D2391" s="672">
        <v>45484</v>
      </c>
      <c r="E2391" s="441">
        <v>-1E-3</v>
      </c>
      <c r="F2391" s="441" t="s">
        <v>462</v>
      </c>
      <c r="G2391" s="441">
        <v>0</v>
      </c>
      <c r="H2391" s="435">
        <v>0.52083333333333337</v>
      </c>
      <c r="I2391" s="929"/>
      <c r="J2391" s="930"/>
      <c r="K2391" s="931"/>
      <c r="L2391" s="675"/>
      <c r="M2391" s="426"/>
    </row>
    <row r="2392" spans="3:13" ht="18" thickBot="1" x14ac:dyDescent="0.25">
      <c r="C2392" s="91"/>
      <c r="D2392" s="672">
        <v>45455</v>
      </c>
      <c r="E2392" s="441">
        <v>0</v>
      </c>
      <c r="F2392" s="441" t="s">
        <v>462</v>
      </c>
      <c r="G2392" s="441">
        <v>3.0000000000000001E-3</v>
      </c>
      <c r="H2392" s="435">
        <v>0.52083333333333337</v>
      </c>
      <c r="I2392" s="932"/>
      <c r="J2392" s="933"/>
      <c r="K2392" s="934"/>
      <c r="L2392" s="677"/>
      <c r="M2392" s="438"/>
    </row>
    <row r="2393" spans="3:13" ht="25" customHeight="1" thickBot="1" x14ac:dyDescent="0.25">
      <c r="C2393" s="91" t="e">
        <v>#REF!</v>
      </c>
      <c r="D2393" s="663" t="s">
        <v>30</v>
      </c>
      <c r="E2393" s="917" t="s">
        <v>1493</v>
      </c>
      <c r="F2393" s="918"/>
      <c r="G2393" s="919"/>
      <c r="H2393" s="664" t="s">
        <v>790</v>
      </c>
      <c r="I2393" s="920" t="s">
        <v>633</v>
      </c>
      <c r="J2393" s="921"/>
      <c r="K2393" s="922"/>
      <c r="L2393" s="664" t="s">
        <v>430</v>
      </c>
      <c r="M2393" s="664" t="s">
        <v>431</v>
      </c>
    </row>
    <row r="2394" spans="3:13" ht="24" customHeight="1" x14ac:dyDescent="0.2">
      <c r="C2394" s="91"/>
      <c r="D2394" s="665" t="s">
        <v>432</v>
      </c>
      <c r="E2394" s="923"/>
      <c r="F2394" s="924"/>
      <c r="G2394" s="925"/>
      <c r="H2394" s="666" t="s">
        <v>1557</v>
      </c>
      <c r="I2394" s="926" t="s">
        <v>1494</v>
      </c>
      <c r="J2394" s="927"/>
      <c r="K2394" s="928"/>
      <c r="L2394" s="667"/>
      <c r="M2394" s="425" t="s">
        <v>1493</v>
      </c>
    </row>
    <row r="2395" spans="3:13" ht="17" x14ac:dyDescent="0.2">
      <c r="C2395" s="91"/>
      <c r="D2395" s="668" t="s">
        <v>433</v>
      </c>
      <c r="E2395" s="935">
        <v>0</v>
      </c>
      <c r="F2395" s="936"/>
      <c r="G2395" s="937"/>
      <c r="H2395" s="424" t="s">
        <v>1558</v>
      </c>
      <c r="I2395" s="929"/>
      <c r="J2395" s="930"/>
      <c r="K2395" s="931"/>
      <c r="L2395" s="667"/>
      <c r="M2395" s="426"/>
    </row>
    <row r="2396" spans="3:13" ht="17" x14ac:dyDescent="0.2">
      <c r="C2396" s="91"/>
      <c r="D2396" s="668" t="s">
        <v>434</v>
      </c>
      <c r="E2396" s="935">
        <v>0</v>
      </c>
      <c r="F2396" s="936"/>
      <c r="G2396" s="937"/>
      <c r="H2396" s="424"/>
      <c r="I2396" s="929"/>
      <c r="J2396" s="930"/>
      <c r="K2396" s="931"/>
      <c r="L2396" s="667"/>
      <c r="M2396" s="426"/>
    </row>
    <row r="2397" spans="3:13" ht="18" thickBot="1" x14ac:dyDescent="0.25">
      <c r="C2397" s="91"/>
      <c r="D2397" s="669" t="s">
        <v>435</v>
      </c>
      <c r="E2397" s="938" t="e">
        <v>#VALUE!</v>
      </c>
      <c r="F2397" s="939"/>
      <c r="G2397" s="940"/>
      <c r="H2397" s="427"/>
      <c r="I2397" s="929"/>
      <c r="J2397" s="930"/>
      <c r="K2397" s="931"/>
      <c r="L2397" s="428" t="s">
        <v>1449</v>
      </c>
      <c r="M2397" s="429" t="e">
        <v>#VALUE!</v>
      </c>
    </row>
    <row r="2398" spans="3:13" ht="18" thickBot="1" x14ac:dyDescent="0.25">
      <c r="C2398" s="91"/>
      <c r="D2398" s="670" t="s">
        <v>436</v>
      </c>
      <c r="E2398" s="430" t="s">
        <v>29</v>
      </c>
      <c r="F2398" s="430" t="s">
        <v>28</v>
      </c>
      <c r="G2398" s="431" t="s">
        <v>27</v>
      </c>
      <c r="H2398" s="432" t="s">
        <v>793</v>
      </c>
      <c r="I2398" s="929"/>
      <c r="J2398" s="930"/>
      <c r="K2398" s="931"/>
      <c r="L2398" s="671" t="s">
        <v>1246</v>
      </c>
      <c r="M2398" s="433"/>
    </row>
    <row r="2399" spans="3:13" ht="17" x14ac:dyDescent="0.2">
      <c r="C2399" s="91"/>
      <c r="D2399" s="672">
        <v>45663</v>
      </c>
      <c r="E2399" s="434">
        <v>56.8</v>
      </c>
      <c r="F2399" s="434" t="s">
        <v>1539</v>
      </c>
      <c r="G2399" s="434">
        <v>56.1</v>
      </c>
      <c r="H2399" s="758">
        <v>0.52083333333333337</v>
      </c>
      <c r="I2399" s="929"/>
      <c r="J2399" s="930"/>
      <c r="K2399" s="931"/>
      <c r="L2399" s="674">
        <v>0.29166666666666669</v>
      </c>
      <c r="M2399" s="436"/>
    </row>
    <row r="2400" spans="3:13" ht="17" x14ac:dyDescent="0.2">
      <c r="C2400" s="91"/>
      <c r="D2400" s="672">
        <v>45642</v>
      </c>
      <c r="E2400" s="434">
        <v>58.5</v>
      </c>
      <c r="F2400" s="434" t="s">
        <v>1339</v>
      </c>
      <c r="G2400" s="434">
        <v>56.1</v>
      </c>
      <c r="H2400" s="758">
        <v>0.52083333333333337</v>
      </c>
      <c r="I2400" s="929"/>
      <c r="J2400" s="930"/>
      <c r="K2400" s="931"/>
      <c r="L2400" s="674">
        <v>0.29166666666666669</v>
      </c>
      <c r="M2400" s="437"/>
    </row>
    <row r="2401" spans="3:13" ht="17" x14ac:dyDescent="0.2">
      <c r="C2401" s="91"/>
      <c r="D2401" s="672">
        <v>45630</v>
      </c>
      <c r="E2401" s="434">
        <v>56.1</v>
      </c>
      <c r="F2401" s="434" t="s">
        <v>1285</v>
      </c>
      <c r="G2401" s="434">
        <v>55</v>
      </c>
      <c r="H2401" s="758">
        <v>0.47916666666666663</v>
      </c>
      <c r="I2401" s="929"/>
      <c r="J2401" s="930"/>
      <c r="K2401" s="931"/>
      <c r="L2401" s="674">
        <v>0.25</v>
      </c>
      <c r="M2401" s="426"/>
    </row>
    <row r="2402" spans="3:13" ht="17" x14ac:dyDescent="0.2">
      <c r="C2402" s="91"/>
      <c r="D2402" s="672">
        <v>45618</v>
      </c>
      <c r="E2402" s="434">
        <v>57</v>
      </c>
      <c r="F2402" s="434" t="s">
        <v>586</v>
      </c>
      <c r="G2402" s="434">
        <v>55</v>
      </c>
      <c r="H2402" s="758">
        <v>0.47916666666666663</v>
      </c>
      <c r="I2402" s="929"/>
      <c r="J2402" s="930"/>
      <c r="K2402" s="931"/>
      <c r="L2402" s="674">
        <v>0.25</v>
      </c>
      <c r="M2402" s="426"/>
    </row>
    <row r="2403" spans="3:13" ht="17" x14ac:dyDescent="0.2">
      <c r="C2403" s="91"/>
      <c r="D2403" s="672">
        <v>45601</v>
      </c>
      <c r="E2403" s="434">
        <v>55</v>
      </c>
      <c r="F2403" s="434" t="s">
        <v>585</v>
      </c>
      <c r="G2403" s="434">
        <v>55.2</v>
      </c>
      <c r="H2403" s="758">
        <v>0.47916666666666663</v>
      </c>
      <c r="I2403" s="929"/>
      <c r="J2403" s="930"/>
      <c r="K2403" s="931"/>
      <c r="L2403" s="674">
        <v>0.25</v>
      </c>
      <c r="M2403" s="426"/>
    </row>
    <row r="2404" spans="3:13" ht="18" thickBot="1" x14ac:dyDescent="0.25">
      <c r="C2404" s="91"/>
      <c r="D2404" s="672">
        <v>45589</v>
      </c>
      <c r="E2404" s="434">
        <v>55.3</v>
      </c>
      <c r="F2404" s="434" t="s">
        <v>604</v>
      </c>
      <c r="G2404" s="434">
        <v>55.2</v>
      </c>
      <c r="H2404" s="758">
        <v>0.47916666666666663</v>
      </c>
      <c r="I2404" s="932"/>
      <c r="J2404" s="933"/>
      <c r="K2404" s="934"/>
      <c r="L2404" s="674">
        <v>0.25</v>
      </c>
      <c r="M2404" s="438"/>
    </row>
    <row r="2405" spans="3:13" ht="25" customHeight="1" thickBot="1" x14ac:dyDescent="0.25">
      <c r="C2405" s="91" t="e">
        <v>#REF!</v>
      </c>
      <c r="D2405" s="663" t="s">
        <v>30</v>
      </c>
      <c r="E2405" s="917" t="s">
        <v>1496</v>
      </c>
      <c r="F2405" s="918"/>
      <c r="G2405" s="919"/>
      <c r="H2405" s="664" t="s">
        <v>790</v>
      </c>
      <c r="I2405" s="920" t="s">
        <v>633</v>
      </c>
      <c r="J2405" s="921"/>
      <c r="K2405" s="922"/>
      <c r="L2405" s="664" t="s">
        <v>430</v>
      </c>
      <c r="M2405" s="664" t="s">
        <v>431</v>
      </c>
    </row>
    <row r="2406" spans="3:13" ht="24" customHeight="1" x14ac:dyDescent="0.2">
      <c r="C2406" s="91"/>
      <c r="D2406" s="665" t="s">
        <v>432</v>
      </c>
      <c r="E2406" s="923"/>
      <c r="F2406" s="924"/>
      <c r="G2406" s="925"/>
      <c r="H2406" s="666" t="s">
        <v>1557</v>
      </c>
      <c r="I2406" s="926" t="s">
        <v>1497</v>
      </c>
      <c r="J2406" s="927"/>
      <c r="K2406" s="928"/>
      <c r="L2406" s="667"/>
      <c r="M2406" s="425" t="s">
        <v>1496</v>
      </c>
    </row>
    <row r="2407" spans="3:13" ht="17" x14ac:dyDescent="0.2">
      <c r="C2407" s="91"/>
      <c r="D2407" s="668" t="s">
        <v>433</v>
      </c>
      <c r="E2407" s="947">
        <v>0</v>
      </c>
      <c r="F2407" s="948"/>
      <c r="G2407" s="949"/>
      <c r="H2407" s="424" t="s">
        <v>1558</v>
      </c>
      <c r="I2407" s="929"/>
      <c r="J2407" s="930"/>
      <c r="K2407" s="931"/>
      <c r="L2407" s="667"/>
      <c r="M2407" s="426"/>
    </row>
    <row r="2408" spans="3:13" ht="17" x14ac:dyDescent="0.2">
      <c r="C2408" s="91"/>
      <c r="D2408" s="668" t="s">
        <v>434</v>
      </c>
      <c r="E2408" s="941">
        <v>0</v>
      </c>
      <c r="F2408" s="942"/>
      <c r="G2408" s="943"/>
      <c r="H2408" s="424"/>
      <c r="I2408" s="929"/>
      <c r="J2408" s="930"/>
      <c r="K2408" s="931"/>
      <c r="L2408" s="667"/>
      <c r="M2408" s="426"/>
    </row>
    <row r="2409" spans="3:13" ht="18" thickBot="1" x14ac:dyDescent="0.25">
      <c r="C2409" s="91"/>
      <c r="D2409" s="669" t="s">
        <v>435</v>
      </c>
      <c r="E2409" s="938" t="e">
        <v>#VALUE!</v>
      </c>
      <c r="F2409" s="939"/>
      <c r="G2409" s="940"/>
      <c r="H2409" s="427"/>
      <c r="I2409" s="929"/>
      <c r="J2409" s="930"/>
      <c r="K2409" s="931"/>
      <c r="L2409" s="428" t="s">
        <v>1449</v>
      </c>
      <c r="M2409" s="429" t="e">
        <v>#VALUE!</v>
      </c>
    </row>
    <row r="2410" spans="3:13" ht="18" thickBot="1" x14ac:dyDescent="0.25">
      <c r="C2410" s="91"/>
      <c r="D2410" s="670" t="s">
        <v>436</v>
      </c>
      <c r="E2410" s="430" t="s">
        <v>29</v>
      </c>
      <c r="F2410" s="430" t="s">
        <v>28</v>
      </c>
      <c r="G2410" s="431" t="s">
        <v>27</v>
      </c>
      <c r="H2410" s="432" t="s">
        <v>793</v>
      </c>
      <c r="I2410" s="929"/>
      <c r="J2410" s="930"/>
      <c r="K2410" s="931"/>
      <c r="L2410" s="671" t="s">
        <v>1246</v>
      </c>
      <c r="M2410" s="433"/>
    </row>
    <row r="2411" spans="3:13" ht="17" x14ac:dyDescent="0.2">
      <c r="C2411" s="91"/>
      <c r="D2411" s="672">
        <v>45645</v>
      </c>
      <c r="E2411" s="441" t="s">
        <v>1540</v>
      </c>
      <c r="F2411" s="441" t="s">
        <v>1541</v>
      </c>
      <c r="G2411" s="441" t="s">
        <v>1043</v>
      </c>
      <c r="H2411" s="758">
        <v>0.52083333333333337</v>
      </c>
      <c r="I2411" s="929"/>
      <c r="J2411" s="930"/>
      <c r="K2411" s="931"/>
      <c r="L2411" s="674">
        <v>0.29166666666666669</v>
      </c>
      <c r="M2411" s="436"/>
    </row>
    <row r="2412" spans="3:13" ht="17" x14ac:dyDescent="0.2">
      <c r="C2412" s="91"/>
      <c r="D2412" s="672">
        <v>45617</v>
      </c>
      <c r="E2412" s="441" t="s">
        <v>1043</v>
      </c>
      <c r="F2412" s="441" t="s">
        <v>1044</v>
      </c>
      <c r="G2412" s="441" t="s">
        <v>1293</v>
      </c>
      <c r="H2412" s="758">
        <v>0.52083333333333337</v>
      </c>
      <c r="I2412" s="929"/>
      <c r="J2412" s="930"/>
      <c r="K2412" s="931"/>
      <c r="L2412" s="674">
        <v>0.29166666666666669</v>
      </c>
      <c r="M2412" s="437"/>
    </row>
    <row r="2413" spans="3:13" ht="17" x14ac:dyDescent="0.2">
      <c r="C2413" s="91"/>
      <c r="D2413" s="672">
        <v>45588</v>
      </c>
      <c r="E2413" s="441" t="s">
        <v>1039</v>
      </c>
      <c r="F2413" s="441" t="s">
        <v>1040</v>
      </c>
      <c r="G2413" s="441" t="s">
        <v>1040</v>
      </c>
      <c r="H2413" s="758">
        <v>0.47916666666666663</v>
      </c>
      <c r="I2413" s="929"/>
      <c r="J2413" s="930"/>
      <c r="K2413" s="931"/>
      <c r="L2413" s="674">
        <v>0.25</v>
      </c>
      <c r="M2413" s="426"/>
    </row>
    <row r="2414" spans="3:13" ht="17" x14ac:dyDescent="0.2">
      <c r="C2414" s="91"/>
      <c r="D2414" s="672">
        <v>45554</v>
      </c>
      <c r="E2414" s="441" t="s">
        <v>1041</v>
      </c>
      <c r="F2414" s="441" t="s">
        <v>1042</v>
      </c>
      <c r="G2414" s="441" t="s">
        <v>1043</v>
      </c>
      <c r="H2414" s="758">
        <v>0.47916666666666663</v>
      </c>
      <c r="I2414" s="929"/>
      <c r="J2414" s="930"/>
      <c r="K2414" s="931"/>
      <c r="L2414" s="674">
        <v>0.25</v>
      </c>
      <c r="M2414" s="426"/>
    </row>
    <row r="2415" spans="3:13" ht="17" x14ac:dyDescent="0.2">
      <c r="C2415" s="91"/>
      <c r="D2415" s="672">
        <v>45526</v>
      </c>
      <c r="E2415" s="441" t="s">
        <v>1044</v>
      </c>
      <c r="F2415" s="441" t="s">
        <v>1045</v>
      </c>
      <c r="G2415" s="441" t="s">
        <v>1046</v>
      </c>
      <c r="H2415" s="758">
        <v>0.47916666666666663</v>
      </c>
      <c r="I2415" s="929"/>
      <c r="J2415" s="930"/>
      <c r="K2415" s="931"/>
      <c r="L2415" s="674">
        <v>0.25</v>
      </c>
      <c r="M2415" s="426"/>
    </row>
    <row r="2416" spans="3:13" ht="18" thickBot="1" x14ac:dyDescent="0.25">
      <c r="C2416" s="91"/>
      <c r="D2416" s="672">
        <v>45496</v>
      </c>
      <c r="E2416" s="441" t="s">
        <v>1047</v>
      </c>
      <c r="F2416" s="441" t="s">
        <v>1048</v>
      </c>
      <c r="G2416" s="441" t="s">
        <v>1049</v>
      </c>
      <c r="H2416" s="758">
        <v>0.47916666666666663</v>
      </c>
      <c r="I2416" s="932"/>
      <c r="J2416" s="933"/>
      <c r="K2416" s="934"/>
      <c r="L2416" s="674">
        <v>0.25</v>
      </c>
      <c r="M2416" s="438"/>
    </row>
    <row r="2417" spans="3:13" ht="25" customHeight="1" thickBot="1" x14ac:dyDescent="0.25">
      <c r="C2417" s="91">
        <v>1</v>
      </c>
      <c r="D2417" s="663" t="s">
        <v>30</v>
      </c>
      <c r="E2417" s="917" t="s">
        <v>1498</v>
      </c>
      <c r="F2417" s="918"/>
      <c r="G2417" s="919"/>
      <c r="H2417" s="664" t="s">
        <v>790</v>
      </c>
      <c r="I2417" s="920" t="s">
        <v>633</v>
      </c>
      <c r="J2417" s="921"/>
      <c r="K2417" s="922"/>
      <c r="L2417" s="664" t="s">
        <v>430</v>
      </c>
      <c r="M2417" s="664" t="s">
        <v>431</v>
      </c>
    </row>
    <row r="2418" spans="3:13" ht="24" customHeight="1" x14ac:dyDescent="0.2">
      <c r="C2418" s="91"/>
      <c r="D2418" s="665" t="s">
        <v>432</v>
      </c>
      <c r="E2418" s="923"/>
      <c r="F2418" s="924"/>
      <c r="G2418" s="925"/>
      <c r="H2418" s="666" t="s">
        <v>906</v>
      </c>
      <c r="I2418" s="926" t="s">
        <v>1499</v>
      </c>
      <c r="J2418" s="927"/>
      <c r="K2418" s="928"/>
      <c r="L2418" s="667"/>
      <c r="M2418" s="425" t="s">
        <v>1498</v>
      </c>
    </row>
    <row r="2419" spans="3:13" ht="17" x14ac:dyDescent="0.2">
      <c r="C2419" s="91"/>
      <c r="D2419" s="668" t="s">
        <v>433</v>
      </c>
      <c r="E2419" s="935">
        <v>3.13</v>
      </c>
      <c r="F2419" s="936"/>
      <c r="G2419" s="937"/>
      <c r="H2419" s="424" t="s">
        <v>907</v>
      </c>
      <c r="I2419" s="929"/>
      <c r="J2419" s="930"/>
      <c r="K2419" s="931"/>
      <c r="L2419" s="667"/>
      <c r="M2419" s="426"/>
    </row>
    <row r="2420" spans="3:13" ht="17" x14ac:dyDescent="0.2">
      <c r="C2420" s="91"/>
      <c r="D2420" s="668" t="s">
        <v>434</v>
      </c>
      <c r="E2420" s="935">
        <v>2.93</v>
      </c>
      <c r="F2420" s="936"/>
      <c r="G2420" s="937"/>
      <c r="H2420" s="424"/>
      <c r="I2420" s="929"/>
      <c r="J2420" s="930"/>
      <c r="K2420" s="931"/>
      <c r="L2420" s="667"/>
      <c r="M2420" s="426"/>
    </row>
    <row r="2421" spans="3:13" ht="18" thickBot="1" x14ac:dyDescent="0.25">
      <c r="C2421" s="91"/>
      <c r="D2421" s="669" t="s">
        <v>435</v>
      </c>
      <c r="E2421" s="938">
        <v>0.875</v>
      </c>
      <c r="F2421" s="939"/>
      <c r="G2421" s="940"/>
      <c r="H2421" s="427"/>
      <c r="I2421" s="929"/>
      <c r="J2421" s="930"/>
      <c r="K2421" s="931"/>
      <c r="L2421" s="428">
        <v>0.10416666666666667</v>
      </c>
      <c r="M2421" s="429">
        <v>0.95833333333333337</v>
      </c>
    </row>
    <row r="2422" spans="3:13" ht="18" thickBot="1" x14ac:dyDescent="0.25">
      <c r="C2422" s="91"/>
      <c r="D2422" s="670" t="s">
        <v>436</v>
      </c>
      <c r="E2422" s="430" t="s">
        <v>29</v>
      </c>
      <c r="F2422" s="430" t="s">
        <v>28</v>
      </c>
      <c r="G2422" s="431" t="s">
        <v>27</v>
      </c>
      <c r="H2422" s="432" t="s">
        <v>793</v>
      </c>
      <c r="I2422" s="929"/>
      <c r="J2422" s="930"/>
      <c r="K2422" s="931"/>
      <c r="L2422" s="671" t="s">
        <v>1246</v>
      </c>
      <c r="M2422" s="433"/>
    </row>
    <row r="2423" spans="3:13" x14ac:dyDescent="0.2">
      <c r="C2423" s="91"/>
      <c r="D2423" s="672">
        <v>45595</v>
      </c>
      <c r="E2423" s="439">
        <v>3.3</v>
      </c>
      <c r="F2423" s="439">
        <v>3.08</v>
      </c>
      <c r="G2423" s="439">
        <v>2.99</v>
      </c>
      <c r="H2423" s="758">
        <v>-0.12499999999999999</v>
      </c>
      <c r="I2423" s="929"/>
      <c r="J2423" s="930"/>
      <c r="K2423" s="931"/>
      <c r="L2423" s="674">
        <v>0.10416666666666667</v>
      </c>
      <c r="M2423" s="436"/>
    </row>
    <row r="2424" spans="3:13" x14ac:dyDescent="0.2">
      <c r="C2424" s="91"/>
      <c r="D2424" s="672">
        <v>45503</v>
      </c>
      <c r="E2424" s="439">
        <v>2.95</v>
      </c>
      <c r="F2424" s="439">
        <v>2.9</v>
      </c>
      <c r="G2424" s="439">
        <v>2.94</v>
      </c>
      <c r="H2424" s="758">
        <v>-0.12499999999999999</v>
      </c>
      <c r="I2424" s="929"/>
      <c r="J2424" s="930"/>
      <c r="K2424" s="931"/>
      <c r="L2424" s="674">
        <v>0.10416666666666667</v>
      </c>
      <c r="M2424" s="437"/>
    </row>
    <row r="2425" spans="3:13" x14ac:dyDescent="0.2">
      <c r="C2425" s="91"/>
      <c r="D2425" s="672">
        <v>45407</v>
      </c>
      <c r="E2425" s="439">
        <v>2.94</v>
      </c>
      <c r="F2425" s="439">
        <v>2.81</v>
      </c>
      <c r="G2425" s="439">
        <v>2.93</v>
      </c>
      <c r="H2425" s="758">
        <v>0.58333333333333337</v>
      </c>
      <c r="I2425" s="929"/>
      <c r="J2425" s="930"/>
      <c r="K2425" s="931"/>
      <c r="L2425" s="674">
        <v>0.8125</v>
      </c>
      <c r="M2425" s="426"/>
    </row>
    <row r="2426" spans="3:13" x14ac:dyDescent="0.2">
      <c r="C2426" s="91"/>
      <c r="D2426" s="672">
        <v>45321</v>
      </c>
      <c r="E2426" s="439">
        <v>2.93</v>
      </c>
      <c r="F2426" s="439">
        <v>2.76</v>
      </c>
      <c r="G2426" s="439">
        <v>2.69</v>
      </c>
      <c r="H2426" s="758">
        <v>0.58333333333333337</v>
      </c>
      <c r="I2426" s="929"/>
      <c r="J2426" s="930"/>
      <c r="K2426" s="931"/>
      <c r="L2426" s="674">
        <v>0.8125</v>
      </c>
      <c r="M2426" s="426"/>
    </row>
    <row r="2427" spans="3:13" x14ac:dyDescent="0.2">
      <c r="C2427" s="91"/>
      <c r="D2427" s="672">
        <v>45223</v>
      </c>
      <c r="E2427" s="439">
        <v>2.99</v>
      </c>
      <c r="F2427" s="439">
        <v>2.65</v>
      </c>
      <c r="G2427" s="439">
        <v>2.35</v>
      </c>
      <c r="H2427" s="758">
        <v>0.58333333333333337</v>
      </c>
      <c r="I2427" s="929"/>
      <c r="J2427" s="930"/>
      <c r="K2427" s="931"/>
      <c r="L2427" s="674">
        <v>0.8125</v>
      </c>
      <c r="M2427" s="426"/>
    </row>
    <row r="2428" spans="3:13" ht="17" thickBot="1" x14ac:dyDescent="0.25">
      <c r="C2428" s="91"/>
      <c r="D2428" s="672">
        <v>45132</v>
      </c>
      <c r="E2428" s="439">
        <v>2.69</v>
      </c>
      <c r="F2428" s="439">
        <v>2.5499999999999998</v>
      </c>
      <c r="G2428" s="439">
        <v>2.23</v>
      </c>
      <c r="H2428" s="758">
        <v>0.58333333333333337</v>
      </c>
      <c r="I2428" s="932"/>
      <c r="J2428" s="933"/>
      <c r="K2428" s="934"/>
      <c r="L2428" s="674">
        <v>0.8125</v>
      </c>
      <c r="M2428" s="438"/>
    </row>
    <row r="2429" spans="3:13" ht="25" customHeight="1" thickBot="1" x14ac:dyDescent="0.25">
      <c r="C2429" s="91">
        <v>1</v>
      </c>
      <c r="D2429" s="663" t="s">
        <v>30</v>
      </c>
      <c r="E2429" s="917" t="s">
        <v>1500</v>
      </c>
      <c r="F2429" s="918"/>
      <c r="G2429" s="919"/>
      <c r="H2429" s="664" t="s">
        <v>790</v>
      </c>
      <c r="I2429" s="920" t="s">
        <v>633</v>
      </c>
      <c r="J2429" s="921"/>
      <c r="K2429" s="922"/>
      <c r="L2429" s="664" t="s">
        <v>430</v>
      </c>
      <c r="M2429" s="664" t="s">
        <v>431</v>
      </c>
    </row>
    <row r="2430" spans="3:13" ht="24" customHeight="1" x14ac:dyDescent="0.2">
      <c r="C2430" s="91"/>
      <c r="D2430" s="665" t="s">
        <v>432</v>
      </c>
      <c r="E2430" s="923"/>
      <c r="F2430" s="924"/>
      <c r="G2430" s="925"/>
      <c r="H2430" s="666" t="s">
        <v>906</v>
      </c>
      <c r="I2430" s="926" t="s">
        <v>1499</v>
      </c>
      <c r="J2430" s="927"/>
      <c r="K2430" s="928"/>
      <c r="L2430" s="667"/>
      <c r="M2430" s="425" t="s">
        <v>1500</v>
      </c>
    </row>
    <row r="2431" spans="3:13" ht="17" x14ac:dyDescent="0.2">
      <c r="C2431" s="91"/>
      <c r="D2431" s="668" t="s">
        <v>433</v>
      </c>
      <c r="E2431" s="935">
        <v>0.64</v>
      </c>
      <c r="F2431" s="936"/>
      <c r="G2431" s="937"/>
      <c r="H2431" s="424" t="s">
        <v>907</v>
      </c>
      <c r="I2431" s="929"/>
      <c r="J2431" s="930"/>
      <c r="K2431" s="931"/>
      <c r="L2431" s="667"/>
      <c r="M2431" s="426"/>
    </row>
    <row r="2432" spans="3:13" ht="17" x14ac:dyDescent="0.2">
      <c r="C2432" s="91"/>
      <c r="D2432" s="668" t="s">
        <v>434</v>
      </c>
      <c r="E2432" s="935">
        <v>0.56999999999999995</v>
      </c>
      <c r="F2432" s="936"/>
      <c r="G2432" s="937"/>
      <c r="H2432" s="424"/>
      <c r="I2432" s="929"/>
      <c r="J2432" s="930"/>
      <c r="K2432" s="931"/>
      <c r="L2432" s="667"/>
      <c r="M2432" s="426"/>
    </row>
    <row r="2433" spans="3:13" ht="18" thickBot="1" x14ac:dyDescent="0.25">
      <c r="C2433" s="91"/>
      <c r="D2433" s="669" t="s">
        <v>435</v>
      </c>
      <c r="E2433" s="938">
        <v>0.875</v>
      </c>
      <c r="F2433" s="939"/>
      <c r="G2433" s="940"/>
      <c r="H2433" s="427"/>
      <c r="I2433" s="929"/>
      <c r="J2433" s="930"/>
      <c r="K2433" s="931"/>
      <c r="L2433" s="428">
        <v>0.10416666666666667</v>
      </c>
      <c r="M2433" s="429">
        <v>0.95833333333333337</v>
      </c>
    </row>
    <row r="2434" spans="3:13" ht="18" thickBot="1" x14ac:dyDescent="0.25">
      <c r="C2434" s="91"/>
      <c r="D2434" s="670" t="s">
        <v>436</v>
      </c>
      <c r="E2434" s="430" t="s">
        <v>29</v>
      </c>
      <c r="F2434" s="430" t="s">
        <v>28</v>
      </c>
      <c r="G2434" s="431" t="s">
        <v>27</v>
      </c>
      <c r="H2434" s="432" t="s">
        <v>793</v>
      </c>
      <c r="I2434" s="929"/>
      <c r="J2434" s="930"/>
      <c r="K2434" s="931"/>
      <c r="L2434" s="671" t="s">
        <v>1246</v>
      </c>
      <c r="M2434" s="433"/>
    </row>
    <row r="2435" spans="3:13" x14ac:dyDescent="0.2">
      <c r="C2435" s="91"/>
      <c r="D2435" s="672">
        <v>45588</v>
      </c>
      <c r="E2435" s="439">
        <v>0.62</v>
      </c>
      <c r="F2435" s="439">
        <v>0.46</v>
      </c>
      <c r="G2435" s="439">
        <v>0.53</v>
      </c>
      <c r="H2435" s="758">
        <v>-0.12499999999999999</v>
      </c>
      <c r="I2435" s="929"/>
      <c r="J2435" s="930"/>
      <c r="K2435" s="931"/>
      <c r="L2435" s="674">
        <v>0.10416666666666667</v>
      </c>
      <c r="M2435" s="436"/>
    </row>
    <row r="2436" spans="3:13" x14ac:dyDescent="0.2">
      <c r="C2436" s="91"/>
      <c r="D2436" s="672">
        <v>45496</v>
      </c>
      <c r="E2436" s="439">
        <v>0.42</v>
      </c>
      <c r="F2436" s="439">
        <v>0.46</v>
      </c>
      <c r="G2436" s="439">
        <v>0.35</v>
      </c>
      <c r="H2436" s="758">
        <v>-0.12499999999999999</v>
      </c>
      <c r="I2436" s="929"/>
      <c r="J2436" s="930"/>
      <c r="K2436" s="931"/>
      <c r="L2436" s="674">
        <v>0.10416666666666667</v>
      </c>
      <c r="M2436" s="437"/>
    </row>
    <row r="2437" spans="3:13" x14ac:dyDescent="0.2">
      <c r="C2437" s="91"/>
      <c r="D2437" s="672">
        <v>45405</v>
      </c>
      <c r="E2437" s="439">
        <v>0.35</v>
      </c>
      <c r="F2437" s="439">
        <v>0.35</v>
      </c>
      <c r="G2437" s="439">
        <v>0.56999999999999995</v>
      </c>
      <c r="H2437" s="758">
        <v>0.58333333333333337</v>
      </c>
      <c r="I2437" s="929"/>
      <c r="J2437" s="930"/>
      <c r="K2437" s="931"/>
      <c r="L2437" s="674">
        <v>0.8125</v>
      </c>
      <c r="M2437" s="426"/>
    </row>
    <row r="2438" spans="3:13" x14ac:dyDescent="0.2">
      <c r="C2438" s="91"/>
      <c r="D2438" s="672">
        <v>45293</v>
      </c>
      <c r="E2438" s="439">
        <v>0.56999999999999995</v>
      </c>
      <c r="F2438" s="439">
        <v>0.6</v>
      </c>
      <c r="G2438" s="439">
        <v>0.78</v>
      </c>
      <c r="H2438" s="758">
        <v>0.58333333333333337</v>
      </c>
      <c r="I2438" s="929"/>
      <c r="J2438" s="930"/>
      <c r="K2438" s="931"/>
      <c r="L2438" s="674">
        <v>0.8125</v>
      </c>
      <c r="M2438" s="426"/>
    </row>
    <row r="2439" spans="3:13" x14ac:dyDescent="0.2">
      <c r="C2439" s="91"/>
      <c r="D2439" s="672">
        <v>45583</v>
      </c>
      <c r="E2439" s="439">
        <v>0.53</v>
      </c>
      <c r="F2439" s="439">
        <v>0.64</v>
      </c>
      <c r="G2439" s="439">
        <v>0.95</v>
      </c>
      <c r="H2439" s="758">
        <v>0.58333333333333337</v>
      </c>
      <c r="I2439" s="929"/>
      <c r="J2439" s="930"/>
      <c r="K2439" s="931"/>
      <c r="L2439" s="674">
        <v>0.8125</v>
      </c>
      <c r="M2439" s="426"/>
    </row>
    <row r="2440" spans="3:13" ht="17" thickBot="1" x14ac:dyDescent="0.25">
      <c r="C2440" s="91"/>
      <c r="D2440" s="672">
        <v>374210</v>
      </c>
      <c r="E2440" s="439">
        <v>0.78</v>
      </c>
      <c r="F2440" s="439">
        <v>0.8</v>
      </c>
      <c r="G2440" s="439">
        <v>0.65</v>
      </c>
      <c r="H2440" s="758">
        <v>0.58333333333333337</v>
      </c>
      <c r="I2440" s="932"/>
      <c r="J2440" s="933"/>
      <c r="K2440" s="934"/>
      <c r="L2440" s="674">
        <v>0.8125</v>
      </c>
      <c r="M2440" s="438"/>
    </row>
    <row r="2441" spans="3:13" ht="25" customHeight="1" thickBot="1" x14ac:dyDescent="0.25">
      <c r="C2441" s="91">
        <v>1</v>
      </c>
      <c r="D2441" s="663" t="s">
        <v>30</v>
      </c>
      <c r="E2441" s="917" t="s">
        <v>1501</v>
      </c>
      <c r="F2441" s="918"/>
      <c r="G2441" s="919"/>
      <c r="H2441" s="664" t="s">
        <v>790</v>
      </c>
      <c r="I2441" s="920" t="s">
        <v>633</v>
      </c>
      <c r="J2441" s="921"/>
      <c r="K2441" s="922"/>
      <c r="L2441" s="664" t="s">
        <v>430</v>
      </c>
      <c r="M2441" s="664" t="s">
        <v>431</v>
      </c>
    </row>
    <row r="2442" spans="3:13" ht="24" customHeight="1" x14ac:dyDescent="0.2">
      <c r="C2442" s="91"/>
      <c r="D2442" s="665" t="s">
        <v>432</v>
      </c>
      <c r="E2442" s="923"/>
      <c r="F2442" s="924"/>
      <c r="G2442" s="925"/>
      <c r="H2442" s="666" t="s">
        <v>906</v>
      </c>
      <c r="I2442" s="926" t="s">
        <v>1502</v>
      </c>
      <c r="J2442" s="927"/>
      <c r="K2442" s="928"/>
      <c r="L2442" s="667"/>
      <c r="M2442" s="425" t="s">
        <v>1501</v>
      </c>
    </row>
    <row r="2443" spans="3:13" ht="17" x14ac:dyDescent="0.2">
      <c r="C2443" s="91"/>
      <c r="D2443" s="668" t="s">
        <v>433</v>
      </c>
      <c r="E2443" s="935">
        <v>0.03</v>
      </c>
      <c r="F2443" s="936"/>
      <c r="G2443" s="937"/>
      <c r="H2443" s="424" t="s">
        <v>907</v>
      </c>
      <c r="I2443" s="929"/>
      <c r="J2443" s="930"/>
      <c r="K2443" s="931"/>
      <c r="L2443" s="667"/>
      <c r="M2443" s="426"/>
    </row>
    <row r="2444" spans="3:13" ht="17" x14ac:dyDescent="0.2">
      <c r="C2444" s="91"/>
      <c r="D2444" s="668" t="s">
        <v>434</v>
      </c>
      <c r="E2444" s="935">
        <v>3.2500000000000001E-2</v>
      </c>
      <c r="F2444" s="936"/>
      <c r="G2444" s="937"/>
      <c r="H2444" s="424"/>
      <c r="I2444" s="929"/>
      <c r="J2444" s="930"/>
      <c r="K2444" s="931"/>
      <c r="L2444" s="667"/>
      <c r="M2444" s="426"/>
    </row>
    <row r="2445" spans="3:13" ht="18" thickBot="1" x14ac:dyDescent="0.25">
      <c r="C2445" s="91"/>
      <c r="D2445" s="669" t="s">
        <v>435</v>
      </c>
      <c r="E2445" s="938">
        <v>0.61458333333333337</v>
      </c>
      <c r="F2445" s="939"/>
      <c r="G2445" s="940"/>
      <c r="H2445" s="427"/>
      <c r="I2445" s="929"/>
      <c r="J2445" s="930"/>
      <c r="K2445" s="931"/>
      <c r="L2445" s="428">
        <v>0.84375</v>
      </c>
      <c r="M2445" s="429">
        <v>0.69791666666666663</v>
      </c>
    </row>
    <row r="2446" spans="3:13" ht="18" thickBot="1" x14ac:dyDescent="0.25">
      <c r="C2446" s="91"/>
      <c r="D2446" s="670" t="s">
        <v>436</v>
      </c>
      <c r="E2446" s="430" t="s">
        <v>29</v>
      </c>
      <c r="F2446" s="430" t="s">
        <v>28</v>
      </c>
      <c r="G2446" s="431" t="s">
        <v>27</v>
      </c>
      <c r="H2446" s="432" t="s">
        <v>793</v>
      </c>
      <c r="I2446" s="929"/>
      <c r="J2446" s="930"/>
      <c r="K2446" s="931"/>
      <c r="L2446" s="671" t="s">
        <v>1246</v>
      </c>
      <c r="M2446" s="433"/>
    </row>
    <row r="2447" spans="3:13" ht="17" x14ac:dyDescent="0.2">
      <c r="C2447" s="91"/>
      <c r="D2447" s="672">
        <v>45637</v>
      </c>
      <c r="E2447" s="439">
        <v>3.2500000000000001E-2</v>
      </c>
      <c r="F2447" s="439" t="s">
        <v>1542</v>
      </c>
      <c r="G2447" s="439">
        <v>3.7499999999999999E-2</v>
      </c>
      <c r="H2447" s="758">
        <v>0.61458333333333337</v>
      </c>
      <c r="I2447" s="929"/>
      <c r="J2447" s="930"/>
      <c r="K2447" s="931"/>
      <c r="L2447" s="674">
        <v>0.84375</v>
      </c>
      <c r="M2447" s="436"/>
    </row>
    <row r="2448" spans="3:13" ht="17" x14ac:dyDescent="0.2">
      <c r="C2448" s="91"/>
      <c r="D2448" s="672">
        <v>45588</v>
      </c>
      <c r="E2448" s="439">
        <v>3.7499999999999999E-2</v>
      </c>
      <c r="F2448" s="439" t="s">
        <v>1543</v>
      </c>
      <c r="G2448" s="439">
        <v>4.2500000000000003E-2</v>
      </c>
      <c r="H2448" s="758">
        <v>0.61458333333333337</v>
      </c>
      <c r="I2448" s="929"/>
      <c r="J2448" s="930"/>
      <c r="K2448" s="931"/>
      <c r="L2448" s="674">
        <v>0.84375</v>
      </c>
      <c r="M2448" s="437"/>
    </row>
    <row r="2449" spans="3:13" ht="17" x14ac:dyDescent="0.2">
      <c r="C2449" s="91"/>
      <c r="D2449" s="672">
        <v>45539</v>
      </c>
      <c r="E2449" s="439">
        <v>4.2500000000000003E-2</v>
      </c>
      <c r="F2449" s="439" t="s">
        <v>723</v>
      </c>
      <c r="G2449" s="439">
        <v>4.4999999999999998E-2</v>
      </c>
      <c r="H2449" s="758">
        <v>0.58333333333333337</v>
      </c>
      <c r="I2449" s="929"/>
      <c r="J2449" s="930"/>
      <c r="K2449" s="931"/>
      <c r="L2449" s="674">
        <v>0.8125</v>
      </c>
      <c r="M2449" s="426"/>
    </row>
    <row r="2450" spans="3:13" ht="17" x14ac:dyDescent="0.2">
      <c r="C2450" s="91"/>
      <c r="D2450" s="672">
        <v>45497</v>
      </c>
      <c r="E2450" s="439">
        <v>4.4999999999999998E-2</v>
      </c>
      <c r="F2450" s="439" t="s">
        <v>725</v>
      </c>
      <c r="G2450" s="439">
        <v>4.7500000000000001E-2</v>
      </c>
      <c r="H2450" s="758">
        <v>0.58333333333333337</v>
      </c>
      <c r="I2450" s="929"/>
      <c r="J2450" s="930"/>
      <c r="K2450" s="931"/>
      <c r="L2450" s="674">
        <v>0.8125</v>
      </c>
      <c r="M2450" s="426"/>
    </row>
    <row r="2451" spans="3:13" ht="17" x14ac:dyDescent="0.2">
      <c r="C2451" s="91"/>
      <c r="D2451" s="672">
        <v>45448</v>
      </c>
      <c r="E2451" s="439">
        <v>4.7500000000000001E-2</v>
      </c>
      <c r="F2451" s="439" t="s">
        <v>726</v>
      </c>
      <c r="G2451" s="439">
        <v>0.05</v>
      </c>
      <c r="H2451" s="758">
        <v>0.58333333333333337</v>
      </c>
      <c r="I2451" s="929"/>
      <c r="J2451" s="930"/>
      <c r="K2451" s="931"/>
      <c r="L2451" s="674">
        <v>0.8125</v>
      </c>
      <c r="M2451" s="426"/>
    </row>
    <row r="2452" spans="3:13" ht="18" thickBot="1" x14ac:dyDescent="0.25">
      <c r="C2452" s="91"/>
      <c r="D2452" s="672">
        <v>45392</v>
      </c>
      <c r="E2452" s="439">
        <v>0.05</v>
      </c>
      <c r="F2452" s="439" t="s">
        <v>728</v>
      </c>
      <c r="G2452" s="439">
        <v>0.05</v>
      </c>
      <c r="H2452" s="758">
        <v>0.58333333333333337</v>
      </c>
      <c r="I2452" s="932"/>
      <c r="J2452" s="933"/>
      <c r="K2452" s="934"/>
      <c r="L2452" s="674">
        <v>0.8125</v>
      </c>
      <c r="M2452" s="438"/>
    </row>
    <row r="2453" spans="3:13" ht="25" customHeight="1" thickBot="1" x14ac:dyDescent="0.25">
      <c r="C2453" s="91">
        <v>1</v>
      </c>
      <c r="D2453" s="663" t="s">
        <v>30</v>
      </c>
      <c r="E2453" s="917" t="s">
        <v>1503</v>
      </c>
      <c r="F2453" s="918"/>
      <c r="G2453" s="919"/>
      <c r="H2453" s="664" t="s">
        <v>790</v>
      </c>
      <c r="I2453" s="920" t="s">
        <v>633</v>
      </c>
      <c r="J2453" s="921"/>
      <c r="K2453" s="922"/>
      <c r="L2453" s="664" t="s">
        <v>430</v>
      </c>
      <c r="M2453" s="664" t="s">
        <v>431</v>
      </c>
    </row>
    <row r="2454" spans="3:13" ht="24" customHeight="1" x14ac:dyDescent="0.2">
      <c r="C2454" s="91"/>
      <c r="D2454" s="665" t="s">
        <v>432</v>
      </c>
      <c r="E2454" s="923"/>
      <c r="F2454" s="924"/>
      <c r="G2454" s="925"/>
      <c r="H2454" s="666" t="s">
        <v>906</v>
      </c>
      <c r="I2454" s="926" t="s">
        <v>1505</v>
      </c>
      <c r="J2454" s="927"/>
      <c r="K2454" s="928"/>
      <c r="L2454" s="667"/>
      <c r="M2454" s="425" t="s">
        <v>1503</v>
      </c>
    </row>
    <row r="2455" spans="3:13" ht="17" x14ac:dyDescent="0.2">
      <c r="C2455" s="91"/>
      <c r="D2455" s="668" t="s">
        <v>433</v>
      </c>
      <c r="E2455" s="935">
        <v>0</v>
      </c>
      <c r="F2455" s="936"/>
      <c r="G2455" s="937"/>
      <c r="H2455" s="424" t="s">
        <v>907</v>
      </c>
      <c r="I2455" s="929"/>
      <c r="J2455" s="930"/>
      <c r="K2455" s="931"/>
      <c r="L2455" s="667"/>
      <c r="M2455" s="426"/>
    </row>
    <row r="2456" spans="3:13" ht="17" x14ac:dyDescent="0.2">
      <c r="C2456" s="91"/>
      <c r="D2456" s="668" t="s">
        <v>434</v>
      </c>
      <c r="E2456" s="935" t="s">
        <v>1504</v>
      </c>
      <c r="F2456" s="936"/>
      <c r="G2456" s="937"/>
      <c r="H2456" s="424"/>
      <c r="I2456" s="929"/>
      <c r="J2456" s="930"/>
      <c r="K2456" s="931"/>
      <c r="L2456" s="667"/>
      <c r="M2456" s="426"/>
    </row>
    <row r="2457" spans="3:13" ht="18" thickBot="1" x14ac:dyDescent="0.25">
      <c r="C2457" s="91"/>
      <c r="D2457" s="669" t="s">
        <v>435</v>
      </c>
      <c r="E2457" s="938">
        <v>0.64583333333333337</v>
      </c>
      <c r="F2457" s="939"/>
      <c r="G2457" s="940"/>
      <c r="H2457" s="427"/>
      <c r="I2457" s="929"/>
      <c r="J2457" s="930"/>
      <c r="K2457" s="931"/>
      <c r="L2457" s="428">
        <v>0.875</v>
      </c>
      <c r="M2457" s="429">
        <v>0.72916666666666663</v>
      </c>
    </row>
    <row r="2458" spans="3:13" ht="18" thickBot="1" x14ac:dyDescent="0.25">
      <c r="C2458" s="91"/>
      <c r="D2458" s="670" t="s">
        <v>436</v>
      </c>
      <c r="E2458" s="430" t="s">
        <v>29</v>
      </c>
      <c r="F2458" s="430" t="s">
        <v>28</v>
      </c>
      <c r="G2458" s="431" t="s">
        <v>27</v>
      </c>
      <c r="H2458" s="432" t="s">
        <v>793</v>
      </c>
      <c r="I2458" s="929"/>
      <c r="J2458" s="930"/>
      <c r="K2458" s="931"/>
      <c r="L2458" s="671" t="s">
        <v>1246</v>
      </c>
      <c r="M2458" s="433"/>
    </row>
    <row r="2459" spans="3:13" ht="17" x14ac:dyDescent="0.2">
      <c r="C2459" s="91"/>
      <c r="D2459" s="672">
        <v>45680</v>
      </c>
      <c r="E2459" s="439" t="s">
        <v>1544</v>
      </c>
      <c r="F2459" s="439" t="s">
        <v>1545</v>
      </c>
      <c r="G2459" s="439" t="s">
        <v>1546</v>
      </c>
      <c r="H2459" s="758">
        <v>0.64583333333333337</v>
      </c>
      <c r="I2459" s="929"/>
      <c r="J2459" s="930"/>
      <c r="K2459" s="931"/>
      <c r="L2459" s="674">
        <v>0.875</v>
      </c>
      <c r="M2459" s="436"/>
    </row>
    <row r="2460" spans="3:13" ht="17" x14ac:dyDescent="0.2">
      <c r="C2460" s="91"/>
      <c r="D2460" s="672">
        <v>45672</v>
      </c>
      <c r="E2460" s="439" t="s">
        <v>1546</v>
      </c>
      <c r="F2460" s="439" t="s">
        <v>1547</v>
      </c>
      <c r="G2460" s="439" t="s">
        <v>1436</v>
      </c>
      <c r="H2460" s="758">
        <v>0.64583333333333337</v>
      </c>
      <c r="I2460" s="929"/>
      <c r="J2460" s="930"/>
      <c r="K2460" s="931"/>
      <c r="L2460" s="674">
        <v>0.875</v>
      </c>
      <c r="M2460" s="437"/>
    </row>
    <row r="2461" spans="3:13" ht="17" x14ac:dyDescent="0.2">
      <c r="C2461" s="91"/>
      <c r="D2461" s="672">
        <v>45665</v>
      </c>
      <c r="E2461" s="439" t="s">
        <v>1436</v>
      </c>
      <c r="F2461" s="439" t="s">
        <v>1437</v>
      </c>
      <c r="G2461" s="439" t="s">
        <v>1391</v>
      </c>
      <c r="H2461" s="758">
        <v>0.58333333333333337</v>
      </c>
      <c r="I2461" s="929"/>
      <c r="J2461" s="930"/>
      <c r="K2461" s="931"/>
      <c r="L2461" s="674">
        <v>0.8125</v>
      </c>
      <c r="M2461" s="426"/>
    </row>
    <row r="2462" spans="3:13" ht="17" x14ac:dyDescent="0.2">
      <c r="C2462" s="91"/>
      <c r="D2462" s="672">
        <v>45659</v>
      </c>
      <c r="E2462" s="439" t="s">
        <v>1391</v>
      </c>
      <c r="F2462" s="439" t="s">
        <v>1392</v>
      </c>
      <c r="G2462" s="439" t="s">
        <v>1342</v>
      </c>
      <c r="H2462" s="758">
        <v>0.58333333333333337</v>
      </c>
      <c r="I2462" s="929"/>
      <c r="J2462" s="930"/>
      <c r="K2462" s="931"/>
      <c r="L2462" s="674">
        <v>0.8125</v>
      </c>
      <c r="M2462" s="426"/>
    </row>
    <row r="2463" spans="3:13" ht="17" x14ac:dyDescent="0.2">
      <c r="C2463" s="91"/>
      <c r="D2463" s="672">
        <v>45653</v>
      </c>
      <c r="E2463" s="439" t="s">
        <v>1342</v>
      </c>
      <c r="F2463" s="439" t="s">
        <v>1343</v>
      </c>
      <c r="G2463" s="439" t="s">
        <v>1318</v>
      </c>
      <c r="H2463" s="758">
        <v>0.58333333333333337</v>
      </c>
      <c r="I2463" s="929"/>
      <c r="J2463" s="930"/>
      <c r="K2463" s="931"/>
      <c r="L2463" s="674">
        <v>0.8125</v>
      </c>
      <c r="M2463" s="426"/>
    </row>
    <row r="2464" spans="3:13" ht="18" thickBot="1" x14ac:dyDescent="0.25">
      <c r="C2464" s="91"/>
      <c r="D2464" s="672">
        <v>45644</v>
      </c>
      <c r="E2464" s="439" t="s">
        <v>1318</v>
      </c>
      <c r="F2464" s="439" t="s">
        <v>1289</v>
      </c>
      <c r="G2464" s="439" t="s">
        <v>1286</v>
      </c>
      <c r="H2464" s="758">
        <v>0.58333333333333337</v>
      </c>
      <c r="I2464" s="932"/>
      <c r="J2464" s="933"/>
      <c r="K2464" s="934"/>
      <c r="L2464" s="674">
        <v>0.8125</v>
      </c>
      <c r="M2464" s="438"/>
    </row>
    <row r="2465" spans="3:13" ht="25" customHeight="1" thickBot="1" x14ac:dyDescent="0.25">
      <c r="C2465" s="91" t="e">
        <v>#REF!</v>
      </c>
      <c r="D2465" s="663" t="s">
        <v>30</v>
      </c>
      <c r="E2465" s="917" t="s">
        <v>1483</v>
      </c>
      <c r="F2465" s="918"/>
      <c r="G2465" s="919"/>
      <c r="H2465" s="664" t="s">
        <v>790</v>
      </c>
      <c r="I2465" s="920" t="s">
        <v>633</v>
      </c>
      <c r="J2465" s="921"/>
      <c r="K2465" s="922"/>
      <c r="L2465" s="664" t="s">
        <v>430</v>
      </c>
      <c r="M2465" s="664" t="s">
        <v>431</v>
      </c>
    </row>
    <row r="2466" spans="3:13" ht="24" customHeight="1" x14ac:dyDescent="0.2">
      <c r="C2466" s="91"/>
      <c r="D2466" s="665" t="s">
        <v>432</v>
      </c>
      <c r="E2466" s="923"/>
      <c r="F2466" s="924"/>
      <c r="G2466" s="925"/>
      <c r="H2466" s="666" t="s">
        <v>1557</v>
      </c>
      <c r="I2466" s="926" t="s">
        <v>1484</v>
      </c>
      <c r="J2466" s="927"/>
      <c r="K2466" s="928"/>
      <c r="L2466" s="667"/>
      <c r="M2466" s="425" t="s">
        <v>1483</v>
      </c>
    </row>
    <row r="2467" spans="3:13" ht="17" x14ac:dyDescent="0.2">
      <c r="C2467" s="91"/>
      <c r="D2467" s="668" t="s">
        <v>433</v>
      </c>
      <c r="E2467" s="941">
        <v>0</v>
      </c>
      <c r="F2467" s="942"/>
      <c r="G2467" s="943"/>
      <c r="H2467" s="424" t="s">
        <v>1558</v>
      </c>
      <c r="I2467" s="929"/>
      <c r="J2467" s="930"/>
      <c r="K2467" s="931"/>
      <c r="L2467" s="667"/>
      <c r="M2467" s="426"/>
    </row>
    <row r="2468" spans="3:13" ht="17" x14ac:dyDescent="0.2">
      <c r="C2468" s="91"/>
      <c r="D2468" s="668" t="s">
        <v>434</v>
      </c>
      <c r="E2468" s="941">
        <v>0</v>
      </c>
      <c r="F2468" s="942"/>
      <c r="G2468" s="943"/>
      <c r="H2468" s="424"/>
      <c r="I2468" s="929"/>
      <c r="J2468" s="930"/>
      <c r="K2468" s="931"/>
      <c r="L2468" s="667"/>
      <c r="M2468" s="426"/>
    </row>
    <row r="2469" spans="3:13" ht="18" thickBot="1" x14ac:dyDescent="0.25">
      <c r="C2469" s="91"/>
      <c r="D2469" s="669" t="s">
        <v>435</v>
      </c>
      <c r="E2469" s="938" t="e">
        <v>#VALUE!</v>
      </c>
      <c r="F2469" s="939"/>
      <c r="G2469" s="940"/>
      <c r="H2469" s="427"/>
      <c r="I2469" s="929"/>
      <c r="J2469" s="930"/>
      <c r="K2469" s="931"/>
      <c r="L2469" s="428" t="s">
        <v>1449</v>
      </c>
      <c r="M2469" s="429" t="e">
        <v>#VALUE!</v>
      </c>
    </row>
    <row r="2470" spans="3:13" ht="18" thickBot="1" x14ac:dyDescent="0.25">
      <c r="C2470" s="91"/>
      <c r="D2470" s="670" t="s">
        <v>436</v>
      </c>
      <c r="E2470" s="430" t="s">
        <v>29</v>
      </c>
      <c r="F2470" s="430" t="s">
        <v>28</v>
      </c>
      <c r="G2470" s="431" t="s">
        <v>27</v>
      </c>
      <c r="H2470" s="432" t="s">
        <v>793</v>
      </c>
      <c r="I2470" s="929"/>
      <c r="J2470" s="930"/>
      <c r="K2470" s="931"/>
      <c r="L2470" s="671" t="s">
        <v>1246</v>
      </c>
      <c r="M2470" s="433"/>
    </row>
    <row r="2471" spans="3:13" ht="17" x14ac:dyDescent="0.2">
      <c r="C2471" s="91"/>
      <c r="D2471" s="672">
        <v>45643</v>
      </c>
      <c r="E2471" s="676">
        <v>2E-3</v>
      </c>
      <c r="F2471" s="676" t="s">
        <v>452</v>
      </c>
      <c r="G2471" s="676">
        <v>2E-3</v>
      </c>
      <c r="H2471" s="758">
        <v>0.52083333333333337</v>
      </c>
      <c r="I2471" s="929"/>
      <c r="J2471" s="930"/>
      <c r="K2471" s="931"/>
      <c r="L2471" s="674">
        <v>0.29166666666666669</v>
      </c>
      <c r="M2471" s="436"/>
    </row>
    <row r="2472" spans="3:13" ht="17" x14ac:dyDescent="0.2">
      <c r="C2472" s="91"/>
      <c r="D2472" s="672">
        <v>45611</v>
      </c>
      <c r="E2472" s="676">
        <v>1E-3</v>
      </c>
      <c r="F2472" s="676" t="s">
        <v>467</v>
      </c>
      <c r="G2472" s="676">
        <v>0.01</v>
      </c>
      <c r="H2472" s="758">
        <v>0.52083333333333337</v>
      </c>
      <c r="I2472" s="929"/>
      <c r="J2472" s="930"/>
      <c r="K2472" s="931"/>
      <c r="L2472" s="674">
        <v>0.29166666666666669</v>
      </c>
      <c r="M2472" s="437"/>
    </row>
    <row r="2473" spans="3:13" ht="17" x14ac:dyDescent="0.2">
      <c r="C2473" s="91"/>
      <c r="D2473" s="672">
        <v>45582</v>
      </c>
      <c r="E2473" s="676">
        <v>5.0000000000000001E-3</v>
      </c>
      <c r="F2473" s="676" t="s">
        <v>462</v>
      </c>
      <c r="G2473" s="676">
        <v>2E-3</v>
      </c>
      <c r="H2473" s="758">
        <v>0.47916666666666663</v>
      </c>
      <c r="I2473" s="929"/>
      <c r="J2473" s="930"/>
      <c r="K2473" s="931"/>
      <c r="L2473" s="674">
        <v>0.25</v>
      </c>
      <c r="M2473" s="426"/>
    </row>
    <row r="2474" spans="3:13" ht="17" x14ac:dyDescent="0.2">
      <c r="C2474" s="91"/>
      <c r="D2474" s="672">
        <v>45552</v>
      </c>
      <c r="E2474" s="676">
        <v>1E-3</v>
      </c>
      <c r="F2474" s="676" t="s">
        <v>460</v>
      </c>
      <c r="G2474" s="676">
        <v>4.0000000000000001E-3</v>
      </c>
      <c r="H2474" s="758">
        <v>0.47916666666666663</v>
      </c>
      <c r="I2474" s="929"/>
      <c r="J2474" s="930"/>
      <c r="K2474" s="931"/>
      <c r="L2474" s="674">
        <v>0.25</v>
      </c>
      <c r="M2474" s="426"/>
    </row>
    <row r="2475" spans="3:13" ht="17" x14ac:dyDescent="0.2">
      <c r="C2475" s="91"/>
      <c r="D2475" s="672">
        <v>45519</v>
      </c>
      <c r="E2475" s="676">
        <v>4.0000000000000001E-3</v>
      </c>
      <c r="F2475" s="676" t="s">
        <v>462</v>
      </c>
      <c r="G2475" s="676">
        <v>5.0000000000000001E-3</v>
      </c>
      <c r="H2475" s="758">
        <v>0.47916666666666663</v>
      </c>
      <c r="I2475" s="929"/>
      <c r="J2475" s="930"/>
      <c r="K2475" s="931"/>
      <c r="L2475" s="674">
        <v>0.25</v>
      </c>
      <c r="M2475" s="426"/>
    </row>
    <row r="2476" spans="3:13" ht="18" thickBot="1" x14ac:dyDescent="0.25">
      <c r="C2476" s="91"/>
      <c r="D2476" s="672">
        <v>45489</v>
      </c>
      <c r="E2476" s="676">
        <v>4.0000000000000001E-3</v>
      </c>
      <c r="F2476" s="676" t="s">
        <v>462</v>
      </c>
      <c r="G2476" s="676">
        <v>1E-3</v>
      </c>
      <c r="H2476" s="758">
        <v>0.47916666666666663</v>
      </c>
      <c r="I2476" s="932"/>
      <c r="J2476" s="933"/>
      <c r="K2476" s="934"/>
      <c r="L2476" s="674">
        <v>0.25</v>
      </c>
      <c r="M2476" s="438"/>
    </row>
    <row r="2477" spans="3:13" ht="25" customHeight="1" thickBot="1" x14ac:dyDescent="0.25">
      <c r="C2477" s="91" t="e">
        <v>#REF!</v>
      </c>
      <c r="D2477" s="663" t="s">
        <v>30</v>
      </c>
      <c r="E2477" s="917" t="s">
        <v>1486</v>
      </c>
      <c r="F2477" s="918"/>
      <c r="G2477" s="919"/>
      <c r="H2477" s="664" t="s">
        <v>790</v>
      </c>
      <c r="I2477" s="920" t="s">
        <v>633</v>
      </c>
      <c r="J2477" s="921"/>
      <c r="K2477" s="922"/>
      <c r="L2477" s="664" t="s">
        <v>430</v>
      </c>
      <c r="M2477" s="664" t="s">
        <v>431</v>
      </c>
    </row>
    <row r="2478" spans="3:13" ht="24" customHeight="1" x14ac:dyDescent="0.2">
      <c r="C2478" s="91"/>
      <c r="D2478" s="665" t="s">
        <v>432</v>
      </c>
      <c r="E2478" s="923"/>
      <c r="F2478" s="924"/>
      <c r="G2478" s="925"/>
      <c r="H2478" s="666" t="s">
        <v>1557</v>
      </c>
      <c r="I2478" s="926" t="s">
        <v>1487</v>
      </c>
      <c r="J2478" s="927"/>
      <c r="K2478" s="928"/>
      <c r="L2478" s="667"/>
      <c r="M2478" s="425" t="s">
        <v>1486</v>
      </c>
    </row>
    <row r="2479" spans="3:13" ht="17" x14ac:dyDescent="0.2">
      <c r="C2479" s="91"/>
      <c r="D2479" s="668" t="s">
        <v>433</v>
      </c>
      <c r="E2479" s="941">
        <v>0</v>
      </c>
      <c r="F2479" s="942"/>
      <c r="G2479" s="943"/>
      <c r="H2479" s="424" t="s">
        <v>1558</v>
      </c>
      <c r="I2479" s="929"/>
      <c r="J2479" s="930"/>
      <c r="K2479" s="931"/>
      <c r="L2479" s="667"/>
      <c r="M2479" s="426"/>
    </row>
    <row r="2480" spans="3:13" ht="17" x14ac:dyDescent="0.2">
      <c r="C2480" s="91"/>
      <c r="D2480" s="668" t="s">
        <v>434</v>
      </c>
      <c r="E2480" s="941">
        <v>0</v>
      </c>
      <c r="F2480" s="942"/>
      <c r="G2480" s="943"/>
      <c r="H2480" s="424"/>
      <c r="I2480" s="929"/>
      <c r="J2480" s="930"/>
      <c r="K2480" s="931"/>
      <c r="L2480" s="667"/>
      <c r="M2480" s="426"/>
    </row>
    <row r="2481" spans="3:13" ht="18" thickBot="1" x14ac:dyDescent="0.25">
      <c r="C2481" s="91"/>
      <c r="D2481" s="669" t="s">
        <v>435</v>
      </c>
      <c r="E2481" s="938" t="e">
        <v>#VALUE!</v>
      </c>
      <c r="F2481" s="939"/>
      <c r="G2481" s="940"/>
      <c r="H2481" s="427"/>
      <c r="I2481" s="929"/>
      <c r="J2481" s="930"/>
      <c r="K2481" s="931"/>
      <c r="L2481" s="428" t="s">
        <v>1449</v>
      </c>
      <c r="M2481" s="429" t="e">
        <v>#VALUE!</v>
      </c>
    </row>
    <row r="2482" spans="3:13" ht="18" thickBot="1" x14ac:dyDescent="0.25">
      <c r="C2482" s="91"/>
      <c r="D2482" s="670" t="s">
        <v>436</v>
      </c>
      <c r="E2482" s="430" t="s">
        <v>29</v>
      </c>
      <c r="F2482" s="430" t="s">
        <v>28</v>
      </c>
      <c r="G2482" s="431" t="s">
        <v>27</v>
      </c>
      <c r="H2482" s="432" t="s">
        <v>793</v>
      </c>
      <c r="I2482" s="929"/>
      <c r="J2482" s="930"/>
      <c r="K2482" s="931"/>
      <c r="L2482" s="671" t="s">
        <v>1246</v>
      </c>
      <c r="M2482" s="433"/>
    </row>
    <row r="2483" spans="3:13" ht="17" x14ac:dyDescent="0.2">
      <c r="C2483" s="91"/>
      <c r="D2483" s="672">
        <v>45665</v>
      </c>
      <c r="E2483" s="676" t="s">
        <v>1438</v>
      </c>
      <c r="F2483" s="676" t="s">
        <v>1439</v>
      </c>
      <c r="G2483" s="676" t="s">
        <v>1440</v>
      </c>
      <c r="H2483" s="758">
        <v>0.52083333333333337</v>
      </c>
      <c r="I2483" s="929"/>
      <c r="J2483" s="930"/>
      <c r="K2483" s="931"/>
      <c r="L2483" s="674">
        <v>0.29166666666666669</v>
      </c>
      <c r="M2483" s="436"/>
    </row>
    <row r="2484" spans="3:13" ht="17" x14ac:dyDescent="0.2">
      <c r="C2484" s="91"/>
      <c r="D2484" s="672">
        <v>45659</v>
      </c>
      <c r="E2484" s="676" t="s">
        <v>1440</v>
      </c>
      <c r="F2484" s="676" t="s">
        <v>986</v>
      </c>
      <c r="G2484" s="676" t="s">
        <v>1112</v>
      </c>
      <c r="H2484" s="758">
        <v>0.52083333333333337</v>
      </c>
      <c r="I2484" s="929"/>
      <c r="J2484" s="930"/>
      <c r="K2484" s="931"/>
      <c r="L2484" s="674">
        <v>0.29166666666666669</v>
      </c>
      <c r="M2484" s="437"/>
    </row>
    <row r="2485" spans="3:13" ht="17" x14ac:dyDescent="0.2">
      <c r="C2485" s="91"/>
      <c r="D2485" s="672">
        <v>45652</v>
      </c>
      <c r="E2485" s="676" t="s">
        <v>987</v>
      </c>
      <c r="F2485" s="676" t="s">
        <v>973</v>
      </c>
      <c r="G2485" s="676" t="s">
        <v>1112</v>
      </c>
      <c r="H2485" s="758">
        <v>0.47916666666666663</v>
      </c>
      <c r="I2485" s="929"/>
      <c r="J2485" s="930"/>
      <c r="K2485" s="931"/>
      <c r="L2485" s="674">
        <v>0.25</v>
      </c>
      <c r="M2485" s="426"/>
    </row>
    <row r="2486" spans="3:13" ht="17" x14ac:dyDescent="0.2">
      <c r="C2486" s="91"/>
      <c r="D2486" s="672">
        <v>45645</v>
      </c>
      <c r="E2486" s="676" t="s">
        <v>1112</v>
      </c>
      <c r="F2486" s="676" t="s">
        <v>976</v>
      </c>
      <c r="G2486" s="676" t="s">
        <v>980</v>
      </c>
      <c r="H2486" s="758">
        <v>0.47916666666666663</v>
      </c>
      <c r="I2486" s="929"/>
      <c r="J2486" s="930"/>
      <c r="K2486" s="931"/>
      <c r="L2486" s="674">
        <v>0.25</v>
      </c>
      <c r="M2486" s="426"/>
    </row>
    <row r="2487" spans="3:13" ht="17" x14ac:dyDescent="0.2">
      <c r="C2487" s="91"/>
      <c r="D2487" s="672">
        <v>45638</v>
      </c>
      <c r="E2487" s="676" t="s">
        <v>980</v>
      </c>
      <c r="F2487" s="676" t="s">
        <v>972</v>
      </c>
      <c r="G2487" s="676" t="s">
        <v>985</v>
      </c>
      <c r="H2487" s="758">
        <v>0.47916666666666663</v>
      </c>
      <c r="I2487" s="929"/>
      <c r="J2487" s="930"/>
      <c r="K2487" s="931"/>
      <c r="L2487" s="674">
        <v>0.25</v>
      </c>
      <c r="M2487" s="426"/>
    </row>
    <row r="2488" spans="3:13" ht="18" thickBot="1" x14ac:dyDescent="0.25">
      <c r="C2488" s="91"/>
      <c r="D2488" s="672">
        <v>45631</v>
      </c>
      <c r="E2488" s="676" t="s">
        <v>1032</v>
      </c>
      <c r="F2488" s="676" t="s">
        <v>1232</v>
      </c>
      <c r="G2488" s="676" t="s">
        <v>1232</v>
      </c>
      <c r="H2488" s="758">
        <v>0.47916666666666663</v>
      </c>
      <c r="I2488" s="932"/>
      <c r="J2488" s="933"/>
      <c r="K2488" s="934"/>
      <c r="L2488" s="674">
        <v>0.25</v>
      </c>
      <c r="M2488" s="438"/>
    </row>
    <row r="2489" spans="3:13" ht="25" customHeight="1" thickBot="1" x14ac:dyDescent="0.25">
      <c r="C2489" s="91" t="e">
        <v>#REF!</v>
      </c>
      <c r="D2489" s="663" t="s">
        <v>30</v>
      </c>
      <c r="E2489" s="917" t="s">
        <v>1493</v>
      </c>
      <c r="F2489" s="918"/>
      <c r="G2489" s="919"/>
      <c r="H2489" s="664" t="s">
        <v>790</v>
      </c>
      <c r="I2489" s="920" t="s">
        <v>633</v>
      </c>
      <c r="J2489" s="921"/>
      <c r="K2489" s="922"/>
      <c r="L2489" s="664" t="s">
        <v>430</v>
      </c>
      <c r="M2489" s="664" t="s">
        <v>431</v>
      </c>
    </row>
    <row r="2490" spans="3:13" ht="24" customHeight="1" x14ac:dyDescent="0.2">
      <c r="C2490" s="91"/>
      <c r="D2490" s="665" t="s">
        <v>432</v>
      </c>
      <c r="E2490" s="923"/>
      <c r="F2490" s="924"/>
      <c r="G2490" s="925"/>
      <c r="H2490" s="666" t="s">
        <v>1557</v>
      </c>
      <c r="I2490" s="926" t="s">
        <v>1494</v>
      </c>
      <c r="J2490" s="927"/>
      <c r="K2490" s="928"/>
      <c r="L2490" s="667"/>
      <c r="M2490" s="425" t="s">
        <v>1493</v>
      </c>
    </row>
    <row r="2491" spans="3:13" ht="17" x14ac:dyDescent="0.2">
      <c r="C2491" s="91"/>
      <c r="D2491" s="668" t="s">
        <v>433</v>
      </c>
      <c r="E2491" s="935">
        <v>0</v>
      </c>
      <c r="F2491" s="936"/>
      <c r="G2491" s="937"/>
      <c r="H2491" s="424" t="s">
        <v>1558</v>
      </c>
      <c r="I2491" s="929"/>
      <c r="J2491" s="930"/>
      <c r="K2491" s="931"/>
      <c r="L2491" s="667"/>
      <c r="M2491" s="426"/>
    </row>
    <row r="2492" spans="3:13" ht="17" x14ac:dyDescent="0.2">
      <c r="C2492" s="91"/>
      <c r="D2492" s="668" t="s">
        <v>434</v>
      </c>
      <c r="E2492" s="935">
        <v>0</v>
      </c>
      <c r="F2492" s="936"/>
      <c r="G2492" s="937"/>
      <c r="H2492" s="424"/>
      <c r="I2492" s="929"/>
      <c r="J2492" s="930"/>
      <c r="K2492" s="931"/>
      <c r="L2492" s="667"/>
      <c r="M2492" s="426"/>
    </row>
    <row r="2493" spans="3:13" ht="18" thickBot="1" x14ac:dyDescent="0.25">
      <c r="C2493" s="91"/>
      <c r="D2493" s="669" t="s">
        <v>435</v>
      </c>
      <c r="E2493" s="938" t="e">
        <v>#VALUE!</v>
      </c>
      <c r="F2493" s="939"/>
      <c r="G2493" s="940"/>
      <c r="H2493" s="427"/>
      <c r="I2493" s="929"/>
      <c r="J2493" s="930"/>
      <c r="K2493" s="931"/>
      <c r="L2493" s="428" t="s">
        <v>1449</v>
      </c>
      <c r="M2493" s="429">
        <v>0.875</v>
      </c>
    </row>
    <row r="2494" spans="3:13" ht="18" thickBot="1" x14ac:dyDescent="0.25">
      <c r="C2494" s="91"/>
      <c r="D2494" s="670" t="s">
        <v>436</v>
      </c>
      <c r="E2494" s="430" t="s">
        <v>29</v>
      </c>
      <c r="F2494" s="430" t="s">
        <v>28</v>
      </c>
      <c r="G2494" s="431" t="s">
        <v>27</v>
      </c>
      <c r="H2494" s="432" t="s">
        <v>793</v>
      </c>
      <c r="I2494" s="929"/>
      <c r="J2494" s="930"/>
      <c r="K2494" s="931"/>
      <c r="L2494" s="671" t="s">
        <v>1246</v>
      </c>
      <c r="M2494" s="433"/>
    </row>
    <row r="2495" spans="3:13" ht="17" x14ac:dyDescent="0.2">
      <c r="C2495" s="91"/>
      <c r="D2495" s="672">
        <v>45645</v>
      </c>
      <c r="E2495" s="434">
        <v>-16.399999999999999</v>
      </c>
      <c r="F2495" s="434" t="s">
        <v>1441</v>
      </c>
      <c r="G2495" s="434">
        <v>-5.5</v>
      </c>
      <c r="H2495" s="758">
        <v>0.52083333333333337</v>
      </c>
      <c r="I2495" s="929"/>
      <c r="J2495" s="930"/>
      <c r="K2495" s="931"/>
      <c r="L2495" s="674">
        <v>0.29166666666666669</v>
      </c>
      <c r="M2495" s="436"/>
    </row>
    <row r="2496" spans="3:13" ht="17" x14ac:dyDescent="0.2">
      <c r="C2496" s="91"/>
      <c r="D2496" s="672">
        <v>45617</v>
      </c>
      <c r="E2496" s="434">
        <v>-5.5</v>
      </c>
      <c r="F2496" s="434" t="s">
        <v>1292</v>
      </c>
      <c r="G2496" s="434">
        <v>10.3</v>
      </c>
      <c r="H2496" s="758">
        <v>0.52083333333333337</v>
      </c>
      <c r="I2496" s="929"/>
      <c r="J2496" s="930"/>
      <c r="K2496" s="931"/>
      <c r="L2496" s="674">
        <v>0.29166666666666669</v>
      </c>
      <c r="M2496" s="437"/>
    </row>
    <row r="2497" spans="3:13" ht="17" x14ac:dyDescent="0.2">
      <c r="C2497" s="91"/>
      <c r="D2497" s="672">
        <v>45582</v>
      </c>
      <c r="E2497" s="434">
        <v>10.3</v>
      </c>
      <c r="F2497" s="434" t="s">
        <v>1033</v>
      </c>
      <c r="G2497" s="434">
        <v>1.7</v>
      </c>
      <c r="H2497" s="758">
        <v>0.47916666666666663</v>
      </c>
      <c r="I2497" s="929"/>
      <c r="J2497" s="930"/>
      <c r="K2497" s="931"/>
      <c r="L2497" s="674">
        <v>0.25</v>
      </c>
      <c r="M2497" s="426"/>
    </row>
    <row r="2498" spans="3:13" ht="17" x14ac:dyDescent="0.2">
      <c r="C2498" s="91"/>
      <c r="D2498" s="672">
        <v>45554</v>
      </c>
      <c r="E2498" s="434">
        <v>1.7</v>
      </c>
      <c r="F2498" s="434" t="s">
        <v>1034</v>
      </c>
      <c r="G2498" s="434">
        <v>-7</v>
      </c>
      <c r="H2498" s="758">
        <v>0.47916666666666663</v>
      </c>
      <c r="I2498" s="929"/>
      <c r="J2498" s="930"/>
      <c r="K2498" s="931"/>
      <c r="L2498" s="674">
        <v>0.25</v>
      </c>
      <c r="M2498" s="426"/>
    </row>
    <row r="2499" spans="3:13" ht="17" x14ac:dyDescent="0.2">
      <c r="C2499" s="91"/>
      <c r="D2499" s="672">
        <v>45519</v>
      </c>
      <c r="E2499" s="434">
        <v>-7</v>
      </c>
      <c r="F2499" s="434" t="s">
        <v>1035</v>
      </c>
      <c r="G2499" s="434">
        <v>13.9</v>
      </c>
      <c r="H2499" s="758">
        <v>0.47916666666666663</v>
      </c>
      <c r="I2499" s="929"/>
      <c r="J2499" s="930"/>
      <c r="K2499" s="931"/>
      <c r="L2499" s="674">
        <v>0.25</v>
      </c>
      <c r="M2499" s="426"/>
    </row>
    <row r="2500" spans="3:13" ht="18" thickBot="1" x14ac:dyDescent="0.25">
      <c r="C2500" s="91"/>
      <c r="D2500" s="672">
        <v>45491</v>
      </c>
      <c r="E2500" s="434">
        <v>13.9</v>
      </c>
      <c r="F2500" s="434" t="s">
        <v>1036</v>
      </c>
      <c r="G2500" s="434">
        <v>1.3</v>
      </c>
      <c r="H2500" s="758">
        <v>0.47916666666666663</v>
      </c>
      <c r="I2500" s="932"/>
      <c r="J2500" s="933"/>
      <c r="K2500" s="934"/>
      <c r="L2500" s="674">
        <v>0.25</v>
      </c>
      <c r="M2500" s="438"/>
    </row>
    <row r="2501" spans="3:13" ht="25" customHeight="1" thickBot="1" x14ac:dyDescent="0.25">
      <c r="C2501" s="91" t="e">
        <v>#REF!</v>
      </c>
      <c r="D2501" s="663" t="s">
        <v>30</v>
      </c>
      <c r="E2501" s="917" t="s">
        <v>1496</v>
      </c>
      <c r="F2501" s="918"/>
      <c r="G2501" s="919"/>
      <c r="H2501" s="664" t="s">
        <v>790</v>
      </c>
      <c r="I2501" s="920" t="s">
        <v>633</v>
      </c>
      <c r="J2501" s="921"/>
      <c r="K2501" s="922"/>
      <c r="L2501" s="664" t="s">
        <v>430</v>
      </c>
      <c r="M2501" s="664" t="s">
        <v>431</v>
      </c>
    </row>
    <row r="2502" spans="3:13" ht="24" customHeight="1" x14ac:dyDescent="0.2">
      <c r="C2502" s="91"/>
      <c r="D2502" s="665" t="s">
        <v>432</v>
      </c>
      <c r="E2502" s="923"/>
      <c r="F2502" s="924"/>
      <c r="G2502" s="925"/>
      <c r="H2502" s="666" t="s">
        <v>1557</v>
      </c>
      <c r="I2502" s="926" t="s">
        <v>1497</v>
      </c>
      <c r="J2502" s="927"/>
      <c r="K2502" s="928"/>
      <c r="L2502" s="667"/>
      <c r="M2502" s="425" t="s">
        <v>1496</v>
      </c>
    </row>
    <row r="2503" spans="3:13" ht="17" x14ac:dyDescent="0.2">
      <c r="C2503" s="91"/>
      <c r="D2503" s="668" t="s">
        <v>433</v>
      </c>
      <c r="E2503" s="941">
        <v>0</v>
      </c>
      <c r="F2503" s="942"/>
      <c r="G2503" s="943"/>
      <c r="H2503" s="424" t="s">
        <v>1558</v>
      </c>
      <c r="I2503" s="929"/>
      <c r="J2503" s="930"/>
      <c r="K2503" s="931"/>
      <c r="L2503" s="667"/>
      <c r="M2503" s="426"/>
    </row>
    <row r="2504" spans="3:13" ht="17" x14ac:dyDescent="0.2">
      <c r="C2504" s="91"/>
      <c r="D2504" s="668" t="s">
        <v>434</v>
      </c>
      <c r="E2504" s="941">
        <v>0</v>
      </c>
      <c r="F2504" s="942"/>
      <c r="G2504" s="943"/>
      <c r="H2504" s="424"/>
      <c r="I2504" s="929"/>
      <c r="J2504" s="930"/>
      <c r="K2504" s="931"/>
      <c r="L2504" s="667"/>
      <c r="M2504" s="426"/>
    </row>
    <row r="2505" spans="3:13" ht="18" thickBot="1" x14ac:dyDescent="0.25">
      <c r="C2505" s="91"/>
      <c r="D2505" s="669" t="s">
        <v>435</v>
      </c>
      <c r="E2505" s="938" t="e">
        <v>#VALUE!</v>
      </c>
      <c r="F2505" s="939"/>
      <c r="G2505" s="940"/>
      <c r="H2505" s="427"/>
      <c r="I2505" s="929"/>
      <c r="J2505" s="930"/>
      <c r="K2505" s="931"/>
      <c r="L2505" s="428" t="s">
        <v>1449</v>
      </c>
      <c r="M2505" s="429" t="e">
        <v>#VALUE!</v>
      </c>
    </row>
    <row r="2506" spans="3:13" ht="18" thickBot="1" x14ac:dyDescent="0.25">
      <c r="C2506" s="91"/>
      <c r="D2506" s="670" t="s">
        <v>436</v>
      </c>
      <c r="E2506" s="430" t="s">
        <v>29</v>
      </c>
      <c r="F2506" s="430" t="s">
        <v>28</v>
      </c>
      <c r="G2506" s="431" t="s">
        <v>27</v>
      </c>
      <c r="H2506" s="432" t="s">
        <v>793</v>
      </c>
      <c r="I2506" s="929"/>
      <c r="J2506" s="930"/>
      <c r="K2506" s="931"/>
      <c r="L2506" s="671" t="s">
        <v>1246</v>
      </c>
      <c r="M2506" s="433"/>
    </row>
    <row r="2507" spans="3:13" ht="17" x14ac:dyDescent="0.2">
      <c r="C2507" s="91"/>
      <c r="D2507" s="672">
        <v>45643</v>
      </c>
      <c r="E2507" s="676">
        <v>7.0000000000000001E-3</v>
      </c>
      <c r="F2507" s="676" t="s">
        <v>449</v>
      </c>
      <c r="G2507" s="676">
        <v>5.0000000000000001E-3</v>
      </c>
      <c r="H2507" s="758">
        <v>0.52083333333333337</v>
      </c>
      <c r="I2507" s="929"/>
      <c r="J2507" s="930"/>
      <c r="K2507" s="931"/>
      <c r="L2507" s="674">
        <v>0.29166666666666669</v>
      </c>
      <c r="M2507" s="436"/>
    </row>
    <row r="2508" spans="3:13" ht="17" x14ac:dyDescent="0.2">
      <c r="C2508" s="91"/>
      <c r="D2508" s="672">
        <v>45611</v>
      </c>
      <c r="E2508" s="676">
        <v>4.0000000000000001E-3</v>
      </c>
      <c r="F2508" s="676" t="s">
        <v>467</v>
      </c>
      <c r="G2508" s="676">
        <v>8.0000000000000002E-3</v>
      </c>
      <c r="H2508" s="758">
        <v>0.52083333333333337</v>
      </c>
      <c r="I2508" s="929"/>
      <c r="J2508" s="930"/>
      <c r="K2508" s="931"/>
      <c r="L2508" s="674">
        <v>0.29166666666666669</v>
      </c>
      <c r="M2508" s="437"/>
    </row>
    <row r="2509" spans="3:13" ht="17" x14ac:dyDescent="0.2">
      <c r="C2509" s="91"/>
      <c r="D2509" s="672">
        <v>45582</v>
      </c>
      <c r="E2509" s="676">
        <v>4.0000000000000001E-3</v>
      </c>
      <c r="F2509" s="676" t="s">
        <v>467</v>
      </c>
      <c r="G2509" s="676">
        <v>1E-3</v>
      </c>
      <c r="H2509" s="758">
        <v>0.47916666666666663</v>
      </c>
      <c r="I2509" s="929"/>
      <c r="J2509" s="930"/>
      <c r="K2509" s="931"/>
      <c r="L2509" s="674">
        <v>0.25</v>
      </c>
      <c r="M2509" s="426"/>
    </row>
    <row r="2510" spans="3:13" ht="17" x14ac:dyDescent="0.2">
      <c r="C2510" s="91"/>
      <c r="D2510" s="672">
        <v>45552</v>
      </c>
      <c r="E2510" s="676">
        <v>1E-3</v>
      </c>
      <c r="F2510" s="676" t="s">
        <v>461</v>
      </c>
      <c r="G2510" s="676">
        <v>1.0999999999999999E-2</v>
      </c>
      <c r="H2510" s="758">
        <v>0.47916666666666663</v>
      </c>
      <c r="I2510" s="929"/>
      <c r="J2510" s="930"/>
      <c r="K2510" s="931"/>
      <c r="L2510" s="674">
        <v>0.25</v>
      </c>
      <c r="M2510" s="426"/>
    </row>
    <row r="2511" spans="3:13" ht="17" x14ac:dyDescent="0.2">
      <c r="C2511" s="91"/>
      <c r="D2511" s="672">
        <v>45519</v>
      </c>
      <c r="E2511" s="676">
        <v>0.01</v>
      </c>
      <c r="F2511" s="676" t="s">
        <v>452</v>
      </c>
      <c r="G2511" s="676">
        <v>-2E-3</v>
      </c>
      <c r="H2511" s="758">
        <v>0.47916666666666663</v>
      </c>
      <c r="I2511" s="929"/>
      <c r="J2511" s="930"/>
      <c r="K2511" s="931"/>
      <c r="L2511" s="674">
        <v>0.25</v>
      </c>
      <c r="M2511" s="426"/>
    </row>
    <row r="2512" spans="3:13" ht="18" thickBot="1" x14ac:dyDescent="0.25">
      <c r="C2512" s="91"/>
      <c r="D2512" s="672">
        <v>45489</v>
      </c>
      <c r="E2512" s="676">
        <v>0</v>
      </c>
      <c r="F2512" s="676" t="s">
        <v>454</v>
      </c>
      <c r="G2512" s="676">
        <v>3.0000000000000001E-3</v>
      </c>
      <c r="H2512" s="758">
        <v>0.47916666666666663</v>
      </c>
      <c r="I2512" s="932"/>
      <c r="J2512" s="933"/>
      <c r="K2512" s="934"/>
      <c r="L2512" s="674">
        <v>0.25</v>
      </c>
      <c r="M2512" s="438"/>
    </row>
    <row r="2513" spans="3:13" ht="25" customHeight="1" thickBot="1" x14ac:dyDescent="0.25">
      <c r="C2513" s="91" t="e">
        <v>#REF!</v>
      </c>
      <c r="D2513" s="663" t="s">
        <v>30</v>
      </c>
      <c r="E2513" s="917" t="s">
        <v>1506</v>
      </c>
      <c r="F2513" s="918"/>
      <c r="G2513" s="919"/>
      <c r="H2513" s="664" t="s">
        <v>790</v>
      </c>
      <c r="I2513" s="920" t="s">
        <v>633</v>
      </c>
      <c r="J2513" s="921"/>
      <c r="K2513" s="922"/>
      <c r="L2513" s="664" t="s">
        <v>430</v>
      </c>
      <c r="M2513" s="664" t="s">
        <v>431</v>
      </c>
    </row>
    <row r="2514" spans="3:13" ht="24" customHeight="1" x14ac:dyDescent="0.2">
      <c r="C2514" s="91"/>
      <c r="D2514" s="665" t="s">
        <v>432</v>
      </c>
      <c r="E2514" s="923"/>
      <c r="F2514" s="924"/>
      <c r="G2514" s="925"/>
      <c r="H2514" s="666" t="s">
        <v>1557</v>
      </c>
      <c r="I2514" s="926" t="s">
        <v>1507</v>
      </c>
      <c r="J2514" s="927"/>
      <c r="K2514" s="928"/>
      <c r="L2514" s="667"/>
      <c r="M2514" s="425" t="s">
        <v>1506</v>
      </c>
    </row>
    <row r="2515" spans="3:13" ht="17" x14ac:dyDescent="0.2">
      <c r="C2515" s="91"/>
      <c r="D2515" s="668" t="s">
        <v>433</v>
      </c>
      <c r="E2515" s="944">
        <v>0</v>
      </c>
      <c r="F2515" s="945"/>
      <c r="G2515" s="946"/>
      <c r="H2515" s="424" t="s">
        <v>1558</v>
      </c>
      <c r="I2515" s="929"/>
      <c r="J2515" s="930"/>
      <c r="K2515" s="931"/>
      <c r="L2515" s="667"/>
      <c r="M2515" s="426"/>
    </row>
    <row r="2516" spans="3:13" ht="17" x14ac:dyDescent="0.2">
      <c r="C2516" s="91"/>
      <c r="D2516" s="668" t="s">
        <v>434</v>
      </c>
      <c r="E2516" s="944">
        <v>0</v>
      </c>
      <c r="F2516" s="945"/>
      <c r="G2516" s="946"/>
      <c r="H2516" s="424"/>
      <c r="I2516" s="929"/>
      <c r="J2516" s="930"/>
      <c r="K2516" s="931"/>
      <c r="L2516" s="667"/>
      <c r="M2516" s="426"/>
    </row>
    <row r="2517" spans="3:13" ht="18" thickBot="1" x14ac:dyDescent="0.25">
      <c r="C2517" s="91"/>
      <c r="D2517" s="669" t="s">
        <v>435</v>
      </c>
      <c r="E2517" s="802">
        <v>0.79166666666666663</v>
      </c>
      <c r="F2517" s="803"/>
      <c r="G2517" s="804"/>
      <c r="H2517" s="427"/>
      <c r="I2517" s="929"/>
      <c r="J2517" s="930"/>
      <c r="K2517" s="931"/>
      <c r="L2517" s="428">
        <v>2.0833333333333332E-2</v>
      </c>
      <c r="M2517" s="429">
        <v>0.875</v>
      </c>
    </row>
    <row r="2518" spans="3:13" ht="18" thickBot="1" x14ac:dyDescent="0.25">
      <c r="C2518" s="91"/>
      <c r="D2518" s="670" t="s">
        <v>436</v>
      </c>
      <c r="E2518" s="430" t="s">
        <v>29</v>
      </c>
      <c r="F2518" s="430" t="s">
        <v>28</v>
      </c>
      <c r="G2518" s="431" t="s">
        <v>27</v>
      </c>
      <c r="H2518" s="432" t="s">
        <v>793</v>
      </c>
      <c r="I2518" s="929"/>
      <c r="J2518" s="930"/>
      <c r="K2518" s="931"/>
      <c r="L2518" s="671" t="s">
        <v>1246</v>
      </c>
      <c r="M2518" s="433"/>
    </row>
    <row r="2519" spans="3:13" ht="17" x14ac:dyDescent="0.2">
      <c r="C2519" s="91"/>
      <c r="D2519" s="672">
        <v>45583</v>
      </c>
      <c r="E2519" s="482">
        <v>0</v>
      </c>
      <c r="F2519" s="482" t="s">
        <v>754</v>
      </c>
      <c r="G2519" s="482">
        <v>0</v>
      </c>
      <c r="H2519" s="758">
        <v>0.52083333333333337</v>
      </c>
      <c r="I2519" s="929"/>
      <c r="J2519" s="930"/>
      <c r="K2519" s="931"/>
      <c r="L2519" s="674">
        <v>0.29166666666666669</v>
      </c>
      <c r="M2519" s="436"/>
    </row>
    <row r="2520" spans="3:13" ht="17" x14ac:dyDescent="0.2">
      <c r="C2520" s="91"/>
      <c r="D2520" s="672">
        <v>45488</v>
      </c>
      <c r="E2520" s="482">
        <v>0</v>
      </c>
      <c r="F2520" s="482" t="s">
        <v>754</v>
      </c>
      <c r="G2520" s="482">
        <v>0</v>
      </c>
      <c r="H2520" s="758">
        <v>0.52083333333333337</v>
      </c>
      <c r="I2520" s="929"/>
      <c r="J2520" s="930"/>
      <c r="K2520" s="931"/>
      <c r="L2520" s="674">
        <v>0.29166666666666669</v>
      </c>
      <c r="M2520" s="437"/>
    </row>
    <row r="2521" spans="3:13" ht="17" x14ac:dyDescent="0.2">
      <c r="C2521" s="91"/>
      <c r="D2521" s="672">
        <v>45398</v>
      </c>
      <c r="E2521" s="482">
        <v>0</v>
      </c>
      <c r="F2521" s="482" t="s">
        <v>754</v>
      </c>
      <c r="G2521" s="482">
        <v>0</v>
      </c>
      <c r="H2521" s="758">
        <v>0.47916666666666663</v>
      </c>
      <c r="I2521" s="929"/>
      <c r="J2521" s="930"/>
      <c r="K2521" s="931"/>
      <c r="L2521" s="674">
        <v>0.25</v>
      </c>
      <c r="M2521" s="426"/>
    </row>
    <row r="2522" spans="3:13" ht="17" x14ac:dyDescent="0.2">
      <c r="C2522" s="91"/>
      <c r="D2522" s="672">
        <v>45308</v>
      </c>
      <c r="E2522" s="482">
        <v>0</v>
      </c>
      <c r="F2522" s="482" t="s">
        <v>754</v>
      </c>
      <c r="G2522" s="482">
        <v>0</v>
      </c>
      <c r="H2522" s="758">
        <v>0.47916666666666663</v>
      </c>
      <c r="I2522" s="929"/>
      <c r="J2522" s="930"/>
      <c r="K2522" s="931"/>
      <c r="L2522" s="674">
        <v>0.25</v>
      </c>
      <c r="M2522" s="426"/>
    </row>
    <row r="2523" spans="3:13" ht="17" x14ac:dyDescent="0.2">
      <c r="C2523" s="91"/>
      <c r="D2523" s="672">
        <v>45217</v>
      </c>
      <c r="E2523" s="482">
        <v>0</v>
      </c>
      <c r="F2523" s="482" t="s">
        <v>754</v>
      </c>
      <c r="G2523" s="482">
        <v>0</v>
      </c>
      <c r="H2523" s="758">
        <v>0.47916666666666663</v>
      </c>
      <c r="I2523" s="929"/>
      <c r="J2523" s="930"/>
      <c r="K2523" s="931"/>
      <c r="L2523" s="674">
        <v>0.25</v>
      </c>
      <c r="M2523" s="426"/>
    </row>
    <row r="2524" spans="3:13" ht="18" thickBot="1" x14ac:dyDescent="0.25">
      <c r="C2524" s="91"/>
      <c r="D2524" s="672">
        <v>45124</v>
      </c>
      <c r="E2524" s="482">
        <v>0</v>
      </c>
      <c r="F2524" s="482" t="s">
        <v>754</v>
      </c>
      <c r="G2524" s="482">
        <v>0</v>
      </c>
      <c r="H2524" s="758">
        <v>0.47916666666666663</v>
      </c>
      <c r="I2524" s="932"/>
      <c r="J2524" s="933"/>
      <c r="K2524" s="934"/>
      <c r="L2524" s="674">
        <v>0.25</v>
      </c>
      <c r="M2524" s="438"/>
    </row>
    <row r="2525" spans="3:13" ht="25" customHeight="1" thickBot="1" x14ac:dyDescent="0.25">
      <c r="C2525" s="91">
        <v>1</v>
      </c>
      <c r="D2525" s="663" t="s">
        <v>30</v>
      </c>
      <c r="E2525" s="917" t="s">
        <v>1508</v>
      </c>
      <c r="F2525" s="918"/>
      <c r="G2525" s="919"/>
      <c r="H2525" s="664" t="s">
        <v>790</v>
      </c>
      <c r="I2525" s="920" t="s">
        <v>633</v>
      </c>
      <c r="J2525" s="921"/>
      <c r="K2525" s="922"/>
      <c r="L2525" s="664" t="s">
        <v>430</v>
      </c>
      <c r="M2525" s="664" t="s">
        <v>431</v>
      </c>
    </row>
    <row r="2526" spans="3:13" ht="24" customHeight="1" x14ac:dyDescent="0.2">
      <c r="C2526" s="91"/>
      <c r="D2526" s="665" t="s">
        <v>432</v>
      </c>
      <c r="E2526" s="923"/>
      <c r="F2526" s="924"/>
      <c r="G2526" s="925"/>
      <c r="H2526" s="666" t="s">
        <v>906</v>
      </c>
      <c r="I2526" s="926" t="s">
        <v>1507</v>
      </c>
      <c r="J2526" s="927"/>
      <c r="K2526" s="928"/>
      <c r="L2526" s="667"/>
      <c r="M2526" s="425" t="s">
        <v>1508</v>
      </c>
    </row>
    <row r="2527" spans="3:13" ht="17" x14ac:dyDescent="0.2">
      <c r="C2527" s="91"/>
      <c r="D2527" s="668" t="s">
        <v>433</v>
      </c>
      <c r="E2527" s="935">
        <v>4.4999999999999998E-2</v>
      </c>
      <c r="F2527" s="936"/>
      <c r="G2527" s="937"/>
      <c r="H2527" s="424" t="s">
        <v>907</v>
      </c>
      <c r="I2527" s="929"/>
      <c r="J2527" s="930"/>
      <c r="K2527" s="931"/>
      <c r="L2527" s="667"/>
      <c r="M2527" s="426"/>
    </row>
    <row r="2528" spans="3:13" ht="17" x14ac:dyDescent="0.2">
      <c r="C2528" s="91"/>
      <c r="D2528" s="668" t="s">
        <v>434</v>
      </c>
      <c r="E2528" s="935">
        <v>4.4999999999999998E-2</v>
      </c>
      <c r="F2528" s="936"/>
      <c r="G2528" s="937"/>
      <c r="H2528" s="424"/>
      <c r="I2528" s="929"/>
      <c r="J2528" s="930"/>
      <c r="K2528" s="931"/>
      <c r="L2528" s="667"/>
      <c r="M2528" s="426"/>
    </row>
    <row r="2529" spans="3:13" ht="18" thickBot="1" x14ac:dyDescent="0.25">
      <c r="C2529" s="91"/>
      <c r="D2529" s="669" t="s">
        <v>435</v>
      </c>
      <c r="E2529" s="938">
        <v>0.79166666666666663</v>
      </c>
      <c r="F2529" s="939"/>
      <c r="G2529" s="940"/>
      <c r="H2529" s="427"/>
      <c r="I2529" s="929"/>
      <c r="J2529" s="930"/>
      <c r="K2529" s="931"/>
      <c r="L2529" s="428">
        <v>2.0833333333333332E-2</v>
      </c>
      <c r="M2529" s="429">
        <v>0.875</v>
      </c>
    </row>
    <row r="2530" spans="3:13" ht="18" thickBot="1" x14ac:dyDescent="0.25">
      <c r="C2530" s="91"/>
      <c r="D2530" s="670" t="s">
        <v>436</v>
      </c>
      <c r="E2530" s="430" t="s">
        <v>29</v>
      </c>
      <c r="F2530" s="430" t="s">
        <v>28</v>
      </c>
      <c r="G2530" s="431" t="s">
        <v>27</v>
      </c>
      <c r="H2530" s="432" t="s">
        <v>793</v>
      </c>
      <c r="I2530" s="929"/>
      <c r="J2530" s="930"/>
      <c r="K2530" s="931"/>
      <c r="L2530" s="671" t="s">
        <v>1246</v>
      </c>
      <c r="M2530" s="433"/>
    </row>
    <row r="2531" spans="3:13" ht="17" x14ac:dyDescent="0.2">
      <c r="C2531" s="91"/>
      <c r="D2531" s="672">
        <v>45644</v>
      </c>
      <c r="E2531" s="441">
        <v>4.4999999999999998E-2</v>
      </c>
      <c r="F2531" s="441" t="s">
        <v>725</v>
      </c>
      <c r="G2531" s="441">
        <v>4.7500000000000001E-2</v>
      </c>
      <c r="H2531" s="758">
        <v>-0.20833333333333331</v>
      </c>
      <c r="I2531" s="929"/>
      <c r="J2531" s="930"/>
      <c r="K2531" s="931"/>
      <c r="L2531" s="674">
        <v>2.0833333333333332E-2</v>
      </c>
      <c r="M2531" s="436"/>
    </row>
    <row r="2532" spans="3:13" ht="17" x14ac:dyDescent="0.2">
      <c r="C2532" s="91"/>
      <c r="D2532" s="672">
        <v>45603</v>
      </c>
      <c r="E2532" s="441">
        <v>4.7500000000000001E-2</v>
      </c>
      <c r="F2532" s="441" t="s">
        <v>726</v>
      </c>
      <c r="G2532" s="441">
        <v>0.05</v>
      </c>
      <c r="H2532" s="758">
        <v>-0.20833333333333331</v>
      </c>
      <c r="I2532" s="929"/>
      <c r="J2532" s="930"/>
      <c r="K2532" s="931"/>
      <c r="L2532" s="674">
        <v>2.0833333333333332E-2</v>
      </c>
      <c r="M2532" s="437"/>
    </row>
    <row r="2533" spans="3:13" ht="17" x14ac:dyDescent="0.2">
      <c r="C2533" s="91"/>
      <c r="D2533" s="672">
        <v>45553</v>
      </c>
      <c r="E2533" s="441">
        <v>0.05</v>
      </c>
      <c r="F2533" s="441" t="s">
        <v>940</v>
      </c>
      <c r="G2533" s="441">
        <v>5.5E-2</v>
      </c>
      <c r="H2533" s="758">
        <v>0.58333333333333337</v>
      </c>
      <c r="I2533" s="929"/>
      <c r="J2533" s="930"/>
      <c r="K2533" s="931"/>
      <c r="L2533" s="674">
        <v>0.8125</v>
      </c>
      <c r="M2533" s="426"/>
    </row>
    <row r="2534" spans="3:13" ht="17" x14ac:dyDescent="0.2">
      <c r="C2534" s="91"/>
      <c r="D2534" s="672">
        <v>45504</v>
      </c>
      <c r="E2534" s="441">
        <v>5.5E-2</v>
      </c>
      <c r="F2534" s="441" t="s">
        <v>942</v>
      </c>
      <c r="G2534" s="441">
        <v>5.5E-2</v>
      </c>
      <c r="H2534" s="758">
        <v>0.58333333333333337</v>
      </c>
      <c r="I2534" s="929"/>
      <c r="J2534" s="930"/>
      <c r="K2534" s="931"/>
      <c r="L2534" s="674">
        <v>0.8125</v>
      </c>
      <c r="M2534" s="426"/>
    </row>
    <row r="2535" spans="3:13" ht="17" x14ac:dyDescent="0.2">
      <c r="C2535" s="91"/>
      <c r="D2535" s="672">
        <v>45455</v>
      </c>
      <c r="E2535" s="441">
        <v>5.5E-2</v>
      </c>
      <c r="F2535" s="441" t="s">
        <v>942</v>
      </c>
      <c r="G2535" s="441">
        <v>5.5E-2</v>
      </c>
      <c r="H2535" s="758">
        <v>0.58333333333333337</v>
      </c>
      <c r="I2535" s="929"/>
      <c r="J2535" s="930"/>
      <c r="K2535" s="931"/>
      <c r="L2535" s="674">
        <v>0.8125</v>
      </c>
      <c r="M2535" s="426"/>
    </row>
    <row r="2536" spans="3:13" ht="18" thickBot="1" x14ac:dyDescent="0.25">
      <c r="C2536" s="91"/>
      <c r="D2536" s="672">
        <v>45413</v>
      </c>
      <c r="E2536" s="441">
        <v>5.5E-2</v>
      </c>
      <c r="F2536" s="441" t="s">
        <v>942</v>
      </c>
      <c r="G2536" s="441">
        <v>5.5E-2</v>
      </c>
      <c r="H2536" s="758">
        <v>0.58333333333333337</v>
      </c>
      <c r="I2536" s="932"/>
      <c r="J2536" s="933"/>
      <c r="K2536" s="934"/>
      <c r="L2536" s="674">
        <v>0.8125</v>
      </c>
      <c r="M2536" s="438"/>
    </row>
    <row r="2537" spans="3:13" ht="25" customHeight="1" thickBot="1" x14ac:dyDescent="0.25">
      <c r="C2537" s="91">
        <v>1</v>
      </c>
      <c r="D2537" s="663" t="s">
        <v>30</v>
      </c>
      <c r="E2537" s="917" t="s">
        <v>1509</v>
      </c>
      <c r="F2537" s="918"/>
      <c r="G2537" s="919"/>
      <c r="H2537" s="664" t="s">
        <v>790</v>
      </c>
      <c r="I2537" s="920" t="s">
        <v>633</v>
      </c>
      <c r="J2537" s="921"/>
      <c r="K2537" s="922"/>
      <c r="L2537" s="664" t="s">
        <v>430</v>
      </c>
      <c r="M2537" s="664" t="s">
        <v>431</v>
      </c>
    </row>
    <row r="2538" spans="3:13" ht="24" customHeight="1" x14ac:dyDescent="0.2">
      <c r="C2538" s="91"/>
      <c r="D2538" s="665" t="s">
        <v>432</v>
      </c>
      <c r="E2538" s="923"/>
      <c r="F2538" s="924"/>
      <c r="G2538" s="925"/>
      <c r="H2538" s="666" t="s">
        <v>906</v>
      </c>
      <c r="I2538" s="926" t="s">
        <v>1507</v>
      </c>
      <c r="J2538" s="927"/>
      <c r="K2538" s="928"/>
      <c r="L2538" s="667"/>
      <c r="M2538" s="425" t="s">
        <v>1509</v>
      </c>
    </row>
    <row r="2539" spans="3:13" ht="17" x14ac:dyDescent="0.2">
      <c r="C2539" s="91"/>
      <c r="D2539" s="668" t="s">
        <v>433</v>
      </c>
      <c r="E2539" s="935">
        <v>0</v>
      </c>
      <c r="F2539" s="936"/>
      <c r="G2539" s="937"/>
      <c r="H2539" s="424" t="s">
        <v>907</v>
      </c>
      <c r="I2539" s="929"/>
      <c r="J2539" s="930"/>
      <c r="K2539" s="931"/>
      <c r="L2539" s="667"/>
      <c r="M2539" s="426"/>
    </row>
    <row r="2540" spans="3:13" ht="17" x14ac:dyDescent="0.2">
      <c r="C2540" s="91"/>
      <c r="D2540" s="668" t="s">
        <v>434</v>
      </c>
      <c r="E2540" s="935">
        <v>0</v>
      </c>
      <c r="F2540" s="936"/>
      <c r="G2540" s="937"/>
      <c r="H2540" s="424"/>
      <c r="I2540" s="929"/>
      <c r="J2540" s="930"/>
      <c r="K2540" s="931"/>
      <c r="L2540" s="667"/>
      <c r="M2540" s="426"/>
    </row>
    <row r="2541" spans="3:13" ht="18" thickBot="1" x14ac:dyDescent="0.25">
      <c r="C2541" s="91"/>
      <c r="D2541" s="669" t="s">
        <v>435</v>
      </c>
      <c r="E2541" s="938">
        <v>0.8125</v>
      </c>
      <c r="F2541" s="939"/>
      <c r="G2541" s="940"/>
      <c r="H2541" s="427"/>
      <c r="I2541" s="929"/>
      <c r="J2541" s="930"/>
      <c r="K2541" s="931"/>
      <c r="L2541" s="428">
        <v>4.1666666666666664E-2</v>
      </c>
      <c r="M2541" s="429">
        <v>0.89583333333333337</v>
      </c>
    </row>
    <row r="2542" spans="3:13" ht="18" thickBot="1" x14ac:dyDescent="0.25">
      <c r="C2542" s="91"/>
      <c r="D2542" s="670" t="s">
        <v>436</v>
      </c>
      <c r="E2542" s="430" t="s">
        <v>29</v>
      </c>
      <c r="F2542" s="430" t="s">
        <v>28</v>
      </c>
      <c r="G2542" s="431" t="s">
        <v>27</v>
      </c>
      <c r="H2542" s="432" t="s">
        <v>793</v>
      </c>
      <c r="I2542" s="929"/>
      <c r="J2542" s="930"/>
      <c r="K2542" s="931"/>
      <c r="L2542" s="671" t="s">
        <v>1246</v>
      </c>
      <c r="M2542" s="433"/>
    </row>
    <row r="2543" spans="3:13" ht="17" x14ac:dyDescent="0.2">
      <c r="C2543" s="91"/>
      <c r="D2543" s="672">
        <v>45644</v>
      </c>
      <c r="E2543" s="439" t="s">
        <v>1090</v>
      </c>
      <c r="F2543" s="439" t="s">
        <v>754</v>
      </c>
      <c r="G2543" s="439" t="s">
        <v>1090</v>
      </c>
      <c r="H2543" s="758">
        <v>-0.1875</v>
      </c>
      <c r="I2543" s="929"/>
      <c r="J2543" s="930"/>
      <c r="K2543" s="931"/>
      <c r="L2543" s="674">
        <v>4.1666666666666664E-2</v>
      </c>
      <c r="M2543" s="436"/>
    </row>
    <row r="2544" spans="3:13" ht="17" x14ac:dyDescent="0.2">
      <c r="C2544" s="91"/>
      <c r="D2544" s="672">
        <v>45603</v>
      </c>
      <c r="E2544" s="439" t="s">
        <v>1090</v>
      </c>
      <c r="F2544" s="439" t="s">
        <v>754</v>
      </c>
      <c r="G2544" s="439" t="s">
        <v>1090</v>
      </c>
      <c r="H2544" s="758">
        <v>-0.1875</v>
      </c>
      <c r="I2544" s="929"/>
      <c r="J2544" s="930"/>
      <c r="K2544" s="931"/>
      <c r="L2544" s="674">
        <v>4.1666666666666664E-2</v>
      </c>
      <c r="M2544" s="437"/>
    </row>
    <row r="2545" spans="3:13" ht="17" x14ac:dyDescent="0.2">
      <c r="C2545" s="91"/>
      <c r="D2545" s="672">
        <v>45553</v>
      </c>
      <c r="E2545" s="439" t="s">
        <v>1090</v>
      </c>
      <c r="F2545" s="439" t="s">
        <v>754</v>
      </c>
      <c r="G2545" s="439" t="s">
        <v>1090</v>
      </c>
      <c r="H2545" s="758">
        <v>0.58333333333333337</v>
      </c>
      <c r="I2545" s="929"/>
      <c r="J2545" s="930"/>
      <c r="K2545" s="931"/>
      <c r="L2545" s="674">
        <v>0.8125</v>
      </c>
      <c r="M2545" s="426"/>
    </row>
    <row r="2546" spans="3:13" ht="17" x14ac:dyDescent="0.2">
      <c r="C2546" s="91"/>
      <c r="D2546" s="672">
        <v>45504</v>
      </c>
      <c r="E2546" s="439" t="s">
        <v>1090</v>
      </c>
      <c r="F2546" s="439" t="s">
        <v>754</v>
      </c>
      <c r="G2546" s="439" t="s">
        <v>1090</v>
      </c>
      <c r="H2546" s="758">
        <v>0.58333333333333337</v>
      </c>
      <c r="I2546" s="929"/>
      <c r="J2546" s="930"/>
      <c r="K2546" s="931"/>
      <c r="L2546" s="674">
        <v>0.8125</v>
      </c>
      <c r="M2546" s="426"/>
    </row>
    <row r="2547" spans="3:13" ht="17" x14ac:dyDescent="0.2">
      <c r="C2547" s="91"/>
      <c r="D2547" s="672">
        <v>45455</v>
      </c>
      <c r="E2547" s="439" t="s">
        <v>1090</v>
      </c>
      <c r="F2547" s="439" t="s">
        <v>754</v>
      </c>
      <c r="G2547" s="439" t="s">
        <v>1090</v>
      </c>
      <c r="H2547" s="758">
        <v>0.58333333333333337</v>
      </c>
      <c r="I2547" s="929"/>
      <c r="J2547" s="930"/>
      <c r="K2547" s="931"/>
      <c r="L2547" s="674">
        <v>0.8125</v>
      </c>
      <c r="M2547" s="426"/>
    </row>
    <row r="2548" spans="3:13" ht="18" thickBot="1" x14ac:dyDescent="0.25">
      <c r="C2548" s="91"/>
      <c r="D2548" s="672">
        <v>45413</v>
      </c>
      <c r="E2548" s="439" t="s">
        <v>1090</v>
      </c>
      <c r="F2548" s="439" t="s">
        <v>754</v>
      </c>
      <c r="G2548" s="439" t="s">
        <v>1090</v>
      </c>
      <c r="H2548" s="758">
        <v>0.58333333333333337</v>
      </c>
      <c r="I2548" s="932"/>
      <c r="J2548" s="933"/>
      <c r="K2548" s="934"/>
      <c r="L2548" s="674">
        <v>0.8125</v>
      </c>
      <c r="M2548" s="438"/>
    </row>
    <row r="2549" spans="3:13" ht="25" customHeight="1" thickBot="1" x14ac:dyDescent="0.25">
      <c r="C2549" s="91">
        <v>1</v>
      </c>
      <c r="D2549" s="663" t="s">
        <v>30</v>
      </c>
      <c r="E2549" s="917" t="s">
        <v>1510</v>
      </c>
      <c r="F2549" s="918"/>
      <c r="G2549" s="919"/>
      <c r="H2549" s="664" t="s">
        <v>790</v>
      </c>
      <c r="I2549" s="920" t="s">
        <v>633</v>
      </c>
      <c r="J2549" s="921"/>
      <c r="K2549" s="922"/>
      <c r="L2549" s="664" t="s">
        <v>430</v>
      </c>
      <c r="M2549" s="664" t="s">
        <v>431</v>
      </c>
    </row>
    <row r="2550" spans="3:13" ht="24" customHeight="1" x14ac:dyDescent="0.2">
      <c r="C2550" s="91"/>
      <c r="D2550" s="665" t="s">
        <v>432</v>
      </c>
      <c r="E2550" s="923"/>
      <c r="F2550" s="924"/>
      <c r="G2550" s="925"/>
      <c r="H2550" s="666" t="s">
        <v>906</v>
      </c>
      <c r="I2550" s="926" t="s">
        <v>1499</v>
      </c>
      <c r="J2550" s="927"/>
      <c r="K2550" s="928"/>
      <c r="L2550" s="667"/>
      <c r="M2550" s="425" t="s">
        <v>1510</v>
      </c>
    </row>
    <row r="2551" spans="3:13" ht="17" x14ac:dyDescent="0.2">
      <c r="C2551" s="91"/>
      <c r="D2551" s="668" t="s">
        <v>433</v>
      </c>
      <c r="E2551" s="935">
        <v>6.76</v>
      </c>
      <c r="F2551" s="936"/>
      <c r="G2551" s="937"/>
      <c r="H2551" s="424" t="s">
        <v>907</v>
      </c>
      <c r="I2551" s="929"/>
      <c r="J2551" s="930"/>
      <c r="K2551" s="931"/>
      <c r="L2551" s="667"/>
      <c r="M2551" s="426"/>
    </row>
    <row r="2552" spans="3:13" ht="17" x14ac:dyDescent="0.2">
      <c r="C2552" s="91"/>
      <c r="D2552" s="668" t="s">
        <v>434</v>
      </c>
      <c r="E2552" s="935">
        <v>5.33</v>
      </c>
      <c r="F2552" s="936"/>
      <c r="G2552" s="937"/>
      <c r="H2552" s="424"/>
      <c r="I2552" s="929"/>
      <c r="J2552" s="930"/>
      <c r="K2552" s="931"/>
      <c r="L2552" s="667"/>
      <c r="M2552" s="426"/>
    </row>
    <row r="2553" spans="3:13" ht="18" thickBot="1" x14ac:dyDescent="0.25">
      <c r="C2553" s="91"/>
      <c r="D2553" s="669" t="s">
        <v>435</v>
      </c>
      <c r="E2553" s="938">
        <v>0.875</v>
      </c>
      <c r="F2553" s="939"/>
      <c r="G2553" s="940"/>
      <c r="H2553" s="427"/>
      <c r="I2553" s="929"/>
      <c r="J2553" s="930"/>
      <c r="K2553" s="931"/>
      <c r="L2553" s="428">
        <v>0.10416666666666667</v>
      </c>
      <c r="M2553" s="429">
        <v>0.95833333333333337</v>
      </c>
    </row>
    <row r="2554" spans="3:13" ht="18" thickBot="1" x14ac:dyDescent="0.25">
      <c r="C2554" s="91"/>
      <c r="D2554" s="670" t="s">
        <v>436</v>
      </c>
      <c r="E2554" s="430" t="s">
        <v>29</v>
      </c>
      <c r="F2554" s="430" t="s">
        <v>28</v>
      </c>
      <c r="G2554" s="431" t="s">
        <v>27</v>
      </c>
      <c r="H2554" s="432" t="s">
        <v>793</v>
      </c>
      <c r="I2554" s="929"/>
      <c r="J2554" s="930"/>
      <c r="K2554" s="931"/>
      <c r="L2554" s="671" t="s">
        <v>1246</v>
      </c>
      <c r="M2554" s="433"/>
    </row>
    <row r="2555" spans="3:13" x14ac:dyDescent="0.2">
      <c r="C2555" s="91"/>
      <c r="D2555" s="672">
        <v>45595</v>
      </c>
      <c r="E2555" s="439">
        <v>6.03</v>
      </c>
      <c r="F2555" s="439">
        <v>5.19</v>
      </c>
      <c r="G2555" s="439">
        <v>4.3899999999999997</v>
      </c>
      <c r="H2555" s="758">
        <v>-0.12499999999999999</v>
      </c>
      <c r="I2555" s="929"/>
      <c r="J2555" s="930"/>
      <c r="K2555" s="931"/>
      <c r="L2555" s="674">
        <v>0.10416666666666667</v>
      </c>
      <c r="M2555" s="436"/>
    </row>
    <row r="2556" spans="3:13" x14ac:dyDescent="0.2">
      <c r="C2556" s="91"/>
      <c r="D2556" s="672">
        <v>45504</v>
      </c>
      <c r="E2556" s="439">
        <v>5.16</v>
      </c>
      <c r="F2556" s="439">
        <v>4.7</v>
      </c>
      <c r="G2556" s="439">
        <v>4.71</v>
      </c>
      <c r="H2556" s="758">
        <v>-0.12499999999999999</v>
      </c>
      <c r="I2556" s="929"/>
      <c r="J2556" s="930"/>
      <c r="K2556" s="931"/>
      <c r="L2556" s="674">
        <v>0.10416666666666667</v>
      </c>
      <c r="M2556" s="437"/>
    </row>
    <row r="2557" spans="3:13" x14ac:dyDescent="0.2">
      <c r="C2557" s="91"/>
      <c r="D2557" s="672">
        <v>45406</v>
      </c>
      <c r="E2557" s="439">
        <v>4.71</v>
      </c>
      <c r="F2557" s="439">
        <v>4.32</v>
      </c>
      <c r="G2557" s="439">
        <v>5.33</v>
      </c>
      <c r="H2557" s="758">
        <v>0.58333333333333337</v>
      </c>
      <c r="I2557" s="929"/>
      <c r="J2557" s="930"/>
      <c r="K2557" s="931"/>
      <c r="L2557" s="674">
        <v>0.8125</v>
      </c>
      <c r="M2557" s="426"/>
    </row>
    <row r="2558" spans="3:13" x14ac:dyDescent="0.2">
      <c r="C2558" s="91"/>
      <c r="D2558" s="672">
        <v>45323</v>
      </c>
      <c r="E2558" s="439">
        <v>5.33</v>
      </c>
      <c r="F2558" s="439">
        <v>4.83</v>
      </c>
      <c r="G2558" s="439">
        <v>3.23</v>
      </c>
      <c r="H2558" s="758">
        <v>0.58333333333333337</v>
      </c>
      <c r="I2558" s="929"/>
      <c r="J2558" s="930"/>
      <c r="K2558" s="931"/>
      <c r="L2558" s="674">
        <v>0.8125</v>
      </c>
      <c r="M2558" s="426"/>
    </row>
    <row r="2559" spans="3:13" x14ac:dyDescent="0.2">
      <c r="C2559" s="91"/>
      <c r="D2559" s="672">
        <v>45590</v>
      </c>
      <c r="E2559" s="439">
        <v>4.3899999999999997</v>
      </c>
      <c r="F2559" s="439">
        <v>3.62</v>
      </c>
      <c r="G2559" s="439">
        <v>2.72</v>
      </c>
      <c r="H2559" s="758">
        <v>0.58333333333333337</v>
      </c>
      <c r="I2559" s="929"/>
      <c r="J2559" s="930"/>
      <c r="K2559" s="931"/>
      <c r="L2559" s="674">
        <v>0.8125</v>
      </c>
      <c r="M2559" s="426"/>
    </row>
    <row r="2560" spans="3:13" ht="17" thickBot="1" x14ac:dyDescent="0.25">
      <c r="C2560" s="91"/>
      <c r="D2560" s="672">
        <v>45499</v>
      </c>
      <c r="E2560" s="439">
        <v>5.33</v>
      </c>
      <c r="F2560" s="439">
        <v>4.8899999999999997</v>
      </c>
      <c r="G2560" s="439">
        <v>4.3899999999999997</v>
      </c>
      <c r="H2560" s="758">
        <v>0.58333333333333337</v>
      </c>
      <c r="I2560" s="932"/>
      <c r="J2560" s="933"/>
      <c r="K2560" s="934"/>
      <c r="L2560" s="674">
        <v>0.8125</v>
      </c>
      <c r="M2560" s="438"/>
    </row>
    <row r="2561" spans="3:13" ht="25" customHeight="1" thickBot="1" x14ac:dyDescent="0.25">
      <c r="C2561" s="91" t="e">
        <v>#REF!</v>
      </c>
      <c r="D2561" s="663" t="s">
        <v>30</v>
      </c>
      <c r="E2561" s="917" t="s">
        <v>1511</v>
      </c>
      <c r="F2561" s="918"/>
      <c r="G2561" s="919"/>
      <c r="H2561" s="664" t="s">
        <v>790</v>
      </c>
      <c r="I2561" s="920" t="s">
        <v>633</v>
      </c>
      <c r="J2561" s="921"/>
      <c r="K2561" s="922"/>
      <c r="L2561" s="664" t="s">
        <v>430</v>
      </c>
      <c r="M2561" s="664" t="s">
        <v>431</v>
      </c>
    </row>
    <row r="2562" spans="3:13" ht="24" customHeight="1" x14ac:dyDescent="0.2">
      <c r="C2562" s="91"/>
      <c r="D2562" s="665" t="s">
        <v>432</v>
      </c>
      <c r="E2562" s="923"/>
      <c r="F2562" s="924"/>
      <c r="G2562" s="925"/>
      <c r="H2562" s="666" t="s">
        <v>1557</v>
      </c>
      <c r="I2562" s="926" t="s">
        <v>1514</v>
      </c>
      <c r="J2562" s="927"/>
      <c r="K2562" s="928"/>
      <c r="L2562" s="667"/>
      <c r="M2562" s="425" t="s">
        <v>1511</v>
      </c>
    </row>
    <row r="2563" spans="3:13" ht="17" x14ac:dyDescent="0.2">
      <c r="C2563" s="91"/>
      <c r="D2563" s="668" t="s">
        <v>433</v>
      </c>
      <c r="E2563" s="941">
        <v>0</v>
      </c>
      <c r="F2563" s="942"/>
      <c r="G2563" s="943"/>
      <c r="H2563" s="424" t="s">
        <v>1558</v>
      </c>
      <c r="I2563" s="929"/>
      <c r="J2563" s="930"/>
      <c r="K2563" s="931"/>
      <c r="L2563" s="667"/>
      <c r="M2563" s="426"/>
    </row>
    <row r="2564" spans="3:13" ht="17" x14ac:dyDescent="0.2">
      <c r="C2564" s="91"/>
      <c r="D2564" s="668" t="s">
        <v>434</v>
      </c>
      <c r="E2564" s="941">
        <v>0.03</v>
      </c>
      <c r="F2564" s="942"/>
      <c r="G2564" s="943"/>
      <c r="H2564" s="424"/>
      <c r="I2564" s="929"/>
      <c r="J2564" s="930"/>
      <c r="K2564" s="931"/>
      <c r="L2564" s="667"/>
      <c r="M2564" s="426"/>
    </row>
    <row r="2565" spans="3:13" ht="18" thickBot="1" x14ac:dyDescent="0.25">
      <c r="C2565" s="91"/>
      <c r="D2565" s="669" t="s">
        <v>435</v>
      </c>
      <c r="E2565" s="938">
        <v>0.55208333333333337</v>
      </c>
      <c r="F2565" s="939"/>
      <c r="G2565" s="940"/>
      <c r="H2565" s="427"/>
      <c r="I2565" s="929"/>
      <c r="J2565" s="930"/>
      <c r="K2565" s="931"/>
      <c r="L2565" s="428">
        <v>0.78125</v>
      </c>
      <c r="M2565" s="429">
        <v>0.63541666666666663</v>
      </c>
    </row>
    <row r="2566" spans="3:13" ht="18" thickBot="1" x14ac:dyDescent="0.25">
      <c r="C2566" s="91"/>
      <c r="D2566" s="670" t="s">
        <v>436</v>
      </c>
      <c r="E2566" s="430" t="s">
        <v>29</v>
      </c>
      <c r="F2566" s="430" t="s">
        <v>28</v>
      </c>
      <c r="G2566" s="431" t="s">
        <v>27</v>
      </c>
      <c r="H2566" s="432" t="s">
        <v>793</v>
      </c>
      <c r="I2566" s="929"/>
      <c r="J2566" s="930"/>
      <c r="K2566" s="931"/>
      <c r="L2566" s="671" t="s">
        <v>1246</v>
      </c>
      <c r="M2566" s="433"/>
    </row>
    <row r="2567" spans="3:13" ht="17" x14ac:dyDescent="0.2">
      <c r="C2567" s="91"/>
      <c r="D2567" s="672">
        <v>45631</v>
      </c>
      <c r="E2567" s="673" t="s">
        <v>381</v>
      </c>
      <c r="F2567" s="673" t="s">
        <v>1014</v>
      </c>
      <c r="G2567" s="673" t="s">
        <v>1014</v>
      </c>
      <c r="H2567" s="758">
        <v>0.52083333333333337</v>
      </c>
      <c r="I2567" s="929"/>
      <c r="J2567" s="930"/>
      <c r="K2567" s="931"/>
      <c r="L2567" s="674">
        <v>0.29166666666666669</v>
      </c>
      <c r="M2567" s="436"/>
    </row>
    <row r="2568" spans="3:13" ht="17" x14ac:dyDescent="0.2">
      <c r="C2568" s="91"/>
      <c r="D2568" s="672">
        <v>45623</v>
      </c>
      <c r="E2568" s="673" t="s">
        <v>1071</v>
      </c>
      <c r="F2568" s="673" t="s">
        <v>1014</v>
      </c>
      <c r="G2568" s="673" t="s">
        <v>1014</v>
      </c>
      <c r="H2568" s="758">
        <v>0.52083333333333337</v>
      </c>
      <c r="I2568" s="929"/>
      <c r="J2568" s="930"/>
      <c r="K2568" s="931"/>
      <c r="L2568" s="674">
        <v>0.29166666666666669</v>
      </c>
      <c r="M2568" s="437"/>
    </row>
    <row r="2569" spans="3:13" ht="17" x14ac:dyDescent="0.2">
      <c r="C2569" s="91"/>
      <c r="D2569" s="672">
        <v>45617</v>
      </c>
      <c r="E2569" s="673" t="s">
        <v>1071</v>
      </c>
      <c r="F2569" s="673" t="s">
        <v>931</v>
      </c>
      <c r="G2569" s="673" t="s">
        <v>345</v>
      </c>
      <c r="H2569" s="758">
        <v>0.47916666666666663</v>
      </c>
      <c r="I2569" s="929"/>
      <c r="J2569" s="930"/>
      <c r="K2569" s="931"/>
      <c r="L2569" s="674">
        <v>0.25</v>
      </c>
      <c r="M2569" s="426"/>
    </row>
    <row r="2570" spans="3:13" ht="17" x14ac:dyDescent="0.2">
      <c r="C2570" s="91"/>
      <c r="D2570" s="672">
        <v>45610</v>
      </c>
      <c r="E2570" s="673" t="s">
        <v>1015</v>
      </c>
      <c r="F2570" s="673" t="s">
        <v>381</v>
      </c>
      <c r="G2570" s="673" t="s">
        <v>413</v>
      </c>
      <c r="H2570" s="758">
        <v>0.47916666666666663</v>
      </c>
      <c r="I2570" s="929"/>
      <c r="J2570" s="930"/>
      <c r="K2570" s="931"/>
      <c r="L2570" s="674">
        <v>0.25</v>
      </c>
      <c r="M2570" s="426"/>
    </row>
    <row r="2571" spans="3:13" ht="17" x14ac:dyDescent="0.2">
      <c r="C2571" s="91"/>
      <c r="D2571" s="672">
        <v>45603</v>
      </c>
      <c r="E2571" s="673" t="s">
        <v>413</v>
      </c>
      <c r="F2571" s="673" t="s">
        <v>1347</v>
      </c>
      <c r="G2571" s="673" t="s">
        <v>382</v>
      </c>
      <c r="H2571" s="758">
        <v>0.47916666666666663</v>
      </c>
      <c r="I2571" s="929"/>
      <c r="J2571" s="930"/>
      <c r="K2571" s="931"/>
      <c r="L2571" s="674">
        <v>0.25</v>
      </c>
      <c r="M2571" s="426"/>
    </row>
    <row r="2572" spans="3:13" ht="18" thickBot="1" x14ac:dyDescent="0.25">
      <c r="C2572" s="91"/>
      <c r="D2572" s="672">
        <v>45596</v>
      </c>
      <c r="E2572" s="673" t="s">
        <v>932</v>
      </c>
      <c r="F2572" s="673" t="s">
        <v>321</v>
      </c>
      <c r="G2572" s="673" t="s">
        <v>579</v>
      </c>
      <c r="H2572" s="758">
        <v>0.47916666666666663</v>
      </c>
      <c r="I2572" s="932"/>
      <c r="J2572" s="933"/>
      <c r="K2572" s="934"/>
      <c r="L2572" s="674">
        <v>0.25</v>
      </c>
      <c r="M2572" s="438"/>
    </row>
    <row r="2573" spans="3:13" ht="25" customHeight="1" thickBot="1" x14ac:dyDescent="0.25">
      <c r="C2573" s="91">
        <v>1</v>
      </c>
      <c r="D2573" s="663" t="s">
        <v>30</v>
      </c>
      <c r="E2573" s="917" t="s">
        <v>1511</v>
      </c>
      <c r="F2573" s="918"/>
      <c r="G2573" s="919"/>
      <c r="H2573" s="664" t="s">
        <v>790</v>
      </c>
      <c r="I2573" s="920" t="s">
        <v>633</v>
      </c>
      <c r="J2573" s="921"/>
      <c r="K2573" s="922"/>
      <c r="L2573" s="664" t="s">
        <v>430</v>
      </c>
      <c r="M2573" s="664" t="s">
        <v>431</v>
      </c>
    </row>
    <row r="2574" spans="3:13" ht="24" customHeight="1" x14ac:dyDescent="0.2">
      <c r="C2574" s="91"/>
      <c r="D2574" s="665" t="s">
        <v>432</v>
      </c>
      <c r="E2574" s="923"/>
      <c r="F2574" s="924"/>
      <c r="G2574" s="925"/>
      <c r="H2574" s="666" t="s">
        <v>906</v>
      </c>
      <c r="I2574" s="926" t="s">
        <v>1514</v>
      </c>
      <c r="J2574" s="927"/>
      <c r="K2574" s="928"/>
      <c r="L2574" s="667"/>
      <c r="M2574" s="425" t="s">
        <v>1511</v>
      </c>
    </row>
    <row r="2575" spans="3:13" ht="17" x14ac:dyDescent="0.2">
      <c r="C2575" s="91"/>
      <c r="D2575" s="668" t="s">
        <v>433</v>
      </c>
      <c r="E2575" s="935">
        <v>0</v>
      </c>
      <c r="F2575" s="936"/>
      <c r="G2575" s="937"/>
      <c r="H2575" s="424" t="s">
        <v>907</v>
      </c>
      <c r="I2575" s="929"/>
      <c r="J2575" s="930"/>
      <c r="K2575" s="931"/>
      <c r="L2575" s="667"/>
      <c r="M2575" s="426"/>
    </row>
    <row r="2576" spans="3:13" ht="17" x14ac:dyDescent="0.2">
      <c r="C2576" s="91"/>
      <c r="D2576" s="668" t="s">
        <v>434</v>
      </c>
      <c r="E2576" s="935">
        <v>0.03</v>
      </c>
      <c r="F2576" s="936"/>
      <c r="G2576" s="937"/>
      <c r="H2576" s="424"/>
      <c r="I2576" s="929"/>
      <c r="J2576" s="930"/>
      <c r="K2576" s="931"/>
      <c r="L2576" s="667"/>
      <c r="M2576" s="426"/>
    </row>
    <row r="2577" spans="3:13" ht="18" thickBot="1" x14ac:dyDescent="0.25">
      <c r="C2577" s="91"/>
      <c r="D2577" s="669" t="s">
        <v>435</v>
      </c>
      <c r="E2577" s="938">
        <v>0.55208333333333337</v>
      </c>
      <c r="F2577" s="939"/>
      <c r="G2577" s="940"/>
      <c r="H2577" s="427"/>
      <c r="I2577" s="929"/>
      <c r="J2577" s="930"/>
      <c r="K2577" s="931"/>
      <c r="L2577" s="428">
        <v>0.78125</v>
      </c>
      <c r="M2577" s="429">
        <v>0.63541666666666663</v>
      </c>
    </row>
    <row r="2578" spans="3:13" ht="18" thickBot="1" x14ac:dyDescent="0.25">
      <c r="C2578" s="91"/>
      <c r="D2578" s="670" t="s">
        <v>436</v>
      </c>
      <c r="E2578" s="430" t="s">
        <v>29</v>
      </c>
      <c r="F2578" s="430" t="s">
        <v>28</v>
      </c>
      <c r="G2578" s="431" t="s">
        <v>27</v>
      </c>
      <c r="H2578" s="432" t="s">
        <v>793</v>
      </c>
      <c r="I2578" s="929"/>
      <c r="J2578" s="930"/>
      <c r="K2578" s="931"/>
      <c r="L2578" s="671" t="s">
        <v>1246</v>
      </c>
      <c r="M2578" s="433"/>
    </row>
    <row r="2579" spans="3:13" ht="17" x14ac:dyDescent="0.2">
      <c r="C2579" s="91"/>
      <c r="D2579" s="672">
        <v>45631</v>
      </c>
      <c r="E2579" s="439" t="s">
        <v>381</v>
      </c>
      <c r="F2579" s="439" t="s">
        <v>1014</v>
      </c>
      <c r="G2579" s="439" t="s">
        <v>1014</v>
      </c>
      <c r="H2579" s="758">
        <v>0.55208333333333337</v>
      </c>
      <c r="I2579" s="929"/>
      <c r="J2579" s="930"/>
      <c r="K2579" s="931"/>
      <c r="L2579" s="674">
        <v>0.78125</v>
      </c>
      <c r="M2579" s="436"/>
    </row>
    <row r="2580" spans="3:13" ht="17" x14ac:dyDescent="0.2">
      <c r="C2580" s="91"/>
      <c r="D2580" s="672">
        <v>45623</v>
      </c>
      <c r="E2580" s="439" t="s">
        <v>1071</v>
      </c>
      <c r="F2580" s="439" t="s">
        <v>1014</v>
      </c>
      <c r="G2580" s="439" t="s">
        <v>1014</v>
      </c>
      <c r="H2580" s="758">
        <v>0.55208333333333337</v>
      </c>
      <c r="I2580" s="929"/>
      <c r="J2580" s="930"/>
      <c r="K2580" s="931"/>
      <c r="L2580" s="674">
        <v>0.78125</v>
      </c>
      <c r="M2580" s="437"/>
    </row>
    <row r="2581" spans="3:13" ht="17" x14ac:dyDescent="0.2">
      <c r="C2581" s="91"/>
      <c r="D2581" s="672">
        <v>45617</v>
      </c>
      <c r="E2581" s="439" t="s">
        <v>1071</v>
      </c>
      <c r="F2581" s="439" t="s">
        <v>931</v>
      </c>
      <c r="G2581" s="439" t="s">
        <v>345</v>
      </c>
      <c r="H2581" s="758">
        <v>0.58333333333333337</v>
      </c>
      <c r="I2581" s="929"/>
      <c r="J2581" s="930"/>
      <c r="K2581" s="931"/>
      <c r="L2581" s="674">
        <v>0.8125</v>
      </c>
      <c r="M2581" s="426"/>
    </row>
    <row r="2582" spans="3:13" ht="17" x14ac:dyDescent="0.2">
      <c r="C2582" s="91"/>
      <c r="D2582" s="672">
        <v>45610</v>
      </c>
      <c r="E2582" s="439" t="s">
        <v>1015</v>
      </c>
      <c r="F2582" s="439" t="s">
        <v>381</v>
      </c>
      <c r="G2582" s="439" t="s">
        <v>413</v>
      </c>
      <c r="H2582" s="758">
        <v>0.58333333333333337</v>
      </c>
      <c r="I2582" s="929"/>
      <c r="J2582" s="930"/>
      <c r="K2582" s="931"/>
      <c r="L2582" s="674">
        <v>0.8125</v>
      </c>
      <c r="M2582" s="426"/>
    </row>
    <row r="2583" spans="3:13" ht="17" x14ac:dyDescent="0.2">
      <c r="C2583" s="91"/>
      <c r="D2583" s="672">
        <v>45603</v>
      </c>
      <c r="E2583" s="439" t="s">
        <v>413</v>
      </c>
      <c r="F2583" s="439" t="s">
        <v>1347</v>
      </c>
      <c r="G2583" s="439" t="s">
        <v>382</v>
      </c>
      <c r="H2583" s="758">
        <v>0.58333333333333337</v>
      </c>
      <c r="I2583" s="929"/>
      <c r="J2583" s="930"/>
      <c r="K2583" s="931"/>
      <c r="L2583" s="674">
        <v>0.8125</v>
      </c>
      <c r="M2583" s="426"/>
    </row>
    <row r="2584" spans="3:13" ht="18" thickBot="1" x14ac:dyDescent="0.25">
      <c r="C2584" s="91"/>
      <c r="D2584" s="672">
        <v>45596</v>
      </c>
      <c r="E2584" s="439" t="s">
        <v>932</v>
      </c>
      <c r="F2584" s="439" t="s">
        <v>321</v>
      </c>
      <c r="G2584" s="439" t="s">
        <v>579</v>
      </c>
      <c r="H2584" s="758">
        <v>0.58333333333333337</v>
      </c>
      <c r="I2584" s="932"/>
      <c r="J2584" s="933"/>
      <c r="K2584" s="934"/>
      <c r="L2584" s="674">
        <v>0.8125</v>
      </c>
      <c r="M2584" s="438"/>
    </row>
    <row r="2585" spans="3:13" ht="25" customHeight="1" thickBot="1" x14ac:dyDescent="0.25">
      <c r="C2585" s="91">
        <v>1</v>
      </c>
      <c r="D2585" s="663" t="s">
        <v>30</v>
      </c>
      <c r="E2585" s="917" t="s">
        <v>1513</v>
      </c>
      <c r="F2585" s="918"/>
      <c r="G2585" s="919"/>
      <c r="H2585" s="664" t="s">
        <v>790</v>
      </c>
      <c r="I2585" s="920" t="s">
        <v>633</v>
      </c>
      <c r="J2585" s="921"/>
      <c r="K2585" s="922"/>
      <c r="L2585" s="664" t="s">
        <v>430</v>
      </c>
      <c r="M2585" s="664" t="s">
        <v>431</v>
      </c>
    </row>
    <row r="2586" spans="3:13" ht="24" customHeight="1" x14ac:dyDescent="0.2">
      <c r="C2586" s="91"/>
      <c r="D2586" s="665" t="s">
        <v>432</v>
      </c>
      <c r="E2586" s="923"/>
      <c r="F2586" s="924"/>
      <c r="G2586" s="925"/>
      <c r="H2586" s="666" t="s">
        <v>906</v>
      </c>
      <c r="I2586" s="926" t="s">
        <v>1514</v>
      </c>
      <c r="J2586" s="927"/>
      <c r="K2586" s="928"/>
      <c r="L2586" s="667"/>
      <c r="M2586" s="425" t="s">
        <v>1513</v>
      </c>
    </row>
    <row r="2587" spans="3:13" ht="17" x14ac:dyDescent="0.2">
      <c r="C2587" s="91"/>
      <c r="D2587" s="668" t="s">
        <v>433</v>
      </c>
      <c r="E2587" s="935">
        <v>2.75E-2</v>
      </c>
      <c r="F2587" s="936"/>
      <c r="G2587" s="937"/>
      <c r="H2587" s="424" t="s">
        <v>907</v>
      </c>
      <c r="I2587" s="929"/>
      <c r="J2587" s="930"/>
      <c r="K2587" s="931"/>
      <c r="L2587" s="667"/>
      <c r="M2587" s="426"/>
    </row>
    <row r="2588" spans="3:13" ht="17" x14ac:dyDescent="0.2">
      <c r="C2588" s="91"/>
      <c r="D2588" s="668" t="s">
        <v>434</v>
      </c>
      <c r="E2588" s="935">
        <v>0.03</v>
      </c>
      <c r="F2588" s="936"/>
      <c r="G2588" s="937"/>
      <c r="H2588" s="424"/>
      <c r="I2588" s="929"/>
      <c r="J2588" s="930"/>
      <c r="K2588" s="931"/>
      <c r="L2588" s="667"/>
      <c r="M2588" s="426"/>
    </row>
    <row r="2589" spans="3:13" ht="18" thickBot="1" x14ac:dyDescent="0.25">
      <c r="C2589" s="91"/>
      <c r="D2589" s="669" t="s">
        <v>435</v>
      </c>
      <c r="E2589" s="938">
        <v>0.55208333333333337</v>
      </c>
      <c r="F2589" s="939"/>
      <c r="G2589" s="940"/>
      <c r="H2589" s="427"/>
      <c r="I2589" s="929"/>
      <c r="J2589" s="930"/>
      <c r="K2589" s="931"/>
      <c r="L2589" s="428">
        <v>0.78125</v>
      </c>
      <c r="M2589" s="429">
        <v>0.63541666666666663</v>
      </c>
    </row>
    <row r="2590" spans="3:13" ht="18" thickBot="1" x14ac:dyDescent="0.25">
      <c r="C2590" s="91"/>
      <c r="D2590" s="670" t="s">
        <v>436</v>
      </c>
      <c r="E2590" s="430" t="s">
        <v>29</v>
      </c>
      <c r="F2590" s="430" t="s">
        <v>28</v>
      </c>
      <c r="G2590" s="431" t="s">
        <v>27</v>
      </c>
      <c r="H2590" s="432" t="s">
        <v>793</v>
      </c>
      <c r="I2590" s="929"/>
      <c r="J2590" s="930"/>
      <c r="K2590" s="931"/>
      <c r="L2590" s="671" t="s">
        <v>1246</v>
      </c>
      <c r="M2590" s="433"/>
    </row>
    <row r="2591" spans="3:13" ht="17" x14ac:dyDescent="0.2">
      <c r="C2591" s="91"/>
      <c r="D2591" s="672">
        <v>45638</v>
      </c>
      <c r="E2591" s="439">
        <v>0.03</v>
      </c>
      <c r="F2591" s="439" t="s">
        <v>1548</v>
      </c>
      <c r="G2591" s="439">
        <v>3.2500000000000001E-2</v>
      </c>
      <c r="H2591" s="758">
        <v>0.55208333333333337</v>
      </c>
      <c r="I2591" s="929"/>
      <c r="J2591" s="930"/>
      <c r="K2591" s="931"/>
      <c r="L2591" s="674">
        <v>0.78125</v>
      </c>
      <c r="M2591" s="436"/>
    </row>
    <row r="2592" spans="3:13" ht="17" x14ac:dyDescent="0.2">
      <c r="C2592" s="91"/>
      <c r="D2592" s="672">
        <v>45582</v>
      </c>
      <c r="E2592" s="439">
        <v>3.2500000000000001E-2</v>
      </c>
      <c r="F2592" s="439" t="s">
        <v>1542</v>
      </c>
      <c r="G2592" s="439">
        <v>3.5000000000000003E-2</v>
      </c>
      <c r="H2592" s="758">
        <v>0.55208333333333337</v>
      </c>
      <c r="I2592" s="929"/>
      <c r="J2592" s="930"/>
      <c r="K2592" s="931"/>
      <c r="L2592" s="674">
        <v>0.78125</v>
      </c>
      <c r="M2592" s="437"/>
    </row>
    <row r="2593" spans="3:13" ht="17" x14ac:dyDescent="0.2">
      <c r="C2593" s="91"/>
      <c r="D2593" s="672">
        <v>45547</v>
      </c>
      <c r="E2593" s="439">
        <v>3.5000000000000003E-2</v>
      </c>
      <c r="F2593" s="439" t="s">
        <v>1549</v>
      </c>
      <c r="G2593" s="439">
        <v>3.7499999999999999E-2</v>
      </c>
      <c r="H2593" s="758">
        <v>0.58333333333333337</v>
      </c>
      <c r="I2593" s="929"/>
      <c r="J2593" s="930"/>
      <c r="K2593" s="931"/>
      <c r="L2593" s="674">
        <v>0.8125</v>
      </c>
      <c r="M2593" s="426"/>
    </row>
    <row r="2594" spans="3:13" ht="17" x14ac:dyDescent="0.2">
      <c r="C2594" s="91"/>
      <c r="D2594" s="672">
        <v>45491</v>
      </c>
      <c r="E2594" s="439">
        <v>3.7499999999999999E-2</v>
      </c>
      <c r="F2594" s="439" t="s">
        <v>1543</v>
      </c>
      <c r="G2594" s="439">
        <v>3.7499999999999999E-2</v>
      </c>
      <c r="H2594" s="758">
        <v>0.58333333333333337</v>
      </c>
      <c r="I2594" s="929"/>
      <c r="J2594" s="930"/>
      <c r="K2594" s="931"/>
      <c r="L2594" s="674">
        <v>0.8125</v>
      </c>
      <c r="M2594" s="426"/>
    </row>
    <row r="2595" spans="3:13" ht="17" x14ac:dyDescent="0.2">
      <c r="C2595" s="91"/>
      <c r="D2595" s="672">
        <v>45449</v>
      </c>
      <c r="E2595" s="439">
        <v>3.7499999999999999E-2</v>
      </c>
      <c r="F2595" s="439" t="s">
        <v>1543</v>
      </c>
      <c r="G2595" s="439">
        <v>0.04</v>
      </c>
      <c r="H2595" s="758">
        <v>0.58333333333333337</v>
      </c>
      <c r="I2595" s="929"/>
      <c r="J2595" s="930"/>
      <c r="K2595" s="931"/>
      <c r="L2595" s="674">
        <v>0.8125</v>
      </c>
      <c r="M2595" s="426"/>
    </row>
    <row r="2596" spans="3:13" ht="18" thickBot="1" x14ac:dyDescent="0.25">
      <c r="C2596" s="91"/>
      <c r="D2596" s="672">
        <v>45393</v>
      </c>
      <c r="E2596" s="439">
        <v>0.04</v>
      </c>
      <c r="F2596" s="439" t="s">
        <v>1550</v>
      </c>
      <c r="G2596" s="439">
        <v>0.04</v>
      </c>
      <c r="H2596" s="758">
        <v>0.58333333333333337</v>
      </c>
      <c r="I2596" s="932"/>
      <c r="J2596" s="933"/>
      <c r="K2596" s="934"/>
      <c r="L2596" s="674">
        <v>0.8125</v>
      </c>
      <c r="M2596" s="438"/>
    </row>
    <row r="2597" spans="3:13" ht="25" customHeight="1" thickBot="1" x14ac:dyDescent="0.25">
      <c r="C2597" s="91">
        <v>1</v>
      </c>
      <c r="D2597" s="663" t="s">
        <v>30</v>
      </c>
      <c r="E2597" s="917" t="s">
        <v>1515</v>
      </c>
      <c r="F2597" s="918"/>
      <c r="G2597" s="919"/>
      <c r="H2597" s="664" t="s">
        <v>790</v>
      </c>
      <c r="I2597" s="920" t="s">
        <v>633</v>
      </c>
      <c r="J2597" s="921"/>
      <c r="K2597" s="922"/>
      <c r="L2597" s="664" t="s">
        <v>430</v>
      </c>
      <c r="M2597" s="664" t="s">
        <v>431</v>
      </c>
    </row>
    <row r="2598" spans="3:13" ht="24" customHeight="1" x14ac:dyDescent="0.2">
      <c r="C2598" s="91"/>
      <c r="D2598" s="665" t="s">
        <v>432</v>
      </c>
      <c r="E2598" s="923"/>
      <c r="F2598" s="924"/>
      <c r="G2598" s="925"/>
      <c r="H2598" s="666" t="s">
        <v>906</v>
      </c>
      <c r="I2598" s="926" t="s">
        <v>1514</v>
      </c>
      <c r="J2598" s="927"/>
      <c r="K2598" s="928"/>
      <c r="L2598" s="667"/>
      <c r="M2598" s="425" t="s">
        <v>1515</v>
      </c>
    </row>
    <row r="2599" spans="3:13" ht="17" x14ac:dyDescent="0.2">
      <c r="C2599" s="91"/>
      <c r="D2599" s="668" t="s">
        <v>433</v>
      </c>
      <c r="E2599" s="935">
        <v>2.9000000000000001E-2</v>
      </c>
      <c r="F2599" s="936"/>
      <c r="G2599" s="937"/>
      <c r="H2599" s="424" t="s">
        <v>907</v>
      </c>
      <c r="I2599" s="929"/>
      <c r="J2599" s="930"/>
      <c r="K2599" s="931"/>
      <c r="L2599" s="667"/>
      <c r="M2599" s="426"/>
    </row>
    <row r="2600" spans="3:13" ht="17" x14ac:dyDescent="0.2">
      <c r="C2600" s="91"/>
      <c r="D2600" s="668" t="s">
        <v>434</v>
      </c>
      <c r="E2600" s="935">
        <v>3.15E-2</v>
      </c>
      <c r="F2600" s="936"/>
      <c r="G2600" s="937"/>
      <c r="H2600" s="424"/>
      <c r="I2600" s="929"/>
      <c r="J2600" s="930"/>
      <c r="K2600" s="931"/>
      <c r="L2600" s="667"/>
      <c r="M2600" s="426"/>
    </row>
    <row r="2601" spans="3:13" ht="18" thickBot="1" x14ac:dyDescent="0.25">
      <c r="C2601" s="91"/>
      <c r="D2601" s="669" t="s">
        <v>435</v>
      </c>
      <c r="E2601" s="938">
        <v>0.55208333333333337</v>
      </c>
      <c r="F2601" s="939"/>
      <c r="G2601" s="940"/>
      <c r="H2601" s="427"/>
      <c r="I2601" s="929"/>
      <c r="J2601" s="930"/>
      <c r="K2601" s="931"/>
      <c r="L2601" s="428">
        <v>0.78125</v>
      </c>
      <c r="M2601" s="429">
        <v>0.63541666666666663</v>
      </c>
    </row>
    <row r="2602" spans="3:13" ht="18" thickBot="1" x14ac:dyDescent="0.25">
      <c r="C2602" s="91"/>
      <c r="D2602" s="670" t="s">
        <v>436</v>
      </c>
      <c r="E2602" s="430" t="s">
        <v>29</v>
      </c>
      <c r="F2602" s="430" t="s">
        <v>28</v>
      </c>
      <c r="G2602" s="431" t="s">
        <v>27</v>
      </c>
      <c r="H2602" s="432" t="s">
        <v>793</v>
      </c>
      <c r="I2602" s="929"/>
      <c r="J2602" s="930"/>
      <c r="K2602" s="931"/>
      <c r="L2602" s="671" t="s">
        <v>1246</v>
      </c>
      <c r="M2602" s="433"/>
    </row>
    <row r="2603" spans="3:13" ht="17" x14ac:dyDescent="0.2">
      <c r="C2603" s="91"/>
      <c r="D2603" s="672">
        <v>45638</v>
      </c>
      <c r="E2603" s="439">
        <v>3.15E-2</v>
      </c>
      <c r="F2603" s="439" t="s">
        <v>1551</v>
      </c>
      <c r="G2603" s="439">
        <v>3.4000000000000002E-2</v>
      </c>
      <c r="H2603" s="758">
        <v>0.55208333333333337</v>
      </c>
      <c r="I2603" s="929"/>
      <c r="J2603" s="930"/>
      <c r="K2603" s="931"/>
      <c r="L2603" s="674">
        <v>0.78125</v>
      </c>
      <c r="M2603" s="436"/>
    </row>
    <row r="2604" spans="3:13" ht="17" x14ac:dyDescent="0.2">
      <c r="C2604" s="91"/>
      <c r="D2604" s="672">
        <v>45582</v>
      </c>
      <c r="E2604" s="439">
        <v>3.4000000000000002E-2</v>
      </c>
      <c r="F2604" s="439" t="s">
        <v>1552</v>
      </c>
      <c r="G2604" s="439">
        <v>3.6499999999999998E-2</v>
      </c>
      <c r="H2604" s="758">
        <v>0.55208333333333337</v>
      </c>
      <c r="I2604" s="929"/>
      <c r="J2604" s="930"/>
      <c r="K2604" s="931"/>
      <c r="L2604" s="674">
        <v>0.78125</v>
      </c>
      <c r="M2604" s="437"/>
    </row>
    <row r="2605" spans="3:13" ht="17" x14ac:dyDescent="0.2">
      <c r="C2605" s="91"/>
      <c r="D2605" s="672">
        <v>45547</v>
      </c>
      <c r="E2605" s="439">
        <v>3.6499999999999998E-2</v>
      </c>
      <c r="F2605" s="439" t="s">
        <v>1553</v>
      </c>
      <c r="G2605" s="439">
        <v>4.2500000000000003E-2</v>
      </c>
      <c r="H2605" s="758">
        <v>0.58333333333333337</v>
      </c>
      <c r="I2605" s="929"/>
      <c r="J2605" s="930"/>
      <c r="K2605" s="931"/>
      <c r="L2605" s="674">
        <v>0.8125</v>
      </c>
      <c r="M2605" s="426"/>
    </row>
    <row r="2606" spans="3:13" ht="17" x14ac:dyDescent="0.2">
      <c r="C2606" s="91"/>
      <c r="D2606" s="672">
        <v>45491</v>
      </c>
      <c r="E2606" s="439">
        <v>4.2500000000000003E-2</v>
      </c>
      <c r="F2606" s="439" t="s">
        <v>723</v>
      </c>
      <c r="G2606" s="439">
        <v>4.2500000000000003E-2</v>
      </c>
      <c r="H2606" s="758">
        <v>0.58333333333333337</v>
      </c>
      <c r="I2606" s="929"/>
      <c r="J2606" s="930"/>
      <c r="K2606" s="931"/>
      <c r="L2606" s="674">
        <v>0.8125</v>
      </c>
      <c r="M2606" s="426"/>
    </row>
    <row r="2607" spans="3:13" ht="17" x14ac:dyDescent="0.2">
      <c r="C2607" s="91"/>
      <c r="D2607" s="672">
        <v>45449</v>
      </c>
      <c r="E2607" s="439">
        <v>4.2500000000000003E-2</v>
      </c>
      <c r="F2607" s="439" t="s">
        <v>723</v>
      </c>
      <c r="G2607" s="439">
        <v>4.4999999999999998E-2</v>
      </c>
      <c r="H2607" s="758">
        <v>0.58333333333333337</v>
      </c>
      <c r="I2607" s="929"/>
      <c r="J2607" s="930"/>
      <c r="K2607" s="931"/>
      <c r="L2607" s="674">
        <v>0.8125</v>
      </c>
      <c r="M2607" s="426"/>
    </row>
    <row r="2608" spans="3:13" ht="18" thickBot="1" x14ac:dyDescent="0.25">
      <c r="C2608" s="91"/>
      <c r="D2608" s="672">
        <v>45393</v>
      </c>
      <c r="E2608" s="439">
        <v>4.4999999999999998E-2</v>
      </c>
      <c r="F2608" s="439" t="s">
        <v>725</v>
      </c>
      <c r="G2608" s="439">
        <v>4.4999999999999998E-2</v>
      </c>
      <c r="H2608" s="758">
        <v>0.58333333333333337</v>
      </c>
      <c r="I2608" s="932"/>
      <c r="J2608" s="933"/>
      <c r="K2608" s="934"/>
      <c r="L2608" s="674">
        <v>0.8125</v>
      </c>
      <c r="M2608" s="438"/>
    </row>
    <row r="2609" spans="3:13" ht="25" customHeight="1" thickBot="1" x14ac:dyDescent="0.25">
      <c r="C2609" s="91">
        <v>1</v>
      </c>
      <c r="D2609" s="663" t="s">
        <v>30</v>
      </c>
      <c r="E2609" s="917" t="s">
        <v>1516</v>
      </c>
      <c r="F2609" s="918"/>
      <c r="G2609" s="919"/>
      <c r="H2609" s="664" t="s">
        <v>790</v>
      </c>
      <c r="I2609" s="920" t="s">
        <v>633</v>
      </c>
      <c r="J2609" s="921"/>
      <c r="K2609" s="922"/>
      <c r="L2609" s="664" t="s">
        <v>430</v>
      </c>
      <c r="M2609" s="664" t="s">
        <v>431</v>
      </c>
    </row>
    <row r="2610" spans="3:13" ht="24" customHeight="1" x14ac:dyDescent="0.2">
      <c r="C2610" s="91"/>
      <c r="D2610" s="665" t="s">
        <v>432</v>
      </c>
      <c r="E2610" s="923"/>
      <c r="F2610" s="924"/>
      <c r="G2610" s="925"/>
      <c r="H2610" s="666" t="s">
        <v>906</v>
      </c>
      <c r="I2610" s="926" t="s">
        <v>1517</v>
      </c>
      <c r="J2610" s="927"/>
      <c r="K2610" s="928"/>
      <c r="L2610" s="667"/>
      <c r="M2610" s="425" t="s">
        <v>1516</v>
      </c>
    </row>
    <row r="2611" spans="3:13" ht="17" x14ac:dyDescent="0.2">
      <c r="C2611" s="91"/>
      <c r="D2611" s="668" t="s">
        <v>433</v>
      </c>
      <c r="E2611" s="935">
        <v>0</v>
      </c>
      <c r="F2611" s="936"/>
      <c r="G2611" s="937"/>
      <c r="H2611" s="424" t="s">
        <v>907</v>
      </c>
      <c r="I2611" s="929"/>
      <c r="J2611" s="930"/>
      <c r="K2611" s="931"/>
      <c r="L2611" s="667"/>
      <c r="M2611" s="426"/>
    </row>
    <row r="2612" spans="3:13" ht="17" x14ac:dyDescent="0.2">
      <c r="C2612" s="91"/>
      <c r="D2612" s="668" t="s">
        <v>434</v>
      </c>
      <c r="E2612" s="935">
        <v>3.1E-2</v>
      </c>
      <c r="F2612" s="936"/>
      <c r="G2612" s="937"/>
      <c r="H2612" s="424"/>
      <c r="I2612" s="929"/>
      <c r="J2612" s="930"/>
      <c r="K2612" s="931"/>
      <c r="L2612" s="667"/>
      <c r="M2612" s="426"/>
    </row>
    <row r="2613" spans="3:13" ht="18" thickBot="1" x14ac:dyDescent="0.25">
      <c r="C2613" s="91"/>
      <c r="D2613" s="669" t="s">
        <v>435</v>
      </c>
      <c r="E2613" s="938">
        <v>0.5625</v>
      </c>
      <c r="F2613" s="939"/>
      <c r="G2613" s="940"/>
      <c r="H2613" s="427"/>
      <c r="I2613" s="929"/>
      <c r="J2613" s="930"/>
      <c r="K2613" s="931"/>
      <c r="L2613" s="428">
        <v>0.79166666666666663</v>
      </c>
      <c r="M2613" s="429">
        <v>0.64583333333333326</v>
      </c>
    </row>
    <row r="2614" spans="3:13" ht="18" thickBot="1" x14ac:dyDescent="0.25">
      <c r="C2614" s="91"/>
      <c r="D2614" s="670" t="s">
        <v>436</v>
      </c>
      <c r="E2614" s="430" t="s">
        <v>29</v>
      </c>
      <c r="F2614" s="430" t="s">
        <v>28</v>
      </c>
      <c r="G2614" s="431" t="s">
        <v>27</v>
      </c>
      <c r="H2614" s="432" t="s">
        <v>793</v>
      </c>
      <c r="I2614" s="929"/>
      <c r="J2614" s="930"/>
      <c r="K2614" s="931"/>
      <c r="L2614" s="671" t="s">
        <v>1246</v>
      </c>
      <c r="M2614" s="433"/>
    </row>
    <row r="2615" spans="3:13" ht="17" x14ac:dyDescent="0.2">
      <c r="C2615" s="91"/>
      <c r="D2615" s="672">
        <v>45645</v>
      </c>
      <c r="E2615" s="439">
        <v>3.1E-2</v>
      </c>
      <c r="F2615" s="439" t="s">
        <v>666</v>
      </c>
      <c r="G2615" s="439">
        <v>0.03</v>
      </c>
      <c r="H2615" s="758">
        <v>0.5625</v>
      </c>
      <c r="I2615" s="929"/>
      <c r="J2615" s="930"/>
      <c r="K2615" s="931"/>
      <c r="L2615" s="674">
        <v>0.79166666666666663</v>
      </c>
      <c r="M2615" s="436"/>
    </row>
    <row r="2616" spans="3:13" ht="17" x14ac:dyDescent="0.2">
      <c r="C2616" s="91"/>
      <c r="D2616" s="672">
        <v>45623</v>
      </c>
      <c r="E2616" s="439">
        <v>2.8000000000000001E-2</v>
      </c>
      <c r="F2616" s="439" t="s">
        <v>666</v>
      </c>
      <c r="G2616" s="439">
        <v>0.03</v>
      </c>
      <c r="H2616" s="758">
        <v>0.5625</v>
      </c>
      <c r="I2616" s="929"/>
      <c r="J2616" s="930"/>
      <c r="K2616" s="931"/>
      <c r="L2616" s="674">
        <v>0.79166666666666663</v>
      </c>
      <c r="M2616" s="437"/>
    </row>
    <row r="2617" spans="3:13" ht="17" x14ac:dyDescent="0.2">
      <c r="C2617" s="91"/>
      <c r="D2617" s="672">
        <v>45595</v>
      </c>
      <c r="E2617" s="439">
        <v>2.8000000000000001E-2</v>
      </c>
      <c r="F2617" s="439" t="s">
        <v>669</v>
      </c>
      <c r="G2617" s="439">
        <v>0.03</v>
      </c>
      <c r="H2617" s="758">
        <v>0.58333333333333337</v>
      </c>
      <c r="I2617" s="929"/>
      <c r="J2617" s="930"/>
      <c r="K2617" s="931"/>
      <c r="L2617" s="674">
        <v>0.8125</v>
      </c>
      <c r="M2617" s="426"/>
    </row>
    <row r="2618" spans="3:13" ht="17" x14ac:dyDescent="0.2">
      <c r="C2618" s="91"/>
      <c r="D2618" s="672">
        <v>45561</v>
      </c>
      <c r="E2618" s="439">
        <v>0.03</v>
      </c>
      <c r="F2618" s="439" t="s">
        <v>669</v>
      </c>
      <c r="G2618" s="439">
        <v>1.6E-2</v>
      </c>
      <c r="H2618" s="758">
        <v>0.58333333333333337</v>
      </c>
      <c r="I2618" s="929"/>
      <c r="J2618" s="930"/>
      <c r="K2618" s="931"/>
      <c r="L2618" s="674">
        <v>0.8125</v>
      </c>
      <c r="M2618" s="426"/>
    </row>
    <row r="2619" spans="3:13" ht="17" x14ac:dyDescent="0.2">
      <c r="C2619" s="91"/>
      <c r="D2619" s="672">
        <v>45533</v>
      </c>
      <c r="E2619" s="439">
        <v>0.03</v>
      </c>
      <c r="F2619" s="439" t="s">
        <v>666</v>
      </c>
      <c r="G2619" s="439">
        <v>1.4E-2</v>
      </c>
      <c r="H2619" s="758">
        <v>0.58333333333333337</v>
      </c>
      <c r="I2619" s="929"/>
      <c r="J2619" s="930"/>
      <c r="K2619" s="931"/>
      <c r="L2619" s="674">
        <v>0.8125</v>
      </c>
      <c r="M2619" s="426"/>
    </row>
    <row r="2620" spans="3:13" ht="18" thickBot="1" x14ac:dyDescent="0.25">
      <c r="C2620" s="91"/>
      <c r="D2620" s="672">
        <v>45498</v>
      </c>
      <c r="E2620" s="439">
        <v>2.8000000000000001E-2</v>
      </c>
      <c r="F2620" s="439" t="s">
        <v>788</v>
      </c>
      <c r="G2620" s="439">
        <v>1.4E-2</v>
      </c>
      <c r="H2620" s="758">
        <v>0.58333333333333337</v>
      </c>
      <c r="I2620" s="932"/>
      <c r="J2620" s="933"/>
      <c r="K2620" s="934"/>
      <c r="L2620" s="674">
        <v>0.8125</v>
      </c>
      <c r="M2620" s="438"/>
    </row>
    <row r="2621" spans="3:13" ht="25" customHeight="1" thickBot="1" x14ac:dyDescent="0.25">
      <c r="C2621" s="91">
        <v>1</v>
      </c>
      <c r="D2621" s="663" t="s">
        <v>30</v>
      </c>
      <c r="E2621" s="917" t="s">
        <v>1421</v>
      </c>
      <c r="F2621" s="918"/>
      <c r="G2621" s="919"/>
      <c r="H2621" s="664" t="s">
        <v>790</v>
      </c>
      <c r="I2621" s="920" t="s">
        <v>633</v>
      </c>
      <c r="J2621" s="921"/>
      <c r="K2621" s="922"/>
      <c r="L2621" s="664" t="s">
        <v>430</v>
      </c>
      <c r="M2621" s="664" t="s">
        <v>431</v>
      </c>
    </row>
    <row r="2622" spans="3:13" ht="24" customHeight="1" x14ac:dyDescent="0.2">
      <c r="C2622" s="91"/>
      <c r="D2622" s="665" t="s">
        <v>432</v>
      </c>
      <c r="E2622" s="923"/>
      <c r="F2622" s="924"/>
      <c r="G2622" s="925"/>
      <c r="H2622" s="666" t="s">
        <v>906</v>
      </c>
      <c r="I2622" s="926" t="s">
        <v>1518</v>
      </c>
      <c r="J2622" s="927"/>
      <c r="K2622" s="928"/>
      <c r="L2622" s="667"/>
      <c r="M2622" s="425" t="s">
        <v>1421</v>
      </c>
    </row>
    <row r="2623" spans="3:13" ht="17" x14ac:dyDescent="0.2">
      <c r="C2623" s="91"/>
      <c r="D2623" s="668" t="s">
        <v>433</v>
      </c>
      <c r="E2623" s="935">
        <v>0</v>
      </c>
      <c r="F2623" s="936"/>
      <c r="G2623" s="937"/>
      <c r="H2623" s="424" t="s">
        <v>907</v>
      </c>
      <c r="I2623" s="929"/>
      <c r="J2623" s="930"/>
      <c r="K2623" s="931"/>
      <c r="L2623" s="667"/>
      <c r="M2623" s="426"/>
    </row>
    <row r="2624" spans="3:13" ht="17" x14ac:dyDescent="0.2">
      <c r="C2624" s="91"/>
      <c r="D2624" s="668" t="s">
        <v>434</v>
      </c>
      <c r="E2624" s="935" t="s">
        <v>1347</v>
      </c>
      <c r="F2624" s="936"/>
      <c r="G2624" s="937"/>
      <c r="H2624" s="424"/>
      <c r="I2624" s="929"/>
      <c r="J2624" s="930"/>
      <c r="K2624" s="931"/>
      <c r="L2624" s="667"/>
      <c r="M2624" s="426"/>
    </row>
    <row r="2625" spans="3:13" ht="18" thickBot="1" x14ac:dyDescent="0.25">
      <c r="C2625" s="91"/>
      <c r="D2625" s="669" t="s">
        <v>435</v>
      </c>
      <c r="E2625" s="938">
        <v>0.5625</v>
      </c>
      <c r="F2625" s="939"/>
      <c r="G2625" s="940"/>
      <c r="H2625" s="427"/>
      <c r="I2625" s="929"/>
      <c r="J2625" s="930"/>
      <c r="K2625" s="931"/>
      <c r="L2625" s="428">
        <v>0.79166666666666663</v>
      </c>
      <c r="M2625" s="429">
        <v>0.64583333333333326</v>
      </c>
    </row>
    <row r="2626" spans="3:13" ht="18" thickBot="1" x14ac:dyDescent="0.25">
      <c r="C2626" s="91"/>
      <c r="D2626" s="670" t="s">
        <v>436</v>
      </c>
      <c r="E2626" s="430" t="s">
        <v>29</v>
      </c>
      <c r="F2626" s="430" t="s">
        <v>28</v>
      </c>
      <c r="G2626" s="431" t="s">
        <v>27</v>
      </c>
      <c r="H2626" s="432" t="s">
        <v>793</v>
      </c>
      <c r="I2626" s="929"/>
      <c r="J2626" s="930"/>
      <c r="K2626" s="931"/>
      <c r="L2626" s="671" t="s">
        <v>1246</v>
      </c>
      <c r="M2626" s="433"/>
    </row>
    <row r="2627" spans="3:13" ht="17" x14ac:dyDescent="0.2">
      <c r="C2627" s="91"/>
      <c r="D2627" s="672">
        <v>45680</v>
      </c>
      <c r="E2627" s="439" t="s">
        <v>973</v>
      </c>
      <c r="F2627" s="439" t="s">
        <v>972</v>
      </c>
      <c r="G2627" s="439" t="s">
        <v>1031</v>
      </c>
      <c r="H2627" s="758">
        <v>0.5625</v>
      </c>
      <c r="I2627" s="929"/>
      <c r="J2627" s="930"/>
      <c r="K2627" s="931"/>
      <c r="L2627" s="674">
        <v>0.79166666666666663</v>
      </c>
      <c r="M2627" s="436"/>
    </row>
    <row r="2628" spans="3:13" ht="17" x14ac:dyDescent="0.2">
      <c r="C2628" s="91"/>
      <c r="D2628" s="672">
        <v>45673</v>
      </c>
      <c r="E2628" s="439" t="s">
        <v>1031</v>
      </c>
      <c r="F2628" s="439" t="s">
        <v>1554</v>
      </c>
      <c r="G2628" s="439" t="s">
        <v>1555</v>
      </c>
      <c r="H2628" s="758">
        <v>0.5625</v>
      </c>
      <c r="I2628" s="929"/>
      <c r="J2628" s="930"/>
      <c r="K2628" s="931"/>
      <c r="L2628" s="674">
        <v>0.79166666666666663</v>
      </c>
      <c r="M2628" s="437"/>
    </row>
    <row r="2629" spans="3:13" ht="17" x14ac:dyDescent="0.2">
      <c r="C2629" s="91"/>
      <c r="D2629" s="672">
        <v>45665</v>
      </c>
      <c r="E2629" s="439" t="s">
        <v>1438</v>
      </c>
      <c r="F2629" s="439" t="s">
        <v>1439</v>
      </c>
      <c r="G2629" s="439" t="s">
        <v>1440</v>
      </c>
      <c r="H2629" s="758">
        <v>0.58333333333333337</v>
      </c>
      <c r="I2629" s="929"/>
      <c r="J2629" s="930"/>
      <c r="K2629" s="931"/>
      <c r="L2629" s="674">
        <v>0.8125</v>
      </c>
      <c r="M2629" s="426"/>
    </row>
    <row r="2630" spans="3:13" ht="17" x14ac:dyDescent="0.2">
      <c r="C2630" s="91"/>
      <c r="D2630" s="672">
        <v>45659</v>
      </c>
      <c r="E2630" s="439" t="s">
        <v>1440</v>
      </c>
      <c r="F2630" s="439" t="s">
        <v>986</v>
      </c>
      <c r="G2630" s="439" t="s">
        <v>1112</v>
      </c>
      <c r="H2630" s="758">
        <v>0.58333333333333337</v>
      </c>
      <c r="I2630" s="929"/>
      <c r="J2630" s="930"/>
      <c r="K2630" s="931"/>
      <c r="L2630" s="674">
        <v>0.8125</v>
      </c>
      <c r="M2630" s="426"/>
    </row>
    <row r="2631" spans="3:13" ht="17" x14ac:dyDescent="0.2">
      <c r="C2631" s="91"/>
      <c r="D2631" s="672">
        <v>45652</v>
      </c>
      <c r="E2631" s="439" t="s">
        <v>987</v>
      </c>
      <c r="F2631" s="439" t="s">
        <v>973</v>
      </c>
      <c r="G2631" s="439" t="s">
        <v>1112</v>
      </c>
      <c r="H2631" s="758">
        <v>0.58333333333333337</v>
      </c>
      <c r="I2631" s="929"/>
      <c r="J2631" s="930"/>
      <c r="K2631" s="931"/>
      <c r="L2631" s="674">
        <v>0.8125</v>
      </c>
      <c r="M2631" s="426"/>
    </row>
    <row r="2632" spans="3:13" ht="18" thickBot="1" x14ac:dyDescent="0.25">
      <c r="C2632" s="91"/>
      <c r="D2632" s="672">
        <v>45645</v>
      </c>
      <c r="E2632" s="439" t="s">
        <v>1112</v>
      </c>
      <c r="F2632" s="439" t="s">
        <v>976</v>
      </c>
      <c r="G2632" s="439" t="s">
        <v>980</v>
      </c>
      <c r="H2632" s="758">
        <v>0.58333333333333337</v>
      </c>
      <c r="I2632" s="932"/>
      <c r="J2632" s="933"/>
      <c r="K2632" s="934"/>
      <c r="L2632" s="674">
        <v>0.8125</v>
      </c>
      <c r="M2632" s="438"/>
    </row>
    <row r="2633" spans="3:13" ht="25" customHeight="1" thickBot="1" x14ac:dyDescent="0.25">
      <c r="C2633" s="91">
        <v>1</v>
      </c>
      <c r="D2633" s="663" t="s">
        <v>30</v>
      </c>
      <c r="E2633" s="917" t="s">
        <v>1519</v>
      </c>
      <c r="F2633" s="918"/>
      <c r="G2633" s="919"/>
      <c r="H2633" s="664" t="s">
        <v>790</v>
      </c>
      <c r="I2633" s="920" t="s">
        <v>633</v>
      </c>
      <c r="J2633" s="921"/>
      <c r="K2633" s="922"/>
      <c r="L2633" s="664" t="s">
        <v>430</v>
      </c>
      <c r="M2633" s="664" t="s">
        <v>431</v>
      </c>
    </row>
    <row r="2634" spans="3:13" ht="24" customHeight="1" x14ac:dyDescent="0.2">
      <c r="C2634" s="91"/>
      <c r="D2634" s="665" t="s">
        <v>432</v>
      </c>
      <c r="E2634" s="923"/>
      <c r="F2634" s="924"/>
      <c r="G2634" s="925"/>
      <c r="H2634" s="666" t="s">
        <v>906</v>
      </c>
      <c r="I2634" s="926" t="s">
        <v>1514</v>
      </c>
      <c r="J2634" s="927"/>
      <c r="K2634" s="928"/>
      <c r="L2634" s="667"/>
      <c r="M2634" s="425" t="s">
        <v>1519</v>
      </c>
    </row>
    <row r="2635" spans="3:13" ht="17" x14ac:dyDescent="0.2">
      <c r="C2635" s="91"/>
      <c r="D2635" s="668" t="s">
        <v>433</v>
      </c>
      <c r="E2635" s="935">
        <v>0</v>
      </c>
      <c r="F2635" s="936"/>
      <c r="G2635" s="937"/>
      <c r="H2635" s="424" t="s">
        <v>907</v>
      </c>
      <c r="I2635" s="929"/>
      <c r="J2635" s="930"/>
      <c r="K2635" s="931"/>
      <c r="L2635" s="667"/>
      <c r="M2635" s="426"/>
    </row>
    <row r="2636" spans="3:13" ht="17" x14ac:dyDescent="0.2">
      <c r="C2636" s="91"/>
      <c r="D2636" s="668" t="s">
        <v>434</v>
      </c>
      <c r="E2636" s="935">
        <v>0</v>
      </c>
      <c r="F2636" s="936"/>
      <c r="G2636" s="937"/>
      <c r="H2636" s="424"/>
      <c r="I2636" s="929"/>
      <c r="J2636" s="930"/>
      <c r="K2636" s="931"/>
      <c r="L2636" s="667"/>
      <c r="M2636" s="426"/>
    </row>
    <row r="2637" spans="3:13" ht="18" thickBot="1" x14ac:dyDescent="0.25">
      <c r="C2637" s="91"/>
      <c r="D2637" s="669" t="s">
        <v>435</v>
      </c>
      <c r="E2637" s="938">
        <v>0.57291666666666674</v>
      </c>
      <c r="F2637" s="939"/>
      <c r="G2637" s="940"/>
      <c r="H2637" s="427"/>
      <c r="I2637" s="929"/>
      <c r="J2637" s="930"/>
      <c r="K2637" s="931"/>
      <c r="L2637" s="428">
        <v>0.80208333333333337</v>
      </c>
      <c r="M2637" s="429">
        <v>0.65625</v>
      </c>
    </row>
    <row r="2638" spans="3:13" ht="18" thickBot="1" x14ac:dyDescent="0.25">
      <c r="C2638" s="91"/>
      <c r="D2638" s="670" t="s">
        <v>436</v>
      </c>
      <c r="E2638" s="430" t="s">
        <v>29</v>
      </c>
      <c r="F2638" s="430" t="s">
        <v>28</v>
      </c>
      <c r="G2638" s="431" t="s">
        <v>27</v>
      </c>
      <c r="H2638" s="432" t="s">
        <v>793</v>
      </c>
      <c r="I2638" s="929"/>
      <c r="J2638" s="930"/>
      <c r="K2638" s="931"/>
      <c r="L2638" s="671" t="s">
        <v>1246</v>
      </c>
      <c r="M2638" s="433"/>
    </row>
    <row r="2639" spans="3:13" ht="17" x14ac:dyDescent="0.2">
      <c r="C2639" s="91"/>
      <c r="D2639" s="672">
        <v>45686</v>
      </c>
      <c r="E2639" s="439">
        <v>0</v>
      </c>
      <c r="F2639" s="439" t="s">
        <v>754</v>
      </c>
      <c r="G2639" s="439">
        <v>0</v>
      </c>
      <c r="H2639" s="758">
        <v>0.57291666666666674</v>
      </c>
      <c r="I2639" s="929"/>
      <c r="J2639" s="930"/>
      <c r="K2639" s="931"/>
      <c r="L2639" s="674">
        <v>0.80208333333333337</v>
      </c>
      <c r="M2639" s="436"/>
    </row>
    <row r="2640" spans="3:13" ht="17" x14ac:dyDescent="0.2">
      <c r="C2640" s="91"/>
      <c r="D2640" s="672">
        <v>45638</v>
      </c>
      <c r="E2640" s="439">
        <v>0</v>
      </c>
      <c r="F2640" s="439" t="s">
        <v>754</v>
      </c>
      <c r="G2640" s="439">
        <v>0</v>
      </c>
      <c r="H2640" s="758">
        <v>0.57291666666666674</v>
      </c>
      <c r="I2640" s="929"/>
      <c r="J2640" s="930"/>
      <c r="K2640" s="931"/>
      <c r="L2640" s="674">
        <v>0.80208333333333337</v>
      </c>
      <c r="M2640" s="437"/>
    </row>
    <row r="2641" spans="3:13" ht="17" x14ac:dyDescent="0.2">
      <c r="C2641" s="91"/>
      <c r="D2641" s="672">
        <v>45582</v>
      </c>
      <c r="E2641" s="439">
        <v>0</v>
      </c>
      <c r="F2641" s="439" t="s">
        <v>754</v>
      </c>
      <c r="G2641" s="439">
        <v>0</v>
      </c>
      <c r="H2641" s="758">
        <v>0.58333333333333337</v>
      </c>
      <c r="I2641" s="929"/>
      <c r="J2641" s="930"/>
      <c r="K2641" s="931"/>
      <c r="L2641" s="674">
        <v>0.8125</v>
      </c>
      <c r="M2641" s="426"/>
    </row>
    <row r="2642" spans="3:13" ht="17" x14ac:dyDescent="0.2">
      <c r="C2642" s="91"/>
      <c r="D2642" s="672">
        <v>45547</v>
      </c>
      <c r="E2642" s="439">
        <v>0</v>
      </c>
      <c r="F2642" s="439" t="s">
        <v>754</v>
      </c>
      <c r="G2642" s="439">
        <v>0</v>
      </c>
      <c r="H2642" s="758">
        <v>0.58333333333333337</v>
      </c>
      <c r="I2642" s="929"/>
      <c r="J2642" s="930"/>
      <c r="K2642" s="931"/>
      <c r="L2642" s="674">
        <v>0.8125</v>
      </c>
      <c r="M2642" s="426"/>
    </row>
    <row r="2643" spans="3:13" ht="17" x14ac:dyDescent="0.2">
      <c r="C2643" s="91"/>
      <c r="D2643" s="672">
        <v>45491</v>
      </c>
      <c r="E2643" s="439">
        <v>0</v>
      </c>
      <c r="F2643" s="439" t="s">
        <v>754</v>
      </c>
      <c r="G2643" s="439">
        <v>0</v>
      </c>
      <c r="H2643" s="758">
        <v>0.58333333333333337</v>
      </c>
      <c r="I2643" s="929"/>
      <c r="J2643" s="930"/>
      <c r="K2643" s="931"/>
      <c r="L2643" s="674">
        <v>0.8125</v>
      </c>
      <c r="M2643" s="426"/>
    </row>
    <row r="2644" spans="3:13" ht="18" thickBot="1" x14ac:dyDescent="0.25">
      <c r="C2644" s="91"/>
      <c r="D2644" s="672">
        <v>45449</v>
      </c>
      <c r="E2644" s="439">
        <v>0</v>
      </c>
      <c r="F2644" s="439" t="s">
        <v>754</v>
      </c>
      <c r="G2644" s="439">
        <v>0</v>
      </c>
      <c r="H2644" s="758">
        <v>0.58333333333333337</v>
      </c>
      <c r="I2644" s="932"/>
      <c r="J2644" s="933"/>
      <c r="K2644" s="934"/>
      <c r="L2644" s="674">
        <v>0.8125</v>
      </c>
      <c r="M2644" s="438"/>
    </row>
    <row r="2645" spans="3:13" ht="25" customHeight="1" thickBot="1" x14ac:dyDescent="0.25">
      <c r="C2645" s="91">
        <v>1</v>
      </c>
      <c r="D2645" s="663" t="s">
        <v>30</v>
      </c>
      <c r="E2645" s="917" t="s">
        <v>1521</v>
      </c>
      <c r="F2645" s="918"/>
      <c r="G2645" s="919"/>
      <c r="H2645" s="664" t="s">
        <v>790</v>
      </c>
      <c r="I2645" s="920" t="s">
        <v>633</v>
      </c>
      <c r="J2645" s="921"/>
      <c r="K2645" s="922"/>
      <c r="L2645" s="664" t="s">
        <v>430</v>
      </c>
      <c r="M2645" s="664" t="s">
        <v>431</v>
      </c>
    </row>
    <row r="2646" spans="3:13" ht="24" customHeight="1" x14ac:dyDescent="0.2">
      <c r="C2646" s="91"/>
      <c r="D2646" s="665" t="s">
        <v>432</v>
      </c>
      <c r="E2646" s="923"/>
      <c r="F2646" s="924"/>
      <c r="G2646" s="925"/>
      <c r="H2646" s="666" t="s">
        <v>906</v>
      </c>
      <c r="I2646" s="926" t="s">
        <v>1522</v>
      </c>
      <c r="J2646" s="927"/>
      <c r="K2646" s="928"/>
      <c r="L2646" s="667"/>
      <c r="M2646" s="425" t="s">
        <v>1521</v>
      </c>
    </row>
    <row r="2647" spans="3:13" ht="17" x14ac:dyDescent="0.2">
      <c r="C2647" s="91"/>
      <c r="D2647" s="668" t="s">
        <v>433</v>
      </c>
      <c r="E2647" s="935">
        <v>2.36</v>
      </c>
      <c r="F2647" s="936"/>
      <c r="G2647" s="937"/>
      <c r="H2647" s="424" t="s">
        <v>907</v>
      </c>
      <c r="I2647" s="929"/>
      <c r="J2647" s="930"/>
      <c r="K2647" s="931"/>
      <c r="L2647" s="667"/>
      <c r="M2647" s="426"/>
    </row>
    <row r="2648" spans="3:13" ht="17" x14ac:dyDescent="0.2">
      <c r="C2648" s="91"/>
      <c r="D2648" s="668" t="s">
        <v>434</v>
      </c>
      <c r="E2648" s="935">
        <v>2.1800000000000002</v>
      </c>
      <c r="F2648" s="936"/>
      <c r="G2648" s="937"/>
      <c r="H2648" s="424"/>
      <c r="I2648" s="929"/>
      <c r="J2648" s="930"/>
      <c r="K2648" s="931"/>
      <c r="L2648" s="667"/>
      <c r="M2648" s="426"/>
    </row>
    <row r="2649" spans="3:13" ht="18" thickBot="1" x14ac:dyDescent="0.25">
      <c r="C2649" s="91"/>
      <c r="D2649" s="669" t="s">
        <v>435</v>
      </c>
      <c r="E2649" s="938">
        <v>0.875</v>
      </c>
      <c r="F2649" s="939"/>
      <c r="G2649" s="940"/>
      <c r="H2649" s="427"/>
      <c r="I2649" s="929"/>
      <c r="J2649" s="930"/>
      <c r="K2649" s="931"/>
      <c r="L2649" s="428">
        <v>0.10416666666666667</v>
      </c>
      <c r="M2649" s="429">
        <v>0.95833333333333337</v>
      </c>
    </row>
    <row r="2650" spans="3:13" ht="18" thickBot="1" x14ac:dyDescent="0.25">
      <c r="C2650" s="91"/>
      <c r="D2650" s="670" t="s">
        <v>436</v>
      </c>
      <c r="E2650" s="430" t="s">
        <v>29</v>
      </c>
      <c r="F2650" s="430" t="s">
        <v>28</v>
      </c>
      <c r="G2650" s="431" t="s">
        <v>27</v>
      </c>
      <c r="H2650" s="432" t="s">
        <v>793</v>
      </c>
      <c r="I2650" s="929"/>
      <c r="J2650" s="930"/>
      <c r="K2650" s="931"/>
      <c r="L2650" s="671" t="s">
        <v>1246</v>
      </c>
      <c r="M2650" s="433"/>
    </row>
    <row r="2651" spans="3:13" x14ac:dyDescent="0.2">
      <c r="C2651" s="91"/>
      <c r="D2651" s="672">
        <v>45596</v>
      </c>
      <c r="E2651" s="439">
        <v>1.64</v>
      </c>
      <c r="F2651" s="439">
        <v>1.49</v>
      </c>
      <c r="G2651" s="439">
        <v>1.46</v>
      </c>
      <c r="H2651" s="758">
        <v>-0.12499999999999999</v>
      </c>
      <c r="I2651" s="929"/>
      <c r="J2651" s="930"/>
      <c r="K2651" s="931"/>
      <c r="L2651" s="674">
        <v>0.10416666666666667</v>
      </c>
      <c r="M2651" s="436"/>
    </row>
    <row r="2652" spans="3:13" x14ac:dyDescent="0.2">
      <c r="C2652" s="91"/>
      <c r="D2652" s="672">
        <v>45505</v>
      </c>
      <c r="E2652" s="439">
        <v>1.4</v>
      </c>
      <c r="F2652" s="439">
        <v>1.34</v>
      </c>
      <c r="G2652" s="439">
        <v>1.53</v>
      </c>
      <c r="H2652" s="758">
        <v>-0.12499999999999999</v>
      </c>
      <c r="I2652" s="929"/>
      <c r="J2652" s="930"/>
      <c r="K2652" s="931"/>
      <c r="L2652" s="674">
        <v>0.10416666666666667</v>
      </c>
      <c r="M2652" s="437"/>
    </row>
    <row r="2653" spans="3:13" x14ac:dyDescent="0.2">
      <c r="C2653" s="91"/>
      <c r="D2653" s="672">
        <v>45414</v>
      </c>
      <c r="E2653" s="439">
        <v>1.53</v>
      </c>
      <c r="F2653" s="439">
        <v>1.51</v>
      </c>
      <c r="G2653" s="439">
        <v>2.1800000000000002</v>
      </c>
      <c r="H2653" s="758">
        <v>0.58333333333333337</v>
      </c>
      <c r="I2653" s="929"/>
      <c r="J2653" s="930"/>
      <c r="K2653" s="931"/>
      <c r="L2653" s="674">
        <v>0.8125</v>
      </c>
      <c r="M2653" s="426"/>
    </row>
    <row r="2654" spans="3:13" x14ac:dyDescent="0.2">
      <c r="C2654" s="91"/>
      <c r="D2654" s="672">
        <v>45323</v>
      </c>
      <c r="E2654" s="439">
        <v>2.1800000000000002</v>
      </c>
      <c r="F2654" s="439">
        <v>2.09</v>
      </c>
      <c r="G2654" s="439">
        <v>1.26</v>
      </c>
      <c r="H2654" s="758">
        <v>0.58333333333333337</v>
      </c>
      <c r="I2654" s="929"/>
      <c r="J2654" s="930"/>
      <c r="K2654" s="931"/>
      <c r="L2654" s="674">
        <v>0.8125</v>
      </c>
      <c r="M2654" s="426"/>
    </row>
    <row r="2655" spans="3:13" x14ac:dyDescent="0.2">
      <c r="C2655" s="91"/>
      <c r="D2655" s="672">
        <v>45232</v>
      </c>
      <c r="E2655" s="439">
        <v>1.46</v>
      </c>
      <c r="F2655" s="439">
        <v>1.39</v>
      </c>
      <c r="G2655" s="439">
        <v>1.2</v>
      </c>
      <c r="H2655" s="758">
        <v>0.58333333333333337</v>
      </c>
      <c r="I2655" s="929"/>
      <c r="J2655" s="930"/>
      <c r="K2655" s="931"/>
      <c r="L2655" s="674">
        <v>0.8125</v>
      </c>
      <c r="M2655" s="426"/>
    </row>
    <row r="2656" spans="3:13" ht="17" thickBot="1" x14ac:dyDescent="0.25">
      <c r="C2656" s="91"/>
      <c r="D2656" s="672">
        <v>45141</v>
      </c>
      <c r="E2656" s="439">
        <v>1.53</v>
      </c>
      <c r="F2656" s="439">
        <v>1.43</v>
      </c>
      <c r="G2656" s="439">
        <v>1.2</v>
      </c>
      <c r="H2656" s="758">
        <v>0.58333333333333337</v>
      </c>
      <c r="I2656" s="932"/>
      <c r="J2656" s="933"/>
      <c r="K2656" s="934"/>
      <c r="L2656" s="674">
        <v>0.8125</v>
      </c>
      <c r="M2656" s="438"/>
    </row>
    <row r="2657" spans="3:13" ht="25" customHeight="1" thickBot="1" x14ac:dyDescent="0.25">
      <c r="C2657" s="91">
        <v>1</v>
      </c>
      <c r="D2657" s="663" t="s">
        <v>30</v>
      </c>
      <c r="E2657" s="917" t="s">
        <v>1523</v>
      </c>
      <c r="F2657" s="918"/>
      <c r="G2657" s="919"/>
      <c r="H2657" s="664" t="s">
        <v>790</v>
      </c>
      <c r="I2657" s="920" t="s">
        <v>633</v>
      </c>
      <c r="J2657" s="921"/>
      <c r="K2657" s="922"/>
      <c r="L2657" s="664" t="s">
        <v>430</v>
      </c>
      <c r="M2657" s="664" t="s">
        <v>431</v>
      </c>
    </row>
    <row r="2658" spans="3:13" ht="24" customHeight="1" x14ac:dyDescent="0.2">
      <c r="C2658" s="91"/>
      <c r="D2658" s="665" t="s">
        <v>432</v>
      </c>
      <c r="E2658" s="923"/>
      <c r="F2658" s="924"/>
      <c r="G2658" s="925"/>
      <c r="H2658" s="666" t="s">
        <v>906</v>
      </c>
      <c r="I2658" s="926" t="s">
        <v>1524</v>
      </c>
      <c r="J2658" s="927"/>
      <c r="K2658" s="928"/>
      <c r="L2658" s="667"/>
      <c r="M2658" s="425" t="s">
        <v>1523</v>
      </c>
    </row>
    <row r="2659" spans="3:13" ht="17" x14ac:dyDescent="0.2">
      <c r="C2659" s="91"/>
      <c r="D2659" s="668" t="s">
        <v>433</v>
      </c>
      <c r="E2659" s="935">
        <v>0</v>
      </c>
      <c r="F2659" s="936"/>
      <c r="G2659" s="937"/>
      <c r="H2659" s="424" t="s">
        <v>907</v>
      </c>
      <c r="I2659" s="929"/>
      <c r="J2659" s="930"/>
      <c r="K2659" s="931"/>
      <c r="L2659" s="667"/>
      <c r="M2659" s="426"/>
    </row>
    <row r="2660" spans="3:13" ht="17" x14ac:dyDescent="0.2">
      <c r="C2660" s="91"/>
      <c r="D2660" s="668" t="s">
        <v>434</v>
      </c>
      <c r="E2660" s="935">
        <v>5.0000000000000001E-3</v>
      </c>
      <c r="F2660" s="936"/>
      <c r="G2660" s="937"/>
      <c r="H2660" s="424"/>
      <c r="I2660" s="929"/>
      <c r="J2660" s="930"/>
      <c r="K2660" s="931"/>
      <c r="L2660" s="667"/>
      <c r="M2660" s="426"/>
    </row>
    <row r="2661" spans="3:13" ht="18" thickBot="1" x14ac:dyDescent="0.25">
      <c r="C2661" s="91"/>
      <c r="D2661" s="669" t="s">
        <v>435</v>
      </c>
      <c r="E2661" s="938">
        <v>0.54166666666666674</v>
      </c>
      <c r="F2661" s="939"/>
      <c r="G2661" s="940"/>
      <c r="H2661" s="427"/>
      <c r="I2661" s="929"/>
      <c r="J2661" s="930"/>
      <c r="K2661" s="931"/>
      <c r="L2661" s="428">
        <v>0.77083333333333337</v>
      </c>
      <c r="M2661" s="429">
        <v>0.625</v>
      </c>
    </row>
    <row r="2662" spans="3:13" ht="18" thickBot="1" x14ac:dyDescent="0.25">
      <c r="C2662" s="91"/>
      <c r="D2662" s="670" t="s">
        <v>436</v>
      </c>
      <c r="E2662" s="430" t="s">
        <v>29</v>
      </c>
      <c r="F2662" s="430" t="s">
        <v>28</v>
      </c>
      <c r="G2662" s="431" t="s">
        <v>27</v>
      </c>
      <c r="H2662" s="432" t="s">
        <v>793</v>
      </c>
      <c r="I2662" s="929"/>
      <c r="J2662" s="930"/>
      <c r="K2662" s="931"/>
      <c r="L2662" s="671" t="s">
        <v>1246</v>
      </c>
      <c r="M2662" s="433"/>
    </row>
    <row r="2663" spans="3:13" ht="17" x14ac:dyDescent="0.2">
      <c r="C2663" s="91"/>
      <c r="D2663" s="672">
        <v>45673</v>
      </c>
      <c r="E2663" s="439">
        <v>5.0000000000000001E-3</v>
      </c>
      <c r="F2663" s="439" t="s">
        <v>452</v>
      </c>
      <c r="G2663" s="439">
        <v>-2E-3</v>
      </c>
      <c r="H2663" s="758">
        <v>0.54166666666666674</v>
      </c>
      <c r="I2663" s="929"/>
      <c r="J2663" s="930"/>
      <c r="K2663" s="931"/>
      <c r="L2663" s="674">
        <v>0.77083333333333337</v>
      </c>
      <c r="M2663" s="436"/>
    </row>
    <row r="2664" spans="3:13" ht="17" x14ac:dyDescent="0.2">
      <c r="C2664" s="91"/>
      <c r="D2664" s="672">
        <v>45663</v>
      </c>
      <c r="E2664" s="439">
        <v>4.0000000000000001E-3</v>
      </c>
      <c r="F2664" s="439" t="s">
        <v>467</v>
      </c>
      <c r="G2664" s="439">
        <v>-2E-3</v>
      </c>
      <c r="H2664" s="758">
        <v>0.54166666666666674</v>
      </c>
      <c r="I2664" s="929"/>
      <c r="J2664" s="930"/>
      <c r="K2664" s="931"/>
      <c r="L2664" s="674">
        <v>0.77083333333333337</v>
      </c>
      <c r="M2664" s="437"/>
    </row>
    <row r="2665" spans="3:13" ht="17" x14ac:dyDescent="0.2">
      <c r="C2665" s="91"/>
      <c r="D2665" s="672">
        <v>45636</v>
      </c>
      <c r="E2665" s="439">
        <v>-2E-3</v>
      </c>
      <c r="F2665" s="439" t="s">
        <v>461</v>
      </c>
      <c r="G2665" s="439">
        <v>4.0000000000000001E-3</v>
      </c>
      <c r="H2665" s="758">
        <v>0.58333333333333337</v>
      </c>
      <c r="I2665" s="929"/>
      <c r="J2665" s="930"/>
      <c r="K2665" s="931"/>
      <c r="L2665" s="674">
        <v>0.8125</v>
      </c>
      <c r="M2665" s="426"/>
    </row>
    <row r="2666" spans="3:13" ht="17" x14ac:dyDescent="0.2">
      <c r="C2666" s="91"/>
      <c r="D2666" s="672">
        <v>45624</v>
      </c>
      <c r="E2666" s="439">
        <v>-2E-3</v>
      </c>
      <c r="F2666" s="439" t="s">
        <v>461</v>
      </c>
      <c r="G2666" s="439">
        <v>4.0000000000000001E-3</v>
      </c>
      <c r="H2666" s="758">
        <v>0.58333333333333337</v>
      </c>
      <c r="I2666" s="929"/>
      <c r="J2666" s="930"/>
      <c r="K2666" s="931"/>
      <c r="L2666" s="674">
        <v>0.8125</v>
      </c>
      <c r="M2666" s="426"/>
    </row>
    <row r="2667" spans="3:13" ht="17" x14ac:dyDescent="0.2">
      <c r="C2667" s="91"/>
      <c r="D2667" s="672">
        <v>45608</v>
      </c>
      <c r="E2667" s="439">
        <v>4.0000000000000001E-3</v>
      </c>
      <c r="F2667" s="439" t="s">
        <v>452</v>
      </c>
      <c r="G2667" s="439">
        <v>0</v>
      </c>
      <c r="H2667" s="758">
        <v>0.58333333333333337</v>
      </c>
      <c r="I2667" s="929"/>
      <c r="J2667" s="930"/>
      <c r="K2667" s="931"/>
      <c r="L2667" s="674">
        <v>0.8125</v>
      </c>
      <c r="M2667" s="426"/>
    </row>
    <row r="2668" spans="3:13" ht="18" thickBot="1" x14ac:dyDescent="0.25">
      <c r="C2668" s="91"/>
      <c r="D2668" s="672">
        <v>45595</v>
      </c>
      <c r="E2668" s="439">
        <v>4.0000000000000001E-3</v>
      </c>
      <c r="F2668" s="439" t="s">
        <v>460</v>
      </c>
      <c r="G2668" s="439">
        <v>0</v>
      </c>
      <c r="H2668" s="758">
        <v>0.58333333333333337</v>
      </c>
      <c r="I2668" s="932"/>
      <c r="J2668" s="933"/>
      <c r="K2668" s="934"/>
      <c r="L2668" s="674">
        <v>0.8125</v>
      </c>
      <c r="M2668" s="438"/>
    </row>
    <row r="2669" spans="3:13" ht="25" customHeight="1" thickBot="1" x14ac:dyDescent="0.25">
      <c r="C2669" s="91">
        <v>1</v>
      </c>
      <c r="D2669" s="663" t="s">
        <v>30</v>
      </c>
      <c r="E2669" s="917" t="s">
        <v>1525</v>
      </c>
      <c r="F2669" s="918"/>
      <c r="G2669" s="919"/>
      <c r="H2669" s="664" t="s">
        <v>790</v>
      </c>
      <c r="I2669" s="920" t="s">
        <v>633</v>
      </c>
      <c r="J2669" s="921"/>
      <c r="K2669" s="922"/>
      <c r="L2669" s="664" t="s">
        <v>430</v>
      </c>
      <c r="M2669" s="664" t="s">
        <v>431</v>
      </c>
    </row>
    <row r="2670" spans="3:13" ht="24" customHeight="1" x14ac:dyDescent="0.2">
      <c r="C2670" s="91"/>
      <c r="D2670" s="665" t="s">
        <v>432</v>
      </c>
      <c r="E2670" s="923"/>
      <c r="F2670" s="924"/>
      <c r="G2670" s="925"/>
      <c r="H2670" s="666" t="s">
        <v>906</v>
      </c>
      <c r="I2670" s="926" t="s">
        <v>369</v>
      </c>
      <c r="J2670" s="927"/>
      <c r="K2670" s="928"/>
      <c r="L2670" s="667"/>
      <c r="M2670" s="425" t="s">
        <v>1525</v>
      </c>
    </row>
    <row r="2671" spans="3:13" ht="17" x14ac:dyDescent="0.2">
      <c r="C2671" s="91"/>
      <c r="D2671" s="668" t="s">
        <v>433</v>
      </c>
      <c r="E2671" s="935">
        <v>0</v>
      </c>
      <c r="F2671" s="936"/>
      <c r="G2671" s="937"/>
      <c r="H2671" s="424" t="s">
        <v>907</v>
      </c>
      <c r="I2671" s="929"/>
      <c r="J2671" s="930"/>
      <c r="K2671" s="931"/>
      <c r="L2671" s="667"/>
      <c r="M2671" s="426"/>
    </row>
    <row r="2672" spans="3:13" ht="17" x14ac:dyDescent="0.2">
      <c r="C2672" s="91"/>
      <c r="D2672" s="668" t="s">
        <v>434</v>
      </c>
      <c r="E2672" s="935">
        <v>1E-3</v>
      </c>
      <c r="F2672" s="936"/>
      <c r="G2672" s="937"/>
      <c r="H2672" s="424"/>
      <c r="I2672" s="929"/>
      <c r="J2672" s="930"/>
      <c r="K2672" s="931"/>
      <c r="L2672" s="667"/>
      <c r="M2672" s="426"/>
    </row>
    <row r="2673" spans="3:13" ht="18" thickBot="1" x14ac:dyDescent="0.25">
      <c r="C2673" s="91"/>
      <c r="D2673" s="669" t="s">
        <v>435</v>
      </c>
      <c r="E2673" s="938">
        <v>0.5625</v>
      </c>
      <c r="F2673" s="939"/>
      <c r="G2673" s="940"/>
      <c r="H2673" s="427"/>
      <c r="I2673" s="929"/>
      <c r="J2673" s="930"/>
      <c r="K2673" s="931"/>
      <c r="L2673" s="428">
        <v>0.79166666666666663</v>
      </c>
      <c r="M2673" s="429">
        <v>0.64583333333333326</v>
      </c>
    </row>
    <row r="2674" spans="3:13" ht="18" thickBot="1" x14ac:dyDescent="0.25">
      <c r="C2674" s="91"/>
      <c r="D2674" s="670" t="s">
        <v>436</v>
      </c>
      <c r="E2674" s="430" t="s">
        <v>29</v>
      </c>
      <c r="F2674" s="430" t="s">
        <v>28</v>
      </c>
      <c r="G2674" s="431" t="s">
        <v>27</v>
      </c>
      <c r="H2674" s="432" t="s">
        <v>793</v>
      </c>
      <c r="I2674" s="929"/>
      <c r="J2674" s="930"/>
      <c r="K2674" s="931"/>
      <c r="L2674" s="671" t="s">
        <v>1246</v>
      </c>
      <c r="M2674" s="433"/>
    </row>
    <row r="2675" spans="3:13" ht="17" x14ac:dyDescent="0.2">
      <c r="C2675" s="91"/>
      <c r="D2675" s="672">
        <v>45646</v>
      </c>
      <c r="E2675" s="439">
        <v>1E-3</v>
      </c>
      <c r="F2675" s="439" t="s">
        <v>460</v>
      </c>
      <c r="G2675" s="439">
        <v>3.0000000000000001E-3</v>
      </c>
      <c r="H2675" s="758">
        <v>0.5625</v>
      </c>
      <c r="I2675" s="929"/>
      <c r="J2675" s="930"/>
      <c r="K2675" s="931"/>
      <c r="L2675" s="674">
        <v>0.79166666666666663</v>
      </c>
      <c r="M2675" s="436"/>
    </row>
    <row r="2676" spans="3:13" ht="17" x14ac:dyDescent="0.2">
      <c r="C2676" s="91"/>
      <c r="D2676" s="672">
        <v>45623</v>
      </c>
      <c r="E2676" s="439">
        <v>3.0000000000000001E-3</v>
      </c>
      <c r="F2676" s="439" t="s">
        <v>467</v>
      </c>
      <c r="G2676" s="439">
        <v>3.0000000000000001E-3</v>
      </c>
      <c r="H2676" s="758">
        <v>0.5625</v>
      </c>
      <c r="I2676" s="929"/>
      <c r="J2676" s="930"/>
      <c r="K2676" s="931"/>
      <c r="L2676" s="674">
        <v>0.79166666666666663</v>
      </c>
      <c r="M2676" s="437"/>
    </row>
    <row r="2677" spans="3:13" ht="17" x14ac:dyDescent="0.2">
      <c r="C2677" s="91"/>
      <c r="D2677" s="672">
        <v>45596</v>
      </c>
      <c r="E2677" s="439">
        <v>3.0000000000000001E-3</v>
      </c>
      <c r="F2677" s="439" t="s">
        <v>467</v>
      </c>
      <c r="G2677" s="439">
        <v>2E-3</v>
      </c>
      <c r="H2677" s="758">
        <v>0.58333333333333337</v>
      </c>
      <c r="I2677" s="929"/>
      <c r="J2677" s="930"/>
      <c r="K2677" s="931"/>
      <c r="L2677" s="674">
        <v>0.8125</v>
      </c>
      <c r="M2677" s="426"/>
    </row>
    <row r="2678" spans="3:13" ht="17" x14ac:dyDescent="0.2">
      <c r="C2678" s="91"/>
      <c r="D2678" s="672">
        <v>45562</v>
      </c>
      <c r="E2678" s="439">
        <v>1E-3</v>
      </c>
      <c r="F2678" s="439" t="s">
        <v>460</v>
      </c>
      <c r="G2678" s="439">
        <v>2E-3</v>
      </c>
      <c r="H2678" s="758">
        <v>0.58333333333333337</v>
      </c>
      <c r="I2678" s="929"/>
      <c r="J2678" s="930"/>
      <c r="K2678" s="931"/>
      <c r="L2678" s="674">
        <v>0.8125</v>
      </c>
      <c r="M2678" s="426"/>
    </row>
    <row r="2679" spans="3:13" ht="17" x14ac:dyDescent="0.2">
      <c r="C2679" s="91"/>
      <c r="D2679" s="672">
        <v>45534</v>
      </c>
      <c r="E2679" s="439">
        <v>2E-3</v>
      </c>
      <c r="F2679" s="439" t="s">
        <v>460</v>
      </c>
      <c r="G2679" s="439">
        <v>2E-3</v>
      </c>
      <c r="H2679" s="758">
        <v>0.58333333333333337</v>
      </c>
      <c r="I2679" s="929"/>
      <c r="J2679" s="930"/>
      <c r="K2679" s="931"/>
      <c r="L2679" s="674">
        <v>0.8125</v>
      </c>
      <c r="M2679" s="426"/>
    </row>
    <row r="2680" spans="3:13" ht="18" thickBot="1" x14ac:dyDescent="0.25">
      <c r="C2680" s="91"/>
      <c r="D2680" s="672">
        <v>45499</v>
      </c>
      <c r="E2680" s="439">
        <v>2E-3</v>
      </c>
      <c r="F2680" s="439" t="s">
        <v>460</v>
      </c>
      <c r="G2680" s="439">
        <v>1E-3</v>
      </c>
      <c r="H2680" s="758">
        <v>0.58333333333333337</v>
      </c>
      <c r="I2680" s="932"/>
      <c r="J2680" s="933"/>
      <c r="K2680" s="934"/>
      <c r="L2680" s="674">
        <v>0.8125</v>
      </c>
      <c r="M2680" s="438"/>
    </row>
    <row r="2681" spans="3:13" ht="25" customHeight="1" thickBot="1" x14ac:dyDescent="0.25">
      <c r="C2681" s="91">
        <v>1</v>
      </c>
      <c r="D2681" s="663" t="s">
        <v>30</v>
      </c>
      <c r="E2681" s="917" t="s">
        <v>1527</v>
      </c>
      <c r="F2681" s="918"/>
      <c r="G2681" s="919"/>
      <c r="H2681" s="664" t="s">
        <v>790</v>
      </c>
      <c r="I2681" s="920" t="s">
        <v>633</v>
      </c>
      <c r="J2681" s="921"/>
      <c r="K2681" s="922"/>
      <c r="L2681" s="664" t="s">
        <v>430</v>
      </c>
      <c r="M2681" s="664" t="s">
        <v>431</v>
      </c>
    </row>
    <row r="2682" spans="3:13" ht="24" customHeight="1" x14ac:dyDescent="0.2">
      <c r="C2682" s="91"/>
      <c r="D2682" s="665" t="s">
        <v>432</v>
      </c>
      <c r="E2682" s="923"/>
      <c r="F2682" s="924"/>
      <c r="G2682" s="925"/>
      <c r="H2682" s="666" t="s">
        <v>906</v>
      </c>
      <c r="I2682" s="926" t="s">
        <v>1528</v>
      </c>
      <c r="J2682" s="927"/>
      <c r="K2682" s="928"/>
      <c r="L2682" s="667"/>
      <c r="M2682" s="425" t="s">
        <v>1527</v>
      </c>
    </row>
    <row r="2683" spans="3:13" ht="17" x14ac:dyDescent="0.2">
      <c r="C2683" s="91"/>
      <c r="D2683" s="668" t="s">
        <v>433</v>
      </c>
      <c r="E2683" s="935">
        <v>0</v>
      </c>
      <c r="F2683" s="936"/>
      <c r="G2683" s="937"/>
      <c r="H2683" s="424" t="s">
        <v>907</v>
      </c>
      <c r="I2683" s="929"/>
      <c r="J2683" s="930"/>
      <c r="K2683" s="931"/>
      <c r="L2683" s="667"/>
      <c r="M2683" s="426"/>
    </row>
    <row r="2684" spans="3:13" ht="17" x14ac:dyDescent="0.2">
      <c r="C2684" s="91"/>
      <c r="D2684" s="668" t="s">
        <v>434</v>
      </c>
      <c r="E2684" s="935">
        <v>0</v>
      </c>
      <c r="F2684" s="936"/>
      <c r="G2684" s="937"/>
      <c r="H2684" s="424"/>
      <c r="I2684" s="929"/>
      <c r="J2684" s="930"/>
      <c r="K2684" s="931"/>
      <c r="L2684" s="667"/>
      <c r="M2684" s="426"/>
    </row>
    <row r="2685" spans="3:13" ht="18" thickBot="1" x14ac:dyDescent="0.25">
      <c r="C2685" s="91"/>
      <c r="D2685" s="669" t="s">
        <v>435</v>
      </c>
      <c r="E2685" s="938">
        <v>0.5625</v>
      </c>
      <c r="F2685" s="939"/>
      <c r="G2685" s="940"/>
      <c r="H2685" s="427"/>
      <c r="I2685" s="929"/>
      <c r="J2685" s="930"/>
      <c r="K2685" s="931"/>
      <c r="L2685" s="428">
        <v>0.79166666666666663</v>
      </c>
      <c r="M2685" s="429">
        <v>0.64583333333333326</v>
      </c>
    </row>
    <row r="2686" spans="3:13" ht="18" thickBot="1" x14ac:dyDescent="0.25">
      <c r="C2686" s="91"/>
      <c r="D2686" s="670" t="s">
        <v>436</v>
      </c>
      <c r="E2686" s="430" t="s">
        <v>29</v>
      </c>
      <c r="F2686" s="430" t="s">
        <v>28</v>
      </c>
      <c r="G2686" s="431" t="s">
        <v>27</v>
      </c>
      <c r="H2686" s="432" t="s">
        <v>793</v>
      </c>
      <c r="I2686" s="929"/>
      <c r="J2686" s="930"/>
      <c r="K2686" s="931"/>
      <c r="L2686" s="671" t="s">
        <v>1246</v>
      </c>
      <c r="M2686" s="433"/>
    </row>
    <row r="2687" spans="3:13" ht="17" x14ac:dyDescent="0.2">
      <c r="C2687" s="91"/>
      <c r="D2687" s="672">
        <v>45646</v>
      </c>
      <c r="E2687" s="439">
        <v>2.8000000000000001E-2</v>
      </c>
      <c r="F2687" s="439" t="s">
        <v>667</v>
      </c>
      <c r="G2687" s="439">
        <v>2.8000000000000001E-2</v>
      </c>
      <c r="H2687" s="758">
        <v>0.5625</v>
      </c>
      <c r="I2687" s="929"/>
      <c r="J2687" s="930"/>
      <c r="K2687" s="931"/>
      <c r="L2687" s="674">
        <v>0.79166666666666663</v>
      </c>
      <c r="M2687" s="436"/>
    </row>
    <row r="2688" spans="3:13" ht="17" x14ac:dyDescent="0.2">
      <c r="C2688" s="91"/>
      <c r="D2688" s="672">
        <v>45623</v>
      </c>
      <c r="E2688" s="439">
        <v>2.8000000000000001E-2</v>
      </c>
      <c r="F2688" s="439" t="s">
        <v>666</v>
      </c>
      <c r="G2688" s="439">
        <v>2.7E-2</v>
      </c>
      <c r="H2688" s="758">
        <v>0.5625</v>
      </c>
      <c r="I2688" s="929"/>
      <c r="J2688" s="930"/>
      <c r="K2688" s="931"/>
      <c r="L2688" s="674">
        <v>0.79166666666666663</v>
      </c>
      <c r="M2688" s="437"/>
    </row>
    <row r="2689" spans="3:13" ht="17" x14ac:dyDescent="0.2">
      <c r="C2689" s="91"/>
      <c r="D2689" s="672">
        <v>45596</v>
      </c>
      <c r="E2689" s="439">
        <v>2.7E-2</v>
      </c>
      <c r="F2689" s="439" t="s">
        <v>493</v>
      </c>
      <c r="G2689" s="439">
        <v>2.7E-2</v>
      </c>
      <c r="H2689" s="758">
        <v>0.58333333333333337</v>
      </c>
      <c r="I2689" s="929"/>
      <c r="J2689" s="930"/>
      <c r="K2689" s="931"/>
      <c r="L2689" s="674">
        <v>0.8125</v>
      </c>
      <c r="M2689" s="426"/>
    </row>
    <row r="2690" spans="3:13" ht="17" x14ac:dyDescent="0.2">
      <c r="C2690" s="91"/>
      <c r="D2690" s="672">
        <v>45562</v>
      </c>
      <c r="E2690" s="439">
        <v>2.7E-2</v>
      </c>
      <c r="F2690" s="439" t="s">
        <v>665</v>
      </c>
      <c r="G2690" s="439">
        <v>2.5999999999999999E-2</v>
      </c>
      <c r="H2690" s="758">
        <v>0.58333333333333337</v>
      </c>
      <c r="I2690" s="929"/>
      <c r="J2690" s="930"/>
      <c r="K2690" s="931"/>
      <c r="L2690" s="674">
        <v>0.8125</v>
      </c>
      <c r="M2690" s="426"/>
    </row>
    <row r="2691" spans="3:13" ht="17" x14ac:dyDescent="0.2">
      <c r="C2691" s="91"/>
      <c r="D2691" s="672">
        <v>45534</v>
      </c>
      <c r="E2691" s="439">
        <v>2.5999999999999999E-2</v>
      </c>
      <c r="F2691" s="439" t="s">
        <v>665</v>
      </c>
      <c r="G2691" s="439">
        <v>2.5999999999999999E-2</v>
      </c>
      <c r="H2691" s="758">
        <v>0.58333333333333337</v>
      </c>
      <c r="I2691" s="929"/>
      <c r="J2691" s="930"/>
      <c r="K2691" s="931"/>
      <c r="L2691" s="674">
        <v>0.8125</v>
      </c>
      <c r="M2691" s="426"/>
    </row>
    <row r="2692" spans="3:13" ht="18" thickBot="1" x14ac:dyDescent="0.25">
      <c r="C2692" s="91"/>
      <c r="D2692" s="672">
        <v>45499</v>
      </c>
      <c r="E2692" s="439">
        <v>2.5999999999999999E-2</v>
      </c>
      <c r="F2692" s="439" t="s">
        <v>495</v>
      </c>
      <c r="G2692" s="439">
        <v>2.5999999999999999E-2</v>
      </c>
      <c r="H2692" s="758">
        <v>0.58333333333333337</v>
      </c>
      <c r="I2692" s="932"/>
      <c r="J2692" s="933"/>
      <c r="K2692" s="934"/>
      <c r="L2692" s="674">
        <v>0.8125</v>
      </c>
      <c r="M2692" s="438"/>
    </row>
    <row r="2693" spans="3:13" ht="25" customHeight="1" thickBot="1" x14ac:dyDescent="0.25">
      <c r="C2693" s="91">
        <v>1</v>
      </c>
      <c r="D2693" s="663" t="s">
        <v>30</v>
      </c>
      <c r="E2693" s="917" t="s">
        <v>1529</v>
      </c>
      <c r="F2693" s="918"/>
      <c r="G2693" s="919"/>
      <c r="H2693" s="664" t="s">
        <v>790</v>
      </c>
      <c r="I2693" s="920" t="s">
        <v>633</v>
      </c>
      <c r="J2693" s="921"/>
      <c r="K2693" s="922"/>
      <c r="L2693" s="664" t="s">
        <v>430</v>
      </c>
      <c r="M2693" s="664" t="s">
        <v>431</v>
      </c>
    </row>
    <row r="2694" spans="3:13" ht="24" customHeight="1" x14ac:dyDescent="0.2">
      <c r="C2694" s="91"/>
      <c r="D2694" s="665" t="s">
        <v>432</v>
      </c>
      <c r="E2694" s="923"/>
      <c r="F2694" s="924"/>
      <c r="G2694" s="925"/>
      <c r="H2694" s="666" t="s">
        <v>906</v>
      </c>
      <c r="I2694" s="926" t="s">
        <v>1530</v>
      </c>
      <c r="J2694" s="927"/>
      <c r="K2694" s="928"/>
      <c r="L2694" s="667"/>
      <c r="M2694" s="425" t="s">
        <v>1529</v>
      </c>
    </row>
    <row r="2695" spans="3:13" ht="17" x14ac:dyDescent="0.2">
      <c r="C2695" s="91"/>
      <c r="D2695" s="668" t="s">
        <v>433</v>
      </c>
      <c r="E2695" s="935">
        <v>0</v>
      </c>
      <c r="F2695" s="936"/>
      <c r="G2695" s="937"/>
      <c r="H2695" s="424" t="s">
        <v>907</v>
      </c>
      <c r="I2695" s="929"/>
      <c r="J2695" s="930"/>
      <c r="K2695" s="931"/>
      <c r="L2695" s="667"/>
      <c r="M2695" s="426"/>
    </row>
    <row r="2696" spans="3:13" ht="17" x14ac:dyDescent="0.2">
      <c r="C2696" s="91"/>
      <c r="D2696" s="668" t="s">
        <v>434</v>
      </c>
      <c r="E2696" s="935">
        <v>36.9</v>
      </c>
      <c r="F2696" s="936"/>
      <c r="G2696" s="937"/>
      <c r="H2696" s="424"/>
      <c r="I2696" s="929"/>
      <c r="J2696" s="930"/>
      <c r="K2696" s="931"/>
      <c r="L2696" s="667"/>
      <c r="M2696" s="426"/>
    </row>
    <row r="2697" spans="3:13" ht="18" thickBot="1" x14ac:dyDescent="0.25">
      <c r="C2697" s="91"/>
      <c r="D2697" s="669" t="s">
        <v>435</v>
      </c>
      <c r="E2697" s="938">
        <v>0.61458333333333337</v>
      </c>
      <c r="F2697" s="939"/>
      <c r="G2697" s="940"/>
      <c r="H2697" s="427"/>
      <c r="I2697" s="929"/>
      <c r="J2697" s="930"/>
      <c r="K2697" s="931"/>
      <c r="L2697" s="428">
        <v>0.84375</v>
      </c>
      <c r="M2697" s="429">
        <v>0.69791666666666663</v>
      </c>
    </row>
    <row r="2698" spans="3:13" ht="18" thickBot="1" x14ac:dyDescent="0.25">
      <c r="C2698" s="91"/>
      <c r="D2698" s="670" t="s">
        <v>436</v>
      </c>
      <c r="E2698" s="430" t="s">
        <v>29</v>
      </c>
      <c r="F2698" s="430" t="s">
        <v>28</v>
      </c>
      <c r="G2698" s="431" t="s">
        <v>27</v>
      </c>
      <c r="H2698" s="432" t="s">
        <v>793</v>
      </c>
      <c r="I2698" s="929"/>
      <c r="J2698" s="930"/>
      <c r="K2698" s="931"/>
      <c r="L2698" s="671" t="s">
        <v>1246</v>
      </c>
      <c r="M2698" s="433"/>
    </row>
    <row r="2699" spans="3:13" ht="17" x14ac:dyDescent="0.2">
      <c r="C2699" s="91"/>
      <c r="D2699" s="672">
        <v>45656</v>
      </c>
      <c r="E2699" s="439">
        <v>36.9</v>
      </c>
      <c r="F2699" s="439" t="s">
        <v>1556</v>
      </c>
      <c r="G2699" s="439">
        <v>40.200000000000003</v>
      </c>
      <c r="H2699" s="758">
        <v>0.61458333333333337</v>
      </c>
      <c r="I2699" s="929"/>
      <c r="J2699" s="930"/>
      <c r="K2699" s="931"/>
      <c r="L2699" s="674">
        <v>0.84375</v>
      </c>
      <c r="M2699" s="436"/>
    </row>
    <row r="2700" spans="3:13" ht="17" x14ac:dyDescent="0.2">
      <c r="C2700" s="91"/>
      <c r="D2700" s="672">
        <v>45625</v>
      </c>
      <c r="E2700" s="439">
        <v>40.200000000000003</v>
      </c>
      <c r="F2700" s="439" t="s">
        <v>477</v>
      </c>
      <c r="G2700" s="439">
        <v>41.6</v>
      </c>
      <c r="H2700" s="758">
        <v>0.61458333333333337</v>
      </c>
      <c r="I2700" s="929"/>
      <c r="J2700" s="930"/>
      <c r="K2700" s="931"/>
      <c r="L2700" s="674">
        <v>0.84375</v>
      </c>
      <c r="M2700" s="437"/>
    </row>
    <row r="2701" spans="3:13" ht="17" x14ac:dyDescent="0.2">
      <c r="C2701" s="91"/>
      <c r="D2701" s="672">
        <v>45596</v>
      </c>
      <c r="E2701" s="439">
        <v>41.6</v>
      </c>
      <c r="F2701" s="439" t="s">
        <v>1126</v>
      </c>
      <c r="G2701" s="439">
        <v>46.6</v>
      </c>
      <c r="H2701" s="758">
        <v>0.58333333333333337</v>
      </c>
      <c r="I2701" s="929"/>
      <c r="J2701" s="930"/>
      <c r="K2701" s="931"/>
      <c r="L2701" s="674">
        <v>0.8125</v>
      </c>
      <c r="M2701" s="426"/>
    </row>
    <row r="2702" spans="3:13" ht="17" x14ac:dyDescent="0.2">
      <c r="C2702" s="91"/>
      <c r="D2702" s="672">
        <v>45565</v>
      </c>
      <c r="E2702" s="439">
        <v>46.6</v>
      </c>
      <c r="F2702" s="439" t="s">
        <v>899</v>
      </c>
      <c r="G2702" s="439">
        <v>46.1</v>
      </c>
      <c r="H2702" s="758">
        <v>0.58333333333333337</v>
      </c>
      <c r="I2702" s="929"/>
      <c r="J2702" s="930"/>
      <c r="K2702" s="931"/>
      <c r="L2702" s="674">
        <v>0.8125</v>
      </c>
      <c r="M2702" s="426"/>
    </row>
    <row r="2703" spans="3:13" ht="17" x14ac:dyDescent="0.2">
      <c r="C2703" s="91"/>
      <c r="D2703" s="672">
        <v>45534</v>
      </c>
      <c r="E2703" s="439">
        <v>46.1</v>
      </c>
      <c r="F2703" s="439" t="s">
        <v>473</v>
      </c>
      <c r="G2703" s="439">
        <v>45.3</v>
      </c>
      <c r="H2703" s="758">
        <v>0.58333333333333337</v>
      </c>
      <c r="I2703" s="929"/>
      <c r="J2703" s="930"/>
      <c r="K2703" s="931"/>
      <c r="L2703" s="674">
        <v>0.8125</v>
      </c>
      <c r="M2703" s="426"/>
    </row>
    <row r="2704" spans="3:13" ht="18" thickBot="1" x14ac:dyDescent="0.25">
      <c r="C2704" s="91"/>
      <c r="D2704" s="672">
        <v>45504</v>
      </c>
      <c r="E2704" s="439">
        <v>45.3</v>
      </c>
      <c r="F2704" s="439" t="s">
        <v>474</v>
      </c>
      <c r="G2704" s="439">
        <v>47.4</v>
      </c>
      <c r="H2704" s="758">
        <v>0.58333333333333337</v>
      </c>
      <c r="I2704" s="932"/>
      <c r="J2704" s="933"/>
      <c r="K2704" s="934"/>
      <c r="L2704" s="674">
        <v>0.8125</v>
      </c>
      <c r="M2704" s="438"/>
    </row>
    <row r="2705" spans="2:3" x14ac:dyDescent="0.2">
      <c r="B2705" t="s">
        <v>1559</v>
      </c>
      <c r="C2705" s="229" t="s">
        <v>105</v>
      </c>
    </row>
  </sheetData>
  <mergeCells count="1596">
    <mergeCell ref="E2249:G2249"/>
    <mergeCell ref="I2249:K2249"/>
    <mergeCell ref="E2250:G2250"/>
    <mergeCell ref="I2250:K2260"/>
    <mergeCell ref="E2251:G2251"/>
    <mergeCell ref="E2252:G2252"/>
    <mergeCell ref="E2253:G2253"/>
    <mergeCell ref="E2261:G2261"/>
    <mergeCell ref="I2261:K2261"/>
    <mergeCell ref="E2262:G2262"/>
    <mergeCell ref="I2262:K2272"/>
    <mergeCell ref="E2263:G2263"/>
    <mergeCell ref="E2264:G2264"/>
    <mergeCell ref="E2265:G2265"/>
    <mergeCell ref="E2273:G2273"/>
    <mergeCell ref="I2273:K2273"/>
    <mergeCell ref="E2274:G2274"/>
    <mergeCell ref="I2274:K2284"/>
    <mergeCell ref="E2275:G2275"/>
    <mergeCell ref="E2276:G2276"/>
    <mergeCell ref="E2277:G2277"/>
    <mergeCell ref="E2213:G2213"/>
    <mergeCell ref="I2213:K2213"/>
    <mergeCell ref="E2214:G2214"/>
    <mergeCell ref="I2214:K2224"/>
    <mergeCell ref="E2215:G2215"/>
    <mergeCell ref="E2216:G2216"/>
    <mergeCell ref="E2217:G2217"/>
    <mergeCell ref="E2225:G2225"/>
    <mergeCell ref="I2225:K2225"/>
    <mergeCell ref="E2226:G2226"/>
    <mergeCell ref="I2226:K2236"/>
    <mergeCell ref="E2227:G2227"/>
    <mergeCell ref="E2228:G2228"/>
    <mergeCell ref="E2229:G2229"/>
    <mergeCell ref="E2237:G2237"/>
    <mergeCell ref="I2237:K2237"/>
    <mergeCell ref="E2238:G2238"/>
    <mergeCell ref="I2238:K2248"/>
    <mergeCell ref="E2239:G2239"/>
    <mergeCell ref="E2240:G2240"/>
    <mergeCell ref="E2241:G2241"/>
    <mergeCell ref="E2177:G2177"/>
    <mergeCell ref="I2177:K2177"/>
    <mergeCell ref="E2178:G2178"/>
    <mergeCell ref="I2178:K2188"/>
    <mergeCell ref="E2179:G2179"/>
    <mergeCell ref="E2180:G2180"/>
    <mergeCell ref="E2181:G2181"/>
    <mergeCell ref="E2189:G2189"/>
    <mergeCell ref="I2189:K2189"/>
    <mergeCell ref="E2190:G2190"/>
    <mergeCell ref="I2190:K2200"/>
    <mergeCell ref="E2191:G2191"/>
    <mergeCell ref="E2192:G2192"/>
    <mergeCell ref="E2193:G2193"/>
    <mergeCell ref="E2201:G2201"/>
    <mergeCell ref="I2201:K2201"/>
    <mergeCell ref="E2202:G2202"/>
    <mergeCell ref="I2202:K2212"/>
    <mergeCell ref="E2203:G2203"/>
    <mergeCell ref="E2204:G2204"/>
    <mergeCell ref="E2205:G2205"/>
    <mergeCell ref="E2153:G2153"/>
    <mergeCell ref="I2153:K2153"/>
    <mergeCell ref="E2154:G2154"/>
    <mergeCell ref="I2154:K2164"/>
    <mergeCell ref="E2155:G2155"/>
    <mergeCell ref="E2156:G2156"/>
    <mergeCell ref="E2157:G2157"/>
    <mergeCell ref="E2165:G2165"/>
    <mergeCell ref="I2165:K2165"/>
    <mergeCell ref="E2166:G2166"/>
    <mergeCell ref="I2166:K2176"/>
    <mergeCell ref="E2167:G2167"/>
    <mergeCell ref="E2168:G2168"/>
    <mergeCell ref="E2169:G2169"/>
    <mergeCell ref="E2117:G2117"/>
    <mergeCell ref="I2117:K2117"/>
    <mergeCell ref="E2118:G2118"/>
    <mergeCell ref="I2118:K2128"/>
    <mergeCell ref="E2119:G2119"/>
    <mergeCell ref="E2120:G2120"/>
    <mergeCell ref="E2121:G2121"/>
    <mergeCell ref="E2129:G2129"/>
    <mergeCell ref="I2129:K2129"/>
    <mergeCell ref="E2130:G2130"/>
    <mergeCell ref="I2130:K2140"/>
    <mergeCell ref="E2131:G2131"/>
    <mergeCell ref="E2132:G2132"/>
    <mergeCell ref="E2133:G2133"/>
    <mergeCell ref="E2141:G2141"/>
    <mergeCell ref="I2141:K2141"/>
    <mergeCell ref="E2142:G2142"/>
    <mergeCell ref="I2142:K2152"/>
    <mergeCell ref="E2143:G2143"/>
    <mergeCell ref="E2144:G2144"/>
    <mergeCell ref="E2145:G2145"/>
    <mergeCell ref="E1781:G1781"/>
    <mergeCell ref="I1781:K1781"/>
    <mergeCell ref="E1782:G1782"/>
    <mergeCell ref="I1782:K1792"/>
    <mergeCell ref="E1783:G1783"/>
    <mergeCell ref="E1784:G1784"/>
    <mergeCell ref="E1785:G1785"/>
    <mergeCell ref="E1793:G1793"/>
    <mergeCell ref="I1793:K1793"/>
    <mergeCell ref="E1794:G1794"/>
    <mergeCell ref="I1794:K1804"/>
    <mergeCell ref="E1795:G1795"/>
    <mergeCell ref="E1796:G1796"/>
    <mergeCell ref="E1797:G1797"/>
    <mergeCell ref="E1805:G1805"/>
    <mergeCell ref="I1805:K1805"/>
    <mergeCell ref="E1806:G1806"/>
    <mergeCell ref="I1806:K1816"/>
    <mergeCell ref="E1807:G1807"/>
    <mergeCell ref="E1808:G1808"/>
    <mergeCell ref="E1809:G1809"/>
    <mergeCell ref="E1817:G1817"/>
    <mergeCell ref="I1817:K1817"/>
    <mergeCell ref="E1818:G1818"/>
    <mergeCell ref="I1818:K1828"/>
    <mergeCell ref="E1819:G1819"/>
    <mergeCell ref="E1820:G1820"/>
    <mergeCell ref="E1821:G1821"/>
    <mergeCell ref="E1829:G1829"/>
    <mergeCell ref="E1769:G1769"/>
    <mergeCell ref="I1769:K1769"/>
    <mergeCell ref="E1770:G1770"/>
    <mergeCell ref="I1770:K1780"/>
    <mergeCell ref="E1771:G1771"/>
    <mergeCell ref="E1772:G1772"/>
    <mergeCell ref="E1773:G1773"/>
    <mergeCell ref="E1745:G1745"/>
    <mergeCell ref="I1745:K1745"/>
    <mergeCell ref="E1746:G1746"/>
    <mergeCell ref="I1746:K1756"/>
    <mergeCell ref="E1747:G1747"/>
    <mergeCell ref="E1748:G1748"/>
    <mergeCell ref="E1749:G1749"/>
    <mergeCell ref="E1757:G1757"/>
    <mergeCell ref="I1757:K1757"/>
    <mergeCell ref="E1758:G1758"/>
    <mergeCell ref="I1758:K1768"/>
    <mergeCell ref="E1759:G1759"/>
    <mergeCell ref="E1760:G1760"/>
    <mergeCell ref="E1761:G1761"/>
    <mergeCell ref="E1733:G1733"/>
    <mergeCell ref="I1733:K1733"/>
    <mergeCell ref="E1734:G1734"/>
    <mergeCell ref="I1734:K1744"/>
    <mergeCell ref="E1735:G1735"/>
    <mergeCell ref="E1736:G1736"/>
    <mergeCell ref="E1737:G1737"/>
    <mergeCell ref="E1697:G1697"/>
    <mergeCell ref="I1697:K1697"/>
    <mergeCell ref="E1698:G1698"/>
    <mergeCell ref="I1698:K1708"/>
    <mergeCell ref="E1699:G1699"/>
    <mergeCell ref="E1700:G1700"/>
    <mergeCell ref="E1701:G1701"/>
    <mergeCell ref="E1709:G1709"/>
    <mergeCell ref="I1709:K1709"/>
    <mergeCell ref="E1710:G1710"/>
    <mergeCell ref="I1710:K1720"/>
    <mergeCell ref="E1711:G1711"/>
    <mergeCell ref="E1712:G1712"/>
    <mergeCell ref="E1713:G1713"/>
    <mergeCell ref="E1721:G1721"/>
    <mergeCell ref="I1721:K1721"/>
    <mergeCell ref="E1722:G1722"/>
    <mergeCell ref="I1722:K1732"/>
    <mergeCell ref="E1723:G1723"/>
    <mergeCell ref="E1724:G1724"/>
    <mergeCell ref="E1725:G1725"/>
    <mergeCell ref="I1577:K1577"/>
    <mergeCell ref="I1578:K1588"/>
    <mergeCell ref="E1581:G1581"/>
    <mergeCell ref="I1349:K1349"/>
    <mergeCell ref="I1350:K1360"/>
    <mergeCell ref="I1361:K1361"/>
    <mergeCell ref="I1362:K1372"/>
    <mergeCell ref="I1373:K1373"/>
    <mergeCell ref="I1374:K1384"/>
    <mergeCell ref="I1385:K1385"/>
    <mergeCell ref="I1386:K1396"/>
    <mergeCell ref="I1397:K1397"/>
    <mergeCell ref="I1398:K1408"/>
    <mergeCell ref="I1409:K1409"/>
    <mergeCell ref="I1410:K1420"/>
    <mergeCell ref="I1421:K1421"/>
    <mergeCell ref="I1422:K1432"/>
    <mergeCell ref="I1433:K1433"/>
    <mergeCell ref="I1434:K1444"/>
    <mergeCell ref="I1445:K1445"/>
    <mergeCell ref="I1446:K1456"/>
    <mergeCell ref="I1457:K1457"/>
    <mergeCell ref="I1458:K1468"/>
    <mergeCell ref="I1469:K1469"/>
    <mergeCell ref="I1470:K1480"/>
    <mergeCell ref="I1481:K1481"/>
    <mergeCell ref="E1349:G1349"/>
    <mergeCell ref="E1350:G1350"/>
    <mergeCell ref="E1351:G1351"/>
    <mergeCell ref="E1352:G1352"/>
    <mergeCell ref="E1353:G1353"/>
    <mergeCell ref="E1361:G1361"/>
    <mergeCell ref="E1362:G1362"/>
    <mergeCell ref="E1363:G1363"/>
    <mergeCell ref="E1364:G1364"/>
    <mergeCell ref="E1365:G1365"/>
    <mergeCell ref="E1373:G1373"/>
    <mergeCell ref="E1374:G1374"/>
    <mergeCell ref="E1375:G1375"/>
    <mergeCell ref="E1376:G1376"/>
    <mergeCell ref="E1377:G1377"/>
    <mergeCell ref="E1385:G1385"/>
    <mergeCell ref="E1386:G1386"/>
    <mergeCell ref="E1387:G1387"/>
    <mergeCell ref="E1388:G1388"/>
    <mergeCell ref="E1469:G1469"/>
    <mergeCell ref="E1470:G1470"/>
    <mergeCell ref="E1471:G1471"/>
    <mergeCell ref="E1530:G1530"/>
    <mergeCell ref="I1554:K1564"/>
    <mergeCell ref="I1565:K1565"/>
    <mergeCell ref="I1566:K1576"/>
    <mergeCell ref="E1531:G1531"/>
    <mergeCell ref="E1532:G1532"/>
    <mergeCell ref="E1533:G1533"/>
    <mergeCell ref="E1541:G1541"/>
    <mergeCell ref="E1542:G1542"/>
    <mergeCell ref="E1543:G1543"/>
    <mergeCell ref="E1544:G1544"/>
    <mergeCell ref="E1545:G1545"/>
    <mergeCell ref="E1553:G1553"/>
    <mergeCell ref="I1530:K1540"/>
    <mergeCell ref="I1541:K1541"/>
    <mergeCell ref="I1542:K1552"/>
    <mergeCell ref="I1553:K1553"/>
    <mergeCell ref="E1554:G1554"/>
    <mergeCell ref="E1555:G1555"/>
    <mergeCell ref="E1556:G1556"/>
    <mergeCell ref="E1557:G1557"/>
    <mergeCell ref="E1565:G1565"/>
    <mergeCell ref="E1566:G1566"/>
    <mergeCell ref="E1567:G1567"/>
    <mergeCell ref="E1568:G1568"/>
    <mergeCell ref="E1569:G1569"/>
    <mergeCell ref="I1517:K1517"/>
    <mergeCell ref="I1518:K1528"/>
    <mergeCell ref="I1529:K1529"/>
    <mergeCell ref="E1485:G1485"/>
    <mergeCell ref="E1493:G1493"/>
    <mergeCell ref="E1494:G1494"/>
    <mergeCell ref="E1495:G1495"/>
    <mergeCell ref="E1496:G1496"/>
    <mergeCell ref="E1497:G1497"/>
    <mergeCell ref="E1505:G1505"/>
    <mergeCell ref="E1506:G1506"/>
    <mergeCell ref="E1507:G1507"/>
    <mergeCell ref="I1482:K1492"/>
    <mergeCell ref="I1493:K1493"/>
    <mergeCell ref="I1494:K1504"/>
    <mergeCell ref="I1505:K1505"/>
    <mergeCell ref="E1508:G1508"/>
    <mergeCell ref="E1509:G1509"/>
    <mergeCell ref="E1517:G1517"/>
    <mergeCell ref="E1518:G1518"/>
    <mergeCell ref="E1519:G1519"/>
    <mergeCell ref="E1520:G1520"/>
    <mergeCell ref="E1521:G1521"/>
    <mergeCell ref="E1529:G1529"/>
    <mergeCell ref="E1580:G1580"/>
    <mergeCell ref="E1389:G1389"/>
    <mergeCell ref="E1397:G1397"/>
    <mergeCell ref="E1398:G1398"/>
    <mergeCell ref="E1399:G1399"/>
    <mergeCell ref="E1122:G1122"/>
    <mergeCell ref="E1193:G1193"/>
    <mergeCell ref="E1217:G1217"/>
    <mergeCell ref="E1241:G1241"/>
    <mergeCell ref="E1265:G1265"/>
    <mergeCell ref="E1289:G1289"/>
    <mergeCell ref="E1313:G1313"/>
    <mergeCell ref="E1337:G1337"/>
    <mergeCell ref="E1400:G1400"/>
    <mergeCell ref="E1401:G1401"/>
    <mergeCell ref="E1409:G1409"/>
    <mergeCell ref="E1410:G1410"/>
    <mergeCell ref="E1411:G1411"/>
    <mergeCell ref="E1412:G1412"/>
    <mergeCell ref="E1413:G1413"/>
    <mergeCell ref="E1421:G1421"/>
    <mergeCell ref="E1422:G1422"/>
    <mergeCell ref="E1423:G1423"/>
    <mergeCell ref="E1424:G1424"/>
    <mergeCell ref="E1425:G1425"/>
    <mergeCell ref="E1433:G1433"/>
    <mergeCell ref="E1434:G1434"/>
    <mergeCell ref="E1435:G1435"/>
    <mergeCell ref="E1436:G1436"/>
    <mergeCell ref="E1437:G1437"/>
    <mergeCell ref="E1445:G1445"/>
    <mergeCell ref="E1472:G1472"/>
    <mergeCell ref="E1146:G1146"/>
    <mergeCell ref="I1146:K1156"/>
    <mergeCell ref="E1147:G1147"/>
    <mergeCell ref="E1148:G1148"/>
    <mergeCell ref="E1149:G1149"/>
    <mergeCell ref="E1133:G1133"/>
    <mergeCell ref="I1133:K1133"/>
    <mergeCell ref="E1134:G1134"/>
    <mergeCell ref="I1134:K1144"/>
    <mergeCell ref="E1135:G1135"/>
    <mergeCell ref="E1136:G1136"/>
    <mergeCell ref="E1137:G1137"/>
    <mergeCell ref="E1145:G1145"/>
    <mergeCell ref="I1145:K1145"/>
    <mergeCell ref="E1577:G1577"/>
    <mergeCell ref="E1578:G1578"/>
    <mergeCell ref="E1579:G1579"/>
    <mergeCell ref="E1473:G1473"/>
    <mergeCell ref="E1481:G1481"/>
    <mergeCell ref="E1482:G1482"/>
    <mergeCell ref="E1483:G1483"/>
    <mergeCell ref="E1484:G1484"/>
    <mergeCell ref="E1446:G1446"/>
    <mergeCell ref="E1447:G1447"/>
    <mergeCell ref="E1448:G1448"/>
    <mergeCell ref="E1449:G1449"/>
    <mergeCell ref="E1457:G1457"/>
    <mergeCell ref="E1458:G1458"/>
    <mergeCell ref="E1459:G1459"/>
    <mergeCell ref="E1460:G1460"/>
    <mergeCell ref="E1461:G1461"/>
    <mergeCell ref="I1506:K1516"/>
    <mergeCell ref="E1097:G1097"/>
    <mergeCell ref="I1097:K1097"/>
    <mergeCell ref="E1098:G1098"/>
    <mergeCell ref="I1098:K1108"/>
    <mergeCell ref="E1099:G1099"/>
    <mergeCell ref="E1100:G1100"/>
    <mergeCell ref="E1101:G1101"/>
    <mergeCell ref="E1109:G1109"/>
    <mergeCell ref="I1109:K1109"/>
    <mergeCell ref="E1110:G1110"/>
    <mergeCell ref="I1110:K1120"/>
    <mergeCell ref="E1111:G1111"/>
    <mergeCell ref="E1112:G1112"/>
    <mergeCell ref="E1113:G1113"/>
    <mergeCell ref="E1121:G1121"/>
    <mergeCell ref="I1121:K1121"/>
    <mergeCell ref="I1122:K1132"/>
    <mergeCell ref="E1123:G1123"/>
    <mergeCell ref="E1124:G1124"/>
    <mergeCell ref="E1125:G1125"/>
    <mergeCell ref="E1061:G1061"/>
    <mergeCell ref="I1061:K1061"/>
    <mergeCell ref="E1062:G1062"/>
    <mergeCell ref="I1062:K1072"/>
    <mergeCell ref="E1063:G1063"/>
    <mergeCell ref="E1064:G1064"/>
    <mergeCell ref="E1065:G1065"/>
    <mergeCell ref="E1073:G1073"/>
    <mergeCell ref="I1073:K1073"/>
    <mergeCell ref="E1074:G1074"/>
    <mergeCell ref="I1074:K1084"/>
    <mergeCell ref="E1075:G1075"/>
    <mergeCell ref="E1076:G1076"/>
    <mergeCell ref="E1077:G1077"/>
    <mergeCell ref="E1085:G1085"/>
    <mergeCell ref="I1085:K1085"/>
    <mergeCell ref="E1086:G1086"/>
    <mergeCell ref="I1086:K1096"/>
    <mergeCell ref="E1087:G1087"/>
    <mergeCell ref="E1088:G1088"/>
    <mergeCell ref="E1089:G1089"/>
    <mergeCell ref="E1025:G1025"/>
    <mergeCell ref="I1025:K1025"/>
    <mergeCell ref="E1026:G1026"/>
    <mergeCell ref="I1026:K1036"/>
    <mergeCell ref="E1027:G1027"/>
    <mergeCell ref="E1028:G1028"/>
    <mergeCell ref="E1029:G1029"/>
    <mergeCell ref="E1037:G1037"/>
    <mergeCell ref="I1037:K1037"/>
    <mergeCell ref="E1038:G1038"/>
    <mergeCell ref="I1038:K1048"/>
    <mergeCell ref="E1039:G1039"/>
    <mergeCell ref="E1040:G1040"/>
    <mergeCell ref="E1041:G1041"/>
    <mergeCell ref="E1049:G1049"/>
    <mergeCell ref="I1049:K1049"/>
    <mergeCell ref="E1050:G1050"/>
    <mergeCell ref="I1050:K1060"/>
    <mergeCell ref="E1051:G1051"/>
    <mergeCell ref="E1052:G1052"/>
    <mergeCell ref="E1053:G1053"/>
    <mergeCell ref="E990:G990"/>
    <mergeCell ref="I990:K1000"/>
    <mergeCell ref="E991:G991"/>
    <mergeCell ref="E992:G992"/>
    <mergeCell ref="E993:G993"/>
    <mergeCell ref="E1001:G1001"/>
    <mergeCell ref="I1001:K1001"/>
    <mergeCell ref="E1002:G1002"/>
    <mergeCell ref="I1002:K1012"/>
    <mergeCell ref="E1003:G1003"/>
    <mergeCell ref="E1004:G1004"/>
    <mergeCell ref="E1005:G1005"/>
    <mergeCell ref="E1013:G1013"/>
    <mergeCell ref="I1013:K1013"/>
    <mergeCell ref="E1014:G1014"/>
    <mergeCell ref="I1014:K1024"/>
    <mergeCell ref="E1015:G1015"/>
    <mergeCell ref="E1016:G1016"/>
    <mergeCell ref="E1017:G1017"/>
    <mergeCell ref="E785:G785"/>
    <mergeCell ref="I785:K785"/>
    <mergeCell ref="E809:G809"/>
    <mergeCell ref="I809:K809"/>
    <mergeCell ref="E810:G810"/>
    <mergeCell ref="I810:K820"/>
    <mergeCell ref="E811:G811"/>
    <mergeCell ref="E812:G812"/>
    <mergeCell ref="E813:G813"/>
    <mergeCell ref="E786:G786"/>
    <mergeCell ref="I786:K796"/>
    <mergeCell ref="E787:G787"/>
    <mergeCell ref="E788:G788"/>
    <mergeCell ref="E789:G789"/>
    <mergeCell ref="E797:G797"/>
    <mergeCell ref="I797:K797"/>
    <mergeCell ref="E798:G798"/>
    <mergeCell ref="I798:K808"/>
    <mergeCell ref="E799:G799"/>
    <mergeCell ref="E800:G800"/>
    <mergeCell ref="E801:G801"/>
    <mergeCell ref="E749:G749"/>
    <mergeCell ref="I749:K749"/>
    <mergeCell ref="E750:G750"/>
    <mergeCell ref="I750:K760"/>
    <mergeCell ref="E751:G751"/>
    <mergeCell ref="E752:G752"/>
    <mergeCell ref="E753:G753"/>
    <mergeCell ref="E761:G761"/>
    <mergeCell ref="I761:K761"/>
    <mergeCell ref="E762:G762"/>
    <mergeCell ref="I762:K772"/>
    <mergeCell ref="E763:G763"/>
    <mergeCell ref="E764:G764"/>
    <mergeCell ref="E765:G765"/>
    <mergeCell ref="E773:G773"/>
    <mergeCell ref="I773:K773"/>
    <mergeCell ref="E774:G774"/>
    <mergeCell ref="I774:K784"/>
    <mergeCell ref="E775:G775"/>
    <mergeCell ref="E776:G776"/>
    <mergeCell ref="E777:G777"/>
    <mergeCell ref="E713:G713"/>
    <mergeCell ref="I713:K713"/>
    <mergeCell ref="E714:G714"/>
    <mergeCell ref="I714:K724"/>
    <mergeCell ref="E715:G715"/>
    <mergeCell ref="E716:G716"/>
    <mergeCell ref="E717:G717"/>
    <mergeCell ref="E725:G725"/>
    <mergeCell ref="I725:K725"/>
    <mergeCell ref="E726:G726"/>
    <mergeCell ref="I726:K736"/>
    <mergeCell ref="E727:G727"/>
    <mergeCell ref="E728:G728"/>
    <mergeCell ref="E729:G729"/>
    <mergeCell ref="E737:G737"/>
    <mergeCell ref="I737:K737"/>
    <mergeCell ref="E738:G738"/>
    <mergeCell ref="I738:K748"/>
    <mergeCell ref="E739:G739"/>
    <mergeCell ref="E740:G740"/>
    <mergeCell ref="E741:G741"/>
    <mergeCell ref="E679:G679"/>
    <mergeCell ref="E680:G680"/>
    <mergeCell ref="E681:G681"/>
    <mergeCell ref="E689:G689"/>
    <mergeCell ref="I689:K689"/>
    <mergeCell ref="E690:G690"/>
    <mergeCell ref="I690:K700"/>
    <mergeCell ref="E691:G691"/>
    <mergeCell ref="E692:G692"/>
    <mergeCell ref="E693:G693"/>
    <mergeCell ref="E701:G701"/>
    <mergeCell ref="I701:K701"/>
    <mergeCell ref="E702:G702"/>
    <mergeCell ref="I702:K712"/>
    <mergeCell ref="E703:G703"/>
    <mergeCell ref="E704:G704"/>
    <mergeCell ref="E705:G705"/>
    <mergeCell ref="E487:G487"/>
    <mergeCell ref="J487:L487"/>
    <mergeCell ref="E488:G488"/>
    <mergeCell ref="J488:L488"/>
    <mergeCell ref="E489:G489"/>
    <mergeCell ref="J489:L489"/>
    <mergeCell ref="E477:G477"/>
    <mergeCell ref="J477:L477"/>
    <mergeCell ref="E485:G485"/>
    <mergeCell ref="J485:L485"/>
    <mergeCell ref="E486:G486"/>
    <mergeCell ref="J486:L486"/>
    <mergeCell ref="E500:G500"/>
    <mergeCell ref="J500:L500"/>
    <mergeCell ref="E501:G501"/>
    <mergeCell ref="J501:L501"/>
    <mergeCell ref="E497:G497"/>
    <mergeCell ref="J497:L497"/>
    <mergeCell ref="E498:G498"/>
    <mergeCell ref="J498:L498"/>
    <mergeCell ref="E499:G499"/>
    <mergeCell ref="J499:L499"/>
    <mergeCell ref="E461:G461"/>
    <mergeCell ref="J461:L461"/>
    <mergeCell ref="E462:G462"/>
    <mergeCell ref="J462:L462"/>
    <mergeCell ref="E463:G463"/>
    <mergeCell ref="J463:L463"/>
    <mergeCell ref="E451:G451"/>
    <mergeCell ref="J451:L451"/>
    <mergeCell ref="E452:G452"/>
    <mergeCell ref="J452:L452"/>
    <mergeCell ref="E453:G453"/>
    <mergeCell ref="J453:L453"/>
    <mergeCell ref="E474:G474"/>
    <mergeCell ref="J474:L474"/>
    <mergeCell ref="E475:G475"/>
    <mergeCell ref="J475:L475"/>
    <mergeCell ref="E476:G476"/>
    <mergeCell ref="J476:L476"/>
    <mergeCell ref="E464:G464"/>
    <mergeCell ref="J464:L464"/>
    <mergeCell ref="E465:G465"/>
    <mergeCell ref="J465:L465"/>
    <mergeCell ref="E473:G473"/>
    <mergeCell ref="J473:L473"/>
    <mergeCell ref="E428:G428"/>
    <mergeCell ref="J428:L428"/>
    <mergeCell ref="E429:G429"/>
    <mergeCell ref="J429:L429"/>
    <mergeCell ref="E437:G437"/>
    <mergeCell ref="J437:L437"/>
    <mergeCell ref="E425:G425"/>
    <mergeCell ref="J425:L425"/>
    <mergeCell ref="E426:G426"/>
    <mergeCell ref="J426:L426"/>
    <mergeCell ref="E427:G427"/>
    <mergeCell ref="J427:L427"/>
    <mergeCell ref="E441:G441"/>
    <mergeCell ref="J441:L441"/>
    <mergeCell ref="E449:G449"/>
    <mergeCell ref="J449:L449"/>
    <mergeCell ref="E450:G450"/>
    <mergeCell ref="J450:L450"/>
    <mergeCell ref="E438:G438"/>
    <mergeCell ref="J438:L438"/>
    <mergeCell ref="E439:G439"/>
    <mergeCell ref="J439:L439"/>
    <mergeCell ref="E440:G440"/>
    <mergeCell ref="J440:L440"/>
    <mergeCell ref="E388:G388"/>
    <mergeCell ref="I388:K388"/>
    <mergeCell ref="E389:G389"/>
    <mergeCell ref="I389:K399"/>
    <mergeCell ref="E390:G390"/>
    <mergeCell ref="E391:G391"/>
    <mergeCell ref="E392:G392"/>
    <mergeCell ref="E376:G376"/>
    <mergeCell ref="I376:K376"/>
    <mergeCell ref="E377:G377"/>
    <mergeCell ref="I377:K387"/>
    <mergeCell ref="E378:G378"/>
    <mergeCell ref="E379:G379"/>
    <mergeCell ref="E380:G380"/>
    <mergeCell ref="E412:G412"/>
    <mergeCell ref="I412:K412"/>
    <mergeCell ref="E413:G413"/>
    <mergeCell ref="I413:K423"/>
    <mergeCell ref="E414:G414"/>
    <mergeCell ref="E415:G415"/>
    <mergeCell ref="E416:G416"/>
    <mergeCell ref="E400:G400"/>
    <mergeCell ref="I400:K400"/>
    <mergeCell ref="E401:G401"/>
    <mergeCell ref="I401:K411"/>
    <mergeCell ref="E402:G402"/>
    <mergeCell ref="E403:G403"/>
    <mergeCell ref="E404:G404"/>
    <mergeCell ref="E340:G340"/>
    <mergeCell ref="I340:K340"/>
    <mergeCell ref="E341:G341"/>
    <mergeCell ref="I341:K351"/>
    <mergeCell ref="E342:G342"/>
    <mergeCell ref="E343:G343"/>
    <mergeCell ref="E344:G344"/>
    <mergeCell ref="E328:G328"/>
    <mergeCell ref="I328:K328"/>
    <mergeCell ref="E329:G329"/>
    <mergeCell ref="I329:K339"/>
    <mergeCell ref="E330:G330"/>
    <mergeCell ref="E331:G331"/>
    <mergeCell ref="E332:G332"/>
    <mergeCell ref="E364:G364"/>
    <mergeCell ref="I364:K364"/>
    <mergeCell ref="E365:G365"/>
    <mergeCell ref="I365:K375"/>
    <mergeCell ref="E366:G366"/>
    <mergeCell ref="E367:G367"/>
    <mergeCell ref="E368:G368"/>
    <mergeCell ref="E352:G352"/>
    <mergeCell ref="I352:K352"/>
    <mergeCell ref="E353:G353"/>
    <mergeCell ref="I353:K363"/>
    <mergeCell ref="E354:G354"/>
    <mergeCell ref="E355:G355"/>
    <mergeCell ref="E356:G356"/>
    <mergeCell ref="E292:G292"/>
    <mergeCell ref="I292:K292"/>
    <mergeCell ref="E293:G293"/>
    <mergeCell ref="I293:K303"/>
    <mergeCell ref="E294:G294"/>
    <mergeCell ref="E295:G295"/>
    <mergeCell ref="E296:G296"/>
    <mergeCell ref="E280:G280"/>
    <mergeCell ref="I280:K280"/>
    <mergeCell ref="E281:G281"/>
    <mergeCell ref="I281:K291"/>
    <mergeCell ref="E282:G282"/>
    <mergeCell ref="E283:G283"/>
    <mergeCell ref="E284:G284"/>
    <mergeCell ref="E316:G316"/>
    <mergeCell ref="I316:K316"/>
    <mergeCell ref="E317:G317"/>
    <mergeCell ref="I317:K327"/>
    <mergeCell ref="E318:G318"/>
    <mergeCell ref="E319:G319"/>
    <mergeCell ref="E320:G320"/>
    <mergeCell ref="E304:G304"/>
    <mergeCell ref="I304:K304"/>
    <mergeCell ref="E305:G305"/>
    <mergeCell ref="I305:K315"/>
    <mergeCell ref="E306:G306"/>
    <mergeCell ref="E307:G307"/>
    <mergeCell ref="E308:G308"/>
    <mergeCell ref="E244:G244"/>
    <mergeCell ref="I244:K244"/>
    <mergeCell ref="E245:G245"/>
    <mergeCell ref="I245:K255"/>
    <mergeCell ref="E246:G246"/>
    <mergeCell ref="E247:G247"/>
    <mergeCell ref="E248:G248"/>
    <mergeCell ref="E232:G232"/>
    <mergeCell ref="I232:K232"/>
    <mergeCell ref="E233:G233"/>
    <mergeCell ref="I233:K243"/>
    <mergeCell ref="E234:G234"/>
    <mergeCell ref="E235:G235"/>
    <mergeCell ref="E236:G236"/>
    <mergeCell ref="E268:G268"/>
    <mergeCell ref="I268:K268"/>
    <mergeCell ref="E269:G269"/>
    <mergeCell ref="I269:K279"/>
    <mergeCell ref="E270:G270"/>
    <mergeCell ref="E271:G271"/>
    <mergeCell ref="E272:G272"/>
    <mergeCell ref="E256:G256"/>
    <mergeCell ref="I256:K256"/>
    <mergeCell ref="E257:G257"/>
    <mergeCell ref="I257:K267"/>
    <mergeCell ref="E258:G258"/>
    <mergeCell ref="E259:G259"/>
    <mergeCell ref="E260:G260"/>
    <mergeCell ref="E184:G184"/>
    <mergeCell ref="I184:K184"/>
    <mergeCell ref="E185:G185"/>
    <mergeCell ref="I185:K195"/>
    <mergeCell ref="E186:G186"/>
    <mergeCell ref="E187:G187"/>
    <mergeCell ref="E188:G188"/>
    <mergeCell ref="E220:G220"/>
    <mergeCell ref="I220:K220"/>
    <mergeCell ref="E221:G221"/>
    <mergeCell ref="I221:K231"/>
    <mergeCell ref="E222:G222"/>
    <mergeCell ref="E223:G223"/>
    <mergeCell ref="E224:G224"/>
    <mergeCell ref="E208:G208"/>
    <mergeCell ref="I208:K208"/>
    <mergeCell ref="E209:G209"/>
    <mergeCell ref="I209:K219"/>
    <mergeCell ref="E210:G210"/>
    <mergeCell ref="E211:G211"/>
    <mergeCell ref="E212:G212"/>
    <mergeCell ref="E4:G4"/>
    <mergeCell ref="I4:K4"/>
    <mergeCell ref="E5:G5"/>
    <mergeCell ref="I5:K15"/>
    <mergeCell ref="E6:G6"/>
    <mergeCell ref="E7:G7"/>
    <mergeCell ref="E8:G8"/>
    <mergeCell ref="E16:G16"/>
    <mergeCell ref="I16:K16"/>
    <mergeCell ref="E139:G139"/>
    <mergeCell ref="E140:G140"/>
    <mergeCell ref="E172:G172"/>
    <mergeCell ref="I172:K172"/>
    <mergeCell ref="E173:G173"/>
    <mergeCell ref="I173:K183"/>
    <mergeCell ref="E174:G174"/>
    <mergeCell ref="E175:G175"/>
    <mergeCell ref="E176:G176"/>
    <mergeCell ref="E160:G160"/>
    <mergeCell ref="I160:K160"/>
    <mergeCell ref="E161:G161"/>
    <mergeCell ref="I161:K171"/>
    <mergeCell ref="E162:G162"/>
    <mergeCell ref="E163:G163"/>
    <mergeCell ref="E164:G164"/>
    <mergeCell ref="E40:G40"/>
    <mergeCell ref="I40:K40"/>
    <mergeCell ref="E41:G41"/>
    <mergeCell ref="I41:K51"/>
    <mergeCell ref="E42:G42"/>
    <mergeCell ref="E43:G43"/>
    <mergeCell ref="E44:G44"/>
    <mergeCell ref="E52:G52"/>
    <mergeCell ref="I52:K52"/>
    <mergeCell ref="E17:G17"/>
    <mergeCell ref="I17:K27"/>
    <mergeCell ref="E18:G18"/>
    <mergeCell ref="E19:G19"/>
    <mergeCell ref="E20:G20"/>
    <mergeCell ref="E28:G28"/>
    <mergeCell ref="I28:K28"/>
    <mergeCell ref="E29:G29"/>
    <mergeCell ref="I29:K39"/>
    <mergeCell ref="E30:G30"/>
    <mergeCell ref="E31:G31"/>
    <mergeCell ref="E32:G32"/>
    <mergeCell ref="E76:G76"/>
    <mergeCell ref="I76:K76"/>
    <mergeCell ref="E77:G77"/>
    <mergeCell ref="I77:K87"/>
    <mergeCell ref="E78:G78"/>
    <mergeCell ref="E79:G79"/>
    <mergeCell ref="E80:G80"/>
    <mergeCell ref="E88:G88"/>
    <mergeCell ref="I88:K88"/>
    <mergeCell ref="E53:G53"/>
    <mergeCell ref="I53:K63"/>
    <mergeCell ref="E54:G54"/>
    <mergeCell ref="E55:G55"/>
    <mergeCell ref="E56:G56"/>
    <mergeCell ref="E64:G64"/>
    <mergeCell ref="I64:K64"/>
    <mergeCell ref="E65:G65"/>
    <mergeCell ref="I65:K75"/>
    <mergeCell ref="E66:G66"/>
    <mergeCell ref="E67:G67"/>
    <mergeCell ref="E68:G68"/>
    <mergeCell ref="E138:G138"/>
    <mergeCell ref="E112:G112"/>
    <mergeCell ref="I112:K112"/>
    <mergeCell ref="E113:G113"/>
    <mergeCell ref="I113:K123"/>
    <mergeCell ref="E114:G114"/>
    <mergeCell ref="E115:G115"/>
    <mergeCell ref="E116:G116"/>
    <mergeCell ref="E124:G124"/>
    <mergeCell ref="I124:K124"/>
    <mergeCell ref="E89:G89"/>
    <mergeCell ref="I89:K99"/>
    <mergeCell ref="E90:G90"/>
    <mergeCell ref="E91:G91"/>
    <mergeCell ref="E92:G92"/>
    <mergeCell ref="E100:G100"/>
    <mergeCell ref="I100:K100"/>
    <mergeCell ref="E101:G101"/>
    <mergeCell ref="I101:K111"/>
    <mergeCell ref="E102:G102"/>
    <mergeCell ref="E103:G103"/>
    <mergeCell ref="E104:G104"/>
    <mergeCell ref="E521:G521"/>
    <mergeCell ref="I521:K521"/>
    <mergeCell ref="E522:G522"/>
    <mergeCell ref="I522:K532"/>
    <mergeCell ref="E523:G523"/>
    <mergeCell ref="E524:G524"/>
    <mergeCell ref="E525:G525"/>
    <mergeCell ref="E533:G533"/>
    <mergeCell ref="I533:K533"/>
    <mergeCell ref="E125:G125"/>
    <mergeCell ref="I125:K135"/>
    <mergeCell ref="E126:G126"/>
    <mergeCell ref="E127:G127"/>
    <mergeCell ref="E128:G128"/>
    <mergeCell ref="E509:G509"/>
    <mergeCell ref="I509:K509"/>
    <mergeCell ref="E510:G510"/>
    <mergeCell ref="I510:K520"/>
    <mergeCell ref="E511:G511"/>
    <mergeCell ref="E512:G512"/>
    <mergeCell ref="E513:G513"/>
    <mergeCell ref="E148:G148"/>
    <mergeCell ref="I148:K148"/>
    <mergeCell ref="E149:G149"/>
    <mergeCell ref="I149:K159"/>
    <mergeCell ref="E150:G150"/>
    <mergeCell ref="E151:G151"/>
    <mergeCell ref="E152:G152"/>
    <mergeCell ref="E136:G136"/>
    <mergeCell ref="I136:K136"/>
    <mergeCell ref="E137:G137"/>
    <mergeCell ref="I137:K147"/>
    <mergeCell ref="E557:G557"/>
    <mergeCell ref="I557:K557"/>
    <mergeCell ref="E558:G558"/>
    <mergeCell ref="I558:K568"/>
    <mergeCell ref="E559:G559"/>
    <mergeCell ref="E560:G560"/>
    <mergeCell ref="E561:G561"/>
    <mergeCell ref="E569:G569"/>
    <mergeCell ref="I569:K569"/>
    <mergeCell ref="E534:G534"/>
    <mergeCell ref="I534:K544"/>
    <mergeCell ref="E535:G535"/>
    <mergeCell ref="E536:G536"/>
    <mergeCell ref="E537:G537"/>
    <mergeCell ref="E545:G545"/>
    <mergeCell ref="I545:K545"/>
    <mergeCell ref="E546:G546"/>
    <mergeCell ref="I546:K556"/>
    <mergeCell ref="E547:G547"/>
    <mergeCell ref="E548:G548"/>
    <mergeCell ref="E549:G549"/>
    <mergeCell ref="E196:G196"/>
    <mergeCell ref="I196:K196"/>
    <mergeCell ref="E197:G197"/>
    <mergeCell ref="I197:K207"/>
    <mergeCell ref="E198:G198"/>
    <mergeCell ref="E199:G199"/>
    <mergeCell ref="E200:G200"/>
    <mergeCell ref="E593:G593"/>
    <mergeCell ref="I593:K593"/>
    <mergeCell ref="E594:G594"/>
    <mergeCell ref="I594:K604"/>
    <mergeCell ref="E595:G595"/>
    <mergeCell ref="E596:G596"/>
    <mergeCell ref="E597:G597"/>
    <mergeCell ref="E605:G605"/>
    <mergeCell ref="I605:K605"/>
    <mergeCell ref="E570:G570"/>
    <mergeCell ref="I570:K580"/>
    <mergeCell ref="E571:G571"/>
    <mergeCell ref="E572:G572"/>
    <mergeCell ref="E573:G573"/>
    <mergeCell ref="E581:G581"/>
    <mergeCell ref="I581:K581"/>
    <mergeCell ref="E582:G582"/>
    <mergeCell ref="I582:K592"/>
    <mergeCell ref="E583:G583"/>
    <mergeCell ref="E584:G584"/>
    <mergeCell ref="E585:G585"/>
    <mergeCell ref="E629:G629"/>
    <mergeCell ref="I629:K629"/>
    <mergeCell ref="E630:G630"/>
    <mergeCell ref="I630:K640"/>
    <mergeCell ref="E631:G631"/>
    <mergeCell ref="E632:G632"/>
    <mergeCell ref="E633:G633"/>
    <mergeCell ref="E641:G641"/>
    <mergeCell ref="I641:K641"/>
    <mergeCell ref="E606:G606"/>
    <mergeCell ref="I606:K616"/>
    <mergeCell ref="E607:G607"/>
    <mergeCell ref="E608:G608"/>
    <mergeCell ref="E609:G609"/>
    <mergeCell ref="E617:G617"/>
    <mergeCell ref="I617:K617"/>
    <mergeCell ref="E618:G618"/>
    <mergeCell ref="I618:K628"/>
    <mergeCell ref="E619:G619"/>
    <mergeCell ref="E620:G620"/>
    <mergeCell ref="E621:G621"/>
    <mergeCell ref="E821:G821"/>
    <mergeCell ref="I821:K821"/>
    <mergeCell ref="E822:G822"/>
    <mergeCell ref="I822:K832"/>
    <mergeCell ref="E823:G823"/>
    <mergeCell ref="E824:G824"/>
    <mergeCell ref="E825:G825"/>
    <mergeCell ref="E833:G833"/>
    <mergeCell ref="I833:K833"/>
    <mergeCell ref="E642:G642"/>
    <mergeCell ref="I642:K652"/>
    <mergeCell ref="E643:G643"/>
    <mergeCell ref="E644:G644"/>
    <mergeCell ref="E645:G645"/>
    <mergeCell ref="E653:G653"/>
    <mergeCell ref="I653:K653"/>
    <mergeCell ref="E654:G654"/>
    <mergeCell ref="I654:K664"/>
    <mergeCell ref="E655:G655"/>
    <mergeCell ref="E656:G656"/>
    <mergeCell ref="E657:G657"/>
    <mergeCell ref="E665:G665"/>
    <mergeCell ref="I665:K665"/>
    <mergeCell ref="E666:G666"/>
    <mergeCell ref="I666:K676"/>
    <mergeCell ref="E667:G667"/>
    <mergeCell ref="E668:G668"/>
    <mergeCell ref="E669:G669"/>
    <mergeCell ref="E677:G677"/>
    <mergeCell ref="I677:K677"/>
    <mergeCell ref="E678:G678"/>
    <mergeCell ref="I678:K688"/>
    <mergeCell ref="E857:G857"/>
    <mergeCell ref="I857:K857"/>
    <mergeCell ref="E858:G858"/>
    <mergeCell ref="I858:K868"/>
    <mergeCell ref="E859:G859"/>
    <mergeCell ref="E860:G860"/>
    <mergeCell ref="E861:G861"/>
    <mergeCell ref="E869:G869"/>
    <mergeCell ref="I869:K869"/>
    <mergeCell ref="E834:G834"/>
    <mergeCell ref="I834:K844"/>
    <mergeCell ref="E835:G835"/>
    <mergeCell ref="E836:G836"/>
    <mergeCell ref="E837:G837"/>
    <mergeCell ref="E845:G845"/>
    <mergeCell ref="I845:K845"/>
    <mergeCell ref="E846:G846"/>
    <mergeCell ref="I846:K856"/>
    <mergeCell ref="E847:G847"/>
    <mergeCell ref="E848:G848"/>
    <mergeCell ref="E849:G849"/>
    <mergeCell ref="E893:G893"/>
    <mergeCell ref="I893:K893"/>
    <mergeCell ref="E894:G894"/>
    <mergeCell ref="I894:K904"/>
    <mergeCell ref="E895:G895"/>
    <mergeCell ref="E896:G896"/>
    <mergeCell ref="E897:G897"/>
    <mergeCell ref="E905:G905"/>
    <mergeCell ref="I905:K905"/>
    <mergeCell ref="E870:G870"/>
    <mergeCell ref="I870:K880"/>
    <mergeCell ref="E871:G871"/>
    <mergeCell ref="E872:G872"/>
    <mergeCell ref="E873:G873"/>
    <mergeCell ref="E881:G881"/>
    <mergeCell ref="I881:K881"/>
    <mergeCell ref="E882:G882"/>
    <mergeCell ref="I882:K892"/>
    <mergeCell ref="E883:G883"/>
    <mergeCell ref="E884:G884"/>
    <mergeCell ref="E885:G885"/>
    <mergeCell ref="E929:G929"/>
    <mergeCell ref="I929:K929"/>
    <mergeCell ref="E930:G930"/>
    <mergeCell ref="I930:K940"/>
    <mergeCell ref="E931:G931"/>
    <mergeCell ref="E932:G932"/>
    <mergeCell ref="E933:G933"/>
    <mergeCell ref="E941:G941"/>
    <mergeCell ref="I941:K941"/>
    <mergeCell ref="E906:G906"/>
    <mergeCell ref="I906:K916"/>
    <mergeCell ref="E907:G907"/>
    <mergeCell ref="E908:G908"/>
    <mergeCell ref="E909:G909"/>
    <mergeCell ref="E917:G917"/>
    <mergeCell ref="I917:K917"/>
    <mergeCell ref="E918:G918"/>
    <mergeCell ref="I918:K928"/>
    <mergeCell ref="E919:G919"/>
    <mergeCell ref="E920:G920"/>
    <mergeCell ref="E921:G921"/>
    <mergeCell ref="I1182:K1192"/>
    <mergeCell ref="E1183:G1183"/>
    <mergeCell ref="E1184:G1184"/>
    <mergeCell ref="E1185:G1185"/>
    <mergeCell ref="E942:G942"/>
    <mergeCell ref="I942:K952"/>
    <mergeCell ref="E943:G943"/>
    <mergeCell ref="E944:G944"/>
    <mergeCell ref="E945:G945"/>
    <mergeCell ref="E953:G953"/>
    <mergeCell ref="I953:K953"/>
    <mergeCell ref="E954:G954"/>
    <mergeCell ref="I954:K964"/>
    <mergeCell ref="E955:G955"/>
    <mergeCell ref="E956:G956"/>
    <mergeCell ref="E957:G957"/>
    <mergeCell ref="E965:G965"/>
    <mergeCell ref="I965:K965"/>
    <mergeCell ref="E966:G966"/>
    <mergeCell ref="I966:K976"/>
    <mergeCell ref="E967:G967"/>
    <mergeCell ref="E968:G968"/>
    <mergeCell ref="E969:G969"/>
    <mergeCell ref="E977:G977"/>
    <mergeCell ref="I977:K977"/>
    <mergeCell ref="E978:G978"/>
    <mergeCell ref="I978:K988"/>
    <mergeCell ref="E979:G979"/>
    <mergeCell ref="E980:G980"/>
    <mergeCell ref="E981:G981"/>
    <mergeCell ref="E989:G989"/>
    <mergeCell ref="I989:K989"/>
    <mergeCell ref="I1217:K1217"/>
    <mergeCell ref="E1218:G1218"/>
    <mergeCell ref="I1218:K1228"/>
    <mergeCell ref="E1219:G1219"/>
    <mergeCell ref="E1220:G1220"/>
    <mergeCell ref="E1221:G1221"/>
    <mergeCell ref="E1229:G1229"/>
    <mergeCell ref="I1229:K1229"/>
    <mergeCell ref="E1230:G1230"/>
    <mergeCell ref="I1230:K1240"/>
    <mergeCell ref="E1231:G1231"/>
    <mergeCell ref="E1232:G1232"/>
    <mergeCell ref="E1233:G1233"/>
    <mergeCell ref="I1193:K1193"/>
    <mergeCell ref="E1194:G1194"/>
    <mergeCell ref="I1194:K1204"/>
    <mergeCell ref="E1195:G1195"/>
    <mergeCell ref="E1196:G1196"/>
    <mergeCell ref="E1197:G1197"/>
    <mergeCell ref="E1205:G1205"/>
    <mergeCell ref="I1205:K1205"/>
    <mergeCell ref="E1206:G1206"/>
    <mergeCell ref="I1206:K1216"/>
    <mergeCell ref="E1207:G1207"/>
    <mergeCell ref="E1208:G1208"/>
    <mergeCell ref="E1209:G1209"/>
    <mergeCell ref="I1265:K1265"/>
    <mergeCell ref="E1266:G1266"/>
    <mergeCell ref="I1266:K1276"/>
    <mergeCell ref="E1267:G1267"/>
    <mergeCell ref="E1268:G1268"/>
    <mergeCell ref="E1269:G1269"/>
    <mergeCell ref="E1277:G1277"/>
    <mergeCell ref="I1277:K1277"/>
    <mergeCell ref="E1278:G1278"/>
    <mergeCell ref="I1278:K1288"/>
    <mergeCell ref="E1279:G1279"/>
    <mergeCell ref="E1280:G1280"/>
    <mergeCell ref="E1281:G1281"/>
    <mergeCell ref="I1241:K1241"/>
    <mergeCell ref="E1242:G1242"/>
    <mergeCell ref="I1242:K1252"/>
    <mergeCell ref="E1243:G1243"/>
    <mergeCell ref="E1244:G1244"/>
    <mergeCell ref="E1245:G1245"/>
    <mergeCell ref="E1253:G1253"/>
    <mergeCell ref="I1253:K1253"/>
    <mergeCell ref="E1254:G1254"/>
    <mergeCell ref="I1254:K1264"/>
    <mergeCell ref="E1255:G1255"/>
    <mergeCell ref="E1256:G1256"/>
    <mergeCell ref="E1257:G1257"/>
    <mergeCell ref="I1326:K1336"/>
    <mergeCell ref="E1327:G1327"/>
    <mergeCell ref="E1328:G1328"/>
    <mergeCell ref="E1329:G1329"/>
    <mergeCell ref="I1289:K1289"/>
    <mergeCell ref="E1290:G1290"/>
    <mergeCell ref="I1290:K1300"/>
    <mergeCell ref="E1291:G1291"/>
    <mergeCell ref="E1292:G1292"/>
    <mergeCell ref="E1293:G1293"/>
    <mergeCell ref="E1301:G1301"/>
    <mergeCell ref="I1301:K1301"/>
    <mergeCell ref="E1302:G1302"/>
    <mergeCell ref="I1302:K1312"/>
    <mergeCell ref="E1303:G1303"/>
    <mergeCell ref="E1304:G1304"/>
    <mergeCell ref="E1305:G1305"/>
    <mergeCell ref="I1337:K1337"/>
    <mergeCell ref="E1338:G1338"/>
    <mergeCell ref="I1338:K1348"/>
    <mergeCell ref="E1339:G1339"/>
    <mergeCell ref="E1340:G1340"/>
    <mergeCell ref="E1341:G1341"/>
    <mergeCell ref="E1157:G1157"/>
    <mergeCell ref="I1157:K1157"/>
    <mergeCell ref="E1158:G1158"/>
    <mergeCell ref="I1158:K1168"/>
    <mergeCell ref="E1159:G1159"/>
    <mergeCell ref="E1160:G1160"/>
    <mergeCell ref="E1161:G1161"/>
    <mergeCell ref="E1169:G1169"/>
    <mergeCell ref="I1169:K1169"/>
    <mergeCell ref="E1170:G1170"/>
    <mergeCell ref="I1170:K1180"/>
    <mergeCell ref="E1171:G1171"/>
    <mergeCell ref="E1172:G1172"/>
    <mergeCell ref="E1173:G1173"/>
    <mergeCell ref="E1181:G1181"/>
    <mergeCell ref="I1181:K1181"/>
    <mergeCell ref="E1182:G1182"/>
    <mergeCell ref="I1313:K1313"/>
    <mergeCell ref="E1314:G1314"/>
    <mergeCell ref="I1314:K1324"/>
    <mergeCell ref="E1315:G1315"/>
    <mergeCell ref="E1316:G1316"/>
    <mergeCell ref="E1317:G1317"/>
    <mergeCell ref="E1325:G1325"/>
    <mergeCell ref="I1325:K1325"/>
    <mergeCell ref="E1326:G1326"/>
    <mergeCell ref="E1602:G1602"/>
    <mergeCell ref="I1602:K1612"/>
    <mergeCell ref="E1603:G1603"/>
    <mergeCell ref="E1604:G1604"/>
    <mergeCell ref="E1605:G1605"/>
    <mergeCell ref="E1613:G1613"/>
    <mergeCell ref="I1613:K1613"/>
    <mergeCell ref="E1614:G1614"/>
    <mergeCell ref="I1614:K1624"/>
    <mergeCell ref="E1615:G1615"/>
    <mergeCell ref="E1616:G1616"/>
    <mergeCell ref="E1617:G1617"/>
    <mergeCell ref="E1589:G1589"/>
    <mergeCell ref="I1589:K1589"/>
    <mergeCell ref="E1590:G1590"/>
    <mergeCell ref="I1590:K1600"/>
    <mergeCell ref="E1591:G1591"/>
    <mergeCell ref="E1592:G1592"/>
    <mergeCell ref="E1593:G1593"/>
    <mergeCell ref="E1601:G1601"/>
    <mergeCell ref="I1601:K1601"/>
    <mergeCell ref="E1638:G1638"/>
    <mergeCell ref="I1638:K1648"/>
    <mergeCell ref="E1639:G1639"/>
    <mergeCell ref="E1640:G1640"/>
    <mergeCell ref="E1641:G1641"/>
    <mergeCell ref="E1649:G1649"/>
    <mergeCell ref="I1649:K1649"/>
    <mergeCell ref="E1650:G1650"/>
    <mergeCell ref="I1650:K1660"/>
    <mergeCell ref="E1651:G1651"/>
    <mergeCell ref="E1652:G1652"/>
    <mergeCell ref="E1653:G1653"/>
    <mergeCell ref="E1625:G1625"/>
    <mergeCell ref="I1625:K1625"/>
    <mergeCell ref="E1626:G1626"/>
    <mergeCell ref="I1626:K1636"/>
    <mergeCell ref="E1627:G1627"/>
    <mergeCell ref="E1628:G1628"/>
    <mergeCell ref="E1629:G1629"/>
    <mergeCell ref="E1637:G1637"/>
    <mergeCell ref="I1637:K1637"/>
    <mergeCell ref="E1674:G1674"/>
    <mergeCell ref="I1674:K1684"/>
    <mergeCell ref="E1675:G1675"/>
    <mergeCell ref="E1676:G1676"/>
    <mergeCell ref="E1677:G1677"/>
    <mergeCell ref="E1685:G1685"/>
    <mergeCell ref="I1685:K1685"/>
    <mergeCell ref="E1686:G1686"/>
    <mergeCell ref="I1686:K1696"/>
    <mergeCell ref="E1687:G1687"/>
    <mergeCell ref="E1688:G1688"/>
    <mergeCell ref="E1689:G1689"/>
    <mergeCell ref="E1661:G1661"/>
    <mergeCell ref="I1661:K1661"/>
    <mergeCell ref="E1662:G1662"/>
    <mergeCell ref="I1662:K1672"/>
    <mergeCell ref="E1663:G1663"/>
    <mergeCell ref="E1664:G1664"/>
    <mergeCell ref="E1665:G1665"/>
    <mergeCell ref="E1673:G1673"/>
    <mergeCell ref="I1673:K1673"/>
    <mergeCell ref="I1829:K1829"/>
    <mergeCell ref="E1830:G1830"/>
    <mergeCell ref="I1830:K1840"/>
    <mergeCell ref="E1831:G1831"/>
    <mergeCell ref="E1832:G1832"/>
    <mergeCell ref="E1833:G1833"/>
    <mergeCell ref="E1841:G1841"/>
    <mergeCell ref="I1841:K1841"/>
    <mergeCell ref="E1842:G1842"/>
    <mergeCell ref="I1842:K1852"/>
    <mergeCell ref="E1843:G1843"/>
    <mergeCell ref="E1844:G1844"/>
    <mergeCell ref="E1845:G1845"/>
    <mergeCell ref="E1853:G1853"/>
    <mergeCell ref="I1853:K1853"/>
    <mergeCell ref="E1854:G1854"/>
    <mergeCell ref="I1854:K1864"/>
    <mergeCell ref="E1855:G1855"/>
    <mergeCell ref="E1856:G1856"/>
    <mergeCell ref="E1857:G1857"/>
    <mergeCell ref="E1865:G1865"/>
    <mergeCell ref="I1865:K1865"/>
    <mergeCell ref="E1866:G1866"/>
    <mergeCell ref="I1866:K1876"/>
    <mergeCell ref="E1867:G1867"/>
    <mergeCell ref="E1868:G1868"/>
    <mergeCell ref="E1869:G1869"/>
    <mergeCell ref="E1877:G1877"/>
    <mergeCell ref="I1877:K1877"/>
    <mergeCell ref="E1878:G1878"/>
    <mergeCell ref="I1878:K1888"/>
    <mergeCell ref="E1879:G1879"/>
    <mergeCell ref="E1880:G1880"/>
    <mergeCell ref="E1881:G1881"/>
    <mergeCell ref="E1889:G1889"/>
    <mergeCell ref="I1889:K1889"/>
    <mergeCell ref="E1890:G1890"/>
    <mergeCell ref="I1890:K1900"/>
    <mergeCell ref="E1891:G1891"/>
    <mergeCell ref="E1892:G1892"/>
    <mergeCell ref="E1893:G1893"/>
    <mergeCell ref="E1901:G1901"/>
    <mergeCell ref="I1901:K1901"/>
    <mergeCell ref="E1902:G1902"/>
    <mergeCell ref="I1902:K1912"/>
    <mergeCell ref="E1903:G1903"/>
    <mergeCell ref="E1904:G1904"/>
    <mergeCell ref="E1905:G1905"/>
    <mergeCell ref="E1913:G1913"/>
    <mergeCell ref="I1913:K1913"/>
    <mergeCell ref="E1914:G1914"/>
    <mergeCell ref="I1914:K1924"/>
    <mergeCell ref="E1915:G1915"/>
    <mergeCell ref="E1916:G1916"/>
    <mergeCell ref="E1917:G1917"/>
    <mergeCell ref="E1925:G1925"/>
    <mergeCell ref="I1925:K1925"/>
    <mergeCell ref="E1926:G1926"/>
    <mergeCell ref="I1926:K1936"/>
    <mergeCell ref="E1927:G1927"/>
    <mergeCell ref="E1928:G1928"/>
    <mergeCell ref="E1929:G1929"/>
    <mergeCell ref="E1937:G1937"/>
    <mergeCell ref="I1937:K1937"/>
    <mergeCell ref="E1938:G1938"/>
    <mergeCell ref="I1938:K1948"/>
    <mergeCell ref="E1939:G1939"/>
    <mergeCell ref="E1940:G1940"/>
    <mergeCell ref="E1941:G1941"/>
    <mergeCell ref="E1949:G1949"/>
    <mergeCell ref="I1949:K1949"/>
    <mergeCell ref="E1950:G1950"/>
    <mergeCell ref="I1950:K1960"/>
    <mergeCell ref="E1951:G1951"/>
    <mergeCell ref="E1952:G1952"/>
    <mergeCell ref="E1953:G1953"/>
    <mergeCell ref="E1961:G1961"/>
    <mergeCell ref="I1961:K1961"/>
    <mergeCell ref="E1962:G1962"/>
    <mergeCell ref="I1962:K1972"/>
    <mergeCell ref="E1963:G1963"/>
    <mergeCell ref="E1964:G1964"/>
    <mergeCell ref="E1965:G1965"/>
    <mergeCell ref="E1973:G1973"/>
    <mergeCell ref="I1973:K1973"/>
    <mergeCell ref="E1974:G1974"/>
    <mergeCell ref="I1974:K1984"/>
    <mergeCell ref="E1975:G1975"/>
    <mergeCell ref="E1976:G1976"/>
    <mergeCell ref="E1977:G1977"/>
    <mergeCell ref="E1985:G1985"/>
    <mergeCell ref="I1985:K1985"/>
    <mergeCell ref="E1986:G1986"/>
    <mergeCell ref="I1986:K1996"/>
    <mergeCell ref="E1987:G1987"/>
    <mergeCell ref="E1988:G1988"/>
    <mergeCell ref="E1989:G1989"/>
    <mergeCell ref="E1997:G1997"/>
    <mergeCell ref="I1997:K1997"/>
    <mergeCell ref="E1998:G1998"/>
    <mergeCell ref="I1998:K2008"/>
    <mergeCell ref="E1999:G1999"/>
    <mergeCell ref="E2000:G2000"/>
    <mergeCell ref="E2001:G2001"/>
    <mergeCell ref="E2009:G2009"/>
    <mergeCell ref="I2009:K2009"/>
    <mergeCell ref="E2010:G2010"/>
    <mergeCell ref="I2010:K2020"/>
    <mergeCell ref="E2011:G2011"/>
    <mergeCell ref="E2012:G2012"/>
    <mergeCell ref="E2013:G2013"/>
    <mergeCell ref="E2083:G2083"/>
    <mergeCell ref="E2084:G2084"/>
    <mergeCell ref="E2085:G2085"/>
    <mergeCell ref="E2021:G2021"/>
    <mergeCell ref="I2021:K2021"/>
    <mergeCell ref="E2022:G2022"/>
    <mergeCell ref="I2022:K2032"/>
    <mergeCell ref="E2023:G2023"/>
    <mergeCell ref="E2024:G2024"/>
    <mergeCell ref="E2025:G2025"/>
    <mergeCell ref="E2033:G2033"/>
    <mergeCell ref="I2033:K2033"/>
    <mergeCell ref="E2034:G2034"/>
    <mergeCell ref="I2034:K2044"/>
    <mergeCell ref="E2035:G2035"/>
    <mergeCell ref="E2036:G2036"/>
    <mergeCell ref="E2037:G2037"/>
    <mergeCell ref="E2045:G2045"/>
    <mergeCell ref="I2045:K2045"/>
    <mergeCell ref="E2046:G2046"/>
    <mergeCell ref="I2046:K2056"/>
    <mergeCell ref="E2047:G2047"/>
    <mergeCell ref="E2048:G2048"/>
    <mergeCell ref="E2049:G2049"/>
    <mergeCell ref="E2093:G2093"/>
    <mergeCell ref="I2093:K2093"/>
    <mergeCell ref="E2094:G2094"/>
    <mergeCell ref="I2094:K2104"/>
    <mergeCell ref="E2095:G2095"/>
    <mergeCell ref="E2096:G2096"/>
    <mergeCell ref="E2097:G2097"/>
    <mergeCell ref="E2105:G2105"/>
    <mergeCell ref="I2105:K2105"/>
    <mergeCell ref="E2106:G2106"/>
    <mergeCell ref="I2106:K2116"/>
    <mergeCell ref="E2107:G2107"/>
    <mergeCell ref="E2108:G2108"/>
    <mergeCell ref="E2109:G2109"/>
    <mergeCell ref="E2057:G2057"/>
    <mergeCell ref="I2057:K2057"/>
    <mergeCell ref="E2058:G2058"/>
    <mergeCell ref="I2058:K2068"/>
    <mergeCell ref="E2059:G2059"/>
    <mergeCell ref="E2060:G2060"/>
    <mergeCell ref="E2061:G2061"/>
    <mergeCell ref="E2069:G2069"/>
    <mergeCell ref="I2069:K2069"/>
    <mergeCell ref="E2070:G2070"/>
    <mergeCell ref="I2070:K2080"/>
    <mergeCell ref="E2071:G2071"/>
    <mergeCell ref="E2072:G2072"/>
    <mergeCell ref="E2073:G2073"/>
    <mergeCell ref="E2081:G2081"/>
    <mergeCell ref="I2081:K2081"/>
    <mergeCell ref="E2082:G2082"/>
    <mergeCell ref="I2082:K2092"/>
    <mergeCell ref="E2285:G2285"/>
    <mergeCell ref="I2285:K2285"/>
    <mergeCell ref="E2286:G2286"/>
    <mergeCell ref="I2286:K2296"/>
    <mergeCell ref="E2287:G2287"/>
    <mergeCell ref="E2288:G2288"/>
    <mergeCell ref="E2289:G2289"/>
    <mergeCell ref="E2297:G2297"/>
    <mergeCell ref="I2297:K2297"/>
    <mergeCell ref="E2298:G2298"/>
    <mergeCell ref="I2298:K2308"/>
    <mergeCell ref="E2299:G2299"/>
    <mergeCell ref="E2300:G2300"/>
    <mergeCell ref="E2301:G2301"/>
    <mergeCell ref="E2309:G2309"/>
    <mergeCell ref="I2309:K2309"/>
    <mergeCell ref="E2310:G2310"/>
    <mergeCell ref="I2310:K2320"/>
    <mergeCell ref="E2311:G2311"/>
    <mergeCell ref="E2312:G2312"/>
    <mergeCell ref="E2313:G2313"/>
    <mergeCell ref="E2321:G2321"/>
    <mergeCell ref="I2321:K2321"/>
    <mergeCell ref="E2322:G2322"/>
    <mergeCell ref="I2322:K2332"/>
    <mergeCell ref="E2323:G2323"/>
    <mergeCell ref="E2324:G2324"/>
    <mergeCell ref="E2325:G2325"/>
    <mergeCell ref="E2333:G2333"/>
    <mergeCell ref="I2333:K2333"/>
    <mergeCell ref="E2334:G2334"/>
    <mergeCell ref="I2334:K2344"/>
    <mergeCell ref="E2335:G2335"/>
    <mergeCell ref="E2336:G2336"/>
    <mergeCell ref="E2337:G2337"/>
    <mergeCell ref="E2345:G2345"/>
    <mergeCell ref="I2345:K2345"/>
    <mergeCell ref="E2346:G2346"/>
    <mergeCell ref="I2346:K2356"/>
    <mergeCell ref="E2347:G2347"/>
    <mergeCell ref="E2348:G2348"/>
    <mergeCell ref="E2349:G2349"/>
    <mergeCell ref="E2357:G2357"/>
    <mergeCell ref="I2357:K2357"/>
    <mergeCell ref="E2358:G2358"/>
    <mergeCell ref="I2358:K2368"/>
    <mergeCell ref="E2359:G2359"/>
    <mergeCell ref="E2360:G2360"/>
    <mergeCell ref="E2361:G2361"/>
    <mergeCell ref="E2369:G2369"/>
    <mergeCell ref="I2369:K2369"/>
    <mergeCell ref="E2370:G2370"/>
    <mergeCell ref="I2370:K2380"/>
    <mergeCell ref="E2371:G2371"/>
    <mergeCell ref="E2372:G2372"/>
    <mergeCell ref="E2373:G2373"/>
    <mergeCell ref="E2381:G2381"/>
    <mergeCell ref="I2381:K2381"/>
    <mergeCell ref="E2382:G2382"/>
    <mergeCell ref="I2382:K2392"/>
    <mergeCell ref="E2383:G2383"/>
    <mergeCell ref="E2384:G2384"/>
    <mergeCell ref="E2385:G2385"/>
    <mergeCell ref="E2393:G2393"/>
    <mergeCell ref="I2393:K2393"/>
    <mergeCell ref="E2394:G2394"/>
    <mergeCell ref="I2394:K2404"/>
    <mergeCell ref="E2395:G2395"/>
    <mergeCell ref="E2396:G2396"/>
    <mergeCell ref="E2397:G2397"/>
    <mergeCell ref="E2405:G2405"/>
    <mergeCell ref="I2405:K2405"/>
    <mergeCell ref="E2406:G2406"/>
    <mergeCell ref="I2406:K2416"/>
    <mergeCell ref="E2407:G2407"/>
    <mergeCell ref="E2408:G2408"/>
    <mergeCell ref="E2409:G2409"/>
    <mergeCell ref="E2417:G2417"/>
    <mergeCell ref="I2417:K2417"/>
    <mergeCell ref="E2418:G2418"/>
    <mergeCell ref="I2418:K2428"/>
    <mergeCell ref="E2419:G2419"/>
    <mergeCell ref="E2420:G2420"/>
    <mergeCell ref="E2421:G2421"/>
    <mergeCell ref="E2429:G2429"/>
    <mergeCell ref="I2429:K2429"/>
    <mergeCell ref="E2430:G2430"/>
    <mergeCell ref="I2430:K2440"/>
    <mergeCell ref="E2431:G2431"/>
    <mergeCell ref="E2432:G2432"/>
    <mergeCell ref="E2433:G2433"/>
    <mergeCell ref="E2441:G2441"/>
    <mergeCell ref="I2441:K2441"/>
    <mergeCell ref="E2442:G2442"/>
    <mergeCell ref="I2442:K2452"/>
    <mergeCell ref="E2443:G2443"/>
    <mergeCell ref="E2444:G2444"/>
    <mergeCell ref="E2445:G2445"/>
    <mergeCell ref="E2453:G2453"/>
    <mergeCell ref="I2453:K2453"/>
    <mergeCell ref="E2454:G2454"/>
    <mergeCell ref="I2454:K2464"/>
    <mergeCell ref="E2455:G2455"/>
    <mergeCell ref="E2456:G2456"/>
    <mergeCell ref="E2457:G2457"/>
    <mergeCell ref="E2465:G2465"/>
    <mergeCell ref="I2465:K2465"/>
    <mergeCell ref="E2466:G2466"/>
    <mergeCell ref="I2466:K2476"/>
    <mergeCell ref="E2467:G2467"/>
    <mergeCell ref="E2468:G2468"/>
    <mergeCell ref="E2469:G2469"/>
    <mergeCell ref="E2477:G2477"/>
    <mergeCell ref="I2477:K2477"/>
    <mergeCell ref="E2478:G2478"/>
    <mergeCell ref="I2478:K2488"/>
    <mergeCell ref="E2479:G2479"/>
    <mergeCell ref="E2480:G2480"/>
    <mergeCell ref="E2481:G2481"/>
    <mergeCell ref="E2489:G2489"/>
    <mergeCell ref="I2489:K2489"/>
    <mergeCell ref="E2490:G2490"/>
    <mergeCell ref="I2490:K2500"/>
    <mergeCell ref="E2491:G2491"/>
    <mergeCell ref="E2492:G2492"/>
    <mergeCell ref="E2493:G2493"/>
    <mergeCell ref="E2501:G2501"/>
    <mergeCell ref="I2501:K2501"/>
    <mergeCell ref="E2502:G2502"/>
    <mergeCell ref="I2502:K2512"/>
    <mergeCell ref="E2503:G2503"/>
    <mergeCell ref="E2504:G2504"/>
    <mergeCell ref="E2505:G2505"/>
    <mergeCell ref="E2513:G2513"/>
    <mergeCell ref="I2513:K2513"/>
    <mergeCell ref="E2514:G2514"/>
    <mergeCell ref="I2514:K2524"/>
    <mergeCell ref="E2515:G2515"/>
    <mergeCell ref="E2516:G2516"/>
    <mergeCell ref="E2517:G2517"/>
    <mergeCell ref="E2525:G2525"/>
    <mergeCell ref="I2525:K2525"/>
    <mergeCell ref="E2526:G2526"/>
    <mergeCell ref="I2526:K2536"/>
    <mergeCell ref="E2527:G2527"/>
    <mergeCell ref="E2528:G2528"/>
    <mergeCell ref="E2529:G2529"/>
    <mergeCell ref="E2537:G2537"/>
    <mergeCell ref="I2537:K2537"/>
    <mergeCell ref="E2538:G2538"/>
    <mergeCell ref="I2538:K2548"/>
    <mergeCell ref="E2539:G2539"/>
    <mergeCell ref="E2540:G2540"/>
    <mergeCell ref="E2541:G2541"/>
    <mergeCell ref="E2549:G2549"/>
    <mergeCell ref="I2549:K2549"/>
    <mergeCell ref="E2550:G2550"/>
    <mergeCell ref="I2550:K2560"/>
    <mergeCell ref="E2551:G2551"/>
    <mergeCell ref="E2552:G2552"/>
    <mergeCell ref="E2553:G2553"/>
    <mergeCell ref="E2561:G2561"/>
    <mergeCell ref="I2561:K2561"/>
    <mergeCell ref="E2562:G2562"/>
    <mergeCell ref="I2562:K2572"/>
    <mergeCell ref="E2563:G2563"/>
    <mergeCell ref="E2564:G2564"/>
    <mergeCell ref="E2565:G2565"/>
    <mergeCell ref="E2573:G2573"/>
    <mergeCell ref="I2573:K2573"/>
    <mergeCell ref="E2574:G2574"/>
    <mergeCell ref="I2574:K2584"/>
    <mergeCell ref="E2575:G2575"/>
    <mergeCell ref="E2576:G2576"/>
    <mergeCell ref="E2577:G2577"/>
    <mergeCell ref="E2585:G2585"/>
    <mergeCell ref="I2585:K2585"/>
    <mergeCell ref="E2586:G2586"/>
    <mergeCell ref="I2586:K2596"/>
    <mergeCell ref="E2587:G2587"/>
    <mergeCell ref="E2588:G2588"/>
    <mergeCell ref="E2589:G2589"/>
    <mergeCell ref="E2597:G2597"/>
    <mergeCell ref="I2597:K2597"/>
    <mergeCell ref="E2598:G2598"/>
    <mergeCell ref="I2598:K2608"/>
    <mergeCell ref="E2599:G2599"/>
    <mergeCell ref="E2600:G2600"/>
    <mergeCell ref="E2601:G2601"/>
    <mergeCell ref="E2671:G2671"/>
    <mergeCell ref="E2672:G2672"/>
    <mergeCell ref="E2673:G2673"/>
    <mergeCell ref="E2609:G2609"/>
    <mergeCell ref="I2609:K2609"/>
    <mergeCell ref="E2610:G2610"/>
    <mergeCell ref="I2610:K2620"/>
    <mergeCell ref="E2611:G2611"/>
    <mergeCell ref="E2612:G2612"/>
    <mergeCell ref="E2613:G2613"/>
    <mergeCell ref="E2621:G2621"/>
    <mergeCell ref="I2621:K2621"/>
    <mergeCell ref="E2622:G2622"/>
    <mergeCell ref="I2622:K2632"/>
    <mergeCell ref="E2623:G2623"/>
    <mergeCell ref="E2624:G2624"/>
    <mergeCell ref="E2625:G2625"/>
    <mergeCell ref="E2633:G2633"/>
    <mergeCell ref="I2633:K2633"/>
    <mergeCell ref="E2634:G2634"/>
    <mergeCell ref="I2634:K2644"/>
    <mergeCell ref="E2635:G2635"/>
    <mergeCell ref="E2636:G2636"/>
    <mergeCell ref="E2637:G2637"/>
    <mergeCell ref="E2681:G2681"/>
    <mergeCell ref="I2681:K2681"/>
    <mergeCell ref="E2682:G2682"/>
    <mergeCell ref="I2682:K2692"/>
    <mergeCell ref="E2683:G2683"/>
    <mergeCell ref="E2684:G2684"/>
    <mergeCell ref="E2685:G2685"/>
    <mergeCell ref="E2693:G2693"/>
    <mergeCell ref="I2693:K2693"/>
    <mergeCell ref="E2694:G2694"/>
    <mergeCell ref="I2694:K2704"/>
    <mergeCell ref="E2695:G2695"/>
    <mergeCell ref="E2696:G2696"/>
    <mergeCell ref="E2697:G2697"/>
    <mergeCell ref="E2645:G2645"/>
    <mergeCell ref="I2645:K2645"/>
    <mergeCell ref="E2646:G2646"/>
    <mergeCell ref="I2646:K2656"/>
    <mergeCell ref="E2647:G2647"/>
    <mergeCell ref="E2648:G2648"/>
    <mergeCell ref="E2649:G2649"/>
    <mergeCell ref="E2657:G2657"/>
    <mergeCell ref="I2657:K2657"/>
    <mergeCell ref="E2658:G2658"/>
    <mergeCell ref="I2658:K2668"/>
    <mergeCell ref="E2659:G2659"/>
    <mergeCell ref="E2660:G2660"/>
    <mergeCell ref="E2661:G2661"/>
    <mergeCell ref="E2669:G2669"/>
    <mergeCell ref="I2669:K2669"/>
    <mergeCell ref="E2670:G2670"/>
    <mergeCell ref="I2670:K2680"/>
  </mergeCells>
  <conditionalFormatting sqref="E238">
    <cfRule type="cellIs" dxfId="3" priority="3" operator="greaterThan">
      <formula>$E$103</formula>
    </cfRule>
  </conditionalFormatting>
  <conditionalFormatting sqref="E635">
    <cfRule type="cellIs" dxfId="2" priority="2" operator="greaterThan">
      <formula>$E$127</formula>
    </cfRule>
  </conditionalFormatting>
  <conditionalFormatting sqref="E1139">
    <cfRule type="cellIs" dxfId="1" priority="1" operator="greaterThan">
      <formula>$E$175</formula>
    </cfRule>
  </conditionalFormatting>
  <conditionalFormatting sqref="E82:F82">
    <cfRule type="cellIs" dxfId="0" priority="4" operator="greaterThan">
      <formula>$E$79</formula>
    </cfRule>
  </conditionalFormatting>
  <pageMargins left="0.7" right="0.7" top="0.75" bottom="0.75" header="0.3" footer="0.3"/>
  <ignoredErrors>
    <ignoredError sqref="B425:Z1948 B1949 N1949:Z1949" numberStoredAsText="1"/>
  </ignoredError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487A19-909A-3645-91C4-16ACA8994170}">
  <dimension ref="A1"/>
  <sheetViews>
    <sheetView workbookViewId="0"/>
  </sheetViews>
  <sheetFormatPr baseColWidth="10" defaultRowHeight="16" x14ac:dyDescent="0.2"/>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8878BA-C755-D841-ACB2-6C153073EE44}">
  <dimension ref="D4:F19"/>
  <sheetViews>
    <sheetView workbookViewId="0">
      <selection activeCell="E16" sqref="E16"/>
    </sheetView>
  </sheetViews>
  <sheetFormatPr baseColWidth="10" defaultRowHeight="16" x14ac:dyDescent="0.2"/>
  <cols>
    <col min="1" max="1" width="3" customWidth="1"/>
    <col min="2" max="3" width="2.5" customWidth="1"/>
    <col min="4" max="4" width="3.5" customWidth="1"/>
    <col min="5" max="5" width="40.5" bestFit="1" customWidth="1"/>
  </cols>
  <sheetData>
    <row r="4" spans="4:6" x14ac:dyDescent="0.2">
      <c r="D4" s="2" t="s">
        <v>47</v>
      </c>
    </row>
    <row r="5" spans="4:6" x14ac:dyDescent="0.2">
      <c r="D5" s="2"/>
      <c r="E5" t="s">
        <v>213</v>
      </c>
    </row>
    <row r="6" spans="4:6" x14ac:dyDescent="0.2">
      <c r="E6" t="s">
        <v>62</v>
      </c>
    </row>
    <row r="7" spans="4:6" x14ac:dyDescent="0.2">
      <c r="E7" t="s">
        <v>46</v>
      </c>
    </row>
    <row r="8" spans="4:6" x14ac:dyDescent="0.2">
      <c r="E8" t="s">
        <v>45</v>
      </c>
    </row>
    <row r="9" spans="4:6" x14ac:dyDescent="0.2">
      <c r="E9" t="s">
        <v>44</v>
      </c>
      <c r="F9" t="s">
        <v>269</v>
      </c>
    </row>
    <row r="10" spans="4:6" x14ac:dyDescent="0.2">
      <c r="E10" t="s">
        <v>63</v>
      </c>
    </row>
    <row r="11" spans="4:6" x14ac:dyDescent="0.2">
      <c r="E11" t="s">
        <v>64</v>
      </c>
    </row>
    <row r="12" spans="4:6" x14ac:dyDescent="0.2">
      <c r="D12" s="2" t="s">
        <v>34</v>
      </c>
    </row>
    <row r="13" spans="4:6" x14ac:dyDescent="0.2">
      <c r="D13" s="3">
        <v>1</v>
      </c>
      <c r="E13" t="s">
        <v>43</v>
      </c>
    </row>
    <row r="14" spans="4:6" x14ac:dyDescent="0.2">
      <c r="D14" s="3">
        <v>2</v>
      </c>
      <c r="E14" t="s">
        <v>42</v>
      </c>
    </row>
    <row r="15" spans="4:6" x14ac:dyDescent="0.2">
      <c r="D15" s="3">
        <f>D14+1</f>
        <v>3</v>
      </c>
      <c r="E15" t="s">
        <v>41</v>
      </c>
    </row>
    <row r="16" spans="4:6" x14ac:dyDescent="0.2">
      <c r="D16" s="3">
        <f>D15+1</f>
        <v>4</v>
      </c>
      <c r="E16" t="s">
        <v>40</v>
      </c>
    </row>
    <row r="17" spans="4:5" x14ac:dyDescent="0.2">
      <c r="D17" s="3">
        <f>D16+1</f>
        <v>5</v>
      </c>
      <c r="E17" t="s">
        <v>39</v>
      </c>
    </row>
    <row r="18" spans="4:5" x14ac:dyDescent="0.2">
      <c r="D18" s="3">
        <f>D17+1</f>
        <v>6</v>
      </c>
      <c r="E18" t="s">
        <v>38</v>
      </c>
    </row>
    <row r="19" spans="4:5" x14ac:dyDescent="0.2">
      <c r="D19" s="3">
        <f>D18+1</f>
        <v>7</v>
      </c>
      <c r="E19" t="s">
        <v>37</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E83170-D3F4-4E43-B2BF-7F50FBA8BD4D}">
  <dimension ref="A1"/>
  <sheetViews>
    <sheetView workbookViewId="0"/>
  </sheetViews>
  <sheetFormatPr baseColWidth="10" defaultRowHeight="16" x14ac:dyDescent="0.2"/>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6</vt:i4>
      </vt:variant>
    </vt:vector>
  </HeadingPairs>
  <TitlesOfParts>
    <vt:vector size="6" baseType="lpstr">
      <vt:lpstr>Historical</vt:lpstr>
      <vt:lpstr>HEC</vt:lpstr>
      <vt:lpstr>HEC-U</vt:lpstr>
      <vt:lpstr>Sheet1</vt:lpstr>
      <vt:lpstr>EC-Commands</vt:lpstr>
      <vt:lpstr>Sheet2</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Pawan J</dc:creator>
  <cp:keywords/>
  <dc:description/>
  <cp:lastModifiedBy>Pawan J</cp:lastModifiedBy>
  <dcterms:created xsi:type="dcterms:W3CDTF">2024-07-07T14:39:34Z</dcterms:created>
  <dcterms:modified xsi:type="dcterms:W3CDTF">2025-02-02T16:36:00Z</dcterms:modified>
  <cp:category/>
</cp:coreProperties>
</file>