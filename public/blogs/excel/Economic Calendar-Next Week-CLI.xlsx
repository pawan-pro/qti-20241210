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broken/public/blogs/excel/"/>
    </mc:Choice>
  </mc:AlternateContent>
  <xr:revisionPtr revIDLastSave="0" documentId="13_ncr:1_{2826A6FE-2BBC-FB4F-B698-F7D607D2C7BA}" xr6:coauthVersionLast="47" xr6:coauthVersionMax="47" xr10:uidLastSave="{00000000-0000-0000-0000-000000000000}"/>
  <bookViews>
    <workbookView xWindow="0" yWindow="500" windowWidth="28800" windowHeight="16580" xr2:uid="{9E37F6E2-64DC-274B-809F-1F2FE24DA754}"/>
  </bookViews>
  <sheets>
    <sheet name="ec" sheetId="1" r:id="rId1"/>
    <sheet name="Sheet2" sheetId="11" state="hidden" r:id="rId2"/>
    <sheet name="Macro1" sheetId="14" state="hidden" r:id="rId3"/>
    <sheet name="History " sheetId="3" r:id="rId4"/>
    <sheet name="History-U" sheetId="6" r:id="rId5"/>
    <sheet name="History-U2" sheetId="10" r:id="rId6"/>
    <sheet name="Markets" sheetId="8" r:id="rId7"/>
    <sheet name="Notes" sheetId="9" r:id="rId8"/>
    <sheet name="Calendar" sheetId="12" r:id="rId9"/>
    <sheet name="Sheet4" sheetId="13" state="hidden" r:id="rId10"/>
    <sheet name="Sheet1" sheetId="7" state="hidden" r:id="rId11"/>
    <sheet name="table" sheetId="2" state="hidden" r:id="rId12"/>
    <sheet name="Calc" sheetId="5" state="hidden" r:id="rId13"/>
    <sheet name="Sheet3" sheetId="4" state="hidden" r:id="rId14"/>
  </sheets>
  <definedNames>
    <definedName name="_xlnm._FilterDatabase" localSheetId="4" hidden="1">'History-U'!$B$1:$M$1</definedName>
    <definedName name="history" localSheetId="3">'History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3" i="1" l="1"/>
  <c r="D94" i="1"/>
  <c r="D95" i="1" s="1"/>
  <c r="D96" i="1" s="1"/>
  <c r="D97" i="1" s="1"/>
  <c r="D98" i="1" s="1"/>
  <c r="D72" i="1"/>
  <c r="E68" i="1"/>
  <c r="E69" i="1" s="1"/>
  <c r="E70" i="1" s="1"/>
  <c r="E71" i="1" s="1"/>
  <c r="D68" i="1"/>
  <c r="D69" i="1" s="1"/>
  <c r="D70" i="1" s="1"/>
  <c r="D71" i="1" s="1"/>
  <c r="D44" i="1"/>
  <c r="D45" i="1" s="1"/>
  <c r="D7" i="1"/>
  <c r="D8" i="1" s="1"/>
  <c r="G180" i="6"/>
  <c r="G179" i="6"/>
  <c r="G178" i="6"/>
  <c r="G177" i="6"/>
  <c r="G176" i="6"/>
  <c r="G17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C269" i="6"/>
  <c r="C268" i="6"/>
  <c r="C267" i="6"/>
  <c r="C266" i="6"/>
  <c r="H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C257" i="6"/>
  <c r="C256" i="6"/>
  <c r="C255" i="6"/>
  <c r="C254" i="6"/>
  <c r="H253" i="6"/>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C245" i="6"/>
  <c r="C244" i="6"/>
  <c r="C243" i="6"/>
  <c r="C242" i="6"/>
  <c r="H241" i="6"/>
  <c r="D241" i="6"/>
  <c r="L242" i="6" s="1"/>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C233" i="6"/>
  <c r="C232" i="6"/>
  <c r="C231" i="6"/>
  <c r="C230" i="6"/>
  <c r="H229" i="6"/>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C221" i="6"/>
  <c r="C220" i="6"/>
  <c r="C219" i="6"/>
  <c r="C218" i="6"/>
  <c r="H217" i="6"/>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K209" i="6"/>
  <c r="C209" i="6"/>
  <c r="C208" i="6"/>
  <c r="C207" i="6"/>
  <c r="C206" i="6"/>
  <c r="H205" i="6"/>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C197" i="6"/>
  <c r="C196" i="6"/>
  <c r="C195" i="6"/>
  <c r="C194" i="6"/>
  <c r="H193" i="6"/>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C185" i="6"/>
  <c r="C184" i="6"/>
  <c r="C183" i="6"/>
  <c r="C182" i="6"/>
  <c r="H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C173" i="6"/>
  <c r="C172" i="6"/>
  <c r="C171" i="6"/>
  <c r="H170" i="6"/>
  <c r="C170" i="6"/>
  <c r="H169" i="6"/>
  <c r="C169" i="6"/>
  <c r="C104" i="3"/>
  <c r="G266" i="3"/>
  <c r="H266" i="6" s="1"/>
  <c r="D243" i="3"/>
  <c r="F240" i="3"/>
  <c r="E240" i="3"/>
  <c r="D240" i="3"/>
  <c r="F239" i="3"/>
  <c r="E239" i="3"/>
  <c r="D239" i="3"/>
  <c r="F238" i="3"/>
  <c r="E238" i="3"/>
  <c r="D238" i="3"/>
  <c r="F237" i="3"/>
  <c r="E237" i="3"/>
  <c r="D237" i="3"/>
  <c r="F236" i="3"/>
  <c r="E236" i="3"/>
  <c r="D236" i="3"/>
  <c r="D241" i="3"/>
  <c r="F235" i="3"/>
  <c r="E235" i="3"/>
  <c r="D235" i="3"/>
  <c r="D232" i="3"/>
  <c r="D232" i="6" s="1"/>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D207" i="3"/>
  <c r="F204" i="3"/>
  <c r="E204" i="3"/>
  <c r="D204" i="3"/>
  <c r="F203" i="3"/>
  <c r="E203" i="3"/>
  <c r="D203" i="3"/>
  <c r="F202" i="3"/>
  <c r="E202" i="3"/>
  <c r="D202" i="3"/>
  <c r="F201" i="3"/>
  <c r="E201" i="3"/>
  <c r="D201" i="3"/>
  <c r="F200" i="3"/>
  <c r="E200" i="3"/>
  <c r="D200" i="3"/>
  <c r="F199" i="3"/>
  <c r="E199" i="3"/>
  <c r="D199" i="3"/>
  <c r="D196" i="3"/>
  <c r="D196" i="6" s="1"/>
  <c r="Z180" i="3"/>
  <c r="Y180" i="3"/>
  <c r="X180" i="3"/>
  <c r="Z179" i="3"/>
  <c r="Y179" i="3"/>
  <c r="X179" i="3"/>
  <c r="Z178" i="3"/>
  <c r="F178" i="3" s="1"/>
  <c r="Y178" i="3"/>
  <c r="E178" i="3" s="1"/>
  <c r="X178" i="3"/>
  <c r="Z177" i="3"/>
  <c r="Y177" i="3"/>
  <c r="X177" i="3"/>
  <c r="Z176" i="3"/>
  <c r="F176" i="3" s="1"/>
  <c r="Y176" i="3"/>
  <c r="E176" i="3" s="1"/>
  <c r="X176" i="3"/>
  <c r="Z175" i="3"/>
  <c r="Y175" i="3"/>
  <c r="X175" i="3"/>
  <c r="J173" i="3"/>
  <c r="K173" i="6" s="1"/>
  <c r="D172" i="3"/>
  <c r="D172" i="6" s="1"/>
  <c r="G170" i="3"/>
  <c r="D169" i="3"/>
  <c r="D169" i="6" s="1"/>
  <c r="L170" i="6" s="1"/>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D173" i="3" l="1"/>
  <c r="D173" i="6" s="1"/>
  <c r="K173" i="3"/>
  <c r="L173" i="6" s="1"/>
  <c r="D46" i="1"/>
  <c r="D47" i="1" s="1"/>
  <c r="D48" i="1"/>
  <c r="D49" i="1" s="1"/>
  <c r="D52" i="1" s="1"/>
  <c r="D10" i="1"/>
  <c r="D11" i="1" s="1"/>
  <c r="D12" i="1" s="1"/>
  <c r="D13" i="1" s="1"/>
  <c r="D14" i="1" s="1"/>
  <c r="D9" i="1"/>
  <c r="D16" i="1"/>
  <c r="D176" i="3"/>
  <c r="E179" i="3"/>
  <c r="V180" i="3"/>
  <c r="C180" i="3" s="1"/>
  <c r="S178" i="3"/>
  <c r="U175" i="3"/>
  <c r="T178" i="3"/>
  <c r="S179" i="3"/>
  <c r="V179" i="3" s="1"/>
  <c r="C179" i="3" s="1"/>
  <c r="S176" i="3"/>
  <c r="T177" i="3"/>
  <c r="S177" i="3"/>
  <c r="T176" i="3"/>
  <c r="S175" i="3"/>
  <c r="D18" i="1" l="1"/>
  <c r="D19" i="1" s="1"/>
  <c r="D20" i="1" s="1"/>
  <c r="D21" i="1" s="1"/>
  <c r="D22" i="1" s="1"/>
  <c r="D17" i="1"/>
  <c r="D54" i="1"/>
  <c r="D53" i="1"/>
  <c r="D50" i="1" s="1"/>
  <c r="D51" i="1" s="1"/>
  <c r="D55" i="1" s="1"/>
  <c r="V175" i="3"/>
  <c r="C175" i="3" s="1"/>
  <c r="V178" i="3"/>
  <c r="C178" i="3" s="1"/>
  <c r="V177" i="3"/>
  <c r="C177" i="3" s="1"/>
  <c r="V176" i="3"/>
  <c r="C176" i="3" s="1"/>
  <c r="A5" i="12"/>
  <c r="A8" i="12" s="1"/>
  <c r="A10" i="12" s="1"/>
  <c r="A11" i="12" s="1"/>
  <c r="A12" i="12" s="1"/>
  <c r="A13" i="12" s="1"/>
  <c r="D24" i="1" l="1"/>
  <c r="D23" i="1"/>
  <c r="A15" i="12"/>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H182" i="6" s="1"/>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D244" i="6" s="1"/>
  <c r="J245" i="3"/>
  <c r="K245" i="6" s="1"/>
  <c r="G242" i="3"/>
  <c r="H242" i="6" s="1"/>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267" i="6" s="1"/>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D245" i="6" s="1"/>
  <c r="K245" i="3"/>
  <c r="L245" i="6"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K221" i="6" s="1"/>
  <c r="D220" i="3"/>
  <c r="D220" i="6" s="1"/>
  <c r="G218" i="3"/>
  <c r="H218" i="6" s="1"/>
  <c r="D217" i="3"/>
  <c r="D217" i="6" s="1"/>
  <c r="L218" i="6" s="1"/>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D208" i="6" s="1"/>
  <c r="G206" i="3"/>
  <c r="H206" i="6" s="1"/>
  <c r="D205" i="3"/>
  <c r="D205" i="6" s="1"/>
  <c r="L206" i="6" s="1"/>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L209" i="6" s="1"/>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D221" i="6" s="1"/>
  <c r="K221" i="3"/>
  <c r="L221" i="6" s="1"/>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D209" i="6" s="1"/>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D184" i="6" s="1"/>
  <c r="J197" i="3"/>
  <c r="K197" i="6" s="1"/>
  <c r="G194" i="3"/>
  <c r="H194" i="6" s="1"/>
  <c r="D193" i="3"/>
  <c r="D193" i="6" s="1"/>
  <c r="L194" i="6" s="1"/>
  <c r="J185" i="3"/>
  <c r="K185" i="6" s="1"/>
  <c r="D181" i="3"/>
  <c r="D181" i="6" s="1"/>
  <c r="L182" i="6" s="1"/>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85" i="6" s="1"/>
  <c r="D197" i="3"/>
  <c r="D197" i="6" s="1"/>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L185" i="6" s="1"/>
  <c r="X199" i="3"/>
  <c r="Z120" i="3"/>
  <c r="X119" i="3"/>
  <c r="Y115" i="3"/>
  <c r="E115" i="3"/>
  <c r="Y119" i="3"/>
  <c r="T192" i="3"/>
  <c r="U191" i="3"/>
  <c r="T118" i="3"/>
  <c r="T120" i="3"/>
  <c r="U120" i="3"/>
  <c r="K197" i="3"/>
  <c r="L197" i="6" s="1"/>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G230" i="3"/>
  <c r="H230" i="6" s="1"/>
  <c r="D229" i="3"/>
  <c r="D229" i="6" s="1"/>
  <c r="L230" i="6" s="1"/>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K257" i="6" s="1"/>
  <c r="D255" i="3"/>
  <c r="D255" i="6" s="1"/>
  <c r="D256" i="3"/>
  <c r="D256" i="6" s="1"/>
  <c r="G254" i="3"/>
  <c r="H254" i="6" s="1"/>
  <c r="D253" i="3"/>
  <c r="D253" i="6" s="1"/>
  <c r="L254" i="6" s="1"/>
  <c r="O415" i="3"/>
  <c r="P415" i="3"/>
  <c r="Q415" i="3"/>
  <c r="O416" i="3"/>
  <c r="P416" i="3"/>
  <c r="Q416" i="3"/>
  <c r="O417" i="3"/>
  <c r="P417" i="3"/>
  <c r="Q417" i="3"/>
  <c r="O418" i="3"/>
  <c r="P418" i="3"/>
  <c r="Q418" i="3"/>
  <c r="O419" i="3"/>
  <c r="P419" i="3"/>
  <c r="Q419" i="3"/>
  <c r="O420" i="3"/>
  <c r="P420" i="3"/>
  <c r="Q420" i="3"/>
  <c r="D387" i="3"/>
  <c r="D388" i="3"/>
  <c r="J389" i="3"/>
  <c r="K233" i="3" l="1"/>
  <c r="L233" i="6" s="1"/>
  <c r="K233" i="6"/>
  <c r="F119" i="6"/>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D233" i="6" s="1"/>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C117" i="6" l="1"/>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D257" i="6" s="1"/>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D265" i="6" s="1"/>
  <c r="L266" i="6" s="1"/>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D268" i="6" s="1"/>
  <c r="J269" i="3"/>
  <c r="K269" i="6" s="1"/>
  <c r="Z270" i="3"/>
  <c r="Y270" i="3"/>
  <c r="X270" i="3"/>
  <c r="D29" i="13" l="1"/>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L257" i="6" s="1"/>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L269" i="6" s="1"/>
  <c r="S274" i="3"/>
  <c r="S273" i="3"/>
  <c r="T274" i="3"/>
  <c r="T273" i="3"/>
  <c r="D269" i="3"/>
  <c r="D269" i="6" s="1"/>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<sst xmlns="http://schemas.openxmlformats.org/spreadsheetml/2006/main" count="5010" uniqueCount="896">
  <si>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</si>
  <si>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</si>
  <si>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</si>
  <si>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</si>
  <si>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</si>
  <si>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</si>
  <si>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</si>
  <si>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</si>
  <si>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</si>
  <si>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</si>
  <si>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</si>
  <si>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</si>
  <si>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</si>
  <si>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</si>
  <si>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</si>
  <si>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</si>
  <si>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</si>
  <si>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</si>
  <si>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</si>
  <si>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</si>
  <si>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</si>
  <si>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</si>
  <si>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</si>
  <si>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</si>
  <si>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</si>
  <si>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</si>
  <si>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</si>
  <si>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</si>
  <si>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</si>
  <si>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</si>
  <si>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</si>
  <si>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</si>
  <si>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</si>
  <si>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</si>
  <si>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</si>
  <si>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</si>
  <si>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</si>
  <si>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</si>
  <si>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</si>
  <si>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</si>
  <si>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</si>
  <si>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</si>
  <si>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</si>
  <si>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</si>
  <si>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</si>
  <si>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</si>
  <si>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</si>
  <si>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</si>
  <si>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</si>
  <si>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</si>
  <si>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</si>
  <si>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</si>
  <si>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</si>
  <si>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</si>
  <si>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</si>
  <si>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</si>
  <si>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</si>
  <si>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</si>
  <si>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</si>
  <si>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</si>
  <si>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</si>
  <si>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</si>
  <si>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</si>
  <si>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</si>
  <si>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</si>
  <si>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</si>
  <si>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</si>
  <si>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</si>
  <si>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</si>
  <si>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</si>
  <si>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</si>
  <si>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</si>
  <si>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</si>
  <si>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</si>
  <si>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</si>
  <si>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</si>
  <si>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</si>
  <si>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</si>
  <si>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</si>
  <si>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</si>
  <si>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</si>
  <si>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</si>
  <si>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</si>
  <si>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</si>
  <si>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</si>
  <si>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</si>
  <si>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</si>
  <si>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</si>
  <si>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</si>
  <si>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</si>
  <si>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</si>
  <si>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</si>
  <si>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</si>
  <si>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</si>
  <si>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</si>
  <si>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</si>
  <si>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</si>
  <si>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</si>
  <si>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</si>
  <si>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</si>
  <si>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</si>
  <si>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</si>
  <si>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</si>
  <si>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</si>
  <si>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</si>
  <si>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</si>
  <si>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</si>
  <si>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</si>
  <si>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</si>
  <si>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</si>
  <si>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</si>
  <si>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</si>
  <si>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</si>
  <si>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</si>
  <si>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</si>
  <si>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</si>
  <si>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</si>
  <si>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</si>
  <si>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</si>
  <si>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</si>
  <si>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</si>
  <si>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</si>
  <si>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</si>
  <si>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</si>
  <si>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</si>
  <si>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</si>
  <si>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</si>
  <si>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</si>
  <si>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</si>
  <si>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</si>
  <si>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</si>
  <si>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</si>
  <si>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</si>
  <si>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</si>
  <si>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</si>
  <si>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</si>
  <si>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</si>
  <si>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</si>
  <si>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</si>
  <si>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</si>
  <si>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</si>
  <si>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</si>
  <si>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</si>
  <si>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</si>
  <si>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</si>
  <si>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</si>
  <si>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</si>
  <si>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</si>
  <si>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</si>
  <si>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</si>
  <si>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</si>
  <si>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</si>
  <si>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</si>
  <si>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</si>
  <si>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</si>
  <si>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</si>
  <si>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</si>
  <si>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</si>
  <si>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</si>
  <si>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</si>
  <si>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</si>
  <si>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</si>
  <si>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</si>
  <si>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</si>
  <si>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</si>
  <si>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</si>
  <si>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</si>
  <si>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</si>
  <si>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</si>
  <si>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</si>
  <si>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</si>
  <si>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</si>
  <si>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</si>
  <si>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</si>
  <si>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</si>
  <si>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</si>
  <si>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</si>
  <si>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</si>
  <si>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</si>
  <si>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</si>
  <si>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</si>
  <si>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</si>
  <si>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</si>
  <si>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</si>
  <si>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</si>
  <si>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</si>
  <si>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</si>
  <si>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</si>
  <si>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</si>
  <si>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</si>
  <si>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</si>
  <si>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</si>
  <si>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</si>
  <si>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</si>
  <si>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</si>
  <si>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</si>
  <si>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</si>
  <si>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</si>
  <si>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</si>
  <si>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</si>
  <si>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</si>
  <si>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</si>
  <si>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</si>
  <si>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</si>
  <si>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</si>
  <si>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</si>
  <si>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</si>
  <si>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</si>
  <si>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</si>
  <si>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</si>
  <si>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</si>
  <si>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</si>
  <si>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</si>
  <si>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</si>
  <si>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</si>
  <si>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</si>
  <si>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</si>
  <si>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</si>
  <si>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</si>
  <si>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</si>
  <si>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</si>
  <si>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</si>
  <si>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</si>
  <si>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</si>
  <si>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</si>
  <si>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</si>
  <si>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</si>
  <si>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</si>
  <si>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</si>
  <si>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</si>
  <si>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</si>
  <si>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</si>
  <si>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</si>
  <si>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</si>
  <si>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</si>
  <si>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</si>
  <si>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</si>
  <si>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</si>
  <si>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</si>
  <si>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</si>
  <si>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</si>
  <si>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</si>
  <si>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</si>
  <si>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</si>
  <si>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</si>
  <si>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</si>
  <si>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</si>
  <si>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</si>
  <si>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</si>
  <si>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</si>
  <si>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</si>
  <si>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</si>
  <si>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</si>
  <si>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</si>
  <si>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</si>
  <si>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</si>
  <si>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</si>
  <si>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</si>
  <si>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</si>
  <si>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</si>
  <si>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</si>
  <si>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</si>
  <si>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</si>
  <si>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</si>
  <si>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</si>
  <si>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</si>
  <si>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</si>
  <si>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</si>
  <si>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</si>
  <si>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</si>
  <si>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</si>
  <si>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</si>
  <si>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</si>
  <si>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</si>
  <si>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</si>
  <si>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</si>
  <si>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</si>
  <si>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</si>
  <si>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</si>
  <si>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</si>
  <si>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</si>
  <si>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</si>
  <si>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</si>
  <si>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</si>
  <si>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</si>
  <si>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</si>
  <si>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</si>
  <si>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</si>
  <si>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</si>
  <si>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</si>
  <si>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</si>
  <si>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</si>
  <si>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</si>
  <si>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</si>
  <si>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</si>
  <si>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</si>
  <si>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</si>
  <si>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</si>
  <si>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</si>
  <si>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</si>
  <si>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</si>
  <si>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</si>
  <si>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</si>
  <si>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</si>
  <si>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</si>
  <si>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</si>
  <si>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</si>
  <si>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</si>
  <si>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</si>
  <si>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</si>
  <si>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</si>
  <si>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</si>
  <si>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</si>
  <si>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</si>
  <si>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</si>
  <si>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</si>
  <si>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</si>
  <si>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</si>
  <si>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</si>
  <si>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</si>
  <si>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</si>
  <si>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</si>
  <si>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</si>
  <si>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</si>
  <si>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</si>
  <si>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</si>
  <si>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</si>
  <si>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</si>
  <si>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</si>
  <si>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</si>
  <si>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</si>
  <si>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</si>
  <si>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</si>
  <si>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</si>
  <si>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</si>
  <si>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</si>
  <si>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</si>
  <si>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</si>
  <si>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</si>
  <si>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</si>
  <si>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</si>
  <si>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</si>
  <si>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</si>
  <si>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</si>
  <si>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</si>
  <si>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</si>
  <si>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</si>
  <si>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</si>
  <si>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</si>
  <si>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</si>
  <si>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</si>
  <si>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</si>
  <si>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</si>
  <si>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</si>
  <si>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</si>
  <si>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</si>
  <si>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</si>
  <si>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</si>
  <si>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</si>
  <si>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</si>
  <si>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</si>
  <si>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</si>
  <si>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</si>
  <si>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</si>
  <si>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</si>
  <si>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</si>
  <si>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</si>
  <si>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</si>
  <si>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</si>
  <si>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</si>
  <si>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</si>
  <si>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</si>
  <si>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</si>
  <si>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</si>
  <si>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</si>
  <si>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</si>
  <si>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</si>
  <si>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</si>
  <si>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</si>
  <si>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</si>
  <si>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</si>
  <si>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</si>
  <si>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</si>
  <si>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</si>
  <si>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</si>
  <si>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</si>
  <si>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</si>
  <si>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</si>
  <si>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</si>
  <si>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</si>
  <si>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</si>
  <si>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</si>
  <si>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</si>
  <si>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</si>
  <si>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</si>
  <si>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</si>
  <si>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</si>
  <si>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</si>
  <si>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</si>
  <si>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</si>
  <si>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</si>
  <si>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</si>
  <si>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</si>
  <si>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</si>
  <si>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</si>
  <si>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</si>
  <si>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</si>
  <si>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</si>
  <si>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</si>
  <si>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</si>
  <si>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</si>
  <si>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</si>
  <si>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</si>
  <si>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</si>
  <si>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</si>
  <si>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</si>
  <si>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</si>
  <si>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</si>
  <si>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</si>
  <si>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</si>
  <si>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</si>
  <si>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</si>
  <si>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</si>
  <si>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</si>
  <si>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</si>
  <si>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</si>
  <si>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</si>
  <si>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</si>
  <si>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</si>
  <si>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</si>
  <si>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</si>
  <si>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</si>
  <si>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</si>
  <si>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</si>
  <si>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</si>
  <si>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</si>
  <si>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</si>
  <si>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</si>
  <si>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</si>
  <si>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</si>
  <si>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</si>
  <si>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</si>
  <si>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</si>
  <si>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</si>
  <si>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</si>
  <si>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</si>
  <si>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</si>
  <si>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</si>
  <si>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</si>
  <si>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</si>
  <si>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</si>
  <si>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</si>
  <si>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</si>
  <si>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</si>
  <si>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</si>
  <si>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</si>
  <si>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</si>
  <si>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</si>
  <si>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</si>
  <si>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</si>
  <si>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</si>
  <si>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</si>
  <si>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</si>
  <si>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</si>
  <si>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</si>
  <si>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</si>
  <si>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</si>
  <si>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</si>
  <si>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</si>
  <si>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</si>
  <si>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</si>
  <si>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</si>
  <si>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</si>
  <si>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</si>
  <si>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</si>
  <si>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</si>
  <si>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</si>
  <si>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</si>
  <si>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</si>
  <si>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</si>
  <si>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</si>
  <si>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</si>
  <si>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</si>
  <si>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</si>
  <si>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</si>
  <si>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</si>
  <si>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</si>
  <si>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</si>
  <si>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</si>
  <si>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</si>
  <si>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</si>
  <si>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</si>
  <si>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</si>
  <si>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</si>
  <si>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</si>
  <si>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</si>
  <si>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</si>
  <si>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</si>
  <si>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</si>
  <si>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</si>
  <si>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</si>
  <si>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</si>
  <si>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</si>
  <si>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</si>
  <si>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</si>
  <si>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</si>
  <si>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</si>
  <si>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</si>
  <si>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</si>
  <si>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</si>
  <si>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</si>
  <si>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</si>
  <si>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</si>
  <si>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</si>
  <si>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</si>
  <si>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</si>
  <si>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</si>
  <si>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</si>
  <si>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</si>
  <si>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</si>
  <si>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</si>
  <si>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</si>
  <si>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</si>
  <si>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</si>
  <si>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</si>
  <si>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</si>
  <si>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</si>
  <si>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</si>
  <si>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</si>
  <si>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</si>
  <si>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</si>
  <si>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</si>
  <si>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</si>
  <si>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</si>
  <si>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</si>
  <si>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</si>
  <si>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</si>
  <si>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</si>
  <si>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</si>
  <si>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</si>
  <si>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</si>
  <si>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</si>
  <si>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</si>
  <si>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</si>
  <si>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</si>
  <si>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</si>
  <si>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</si>
  <si>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</si>
  <si>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</si>
  <si>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</si>
  <si>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</si>
  <si>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</si>
  <si>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</si>
  <si>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</si>
  <si>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</si>
  <si>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</si>
  <si>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</si>
  <si>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</si>
  <si>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</si>
  <si>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</si>
  <si>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</si>
  <si>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</si>
  <si>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</si>
  <si>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</si>
  <si>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</si>
  <si>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</si>
  <si>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</si>
  <si>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</si>
  <si>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</si>
  <si>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</si>
  <si>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</si>
  <si>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</si>
  <si>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</si>
  <si>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</si>
  <si>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</si>
  <si>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</si>
  <si>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</si>
  <si>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</si>
  <si>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</si>
  <si>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</si>
  <si>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</si>
  <si>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</si>
  <si>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</si>
  <si>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</si>
  <si>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</si>
  <si>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</si>
  <si>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</si>
  <si>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</si>
  <si>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</si>
  <si>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</si>
  <si>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</si>
  <si>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</si>
  <si>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</si>
  <si>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</si>
  <si>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</si>
  <si>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</si>
  <si>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</si>
  <si>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</si>
  <si>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</si>
  <si>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</si>
  <si>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</si>
  <si>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</si>
  <si>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</si>
  <si>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</si>
  <si>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</si>
  <si>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</si>
  <si>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</si>
  <si>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</si>
  <si>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</si>
  <si>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</si>
  <si>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</si>
  <si>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</si>
  <si>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</si>
  <si>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</si>
  <si>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</si>
  <si>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</si>
  <si>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</si>
  <si>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</si>
  <si>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</si>
  <si>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</si>
  <si>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</si>
  <si>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</si>
  <si>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</si>
  <si>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</si>
  <si>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</si>
  <si>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</si>
  <si>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</si>
  <si>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</si>
  <si>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</si>
  <si>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</si>
  <si>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</si>
  <si>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</si>
  <si>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</si>
  <si>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</si>
  <si>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</si>
  <si>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</si>
  <si>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</si>
  <si>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</si>
  <si>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</si>
  <si>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</si>
  <si>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</si>
  <si>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</si>
  <si>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t</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</si>
  <si>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</si>
  <si>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</si>
  <si>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</si>
  <si>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</si>
  <si>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</si>
  <si>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</si>
  <si>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</si>
  <si>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</si>
  <si>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</si>
  <si>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</si>
  <si>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</si>
  <si>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</si>
  <si>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</si>
  <si>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</si>
  <si>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</si>
  <si>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</si>
  <si>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</si>
  <si>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</si>
  <si>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</si>
  <si>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</si>
  <si>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</si>
  <si>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</si>
  <si>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</si>
  <si>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</si>
  <si>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</si>
  <si>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</si>
  <si>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</si>
  <si>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</si>
  <si>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</si>
  <si>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</si>
  <si>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</si>
  <si>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</si>
  <si>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</si>
  <si>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</si>
  <si>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</si>
  <si>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</si>
  <si>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</si>
  <si>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</si>
  <si>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</si>
  <si>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</si>
  <si>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</si>
  <si>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</si>
  <si>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</si>
  <si>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</si>
  <si>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</si>
  <si>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</si>
  <si>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</si>
  <si>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</si>
  <si>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</si>
  <si>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</si>
  <si>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</si>
  <si>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</si>
  <si>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</si>
  <si>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</si>
  <si>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</si>
  <si>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</si>
  <si>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</si>
  <si>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</si>
  <si>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</si>
  <si>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</si>
  <si>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</si>
  <si>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</si>
  <si>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</si>
  <si>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</si>
  <si>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</si>
  <si>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</si>
  <si>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</si>
  <si>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</si>
  <si>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</si>
  <si>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EUR - German CPI (MoM) (Jun) P</t>
  </si>
  <si>
    <t>USD - Chicago PMI (Jun)</t>
  </si>
  <si>
    <t>EUR - CPI (YoY) (Jun) P</t>
  </si>
  <si>
    <t>USD - Manufacturing PMI (Jun)</t>
  </si>
  <si>
    <t>USD - ISM Manufacturing PMI (Jun)</t>
  </si>
  <si>
    <t>USD - ISM Manufacturing Prices (Jun)</t>
  </si>
  <si>
    <t>USD - JOLTS Job Openings (May)</t>
  </si>
  <si>
    <t>7.391M</t>
  </si>
  <si>
    <t>USD - ADP Nonfarm Employment Change (Jun)</t>
  </si>
  <si>
    <t>37K</t>
  </si>
  <si>
    <t>United States - Independence Day - Early close at 13:00</t>
  </si>
  <si>
    <t>USD - Unemployment Rate (Jun)</t>
  </si>
  <si>
    <t>USD - Services PMI (Jun)</t>
  </si>
  <si>
    <t>USD - ISM Non-Manufacturing Prices (Jun)</t>
  </si>
  <si>
    <t>USD - ISM Non-Manufacturing PMI (Jun)</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</si>
  <si>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</si>
  <si>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</si>
  <si>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</si>
  <si>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</si>
  <si>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</si>
  <si>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</si>
  <si>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</si>
  <si>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</si>
  <si>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</si>
  <si>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</si>
  <si>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</si>
  <si>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</si>
  <si>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</si>
  <si>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</si>
  <si>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</si>
  <si>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</si>
  <si>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</si>
  <si>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</si>
  <si>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</si>
  <si>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</si>
  <si>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</si>
  <si>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</si>
  <si>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</si>
  <si>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</si>
  <si>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</si>
  <si>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</si>
  <si>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</si>
  <si>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</si>
  <si>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</si>
  <si>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</si>
  <si>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</si>
  <si>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</si>
  <si>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</si>
  <si>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</si>
  <si>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</si>
  <si>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</si>
  <si>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</si>
  <si>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</si>
  <si>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</si>
  <si>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</si>
  <si>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</si>
  <si>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</si>
  <si>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</si>
  <si>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</si>
  <si>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</si>
  <si>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</si>
  <si>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</si>
  <si>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</si>
  <si>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</si>
  <si>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</si>
  <si>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</si>
  <si>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</si>
  <si>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</si>
  <si>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</si>
  <si>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</si>
  <si>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</si>
  <si>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</si>
  <si>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</si>
  <si>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</si>
  <si>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</si>
  <si>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</si>
  <si>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</si>
  <si>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</si>
  <si>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</si>
  <si>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</si>
  <si>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</si>
  <si>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</si>
  <si>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</si>
  <si>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</si>
  <si>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</si>
  <si>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</si>
  <si>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</si>
  <si>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</si>
  <si>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</si>
  <si>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</si>
  <si>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</si>
  <si>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</si>
  <si>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</si>
  <si>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</si>
  <si>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</si>
  <si>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</si>
  <si>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</si>
  <si>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</si>
  <si>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</si>
  <si>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</si>
  <si>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</si>
  <si>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</si>
  <si>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</si>
  <si>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</si>
  <si>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</si>
  <si>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</si>
  <si>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</si>
  <si>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</si>
  <si>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</si>
  <si>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</si>
  <si>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</si>
  <si>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</si>
  <si>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</si>
  <si>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</si>
  <si>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</si>
  <si>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</si>
  <si>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</si>
  <si>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</si>
  <si>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</si>
  <si>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</si>
  <si>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</si>
  <si>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</si>
  <si>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</si>
  <si>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</si>
  <si>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</si>
  <si>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</si>
  <si>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</si>
  <si>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</si>
  <si>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</si>
  <si>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</si>
  <si>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</si>
  <si>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</si>
  <si>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</si>
  <si>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</si>
  <si>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</si>
  <si>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</si>
  <si>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</si>
  <si>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</si>
  <si>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</si>
  <si>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</si>
  <si>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</si>
  <si>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</si>
  <si>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</si>
  <si>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</si>
  <si>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</si>
  <si>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</si>
  <si>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</si>
  <si>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</si>
  <si>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</si>
  <si>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</si>
  <si>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</si>
  <si>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</si>
  <si>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</si>
  <si>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</si>
  <si>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</si>
  <si>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</si>
  <si>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</si>
  <si>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</si>
  <si>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</si>
  <si>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</si>
  <si>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</si>
  <si>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</si>
  <si>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</si>
  <si>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</si>
  <si>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</si>
  <si>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</si>
  <si>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</si>
  <si>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</si>
  <si>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</si>
  <si>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</si>
  <si>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USD - PPI (MoM) (Jun)</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</si>
  <si>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</si>
  <si>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7.070M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</si>
  <si>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</si>
  <si>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</si>
  <si>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</si>
  <si>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 xml:space="preserve">USD </t>
  </si>
  <si>
    <t>USD - Core Retail Sales (MoM) (Jun)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</si>
  <si>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</si>
  <si>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</si>
  <si>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</si>
  <si>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</si>
  <si>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</si>
  <si>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 xml:space="preserve"> Wed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</si>
</sst>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47">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67" fontId="5" fillId="0" borderId="0" xfId="2" applyNumberFormat="1" applyFont="1"/>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43" fontId="38" fillId="0" borderId="1" xfId="1" quotePrefix="1" applyFont="1" applyFill="1" applyBorder="1" applyAlignment="1">
      <alignment horizontal="right" vertical="center" wrapText="1"/>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43" fontId="6" fillId="0" borderId="27"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43" fontId="50" fillId="0" borderId="27" xfId="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0" fontId="50" fillId="0" borderId="47" xfId="0" applyFont="1" applyBorder="1" applyAlignment="1">
      <alignment horizontal="center" vertical="center" wrapText="1"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xf numFmtId="10" fontId="38" fillId="0" borderId="1" xfId="1" quotePrefix="1" applyNumberFormat="1" applyFont="1" applyFill="1" applyBorder="1" applyAlignment="1">
      <alignment horizontal="right" vertical="center" wrapText="1"/>
    </xf>
    <xf numFmtId="166" fontId="38" fillId="0" borderId="1" xfId="1" applyNumberFormat="1" applyFont="1" applyFill="1" applyBorder="1" applyAlignment="1">
      <alignment horizontal="right" vertical="center" wrapText="1"/>
    </xf>
    <xf numFmtId="10" fontId="38" fillId="0" borderId="1" xfId="2" applyNumberFormat="1" applyFont="1" applyFill="1" applyBorder="1" applyAlignment="1">
      <alignment horizontal="right" vertical="center" wrapText="1"/>
    </xf>
    <xf numFmtId="165"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xf>
    <xf numFmtId="166" fontId="38" fillId="0" borderId="1" xfId="1" applyNumberFormat="1" applyFont="1" applyFill="1" applyBorder="1" applyAlignment="1">
      <alignment horizontal="right" vertical="center"/>
    </xf>
    <xf numFmtId="15" fontId="38" fillId="0" borderId="1" xfId="0" applyNumberFormat="1" applyFont="1" applyBorder="1" applyAlignment="1">
      <alignment horizontal="center" vertical="center" wrapText="1"/>
    </xf>
    <xf numFmtId="164" fontId="38" fillId="0" borderId="36" xfId="1" applyNumberFormat="1" applyFont="1" applyFill="1" applyBorder="1" applyAlignment="1">
      <alignment horizontal="center" vertical="center" wrapText="1"/>
    </xf>
    <xf numFmtId="20" fontId="38" fillId="0" borderId="1" xfId="0" applyNumberFormat="1" applyFont="1" applyBorder="1" applyAlignment="1">
      <alignment horizontal="center" vertical="center" wrapText="1"/>
    </xf>
    <xf numFmtId="0" fontId="5" fillId="0" borderId="1" xfId="0" applyFont="1" applyBorder="1"/>
    <xf numFmtId="15" fontId="49" fillId="0" borderId="1" xfId="0" applyNumberFormat="1" applyFont="1" applyBorder="1" applyAlignment="1">
      <alignment horizontal="center" vertical="center"/>
    </xf>
    <xf numFmtId="164" fontId="49" fillId="0" borderId="36" xfId="0" applyNumberFormat="1" applyFont="1" applyBorder="1" applyAlignment="1">
      <alignment horizontal="center" vertical="center"/>
    </xf>
    <xf numFmtId="20" fontId="49" fillId="0" borderId="36" xfId="0" applyNumberFormat="1" applyFont="1" applyBorder="1" applyAlignment="1">
      <alignment horizontal="center" vertical="center"/>
    </xf>
    <xf numFmtId="0" fontId="49" fillId="0" borderId="36" xfId="0" applyFont="1" applyBorder="1" applyAlignment="1">
      <alignment horizontal="center" vertical="center"/>
    </xf>
    <xf numFmtId="0" fontId="49" fillId="0" borderId="36" xfId="0" applyFont="1" applyBorder="1" applyAlignment="1">
      <alignment horizontal="center" vertical="center" wrapText="1"/>
    </xf>
    <xf numFmtId="10" fontId="49" fillId="0" borderId="36" xfId="0" applyNumberFormat="1" applyFont="1" applyBorder="1" applyAlignment="1">
      <alignment horizontal="right" vertical="center"/>
    </xf>
    <xf numFmtId="10" fontId="49" fillId="0" borderId="36" xfId="0" applyNumberFormat="1" applyFont="1" applyBorder="1" applyAlignment="1">
      <alignment horizontal="right" vertical="center" wrapText="1"/>
    </xf>
    <xf numFmtId="0" fontId="8" fillId="0" borderId="36" xfId="0" applyFont="1" applyBorder="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A1:S150"/>
  <sheetViews>
    <sheetView showGridLines="0" tabSelected="1" topLeftCell="A12" zoomScale="65" zoomScaleNormal="100" zoomScaleSheetLayoutView="87" workbookViewId="0">
      <selection activeCell="D136" sqref="D136"/>
    </sheetView>
  </sheetViews>
  <sheetFormatPr baseColWidth="10" defaultRowHeight="16" outlineLevelRow="2"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1:17">
      <c r="C1" s="2" t="s">
        <v>24</v>
      </c>
      <c r="D1" s="168" t="s">
        <v>0</v>
      </c>
      <c r="E1" s="168" t="s">
        <v>1</v>
      </c>
      <c r="F1" s="168" t="s">
        <v>2</v>
      </c>
      <c r="G1" s="168" t="s">
        <v>3</v>
      </c>
      <c r="H1" s="168" t="s">
        <v>4</v>
      </c>
      <c r="I1" s="168" t="s">
        <v>5</v>
      </c>
      <c r="J1" s="168" t="s">
        <v>6</v>
      </c>
      <c r="K1" s="169" t="s">
        <v>7</v>
      </c>
      <c r="L1" s="169" t="s">
        <v>8</v>
      </c>
      <c r="M1" s="168" t="s">
        <v>10</v>
      </c>
    </row>
    <row r="2" spans="1:17" hidden="1" outlineLevel="1">
      <c r="D2" s="227"/>
      <c r="E2" s="170"/>
      <c r="F2" s="228"/>
      <c r="G2" s="229"/>
      <c r="H2" s="230"/>
      <c r="I2" s="229"/>
      <c r="J2" s="171"/>
      <c r="K2" s="172"/>
      <c r="L2" s="172"/>
      <c r="M2" s="231"/>
    </row>
    <row r="3" spans="1:17" ht="118" collapsed="1">
      <c r="D3" s="227">
        <v>45853</v>
      </c>
      <c r="E3" s="258" t="s">
        <v>13</v>
      </c>
      <c r="F3" s="228">
        <v>0.3125</v>
      </c>
      <c r="G3" s="229" t="s">
        <v>187</v>
      </c>
      <c r="H3" s="230">
        <v>3</v>
      </c>
      <c r="I3" s="229" t="s">
        <v>873</v>
      </c>
      <c r="J3" s="171"/>
      <c r="K3" s="172"/>
      <c r="L3" s="172">
        <v>5.3999999999999999E-2</v>
      </c>
      <c r="M3" s="231" t="s">
        <v>874</v>
      </c>
      <c r="P3" s="309"/>
      <c r="Q3" s="309"/>
    </row>
    <row r="4" spans="1:17" ht="131" collapsed="1">
      <c r="D4" s="227">
        <v>45853</v>
      </c>
      <c r="E4" s="258" t="s">
        <v>13</v>
      </c>
      <c r="F4" s="228">
        <v>0.75</v>
      </c>
      <c r="G4" s="229" t="s">
        <v>9</v>
      </c>
      <c r="H4" s="230">
        <v>3</v>
      </c>
      <c r="I4" s="229" t="s">
        <v>875</v>
      </c>
      <c r="J4" s="171"/>
      <c r="K4" s="172">
        <v>3.0000000000000001E-3</v>
      </c>
      <c r="L4" s="172">
        <v>1E-3</v>
      </c>
      <c r="M4" s="231" t="s">
        <v>876</v>
      </c>
      <c r="P4" s="309"/>
      <c r="Q4" s="309"/>
    </row>
    <row r="5" spans="1:17" ht="105" collapsed="1">
      <c r="A5" s="2" t="s">
        <v>642</v>
      </c>
      <c r="D5" s="227">
        <v>45853</v>
      </c>
      <c r="E5" s="258" t="s">
        <v>13</v>
      </c>
      <c r="F5" s="228">
        <v>0.75</v>
      </c>
      <c r="G5" s="229" t="s">
        <v>9</v>
      </c>
      <c r="H5" s="230">
        <v>3</v>
      </c>
      <c r="I5" s="229" t="s">
        <v>877</v>
      </c>
      <c r="J5" s="171"/>
      <c r="K5" s="172">
        <v>3.0000000000000001E-3</v>
      </c>
      <c r="L5" s="172">
        <v>1E-3</v>
      </c>
      <c r="M5" s="231" t="s">
        <v>878</v>
      </c>
      <c r="P5" s="309"/>
      <c r="Q5" s="309"/>
    </row>
    <row r="6" spans="1:17" ht="105" collapsed="1">
      <c r="D6" s="227">
        <v>45853</v>
      </c>
      <c r="E6" s="258" t="s">
        <v>13</v>
      </c>
      <c r="F6" s="228">
        <v>0.75</v>
      </c>
      <c r="G6" s="229" t="s">
        <v>9</v>
      </c>
      <c r="H6" s="230">
        <v>3</v>
      </c>
      <c r="I6" s="229" t="s">
        <v>879</v>
      </c>
      <c r="J6" s="171"/>
      <c r="K6" s="172"/>
      <c r="L6" s="172">
        <v>2.4E-2</v>
      </c>
      <c r="M6" s="231" t="s">
        <v>878</v>
      </c>
      <c r="P6" s="309"/>
      <c r="Q6" s="309"/>
    </row>
    <row r="7" spans="1:17" ht="105" collapsed="1">
      <c r="D7" s="227">
        <f>D6+1</f>
        <v>45854</v>
      </c>
      <c r="E7" s="258" t="s">
        <v>14</v>
      </c>
      <c r="F7" s="228">
        <v>0.47916666666666669</v>
      </c>
      <c r="G7" s="229" t="s">
        <v>617</v>
      </c>
      <c r="H7" s="230">
        <v>3</v>
      </c>
      <c r="I7" s="229" t="s">
        <v>880</v>
      </c>
      <c r="J7" s="171"/>
      <c r="K7" s="172"/>
      <c r="L7" s="172">
        <v>3.4000000000000002E-2</v>
      </c>
      <c r="M7" s="231" t="s">
        <v>881</v>
      </c>
      <c r="P7" s="309"/>
      <c r="Q7" s="309"/>
    </row>
    <row r="8" spans="1:17" ht="144" collapsed="1">
      <c r="D8" s="227">
        <f>D7</f>
        <v>45854</v>
      </c>
      <c r="E8" s="258" t="s">
        <v>14</v>
      </c>
      <c r="F8" s="228">
        <v>0.75</v>
      </c>
      <c r="G8" s="229" t="s">
        <v>9</v>
      </c>
      <c r="H8" s="230">
        <v>3</v>
      </c>
      <c r="I8" s="229" t="s">
        <v>882</v>
      </c>
      <c r="J8" s="171"/>
      <c r="K8" s="172">
        <v>2E-3</v>
      </c>
      <c r="L8" s="172">
        <v>1E-3</v>
      </c>
      <c r="M8" s="231" t="s">
        <v>883</v>
      </c>
      <c r="P8" s="309"/>
      <c r="Q8" s="309"/>
    </row>
    <row r="9" spans="1:17" ht="144" collapsed="1">
      <c r="D9" s="227">
        <f>D8</f>
        <v>45854</v>
      </c>
      <c r="E9" s="258" t="s">
        <v>14</v>
      </c>
      <c r="F9" s="228">
        <v>0.83333333333333337</v>
      </c>
      <c r="G9" s="229" t="s">
        <v>9</v>
      </c>
      <c r="H9" s="230">
        <v>3</v>
      </c>
      <c r="I9" s="229" t="s">
        <v>233</v>
      </c>
      <c r="J9" s="171"/>
      <c r="K9" s="172"/>
      <c r="L9" s="529" t="s">
        <v>884</v>
      </c>
      <c r="M9" s="231" t="s">
        <v>885</v>
      </c>
      <c r="P9" s="309"/>
      <c r="Q9" s="309"/>
    </row>
    <row r="10" spans="1:17" ht="92" collapsed="1">
      <c r="D10" s="227">
        <f>D8+1</f>
        <v>45855</v>
      </c>
      <c r="E10" s="258" t="s">
        <v>173</v>
      </c>
      <c r="F10" s="228">
        <v>0.60416666666666663</v>
      </c>
      <c r="G10" s="229" t="s">
        <v>171</v>
      </c>
      <c r="H10" s="230">
        <v>3</v>
      </c>
      <c r="I10" s="229" t="s">
        <v>886</v>
      </c>
      <c r="J10" s="171"/>
      <c r="K10" s="172">
        <v>0.02</v>
      </c>
      <c r="L10" s="172">
        <v>0.02</v>
      </c>
      <c r="M10" s="231" t="s">
        <v>887</v>
      </c>
      <c r="P10" s="309"/>
      <c r="Q10" s="309"/>
    </row>
    <row r="11" spans="1:17" ht="92" collapsed="1">
      <c r="C11" s="2" t="s">
        <v>24</v>
      </c>
      <c r="D11" s="227">
        <f>D10</f>
        <v>45855</v>
      </c>
      <c r="E11" s="258" t="s">
        <v>173</v>
      </c>
      <c r="F11" s="228">
        <v>0.75</v>
      </c>
      <c r="G11" s="229" t="s">
        <v>888</v>
      </c>
      <c r="H11" s="230">
        <v>3</v>
      </c>
      <c r="I11" s="229" t="s">
        <v>889</v>
      </c>
      <c r="J11" s="171"/>
      <c r="K11" s="172">
        <v>3.0000000000000001E-3</v>
      </c>
      <c r="L11" s="172">
        <v>-3.0000000000000001E-3</v>
      </c>
      <c r="M11" s="231" t="s">
        <v>890</v>
      </c>
      <c r="P11" s="309"/>
      <c r="Q11" s="309"/>
    </row>
    <row r="12" spans="1:17" ht="79" collapsed="1">
      <c r="D12" s="227">
        <f>D11</f>
        <v>45855</v>
      </c>
      <c r="E12" s="258" t="s">
        <v>173</v>
      </c>
      <c r="F12" s="228">
        <v>0.75</v>
      </c>
      <c r="G12" s="229" t="s">
        <v>888</v>
      </c>
      <c r="H12" s="230">
        <v>3</v>
      </c>
      <c r="I12" s="229" t="s">
        <v>182</v>
      </c>
      <c r="J12" s="171"/>
      <c r="K12" s="172"/>
      <c r="L12" s="172" t="s">
        <v>11</v>
      </c>
      <c r="M12" s="231" t="s">
        <v>208</v>
      </c>
      <c r="P12" s="309"/>
      <c r="Q12" s="309"/>
    </row>
    <row r="13" spans="1:17" ht="144" collapsed="1">
      <c r="D13" s="227">
        <f>D12</f>
        <v>45855</v>
      </c>
      <c r="E13" s="258" t="s">
        <v>173</v>
      </c>
      <c r="F13" s="228">
        <v>0.75</v>
      </c>
      <c r="G13" s="229" t="s">
        <v>9</v>
      </c>
      <c r="H13" s="230">
        <v>3</v>
      </c>
      <c r="I13" s="229" t="s">
        <v>891</v>
      </c>
      <c r="J13" s="171"/>
      <c r="K13" s="172"/>
      <c r="L13" s="173">
        <v>-4</v>
      </c>
      <c r="M13" s="231" t="s">
        <v>892</v>
      </c>
      <c r="P13" s="309"/>
      <c r="Q13" s="309"/>
    </row>
    <row r="14" spans="1:17" ht="105" collapsed="1">
      <c r="D14" s="227">
        <f>D13</f>
        <v>45855</v>
      </c>
      <c r="E14" s="258" t="s">
        <v>173</v>
      </c>
      <c r="F14" s="228">
        <v>0.75</v>
      </c>
      <c r="G14" s="229" t="s">
        <v>9</v>
      </c>
      <c r="H14" s="230">
        <v>3</v>
      </c>
      <c r="I14" s="229" t="s">
        <v>893</v>
      </c>
      <c r="J14" s="171"/>
      <c r="K14" s="172">
        <v>0</v>
      </c>
      <c r="L14" s="172">
        <v>-8.9999999999999993E-3</v>
      </c>
      <c r="M14" s="231" t="s">
        <v>255</v>
      </c>
      <c r="P14" s="309"/>
      <c r="Q14" s="309"/>
    </row>
    <row r="15" spans="1:17" collapsed="1">
      <c r="D15" s="539">
        <v>45868</v>
      </c>
      <c r="E15" s="540" t="s">
        <v>895</v>
      </c>
      <c r="F15" s="541">
        <v>0.97916666666666663</v>
      </c>
      <c r="G15" s="542" t="s">
        <v>9</v>
      </c>
      <c r="H15" s="543">
        <v>3</v>
      </c>
      <c r="I15" s="542" t="s">
        <v>12</v>
      </c>
      <c r="J15" s="544"/>
      <c r="K15" s="545">
        <v>4.36E-2</v>
      </c>
      <c r="L15" s="545">
        <v>4.3799999999999999E-2</v>
      </c>
      <c r="M15" s="546" t="s">
        <v>223</v>
      </c>
      <c r="P15" s="165"/>
      <c r="Q15" s="165"/>
    </row>
    <row r="16" spans="1:17" ht="92" hidden="1" outlineLevel="1" collapsed="1">
      <c r="D16" s="227">
        <f>D15</f>
        <v>45868</v>
      </c>
      <c r="E16" s="258" t="s">
        <v>173</v>
      </c>
      <c r="F16" s="228">
        <v>0.75</v>
      </c>
      <c r="G16" s="229" t="s">
        <v>9</v>
      </c>
      <c r="H16" s="230">
        <v>3</v>
      </c>
      <c r="I16" s="229" t="s">
        <v>182</v>
      </c>
      <c r="J16" s="171"/>
      <c r="K16" s="531" t="s">
        <v>616</v>
      </c>
      <c r="L16" s="531" t="s">
        <v>590</v>
      </c>
      <c r="M16" s="231" t="s">
        <v>569</v>
      </c>
      <c r="P16" s="164"/>
      <c r="Q16" s="164"/>
    </row>
    <row r="17" spans="3:19" ht="131" hidden="1" outlineLevel="1" collapsed="1">
      <c r="D17" s="227">
        <f>D16</f>
        <v>45868</v>
      </c>
      <c r="E17" s="258" t="s">
        <v>173</v>
      </c>
      <c r="F17" s="228">
        <v>0.76041666666666663</v>
      </c>
      <c r="G17" s="229" t="s">
        <v>171</v>
      </c>
      <c r="H17" s="230">
        <v>3</v>
      </c>
      <c r="I17" s="229" t="s">
        <v>580</v>
      </c>
      <c r="J17" s="171"/>
      <c r="K17" s="530"/>
      <c r="L17" s="531"/>
      <c r="M17" s="231" t="s">
        <v>581</v>
      </c>
      <c r="P17" s="164"/>
      <c r="Q17" s="164"/>
    </row>
    <row r="18" spans="3:19" ht="40" hidden="1" outlineLevel="1" collapsed="1">
      <c r="D18" s="227">
        <f>D16+1</f>
        <v>45869</v>
      </c>
      <c r="E18" s="258" t="s">
        <v>16</v>
      </c>
      <c r="F18" s="228" t="s">
        <v>195</v>
      </c>
      <c r="G18" s="229" t="s">
        <v>560</v>
      </c>
      <c r="H18" s="230">
        <v>3</v>
      </c>
      <c r="I18" s="229" t="s">
        <v>570</v>
      </c>
      <c r="J18" s="171"/>
      <c r="K18" s="530"/>
      <c r="L18" s="531"/>
      <c r="M18" s="231" t="s">
        <v>253</v>
      </c>
      <c r="P18" s="164"/>
      <c r="Q18" s="164"/>
    </row>
    <row r="19" spans="3:19" ht="40" hidden="1" outlineLevel="1" collapsed="1">
      <c r="D19" s="227">
        <f>D18</f>
        <v>45869</v>
      </c>
      <c r="E19" s="258" t="s">
        <v>16</v>
      </c>
      <c r="F19" s="228" t="s">
        <v>195</v>
      </c>
      <c r="G19" s="229" t="s">
        <v>571</v>
      </c>
      <c r="H19" s="230">
        <v>3</v>
      </c>
      <c r="I19" s="229" t="s">
        <v>572</v>
      </c>
      <c r="J19" s="171"/>
      <c r="K19" s="530"/>
      <c r="L19" s="531"/>
      <c r="M19" s="231" t="s">
        <v>253</v>
      </c>
      <c r="P19" s="165"/>
      <c r="Q19" s="165"/>
      <c r="R19" s="311"/>
      <c r="S19" s="311"/>
    </row>
    <row r="20" spans="3:19" ht="105" hidden="1" outlineLevel="1" collapsed="1">
      <c r="C20" s="2" t="s">
        <v>24</v>
      </c>
      <c r="D20" s="227">
        <f>D19</f>
        <v>45869</v>
      </c>
      <c r="E20" s="258" t="s">
        <v>16</v>
      </c>
      <c r="F20" s="228">
        <v>0.75</v>
      </c>
      <c r="G20" s="229" t="s">
        <v>9</v>
      </c>
      <c r="H20" s="230">
        <v>3</v>
      </c>
      <c r="I20" s="229" t="s">
        <v>573</v>
      </c>
      <c r="J20" s="171"/>
      <c r="K20" s="531">
        <v>3.0000000000000001E-3</v>
      </c>
      <c r="L20" s="531">
        <v>2E-3</v>
      </c>
      <c r="M20" s="231" t="s">
        <v>574</v>
      </c>
      <c r="P20" s="164"/>
      <c r="Q20" s="164"/>
    </row>
    <row r="21" spans="3:19" ht="105" hidden="1" outlineLevel="1" collapsed="1">
      <c r="D21" s="227">
        <f t="shared" ref="D21:D23" si="0">D20</f>
        <v>45869</v>
      </c>
      <c r="E21" s="258" t="s">
        <v>16</v>
      </c>
      <c r="F21" s="228">
        <v>0.75</v>
      </c>
      <c r="G21" s="229" t="s">
        <v>9</v>
      </c>
      <c r="H21" s="230">
        <v>3</v>
      </c>
      <c r="I21" s="229" t="s">
        <v>575</v>
      </c>
      <c r="J21" s="171"/>
      <c r="K21" s="531" t="s">
        <v>602</v>
      </c>
      <c r="L21" s="531" t="s">
        <v>576</v>
      </c>
      <c r="M21" s="231" t="s">
        <v>577</v>
      </c>
      <c r="P21" s="310"/>
      <c r="Q21" s="310"/>
    </row>
    <row r="22" spans="3:19" ht="118" hidden="1" outlineLevel="1" collapsed="1">
      <c r="D22" s="227">
        <f t="shared" si="0"/>
        <v>45869</v>
      </c>
      <c r="E22" s="258" t="s">
        <v>16</v>
      </c>
      <c r="F22" s="228">
        <v>0.75</v>
      </c>
      <c r="G22" s="229" t="s">
        <v>9</v>
      </c>
      <c r="H22" s="230">
        <v>3</v>
      </c>
      <c r="I22" s="229" t="s">
        <v>578</v>
      </c>
      <c r="J22" s="171"/>
      <c r="K22" s="531">
        <v>4.2000000000000003E-2</v>
      </c>
      <c r="L22" s="531">
        <v>4.2000000000000003E-2</v>
      </c>
      <c r="M22" s="231" t="s">
        <v>579</v>
      </c>
      <c r="P22" s="164"/>
      <c r="Q22" s="164"/>
    </row>
    <row r="23" spans="3:19" s="174" customFormat="1" ht="79" hidden="1" outlineLevel="1">
      <c r="D23" s="227">
        <f t="shared" si="0"/>
        <v>45869</v>
      </c>
      <c r="E23" s="258" t="s">
        <v>173</v>
      </c>
      <c r="F23" s="228">
        <v>0.75694444444444442</v>
      </c>
      <c r="G23" s="229" t="s">
        <v>9</v>
      </c>
      <c r="H23" s="230">
        <v>3</v>
      </c>
      <c r="I23" s="229" t="s">
        <v>282</v>
      </c>
      <c r="J23" s="171"/>
      <c r="K23" s="172"/>
      <c r="L23" s="172"/>
      <c r="M23" s="231" t="s">
        <v>394</v>
      </c>
      <c r="P23" s="164"/>
      <c r="Q23" s="164"/>
    </row>
    <row r="24" spans="3:19" s="174" customFormat="1" ht="118" hidden="1" outlineLevel="1">
      <c r="D24" s="227">
        <f>D22+1</f>
        <v>45870</v>
      </c>
      <c r="E24" s="258" t="s">
        <v>16</v>
      </c>
      <c r="F24" s="228">
        <v>0.22222222222222221</v>
      </c>
      <c r="G24" s="229" t="s">
        <v>303</v>
      </c>
      <c r="H24" s="230">
        <v>3</v>
      </c>
      <c r="I24" s="229" t="s">
        <v>375</v>
      </c>
      <c r="J24" s="171"/>
      <c r="K24" s="172"/>
      <c r="L24" s="172">
        <v>6.0000000000000001E-3</v>
      </c>
      <c r="M24" s="231" t="s">
        <v>376</v>
      </c>
      <c r="P24" s="164"/>
      <c r="Q24" s="164"/>
    </row>
    <row r="25" spans="3:19" hidden="1" outlineLevel="1">
      <c r="D25" s="227"/>
      <c r="E25" s="258"/>
      <c r="F25" s="228"/>
      <c r="G25" s="229"/>
      <c r="H25" s="230"/>
      <c r="I25" s="229"/>
      <c r="J25" s="171"/>
      <c r="K25" s="172"/>
      <c r="L25" s="172"/>
      <c r="M25" s="231"/>
      <c r="P25" s="164"/>
      <c r="Q25" s="164"/>
    </row>
    <row r="26" spans="3:19" hidden="1" outlineLevel="1">
      <c r="D26" s="227"/>
      <c r="E26" s="258"/>
      <c r="F26" s="228"/>
      <c r="G26" s="229"/>
      <c r="H26" s="230"/>
      <c r="I26" s="229"/>
      <c r="J26" s="171"/>
      <c r="K26" s="172"/>
      <c r="L26" s="172"/>
      <c r="M26" s="231"/>
      <c r="P26" s="164"/>
      <c r="Q26" s="164"/>
      <c r="R26" s="311"/>
      <c r="S26" s="311"/>
    </row>
    <row r="27" spans="3:19" hidden="1" outlineLevel="1">
      <c r="D27" s="227"/>
      <c r="E27" s="258"/>
      <c r="F27" s="228"/>
      <c r="G27" s="229"/>
      <c r="H27" s="230"/>
      <c r="I27" s="229"/>
      <c r="J27" s="171"/>
      <c r="K27" s="172"/>
      <c r="L27" s="172"/>
      <c r="M27" s="231"/>
      <c r="P27" s="164"/>
      <c r="Q27" s="164"/>
    </row>
    <row r="28" spans="3:19" hidden="1" outlineLevel="1">
      <c r="D28" s="227"/>
      <c r="E28" s="258"/>
      <c r="F28" s="228"/>
      <c r="G28" s="229"/>
      <c r="H28" s="230"/>
      <c r="I28" s="229"/>
      <c r="J28" s="171"/>
      <c r="K28" s="172"/>
      <c r="L28" s="172"/>
      <c r="M28" s="231"/>
      <c r="P28" s="164"/>
      <c r="Q28" s="164"/>
    </row>
    <row r="29" spans="3:19" hidden="1" outlineLevel="1">
      <c r="D29" s="227"/>
      <c r="E29" s="258"/>
      <c r="F29" s="228"/>
      <c r="G29" s="229"/>
      <c r="H29" s="230"/>
      <c r="I29" s="229"/>
      <c r="J29" s="171"/>
      <c r="K29" s="172"/>
      <c r="L29" s="532"/>
      <c r="M29" s="231"/>
      <c r="P29" s="165"/>
      <c r="Q29" s="165"/>
    </row>
    <row r="30" spans="3:19" hidden="1" outlineLevel="1">
      <c r="D30" s="227"/>
      <c r="E30" s="258"/>
      <c r="F30" s="228"/>
      <c r="G30" s="229"/>
      <c r="H30" s="230"/>
      <c r="I30" s="229"/>
      <c r="J30" s="171"/>
      <c r="K30" s="173"/>
      <c r="L30" s="173"/>
      <c r="M30" s="231"/>
      <c r="P30" s="310"/>
      <c r="Q30" s="310"/>
    </row>
    <row r="31" spans="3:19" hidden="1" outlineLevel="1">
      <c r="D31" s="227"/>
      <c r="E31" s="258"/>
      <c r="F31" s="228"/>
      <c r="G31" s="229"/>
      <c r="H31" s="230"/>
      <c r="I31" s="229"/>
      <c r="J31" s="171"/>
      <c r="K31" s="173"/>
      <c r="L31" s="173"/>
      <c r="M31" s="231"/>
      <c r="P31" s="164"/>
      <c r="Q31" s="164"/>
      <c r="R31" s="311"/>
      <c r="S31" s="311"/>
    </row>
    <row r="32" spans="3:19" hidden="1" outlineLevel="1">
      <c r="D32" s="227"/>
      <c r="E32" s="258"/>
      <c r="F32" s="228"/>
      <c r="G32" s="229"/>
      <c r="H32" s="230"/>
      <c r="I32" s="229"/>
      <c r="J32" s="171"/>
      <c r="K32" s="173"/>
      <c r="L32" s="173"/>
      <c r="M32" s="231"/>
      <c r="P32" s="164"/>
      <c r="Q32" s="164"/>
    </row>
    <row r="33" spans="4:19" hidden="1" outlineLevel="1">
      <c r="D33" s="227"/>
      <c r="E33" s="258"/>
      <c r="F33" s="228"/>
      <c r="G33" s="229"/>
      <c r="H33" s="230"/>
      <c r="I33" s="229"/>
      <c r="J33" s="171"/>
      <c r="K33" s="172"/>
      <c r="L33" s="172"/>
      <c r="M33" s="231"/>
      <c r="P33" s="164"/>
      <c r="Q33" s="164"/>
    </row>
    <row r="34" spans="4:19" hidden="1" outlineLevel="1">
      <c r="D34" s="227"/>
      <c r="E34" s="258"/>
      <c r="F34" s="228"/>
      <c r="G34" s="229"/>
      <c r="H34" s="230"/>
      <c r="I34" s="229"/>
      <c r="J34" s="171"/>
      <c r="K34" s="172"/>
      <c r="L34" s="172"/>
      <c r="M34" s="231"/>
      <c r="P34" s="164"/>
      <c r="Q34" s="164"/>
    </row>
    <row r="35" spans="4:19" hidden="1" outlineLevel="1">
      <c r="D35" s="227"/>
      <c r="E35" s="258"/>
      <c r="F35" s="228"/>
      <c r="G35" s="229"/>
      <c r="H35" s="230"/>
      <c r="I35" s="229"/>
      <c r="J35" s="171"/>
      <c r="K35" s="172"/>
      <c r="L35" s="172"/>
      <c r="M35" s="231"/>
      <c r="P35" s="164"/>
      <c r="Q35" s="164"/>
    </row>
    <row r="36" spans="4:19" hidden="1" outlineLevel="1">
      <c r="D36" s="227"/>
      <c r="E36" s="258"/>
      <c r="F36" s="228"/>
      <c r="G36" s="229"/>
      <c r="H36" s="230"/>
      <c r="I36" s="229"/>
      <c r="J36" s="171"/>
      <c r="K36" s="172"/>
      <c r="L36" s="173"/>
      <c r="M36" s="231"/>
      <c r="P36" s="164"/>
      <c r="Q36" s="164"/>
      <c r="R36" s="311"/>
      <c r="S36" s="311"/>
    </row>
    <row r="37" spans="4:19" hidden="1" outlineLevel="1">
      <c r="D37" s="227"/>
      <c r="E37" s="258"/>
      <c r="F37" s="228"/>
      <c r="G37" s="229"/>
      <c r="H37" s="230"/>
      <c r="I37" s="229"/>
      <c r="J37" s="171"/>
      <c r="K37" s="172"/>
      <c r="L37" s="173"/>
      <c r="M37" s="231"/>
      <c r="P37" s="164"/>
      <c r="Q37" s="164"/>
    </row>
    <row r="38" spans="4:19" hidden="1" outlineLevel="1">
      <c r="D38" s="227"/>
      <c r="E38" s="258"/>
      <c r="F38" s="228"/>
      <c r="G38" s="229"/>
      <c r="H38" s="230"/>
      <c r="I38" s="229"/>
      <c r="J38" s="171"/>
      <c r="K38" s="172"/>
      <c r="L38" s="173"/>
      <c r="M38" s="231"/>
      <c r="P38" s="310"/>
      <c r="Q38" s="310"/>
    </row>
    <row r="39" spans="4:19" hidden="1" outlineLevel="1">
      <c r="D39" s="227"/>
      <c r="E39" s="258"/>
      <c r="F39" s="228"/>
      <c r="G39" s="229"/>
      <c r="H39" s="230"/>
      <c r="I39" s="229"/>
      <c r="J39" s="171"/>
      <c r="K39" s="172"/>
      <c r="L39" s="173"/>
      <c r="M39" s="231"/>
      <c r="P39" s="164"/>
      <c r="Q39" s="164"/>
    </row>
    <row r="40" spans="4:19" hidden="1" outlineLevel="1">
      <c r="D40" s="227"/>
      <c r="E40" s="258"/>
      <c r="F40" s="228"/>
      <c r="G40" s="229"/>
      <c r="H40" s="230"/>
      <c r="I40" s="229"/>
      <c r="J40" s="171"/>
      <c r="K40" s="172"/>
      <c r="L40" s="172"/>
      <c r="M40" s="231"/>
      <c r="P40" s="164"/>
      <c r="Q40" s="164"/>
    </row>
    <row r="41" spans="4:19" hidden="1" outlineLevel="1">
      <c r="D41" s="227"/>
      <c r="E41" s="258"/>
      <c r="F41" s="228"/>
      <c r="G41" s="229"/>
      <c r="H41" s="230"/>
      <c r="I41" s="229"/>
      <c r="J41" s="171"/>
      <c r="K41" s="172"/>
      <c r="L41" s="172"/>
      <c r="M41" s="231"/>
      <c r="P41" s="164"/>
      <c r="Q41" s="164"/>
    </row>
    <row r="42" spans="4:19" hidden="1" outlineLevel="1">
      <c r="D42" s="227"/>
      <c r="E42" s="258"/>
      <c r="F42" s="228"/>
      <c r="G42" s="229"/>
      <c r="H42" s="230"/>
      <c r="I42" s="229"/>
      <c r="J42" s="171"/>
      <c r="K42" s="172"/>
      <c r="L42" s="173"/>
      <c r="M42" s="231"/>
      <c r="P42" s="164"/>
      <c r="Q42" s="164"/>
    </row>
    <row r="43" spans="4:19" hidden="1" outlineLevel="1">
      <c r="D43" s="227"/>
      <c r="E43" s="258"/>
      <c r="F43" s="228"/>
      <c r="G43" s="229"/>
      <c r="H43" s="230"/>
      <c r="I43" s="229"/>
      <c r="J43" s="171"/>
      <c r="K43" s="172"/>
      <c r="L43" s="172"/>
      <c r="M43" s="231"/>
      <c r="P43" s="164"/>
      <c r="Q43" s="164"/>
      <c r="R43" s="311"/>
      <c r="S43" s="311"/>
    </row>
    <row r="44" spans="4:19" ht="105" hidden="1" outlineLevel="1">
      <c r="D44" s="227">
        <f t="shared" ref="D44:D47" si="1">D43</f>
        <v>0</v>
      </c>
      <c r="E44" s="258" t="s">
        <v>14</v>
      </c>
      <c r="F44" s="228">
        <v>0.75</v>
      </c>
      <c r="G44" s="229" t="s">
        <v>9</v>
      </c>
      <c r="H44" s="230">
        <v>3</v>
      </c>
      <c r="I44" s="229" t="s">
        <v>254</v>
      </c>
      <c r="J44" s="171"/>
      <c r="K44" s="172">
        <v>1.4E-2</v>
      </c>
      <c r="L44" s="172">
        <v>2E-3</v>
      </c>
      <c r="M44" s="231" t="s">
        <v>255</v>
      </c>
      <c r="P44" s="164"/>
      <c r="Q44" s="164"/>
    </row>
    <row r="45" spans="4:19" ht="105" hidden="1" outlineLevel="1">
      <c r="D45" s="227">
        <f t="shared" si="1"/>
        <v>0</v>
      </c>
      <c r="E45" s="258" t="s">
        <v>14</v>
      </c>
      <c r="F45" s="228">
        <v>0.80208333333333337</v>
      </c>
      <c r="G45" s="229" t="s">
        <v>256</v>
      </c>
      <c r="H45" s="230">
        <v>3</v>
      </c>
      <c r="I45" s="229" t="s">
        <v>257</v>
      </c>
      <c r="J45" s="171"/>
      <c r="K45" s="172">
        <v>2.75E-2</v>
      </c>
      <c r="L45" s="172">
        <v>2.75E-2</v>
      </c>
      <c r="M45" s="231" t="s">
        <v>258</v>
      </c>
      <c r="P45" s="164"/>
      <c r="Q45" s="164"/>
    </row>
    <row r="46" spans="4:19" ht="144" hidden="1" outlineLevel="1">
      <c r="D46" s="227">
        <f t="shared" si="1"/>
        <v>0</v>
      </c>
      <c r="E46" s="258" t="s">
        <v>14</v>
      </c>
      <c r="F46" s="228">
        <v>0.83333333333333337</v>
      </c>
      <c r="G46" s="229" t="s">
        <v>9</v>
      </c>
      <c r="H46" s="230">
        <v>3</v>
      </c>
      <c r="I46" s="229" t="s">
        <v>233</v>
      </c>
      <c r="J46" s="171"/>
      <c r="K46" s="172"/>
      <c r="L46" s="529" t="s">
        <v>283</v>
      </c>
      <c r="M46" s="231" t="s">
        <v>284</v>
      </c>
      <c r="P46" s="310"/>
      <c r="Q46" s="310"/>
    </row>
    <row r="47" spans="4:19" ht="92" hidden="1" outlineLevel="1">
      <c r="D47" s="227">
        <f t="shared" si="1"/>
        <v>0</v>
      </c>
      <c r="E47" s="258" t="s">
        <v>14</v>
      </c>
      <c r="F47" s="228">
        <v>0.94791666666666663</v>
      </c>
      <c r="G47" s="229" t="s">
        <v>9</v>
      </c>
      <c r="H47" s="230">
        <v>3</v>
      </c>
      <c r="I47" s="229" t="s">
        <v>282</v>
      </c>
      <c r="J47" s="171"/>
      <c r="K47" s="172"/>
      <c r="L47" s="172"/>
      <c r="M47" s="231" t="s">
        <v>285</v>
      </c>
      <c r="P47" s="164"/>
      <c r="Q47" s="164"/>
    </row>
    <row r="48" spans="4:19" ht="40" hidden="1" outlineLevel="1">
      <c r="D48" s="227">
        <f>D45+1</f>
        <v>1</v>
      </c>
      <c r="E48" s="258" t="s">
        <v>173</v>
      </c>
      <c r="F48" s="228" t="s">
        <v>195</v>
      </c>
      <c r="G48" s="229" t="s">
        <v>259</v>
      </c>
      <c r="H48" s="230">
        <v>3</v>
      </c>
      <c r="I48" s="229" t="s">
        <v>260</v>
      </c>
      <c r="J48" s="171"/>
      <c r="K48" s="173"/>
      <c r="L48" s="172"/>
      <c r="M48" s="231" t="s">
        <v>261</v>
      </c>
      <c r="P48" s="164"/>
      <c r="Q48" s="164"/>
      <c r="R48" s="311"/>
      <c r="S48" s="311"/>
    </row>
    <row r="49" spans="1:19" ht="40" hidden="1" outlineLevel="1">
      <c r="D49" s="227">
        <f>D48</f>
        <v>1</v>
      </c>
      <c r="E49" s="258" t="s">
        <v>173</v>
      </c>
      <c r="F49" s="228" t="s">
        <v>195</v>
      </c>
      <c r="G49" s="229" t="s">
        <v>262</v>
      </c>
      <c r="H49" s="230">
        <v>3</v>
      </c>
      <c r="I49" s="229" t="s">
        <v>263</v>
      </c>
      <c r="J49" s="171"/>
      <c r="K49" s="173"/>
      <c r="L49" s="172"/>
      <c r="M49" s="231" t="s">
        <v>261</v>
      </c>
      <c r="P49" s="164"/>
      <c r="Q49" s="164"/>
    </row>
    <row r="50" spans="1:19" ht="144" hidden="1" outlineLevel="1">
      <c r="D50" s="227">
        <f>D53</f>
        <v>1</v>
      </c>
      <c r="E50" s="258" t="s">
        <v>173</v>
      </c>
      <c r="F50" s="228">
        <v>0.73958333333333337</v>
      </c>
      <c r="G50" s="229" t="s">
        <v>171</v>
      </c>
      <c r="H50" s="230">
        <v>3</v>
      </c>
      <c r="I50" s="229" t="s">
        <v>266</v>
      </c>
      <c r="J50" s="171"/>
      <c r="K50" s="172">
        <v>2.2499999999999999E-2</v>
      </c>
      <c r="L50" s="172">
        <v>2.5000000000000001E-2</v>
      </c>
      <c r="M50" s="231" t="s">
        <v>276</v>
      </c>
      <c r="P50" s="164"/>
      <c r="Q50" s="164"/>
    </row>
    <row r="51" spans="1:19" ht="131" hidden="1" outlineLevel="1">
      <c r="D51" s="227">
        <f>D50</f>
        <v>1</v>
      </c>
      <c r="E51" s="258" t="s">
        <v>173</v>
      </c>
      <c r="F51" s="228">
        <v>0.73958333333333337</v>
      </c>
      <c r="G51" s="229" t="s">
        <v>171</v>
      </c>
      <c r="H51" s="230">
        <v>3</v>
      </c>
      <c r="I51" s="229" t="s">
        <v>267</v>
      </c>
      <c r="J51" s="171"/>
      <c r="K51" s="172">
        <v>2.4E-2</v>
      </c>
      <c r="L51" s="172">
        <v>2.6499999999999999E-2</v>
      </c>
      <c r="M51" s="231" t="s">
        <v>277</v>
      </c>
      <c r="P51" s="164"/>
      <c r="Q51" s="164"/>
    </row>
    <row r="52" spans="1:19" ht="79" hidden="1" outlineLevel="1">
      <c r="D52" s="227">
        <f>D49</f>
        <v>1</v>
      </c>
      <c r="E52" s="258" t="s">
        <v>173</v>
      </c>
      <c r="F52" s="228">
        <v>0.75</v>
      </c>
      <c r="G52" s="229" t="s">
        <v>9</v>
      </c>
      <c r="H52" s="230">
        <v>3</v>
      </c>
      <c r="I52" s="229" t="s">
        <v>182</v>
      </c>
      <c r="J52" s="171"/>
      <c r="K52" s="172" t="s">
        <v>31</v>
      </c>
      <c r="L52" s="172" t="s">
        <v>166</v>
      </c>
      <c r="M52" s="231" t="s">
        <v>234</v>
      </c>
      <c r="P52" s="164"/>
      <c r="Q52" s="164"/>
    </row>
    <row r="53" spans="1:19" ht="118" hidden="1" outlineLevel="1">
      <c r="D53" s="227">
        <f>D52</f>
        <v>1</v>
      </c>
      <c r="E53" s="258" t="s">
        <v>173</v>
      </c>
      <c r="F53" s="228">
        <v>0.75</v>
      </c>
      <c r="G53" s="229" t="s">
        <v>9</v>
      </c>
      <c r="H53" s="230">
        <v>3</v>
      </c>
      <c r="I53" s="229" t="s">
        <v>265</v>
      </c>
      <c r="J53" s="171"/>
      <c r="K53" s="530">
        <v>3.1</v>
      </c>
      <c r="L53" s="530">
        <v>12.5</v>
      </c>
      <c r="M53" s="231" t="s">
        <v>264</v>
      </c>
      <c r="P53" s="164"/>
      <c r="Q53" s="164"/>
    </row>
    <row r="54" spans="1:19" ht="131" hidden="1" outlineLevel="1">
      <c r="D54" s="227">
        <f>D52</f>
        <v>1</v>
      </c>
      <c r="E54" s="258" t="s">
        <v>173</v>
      </c>
      <c r="F54" s="228">
        <v>0.76041666666666663</v>
      </c>
      <c r="G54" s="229" t="s">
        <v>171</v>
      </c>
      <c r="H54" s="230">
        <v>3</v>
      </c>
      <c r="I54" s="229" t="s">
        <v>275</v>
      </c>
      <c r="J54" s="171"/>
      <c r="K54" s="172"/>
      <c r="L54" s="172"/>
      <c r="M54" s="231" t="s">
        <v>278</v>
      </c>
      <c r="P54" s="165"/>
      <c r="Q54" s="165"/>
    </row>
    <row r="55" spans="1:19" ht="53" hidden="1" outlineLevel="1">
      <c r="D55" s="227">
        <f>D51+1</f>
        <v>2</v>
      </c>
      <c r="E55" s="258" t="s">
        <v>16</v>
      </c>
      <c r="F55" s="228" t="s">
        <v>195</v>
      </c>
      <c r="G55" s="229" t="s">
        <v>268</v>
      </c>
      <c r="H55" s="230">
        <v>3</v>
      </c>
      <c r="I55" s="229" t="s">
        <v>269</v>
      </c>
      <c r="J55" s="171"/>
      <c r="K55" s="172"/>
      <c r="L55" s="172"/>
      <c r="M55" s="231" t="s">
        <v>270</v>
      </c>
      <c r="P55" s="310"/>
      <c r="Q55" s="310"/>
      <c r="R55" s="311"/>
      <c r="S55" s="311"/>
    </row>
    <row r="56" spans="1:19" hidden="1" outlineLevel="1">
      <c r="D56" s="227"/>
      <c r="E56" s="258"/>
      <c r="F56" s="228"/>
      <c r="G56" s="229"/>
      <c r="H56" s="230"/>
      <c r="I56" s="229"/>
      <c r="J56" s="171"/>
      <c r="K56" s="172"/>
      <c r="L56" s="173"/>
      <c r="M56" s="231"/>
      <c r="P56" s="164"/>
      <c r="Q56" s="164"/>
    </row>
    <row r="57" spans="1:19" hidden="1" outlineLevel="1">
      <c r="D57" s="227"/>
      <c r="E57" s="258"/>
      <c r="F57" s="228"/>
      <c r="G57" s="229"/>
      <c r="H57" s="230"/>
      <c r="I57" s="229"/>
      <c r="J57" s="171"/>
      <c r="K57" s="172"/>
      <c r="L57" s="173"/>
      <c r="M57" s="231"/>
      <c r="P57" s="164"/>
      <c r="Q57" s="164"/>
    </row>
    <row r="58" spans="1:19" hidden="1" outlineLevel="1">
      <c r="D58" s="227"/>
      <c r="E58" s="258"/>
      <c r="F58" s="228"/>
      <c r="G58" s="229"/>
      <c r="H58" s="230"/>
      <c r="I58" s="229"/>
      <c r="J58" s="171"/>
      <c r="K58" s="172"/>
      <c r="L58" s="529"/>
      <c r="M58" s="231"/>
      <c r="P58" s="164"/>
      <c r="Q58" s="164"/>
    </row>
    <row r="59" spans="1:19" hidden="1" outlineLevel="1">
      <c r="A59" s="232"/>
      <c r="B59" s="232"/>
      <c r="C59" s="232"/>
      <c r="D59" s="227"/>
      <c r="E59" s="258"/>
      <c r="F59" s="228"/>
      <c r="G59" s="229"/>
      <c r="H59" s="230"/>
      <c r="I59" s="229"/>
      <c r="J59" s="171"/>
      <c r="K59" s="172"/>
      <c r="L59" s="529"/>
      <c r="M59" s="231"/>
      <c r="P59" s="164"/>
      <c r="Q59" s="164"/>
    </row>
    <row r="60" spans="1:19" hidden="1" outlineLevel="1">
      <c r="A60" s="232"/>
      <c r="B60" s="232"/>
      <c r="C60" s="232"/>
      <c r="D60" s="227"/>
      <c r="E60" s="258"/>
      <c r="F60" s="228"/>
      <c r="G60" s="229"/>
      <c r="H60" s="230"/>
      <c r="I60" s="229"/>
      <c r="J60" s="171"/>
      <c r="K60" s="173"/>
      <c r="L60" s="173"/>
      <c r="M60" s="231"/>
      <c r="P60" s="164"/>
      <c r="Q60" s="164"/>
    </row>
    <row r="61" spans="1:19" hidden="1" outlineLevel="1">
      <c r="A61" s="232"/>
      <c r="B61" s="232"/>
      <c r="C61" s="232"/>
      <c r="D61" s="227"/>
      <c r="E61" s="258"/>
      <c r="F61" s="228"/>
      <c r="G61" s="229"/>
      <c r="H61" s="230"/>
      <c r="I61" s="229"/>
      <c r="J61" s="171"/>
      <c r="K61" s="173"/>
      <c r="L61" s="173"/>
      <c r="M61" s="231"/>
      <c r="P61" s="164"/>
      <c r="Q61" s="164"/>
    </row>
    <row r="62" spans="1:19" hidden="1" outlineLevel="1">
      <c r="A62" s="232"/>
      <c r="B62" s="232"/>
      <c r="C62" s="232"/>
      <c r="D62" s="227"/>
      <c r="E62" s="258"/>
      <c r="F62" s="228"/>
      <c r="G62" s="229"/>
      <c r="H62" s="230"/>
      <c r="I62" s="229"/>
      <c r="J62" s="171"/>
      <c r="K62" s="172"/>
      <c r="L62" s="173"/>
      <c r="M62" s="231"/>
      <c r="P62" s="164"/>
      <c r="Q62" s="164"/>
    </row>
    <row r="63" spans="1:19" hidden="1" outlineLevel="1">
      <c r="A63" s="232"/>
      <c r="B63" s="232"/>
      <c r="C63" s="232"/>
      <c r="D63" s="227"/>
      <c r="E63" s="258"/>
      <c r="F63" s="228"/>
      <c r="G63" s="229"/>
      <c r="H63" s="230"/>
      <c r="I63" s="229"/>
      <c r="J63" s="171"/>
      <c r="K63" s="172"/>
      <c r="L63" s="172"/>
      <c r="M63" s="231"/>
      <c r="P63" s="310"/>
      <c r="Q63" s="310"/>
    </row>
    <row r="64" spans="1:19" hidden="1" outlineLevel="1">
      <c r="A64" s="232"/>
      <c r="B64" s="232"/>
      <c r="C64" s="232"/>
      <c r="D64" s="227"/>
      <c r="E64" s="258"/>
      <c r="F64" s="228"/>
      <c r="G64" s="229"/>
      <c r="H64" s="230"/>
      <c r="I64" s="229"/>
      <c r="J64" s="171"/>
      <c r="K64" s="172"/>
      <c r="L64" s="172"/>
      <c r="M64" s="231"/>
      <c r="P64" s="164"/>
      <c r="Q64" s="164"/>
    </row>
    <row r="65" spans="1:17" hidden="1" outlineLevel="1">
      <c r="A65" s="232"/>
      <c r="B65" s="232"/>
      <c r="C65" s="232"/>
      <c r="D65" s="227"/>
      <c r="E65" s="258"/>
      <c r="F65" s="228"/>
      <c r="G65" s="229"/>
      <c r="H65" s="230"/>
      <c r="I65" s="229"/>
      <c r="J65" s="171"/>
      <c r="K65" s="172"/>
      <c r="L65" s="172"/>
      <c r="M65" s="231"/>
      <c r="P65" s="164"/>
      <c r="Q65" s="164"/>
    </row>
    <row r="66" spans="1:17" hidden="1" outlineLevel="1">
      <c r="A66" s="232"/>
      <c r="B66" s="232"/>
      <c r="C66" s="232"/>
      <c r="D66" s="227"/>
      <c r="E66" s="258"/>
      <c r="F66" s="228"/>
      <c r="G66" s="229"/>
      <c r="H66" s="230"/>
      <c r="I66" s="229"/>
      <c r="J66" s="171"/>
      <c r="K66" s="172"/>
      <c r="L66" s="172"/>
      <c r="M66" s="231"/>
      <c r="P66" s="164"/>
      <c r="Q66" s="164"/>
    </row>
    <row r="67" spans="1:17" ht="92" hidden="1" outlineLevel="1">
      <c r="A67" s="232"/>
      <c r="B67" s="232"/>
      <c r="C67" s="232"/>
      <c r="D67" s="227">
        <v>45751</v>
      </c>
      <c r="E67" s="258" t="s">
        <v>16</v>
      </c>
      <c r="F67" s="228">
        <v>0.75</v>
      </c>
      <c r="G67" s="229" t="s">
        <v>9</v>
      </c>
      <c r="H67" s="230">
        <v>3</v>
      </c>
      <c r="I67" s="229" t="s">
        <v>225</v>
      </c>
      <c r="J67" s="171"/>
      <c r="K67" s="172">
        <v>4.2000000000000003E-2</v>
      </c>
      <c r="L67" s="172">
        <v>4.1000000000000002E-2</v>
      </c>
      <c r="M67" s="231" t="s">
        <v>226</v>
      </c>
      <c r="P67" s="164"/>
      <c r="Q67" s="164"/>
    </row>
    <row r="68" spans="1:17" ht="79" hidden="1" outlineLevel="2">
      <c r="D68" s="227">
        <f>D66</f>
        <v>0</v>
      </c>
      <c r="E68" s="258" t="str">
        <f>E67</f>
        <v>Fri</v>
      </c>
      <c r="F68" s="228">
        <v>0.75</v>
      </c>
      <c r="G68" s="229" t="s">
        <v>9</v>
      </c>
      <c r="H68" s="230">
        <v>3</v>
      </c>
      <c r="I68" s="229" t="s">
        <v>182</v>
      </c>
      <c r="J68" s="171"/>
      <c r="K68" s="172"/>
      <c r="L68" s="172"/>
      <c r="M68" s="231" t="s">
        <v>208</v>
      </c>
      <c r="P68" s="164"/>
      <c r="Q68" s="164"/>
    </row>
    <row r="69" spans="1:17" ht="131" hidden="1" outlineLevel="2">
      <c r="D69" s="227">
        <f>D68</f>
        <v>0</v>
      </c>
      <c r="E69" s="258" t="str">
        <f>E68</f>
        <v>Fri</v>
      </c>
      <c r="F69" s="228">
        <v>0.75</v>
      </c>
      <c r="G69" s="229" t="s">
        <v>9</v>
      </c>
      <c r="H69" s="230">
        <v>3</v>
      </c>
      <c r="I69" s="229" t="s">
        <v>206</v>
      </c>
      <c r="J69" s="171"/>
      <c r="K69" s="172"/>
      <c r="L69" s="172">
        <v>4.0000000000000001E-3</v>
      </c>
      <c r="M69" s="231" t="s">
        <v>209</v>
      </c>
      <c r="P69" s="164"/>
      <c r="Q69" s="164"/>
    </row>
    <row r="70" spans="1:17" ht="131" hidden="1" outlineLevel="1">
      <c r="D70" s="227">
        <f>D69</f>
        <v>0</v>
      </c>
      <c r="E70" s="258" t="str">
        <f>E69</f>
        <v>Fri</v>
      </c>
      <c r="F70" s="228">
        <v>0.75</v>
      </c>
      <c r="G70" s="229" t="s">
        <v>9</v>
      </c>
      <c r="H70" s="229">
        <v>3</v>
      </c>
      <c r="I70" s="229" t="s">
        <v>213</v>
      </c>
      <c r="J70" s="171"/>
      <c r="K70" s="173">
        <v>9.4</v>
      </c>
      <c r="L70" s="173">
        <v>18.100000000000001</v>
      </c>
      <c r="M70" s="231" t="s">
        <v>214</v>
      </c>
      <c r="P70" s="164"/>
      <c r="Q70" s="164"/>
    </row>
    <row r="71" spans="1:17" ht="118" hidden="1" outlineLevel="1" collapsed="1">
      <c r="D71" s="227">
        <f>D70</f>
        <v>0</v>
      </c>
      <c r="E71" s="258" t="str">
        <f>E70</f>
        <v>Fri</v>
      </c>
      <c r="F71" s="228">
        <v>0.8125</v>
      </c>
      <c r="G71" s="229" t="s">
        <v>9</v>
      </c>
      <c r="H71" s="229">
        <v>3</v>
      </c>
      <c r="I71" s="229" t="s">
        <v>215</v>
      </c>
      <c r="J71" s="171"/>
      <c r="K71" s="173" t="s">
        <v>222</v>
      </c>
      <c r="L71" s="173" t="s">
        <v>216</v>
      </c>
      <c r="M71" s="231" t="s">
        <v>217</v>
      </c>
      <c r="P71" s="165"/>
      <c r="Q71" s="165"/>
    </row>
    <row r="72" spans="1:17" ht="40" hidden="1" outlineLevel="1">
      <c r="D72" s="227">
        <f>D67+1</f>
        <v>45752</v>
      </c>
      <c r="E72" s="258" t="s">
        <v>16</v>
      </c>
      <c r="F72" s="228" t="s">
        <v>195</v>
      </c>
      <c r="G72" s="229" t="s">
        <v>218</v>
      </c>
      <c r="H72" s="230">
        <v>3</v>
      </c>
      <c r="I72" s="229" t="s">
        <v>219</v>
      </c>
      <c r="J72" s="171"/>
      <c r="K72" s="172"/>
      <c r="L72" s="172"/>
      <c r="M72" s="231" t="s">
        <v>193</v>
      </c>
      <c r="P72" s="310"/>
      <c r="Q72" s="310"/>
    </row>
    <row r="73" spans="1:17" hidden="1" outlineLevel="1">
      <c r="D73" s="227"/>
      <c r="E73" s="258"/>
      <c r="F73" s="228"/>
      <c r="G73" s="229"/>
      <c r="H73" s="230"/>
      <c r="I73" s="229"/>
      <c r="J73" s="171"/>
      <c r="K73" s="172"/>
      <c r="L73" s="173"/>
      <c r="M73" s="231"/>
      <c r="P73" s="164"/>
      <c r="Q73" s="164"/>
    </row>
    <row r="74" spans="1:17" hidden="1" outlineLevel="1">
      <c r="D74" s="227"/>
      <c r="E74" s="258"/>
      <c r="F74" s="228"/>
      <c r="G74" s="229"/>
      <c r="H74" s="230"/>
      <c r="I74" s="229"/>
      <c r="J74" s="171"/>
      <c r="K74" s="172"/>
      <c r="L74" s="173"/>
      <c r="M74" s="231"/>
      <c r="P74" s="164"/>
      <c r="Q74" s="164"/>
    </row>
    <row r="75" spans="1:17" hidden="1" outlineLevel="1">
      <c r="D75" s="227"/>
      <c r="E75" s="258"/>
      <c r="F75" s="228"/>
      <c r="G75" s="229"/>
      <c r="H75" s="230"/>
      <c r="I75" s="229"/>
      <c r="J75" s="171"/>
      <c r="K75" s="172"/>
      <c r="L75" s="351"/>
      <c r="M75" s="231"/>
      <c r="P75" s="164"/>
      <c r="Q75" s="164"/>
    </row>
    <row r="76" spans="1:17" hidden="1" outlineLevel="1">
      <c r="D76" s="227"/>
      <c r="E76" s="258"/>
      <c r="F76" s="228"/>
      <c r="G76" s="229"/>
      <c r="H76" s="230"/>
      <c r="I76" s="229"/>
      <c r="J76" s="171"/>
      <c r="K76" s="172"/>
      <c r="L76" s="172"/>
      <c r="M76" s="231"/>
      <c r="P76" s="164"/>
      <c r="Q76" s="164"/>
    </row>
    <row r="77" spans="1:17" hidden="1" outlineLevel="1">
      <c r="D77" s="227"/>
      <c r="E77" s="258"/>
      <c r="F77" s="228"/>
      <c r="G77" s="229"/>
      <c r="H77" s="230"/>
      <c r="I77" s="229"/>
      <c r="J77" s="171"/>
      <c r="K77" s="172"/>
      <c r="L77" s="172"/>
      <c r="M77" s="231"/>
      <c r="P77" s="164"/>
      <c r="Q77" s="164"/>
    </row>
    <row r="78" spans="1:17" hidden="1" outlineLevel="1">
      <c r="D78" s="227"/>
      <c r="E78" s="258"/>
      <c r="F78" s="228"/>
      <c r="G78" s="229"/>
      <c r="H78" s="230"/>
      <c r="I78" s="229"/>
      <c r="J78" s="171"/>
      <c r="K78" s="172"/>
      <c r="L78" s="172"/>
      <c r="M78" s="231"/>
      <c r="P78" s="164"/>
      <c r="Q78" s="164"/>
    </row>
    <row r="79" spans="1:17" hidden="1" outlineLevel="1">
      <c r="D79" s="227"/>
      <c r="E79" s="258"/>
      <c r="F79" s="228"/>
      <c r="G79" s="229"/>
      <c r="H79" s="230"/>
      <c r="I79" s="229"/>
      <c r="J79" s="171"/>
      <c r="K79" s="172"/>
      <c r="L79" s="172"/>
      <c r="M79" s="231"/>
      <c r="P79" s="164"/>
      <c r="Q79" s="164"/>
    </row>
    <row r="80" spans="1:17" hidden="1" outlineLevel="1">
      <c r="D80" s="227"/>
      <c r="E80" s="258"/>
      <c r="F80" s="228"/>
      <c r="G80" s="229"/>
      <c r="H80" s="230"/>
      <c r="I80" s="229"/>
      <c r="J80" s="171"/>
      <c r="K80" s="172"/>
      <c r="L80" s="172"/>
      <c r="M80" s="231"/>
    </row>
    <row r="81" spans="4:13" hidden="1" outlineLevel="1">
      <c r="D81" s="227"/>
      <c r="E81" s="258"/>
      <c r="F81" s="228"/>
      <c r="G81" s="229"/>
      <c r="H81" s="230"/>
      <c r="I81" s="229"/>
      <c r="J81" s="171"/>
      <c r="K81" s="172"/>
      <c r="L81" s="172"/>
      <c r="M81" s="231"/>
    </row>
    <row r="82" spans="4:13" hidden="1" outlineLevel="1">
      <c r="D82" s="227"/>
      <c r="E82" s="258"/>
      <c r="F82" s="228"/>
      <c r="G82" s="229"/>
      <c r="H82" s="230"/>
      <c r="I82" s="229"/>
      <c r="J82" s="171"/>
      <c r="K82" s="172"/>
      <c r="L82" s="172"/>
      <c r="M82" s="231"/>
    </row>
    <row r="83" spans="4:13" hidden="1" outlineLevel="1">
      <c r="D83" s="227"/>
      <c r="E83" s="258"/>
      <c r="F83" s="228"/>
      <c r="G83" s="229"/>
      <c r="H83" s="230"/>
      <c r="I83" s="229"/>
      <c r="J83" s="171"/>
      <c r="K83" s="172"/>
      <c r="L83" s="172"/>
      <c r="M83" s="231"/>
    </row>
    <row r="84" spans="4:13" hidden="1" outlineLevel="1">
      <c r="D84" s="227"/>
      <c r="E84" s="258"/>
      <c r="F84" s="228"/>
      <c r="G84" s="229"/>
      <c r="H84" s="230"/>
      <c r="I84" s="229"/>
      <c r="J84" s="171"/>
      <c r="K84" s="172"/>
      <c r="L84" s="172"/>
      <c r="M84" s="231"/>
    </row>
    <row r="85" spans="4:13" hidden="1" outlineLevel="1">
      <c r="D85" s="227"/>
      <c r="E85" s="258"/>
      <c r="F85" s="228"/>
      <c r="G85" s="229"/>
      <c r="H85" s="230"/>
      <c r="I85" s="229"/>
      <c r="J85" s="171"/>
      <c r="K85" s="172"/>
      <c r="L85" s="532"/>
      <c r="M85" s="231"/>
    </row>
    <row r="86" spans="4:13" hidden="1" outlineLevel="1">
      <c r="D86" s="227"/>
      <c r="E86" s="258"/>
      <c r="F86" s="228"/>
      <c r="G86" s="229"/>
      <c r="H86" s="230"/>
      <c r="I86" s="229"/>
      <c r="J86" s="171"/>
      <c r="K86" s="172"/>
      <c r="L86" s="172"/>
      <c r="M86" s="231"/>
    </row>
    <row r="87" spans="4:13" hidden="1" outlineLevel="1">
      <c r="D87" s="227"/>
      <c r="E87" s="258"/>
      <c r="F87" s="228"/>
      <c r="G87" s="229"/>
      <c r="H87" s="230"/>
      <c r="I87" s="229"/>
      <c r="J87" s="171"/>
      <c r="K87" s="172"/>
      <c r="L87" s="172"/>
      <c r="M87" s="231"/>
    </row>
    <row r="88" spans="4:13" hidden="1" outlineLevel="1">
      <c r="D88" s="227"/>
      <c r="E88" s="258"/>
      <c r="F88" s="228"/>
      <c r="G88" s="229"/>
      <c r="H88" s="230"/>
      <c r="I88" s="229"/>
      <c r="J88" s="171"/>
      <c r="K88" s="172"/>
      <c r="L88" s="172"/>
      <c r="M88" s="231"/>
    </row>
    <row r="89" spans="4:13" hidden="1" outlineLevel="1">
      <c r="D89" s="227"/>
      <c r="E89" s="258"/>
      <c r="F89" s="228"/>
      <c r="G89" s="229"/>
      <c r="H89" s="230"/>
      <c r="I89" s="229"/>
      <c r="J89" s="171"/>
      <c r="K89" s="172"/>
      <c r="L89" s="172"/>
      <c r="M89" s="231"/>
    </row>
    <row r="90" spans="4:13" hidden="1" outlineLevel="1">
      <c r="D90" s="227"/>
      <c r="E90" s="258"/>
      <c r="F90" s="228"/>
      <c r="G90" s="229"/>
      <c r="H90" s="230"/>
      <c r="I90" s="229"/>
      <c r="J90" s="171"/>
      <c r="K90" s="172"/>
      <c r="L90" s="532"/>
      <c r="M90" s="231"/>
    </row>
    <row r="91" spans="4:13" hidden="1" outlineLevel="1">
      <c r="D91" s="227"/>
      <c r="E91" s="258"/>
      <c r="F91" s="228"/>
      <c r="G91" s="229"/>
      <c r="H91" s="230"/>
      <c r="I91" s="229"/>
      <c r="J91" s="171"/>
      <c r="K91" s="172"/>
      <c r="L91" s="172"/>
      <c r="M91" s="231"/>
    </row>
    <row r="92" spans="4:13" hidden="1" outlineLevel="1">
      <c r="D92" s="227"/>
      <c r="E92" s="258"/>
      <c r="F92" s="228"/>
      <c r="G92" s="229"/>
      <c r="H92" s="230"/>
      <c r="I92" s="229"/>
      <c r="J92" s="171"/>
      <c r="K92" s="172"/>
      <c r="L92" s="172"/>
      <c r="M92" s="231"/>
    </row>
    <row r="93" spans="4:13" hidden="1" outlineLevel="1">
      <c r="D93" s="227"/>
      <c r="E93" s="258"/>
      <c r="F93" s="228"/>
      <c r="G93" s="229"/>
      <c r="H93" s="230"/>
      <c r="I93" s="229"/>
      <c r="J93" s="171"/>
      <c r="K93" s="172"/>
      <c r="L93" s="172"/>
      <c r="M93" s="231"/>
    </row>
    <row r="94" spans="4:13" ht="40" hidden="1" outlineLevel="1">
      <c r="D94" s="227">
        <f>D93</f>
        <v>0</v>
      </c>
      <c r="E94" s="258" t="s">
        <v>173</v>
      </c>
      <c r="F94" s="228">
        <v>0.79166666666666663</v>
      </c>
      <c r="G94" s="229" t="s">
        <v>9</v>
      </c>
      <c r="H94" s="230">
        <v>3</v>
      </c>
      <c r="I94" s="229" t="s">
        <v>182</v>
      </c>
      <c r="J94" s="171"/>
      <c r="K94" s="529" t="s">
        <v>191</v>
      </c>
      <c r="L94" s="529" t="s">
        <v>183</v>
      </c>
      <c r="M94" s="231" t="s">
        <v>193</v>
      </c>
    </row>
    <row r="95" spans="4:13" ht="40" hidden="1" outlineLevel="1">
      <c r="D95" s="227">
        <f>D94</f>
        <v>0</v>
      </c>
      <c r="E95" s="258" t="s">
        <v>173</v>
      </c>
      <c r="F95" s="228">
        <v>0.79166666666666663</v>
      </c>
      <c r="G95" s="229" t="s">
        <v>9</v>
      </c>
      <c r="H95" s="230">
        <v>3</v>
      </c>
      <c r="I95" s="230" t="s">
        <v>184</v>
      </c>
      <c r="J95" s="171"/>
      <c r="K95" s="351" t="s">
        <v>190</v>
      </c>
      <c r="L95" s="351" t="s">
        <v>185</v>
      </c>
      <c r="M95" s="231" t="s">
        <v>193</v>
      </c>
    </row>
    <row r="96" spans="4:13" ht="40" hidden="1" outlineLevel="1">
      <c r="D96" s="227">
        <f>D95</f>
        <v>0</v>
      </c>
      <c r="E96" s="258" t="s">
        <v>173</v>
      </c>
      <c r="F96" s="228">
        <v>0.79166666666666663</v>
      </c>
      <c r="G96" s="229" t="s">
        <v>9</v>
      </c>
      <c r="H96" s="230">
        <v>3</v>
      </c>
      <c r="I96" s="229" t="s">
        <v>186</v>
      </c>
      <c r="J96" s="171"/>
      <c r="K96" s="529">
        <v>5.0000000000000001E-3</v>
      </c>
      <c r="L96" s="529">
        <v>7.0000000000000001E-3</v>
      </c>
      <c r="M96" s="231" t="s">
        <v>193</v>
      </c>
    </row>
    <row r="97" spans="4:13" ht="40" hidden="1" outlineLevel="1">
      <c r="D97" s="227">
        <f>D96+1</f>
        <v>1</v>
      </c>
      <c r="E97" s="258" t="s">
        <v>173</v>
      </c>
      <c r="F97" s="228">
        <v>0.3125</v>
      </c>
      <c r="G97" s="229" t="s">
        <v>187</v>
      </c>
      <c r="H97" s="230">
        <v>3</v>
      </c>
      <c r="I97" s="229" t="s">
        <v>188</v>
      </c>
      <c r="J97" s="171"/>
      <c r="K97" s="529">
        <v>5.0999999999999997E-2</v>
      </c>
      <c r="L97" s="529">
        <v>4.5999999999999999E-2</v>
      </c>
      <c r="M97" s="231" t="s">
        <v>193</v>
      </c>
    </row>
    <row r="98" spans="4:13" ht="40" hidden="1" outlineLevel="1">
      <c r="D98" s="227">
        <f>D97</f>
        <v>1</v>
      </c>
      <c r="E98" s="258" t="s">
        <v>173</v>
      </c>
      <c r="F98" s="228">
        <v>0.64583333333333337</v>
      </c>
      <c r="G98" s="229" t="s">
        <v>171</v>
      </c>
      <c r="H98" s="230">
        <v>3</v>
      </c>
      <c r="I98" s="229" t="s">
        <v>189</v>
      </c>
      <c r="J98" s="171"/>
      <c r="K98" s="529">
        <v>2.4E-2</v>
      </c>
      <c r="L98" s="529">
        <v>2.4E-2</v>
      </c>
      <c r="M98" s="231" t="s">
        <v>193</v>
      </c>
    </row>
    <row r="99" spans="4:13" hidden="1" outlineLevel="1">
      <c r="D99" s="227"/>
      <c r="E99" s="258"/>
      <c r="F99" s="228"/>
      <c r="G99" s="229"/>
      <c r="H99" s="230"/>
      <c r="I99" s="229"/>
      <c r="J99" s="171"/>
      <c r="K99" s="172"/>
      <c r="L99" s="173"/>
      <c r="M99" s="231"/>
    </row>
    <row r="100" spans="4:13" hidden="1" outlineLevel="1">
      <c r="D100" s="227"/>
      <c r="E100" s="258"/>
      <c r="F100" s="228"/>
      <c r="G100" s="229"/>
      <c r="H100" s="230"/>
      <c r="I100" s="229"/>
      <c r="J100" s="171"/>
      <c r="K100" s="172"/>
      <c r="L100" s="172"/>
      <c r="M100" s="231"/>
    </row>
    <row r="101" spans="4:13" hidden="1" outlineLevel="1">
      <c r="D101" s="227"/>
      <c r="E101" s="258"/>
      <c r="F101" s="228"/>
      <c r="G101" s="229"/>
      <c r="H101" s="229"/>
      <c r="I101" s="229"/>
      <c r="J101" s="171"/>
      <c r="K101" s="172"/>
      <c r="L101" s="173"/>
      <c r="M101" s="231"/>
    </row>
    <row r="102" spans="4:13" hidden="1" outlineLevel="1">
      <c r="D102" s="227"/>
      <c r="E102" s="258"/>
      <c r="F102" s="228"/>
      <c r="G102" s="229"/>
      <c r="H102" s="229"/>
      <c r="I102" s="229"/>
      <c r="J102" s="171"/>
      <c r="K102" s="172"/>
      <c r="L102" s="172"/>
      <c r="M102" s="231"/>
    </row>
    <row r="103" spans="4:13" hidden="1" outlineLevel="1">
      <c r="D103" s="227"/>
      <c r="E103" s="258"/>
      <c r="F103" s="228"/>
      <c r="G103" s="229"/>
      <c r="H103" s="229"/>
      <c r="I103" s="229"/>
      <c r="J103" s="171"/>
      <c r="K103" s="172"/>
      <c r="L103" s="172"/>
      <c r="M103" s="231"/>
    </row>
    <row r="104" spans="4:13" hidden="1" outlineLevel="1">
      <c r="D104" s="227"/>
      <c r="E104" s="258"/>
      <c r="F104" s="228"/>
      <c r="G104" s="229"/>
      <c r="H104" s="229"/>
      <c r="I104" s="229"/>
      <c r="J104" s="171"/>
      <c r="K104" s="533"/>
      <c r="L104" s="533"/>
      <c r="M104" s="231"/>
    </row>
    <row r="105" spans="4:13" hidden="1" outlineLevel="1">
      <c r="D105" s="227"/>
      <c r="E105" s="258"/>
      <c r="F105" s="228"/>
      <c r="G105" s="229"/>
      <c r="H105" s="229"/>
      <c r="I105" s="229"/>
      <c r="J105" s="171"/>
      <c r="K105" s="534"/>
      <c r="L105" s="534"/>
      <c r="M105" s="231"/>
    </row>
    <row r="106" spans="4:13" hidden="1" outlineLevel="1">
      <c r="D106" s="227"/>
      <c r="E106" s="258"/>
      <c r="F106" s="228"/>
      <c r="G106" s="229"/>
      <c r="H106" s="229"/>
      <c r="I106" s="229"/>
      <c r="J106" s="171"/>
      <c r="K106" s="171"/>
      <c r="L106" s="171"/>
      <c r="M106" s="231"/>
    </row>
    <row r="107" spans="4:13" hidden="1" outlineLevel="1">
      <c r="D107" s="227"/>
      <c r="E107" s="258"/>
      <c r="F107" s="228"/>
      <c r="G107" s="229"/>
      <c r="H107" s="229"/>
      <c r="I107" s="229"/>
      <c r="J107" s="171"/>
      <c r="K107" s="171"/>
      <c r="L107" s="171"/>
      <c r="M107" s="231"/>
    </row>
    <row r="108" spans="4:13" hidden="1" outlineLevel="1">
      <c r="D108" s="227"/>
      <c r="E108" s="258"/>
      <c r="F108" s="228"/>
      <c r="G108" s="229"/>
      <c r="H108" s="229"/>
      <c r="I108" s="229"/>
      <c r="J108" s="171"/>
      <c r="K108" s="171"/>
      <c r="L108" s="171"/>
      <c r="M108" s="231"/>
    </row>
    <row r="109" spans="4:13" hidden="1" outlineLevel="1">
      <c r="D109" s="227"/>
      <c r="E109" s="258"/>
      <c r="F109" s="228"/>
      <c r="G109" s="229"/>
      <c r="H109" s="229"/>
      <c r="I109" s="229"/>
      <c r="J109" s="171"/>
      <c r="K109" s="171"/>
      <c r="L109" s="171"/>
      <c r="M109" s="231"/>
    </row>
    <row r="110" spans="4:13" hidden="1" outlineLevel="1">
      <c r="D110" s="227"/>
      <c r="E110" s="258"/>
      <c r="F110" s="228"/>
      <c r="G110" s="229"/>
      <c r="H110" s="229"/>
      <c r="I110" s="229"/>
      <c r="J110" s="171"/>
      <c r="K110" s="171"/>
      <c r="L110" s="171"/>
      <c r="M110" s="231"/>
    </row>
    <row r="111" spans="4:13" hidden="1" outlineLevel="1">
      <c r="D111" s="227"/>
      <c r="E111" s="258"/>
      <c r="F111" s="228"/>
      <c r="G111" s="229"/>
      <c r="H111" s="229"/>
      <c r="I111" s="229"/>
      <c r="J111" s="171"/>
      <c r="K111" s="534"/>
      <c r="L111" s="534"/>
      <c r="M111" s="231"/>
    </row>
    <row r="112" spans="4:13" hidden="1" outlineLevel="1">
      <c r="D112" s="227"/>
      <c r="E112" s="258"/>
      <c r="F112" s="228"/>
      <c r="G112" s="229"/>
      <c r="H112" s="229"/>
      <c r="I112" s="229"/>
      <c r="J112" s="171"/>
      <c r="K112" s="533"/>
      <c r="L112" s="533"/>
      <c r="M112" s="231"/>
    </row>
    <row r="113" spans="4:13" hidden="1" outlineLevel="1">
      <c r="D113" s="227"/>
      <c r="E113" s="258"/>
      <c r="F113" s="228"/>
      <c r="G113" s="229"/>
      <c r="H113" s="229"/>
      <c r="I113" s="229"/>
      <c r="J113" s="171"/>
      <c r="K113" s="533"/>
      <c r="L113" s="533"/>
      <c r="M113" s="231"/>
    </row>
    <row r="114" spans="4:13" hidden="1" outlineLevel="1">
      <c r="D114" s="227"/>
      <c r="E114" s="258"/>
      <c r="F114" s="228"/>
      <c r="G114" s="229"/>
      <c r="H114" s="229"/>
      <c r="I114" s="229"/>
      <c r="J114" s="171"/>
      <c r="K114" s="171"/>
      <c r="L114" s="171"/>
      <c r="M114" s="231"/>
    </row>
    <row r="115" spans="4:13" hidden="1" outlineLevel="1">
      <c r="D115" s="227"/>
      <c r="E115" s="258"/>
      <c r="F115" s="228"/>
      <c r="G115" s="229"/>
      <c r="H115" s="229"/>
      <c r="I115" s="229"/>
      <c r="J115" s="171"/>
      <c r="K115" s="171"/>
      <c r="L115" s="171"/>
      <c r="M115" s="231"/>
    </row>
    <row r="116" spans="4:13" hidden="1" outlineLevel="1">
      <c r="D116" s="227"/>
      <c r="E116" s="258"/>
      <c r="F116" s="228"/>
      <c r="G116" s="229"/>
      <c r="H116" s="229"/>
      <c r="I116" s="229"/>
      <c r="J116" s="171"/>
      <c r="K116" s="171"/>
      <c r="L116" s="171"/>
      <c r="M116" s="231"/>
    </row>
    <row r="117" spans="4:13" hidden="1" outlineLevel="1">
      <c r="D117" s="227"/>
      <c r="E117" s="258"/>
      <c r="F117" s="228"/>
      <c r="G117" s="229"/>
      <c r="H117" s="229"/>
      <c r="I117" s="229"/>
      <c r="J117" s="171"/>
      <c r="K117" s="534"/>
      <c r="L117" s="534"/>
      <c r="M117" s="231"/>
    </row>
    <row r="118" spans="4:13" hidden="1" outlineLevel="1">
      <c r="D118" s="227"/>
      <c r="E118" s="258"/>
      <c r="F118" s="228"/>
      <c r="G118" s="229"/>
      <c r="H118" s="229"/>
      <c r="I118" s="229"/>
      <c r="J118" s="171"/>
      <c r="K118" s="534"/>
      <c r="L118" s="534"/>
      <c r="M118" s="231"/>
    </row>
    <row r="119" spans="4:13" hidden="1" outlineLevel="1">
      <c r="D119" s="227"/>
      <c r="E119" s="258"/>
      <c r="F119" s="228"/>
      <c r="G119" s="229"/>
      <c r="H119" s="229"/>
      <c r="I119" s="229"/>
      <c r="J119" s="171"/>
      <c r="K119" s="534"/>
      <c r="L119" s="534"/>
      <c r="M119" s="231"/>
    </row>
    <row r="120" spans="4:13" ht="27" hidden="1" outlineLevel="1">
      <c r="D120" s="535">
        <v>45686</v>
      </c>
      <c r="E120" s="536" t="s">
        <v>15</v>
      </c>
      <c r="F120" s="537">
        <v>2.0833333333333332E-2</v>
      </c>
      <c r="G120" s="230" t="s">
        <v>9</v>
      </c>
      <c r="H120" s="230">
        <v>3</v>
      </c>
      <c r="I120" s="230" t="s">
        <v>12</v>
      </c>
      <c r="J120" s="172"/>
      <c r="K120" s="172">
        <v>4.3499999999999997E-2</v>
      </c>
      <c r="L120" s="172">
        <v>4.3799999999999999E-2</v>
      </c>
      <c r="M120" s="231" t="s">
        <v>17</v>
      </c>
    </row>
    <row r="121" spans="4:13" hidden="1" outlineLevel="1">
      <c r="D121" s="538" t="s">
        <v>170</v>
      </c>
    </row>
    <row r="122" spans="4:13" hidden="1" outlineLevel="1">
      <c r="D122" s="227"/>
      <c r="E122" s="258"/>
      <c r="F122" s="228"/>
      <c r="G122" s="229"/>
      <c r="H122" s="229"/>
      <c r="I122" s="229"/>
      <c r="J122" s="171"/>
      <c r="K122" s="171"/>
      <c r="L122" s="171"/>
      <c r="M122" s="231"/>
    </row>
    <row r="123" spans="4:13" hidden="1" outlineLevel="1">
      <c r="D123" s="227"/>
      <c r="E123" s="258"/>
      <c r="F123" s="228"/>
      <c r="G123" s="229"/>
      <c r="H123" s="229"/>
      <c r="I123" s="229"/>
      <c r="J123" s="171"/>
      <c r="K123" s="171"/>
      <c r="L123" s="171"/>
      <c r="M123" s="231"/>
    </row>
    <row r="124" spans="4:13" hidden="1" outlineLevel="1">
      <c r="D124" s="227"/>
      <c r="E124" s="258"/>
      <c r="F124" s="228"/>
      <c r="G124" s="229"/>
      <c r="H124" s="229"/>
      <c r="I124" s="229"/>
      <c r="J124" s="171"/>
      <c r="K124" s="171"/>
      <c r="L124" s="171"/>
      <c r="M124" s="231"/>
    </row>
    <row r="125" spans="4:13" hidden="1" outlineLevel="1">
      <c r="D125" s="227"/>
      <c r="E125" s="258"/>
      <c r="F125" s="228"/>
      <c r="G125" s="229"/>
      <c r="H125" s="229"/>
      <c r="I125" s="229"/>
      <c r="J125" s="171"/>
      <c r="K125" s="534"/>
      <c r="L125" s="534"/>
      <c r="M125" s="231"/>
    </row>
    <row r="126" spans="4:13" hidden="1" outlineLevel="1">
      <c r="D126" s="227"/>
      <c r="E126" s="258"/>
      <c r="F126" s="228"/>
      <c r="G126" s="229"/>
      <c r="H126" s="229"/>
      <c r="I126" s="229"/>
      <c r="J126" s="171"/>
      <c r="K126" s="534"/>
      <c r="L126" s="534"/>
      <c r="M126" s="231"/>
    </row>
    <row r="127" spans="4:13" hidden="1" outlineLevel="1">
      <c r="D127" s="227"/>
      <c r="E127" s="258"/>
      <c r="F127" s="228"/>
      <c r="G127" s="229"/>
      <c r="H127" s="229"/>
      <c r="I127" s="229"/>
      <c r="J127" s="171"/>
      <c r="K127" s="534"/>
      <c r="L127" s="534"/>
      <c r="M127" s="231"/>
    </row>
    <row r="128" spans="4:13" ht="27" hidden="1" outlineLevel="1">
      <c r="D128" s="535">
        <v>45686</v>
      </c>
      <c r="E128" s="536" t="s">
        <v>15</v>
      </c>
      <c r="F128" s="537">
        <v>2.0833333333333332E-2</v>
      </c>
      <c r="G128" s="230" t="s">
        <v>9</v>
      </c>
      <c r="H128" s="230">
        <v>3</v>
      </c>
      <c r="I128" s="230" t="s">
        <v>12</v>
      </c>
      <c r="J128" s="172"/>
      <c r="K128" s="172">
        <v>4.33225E-2</v>
      </c>
      <c r="L128" s="172">
        <v>4.4922499999999997E-2</v>
      </c>
      <c r="M128" s="231" t="s">
        <v>17</v>
      </c>
    </row>
    <row r="129" spans="3:13" hidden="1" outlineLevel="1">
      <c r="D129" s="538" t="s">
        <v>170</v>
      </c>
    </row>
    <row r="130" spans="3:13" hidden="1" outlineLevel="1">
      <c r="D130" s="227"/>
      <c r="E130" s="258"/>
      <c r="F130" s="228"/>
      <c r="G130" s="229"/>
      <c r="H130" s="229"/>
      <c r="I130" s="229"/>
      <c r="J130" s="171"/>
      <c r="K130" s="534"/>
      <c r="L130" s="534"/>
      <c r="M130" s="231"/>
    </row>
    <row r="131" spans="3:13" hidden="1" outlineLevel="1">
      <c r="D131" s="227"/>
      <c r="E131" s="258"/>
      <c r="F131" s="228"/>
      <c r="G131" s="229"/>
      <c r="H131" s="229"/>
      <c r="I131" s="229"/>
      <c r="J131" s="171"/>
      <c r="K131" s="534"/>
      <c r="L131" s="534"/>
      <c r="M131" s="231"/>
    </row>
    <row r="132" spans="3:13" hidden="1" outlineLevel="1">
      <c r="D132" s="227"/>
      <c r="E132" s="258"/>
      <c r="F132" s="228"/>
      <c r="G132" s="229"/>
      <c r="H132" s="229"/>
      <c r="I132" s="229"/>
      <c r="J132" s="171"/>
      <c r="K132" s="534"/>
      <c r="L132" s="534"/>
      <c r="M132" s="231"/>
    </row>
    <row r="133" spans="3:13" ht="27" hidden="1" outlineLevel="1" collapsed="1">
      <c r="D133" s="535">
        <v>45644</v>
      </c>
      <c r="E133" s="536" t="s">
        <v>15</v>
      </c>
      <c r="F133" s="537">
        <v>0.97916666666666663</v>
      </c>
      <c r="G133" s="230" t="s">
        <v>9</v>
      </c>
      <c r="H133" s="230">
        <v>3</v>
      </c>
      <c r="I133" s="230" t="s">
        <v>12</v>
      </c>
      <c r="J133" s="172"/>
      <c r="K133" s="172">
        <v>4.4600000000000001E-2</v>
      </c>
      <c r="L133" s="172">
        <f>K133+0.16%</f>
        <v>4.6199999999999998E-2</v>
      </c>
      <c r="M133" s="231" t="s">
        <v>17</v>
      </c>
    </row>
    <row r="134" spans="3:13" hidden="1" outlineLevel="1" collapsed="1">
      <c r="D134" s="227"/>
      <c r="E134" s="258"/>
      <c r="F134" s="228"/>
      <c r="G134" s="229"/>
      <c r="H134" s="230"/>
      <c r="I134" s="229"/>
      <c r="J134" s="171"/>
      <c r="K134" s="172"/>
      <c r="L134" s="172"/>
      <c r="M134" s="231"/>
    </row>
    <row r="135" spans="3:13" hidden="1" outlineLevel="1" collapsed="1">
      <c r="D135" s="227">
        <v>45826</v>
      </c>
      <c r="E135" s="258" t="s">
        <v>14</v>
      </c>
      <c r="F135" s="228">
        <v>0.97916666666666663</v>
      </c>
      <c r="G135" s="229" t="s">
        <v>9</v>
      </c>
      <c r="H135" s="229">
        <v>3</v>
      </c>
      <c r="I135" s="229" t="s">
        <v>12</v>
      </c>
      <c r="J135" s="171"/>
      <c r="K135" s="172">
        <v>4.3700000000000003E-2</v>
      </c>
      <c r="L135" s="172">
        <v>4.36E-2</v>
      </c>
      <c r="M135" s="231" t="s">
        <v>223</v>
      </c>
    </row>
    <row r="136" spans="3:13" collapsed="1">
      <c r="C136" s="2" t="s">
        <v>24</v>
      </c>
      <c r="D136" s="2" t="s">
        <v>894</v>
      </c>
    </row>
    <row r="137" spans="3:13" hidden="1" outlineLevel="1"/>
    <row r="138" spans="3:13" hidden="1" outlineLevel="2"/>
    <row r="139" spans="3:13" hidden="1" outlineLevel="1">
      <c r="D139" s="226" t="s">
        <v>0</v>
      </c>
      <c r="E139" s="226" t="s">
        <v>1</v>
      </c>
      <c r="F139" s="226" t="s">
        <v>2</v>
      </c>
      <c r="G139" s="226" t="s">
        <v>3</v>
      </c>
      <c r="H139" s="226" t="s">
        <v>4</v>
      </c>
      <c r="I139" s="226" t="s">
        <v>5</v>
      </c>
    </row>
    <row r="140" spans="3:13" hidden="1" outlineLevel="2">
      <c r="D140" s="227">
        <v>45658</v>
      </c>
      <c r="E140" s="170" t="s">
        <v>15</v>
      </c>
      <c r="F140" s="228">
        <v>2.0833333333333332E-2</v>
      </c>
      <c r="G140" s="229" t="s">
        <v>9</v>
      </c>
      <c r="H140" s="229">
        <v>3</v>
      </c>
      <c r="I140" s="229" t="s">
        <v>179</v>
      </c>
    </row>
    <row r="141" spans="3:13" hidden="1" outlineLevel="2">
      <c r="D141" s="227">
        <v>45658</v>
      </c>
      <c r="E141" s="170" t="s">
        <v>15</v>
      </c>
      <c r="F141" s="228">
        <v>0.41666666666666669</v>
      </c>
      <c r="G141" s="229" t="s">
        <v>9</v>
      </c>
      <c r="H141" s="229">
        <v>3</v>
      </c>
      <c r="I141" s="229" t="s">
        <v>180</v>
      </c>
    </row>
    <row r="142" spans="3:13" ht="28" hidden="1" outlineLevel="1">
      <c r="D142" s="227">
        <v>45666</v>
      </c>
      <c r="E142" s="170" t="s">
        <v>173</v>
      </c>
      <c r="F142" s="228">
        <v>6.9444444444444447E-4</v>
      </c>
      <c r="G142" s="229" t="s">
        <v>9</v>
      </c>
      <c r="H142" s="230">
        <v>3</v>
      </c>
      <c r="I142" s="230" t="s">
        <v>181</v>
      </c>
    </row>
    <row r="143" spans="3:13" collapsed="1"/>
    <row r="150" spans="5:5">
      <c r="E150" s="342"/>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opLeftCell="A253" zoomScale="69" zoomScaleNormal="69" workbookViewId="0">
      <selection activeCell="D281" sqref="D281:F281"/>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9" t="str">
        <f>ec!I3</f>
        <v>CNY - GDP (YoY) (Q2)</v>
      </c>
      <c r="E1" s="400"/>
      <c r="F1" s="401"/>
      <c r="G1" s="402" t="s">
        <v>30</v>
      </c>
      <c r="H1" s="403"/>
      <c r="I1" s="404"/>
      <c r="J1" s="78" t="s">
        <v>25</v>
      </c>
      <c r="K1" s="13" t="s">
        <v>26</v>
      </c>
      <c r="L1" s="77"/>
      <c r="M1" s="76"/>
      <c r="N1" s="76"/>
      <c r="O1" s="76"/>
      <c r="P1" s="76"/>
      <c r="Q1" s="76"/>
      <c r="R1" s="76"/>
      <c r="S1" s="76"/>
      <c r="T1" s="76"/>
      <c r="U1" s="76"/>
      <c r="V1" s="76"/>
      <c r="W1" s="76"/>
      <c r="X1" s="76"/>
      <c r="Y1" s="76"/>
      <c r="Z1" s="76"/>
      <c r="AA1" s="76"/>
    </row>
    <row r="2" spans="2:33" ht="24" customHeight="1">
      <c r="C2" s="88" t="s">
        <v>19</v>
      </c>
      <c r="D2" s="370"/>
      <c r="E2" s="371"/>
      <c r="F2" s="372"/>
      <c r="G2" s="373" t="str">
        <f>ec!M3</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v>
      </c>
      <c r="H2" s="374"/>
      <c r="I2" s="375"/>
      <c r="J2" s="14"/>
      <c r="K2" s="79"/>
      <c r="L2" s="77"/>
      <c r="M2" s="76"/>
      <c r="N2" s="76"/>
      <c r="O2" s="76"/>
      <c r="P2" s="76"/>
      <c r="Q2" s="76"/>
      <c r="R2" s="76"/>
      <c r="S2" s="76"/>
      <c r="T2" s="76"/>
      <c r="U2" s="76"/>
      <c r="V2" s="76"/>
      <c r="W2" s="76"/>
      <c r="X2" s="76"/>
      <c r="Y2" s="76"/>
      <c r="Z2" s="76"/>
      <c r="AA2" s="76"/>
    </row>
    <row r="3" spans="2:33" ht="24">
      <c r="C3" s="89" t="s">
        <v>20</v>
      </c>
      <c r="D3" s="405"/>
      <c r="E3" s="406"/>
      <c r="F3" s="407"/>
      <c r="G3" s="373"/>
      <c r="H3" s="374"/>
      <c r="I3" s="375"/>
      <c r="J3" s="14"/>
      <c r="K3" s="79"/>
      <c r="L3" s="77"/>
      <c r="M3" s="76"/>
      <c r="N3" s="76"/>
      <c r="O3" s="76"/>
      <c r="P3" s="76"/>
      <c r="Q3" s="76"/>
      <c r="R3" s="76"/>
      <c r="S3" s="76"/>
      <c r="T3" s="76"/>
      <c r="U3" s="76"/>
      <c r="V3" s="76"/>
      <c r="W3" s="76"/>
      <c r="X3" s="76"/>
      <c r="Y3" s="76"/>
      <c r="Z3" s="76"/>
      <c r="AA3" s="76"/>
    </row>
    <row r="4" spans="2:33" ht="25" thickBot="1">
      <c r="C4" s="89" t="s">
        <v>21</v>
      </c>
      <c r="D4" s="408">
        <f>ec!L3</f>
        <v>5.3999999999999999E-2</v>
      </c>
      <c r="E4" s="409"/>
      <c r="F4" s="410"/>
      <c r="G4" s="373"/>
      <c r="H4" s="374"/>
      <c r="I4" s="375"/>
      <c r="J4" s="14"/>
      <c r="K4" s="79"/>
      <c r="L4" s="77"/>
      <c r="M4" s="76"/>
      <c r="N4" s="76"/>
      <c r="O4" s="76"/>
      <c r="P4" s="76"/>
      <c r="Q4" s="76"/>
      <c r="R4" s="76"/>
      <c r="S4" s="76"/>
      <c r="T4" s="76"/>
      <c r="U4" s="76"/>
      <c r="V4" s="76"/>
      <c r="W4" s="76"/>
      <c r="X4" s="76"/>
      <c r="Y4" s="76"/>
      <c r="Z4" s="76"/>
      <c r="AA4" s="76"/>
    </row>
    <row r="5" spans="2:33" ht="25" thickBot="1">
      <c r="C5" s="90" t="s">
        <v>23</v>
      </c>
      <c r="D5" s="383">
        <f>MOD(J5-TIME(5,30,0),1)</f>
        <v>8.3333333333333343E-2</v>
      </c>
      <c r="E5" s="384"/>
      <c r="F5" s="385"/>
      <c r="G5" s="373"/>
      <c r="H5" s="374"/>
      <c r="I5" s="375"/>
      <c r="J5" s="15">
        <f>ec!F3</f>
        <v>0.3125</v>
      </c>
      <c r="K5" s="80">
        <f>J5-TIME(2,30,0)</f>
        <v>0.20833333333333331</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73"/>
      <c r="H6" s="374"/>
      <c r="I6" s="375"/>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73"/>
      <c r="H7" s="374"/>
      <c r="I7" s="375"/>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727</v>
      </c>
      <c r="AC7" s="330">
        <v>0.29166666666666669</v>
      </c>
      <c r="AD7" s="331"/>
      <c r="AE7" s="332"/>
      <c r="AF7" s="331">
        <v>49.5</v>
      </c>
      <c r="AG7" s="333"/>
    </row>
    <row r="8" spans="2:33" ht="23">
      <c r="C8" s="92">
        <f t="shared" si="0"/>
        <v>45777</v>
      </c>
      <c r="D8" s="327">
        <f t="shared" si="1"/>
        <v>49</v>
      </c>
      <c r="E8" s="327">
        <f t="shared" si="2"/>
        <v>49.7</v>
      </c>
      <c r="F8" s="327">
        <f t="shared" si="3"/>
        <v>50.5</v>
      </c>
      <c r="G8" s="373"/>
      <c r="H8" s="374"/>
      <c r="I8" s="375"/>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73"/>
      <c r="H9" s="374"/>
      <c r="I9" s="375"/>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73"/>
      <c r="H10" s="374"/>
      <c r="I10" s="375"/>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73"/>
      <c r="H11" s="374"/>
      <c r="I11" s="375"/>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76"/>
      <c r="H12" s="377"/>
      <c r="I12" s="378"/>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9" t="str">
        <f>ec!I5</f>
        <v>USD - CPI (MoM) (Jun)</v>
      </c>
      <c r="E13" s="400"/>
      <c r="F13" s="401"/>
      <c r="G13" s="402" t="s">
        <v>30</v>
      </c>
      <c r="H13" s="403"/>
      <c r="I13" s="404"/>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70"/>
      <c r="E14" s="371"/>
      <c r="F14" s="372"/>
      <c r="G14" s="373" t="str">
        <f>ec!M4</f>
        <v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v>
      </c>
      <c r="H14" s="374"/>
      <c r="I14" s="375"/>
      <c r="J14" s="14"/>
      <c r="K14" s="79"/>
      <c r="L14" s="77"/>
      <c r="M14" s="76"/>
      <c r="N14" s="76"/>
      <c r="O14" s="76"/>
      <c r="P14" s="76"/>
      <c r="Q14" s="76"/>
      <c r="R14" s="76"/>
      <c r="S14" s="76"/>
      <c r="T14" s="76"/>
      <c r="U14" s="76"/>
      <c r="V14" s="76"/>
      <c r="AB14" s="69" t="s">
        <v>644</v>
      </c>
      <c r="AC14" s="154">
        <v>0.80208333333333337</v>
      </c>
      <c r="AD14" s="156">
        <v>52</v>
      </c>
      <c r="AE14" s="11">
        <v>52.3</v>
      </c>
      <c r="AF14" s="98">
        <v>50.2</v>
      </c>
    </row>
    <row r="15" spans="2:33" ht="24">
      <c r="C15" s="89" t="s">
        <v>20</v>
      </c>
      <c r="D15" s="405"/>
      <c r="E15" s="406"/>
      <c r="F15" s="407"/>
      <c r="G15" s="373"/>
      <c r="H15" s="374"/>
      <c r="I15" s="375"/>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11">
        <f>ec!L4</f>
        <v>1E-3</v>
      </c>
      <c r="E16" s="409"/>
      <c r="F16" s="410"/>
      <c r="G16" s="373"/>
      <c r="H16" s="374"/>
      <c r="I16" s="375"/>
      <c r="J16" s="14"/>
      <c r="K16" s="79"/>
      <c r="L16" s="77"/>
      <c r="M16" s="76"/>
      <c r="N16" s="76"/>
      <c r="O16" s="76"/>
      <c r="P16" s="76"/>
      <c r="Q16" s="76"/>
      <c r="R16" s="76"/>
      <c r="S16" s="76"/>
      <c r="T16" s="76"/>
      <c r="U16" s="76"/>
      <c r="V16" s="76"/>
    </row>
    <row r="17" spans="2:38" ht="25" thickBot="1">
      <c r="C17" s="90" t="s">
        <v>23</v>
      </c>
      <c r="D17" s="383">
        <f>MOD(J17-TIME(5,30,0),1)</f>
        <v>0.52083333333333337</v>
      </c>
      <c r="E17" s="384"/>
      <c r="F17" s="385"/>
      <c r="G17" s="373"/>
      <c r="H17" s="374"/>
      <c r="I17" s="375"/>
      <c r="J17" s="15">
        <f>ec!F4</f>
        <v>0.75</v>
      </c>
      <c r="K17" s="80">
        <f>MOD(J17-TIME(2,30,0),1)</f>
        <v>0.64583333333333337</v>
      </c>
      <c r="L17" s="77"/>
      <c r="M17" s="76"/>
      <c r="N17" s="76"/>
      <c r="O17" s="76"/>
      <c r="P17" s="76"/>
      <c r="Q17" s="76"/>
      <c r="R17" s="76"/>
      <c r="S17" s="76"/>
      <c r="T17" s="76"/>
      <c r="U17" s="76"/>
      <c r="V17" s="76"/>
      <c r="AG17" s="69"/>
    </row>
    <row r="18" spans="2:38" ht="25" thickBot="1">
      <c r="C18" s="91" t="s">
        <v>22</v>
      </c>
      <c r="D18" s="93" t="s">
        <v>6</v>
      </c>
      <c r="E18" s="93" t="s">
        <v>7</v>
      </c>
      <c r="F18" s="94" t="s">
        <v>8</v>
      </c>
      <c r="G18" s="373"/>
      <c r="H18" s="374"/>
      <c r="I18" s="375"/>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4">
        <f>X19</f>
        <v>1.2999999999999999E-2</v>
      </c>
      <c r="E19" s="344">
        <f t="shared" ref="E19:F19" si="19">Y19</f>
        <v>1.2E-2</v>
      </c>
      <c r="F19" s="344">
        <f t="shared" si="19"/>
        <v>1.4999999999999999E-2</v>
      </c>
      <c r="G19" s="373"/>
      <c r="H19" s="374"/>
      <c r="I19" s="375"/>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3">
        <f>AD20</f>
        <v>1.2999999999999999E-2</v>
      </c>
      <c r="Y19" s="343">
        <f t="shared" ref="Y19:Z19" si="24">AE20</f>
        <v>1.2E-2</v>
      </c>
      <c r="Z19" s="343">
        <f t="shared" si="24"/>
        <v>1.4999999999999999E-2</v>
      </c>
      <c r="AB19" s="329" t="s">
        <v>727</v>
      </c>
      <c r="AC19" s="330">
        <v>0.47916666666666669</v>
      </c>
      <c r="AD19" s="331"/>
      <c r="AE19" s="339">
        <v>1.2999999999999999E-2</v>
      </c>
      <c r="AF19" s="337">
        <v>1.2999999999999999E-2</v>
      </c>
      <c r="AG19" s="333"/>
      <c r="AH19" s="69" t="s">
        <v>645</v>
      </c>
      <c r="AI19" s="328">
        <v>53.7</v>
      </c>
      <c r="AJ19" s="11" t="s">
        <v>696</v>
      </c>
      <c r="AK19" s="98">
        <v>50.8</v>
      </c>
      <c r="AL19" s="70"/>
    </row>
    <row r="20" spans="2:38" ht="23">
      <c r="C20" s="92">
        <f t="shared" si="18"/>
        <v>45744</v>
      </c>
      <c r="D20" s="344">
        <f t="shared" ref="D20:D24" si="25">X20</f>
        <v>1.4999999999999999E-2</v>
      </c>
      <c r="E20" s="344">
        <f t="shared" ref="E20:E24" si="26">Y20</f>
        <v>1.4E-2</v>
      </c>
      <c r="F20" s="344">
        <f t="shared" ref="F20:F24" si="27">Z20</f>
        <v>8.9999999999999993E-3</v>
      </c>
      <c r="G20" s="373"/>
      <c r="H20" s="374"/>
      <c r="I20" s="375"/>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3">
        <f t="shared" ref="X20:X24" si="32">AD21</f>
        <v>1.4999999999999999E-2</v>
      </c>
      <c r="Y20" s="343">
        <f t="shared" ref="Y20:Y24" si="33">AE21</f>
        <v>1.4E-2</v>
      </c>
      <c r="Z20" s="343">
        <f t="shared" ref="Z20:Z24" si="34">AF21</f>
        <v>8.9999999999999993E-3</v>
      </c>
      <c r="AB20" s="329" t="s">
        <v>379</v>
      </c>
      <c r="AC20" s="330">
        <v>0.47916666666666669</v>
      </c>
      <c r="AD20" s="338">
        <v>1.2999999999999999E-2</v>
      </c>
      <c r="AE20" s="339">
        <v>1.2E-2</v>
      </c>
      <c r="AF20" s="337">
        <v>1.4999999999999999E-2</v>
      </c>
      <c r="AG20" s="333"/>
      <c r="AH20" s="69" t="s">
        <v>697</v>
      </c>
      <c r="AI20" s="328">
        <v>52.3</v>
      </c>
      <c r="AJ20" s="11" t="s">
        <v>698</v>
      </c>
      <c r="AK20" s="98">
        <v>50.8</v>
      </c>
    </row>
    <row r="21" spans="2:38" ht="23">
      <c r="C21" s="92">
        <f t="shared" si="18"/>
        <v>45701</v>
      </c>
      <c r="D21" s="344">
        <f t="shared" si="25"/>
        <v>1.4E-2</v>
      </c>
      <c r="E21" s="344">
        <f t="shared" si="26"/>
        <v>1.0999999999999999E-2</v>
      </c>
      <c r="F21" s="344">
        <f t="shared" si="27"/>
        <v>0.01</v>
      </c>
      <c r="G21" s="373"/>
      <c r="H21" s="374"/>
      <c r="I21" s="375"/>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3">
        <f t="shared" si="32"/>
        <v>1.4E-2</v>
      </c>
      <c r="Y21" s="343">
        <f t="shared" si="33"/>
        <v>1.0999999999999999E-2</v>
      </c>
      <c r="Z21" s="343">
        <f t="shared" si="34"/>
        <v>0.01</v>
      </c>
      <c r="AB21" s="329" t="s">
        <v>672</v>
      </c>
      <c r="AC21" s="330">
        <v>0.52083333333333337</v>
      </c>
      <c r="AD21" s="338">
        <v>1.4999999999999999E-2</v>
      </c>
      <c r="AE21" s="339">
        <v>1.4E-2</v>
      </c>
      <c r="AF21" s="337">
        <v>8.9999999999999993E-3</v>
      </c>
      <c r="AG21" s="333"/>
    </row>
    <row r="22" spans="2:38" ht="23">
      <c r="C22" s="92">
        <f t="shared" si="18"/>
        <v>45649</v>
      </c>
      <c r="D22" s="344">
        <f t="shared" si="25"/>
        <v>8.9999999999999993E-3</v>
      </c>
      <c r="E22" s="344">
        <f t="shared" si="26"/>
        <v>0.01</v>
      </c>
      <c r="F22" s="344">
        <f t="shared" si="27"/>
        <v>7.0000000000000001E-3</v>
      </c>
      <c r="G22" s="373"/>
      <c r="H22" s="374"/>
      <c r="I22" s="375"/>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3">
        <f t="shared" si="32"/>
        <v>8.9999999999999993E-3</v>
      </c>
      <c r="Y22" s="343">
        <f t="shared" si="33"/>
        <v>0.01</v>
      </c>
      <c r="Z22" s="343">
        <f t="shared" si="34"/>
        <v>7.0000000000000001E-3</v>
      </c>
      <c r="AB22" s="329" t="s">
        <v>673</v>
      </c>
      <c r="AC22" s="330">
        <v>0.52083333333333337</v>
      </c>
      <c r="AD22" s="338">
        <v>1.4E-2</v>
      </c>
      <c r="AE22" s="339">
        <v>1.0999999999999999E-2</v>
      </c>
      <c r="AF22" s="338">
        <v>0.01</v>
      </c>
      <c r="AG22" s="333"/>
    </row>
    <row r="23" spans="2:38" ht="23">
      <c r="C23" s="92">
        <f t="shared" si="18"/>
        <v>45611</v>
      </c>
      <c r="D23" s="344">
        <f t="shared" si="25"/>
        <v>0.01</v>
      </c>
      <c r="E23" s="344">
        <f t="shared" si="26"/>
        <v>1E-3</v>
      </c>
      <c r="F23" s="344">
        <f t="shared" si="27"/>
        <v>7.0000000000000001E-3</v>
      </c>
      <c r="G23" s="373"/>
      <c r="H23" s="374"/>
      <c r="I23" s="375"/>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3">
        <f t="shared" si="32"/>
        <v>0.01</v>
      </c>
      <c r="Y23" s="343">
        <f t="shared" si="33"/>
        <v>1E-3</v>
      </c>
      <c r="Z23" s="343">
        <f t="shared" si="34"/>
        <v>7.0000000000000001E-3</v>
      </c>
      <c r="AB23" s="329" t="s">
        <v>647</v>
      </c>
      <c r="AC23" s="330">
        <v>0.52083333333333337</v>
      </c>
      <c r="AD23" s="340">
        <v>8.9999999999999993E-3</v>
      </c>
      <c r="AE23" s="339">
        <v>0.01</v>
      </c>
      <c r="AF23" s="337">
        <v>7.0000000000000001E-3</v>
      </c>
      <c r="AG23" s="333"/>
    </row>
    <row r="24" spans="2:38" ht="25" customHeight="1" thickBot="1">
      <c r="C24" s="92">
        <f t="shared" si="18"/>
        <v>45565</v>
      </c>
      <c r="D24" s="344">
        <f t="shared" si="25"/>
        <v>7.0000000000000001E-3</v>
      </c>
      <c r="E24" s="344">
        <f t="shared" si="26"/>
        <v>8.9999999999999993E-3</v>
      </c>
      <c r="F24" s="344">
        <f t="shared" si="27"/>
        <v>3.0000000000000001E-3</v>
      </c>
      <c r="G24" s="376"/>
      <c r="H24" s="377"/>
      <c r="I24" s="378"/>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3">
        <f t="shared" si="32"/>
        <v>7.0000000000000001E-3</v>
      </c>
      <c r="Y24" s="343">
        <f t="shared" si="33"/>
        <v>8.9999999999999993E-3</v>
      </c>
      <c r="Z24" s="343">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9" t="str">
        <f>ec!I4</f>
        <v>USD - Core CPI (MoM) (Jun)</v>
      </c>
      <c r="E25" s="400"/>
      <c r="F25" s="401"/>
      <c r="G25" s="402" t="s">
        <v>30</v>
      </c>
      <c r="H25" s="403"/>
      <c r="I25" s="404"/>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70"/>
      <c r="E26" s="371"/>
      <c r="F26" s="372"/>
      <c r="G26" s="373" t="str">
        <f>ec!M5</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v>
      </c>
      <c r="H26" s="374"/>
      <c r="I26" s="375"/>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5"/>
      <c r="E27" s="406"/>
      <c r="F27" s="407"/>
      <c r="G27" s="373"/>
      <c r="H27" s="374"/>
      <c r="I27" s="375"/>
      <c r="J27" s="14"/>
      <c r="K27" s="79"/>
      <c r="L27" s="77"/>
      <c r="M27" s="76"/>
      <c r="N27" s="76"/>
      <c r="O27" s="76"/>
      <c r="P27" s="76"/>
      <c r="Q27" s="76"/>
      <c r="R27" s="76"/>
      <c r="S27" s="76"/>
      <c r="T27" s="76"/>
      <c r="U27" s="76"/>
      <c r="V27" s="76"/>
      <c r="AB27" s="329" t="s">
        <v>728</v>
      </c>
      <c r="AC27" s="330">
        <v>0.47916666666666669</v>
      </c>
      <c r="AD27" s="338">
        <v>3.0000000000000001E-3</v>
      </c>
      <c r="AE27" s="339">
        <v>2E-3</v>
      </c>
      <c r="AF27" s="337">
        <v>-2E-3</v>
      </c>
      <c r="AG27" s="333"/>
    </row>
    <row r="28" spans="2:38" ht="25" thickBot="1">
      <c r="C28" s="89" t="s">
        <v>21</v>
      </c>
      <c r="D28" s="408">
        <f>ec!L5</f>
        <v>1E-3</v>
      </c>
      <c r="E28" s="409"/>
      <c r="F28" s="410"/>
      <c r="G28" s="373"/>
      <c r="H28" s="374"/>
      <c r="I28" s="375"/>
      <c r="J28" s="14"/>
      <c r="K28" s="79"/>
      <c r="L28" s="77"/>
      <c r="M28" s="76"/>
      <c r="N28" s="76"/>
      <c r="O28" s="76"/>
      <c r="P28" s="76"/>
      <c r="Q28" s="76"/>
      <c r="R28" s="76"/>
      <c r="S28" s="76"/>
      <c r="T28" s="76"/>
      <c r="U28" s="76"/>
      <c r="V28" s="76"/>
    </row>
    <row r="29" spans="2:38" ht="25" thickBot="1">
      <c r="C29" s="90" t="s">
        <v>23</v>
      </c>
      <c r="D29" s="383">
        <f>MOD(J29-TIME(5,30,0),1)</f>
        <v>0.52083333333333337</v>
      </c>
      <c r="E29" s="384"/>
      <c r="F29" s="385"/>
      <c r="G29" s="373"/>
      <c r="H29" s="374"/>
      <c r="I29" s="375"/>
      <c r="J29" s="15">
        <f>ec!F5</f>
        <v>0.75</v>
      </c>
      <c r="K29" s="80">
        <f>MOD(J29-TIME(2,30,0),1)</f>
        <v>0.64583333333333337</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73"/>
      <c r="H30" s="374"/>
      <c r="I30" s="375"/>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727</v>
      </c>
      <c r="AC30" s="330">
        <v>0.47916666666666669</v>
      </c>
      <c r="AD30" s="331"/>
      <c r="AE30" s="339">
        <v>7.0000000000000001E-3</v>
      </c>
      <c r="AF30" s="337">
        <v>7.0000000000000001E-3</v>
      </c>
      <c r="AG30" s="333"/>
    </row>
    <row r="31" spans="2:38" ht="23">
      <c r="C31" s="92">
        <f t="shared" ref="C31:C36" si="37">V31</f>
        <v>45792</v>
      </c>
      <c r="D31" s="345">
        <f>O31</f>
        <v>7.0000000000000001E-3</v>
      </c>
      <c r="E31" s="345">
        <f t="shared" ref="E31:F31" si="38">P31</f>
        <v>6.0000000000000001E-3</v>
      </c>
      <c r="F31" s="345">
        <f t="shared" si="38"/>
        <v>1E-3</v>
      </c>
      <c r="G31" s="373"/>
      <c r="H31" s="374"/>
      <c r="I31" s="375"/>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5">
        <f t="shared" ref="D32:D36" si="45">O32</f>
        <v>1E-3</v>
      </c>
      <c r="E32" s="345">
        <f t="shared" ref="E32:E36" si="46">P32</f>
        <v>1E-3</v>
      </c>
      <c r="F32" s="345">
        <f t="shared" ref="F32:F36" si="47">Q32</f>
        <v>0</v>
      </c>
      <c r="G32" s="373"/>
      <c r="H32" s="374"/>
      <c r="I32" s="375"/>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672</v>
      </c>
      <c r="AC32" s="330">
        <v>0.52083333333333337</v>
      </c>
      <c r="AD32" s="337">
        <v>1E-3</v>
      </c>
      <c r="AE32" s="339">
        <v>1E-3</v>
      </c>
      <c r="AF32" s="337">
        <v>0</v>
      </c>
      <c r="AG32" s="333"/>
    </row>
    <row r="33" spans="2:33" ht="23">
      <c r="C33" s="92">
        <f t="shared" si="37"/>
        <v>45701</v>
      </c>
      <c r="D33" s="345">
        <f t="shared" si="45"/>
        <v>1E-3</v>
      </c>
      <c r="E33" s="345">
        <f t="shared" si="46"/>
        <v>-1E-3</v>
      </c>
      <c r="F33" s="345">
        <f t="shared" si="47"/>
        <v>0</v>
      </c>
      <c r="G33" s="373"/>
      <c r="H33" s="374"/>
      <c r="I33" s="375"/>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673</v>
      </c>
      <c r="AC33" s="330">
        <v>0.52083333333333337</v>
      </c>
      <c r="AD33" s="338">
        <v>1E-3</v>
      </c>
      <c r="AE33" s="339">
        <v>-1E-3</v>
      </c>
      <c r="AF33" s="337">
        <v>0</v>
      </c>
      <c r="AG33" s="333"/>
    </row>
    <row r="34" spans="2:33" ht="23">
      <c r="C34" s="92">
        <f t="shared" si="37"/>
        <v>45649</v>
      </c>
      <c r="D34" s="345">
        <f t="shared" si="45"/>
        <v>0</v>
      </c>
      <c r="E34" s="345">
        <f t="shared" si="46"/>
        <v>1E-3</v>
      </c>
      <c r="F34" s="345">
        <f t="shared" si="47"/>
        <v>4.0000000000000001E-3</v>
      </c>
      <c r="G34" s="373"/>
      <c r="H34" s="374"/>
      <c r="I34" s="375"/>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647</v>
      </c>
      <c r="AC34" s="330">
        <v>0.52083333333333337</v>
      </c>
      <c r="AD34" s="340">
        <v>0</v>
      </c>
      <c r="AE34" s="339">
        <v>1E-3</v>
      </c>
      <c r="AF34" s="340">
        <v>4.0000000000000001E-3</v>
      </c>
      <c r="AG34" s="333"/>
    </row>
    <row r="35" spans="2:33" ht="23">
      <c r="C35" s="92">
        <f t="shared" si="37"/>
        <v>45611</v>
      </c>
      <c r="D35" s="345">
        <f t="shared" si="45"/>
        <v>1E-3</v>
      </c>
      <c r="E35" s="345">
        <f t="shared" si="46"/>
        <v>2E-3</v>
      </c>
      <c r="F35" s="345">
        <f t="shared" si="47"/>
        <v>5.0000000000000001E-3</v>
      </c>
      <c r="G35" s="373"/>
      <c r="H35" s="374"/>
      <c r="I35" s="375"/>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5">
        <f t="shared" si="45"/>
        <v>5.0000000000000001E-3</v>
      </c>
      <c r="E36" s="345">
        <f t="shared" si="46"/>
        <v>6.0000000000000001E-3</v>
      </c>
      <c r="F36" s="345">
        <f t="shared" si="47"/>
        <v>7.0000000000000001E-3</v>
      </c>
      <c r="G36" s="376"/>
      <c r="H36" s="377"/>
      <c r="I36" s="378"/>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9" t="str">
        <f>ec!I6</f>
        <v>USD - CPI (YoY) (Jun)</v>
      </c>
      <c r="E37" s="400"/>
      <c r="F37" s="401"/>
      <c r="G37" s="402" t="s">
        <v>30</v>
      </c>
      <c r="H37" s="403"/>
      <c r="I37" s="404"/>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70"/>
      <c r="E38" s="371"/>
      <c r="F38" s="372"/>
      <c r="G38" s="373" t="str">
        <f>ec!M6</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v>
      </c>
      <c r="H38" s="374"/>
      <c r="I38" s="375"/>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5"/>
      <c r="E39" s="406"/>
      <c r="F39" s="407"/>
      <c r="G39" s="373"/>
      <c r="H39" s="374"/>
      <c r="I39" s="375"/>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08">
        <f>ec!L6</f>
        <v>2.4E-2</v>
      </c>
      <c r="E40" s="409"/>
      <c r="F40" s="410"/>
      <c r="G40" s="373"/>
      <c r="H40" s="374"/>
      <c r="I40" s="375"/>
      <c r="J40" s="14"/>
      <c r="K40" s="79"/>
      <c r="L40" s="77"/>
      <c r="M40" s="76"/>
      <c r="N40" s="76"/>
      <c r="O40" s="76"/>
      <c r="P40" s="76"/>
      <c r="Q40" s="76"/>
      <c r="R40" s="76"/>
      <c r="S40" s="76"/>
      <c r="T40" s="76"/>
      <c r="U40" s="76"/>
      <c r="V40" s="76"/>
    </row>
    <row r="41" spans="2:33" ht="25" thickBot="1">
      <c r="C41" s="90" t="s">
        <v>23</v>
      </c>
      <c r="D41" s="383">
        <f>MOD(J41-TIME(5,30,0),1)</f>
        <v>0.52083333333333337</v>
      </c>
      <c r="E41" s="384"/>
      <c r="F41" s="385"/>
      <c r="G41" s="373"/>
      <c r="H41" s="374"/>
      <c r="I41" s="375"/>
      <c r="J41" s="15">
        <f>ec!F6</f>
        <v>0.75</v>
      </c>
      <c r="K41" s="80">
        <f>MOD(J41-TIME(2,30,0),1)</f>
        <v>0.64583333333333337</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73"/>
      <c r="H42" s="374"/>
      <c r="I42" s="375"/>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729</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73"/>
      <c r="H43" s="374"/>
      <c r="I43" s="375"/>
      <c r="J43" s="14"/>
      <c r="K43" s="79"/>
      <c r="L43" s="77"/>
      <c r="M43" s="165" t="str">
        <f>AB44</f>
        <v>Jun 13, 2025</v>
      </c>
      <c r="N43" s="165"/>
      <c r="O43" s="346">
        <f>AD44</f>
        <v>1E-3</v>
      </c>
      <c r="P43" s="346">
        <f t="shared" ref="P43:Q43" si="58">AE44</f>
        <v>1E-3</v>
      </c>
      <c r="Q43" s="346">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727</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73"/>
      <c r="H44" s="374"/>
      <c r="I44" s="375"/>
      <c r="J44" s="14"/>
      <c r="K44" s="79"/>
      <c r="L44" s="77"/>
      <c r="M44" s="165" t="str">
        <f t="shared" ref="M44:M48" si="64">AB45</f>
        <v>May 30, 2025</v>
      </c>
      <c r="N44" s="165"/>
      <c r="O44" s="346">
        <f t="shared" ref="O44:O48" si="65">AD45</f>
        <v>1E-3</v>
      </c>
      <c r="P44" s="346">
        <f t="shared" ref="P44:P48" si="66">AE45</f>
        <v>1E-3</v>
      </c>
      <c r="Q44" s="346">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730</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73"/>
      <c r="H45" s="374"/>
      <c r="I45" s="375"/>
      <c r="J45" s="16"/>
      <c r="K45" s="79"/>
      <c r="L45" s="77"/>
      <c r="M45" s="165" t="str">
        <f t="shared" si="64"/>
        <v>May 14, 2025</v>
      </c>
      <c r="N45" s="165"/>
      <c r="O45" s="346">
        <f t="shared" si="65"/>
        <v>4.0000000000000001E-3</v>
      </c>
      <c r="P45" s="346">
        <f t="shared" si="66"/>
        <v>4.0000000000000001E-3</v>
      </c>
      <c r="Q45" s="346">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674</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73"/>
      <c r="H46" s="374"/>
      <c r="I46" s="375"/>
      <c r="J46" s="14"/>
      <c r="K46" s="79"/>
      <c r="L46" s="77"/>
      <c r="M46" s="165" t="str">
        <f t="shared" si="64"/>
        <v>Apr 30, 2025</v>
      </c>
      <c r="N46" s="165"/>
      <c r="O46" s="346">
        <f t="shared" si="65"/>
        <v>4.0000000000000001E-3</v>
      </c>
      <c r="P46" s="346">
        <f t="shared" si="66"/>
        <v>3.0000000000000001E-3</v>
      </c>
      <c r="Q46" s="346">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73"/>
      <c r="H47" s="374"/>
      <c r="I47" s="375"/>
      <c r="J47" s="14"/>
      <c r="K47" s="79"/>
      <c r="L47" s="77"/>
      <c r="M47" s="165" t="str">
        <f t="shared" si="64"/>
        <v>Apr 11, 2025</v>
      </c>
      <c r="N47" s="165"/>
      <c r="O47" s="346">
        <f t="shared" si="65"/>
        <v>3.0000000000000001E-3</v>
      </c>
      <c r="P47" s="346">
        <f t="shared" si="66"/>
        <v>3.0000000000000001E-3</v>
      </c>
      <c r="Q47" s="346">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76"/>
      <c r="H48" s="377"/>
      <c r="I48" s="378"/>
      <c r="J48" s="17"/>
      <c r="K48" s="81"/>
      <c r="L48" s="77"/>
      <c r="M48" s="165" t="str">
        <f t="shared" si="64"/>
        <v>Mar 31, 2025</v>
      </c>
      <c r="N48" s="165"/>
      <c r="O48" s="346">
        <f t="shared" si="65"/>
        <v>3.0000000000000001E-3</v>
      </c>
      <c r="P48" s="346">
        <f t="shared" si="66"/>
        <v>3.0000000000000001E-3</v>
      </c>
      <c r="Q48" s="346">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731</v>
      </c>
      <c r="AC48" s="330">
        <v>0.47916666666666669</v>
      </c>
      <c r="AD48" s="337">
        <v>3.0000000000000001E-3</v>
      </c>
      <c r="AE48" s="339">
        <v>3.0000000000000001E-3</v>
      </c>
      <c r="AF48" s="337">
        <v>4.0000000000000001E-3</v>
      </c>
      <c r="AG48" s="333"/>
    </row>
    <row r="49" spans="2:33" ht="25" customHeight="1" collapsed="1" thickBot="1">
      <c r="B49">
        <v>1</v>
      </c>
      <c r="C49" s="167" t="s">
        <v>5</v>
      </c>
      <c r="D49" s="399" t="str">
        <f>ec!I7</f>
        <v>GBP - CPI (YoY) (Jun)</v>
      </c>
      <c r="E49" s="400"/>
      <c r="F49" s="401"/>
      <c r="G49" s="402" t="s">
        <v>30</v>
      </c>
      <c r="H49" s="403"/>
      <c r="I49" s="404"/>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70"/>
      <c r="E50" s="371"/>
      <c r="F50" s="372"/>
      <c r="G50" s="373" t="str">
        <f>ec!M7</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v>
      </c>
      <c r="H50" s="374"/>
      <c r="I50" s="375"/>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5"/>
      <c r="E51" s="406"/>
      <c r="F51" s="407"/>
      <c r="G51" s="373"/>
      <c r="H51" s="374"/>
      <c r="I51" s="375"/>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8"/>
      <c r="E52" s="409"/>
      <c r="F52" s="410"/>
      <c r="G52" s="373"/>
      <c r="H52" s="374"/>
      <c r="I52" s="375"/>
      <c r="J52" s="14"/>
      <c r="K52" s="79"/>
      <c r="L52" s="77"/>
      <c r="M52" s="76"/>
      <c r="N52" s="76"/>
      <c r="O52" s="76"/>
      <c r="P52" s="76"/>
      <c r="Q52" s="76"/>
      <c r="R52" s="76"/>
      <c r="S52" s="76"/>
      <c r="T52" s="76"/>
      <c r="U52" s="76"/>
      <c r="V52" s="76"/>
    </row>
    <row r="53" spans="2:33" ht="25" thickBot="1">
      <c r="C53" s="90" t="s">
        <v>23</v>
      </c>
      <c r="D53" s="383">
        <f>MOD(J53-TIME(5,30,0),1)</f>
        <v>0.25</v>
      </c>
      <c r="E53" s="384"/>
      <c r="F53" s="385"/>
      <c r="G53" s="373"/>
      <c r="H53" s="374"/>
      <c r="I53" s="375"/>
      <c r="J53" s="15">
        <f>ec!F7</f>
        <v>0.47916666666666669</v>
      </c>
      <c r="K53" s="80">
        <f>MOD(J53-TIME(2,30,0),1)</f>
        <v>0.375</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73"/>
      <c r="H54" s="374"/>
      <c r="I54" s="375"/>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727</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73"/>
      <c r="H55" s="374"/>
      <c r="I55" s="375"/>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674</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73"/>
      <c r="H56" s="374"/>
      <c r="I56" s="375"/>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73"/>
      <c r="H57" s="374"/>
      <c r="I57" s="375"/>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73"/>
      <c r="H58" s="374"/>
      <c r="I58" s="375"/>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675</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73"/>
      <c r="H59" s="374"/>
      <c r="I59" s="375"/>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76"/>
      <c r="H60" s="377"/>
      <c r="I60" s="378"/>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732</v>
      </c>
      <c r="AC60" s="330">
        <v>0.84375</v>
      </c>
      <c r="AD60" s="335">
        <v>36.9</v>
      </c>
      <c r="AE60" s="332">
        <v>42.7</v>
      </c>
      <c r="AF60" s="331">
        <v>40.200000000000003</v>
      </c>
      <c r="AG60" s="333"/>
    </row>
    <row r="61" spans="2:33" ht="25" customHeight="1" collapsed="1" thickBot="1">
      <c r="B61">
        <v>1</v>
      </c>
      <c r="C61" s="194" t="s">
        <v>5</v>
      </c>
      <c r="D61" s="412" t="str">
        <f>ec!I8</f>
        <v>USD - PPI (MoM) (Jun)</v>
      </c>
      <c r="E61" s="413"/>
      <c r="F61" s="414"/>
      <c r="G61" s="396" t="s">
        <v>30</v>
      </c>
      <c r="H61" s="397"/>
      <c r="I61" s="398"/>
      <c r="J61" s="195" t="s">
        <v>25</v>
      </c>
      <c r="K61" s="196" t="s">
        <v>26</v>
      </c>
      <c r="L61" s="77"/>
      <c r="M61" s="76"/>
      <c r="N61" s="76"/>
      <c r="O61" s="76"/>
      <c r="P61" s="76"/>
      <c r="Q61" s="76"/>
      <c r="R61" s="76"/>
      <c r="S61" s="76"/>
      <c r="T61" s="76"/>
      <c r="U61" s="76"/>
      <c r="V61" s="76"/>
      <c r="AB61" s="329" t="s">
        <v>733</v>
      </c>
      <c r="AC61" s="330">
        <v>0.84375</v>
      </c>
      <c r="AD61" s="335">
        <v>40.200000000000003</v>
      </c>
      <c r="AE61" s="332">
        <v>44.9</v>
      </c>
      <c r="AF61" s="331">
        <v>41.6</v>
      </c>
    </row>
    <row r="62" spans="2:33" ht="24" customHeight="1">
      <c r="C62" s="204" t="s">
        <v>19</v>
      </c>
      <c r="D62" s="415"/>
      <c r="E62" s="416"/>
      <c r="F62" s="417"/>
      <c r="G62" s="418" t="str">
        <f>ec!M8</f>
        <v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v>
      </c>
      <c r="H62" s="419"/>
      <c r="I62" s="420"/>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24"/>
      <c r="E63" s="425"/>
      <c r="F63" s="426"/>
      <c r="G63" s="418"/>
      <c r="H63" s="419"/>
      <c r="I63" s="420"/>
      <c r="J63" s="205"/>
      <c r="K63" s="206"/>
      <c r="L63" s="77"/>
      <c r="M63" s="76"/>
      <c r="N63" s="76"/>
      <c r="O63" s="76"/>
      <c r="P63" s="76"/>
      <c r="Q63" s="76"/>
      <c r="R63" s="76"/>
      <c r="S63" s="76"/>
      <c r="T63" s="76"/>
      <c r="U63" s="76"/>
      <c r="V63" s="76"/>
      <c r="AB63" s="69"/>
      <c r="AC63" s="154"/>
      <c r="AD63" s="155"/>
      <c r="AE63" s="11"/>
      <c r="AF63" s="98"/>
    </row>
    <row r="64" spans="2:33" ht="25" thickBot="1">
      <c r="C64" s="207" t="s">
        <v>21</v>
      </c>
      <c r="D64" s="427"/>
      <c r="E64" s="428"/>
      <c r="F64" s="429"/>
      <c r="G64" s="418"/>
      <c r="H64" s="419"/>
      <c r="I64" s="420"/>
      <c r="J64" s="205"/>
      <c r="K64" s="206"/>
      <c r="L64" s="77"/>
      <c r="M64" s="76"/>
      <c r="N64" s="76"/>
      <c r="O64" s="76"/>
      <c r="P64" s="76"/>
      <c r="Q64" s="76"/>
      <c r="R64" s="76"/>
      <c r="S64" s="76"/>
      <c r="T64" s="76"/>
      <c r="U64" s="76"/>
      <c r="V64" s="76"/>
    </row>
    <row r="65" spans="2:33" ht="25" thickBot="1">
      <c r="C65" s="208" t="s">
        <v>23</v>
      </c>
      <c r="D65" s="430">
        <f>MOD(J65-TIME(5,30,0),1)</f>
        <v>0.52083333333333337</v>
      </c>
      <c r="E65" s="431"/>
      <c r="F65" s="432"/>
      <c r="G65" s="418"/>
      <c r="H65" s="419"/>
      <c r="I65" s="420"/>
      <c r="J65" s="209">
        <f>ec!F8</f>
        <v>0.75</v>
      </c>
      <c r="K65" s="210">
        <f>MOD(J65-TIME(2,30,0),1)</f>
        <v>0.64583333333333337</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8"/>
      <c r="H66" s="419"/>
      <c r="I66" s="420"/>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648</v>
      </c>
      <c r="AC66" s="330">
        <v>0.8125</v>
      </c>
      <c r="AD66" s="331"/>
      <c r="AE66" s="332"/>
      <c r="AF66" s="331"/>
      <c r="AG66" s="333"/>
    </row>
    <row r="67" spans="2:33" ht="23">
      <c r="C67" s="219">
        <f t="shared" ref="C67:C72" si="85">V67</f>
        <v>45832</v>
      </c>
      <c r="D67" s="255"/>
      <c r="E67" s="255"/>
      <c r="F67" s="255"/>
      <c r="G67" s="418"/>
      <c r="H67" s="419"/>
      <c r="I67" s="420"/>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648</v>
      </c>
      <c r="AC67" s="330">
        <v>0.8125</v>
      </c>
      <c r="AD67" s="335"/>
      <c r="AE67" s="332"/>
      <c r="AF67" s="331"/>
      <c r="AG67" s="333"/>
    </row>
    <row r="68" spans="2:33" ht="23">
      <c r="C68" s="219">
        <f t="shared" si="85"/>
        <v>45810</v>
      </c>
      <c r="D68" s="255"/>
      <c r="E68" s="255"/>
      <c r="F68" s="255"/>
      <c r="G68" s="418"/>
      <c r="H68" s="419"/>
      <c r="I68" s="420"/>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644</v>
      </c>
      <c r="AC68" s="330">
        <v>0.9375</v>
      </c>
      <c r="AD68" s="335"/>
      <c r="AE68" s="332"/>
      <c r="AF68" s="334"/>
      <c r="AG68" s="333"/>
    </row>
    <row r="69" spans="2:33" ht="23">
      <c r="C69" s="219">
        <f t="shared" si="85"/>
        <v>45803</v>
      </c>
      <c r="D69" s="255"/>
      <c r="E69" s="255"/>
      <c r="F69" s="255"/>
      <c r="G69" s="418"/>
      <c r="H69" s="419"/>
      <c r="I69" s="420"/>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8"/>
      <c r="H70" s="419"/>
      <c r="I70" s="420"/>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8"/>
      <c r="H71" s="419"/>
      <c r="I71" s="420"/>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21"/>
      <c r="H72" s="422"/>
      <c r="I72" s="423"/>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12" t="str">
        <f>ec!I9</f>
        <v>USD - Crude Oil Inventories</v>
      </c>
      <c r="E73" s="413"/>
      <c r="F73" s="414"/>
      <c r="G73" s="396" t="s">
        <v>30</v>
      </c>
      <c r="H73" s="397"/>
      <c r="I73" s="398"/>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5"/>
      <c r="E74" s="416"/>
      <c r="F74" s="417"/>
      <c r="G74" s="418" t="str">
        <f>ec!M9</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v>
      </c>
      <c r="H74" s="419"/>
      <c r="I74" s="420"/>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24"/>
      <c r="E75" s="425"/>
      <c r="F75" s="426"/>
      <c r="G75" s="418"/>
      <c r="H75" s="419"/>
      <c r="I75" s="420"/>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7" t="str">
        <f>ec!L9</f>
        <v>7.070M</v>
      </c>
      <c r="E76" s="428"/>
      <c r="F76" s="429"/>
      <c r="G76" s="418"/>
      <c r="H76" s="419"/>
      <c r="I76" s="420"/>
      <c r="J76" s="205"/>
      <c r="K76" s="206"/>
      <c r="L76" s="77"/>
      <c r="M76" s="76"/>
      <c r="N76" s="76"/>
      <c r="O76" s="76"/>
      <c r="P76" s="76"/>
      <c r="Q76" s="76"/>
      <c r="R76" s="76"/>
      <c r="S76" s="76"/>
      <c r="T76" s="76"/>
      <c r="U76" s="76"/>
      <c r="V76" s="76"/>
    </row>
    <row r="77" spans="2:33" ht="25" thickBot="1">
      <c r="C77" s="208" t="s">
        <v>23</v>
      </c>
      <c r="D77" s="430">
        <f>MOD(J77-TIME(5,30,0),1)</f>
        <v>0.60416666666666674</v>
      </c>
      <c r="E77" s="431"/>
      <c r="F77" s="432"/>
      <c r="G77" s="418"/>
      <c r="H77" s="419"/>
      <c r="I77" s="420"/>
      <c r="J77" s="209">
        <f>ec!F9</f>
        <v>0.83333333333333337</v>
      </c>
      <c r="K77" s="210">
        <f>MOD(J77-TIME(2,30,0),1)</f>
        <v>0.72916666666666674</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8"/>
      <c r="H78" s="419"/>
      <c r="I78" s="420"/>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664</v>
      </c>
      <c r="AC78" s="330">
        <v>0.8125</v>
      </c>
      <c r="AD78" s="331"/>
      <c r="AE78" s="332"/>
      <c r="AF78" s="331" t="s">
        <v>643</v>
      </c>
      <c r="AG78" s="333"/>
    </row>
    <row r="79" spans="2:33" ht="24" customHeight="1">
      <c r="C79" s="219">
        <f t="shared" ref="C79:C84" si="96">V79</f>
        <v>45800</v>
      </c>
      <c r="D79" s="255" t="str">
        <f>X79</f>
        <v>743</v>
      </c>
      <c r="E79" s="255" t="str">
        <f t="shared" ref="E79:F79" si="97">Y79</f>
        <v>694</v>
      </c>
      <c r="F79" s="255" t="str">
        <f t="shared" si="97"/>
        <v>670</v>
      </c>
      <c r="G79" s="418"/>
      <c r="H79" s="419"/>
      <c r="I79" s="420"/>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665</v>
      </c>
      <c r="AC79" s="330">
        <v>0.8125</v>
      </c>
      <c r="AD79" s="334" t="s">
        <v>643</v>
      </c>
      <c r="AE79" s="332" t="s">
        <v>649</v>
      </c>
      <c r="AF79" s="335" t="s">
        <v>650</v>
      </c>
      <c r="AG79" s="333"/>
    </row>
    <row r="80" spans="2:33" ht="24" customHeight="1">
      <c r="C80" s="219">
        <f t="shared" si="96"/>
        <v>45770</v>
      </c>
      <c r="D80" s="255" t="str">
        <f t="shared" ref="D80:D84" si="103">X80</f>
        <v>724</v>
      </c>
      <c r="E80" s="255" t="str">
        <f t="shared" ref="E80:E84" si="104">Y80</f>
        <v>684</v>
      </c>
      <c r="F80" s="255" t="str">
        <f t="shared" ref="F80:F84" si="105">Z80</f>
        <v>674</v>
      </c>
      <c r="G80" s="418"/>
      <c r="H80" s="419"/>
      <c r="I80" s="420"/>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651</v>
      </c>
      <c r="AE80" s="332" t="s">
        <v>652</v>
      </c>
      <c r="AF80" s="335" t="s">
        <v>653</v>
      </c>
      <c r="AG80" s="333"/>
    </row>
    <row r="81" spans="2:33" ht="24" customHeight="1">
      <c r="C81" s="219">
        <f t="shared" si="96"/>
        <v>45741</v>
      </c>
      <c r="D81" s="255" t="str">
        <f t="shared" si="103"/>
        <v>676</v>
      </c>
      <c r="E81" s="255" t="str">
        <f t="shared" si="104"/>
        <v>682</v>
      </c>
      <c r="F81" s="255" t="str">
        <f t="shared" si="105"/>
        <v>664</v>
      </c>
      <c r="G81" s="418"/>
      <c r="H81" s="419"/>
      <c r="I81" s="420"/>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646</v>
      </c>
      <c r="AC81" s="330">
        <v>0.8125</v>
      </c>
      <c r="AD81" s="335" t="s">
        <v>654</v>
      </c>
      <c r="AE81" s="332" t="s">
        <v>655</v>
      </c>
      <c r="AF81" s="334" t="s">
        <v>656</v>
      </c>
      <c r="AG81" s="333"/>
    </row>
    <row r="82" spans="2:33" ht="24">
      <c r="C82" s="219">
        <f t="shared" si="96"/>
        <v>45714</v>
      </c>
      <c r="D82" s="255" t="str">
        <f t="shared" si="103"/>
        <v>657</v>
      </c>
      <c r="E82" s="255" t="str">
        <f t="shared" si="104"/>
        <v>679</v>
      </c>
      <c r="F82" s="255" t="str">
        <f t="shared" si="105"/>
        <v>734</v>
      </c>
      <c r="G82" s="418"/>
      <c r="H82" s="419"/>
      <c r="I82" s="420"/>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666</v>
      </c>
      <c r="AC82" s="330">
        <v>0.85416666666666663</v>
      </c>
      <c r="AD82" s="335" t="s">
        <v>657</v>
      </c>
      <c r="AE82" s="332" t="s">
        <v>658</v>
      </c>
      <c r="AF82" s="334" t="s">
        <v>659</v>
      </c>
      <c r="AG82" s="333"/>
    </row>
    <row r="83" spans="2:33" ht="24" customHeight="1">
      <c r="C83" s="219">
        <f t="shared" si="96"/>
        <v>45684</v>
      </c>
      <c r="D83" s="255" t="str">
        <f t="shared" si="103"/>
        <v>698</v>
      </c>
      <c r="E83" s="255" t="str">
        <f t="shared" si="104"/>
        <v>669</v>
      </c>
      <c r="F83" s="255" t="str">
        <f t="shared" si="105"/>
        <v>674</v>
      </c>
      <c r="G83" s="418"/>
      <c r="H83" s="419"/>
      <c r="I83" s="420"/>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660</v>
      </c>
      <c r="AE83" s="332" t="s">
        <v>661</v>
      </c>
      <c r="AF83" s="334" t="s">
        <v>653</v>
      </c>
      <c r="AG83" s="333"/>
    </row>
    <row r="84" spans="2:33" ht="25" customHeight="1" thickBot="1">
      <c r="C84" s="219">
        <f t="shared" si="96"/>
        <v>45649</v>
      </c>
      <c r="D84" s="255" t="str">
        <f t="shared" si="103"/>
        <v>664</v>
      </c>
      <c r="E84" s="255" t="str">
        <f t="shared" si="104"/>
        <v>666</v>
      </c>
      <c r="F84" s="255" t="str">
        <f t="shared" si="105"/>
        <v>627</v>
      </c>
      <c r="G84" s="421"/>
      <c r="H84" s="422"/>
      <c r="I84" s="423"/>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647</v>
      </c>
      <c r="AC84" s="330">
        <v>0.85416666666666663</v>
      </c>
      <c r="AD84" s="335" t="s">
        <v>656</v>
      </c>
      <c r="AE84" s="332" t="s">
        <v>662</v>
      </c>
      <c r="AF84" s="334" t="s">
        <v>663</v>
      </c>
      <c r="AG84" s="333"/>
    </row>
    <row r="85" spans="2:33" ht="25" customHeight="1" collapsed="1" thickBot="1">
      <c r="B85">
        <v>1</v>
      </c>
      <c r="C85" s="91" t="s">
        <v>5</v>
      </c>
      <c r="D85" s="386" t="str">
        <f>ec!I10</f>
        <v>EUR - CPI (YoY) (Jun)</v>
      </c>
      <c r="E85" s="387"/>
      <c r="F85" s="388"/>
      <c r="G85" s="392" t="s">
        <v>30</v>
      </c>
      <c r="H85" s="393"/>
      <c r="I85" s="394"/>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70"/>
      <c r="E86" s="371"/>
      <c r="F86" s="372"/>
      <c r="G86" s="373" t="str">
        <f>ec!M10</f>
        <v>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H86" s="374"/>
      <c r="I86" s="375"/>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79"/>
      <c r="E87" s="380"/>
      <c r="F87" s="381"/>
      <c r="G87" s="373"/>
      <c r="H87" s="374"/>
      <c r="I87" s="375"/>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47">
        <f>ec!L10</f>
        <v>0.02</v>
      </c>
      <c r="E88" s="448"/>
      <c r="F88" s="449"/>
      <c r="G88" s="373"/>
      <c r="H88" s="374"/>
      <c r="I88" s="375"/>
      <c r="J88" s="14"/>
      <c r="K88" s="79"/>
      <c r="L88" s="77"/>
      <c r="M88" s="76"/>
      <c r="N88" s="76"/>
      <c r="O88" s="76"/>
      <c r="P88" s="76"/>
      <c r="Q88" s="76"/>
      <c r="R88" s="76"/>
      <c r="S88" s="76"/>
      <c r="T88" s="76"/>
      <c r="U88" s="76"/>
      <c r="V88" s="76"/>
    </row>
    <row r="89" spans="2:33" ht="25" thickBot="1">
      <c r="C89" s="90" t="s">
        <v>23</v>
      </c>
      <c r="D89" s="383">
        <f>MOD(J89-TIME(5,30,0),1)</f>
        <v>0.375</v>
      </c>
      <c r="E89" s="384"/>
      <c r="F89" s="385"/>
      <c r="G89" s="373"/>
      <c r="H89" s="374"/>
      <c r="I89" s="375"/>
      <c r="J89" s="15">
        <f>ec!F10</f>
        <v>0.60416666666666663</v>
      </c>
      <c r="K89" s="80">
        <f>MOD(J89-TIME(2,30,0),1)</f>
        <v>0.49999999999999994</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73"/>
      <c r="H90" s="374"/>
      <c r="I90" s="375"/>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735</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73"/>
      <c r="H91" s="374"/>
      <c r="I91" s="375"/>
      <c r="J91" s="14"/>
      <c r="K91" s="79"/>
      <c r="L91" s="77"/>
      <c r="M91" s="165" t="str">
        <f>AB91</f>
        <v>Jun 18, 2025</v>
      </c>
      <c r="N91" s="165"/>
      <c r="O91" s="348">
        <f>AD91</f>
        <v>1.9E-2</v>
      </c>
      <c r="P91" s="348">
        <f t="shared" ref="P91:P96" si="115">AE91</f>
        <v>1.9E-2</v>
      </c>
      <c r="Q91" s="348">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668</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73"/>
      <c r="H92" s="374"/>
      <c r="I92" s="375"/>
      <c r="J92" s="14"/>
      <c r="K92" s="79"/>
      <c r="L92" s="77"/>
      <c r="M92" s="165" t="str">
        <f t="shared" ref="M92:M96" si="124">AB92</f>
        <v>Jun 03, 2025</v>
      </c>
      <c r="N92" s="165"/>
      <c r="O92" s="348">
        <f t="shared" ref="O92:O96" si="125">AD92</f>
        <v>1.9E-2</v>
      </c>
      <c r="P92" s="348">
        <f t="shared" si="115"/>
        <v>0.02</v>
      </c>
      <c r="Q92" s="348">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736</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73"/>
      <c r="H93" s="374"/>
      <c r="I93" s="375"/>
      <c r="J93" s="16"/>
      <c r="K93" s="79"/>
      <c r="L93" s="77"/>
      <c r="M93" s="165" t="str">
        <f t="shared" si="124"/>
        <v>May 19, 2025</v>
      </c>
      <c r="N93" s="165"/>
      <c r="O93" s="348">
        <f t="shared" si="125"/>
        <v>2.1999999999999999E-2</v>
      </c>
      <c r="P93" s="348">
        <f t="shared" si="115"/>
        <v>2.1999999999999999E-2</v>
      </c>
      <c r="Q93" s="348">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737</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73"/>
      <c r="H94" s="374"/>
      <c r="I94" s="375"/>
      <c r="J94" s="14"/>
      <c r="K94" s="79"/>
      <c r="L94" s="77"/>
      <c r="M94" s="165" t="str">
        <f t="shared" si="124"/>
        <v>May 02, 2025</v>
      </c>
      <c r="N94" s="165"/>
      <c r="O94" s="348">
        <f t="shared" si="125"/>
        <v>2.1999999999999999E-2</v>
      </c>
      <c r="P94" s="348">
        <f t="shared" si="115"/>
        <v>2.1000000000000001E-2</v>
      </c>
      <c r="Q94" s="348">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73"/>
      <c r="H95" s="374"/>
      <c r="I95" s="375"/>
      <c r="J95" s="14"/>
      <c r="K95" s="79"/>
      <c r="L95" s="77"/>
      <c r="M95" s="165" t="str">
        <f t="shared" si="124"/>
        <v>Apr 16, 2025</v>
      </c>
      <c r="N95" s="165"/>
      <c r="O95" s="348">
        <f t="shared" si="125"/>
        <v>2.1999999999999999E-2</v>
      </c>
      <c r="P95" s="348">
        <f t="shared" si="115"/>
        <v>2.1999999999999999E-2</v>
      </c>
      <c r="Q95" s="348">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76"/>
      <c r="H96" s="377"/>
      <c r="I96" s="378"/>
      <c r="J96" s="17"/>
      <c r="K96" s="81"/>
      <c r="L96" s="77"/>
      <c r="M96" s="165" t="str">
        <f t="shared" si="124"/>
        <v>Apr 01, 2025</v>
      </c>
      <c r="N96" s="165"/>
      <c r="O96" s="348">
        <f t="shared" si="125"/>
        <v>2.1999999999999999E-2</v>
      </c>
      <c r="P96" s="348">
        <f t="shared" si="115"/>
        <v>2.1999999999999999E-2</v>
      </c>
      <c r="Q96" s="348">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86" t="str">
        <f>ec!I11</f>
        <v>USD - Core Retail Sales (MoM) (Jun)</v>
      </c>
      <c r="E97" s="387"/>
      <c r="F97" s="388"/>
      <c r="G97" s="392" t="s">
        <v>30</v>
      </c>
      <c r="H97" s="393"/>
      <c r="I97" s="394"/>
      <c r="J97" s="260" t="s">
        <v>25</v>
      </c>
      <c r="K97" s="261" t="s">
        <v>26</v>
      </c>
      <c r="L97" s="77"/>
      <c r="M97" s="76"/>
      <c r="N97" s="76"/>
      <c r="O97" s="76"/>
      <c r="P97" s="76"/>
      <c r="Q97" s="76"/>
      <c r="R97" s="76"/>
      <c r="S97" s="76"/>
      <c r="T97" s="76"/>
      <c r="U97" s="76"/>
      <c r="V97" s="76"/>
      <c r="AB97" s="329" t="s">
        <v>734</v>
      </c>
      <c r="AC97" s="154">
        <v>0.64583333333333337</v>
      </c>
      <c r="AD97" s="155">
        <v>2.3E-2</v>
      </c>
      <c r="AE97" s="11">
        <v>2.4E-2</v>
      </c>
      <c r="AF97" s="98">
        <v>2.5000000000000001E-2</v>
      </c>
    </row>
    <row r="98" spans="2:41" ht="24" customHeight="1">
      <c r="C98" s="88" t="s">
        <v>19</v>
      </c>
      <c r="D98" s="370"/>
      <c r="E98" s="371"/>
      <c r="F98" s="372"/>
      <c r="G98" s="373" t="str">
        <f>ec!M11</f>
        <v>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v>
      </c>
      <c r="H98" s="374"/>
      <c r="I98" s="375"/>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79"/>
      <c r="E99" s="380"/>
      <c r="F99" s="381"/>
      <c r="G99" s="373"/>
      <c r="H99" s="374"/>
      <c r="I99" s="375"/>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89"/>
      <c r="E100" s="390"/>
      <c r="F100" s="391"/>
      <c r="G100" s="373"/>
      <c r="H100" s="374"/>
      <c r="I100" s="375"/>
      <c r="J100" s="14"/>
      <c r="K100" s="79"/>
      <c r="L100" s="77"/>
      <c r="M100" s="76"/>
      <c r="N100" s="76"/>
      <c r="O100" s="76"/>
      <c r="P100" s="76"/>
      <c r="Q100" s="76"/>
      <c r="R100" s="76"/>
      <c r="S100" s="76"/>
      <c r="T100" s="76"/>
      <c r="U100" s="76"/>
      <c r="V100" s="76"/>
    </row>
    <row r="101" spans="2:41" ht="25" thickBot="1">
      <c r="C101" s="90" t="s">
        <v>23</v>
      </c>
      <c r="D101" s="383">
        <f>MOD(J101-TIME(5,30,0),1)</f>
        <v>0.52083333333333337</v>
      </c>
      <c r="E101" s="384"/>
      <c r="F101" s="385"/>
      <c r="G101" s="373"/>
      <c r="H101" s="374"/>
      <c r="I101" s="375"/>
      <c r="J101" s="15">
        <f>ec!F11</f>
        <v>0.75</v>
      </c>
      <c r="K101" s="80">
        <f>MOD(J101-TIME(2,30,0),1)</f>
        <v>0.64583333333333337</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73"/>
      <c r="H102" s="374"/>
      <c r="I102" s="375"/>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735</v>
      </c>
      <c r="AC102" s="330">
        <v>0.79166666666666663</v>
      </c>
      <c r="AD102" s="331"/>
      <c r="AE102" s="332"/>
      <c r="AF102" s="337"/>
      <c r="AG102" s="333"/>
    </row>
    <row r="103" spans="2:41" ht="24" customHeight="1">
      <c r="C103" s="219">
        <f>V103</f>
        <v>45810</v>
      </c>
      <c r="D103" s="262"/>
      <c r="E103" s="262"/>
      <c r="F103" s="262"/>
      <c r="G103" s="373"/>
      <c r="H103" s="374"/>
      <c r="I103" s="375"/>
      <c r="J103" s="14"/>
      <c r="K103" s="79"/>
      <c r="L103" s="77"/>
      <c r="M103" s="165" t="str">
        <f>AB103</f>
        <v>Jun 02, 2025</v>
      </c>
      <c r="N103" s="165"/>
      <c r="O103" s="348">
        <f>AD103</f>
        <v>0</v>
      </c>
      <c r="P103" s="348">
        <f t="shared" ref="P103:P108" si="131">AE103</f>
        <v>0</v>
      </c>
      <c r="Q103" s="348">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644</v>
      </c>
      <c r="AC103" s="330">
        <v>0.9375</v>
      </c>
      <c r="AD103" s="337"/>
      <c r="AE103" s="339"/>
      <c r="AF103" s="337"/>
      <c r="AG103" s="333"/>
    </row>
    <row r="104" spans="2:41" ht="24" customHeight="1">
      <c r="C104" s="247">
        <f>V104-1</f>
        <v>45802</v>
      </c>
      <c r="D104" s="262"/>
      <c r="E104" s="262"/>
      <c r="F104" s="262"/>
      <c r="G104" s="373"/>
      <c r="H104" s="374"/>
      <c r="I104" s="375"/>
      <c r="J104" s="14"/>
      <c r="K104" s="79"/>
      <c r="L104" s="77"/>
      <c r="M104" s="165" t="str">
        <f t="shared" ref="M104:M108" si="138">AB104</f>
        <v>May 26, 2025</v>
      </c>
      <c r="N104" s="165"/>
      <c r="O104" s="348">
        <f t="shared" ref="O104:O108" si="139">AD104</f>
        <v>0</v>
      </c>
      <c r="P104" s="348">
        <f t="shared" si="131"/>
        <v>0</v>
      </c>
      <c r="Q104" s="348">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73"/>
      <c r="H105" s="374"/>
      <c r="I105" s="375"/>
      <c r="J105" s="16"/>
      <c r="K105" s="79"/>
      <c r="L105" s="77"/>
      <c r="M105" s="165" t="str">
        <f t="shared" si="138"/>
        <v>May 15, 2025</v>
      </c>
      <c r="N105" s="165"/>
      <c r="O105" s="348">
        <f t="shared" si="139"/>
        <v>0</v>
      </c>
      <c r="P105" s="348">
        <f t="shared" si="131"/>
        <v>0</v>
      </c>
      <c r="Q105" s="348">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73"/>
      <c r="H106" s="374"/>
      <c r="I106" s="375"/>
      <c r="J106" s="14"/>
      <c r="K106" s="79"/>
      <c r="L106" s="77"/>
      <c r="M106" s="165" t="str">
        <f t="shared" si="138"/>
        <v>Apr 16, 2025</v>
      </c>
      <c r="N106" s="165"/>
      <c r="O106" s="348">
        <f t="shared" si="139"/>
        <v>0</v>
      </c>
      <c r="P106" s="348">
        <f t="shared" si="131"/>
        <v>0</v>
      </c>
      <c r="Q106" s="348">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73"/>
      <c r="H107" s="374"/>
      <c r="I107" s="375"/>
      <c r="J107" s="14"/>
      <c r="K107" s="79"/>
      <c r="L107" s="77"/>
      <c r="M107" s="165" t="str">
        <f t="shared" si="138"/>
        <v>Apr 04, 2025</v>
      </c>
      <c r="N107" s="165"/>
      <c r="O107" s="348">
        <f t="shared" si="139"/>
        <v>0</v>
      </c>
      <c r="P107" s="348">
        <f t="shared" si="131"/>
        <v>0</v>
      </c>
      <c r="Q107" s="348">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76"/>
      <c r="H108" s="377"/>
      <c r="I108" s="378"/>
      <c r="J108" s="17"/>
      <c r="K108" s="81"/>
      <c r="L108" s="77"/>
      <c r="M108" s="165" t="str">
        <f t="shared" si="138"/>
        <v>Mar 07, 2025</v>
      </c>
      <c r="N108" s="165"/>
      <c r="O108" s="348">
        <f t="shared" si="139"/>
        <v>0</v>
      </c>
      <c r="P108" s="348">
        <f t="shared" si="131"/>
        <v>0</v>
      </c>
      <c r="Q108" s="348">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86" t="str">
        <f>ec!I12</f>
        <v>USD - Initial Jobless Claims</v>
      </c>
      <c r="E109" s="387"/>
      <c r="F109" s="388"/>
      <c r="G109" s="392" t="s">
        <v>30</v>
      </c>
      <c r="H109" s="393"/>
      <c r="I109" s="394"/>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70"/>
      <c r="E110" s="371"/>
      <c r="F110" s="372"/>
      <c r="G110" s="373" t="str">
        <f>ec!M12</f>
        <v>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H110" s="374"/>
      <c r="I110" s="375"/>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79"/>
      <c r="E111" s="380"/>
      <c r="F111" s="381"/>
      <c r="G111" s="373"/>
      <c r="H111" s="374"/>
      <c r="I111" s="375"/>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82" t="str">
        <f>ec!L12</f>
        <v>227K</v>
      </c>
      <c r="E112" s="380"/>
      <c r="F112" s="381"/>
      <c r="G112" s="373"/>
      <c r="H112" s="374"/>
      <c r="I112" s="375"/>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83">
        <f>MOD(J113-TIME(5,30,0),1)</f>
        <v>0.52083333333333337</v>
      </c>
      <c r="E113" s="384"/>
      <c r="F113" s="385"/>
      <c r="G113" s="373"/>
      <c r="H113" s="374"/>
      <c r="I113" s="375"/>
      <c r="J113" s="15">
        <f>ec!F12</f>
        <v>0.75</v>
      </c>
      <c r="K113" s="80">
        <f>MOD(J113-TIME(2,30,0),1)</f>
        <v>0.64583333333333337</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73"/>
      <c r="H114" s="374"/>
      <c r="I114" s="375"/>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735</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73"/>
      <c r="H115" s="374"/>
      <c r="I115" s="375"/>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738</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73"/>
      <c r="H116" s="374"/>
      <c r="I116" s="375"/>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644</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73"/>
      <c r="H117" s="374"/>
      <c r="I117" s="375"/>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73"/>
      <c r="H118" s="374"/>
      <c r="I118" s="375"/>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738</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73"/>
      <c r="H119" s="374"/>
      <c r="I119" s="375"/>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644</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76"/>
      <c r="H120" s="377"/>
      <c r="I120" s="378"/>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86" t="str">
        <f>ec!I13</f>
        <v>USD - Philadelphia Fed Manufacturing Index (Jul)</v>
      </c>
      <c r="E121" s="387"/>
      <c r="F121" s="388"/>
      <c r="G121" s="392" t="s">
        <v>30</v>
      </c>
      <c r="H121" s="393"/>
      <c r="I121" s="394"/>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70"/>
      <c r="E122" s="371"/>
      <c r="F122" s="372"/>
      <c r="G122" s="373" t="str">
        <f>ec!M13</f>
        <v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v>
      </c>
      <c r="H122" s="374"/>
      <c r="I122" s="375"/>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79"/>
      <c r="E123" s="380"/>
      <c r="F123" s="381"/>
      <c r="G123" s="373"/>
      <c r="H123" s="374"/>
      <c r="I123" s="375"/>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82">
        <f>ec!L13</f>
        <v>-4</v>
      </c>
      <c r="E124" s="380"/>
      <c r="F124" s="381"/>
      <c r="G124" s="373"/>
      <c r="H124" s="374"/>
      <c r="I124" s="375"/>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83">
        <f>MOD(J125-TIME(5,30,0),1)</f>
        <v>0.52083333333333337</v>
      </c>
      <c r="E125" s="384"/>
      <c r="F125" s="385"/>
      <c r="G125" s="373"/>
      <c r="H125" s="374"/>
      <c r="I125" s="375"/>
      <c r="J125" s="15">
        <f>ec!F13</f>
        <v>0.75</v>
      </c>
      <c r="K125" s="80">
        <f>MOD(J125-TIME(2,30,0),1)</f>
        <v>0.64583333333333337</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73"/>
      <c r="H126" s="374"/>
      <c r="I126" s="375"/>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735</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73"/>
      <c r="H127" s="374"/>
      <c r="I127" s="375"/>
      <c r="J127" s="14"/>
      <c r="K127" s="79"/>
      <c r="L127" s="77"/>
      <c r="M127" s="165" t="str">
        <f>AB127</f>
        <v>Jun 02, 2025</v>
      </c>
      <c r="N127" s="165"/>
      <c r="O127" s="349">
        <f>AD127</f>
        <v>48.5</v>
      </c>
      <c r="P127" s="349">
        <f t="shared" ref="P127:P132" si="167">AE127</f>
        <v>49.3</v>
      </c>
      <c r="Q127" s="349">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644</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73"/>
      <c r="H128" s="374"/>
      <c r="I128" s="375"/>
      <c r="J128" s="14"/>
      <c r="K128" s="79"/>
      <c r="L128" s="77"/>
      <c r="M128" s="165" t="str">
        <f t="shared" ref="M128:M132" si="175">AB128</f>
        <v>May 01, 2025</v>
      </c>
      <c r="N128" s="165"/>
      <c r="O128" s="349">
        <f t="shared" ref="O128:O132" si="176">AD128</f>
        <v>48.7</v>
      </c>
      <c r="P128" s="349">
        <f t="shared" si="167"/>
        <v>48</v>
      </c>
      <c r="Q128" s="349">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73"/>
      <c r="H129" s="374"/>
      <c r="I129" s="375"/>
      <c r="J129" s="16"/>
      <c r="K129" s="79"/>
      <c r="L129" s="77"/>
      <c r="M129" s="165" t="str">
        <f t="shared" si="175"/>
        <v>Apr 01, 2025</v>
      </c>
      <c r="N129" s="165"/>
      <c r="O129" s="349">
        <f t="shared" si="176"/>
        <v>49</v>
      </c>
      <c r="P129" s="349">
        <f t="shared" si="167"/>
        <v>49.5</v>
      </c>
      <c r="Q129" s="349">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73"/>
      <c r="H130" s="374"/>
      <c r="I130" s="375"/>
      <c r="J130" s="14"/>
      <c r="K130" s="79"/>
      <c r="L130" s="77"/>
      <c r="M130" s="165" t="str">
        <f t="shared" si="175"/>
        <v>Mar 03, 2025</v>
      </c>
      <c r="N130" s="165"/>
      <c r="O130" s="349">
        <f t="shared" si="176"/>
        <v>50.3</v>
      </c>
      <c r="P130" s="349">
        <f t="shared" si="167"/>
        <v>50.6</v>
      </c>
      <c r="Q130" s="349">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73"/>
      <c r="H131" s="374"/>
      <c r="I131" s="375"/>
      <c r="J131" s="14"/>
      <c r="K131" s="79"/>
      <c r="L131" s="77"/>
      <c r="M131" s="165" t="str">
        <f t="shared" si="175"/>
        <v>Feb 03, 2025</v>
      </c>
      <c r="N131" s="165"/>
      <c r="O131" s="349">
        <f t="shared" si="176"/>
        <v>50.9</v>
      </c>
      <c r="P131" s="349">
        <f t="shared" si="167"/>
        <v>49.3</v>
      </c>
      <c r="Q131" s="349">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76"/>
      <c r="H132" s="377"/>
      <c r="I132" s="378"/>
      <c r="J132" s="17"/>
      <c r="K132" s="81"/>
      <c r="L132" s="77"/>
      <c r="M132" s="165" t="str">
        <f t="shared" si="175"/>
        <v>Jan 03, 2025</v>
      </c>
      <c r="N132" s="165"/>
      <c r="O132" s="349">
        <f t="shared" si="176"/>
        <v>49.3</v>
      </c>
      <c r="P132" s="349">
        <f t="shared" si="167"/>
        <v>48.2</v>
      </c>
      <c r="Q132" s="349">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86" t="str">
        <f>ec!I14</f>
        <v>USD - Retail Sales (MoM) (Jun)</v>
      </c>
      <c r="E133" s="387"/>
      <c r="F133" s="388"/>
      <c r="G133" s="392" t="s">
        <v>30</v>
      </c>
      <c r="H133" s="393"/>
      <c r="I133" s="394"/>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70"/>
      <c r="E134" s="371"/>
      <c r="F134" s="372"/>
      <c r="G134" s="373" t="str">
        <f>ec!M14</f>
        <v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v>
      </c>
      <c r="H134" s="374"/>
      <c r="I134" s="375"/>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79"/>
      <c r="E135" s="380"/>
      <c r="F135" s="381"/>
      <c r="G135" s="373"/>
      <c r="H135" s="374"/>
      <c r="I135" s="375"/>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82">
        <f>ec!L14</f>
        <v>-8.9999999999999993E-3</v>
      </c>
      <c r="E136" s="380"/>
      <c r="F136" s="381"/>
      <c r="G136" s="373"/>
      <c r="H136" s="374"/>
      <c r="I136" s="375"/>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83">
        <f>MOD(J137-TIME(5,30,0),1)</f>
        <v>0.52083333333333337</v>
      </c>
      <c r="E137" s="384"/>
      <c r="F137" s="385"/>
      <c r="G137" s="373"/>
      <c r="H137" s="374"/>
      <c r="I137" s="375"/>
      <c r="J137" s="15">
        <f>ec!F14</f>
        <v>0.75</v>
      </c>
      <c r="K137" s="80">
        <f>MOD(J137-TIME(2,30,0),1)</f>
        <v>0.64583333333333337</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73"/>
      <c r="H138" s="374"/>
      <c r="I138" s="375"/>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735</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73"/>
      <c r="H139" s="374"/>
      <c r="I139" s="375"/>
      <c r="J139" s="14"/>
      <c r="K139" s="79"/>
      <c r="L139" s="77"/>
      <c r="M139" s="165" t="str">
        <f>AB139</f>
        <v>Jun 02, 2025</v>
      </c>
      <c r="N139" s="165"/>
      <c r="O139" s="349">
        <f>AD139</f>
        <v>69.400000000000006</v>
      </c>
      <c r="P139" s="349">
        <f t="shared" ref="P139:P144" si="184">AE139</f>
        <v>70.2</v>
      </c>
      <c r="Q139" s="349">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50">
        <f>O139</f>
        <v>69.400000000000006</v>
      </c>
      <c r="Y139" s="350">
        <f t="shared" ref="Y139:Z139" si="189">P139</f>
        <v>70.2</v>
      </c>
      <c r="Z139" s="350">
        <f t="shared" si="189"/>
        <v>69.8</v>
      </c>
      <c r="AB139" s="329" t="s">
        <v>644</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73"/>
      <c r="H140" s="374"/>
      <c r="I140" s="375"/>
      <c r="J140" s="14"/>
      <c r="K140" s="79"/>
      <c r="L140" s="77"/>
      <c r="M140" s="165" t="str">
        <f t="shared" ref="M140:M144" si="193">AB140</f>
        <v>May 01, 2025</v>
      </c>
      <c r="N140" s="165"/>
      <c r="O140" s="349">
        <f t="shared" ref="O140:O144" si="194">AD140</f>
        <v>69.8</v>
      </c>
      <c r="P140" s="349">
        <f t="shared" si="184"/>
        <v>72.900000000000006</v>
      </c>
      <c r="Q140" s="349">
        <f t="shared" si="185"/>
        <v>69.400000000000006</v>
      </c>
      <c r="R140" s="166"/>
      <c r="S140" s="86" t="str">
        <f t="shared" si="186"/>
        <v>2025</v>
      </c>
      <c r="T140" s="87">
        <f>VLOOKUP(LEFT(M140,3),table!$E$18:$F$29,2,FALSE)</f>
        <v>5</v>
      </c>
      <c r="U140" s="87" t="str">
        <f t="shared" si="187"/>
        <v>01</v>
      </c>
      <c r="V140" s="86">
        <f t="shared" si="188"/>
        <v>45778</v>
      </c>
      <c r="W140" s="2"/>
      <c r="X140" s="350">
        <f t="shared" ref="X140:X144" si="195">O140</f>
        <v>69.8</v>
      </c>
      <c r="Y140" s="350">
        <f t="shared" ref="Y140:Y144" si="196">P140</f>
        <v>72.900000000000006</v>
      </c>
      <c r="Z140" s="350">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73"/>
      <c r="H141" s="374"/>
      <c r="I141" s="375"/>
      <c r="J141" s="16"/>
      <c r="K141" s="79"/>
      <c r="L141" s="77"/>
      <c r="M141" s="165" t="str">
        <f t="shared" si="193"/>
        <v>Apr 01, 2025</v>
      </c>
      <c r="N141" s="165"/>
      <c r="O141" s="349">
        <f t="shared" si="194"/>
        <v>69.400000000000006</v>
      </c>
      <c r="P141" s="349">
        <f t="shared" si="184"/>
        <v>64.599999999999994</v>
      </c>
      <c r="Q141" s="349">
        <f t="shared" si="185"/>
        <v>62.4</v>
      </c>
      <c r="R141" s="166"/>
      <c r="S141" s="86" t="str">
        <f t="shared" si="186"/>
        <v>2025</v>
      </c>
      <c r="T141" s="87">
        <f>VLOOKUP(LEFT(M141,3),table!$E$18:$F$29,2,FALSE)</f>
        <v>4</v>
      </c>
      <c r="U141" s="87" t="str">
        <f t="shared" si="187"/>
        <v>01</v>
      </c>
      <c r="V141" s="86">
        <f t="shared" si="188"/>
        <v>45748</v>
      </c>
      <c r="W141" s="2"/>
      <c r="X141" s="350">
        <f t="shared" si="195"/>
        <v>69.400000000000006</v>
      </c>
      <c r="Y141" s="350">
        <f t="shared" si="196"/>
        <v>64.599999999999994</v>
      </c>
      <c r="Z141" s="350">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73"/>
      <c r="H142" s="374"/>
      <c r="I142" s="375"/>
      <c r="J142" s="14"/>
      <c r="K142" s="79"/>
      <c r="L142" s="77"/>
      <c r="M142" s="165" t="str">
        <f t="shared" si="193"/>
        <v>Mar 03, 2025</v>
      </c>
      <c r="N142" s="165"/>
      <c r="O142" s="349">
        <f t="shared" si="194"/>
        <v>62.4</v>
      </c>
      <c r="P142" s="349">
        <f t="shared" si="184"/>
        <v>56.2</v>
      </c>
      <c r="Q142" s="349">
        <f t="shared" si="185"/>
        <v>54.9</v>
      </c>
      <c r="R142" s="166"/>
      <c r="S142" s="86" t="str">
        <f t="shared" si="186"/>
        <v>2025</v>
      </c>
      <c r="T142" s="87">
        <f>VLOOKUP(LEFT(M142,3),table!$E$18:$F$29,2,FALSE)</f>
        <v>3</v>
      </c>
      <c r="U142" s="87" t="str">
        <f t="shared" si="187"/>
        <v>03</v>
      </c>
      <c r="V142" s="86">
        <f t="shared" si="188"/>
        <v>45719</v>
      </c>
      <c r="W142" s="2"/>
      <c r="X142" s="350">
        <f t="shared" si="195"/>
        <v>62.4</v>
      </c>
      <c r="Y142" s="350">
        <f t="shared" si="196"/>
        <v>56.2</v>
      </c>
      <c r="Z142" s="350">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73"/>
      <c r="H143" s="374"/>
      <c r="I143" s="375"/>
      <c r="J143" s="14"/>
      <c r="K143" s="79"/>
      <c r="L143" s="77"/>
      <c r="M143" s="165" t="str">
        <f t="shared" si="193"/>
        <v>Feb 03, 2025</v>
      </c>
      <c r="N143" s="165"/>
      <c r="O143" s="349">
        <f t="shared" si="194"/>
        <v>54.9</v>
      </c>
      <c r="P143" s="349">
        <f t="shared" si="184"/>
        <v>52.6</v>
      </c>
      <c r="Q143" s="349">
        <f t="shared" si="185"/>
        <v>52.5</v>
      </c>
      <c r="R143" s="166"/>
      <c r="S143" s="86" t="str">
        <f t="shared" si="186"/>
        <v>2025</v>
      </c>
      <c r="T143" s="87">
        <f>VLOOKUP(LEFT(M143,3),table!$E$18:$F$29,2,FALSE)</f>
        <v>2</v>
      </c>
      <c r="U143" s="87" t="str">
        <f t="shared" si="187"/>
        <v>03</v>
      </c>
      <c r="V143" s="86">
        <f t="shared" si="188"/>
        <v>45691</v>
      </c>
      <c r="W143" s="2"/>
      <c r="X143" s="350">
        <f t="shared" si="195"/>
        <v>54.9</v>
      </c>
      <c r="Y143" s="350">
        <f t="shared" si="196"/>
        <v>52.6</v>
      </c>
      <c r="Z143" s="350">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76"/>
      <c r="H144" s="377"/>
      <c r="I144" s="378"/>
      <c r="J144" s="17"/>
      <c r="K144" s="81"/>
      <c r="L144" s="77"/>
      <c r="M144" s="165" t="str">
        <f t="shared" si="193"/>
        <v>Jan 03, 2025</v>
      </c>
      <c r="N144" s="165"/>
      <c r="O144" s="349">
        <f t="shared" si="194"/>
        <v>52.5</v>
      </c>
      <c r="P144" s="349">
        <f t="shared" si="184"/>
        <v>51.5</v>
      </c>
      <c r="Q144" s="349">
        <f t="shared" si="185"/>
        <v>50.3</v>
      </c>
      <c r="S144" s="86" t="str">
        <f t="shared" si="186"/>
        <v>2025</v>
      </c>
      <c r="T144" s="87">
        <f>VLOOKUP(LEFT(M144,3),table!$E$18:$F$29,2,FALSE)</f>
        <v>1</v>
      </c>
      <c r="U144" s="87" t="str">
        <f t="shared" si="187"/>
        <v>03</v>
      </c>
      <c r="V144" s="86">
        <f t="shared" si="188"/>
        <v>45660</v>
      </c>
      <c r="W144" s="2"/>
      <c r="X144" s="350">
        <f t="shared" si="195"/>
        <v>52.5</v>
      </c>
      <c r="Y144" s="350">
        <f t="shared" si="196"/>
        <v>51.5</v>
      </c>
      <c r="Z144" s="350">
        <f t="shared" si="197"/>
        <v>50.3</v>
      </c>
      <c r="AB144" s="329" t="s">
        <v>317</v>
      </c>
      <c r="AC144" s="330">
        <v>0.85416666666666663</v>
      </c>
      <c r="AD144" s="334">
        <v>52.5</v>
      </c>
      <c r="AE144" s="332">
        <v>51.5</v>
      </c>
      <c r="AF144" s="331">
        <v>50.3</v>
      </c>
      <c r="AG144" s="333"/>
    </row>
    <row r="145" spans="2:41" ht="25" customHeight="1" thickBot="1">
      <c r="B145">
        <v>1</v>
      </c>
      <c r="C145" s="91" t="s">
        <v>5</v>
      </c>
      <c r="D145" s="386" t="e">
        <f>ec!#REF!</f>
        <v>#REF!</v>
      </c>
      <c r="E145" s="387"/>
      <c r="F145" s="388"/>
      <c r="G145" s="392" t="s">
        <v>30</v>
      </c>
      <c r="H145" s="393"/>
      <c r="I145" s="394"/>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70"/>
      <c r="E146" s="371"/>
      <c r="F146" s="372"/>
      <c r="G146" s="373" t="e">
        <f>ec!#REF!</f>
        <v>#REF!</v>
      </c>
      <c r="H146" s="374"/>
      <c r="I146" s="375"/>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79"/>
      <c r="E147" s="380"/>
      <c r="F147" s="381"/>
      <c r="G147" s="373"/>
      <c r="H147" s="374"/>
      <c r="I147" s="375"/>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89" t="e">
        <f>ec!#REF!</f>
        <v>#REF!</v>
      </c>
      <c r="E148" s="390"/>
      <c r="F148" s="391"/>
      <c r="G148" s="373"/>
      <c r="H148" s="374"/>
      <c r="I148" s="375"/>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83" t="e">
        <f>MOD(J149-TIME(5,30,0),1)</f>
        <v>#REF!</v>
      </c>
      <c r="E149" s="384"/>
      <c r="F149" s="385"/>
      <c r="G149" s="373"/>
      <c r="H149" s="374"/>
      <c r="I149" s="375"/>
      <c r="J149" s="15" t="e">
        <f>ec!#REF!</f>
        <v>#REF!</v>
      </c>
      <c r="K149" s="80" t="e">
        <f>MOD(J149-TIME(2,30,0),1)</f>
        <v>#REF!</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73"/>
      <c r="H150" s="374"/>
      <c r="I150" s="375"/>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735</v>
      </c>
      <c r="AC150" s="330">
        <v>0.8125</v>
      </c>
      <c r="AD150" s="331"/>
      <c r="AE150" s="332"/>
      <c r="AF150" s="331" t="s">
        <v>719</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73"/>
      <c r="H151" s="374"/>
      <c r="I151" s="375"/>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736</v>
      </c>
      <c r="AC151" s="330">
        <v>0.8125</v>
      </c>
      <c r="AD151" s="334" t="s">
        <v>719</v>
      </c>
      <c r="AE151" s="332" t="s">
        <v>739</v>
      </c>
      <c r="AF151" s="334" t="s">
        <v>740</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73"/>
      <c r="H152" s="374"/>
      <c r="I152" s="375"/>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759</v>
      </c>
      <c r="AC152" s="330">
        <v>0.8125</v>
      </c>
      <c r="AD152" s="335" t="s">
        <v>741</v>
      </c>
      <c r="AE152" s="332" t="s">
        <v>742</v>
      </c>
      <c r="AF152" s="335" t="s">
        <v>743</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73"/>
      <c r="H153" s="374"/>
      <c r="I153" s="375"/>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744</v>
      </c>
      <c r="AE153" s="332" t="s">
        <v>745</v>
      </c>
      <c r="AF153" s="334" t="s">
        <v>746</v>
      </c>
      <c r="AG153" s="333"/>
    </row>
    <row r="154" spans="2:41" ht="24">
      <c r="C154" s="92">
        <f t="shared" si="200"/>
        <v>45727</v>
      </c>
      <c r="D154" s="262" t="str">
        <f t="shared" si="209"/>
        <v>7.740</v>
      </c>
      <c r="E154" s="262" t="str">
        <f t="shared" si="201"/>
        <v>7.650</v>
      </c>
      <c r="F154" s="262" t="str">
        <f t="shared" si="202"/>
        <v>7.508</v>
      </c>
      <c r="G154" s="373"/>
      <c r="H154" s="374"/>
      <c r="I154" s="375"/>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747</v>
      </c>
      <c r="AE154" s="332" t="s">
        <v>748</v>
      </c>
      <c r="AF154" s="335" t="s">
        <v>749</v>
      </c>
      <c r="AG154" s="333"/>
    </row>
    <row r="155" spans="2:41" ht="24">
      <c r="C155" s="92">
        <f t="shared" si="200"/>
        <v>45692</v>
      </c>
      <c r="D155" s="262" t="str">
        <f t="shared" si="209"/>
        <v>7.600</v>
      </c>
      <c r="E155" s="262" t="str">
        <f t="shared" si="201"/>
        <v>8.010</v>
      </c>
      <c r="F155" s="262" t="str">
        <f t="shared" si="202"/>
        <v>8.156</v>
      </c>
      <c r="G155" s="373"/>
      <c r="H155" s="374"/>
      <c r="I155" s="375"/>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760</v>
      </c>
      <c r="AC155" s="330">
        <v>0.85416666666666663</v>
      </c>
      <c r="AD155" s="335" t="s">
        <v>750</v>
      </c>
      <c r="AE155" s="332" t="s">
        <v>751</v>
      </c>
      <c r="AF155" s="334" t="s">
        <v>752</v>
      </c>
      <c r="AG155" s="333"/>
    </row>
    <row r="156" spans="2:41" ht="25" customHeight="1" thickBot="1">
      <c r="C156" s="92">
        <f t="shared" si="200"/>
        <v>45664</v>
      </c>
      <c r="D156" s="262" t="str">
        <f t="shared" si="209"/>
        <v>8.098</v>
      </c>
      <c r="E156" s="262" t="str">
        <f t="shared" si="201"/>
        <v>7.730</v>
      </c>
      <c r="F156" s="262" t="str">
        <f t="shared" si="202"/>
        <v>7.839</v>
      </c>
      <c r="G156" s="376"/>
      <c r="H156" s="377"/>
      <c r="I156" s="378"/>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753</v>
      </c>
      <c r="AE156" s="332" t="s">
        <v>754</v>
      </c>
      <c r="AF156" s="334" t="s">
        <v>755</v>
      </c>
      <c r="AG156" s="333"/>
    </row>
    <row r="157" spans="2:41" ht="25" customHeight="1" thickBot="1">
      <c r="B157">
        <v>1</v>
      </c>
      <c r="C157" s="91" t="s">
        <v>5</v>
      </c>
      <c r="D157" s="386" t="e">
        <f>ec!#REF!</f>
        <v>#REF!</v>
      </c>
      <c r="E157" s="387"/>
      <c r="F157" s="388"/>
      <c r="G157" s="392" t="s">
        <v>30</v>
      </c>
      <c r="H157" s="393"/>
      <c r="I157" s="394"/>
      <c r="J157" s="260" t="s">
        <v>25</v>
      </c>
      <c r="K157" s="261" t="s">
        <v>26</v>
      </c>
      <c r="L157" s="77"/>
      <c r="M157" s="76"/>
      <c r="N157" s="76"/>
      <c r="O157" s="76"/>
      <c r="P157" s="76"/>
      <c r="Q157" s="76"/>
      <c r="R157" s="76"/>
      <c r="S157" s="76"/>
      <c r="T157" s="76"/>
      <c r="U157" s="76"/>
      <c r="V157" s="76"/>
      <c r="AB157" s="329" t="s">
        <v>761</v>
      </c>
      <c r="AC157" s="330">
        <v>0.85416666666666663</v>
      </c>
      <c r="AD157" s="335" t="s">
        <v>756</v>
      </c>
      <c r="AE157" s="332" t="s">
        <v>757</v>
      </c>
      <c r="AF157" s="331" t="s">
        <v>758</v>
      </c>
      <c r="AG157" s="333"/>
      <c r="AJ157" s="69"/>
      <c r="AK157" s="69"/>
      <c r="AL157" s="69"/>
      <c r="AM157" s="69"/>
      <c r="AN157" s="69"/>
      <c r="AO157" s="69"/>
    </row>
    <row r="158" spans="2:41" ht="24" customHeight="1">
      <c r="C158" s="88" t="s">
        <v>19</v>
      </c>
      <c r="D158" s="370"/>
      <c r="E158" s="371"/>
      <c r="F158" s="372"/>
      <c r="G158" s="373" t="e">
        <f>ec!#REF!</f>
        <v>#REF!</v>
      </c>
      <c r="H158" s="374"/>
      <c r="I158" s="375"/>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79"/>
      <c r="E159" s="380"/>
      <c r="F159" s="381"/>
      <c r="G159" s="373"/>
      <c r="H159" s="374"/>
      <c r="I159" s="375"/>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89" t="e">
        <f>ec!#REF!</f>
        <v>#REF!</v>
      </c>
      <c r="E160" s="390"/>
      <c r="F160" s="391"/>
      <c r="G160" s="373"/>
      <c r="H160" s="374"/>
      <c r="I160" s="375"/>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83" t="e">
        <f>MOD(J161-TIME(5,30,0),1)</f>
        <v>#REF!</v>
      </c>
      <c r="E161" s="384"/>
      <c r="F161" s="385"/>
      <c r="G161" s="373"/>
      <c r="H161" s="374"/>
      <c r="I161" s="375"/>
      <c r="J161" s="15" t="e">
        <f>ec!#REF!</f>
        <v>#REF!</v>
      </c>
      <c r="K161" s="80" t="e">
        <f>MOD(J161-TIME(2,30,0),1)</f>
        <v>#REF!</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73"/>
      <c r="H162" s="374"/>
      <c r="I162" s="375"/>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769</v>
      </c>
      <c r="AC162" s="330">
        <v>0.73958333333333337</v>
      </c>
      <c r="AD162" s="331"/>
      <c r="AE162" s="332"/>
      <c r="AF162" s="331" t="s">
        <v>721</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73"/>
      <c r="H163" s="374"/>
      <c r="I163" s="375"/>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770</v>
      </c>
      <c r="AC163" s="330">
        <v>0.73958333333333337</v>
      </c>
      <c r="AD163" s="334" t="s">
        <v>721</v>
      </c>
      <c r="AE163" s="332" t="s">
        <v>762</v>
      </c>
      <c r="AF163" s="334" t="s">
        <v>763</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73"/>
      <c r="H164" s="374"/>
      <c r="I164" s="375"/>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764</v>
      </c>
      <c r="AE164" s="332" t="s">
        <v>765</v>
      </c>
      <c r="AF164" s="335" t="s">
        <v>766</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73"/>
      <c r="H165" s="374"/>
      <c r="I165" s="375"/>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73"/>
      <c r="H166" s="374"/>
      <c r="I166" s="375"/>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73"/>
      <c r="H167" s="374"/>
      <c r="I167" s="375"/>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76"/>
      <c r="H168" s="377"/>
      <c r="I168" s="378"/>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86" t="e">
        <f>ec!#REF!</f>
        <v>#REF!</v>
      </c>
      <c r="E169" s="387"/>
      <c r="F169" s="388"/>
      <c r="G169" s="392" t="s">
        <v>30</v>
      </c>
      <c r="H169" s="393"/>
      <c r="I169" s="394"/>
      <c r="J169" s="260" t="s">
        <v>25</v>
      </c>
      <c r="K169" s="261" t="s">
        <v>26</v>
      </c>
      <c r="L169" s="77"/>
      <c r="M169" s="76"/>
      <c r="N169" s="76"/>
      <c r="O169" s="76"/>
      <c r="P169" s="76"/>
      <c r="Q169" s="76"/>
      <c r="R169" s="76"/>
      <c r="S169" s="76"/>
      <c r="T169" s="76"/>
      <c r="U169" s="76"/>
      <c r="V169" s="76"/>
      <c r="AB169" s="329" t="s">
        <v>761</v>
      </c>
      <c r="AC169" s="330">
        <v>0.85416666666666663</v>
      </c>
      <c r="AD169" s="335" t="s">
        <v>756</v>
      </c>
      <c r="AE169" s="332" t="s">
        <v>757</v>
      </c>
      <c r="AF169" s="331" t="s">
        <v>758</v>
      </c>
      <c r="AG169" s="333"/>
      <c r="AJ169" s="69"/>
      <c r="AK169" s="69"/>
      <c r="AL169" s="69"/>
      <c r="AM169" s="69"/>
      <c r="AN169" s="69"/>
      <c r="AO169" s="69"/>
    </row>
    <row r="170" spans="2:41" ht="24" customHeight="1">
      <c r="C170" s="88" t="s">
        <v>19</v>
      </c>
      <c r="D170" s="370"/>
      <c r="E170" s="371"/>
      <c r="F170" s="372"/>
      <c r="G170" s="373" t="e">
        <f>ec!#REF!</f>
        <v>#REF!</v>
      </c>
      <c r="H170" s="374"/>
      <c r="I170" s="375"/>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79"/>
      <c r="E171" s="380"/>
      <c r="F171" s="381"/>
      <c r="G171" s="373"/>
      <c r="H171" s="374"/>
      <c r="I171" s="375"/>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395" t="e">
        <f>ec!#REF!</f>
        <v>#REF!</v>
      </c>
      <c r="E172" s="390"/>
      <c r="F172" s="391"/>
      <c r="G172" s="373"/>
      <c r="H172" s="374"/>
      <c r="I172" s="375"/>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83" t="e">
        <f>MOD(J173-TIME(5,30,0),1)</f>
        <v>#REF!</v>
      </c>
      <c r="E173" s="384"/>
      <c r="F173" s="385"/>
      <c r="G173" s="373"/>
      <c r="H173" s="374"/>
      <c r="I173" s="375"/>
      <c r="J173" s="15" t="e">
        <f>ec!#REF!</f>
        <v>#REF!</v>
      </c>
      <c r="K173" s="80" t="e">
        <f>MOD(J173-TIME(2,30,0),1)</f>
        <v>#REF!</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73"/>
      <c r="H174" s="374"/>
      <c r="I174" s="375"/>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769</v>
      </c>
      <c r="AC174" s="330">
        <v>0.83333333333333337</v>
      </c>
      <c r="AD174" s="331"/>
      <c r="AE174" s="332"/>
      <c r="AF174" s="331" t="s">
        <v>772</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73"/>
      <c r="H175" s="374"/>
      <c r="I175" s="375"/>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664</v>
      </c>
      <c r="AC175" s="330">
        <v>0.83333333333333337</v>
      </c>
      <c r="AD175" s="334" t="s">
        <v>772</v>
      </c>
      <c r="AE175" s="332" t="s">
        <v>773</v>
      </c>
      <c r="AF175" s="331" t="s">
        <v>774</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73"/>
      <c r="H176" s="374"/>
      <c r="I176" s="375"/>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668</v>
      </c>
      <c r="AC176" s="330">
        <v>0.83333333333333337</v>
      </c>
      <c r="AD176" s="334" t="s">
        <v>774</v>
      </c>
      <c r="AE176" s="332" t="s">
        <v>775</v>
      </c>
      <c r="AF176" s="331" t="s">
        <v>776</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73"/>
      <c r="H177" s="374"/>
      <c r="I177" s="375"/>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780</v>
      </c>
      <c r="AC177" s="330">
        <v>0.83333333333333337</v>
      </c>
      <c r="AD177" s="334" t="s">
        <v>776</v>
      </c>
      <c r="AE177" s="332" t="s">
        <v>777</v>
      </c>
      <c r="AF177" s="331" t="s">
        <v>778</v>
      </c>
      <c r="AG177" s="333"/>
    </row>
    <row r="178" spans="2:33" ht="24">
      <c r="C178" s="92">
        <f t="shared" si="234"/>
        <v>45812</v>
      </c>
      <c r="D178" s="262" t="str">
        <f t="shared" si="243"/>
        <v>-4.30</v>
      </c>
      <c r="E178" s="262" t="str">
        <f t="shared" si="235"/>
        <v>-2.90</v>
      </c>
      <c r="F178" s="262" t="str">
        <f t="shared" si="236"/>
        <v>-2.79</v>
      </c>
      <c r="G178" s="373"/>
      <c r="H178" s="374"/>
      <c r="I178" s="375"/>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770</v>
      </c>
      <c r="AC178" s="330">
        <v>0.83333333333333337</v>
      </c>
      <c r="AD178" s="334" t="s">
        <v>778</v>
      </c>
      <c r="AE178" s="332" t="s">
        <v>779</v>
      </c>
      <c r="AF178" s="331" t="s">
        <v>604</v>
      </c>
      <c r="AG178" s="333"/>
    </row>
    <row r="179" spans="2:33" ht="24">
      <c r="C179" s="92">
        <f t="shared" si="234"/>
        <v>45806</v>
      </c>
      <c r="D179" s="262" t="str">
        <f t="shared" si="243"/>
        <v>-2.79</v>
      </c>
      <c r="E179" s="262" t="str">
        <f t="shared" si="235"/>
        <v>1.000</v>
      </c>
      <c r="F179" s="262" t="str">
        <f t="shared" si="236"/>
        <v>1.328</v>
      </c>
      <c r="G179" s="373"/>
      <c r="H179" s="374"/>
      <c r="I179" s="375"/>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76"/>
      <c r="H180" s="377"/>
      <c r="I180" s="378"/>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12" t="e">
        <f>ec!#REF!</f>
        <v>#REF!</v>
      </c>
      <c r="E181" s="413"/>
      <c r="F181" s="414"/>
      <c r="G181" s="396" t="s">
        <v>30</v>
      </c>
      <c r="H181" s="397"/>
      <c r="I181" s="398"/>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9"/>
      <c r="E182" s="440"/>
      <c r="F182" s="441"/>
      <c r="G182" s="442" t="e">
        <f>ec!#REF!</f>
        <v>#REF!</v>
      </c>
      <c r="H182" s="443"/>
      <c r="I182" s="444"/>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24"/>
      <c r="E183" s="445"/>
      <c r="F183" s="446"/>
      <c r="G183" s="418"/>
      <c r="H183" s="419"/>
      <c r="I183" s="420"/>
      <c r="J183" s="205"/>
      <c r="K183" s="206"/>
      <c r="L183" s="77"/>
      <c r="M183" s="76"/>
      <c r="N183" s="76"/>
      <c r="O183" s="76"/>
      <c r="P183" s="76"/>
      <c r="Q183" s="76"/>
      <c r="R183" s="76"/>
      <c r="S183" s="76"/>
      <c r="T183" s="76"/>
      <c r="U183" s="76"/>
      <c r="V183" s="76"/>
      <c r="AB183" s="329" t="s">
        <v>771</v>
      </c>
      <c r="AC183" s="330">
        <v>0.73958333333333337</v>
      </c>
      <c r="AD183" s="334" t="s">
        <v>158</v>
      </c>
      <c r="AE183" s="332" t="s">
        <v>767</v>
      </c>
      <c r="AF183" s="334" t="s">
        <v>768</v>
      </c>
      <c r="AG183" s="333"/>
    </row>
    <row r="184" spans="2:33" ht="25" thickBot="1">
      <c r="C184" s="207" t="s">
        <v>21</v>
      </c>
      <c r="D184" s="427" t="e">
        <f>ec!#REF!</f>
        <v>#REF!</v>
      </c>
      <c r="E184" s="437"/>
      <c r="F184" s="438"/>
      <c r="G184" s="418"/>
      <c r="H184" s="419"/>
      <c r="I184" s="420"/>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30" t="e">
        <f>MOD(J185-TIME(5,30,0),1)</f>
        <v>#REF!</v>
      </c>
      <c r="E185" s="431"/>
      <c r="F185" s="432"/>
      <c r="G185" s="418"/>
      <c r="H185" s="419"/>
      <c r="I185" s="420"/>
      <c r="J185" s="209" t="e">
        <f>ec!#REF!</f>
        <v>#REF!</v>
      </c>
      <c r="K185" s="210" t="e">
        <f>MOD(J185-TIME(2,30,0),1)</f>
        <v>#REF!</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8"/>
      <c r="H186" s="419"/>
      <c r="I186" s="420"/>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671</v>
      </c>
      <c r="AC186" s="330">
        <v>0.75</v>
      </c>
      <c r="AD186" s="331"/>
      <c r="AE186" s="332"/>
      <c r="AF186" s="337">
        <v>1E-3</v>
      </c>
      <c r="AG186" s="333"/>
    </row>
    <row r="187" spans="2:33" ht="23">
      <c r="C187" s="219">
        <f t="shared" ref="C187:C192" si="251">V187</f>
        <v>45807</v>
      </c>
      <c r="D187" s="347">
        <f>O187</f>
        <v>1E-3</v>
      </c>
      <c r="E187" s="347">
        <f t="shared" ref="E187:F187" si="252">P187</f>
        <v>1E-3</v>
      </c>
      <c r="F187" s="347">
        <f t="shared" si="252"/>
        <v>1E-3</v>
      </c>
      <c r="G187" s="418"/>
      <c r="H187" s="419"/>
      <c r="I187" s="420"/>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674</v>
      </c>
      <c r="AC187" s="330">
        <v>0.75</v>
      </c>
      <c r="AD187" s="337">
        <v>1E-3</v>
      </c>
      <c r="AE187" s="339">
        <v>1E-3</v>
      </c>
      <c r="AF187" s="338">
        <v>1E-3</v>
      </c>
      <c r="AG187" s="333"/>
    </row>
    <row r="188" spans="2:33" ht="23">
      <c r="C188" s="219">
        <f t="shared" si="251"/>
        <v>45777</v>
      </c>
      <c r="D188" s="347">
        <f t="shared" ref="D188:D192" si="258">O188</f>
        <v>0</v>
      </c>
      <c r="E188" s="347">
        <f t="shared" ref="E188:E192" si="259">P188</f>
        <v>1E-3</v>
      </c>
      <c r="F188" s="347">
        <f t="shared" ref="F188:F192" si="260">Q188</f>
        <v>5.0000000000000001E-3</v>
      </c>
      <c r="G188" s="418"/>
      <c r="H188" s="419"/>
      <c r="I188" s="420"/>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7">
        <f t="shared" si="258"/>
        <v>4.0000000000000001E-3</v>
      </c>
      <c r="E189" s="347">
        <f t="shared" si="259"/>
        <v>3.0000000000000001E-3</v>
      </c>
      <c r="F189" s="347">
        <f t="shared" si="260"/>
        <v>3.0000000000000001E-3</v>
      </c>
      <c r="G189" s="418"/>
      <c r="H189" s="419"/>
      <c r="I189" s="420"/>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672</v>
      </c>
      <c r="AC189" s="330">
        <v>0.75</v>
      </c>
      <c r="AD189" s="338">
        <v>4.0000000000000001E-3</v>
      </c>
      <c r="AE189" s="339">
        <v>3.0000000000000001E-3</v>
      </c>
      <c r="AF189" s="337">
        <v>3.0000000000000001E-3</v>
      </c>
      <c r="AG189" s="333"/>
    </row>
    <row r="190" spans="2:33" ht="23">
      <c r="C190" s="219">
        <f t="shared" si="251"/>
        <v>45716</v>
      </c>
      <c r="D190" s="347">
        <f t="shared" si="258"/>
        <v>3.0000000000000001E-3</v>
      </c>
      <c r="E190" s="347">
        <f t="shared" si="259"/>
        <v>3.0000000000000001E-3</v>
      </c>
      <c r="F190" s="347">
        <f t="shared" si="260"/>
        <v>2E-3</v>
      </c>
      <c r="G190" s="418"/>
      <c r="H190" s="419"/>
      <c r="I190" s="420"/>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675</v>
      </c>
      <c r="AC190" s="330">
        <v>0.79166666666666663</v>
      </c>
      <c r="AD190" s="337">
        <v>3.0000000000000001E-3</v>
      </c>
      <c r="AE190" s="339">
        <v>3.0000000000000001E-3</v>
      </c>
      <c r="AF190" s="337">
        <v>2E-3</v>
      </c>
      <c r="AG190" s="333"/>
    </row>
    <row r="191" spans="2:33" ht="23">
      <c r="C191" s="219">
        <f t="shared" si="251"/>
        <v>45688</v>
      </c>
      <c r="D191" s="347">
        <f t="shared" si="258"/>
        <v>2E-3</v>
      </c>
      <c r="E191" s="347">
        <f t="shared" si="259"/>
        <v>2E-3</v>
      </c>
      <c r="F191" s="347">
        <f t="shared" si="260"/>
        <v>1E-3</v>
      </c>
      <c r="G191" s="418"/>
      <c r="H191" s="419"/>
      <c r="I191" s="420"/>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7">
        <f t="shared" si="258"/>
        <v>1E-3</v>
      </c>
      <c r="E192" s="347">
        <f t="shared" si="259"/>
        <v>2E-3</v>
      </c>
      <c r="F192" s="347">
        <f t="shared" si="260"/>
        <v>3.0000000000000001E-3</v>
      </c>
      <c r="G192" s="421"/>
      <c r="H192" s="422"/>
      <c r="I192" s="423"/>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676</v>
      </c>
      <c r="AC192" s="330">
        <v>0.79166666666666663</v>
      </c>
      <c r="AD192" s="340">
        <v>1E-3</v>
      </c>
      <c r="AE192" s="339">
        <v>2E-3</v>
      </c>
      <c r="AF192" s="337">
        <v>3.0000000000000001E-3</v>
      </c>
      <c r="AG192" s="333"/>
    </row>
    <row r="193" spans="2:33" ht="25" customHeight="1" outlineLevel="1" thickBot="1">
      <c r="B193">
        <v>1</v>
      </c>
      <c r="C193" s="91" t="s">
        <v>5</v>
      </c>
      <c r="D193" s="386" t="e">
        <f>ec!#REF!</f>
        <v>#REF!</v>
      </c>
      <c r="E193" s="387"/>
      <c r="F193" s="388"/>
      <c r="G193" s="392" t="s">
        <v>30</v>
      </c>
      <c r="H193" s="393"/>
      <c r="I193" s="394"/>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70"/>
      <c r="E194" s="371"/>
      <c r="F194" s="372"/>
      <c r="G194" s="373" t="e">
        <f>ec!#REF!</f>
        <v>#REF!</v>
      </c>
      <c r="H194" s="374"/>
      <c r="I194" s="375"/>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89" t="e">
        <f>ec!#REF!</f>
        <v>#REF!</v>
      </c>
      <c r="E195" s="390"/>
      <c r="F195" s="391"/>
      <c r="G195" s="373"/>
      <c r="H195" s="374"/>
      <c r="I195" s="375"/>
      <c r="J195" s="14"/>
      <c r="K195" s="79"/>
      <c r="L195" s="77"/>
      <c r="M195" s="76"/>
      <c r="N195" s="76"/>
      <c r="O195" s="76"/>
      <c r="P195" s="76"/>
      <c r="Q195" s="76"/>
      <c r="R195" s="76"/>
      <c r="S195" s="76"/>
      <c r="T195" s="76"/>
      <c r="U195" s="76"/>
      <c r="V195" s="76"/>
    </row>
    <row r="196" spans="2:33" ht="25" outlineLevel="1" thickBot="1">
      <c r="C196" s="89" t="s">
        <v>21</v>
      </c>
      <c r="D196" s="379" t="e">
        <f>ec!#REF!</f>
        <v>#REF!</v>
      </c>
      <c r="E196" s="380"/>
      <c r="F196" s="381"/>
      <c r="G196" s="373"/>
      <c r="H196" s="374"/>
      <c r="I196" s="375"/>
      <c r="J196" s="14"/>
      <c r="K196" s="79"/>
      <c r="L196" s="77"/>
      <c r="M196" s="76"/>
      <c r="N196" s="76"/>
      <c r="O196" s="76"/>
      <c r="P196" s="76"/>
      <c r="Q196" s="76"/>
      <c r="R196" s="76"/>
      <c r="S196" s="76"/>
      <c r="T196" s="76"/>
      <c r="U196" s="76"/>
      <c r="V196" s="76"/>
    </row>
    <row r="197" spans="2:33" ht="25" outlineLevel="1" thickBot="1">
      <c r="C197" s="90" t="s">
        <v>23</v>
      </c>
      <c r="D197" s="383" t="e">
        <f>MOD(J197-TIME(5,30,0),1)</f>
        <v>#REF!</v>
      </c>
      <c r="E197" s="384"/>
      <c r="F197" s="385"/>
      <c r="G197" s="373"/>
      <c r="H197" s="374"/>
      <c r="I197" s="375"/>
      <c r="J197" s="15" t="e">
        <f>ec!#REF!</f>
        <v>#REF!</v>
      </c>
      <c r="K197" s="80" t="e">
        <f>MOD(J197-TIME(2,30,0),1)</f>
        <v>#REF!</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73"/>
      <c r="H198" s="374"/>
      <c r="I198" s="375"/>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781</v>
      </c>
      <c r="AC198" s="330">
        <v>0.75</v>
      </c>
      <c r="AD198" s="331"/>
      <c r="AE198" s="339">
        <v>3.0000000000000001E-3</v>
      </c>
      <c r="AF198" s="337">
        <v>4.0000000000000001E-3</v>
      </c>
      <c r="AG198" s="333"/>
    </row>
    <row r="199" spans="2:33" ht="23" customHeight="1" outlineLevel="1">
      <c r="C199" s="92">
        <f t="shared" ref="C199:C204" si="268">V199</f>
        <v>45814</v>
      </c>
      <c r="D199" s="352">
        <f>O199</f>
        <v>4.0000000000000001E-3</v>
      </c>
      <c r="E199" s="352">
        <f t="shared" ref="E199:F199" si="269">P199</f>
        <v>3.0000000000000001E-3</v>
      </c>
      <c r="F199" s="352">
        <f t="shared" si="269"/>
        <v>2E-3</v>
      </c>
      <c r="G199" s="373"/>
      <c r="H199" s="374"/>
      <c r="I199" s="375"/>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782</v>
      </c>
      <c r="AC199" s="330">
        <v>0.75</v>
      </c>
      <c r="AD199" s="338">
        <v>4.0000000000000001E-3</v>
      </c>
      <c r="AE199" s="339">
        <v>3.0000000000000001E-3</v>
      </c>
      <c r="AF199" s="337">
        <v>2E-3</v>
      </c>
      <c r="AG199" s="333"/>
    </row>
    <row r="200" spans="2:33" ht="23" customHeight="1" outlineLevel="1">
      <c r="C200" s="92">
        <f t="shared" si="268"/>
        <v>45779</v>
      </c>
      <c r="D200" s="352">
        <f t="shared" ref="D200:D204" si="276">O200</f>
        <v>2E-3</v>
      </c>
      <c r="E200" s="352">
        <f t="shared" ref="E200:E204" si="277">P200</f>
        <v>3.0000000000000001E-3</v>
      </c>
      <c r="F200" s="352">
        <f t="shared" ref="F200:F204" si="278">Q200</f>
        <v>3.0000000000000001E-3</v>
      </c>
      <c r="G200" s="373"/>
      <c r="H200" s="374"/>
      <c r="I200" s="375"/>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2">
        <f t="shared" si="276"/>
        <v>3.0000000000000001E-3</v>
      </c>
      <c r="E201" s="352">
        <f t="shared" si="277"/>
        <v>3.0000000000000001E-3</v>
      </c>
      <c r="F201" s="352">
        <f t="shared" si="278"/>
        <v>2E-3</v>
      </c>
      <c r="G201" s="373"/>
      <c r="H201" s="374"/>
      <c r="I201" s="375"/>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2">
        <f t="shared" si="276"/>
        <v>3.0000000000000001E-3</v>
      </c>
      <c r="E202" s="352">
        <f t="shared" si="277"/>
        <v>3.0000000000000001E-3</v>
      </c>
      <c r="F202" s="352">
        <f t="shared" si="278"/>
        <v>4.0000000000000001E-3</v>
      </c>
      <c r="G202" s="373"/>
      <c r="H202" s="374"/>
      <c r="I202" s="375"/>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2">
        <f t="shared" si="276"/>
        <v>5.0000000000000001E-3</v>
      </c>
      <c r="E203" s="352">
        <f t="shared" si="277"/>
        <v>3.0000000000000001E-3</v>
      </c>
      <c r="F203" s="352">
        <f t="shared" si="278"/>
        <v>3.0000000000000001E-3</v>
      </c>
      <c r="G203" s="373"/>
      <c r="H203" s="374"/>
      <c r="I203" s="375"/>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2">
        <f t="shared" si="276"/>
        <v>3.0000000000000001E-3</v>
      </c>
      <c r="E204" s="352">
        <f t="shared" si="277"/>
        <v>3.0000000000000001E-3</v>
      </c>
      <c r="F204" s="352">
        <f t="shared" si="278"/>
        <v>4.0000000000000001E-3</v>
      </c>
      <c r="G204" s="376"/>
      <c r="H204" s="377"/>
      <c r="I204" s="378"/>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86" t="e">
        <f>ec!#REF!</f>
        <v>#REF!</v>
      </c>
      <c r="E205" s="387"/>
      <c r="F205" s="388"/>
      <c r="G205" s="392" t="s">
        <v>30</v>
      </c>
      <c r="H205" s="393"/>
      <c r="I205" s="394"/>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70"/>
      <c r="E206" s="371"/>
      <c r="F206" s="372"/>
      <c r="G206" s="373" t="e">
        <f>ec!#REF!</f>
        <v>#REF!</v>
      </c>
      <c r="H206" s="374"/>
      <c r="I206" s="375"/>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79" t="e">
        <f>ec!#REF!</f>
        <v>#REF!</v>
      </c>
      <c r="E207" s="380"/>
      <c r="F207" s="381"/>
      <c r="G207" s="373"/>
      <c r="H207" s="374"/>
      <c r="I207" s="375"/>
      <c r="J207" s="14"/>
      <c r="K207" s="79"/>
      <c r="L207" s="77"/>
      <c r="M207" s="76"/>
      <c r="N207" s="76"/>
      <c r="O207" s="76"/>
      <c r="P207" s="76"/>
      <c r="Q207" s="76"/>
      <c r="R207" s="76"/>
      <c r="S207" s="76"/>
      <c r="T207" s="76"/>
      <c r="U207" s="76"/>
      <c r="V207" s="76"/>
      <c r="AB207" s="329" t="s">
        <v>783</v>
      </c>
      <c r="AC207" s="330">
        <v>0.75</v>
      </c>
      <c r="AD207" s="338">
        <v>4.0000000000000001E-3</v>
      </c>
      <c r="AE207" s="339">
        <v>3.0000000000000001E-3</v>
      </c>
      <c r="AF207" s="338">
        <v>5.0000000000000001E-3</v>
      </c>
      <c r="AG207" s="333"/>
    </row>
    <row r="208" spans="2:33" ht="25" outlineLevel="1" thickBot="1">
      <c r="C208" s="89" t="s">
        <v>21</v>
      </c>
      <c r="D208" s="389" t="e">
        <f>ec!#REF!</f>
        <v>#REF!</v>
      </c>
      <c r="E208" s="390"/>
      <c r="F208" s="391"/>
      <c r="G208" s="373"/>
      <c r="H208" s="374"/>
      <c r="I208" s="375"/>
      <c r="J208" s="14"/>
      <c r="K208" s="79"/>
      <c r="L208" s="77"/>
      <c r="M208" s="76"/>
      <c r="N208" s="76"/>
      <c r="O208" s="76"/>
      <c r="P208" s="76"/>
      <c r="Q208" s="76"/>
      <c r="R208" s="76"/>
      <c r="S208" s="76"/>
      <c r="T208" s="76"/>
      <c r="U208" s="76"/>
      <c r="V208" s="76"/>
    </row>
    <row r="209" spans="2:33" ht="25" outlineLevel="1" thickBot="1">
      <c r="C209" s="90" t="s">
        <v>23</v>
      </c>
      <c r="D209" s="383" t="e">
        <f>MOD(J209-TIME(5,30,0),1)</f>
        <v>#REF!</v>
      </c>
      <c r="E209" s="384"/>
      <c r="F209" s="385"/>
      <c r="G209" s="373"/>
      <c r="H209" s="374"/>
      <c r="I209" s="375"/>
      <c r="J209" s="15" t="e">
        <f>ec!#REF!</f>
        <v>#REF!</v>
      </c>
      <c r="K209" s="80" t="e">
        <f>MOD(J209-TIME(2,30,0),1)</f>
        <v>#REF!</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73"/>
      <c r="H210" s="374"/>
      <c r="I210" s="375"/>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786</v>
      </c>
      <c r="AC210" s="330">
        <v>0.75</v>
      </c>
      <c r="AD210" s="331"/>
      <c r="AE210" s="332" t="s">
        <v>785</v>
      </c>
      <c r="AF210" s="331" t="s">
        <v>784</v>
      </c>
      <c r="AG210" s="333"/>
    </row>
    <row r="211" spans="2:33" ht="23" customHeight="1" outlineLevel="1">
      <c r="C211" s="92">
        <f t="shared" ref="C211:C216" si="286">V211</f>
        <v>45834</v>
      </c>
      <c r="D211" s="262" t="str">
        <f>X211</f>
        <v>236</v>
      </c>
      <c r="E211" s="262" t="str">
        <f t="shared" ref="E211:F211" si="287">Y211</f>
        <v>244</v>
      </c>
      <c r="F211" s="262" t="str">
        <f t="shared" si="287"/>
        <v>246</v>
      </c>
      <c r="G211" s="373"/>
      <c r="H211" s="374"/>
      <c r="I211" s="375"/>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792</v>
      </c>
      <c r="AC211" s="330">
        <v>0.75</v>
      </c>
      <c r="AD211" s="334" t="s">
        <v>784</v>
      </c>
      <c r="AE211" s="332" t="s">
        <v>787</v>
      </c>
      <c r="AF211" s="335" t="s">
        <v>788</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73"/>
      <c r="H212" s="374"/>
      <c r="I212" s="375"/>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668</v>
      </c>
      <c r="AC212" s="330">
        <v>0.75</v>
      </c>
      <c r="AD212" s="334" t="s">
        <v>669</v>
      </c>
      <c r="AE212" s="332" t="s">
        <v>788</v>
      </c>
      <c r="AF212" s="335" t="s">
        <v>789</v>
      </c>
      <c r="AG212" s="333"/>
    </row>
    <row r="213" spans="2:33" ht="24" outlineLevel="1">
      <c r="C213" s="92">
        <f t="shared" si="286"/>
        <v>45820</v>
      </c>
      <c r="D213" s="262" t="str">
        <f t="shared" si="293"/>
        <v>248</v>
      </c>
      <c r="E213" s="262" t="str">
        <f t="shared" si="294"/>
        <v>242</v>
      </c>
      <c r="F213" s="262" t="str">
        <f t="shared" si="295"/>
        <v>248</v>
      </c>
      <c r="G213" s="373"/>
      <c r="H213" s="374"/>
      <c r="I213" s="375"/>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793</v>
      </c>
      <c r="AC213" s="330">
        <v>0.75</v>
      </c>
      <c r="AD213" s="335" t="s">
        <v>790</v>
      </c>
      <c r="AE213" s="332" t="s">
        <v>70</v>
      </c>
      <c r="AF213" s="335" t="s">
        <v>790</v>
      </c>
      <c r="AG213" s="333"/>
    </row>
    <row r="214" spans="2:33" ht="24" outlineLevel="1">
      <c r="C214" s="92">
        <f t="shared" si="286"/>
        <v>45813</v>
      </c>
      <c r="D214" s="262" t="str">
        <f t="shared" si="293"/>
        <v>247</v>
      </c>
      <c r="E214" s="262" t="str">
        <f t="shared" si="294"/>
        <v>236</v>
      </c>
      <c r="F214" s="262" t="str">
        <f t="shared" si="295"/>
        <v>239</v>
      </c>
      <c r="G214" s="373"/>
      <c r="H214" s="374"/>
      <c r="I214" s="375"/>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791</v>
      </c>
      <c r="AE214" s="332" t="s">
        <v>784</v>
      </c>
      <c r="AF214" s="334" t="s">
        <v>785</v>
      </c>
      <c r="AG214" s="333"/>
    </row>
    <row r="215" spans="2:33" ht="24" outlineLevel="1">
      <c r="C215" s="92">
        <f t="shared" si="286"/>
        <v>45806</v>
      </c>
      <c r="D215" s="262" t="str">
        <f t="shared" si="293"/>
        <v>240</v>
      </c>
      <c r="E215" s="262" t="str">
        <f t="shared" si="294"/>
        <v>229</v>
      </c>
      <c r="F215" s="262" t="str">
        <f t="shared" si="295"/>
        <v>226</v>
      </c>
      <c r="G215" s="373"/>
      <c r="H215" s="374"/>
      <c r="I215" s="375"/>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76"/>
      <c r="H216" s="377"/>
      <c r="I216" s="378"/>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86" t="e">
        <f>ec!#REF!</f>
        <v>#REF!</v>
      </c>
      <c r="E217" s="387"/>
      <c r="F217" s="388"/>
      <c r="G217" s="392" t="s">
        <v>30</v>
      </c>
      <c r="H217" s="393"/>
      <c r="I217" s="394"/>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70"/>
      <c r="E218" s="371"/>
      <c r="F218" s="372"/>
      <c r="G218" s="373" t="e">
        <f>ec!#REF!</f>
        <v>#REF!</v>
      </c>
      <c r="H218" s="374"/>
      <c r="I218" s="375"/>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79" t="e">
        <f>ec!#REF!</f>
        <v>#REF!</v>
      </c>
      <c r="E219" s="380"/>
      <c r="F219" s="381"/>
      <c r="G219" s="373"/>
      <c r="H219" s="374"/>
      <c r="I219" s="375"/>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82" t="e">
        <f>ec!#REF!</f>
        <v>#REF!</v>
      </c>
      <c r="E220" s="380"/>
      <c r="F220" s="381"/>
      <c r="G220" s="373"/>
      <c r="H220" s="374"/>
      <c r="I220" s="375"/>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83" t="e">
        <f>MOD(J221-TIME(5,30,0),1)</f>
        <v>#REF!</v>
      </c>
      <c r="E221" s="384"/>
      <c r="F221" s="385"/>
      <c r="G221" s="373"/>
      <c r="H221" s="374"/>
      <c r="I221" s="375"/>
      <c r="J221" s="15" t="e">
        <f>ec!#REF!</f>
        <v>#REF!</v>
      </c>
      <c r="K221" s="80" t="e">
        <f>MOD(J221-TIME(2,30,0),1)</f>
        <v>#REF!</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73"/>
      <c r="H222" s="374"/>
      <c r="I222" s="375"/>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781</v>
      </c>
      <c r="AC222" s="330">
        <v>0.75</v>
      </c>
      <c r="AD222" s="331"/>
      <c r="AE222" s="332" t="s">
        <v>794</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73"/>
      <c r="H223" s="374"/>
      <c r="I223" s="375"/>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782</v>
      </c>
      <c r="AC223" s="330">
        <v>0.75</v>
      </c>
      <c r="AD223" s="334" t="s">
        <v>440</v>
      </c>
      <c r="AE223" s="332" t="s">
        <v>795</v>
      </c>
      <c r="AF223" s="335" t="s">
        <v>766</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73"/>
      <c r="H224" s="374"/>
      <c r="I224" s="375"/>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73"/>
      <c r="H225" s="374"/>
      <c r="I225" s="375"/>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73"/>
      <c r="H226" s="374"/>
      <c r="I226" s="375"/>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73"/>
      <c r="H227" s="374"/>
      <c r="I227" s="375"/>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76"/>
      <c r="H228" s="377"/>
      <c r="I228" s="378"/>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86" t="e">
        <f>ec!#REF!</f>
        <v>#REF!</v>
      </c>
      <c r="E229" s="387"/>
      <c r="F229" s="388"/>
      <c r="G229" s="392" t="s">
        <v>30</v>
      </c>
      <c r="H229" s="393"/>
      <c r="I229" s="394"/>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70"/>
      <c r="E230" s="371"/>
      <c r="F230" s="372"/>
      <c r="G230" s="373" t="e">
        <f>ec!#REF!</f>
        <v>#REF!</v>
      </c>
      <c r="H230" s="374"/>
      <c r="I230" s="375"/>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79" t="e">
        <f>ec!#REF!</f>
        <v>#REF!</v>
      </c>
      <c r="E231" s="380"/>
      <c r="F231" s="381"/>
      <c r="G231" s="373"/>
      <c r="H231" s="374"/>
      <c r="I231" s="375"/>
      <c r="J231" s="14"/>
      <c r="K231" s="79"/>
      <c r="L231" s="77"/>
      <c r="M231" s="76"/>
      <c r="N231" s="76"/>
      <c r="O231" s="76"/>
      <c r="P231" s="76"/>
      <c r="Q231" s="76"/>
      <c r="R231" s="76"/>
      <c r="S231" s="76"/>
      <c r="T231" s="76"/>
      <c r="U231" s="76"/>
      <c r="V231" s="76"/>
    </row>
    <row r="232" spans="2:33" ht="25" outlineLevel="1" thickBot="1">
      <c r="C232" s="89" t="s">
        <v>21</v>
      </c>
      <c r="D232" s="379" t="e">
        <f>ec!#REF!</f>
        <v>#REF!</v>
      </c>
      <c r="E232" s="380"/>
      <c r="F232" s="381"/>
      <c r="G232" s="373"/>
      <c r="H232" s="374"/>
      <c r="I232" s="375"/>
      <c r="J232" s="14"/>
      <c r="K232" s="79"/>
      <c r="L232" s="77"/>
      <c r="M232" s="76"/>
      <c r="N232" s="76"/>
      <c r="O232" s="76"/>
      <c r="P232" s="76"/>
      <c r="Q232" s="76"/>
      <c r="R232" s="76"/>
      <c r="S232" s="76"/>
      <c r="T232" s="76"/>
      <c r="U232" s="76"/>
      <c r="V232" s="76"/>
    </row>
    <row r="233" spans="2:33" ht="25" outlineLevel="1" thickBot="1">
      <c r="C233" s="90" t="s">
        <v>23</v>
      </c>
      <c r="D233" s="383" t="e">
        <f>MOD(J233-TIME(5,30,0),1)</f>
        <v>#REF!</v>
      </c>
      <c r="E233" s="384"/>
      <c r="F233" s="385"/>
      <c r="G233" s="373"/>
      <c r="H233" s="374"/>
      <c r="I233" s="375"/>
      <c r="J233" s="15" t="e">
        <f>ec!#REF!</f>
        <v>#REF!</v>
      </c>
      <c r="K233" s="80" t="e">
        <f>MOD(J233-TIME(2,30,0),1)</f>
        <v>#REF!</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73"/>
      <c r="H234" s="374"/>
      <c r="I234" s="375"/>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781</v>
      </c>
      <c r="AC234" s="330">
        <v>0.75</v>
      </c>
      <c r="AD234" s="331"/>
      <c r="AE234" s="339">
        <v>4.2999999999999997E-2</v>
      </c>
      <c r="AF234" s="337">
        <v>4.2000000000000003E-2</v>
      </c>
      <c r="AG234" s="333"/>
    </row>
    <row r="235" spans="2:33" ht="23" outlineLevel="1">
      <c r="C235" s="92">
        <f t="shared" ref="C235:C240" si="320">V235</f>
        <v>45814</v>
      </c>
      <c r="D235" s="352">
        <f>O235</f>
        <v>4.2000000000000003E-2</v>
      </c>
      <c r="E235" s="352">
        <f t="shared" ref="E235:F235" si="321">P235</f>
        <v>4.2000000000000003E-2</v>
      </c>
      <c r="F235" s="352">
        <f t="shared" si="321"/>
        <v>4.2000000000000003E-2</v>
      </c>
      <c r="G235" s="373"/>
      <c r="H235" s="374"/>
      <c r="I235" s="375"/>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782</v>
      </c>
      <c r="AC235" s="330">
        <v>0.75</v>
      </c>
      <c r="AD235" s="337">
        <v>4.2000000000000003E-2</v>
      </c>
      <c r="AE235" s="339">
        <v>4.2000000000000003E-2</v>
      </c>
      <c r="AF235" s="337">
        <v>4.2000000000000003E-2</v>
      </c>
      <c r="AG235" s="333"/>
    </row>
    <row r="236" spans="2:33" ht="23" outlineLevel="1">
      <c r="C236" s="92">
        <f t="shared" si="320"/>
        <v>45779</v>
      </c>
      <c r="D236" s="352">
        <f t="shared" ref="D236:D240" si="328">O236</f>
        <v>4.2000000000000003E-2</v>
      </c>
      <c r="E236" s="352">
        <f t="shared" ref="E236:E240" si="329">P236</f>
        <v>4.2000000000000003E-2</v>
      </c>
      <c r="F236" s="352">
        <f t="shared" ref="F236:F240" si="330">Q236</f>
        <v>4.2000000000000003E-2</v>
      </c>
      <c r="G236" s="373"/>
      <c r="H236" s="374"/>
      <c r="I236" s="375"/>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2">
        <f t="shared" si="328"/>
        <v>4.2000000000000003E-2</v>
      </c>
      <c r="E237" s="352">
        <f t="shared" si="329"/>
        <v>4.1000000000000002E-2</v>
      </c>
      <c r="F237" s="352">
        <f t="shared" si="330"/>
        <v>4.1000000000000002E-2</v>
      </c>
      <c r="G237" s="373"/>
      <c r="H237" s="374"/>
      <c r="I237" s="375"/>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2">
        <f t="shared" si="328"/>
        <v>4.1000000000000002E-2</v>
      </c>
      <c r="E238" s="352">
        <f t="shared" si="329"/>
        <v>0.04</v>
      </c>
      <c r="F238" s="352">
        <f t="shared" si="330"/>
        <v>0.04</v>
      </c>
      <c r="G238" s="373"/>
      <c r="H238" s="374"/>
      <c r="I238" s="375"/>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2">
        <f t="shared" si="328"/>
        <v>0.04</v>
      </c>
      <c r="E239" s="352">
        <f t="shared" si="329"/>
        <v>4.1000000000000002E-2</v>
      </c>
      <c r="F239" s="352">
        <f t="shared" si="330"/>
        <v>4.1000000000000002E-2</v>
      </c>
      <c r="G239" s="373"/>
      <c r="H239" s="374"/>
      <c r="I239" s="375"/>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2">
        <f t="shared" si="328"/>
        <v>4.1000000000000002E-2</v>
      </c>
      <c r="E240" s="352">
        <f t="shared" si="329"/>
        <v>4.2000000000000003E-2</v>
      </c>
      <c r="F240" s="352">
        <f t="shared" si="330"/>
        <v>4.2000000000000003E-2</v>
      </c>
      <c r="G240" s="376"/>
      <c r="H240" s="377"/>
      <c r="I240" s="378"/>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86" t="e">
        <f>ec!#REF!</f>
        <v>#REF!</v>
      </c>
      <c r="E241" s="387"/>
      <c r="F241" s="388"/>
      <c r="G241" s="392" t="s">
        <v>30</v>
      </c>
      <c r="H241" s="393"/>
      <c r="I241" s="394"/>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70"/>
      <c r="E242" s="371"/>
      <c r="F242" s="372"/>
      <c r="G242" s="373" t="e">
        <f>ec!#REF!</f>
        <v>#REF!</v>
      </c>
      <c r="H242" s="374"/>
      <c r="I242" s="375"/>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82" t="e">
        <f>ec!#REF!</f>
        <v>#REF!</v>
      </c>
      <c r="E243" s="380"/>
      <c r="F243" s="381"/>
      <c r="G243" s="373"/>
      <c r="H243" s="374"/>
      <c r="I243" s="375"/>
      <c r="J243" s="14"/>
      <c r="K243" s="79"/>
      <c r="L243" s="77"/>
      <c r="M243" s="76"/>
      <c r="N243" s="76"/>
      <c r="O243" s="76"/>
      <c r="P243" s="76"/>
      <c r="Q243" s="76"/>
      <c r="R243" s="76"/>
      <c r="S243" s="76"/>
      <c r="T243" s="76"/>
      <c r="U243" s="76"/>
      <c r="V243" s="76"/>
    </row>
    <row r="244" spans="2:33" ht="25" outlineLevel="1" thickBot="1">
      <c r="C244" s="89" t="s">
        <v>21</v>
      </c>
      <c r="D244" s="382" t="e">
        <f>ec!#REF!</f>
        <v>#REF!</v>
      </c>
      <c r="E244" s="380"/>
      <c r="F244" s="381"/>
      <c r="G244" s="373"/>
      <c r="H244" s="374"/>
      <c r="I244" s="375"/>
      <c r="J244" s="14"/>
      <c r="K244" s="79"/>
      <c r="L244" s="77"/>
      <c r="M244" s="76"/>
      <c r="N244" s="76"/>
      <c r="O244" s="76"/>
      <c r="P244" s="76"/>
      <c r="Q244" s="76"/>
      <c r="R244" s="76"/>
      <c r="S244" s="76"/>
      <c r="T244" s="76"/>
      <c r="U244" s="76"/>
      <c r="V244" s="76"/>
    </row>
    <row r="245" spans="2:33" ht="25" outlineLevel="1" thickBot="1">
      <c r="C245" s="90" t="s">
        <v>23</v>
      </c>
      <c r="D245" s="383" t="e">
        <f>MOD(J245-TIME(5,30,0),1)</f>
        <v>#REF!</v>
      </c>
      <c r="E245" s="384"/>
      <c r="F245" s="385"/>
      <c r="G245" s="373"/>
      <c r="H245" s="374"/>
      <c r="I245" s="375"/>
      <c r="J245" s="15" t="e">
        <f>ec!#REF!</f>
        <v>#REF!</v>
      </c>
      <c r="K245" s="80" t="e">
        <f>MOD(J245-TIME(2,30,0),1)</f>
        <v>#REF!</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73"/>
      <c r="H246" s="374"/>
      <c r="I246" s="375"/>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781</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73"/>
      <c r="H247" s="374"/>
      <c r="I247" s="375"/>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738</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73"/>
      <c r="H248" s="374"/>
      <c r="I248" s="375"/>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770</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73"/>
      <c r="H249" s="374"/>
      <c r="I249" s="375"/>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73"/>
      <c r="H250" s="374"/>
      <c r="I250" s="375"/>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781</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73"/>
      <c r="H251" s="374"/>
      <c r="I251" s="375"/>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738</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76"/>
      <c r="H252" s="377"/>
      <c r="I252" s="378"/>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770</v>
      </c>
      <c r="AC252" s="330">
        <v>0.80208333333333337</v>
      </c>
      <c r="AD252" s="334">
        <v>53.7</v>
      </c>
      <c r="AE252" s="332">
        <v>52.3</v>
      </c>
      <c r="AF252" s="331">
        <v>50.8</v>
      </c>
      <c r="AG252" s="70"/>
    </row>
    <row r="253" spans="2:33" ht="25" customHeight="1" outlineLevel="1" collapsed="1" thickBot="1">
      <c r="B253">
        <v>1</v>
      </c>
      <c r="C253" s="91" t="s">
        <v>5</v>
      </c>
      <c r="D253" s="386" t="e">
        <f>ec!#REF!</f>
        <v>#REF!</v>
      </c>
      <c r="E253" s="387"/>
      <c r="F253" s="388"/>
      <c r="G253" s="392" t="s">
        <v>30</v>
      </c>
      <c r="H253" s="393"/>
      <c r="I253" s="394"/>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70"/>
      <c r="E254" s="371"/>
      <c r="F254" s="372"/>
      <c r="G254" s="373" t="e">
        <f>ec!#REF!</f>
        <v>#REF!</v>
      </c>
      <c r="H254" s="374"/>
      <c r="I254" s="375"/>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82" t="e">
        <f>ec!#REF!</f>
        <v>#REF!</v>
      </c>
      <c r="E255" s="380"/>
      <c r="F255" s="381"/>
      <c r="G255" s="373"/>
      <c r="H255" s="374"/>
      <c r="I255" s="375"/>
      <c r="J255" s="14"/>
      <c r="K255" s="79"/>
      <c r="L255" s="77"/>
      <c r="M255" s="76"/>
      <c r="N255" s="76"/>
      <c r="O255" s="76"/>
      <c r="P255" s="76"/>
      <c r="Q255" s="76"/>
      <c r="R255" s="76"/>
      <c r="S255" s="76"/>
      <c r="T255" s="76"/>
      <c r="U255" s="76"/>
      <c r="V255" s="76"/>
    </row>
    <row r="256" spans="2:33" ht="25" outlineLevel="1" thickBot="1">
      <c r="C256" s="89" t="s">
        <v>21</v>
      </c>
      <c r="D256" s="382" t="e">
        <f>ec!#REF!</f>
        <v>#REF!</v>
      </c>
      <c r="E256" s="380"/>
      <c r="F256" s="381"/>
      <c r="G256" s="373"/>
      <c r="H256" s="374"/>
      <c r="I256" s="375"/>
      <c r="J256" s="14"/>
      <c r="K256" s="79"/>
      <c r="L256" s="77"/>
      <c r="M256" s="76"/>
      <c r="N256" s="76"/>
      <c r="O256" s="76"/>
      <c r="P256" s="76"/>
      <c r="Q256" s="76"/>
      <c r="R256" s="76"/>
      <c r="S256" s="76"/>
      <c r="T256" s="76"/>
      <c r="U256" s="76"/>
      <c r="V256" s="76"/>
    </row>
    <row r="257" spans="2:33" ht="25" outlineLevel="1" thickBot="1">
      <c r="C257" s="90" t="s">
        <v>23</v>
      </c>
      <c r="D257" s="383" t="e">
        <f>MOD(J257-TIME(5,30,0),1)</f>
        <v>#REF!</v>
      </c>
      <c r="E257" s="384"/>
      <c r="F257" s="385"/>
      <c r="G257" s="373"/>
      <c r="H257" s="374"/>
      <c r="I257" s="375"/>
      <c r="J257" s="15" t="e">
        <f>ec!#REF!</f>
        <v>#REF!</v>
      </c>
      <c r="K257" s="80" t="e">
        <f>MOD(J257-TIME(2,30,0),1)</f>
        <v>#REF!</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73"/>
      <c r="H258" s="374"/>
      <c r="I258" s="375"/>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781</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73"/>
      <c r="H259" s="374"/>
      <c r="I259" s="375"/>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770</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73"/>
      <c r="H260" s="374"/>
      <c r="I260" s="375"/>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73"/>
      <c r="H261" s="374"/>
      <c r="I261" s="375"/>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73"/>
      <c r="H262" s="374"/>
      <c r="I262" s="375"/>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73"/>
      <c r="H263" s="374"/>
      <c r="I263" s="375"/>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76"/>
      <c r="H264" s="377"/>
      <c r="I264" s="378"/>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86" t="e">
        <f>ec!#REF!</f>
        <v>#REF!</v>
      </c>
      <c r="E265" s="387"/>
      <c r="F265" s="388"/>
      <c r="G265" s="392" t="s">
        <v>30</v>
      </c>
      <c r="H265" s="393"/>
      <c r="I265" s="394"/>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70"/>
      <c r="E266" s="371"/>
      <c r="F266" s="372"/>
      <c r="G266" s="373" t="e">
        <f>ec!#REF!</f>
        <v>#REF!</v>
      </c>
      <c r="H266" s="374"/>
      <c r="I266" s="375"/>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82" t="e">
        <f>ec!#REF!</f>
        <v>#REF!</v>
      </c>
      <c r="E267" s="380"/>
      <c r="F267" s="381"/>
      <c r="G267" s="373"/>
      <c r="H267" s="374"/>
      <c r="I267" s="375"/>
      <c r="J267" s="14"/>
      <c r="K267" s="79"/>
      <c r="L267" s="77"/>
      <c r="M267" s="76"/>
      <c r="N267" s="76"/>
      <c r="O267" s="76"/>
      <c r="P267" s="76"/>
      <c r="Q267" s="76"/>
      <c r="R267" s="76"/>
      <c r="S267" s="76"/>
      <c r="T267" s="76"/>
      <c r="U267" s="76"/>
      <c r="V267" s="76"/>
    </row>
    <row r="268" spans="2:33" ht="25" outlineLevel="1" thickBot="1">
      <c r="C268" s="89" t="s">
        <v>21</v>
      </c>
      <c r="D268" s="382" t="e">
        <f>ec!#REF!</f>
        <v>#REF!</v>
      </c>
      <c r="E268" s="380"/>
      <c r="F268" s="381"/>
      <c r="G268" s="373"/>
      <c r="H268" s="374"/>
      <c r="I268" s="375"/>
      <c r="J268" s="14"/>
      <c r="K268" s="79"/>
      <c r="L268" s="77"/>
      <c r="M268" s="76"/>
      <c r="N268" s="76"/>
      <c r="O268" s="76"/>
      <c r="P268" s="76"/>
      <c r="Q268" s="76"/>
      <c r="R268" s="76"/>
      <c r="S268" s="76"/>
      <c r="T268" s="76"/>
      <c r="U268" s="76"/>
      <c r="V268" s="76"/>
    </row>
    <row r="269" spans="2:33" ht="25" outlineLevel="1" thickBot="1">
      <c r="C269" s="90" t="s">
        <v>23</v>
      </c>
      <c r="D269" s="383" t="e">
        <f>MOD(J269-TIME(5,30,0),1)</f>
        <v>#REF!</v>
      </c>
      <c r="E269" s="384"/>
      <c r="F269" s="385"/>
      <c r="G269" s="373"/>
      <c r="H269" s="374"/>
      <c r="I269" s="375"/>
      <c r="J269" s="15" t="e">
        <f>ec!#REF!</f>
        <v>#REF!</v>
      </c>
      <c r="K269" s="80" t="e">
        <f>MOD(J269-TIME(2,30,0),1)</f>
        <v>#REF!</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73"/>
      <c r="H270" s="374"/>
      <c r="I270" s="375"/>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781</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73"/>
      <c r="H271" s="374"/>
      <c r="I271" s="375"/>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770</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73"/>
      <c r="H272" s="374"/>
      <c r="I272" s="375"/>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73"/>
      <c r="H273" s="374"/>
      <c r="I273" s="375"/>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73"/>
      <c r="H274" s="374"/>
      <c r="I274" s="375"/>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73"/>
      <c r="H275" s="374"/>
      <c r="I275" s="375"/>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76"/>
      <c r="H276" s="377"/>
      <c r="I276" s="378"/>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86" t="e">
        <f>ec!#REF!</f>
        <v>#REF!</v>
      </c>
      <c r="E277" s="387"/>
      <c r="F277" s="388"/>
      <c r="G277" s="392" t="s">
        <v>30</v>
      </c>
      <c r="H277" s="393"/>
      <c r="I277" s="394"/>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70"/>
      <c r="E278" s="371"/>
      <c r="F278" s="372"/>
      <c r="G278" s="373" t="e">
        <f>ec!#REF!</f>
        <v>#REF!</v>
      </c>
      <c r="H278" s="374"/>
      <c r="I278" s="375"/>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79"/>
      <c r="E279" s="380"/>
      <c r="F279" s="381"/>
      <c r="G279" s="373"/>
      <c r="H279" s="374"/>
      <c r="I279" s="375"/>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82" t="e">
        <f>ec!#REF!</f>
        <v>#REF!</v>
      </c>
      <c r="E280" s="380"/>
      <c r="F280" s="381"/>
      <c r="G280" s="373"/>
      <c r="H280" s="374"/>
      <c r="I280" s="375"/>
      <c r="J280" s="14"/>
      <c r="K280" s="79"/>
      <c r="L280" s="77"/>
      <c r="M280" s="76"/>
      <c r="N280" s="76"/>
      <c r="O280" s="76"/>
      <c r="P280" s="76"/>
      <c r="Q280" s="76"/>
      <c r="R280" s="76"/>
      <c r="S280" s="76"/>
      <c r="T280" s="76"/>
      <c r="U280" s="76"/>
      <c r="V280" s="76"/>
    </row>
    <row r="281" spans="2:33" ht="25" outlineLevel="1" thickBot="1">
      <c r="C281" s="90" t="s">
        <v>23</v>
      </c>
      <c r="D281" s="383" t="e">
        <f>MOD(J281-TIME(5,30,0),1)</f>
        <v>#REF!</v>
      </c>
      <c r="E281" s="384"/>
      <c r="F281" s="385"/>
      <c r="G281" s="373"/>
      <c r="H281" s="374"/>
      <c r="I281" s="375"/>
      <c r="J281" s="15" t="e">
        <f>ec!#REF!</f>
        <v>#REF!</v>
      </c>
      <c r="K281" s="80" t="e">
        <f>MOD(J281-TIME(2,30,0),1)</f>
        <v>#REF!</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73"/>
      <c r="H282" s="374"/>
      <c r="I282" s="375"/>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73"/>
      <c r="H283" s="374"/>
      <c r="I283" s="375"/>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73"/>
      <c r="H284" s="374"/>
      <c r="I284" s="375"/>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73"/>
      <c r="H285" s="374"/>
      <c r="I285" s="375"/>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73"/>
      <c r="H286" s="374"/>
      <c r="I286" s="375"/>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73"/>
      <c r="H287" s="374"/>
      <c r="I287" s="375"/>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76"/>
      <c r="H288" s="377"/>
      <c r="I288" s="378"/>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86" t="str">
        <f>ec!I15</f>
        <v>Fed Interest Rate Decision</v>
      </c>
      <c r="E289" s="387"/>
      <c r="F289" s="388"/>
      <c r="G289" s="392" t="s">
        <v>30</v>
      </c>
      <c r="H289" s="393"/>
      <c r="I289" s="394"/>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70"/>
      <c r="E290" s="371"/>
      <c r="F290" s="372"/>
      <c r="G290" s="373" t="str">
        <f>ec!M15</f>
        <v>[]</v>
      </c>
      <c r="H290" s="374"/>
      <c r="I290" s="375"/>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79"/>
      <c r="E291" s="380"/>
      <c r="F291" s="381"/>
      <c r="G291" s="373"/>
      <c r="H291" s="374"/>
      <c r="I291" s="375"/>
      <c r="J291" s="14"/>
      <c r="K291" s="79"/>
      <c r="L291" s="77"/>
      <c r="M291" s="76"/>
      <c r="N291" s="76"/>
      <c r="O291" s="76"/>
      <c r="P291" s="76"/>
      <c r="Q291" s="76"/>
      <c r="R291" s="76"/>
      <c r="S291" s="76"/>
      <c r="T291" s="76"/>
      <c r="U291" s="76"/>
      <c r="V291" s="76"/>
    </row>
    <row r="292" spans="2:33" ht="25" outlineLevel="1" thickBot="1">
      <c r="C292" s="89" t="s">
        <v>21</v>
      </c>
      <c r="D292" s="382">
        <f>ec!L26</f>
        <v>0</v>
      </c>
      <c r="E292" s="380"/>
      <c r="F292" s="381"/>
      <c r="G292" s="373"/>
      <c r="H292" s="374"/>
      <c r="I292" s="375"/>
      <c r="J292" s="14"/>
      <c r="K292" s="79"/>
      <c r="L292" s="77"/>
      <c r="M292" s="76"/>
      <c r="N292" s="76"/>
      <c r="O292" s="76"/>
      <c r="P292" s="76"/>
      <c r="Q292" s="76"/>
      <c r="R292" s="76"/>
      <c r="S292" s="76"/>
      <c r="T292" s="76"/>
      <c r="U292" s="76"/>
      <c r="V292" s="76"/>
    </row>
    <row r="293" spans="2:33" ht="25" outlineLevel="1" thickBot="1">
      <c r="C293" s="90" t="s">
        <v>23</v>
      </c>
      <c r="D293" s="383">
        <f>MOD(J293-TIME(5,30,0),1)</f>
        <v>0.75</v>
      </c>
      <c r="E293" s="384"/>
      <c r="F293" s="385"/>
      <c r="G293" s="373"/>
      <c r="H293" s="374"/>
      <c r="I293" s="375"/>
      <c r="J293" s="15">
        <f>ec!F15</f>
        <v>0.97916666666666663</v>
      </c>
      <c r="K293" s="80">
        <f>MOD(J293-TIME(2,30,0),1)</f>
        <v>0.875</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73"/>
      <c r="H294" s="374"/>
      <c r="I294" s="375"/>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73"/>
      <c r="H295" s="374"/>
      <c r="I295" s="375"/>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73"/>
      <c r="H296" s="374"/>
      <c r="I296" s="375"/>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73"/>
      <c r="H297" s="374"/>
      <c r="I297" s="375"/>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73"/>
      <c r="H298" s="374"/>
      <c r="I298" s="375"/>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73"/>
      <c r="H299" s="374"/>
      <c r="I299" s="375"/>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76"/>
      <c r="H300" s="377"/>
      <c r="I300" s="378"/>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12" t="str">
        <f>ec!I16</f>
        <v>USD - Initial Jobless Claims</v>
      </c>
      <c r="E301" s="413"/>
      <c r="F301" s="414"/>
      <c r="G301" s="396" t="s">
        <v>30</v>
      </c>
      <c r="H301" s="397"/>
      <c r="I301" s="398"/>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5"/>
      <c r="E302" s="416"/>
      <c r="F302" s="417"/>
      <c r="G302" s="418" t="str">
        <f>ec!M17</f>
        <v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v>
      </c>
      <c r="H302" s="419"/>
      <c r="I302" s="420"/>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24"/>
      <c r="E303" s="425"/>
      <c r="F303" s="426"/>
      <c r="G303" s="418"/>
      <c r="H303" s="419"/>
      <c r="I303" s="420"/>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36" t="str">
        <f>ec!L16</f>
        <v>240K</v>
      </c>
      <c r="E304" s="428"/>
      <c r="F304" s="429"/>
      <c r="G304" s="418"/>
      <c r="H304" s="419"/>
      <c r="I304" s="420"/>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30">
        <v>0.52083333333333337</v>
      </c>
      <c r="E305" s="431"/>
      <c r="F305" s="432"/>
      <c r="G305" s="418"/>
      <c r="H305" s="419"/>
      <c r="I305" s="420"/>
      <c r="J305" s="209">
        <f>ec!F17</f>
        <v>0.76041666666666663</v>
      </c>
      <c r="K305" s="210">
        <f>MOD(J305-TIME(2,30,0),1)</f>
        <v>0.65625</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8"/>
      <c r="H306" s="419"/>
      <c r="I306" s="420"/>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8"/>
      <c r="H307" s="419"/>
      <c r="I307" s="420"/>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8"/>
      <c r="H308" s="419"/>
      <c r="I308" s="420"/>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8"/>
      <c r="H309" s="419"/>
      <c r="I309" s="420"/>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8"/>
      <c r="H310" s="419"/>
      <c r="I310" s="420"/>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8"/>
      <c r="H311" s="419"/>
      <c r="I311" s="420"/>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21"/>
      <c r="H312" s="422"/>
      <c r="I312" s="423"/>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86" t="str">
        <f>ec!I17</f>
        <v>EUR - ECB Press Conference</v>
      </c>
      <c r="E313" s="387"/>
      <c r="F313" s="388"/>
      <c r="G313" s="392" t="s">
        <v>30</v>
      </c>
      <c r="H313" s="393"/>
      <c r="I313" s="394"/>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70"/>
      <c r="E314" s="371"/>
      <c r="F314" s="372"/>
      <c r="G314" s="373" t="str">
        <f>ec!M17</f>
        <v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v>
      </c>
      <c r="H314" s="374"/>
      <c r="I314" s="375"/>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79"/>
      <c r="E315" s="380"/>
      <c r="F315" s="381"/>
      <c r="G315" s="373"/>
      <c r="H315" s="374"/>
      <c r="I315" s="375"/>
      <c r="J315" s="14"/>
      <c r="K315" s="79"/>
      <c r="L315" s="77"/>
      <c r="M315" s="76"/>
      <c r="N315" s="76"/>
      <c r="O315" s="76"/>
      <c r="P315" s="76"/>
      <c r="Q315" s="76"/>
      <c r="R315" s="76"/>
      <c r="S315" s="76"/>
      <c r="T315" s="76"/>
      <c r="U315" s="76"/>
      <c r="V315" s="76"/>
    </row>
    <row r="316" spans="2:33" ht="25" outlineLevel="1" thickBot="1">
      <c r="C316" s="89" t="s">
        <v>21</v>
      </c>
      <c r="D316" s="382">
        <f>ec!L17</f>
        <v>0</v>
      </c>
      <c r="E316" s="380"/>
      <c r="F316" s="381"/>
      <c r="G316" s="373"/>
      <c r="H316" s="374"/>
      <c r="I316" s="375"/>
      <c r="J316" s="14"/>
      <c r="K316" s="79"/>
      <c r="L316" s="77"/>
      <c r="M316" s="76"/>
      <c r="N316" s="76"/>
      <c r="O316" s="76"/>
      <c r="P316" s="76"/>
      <c r="Q316" s="76"/>
      <c r="R316" s="76"/>
      <c r="S316" s="76"/>
      <c r="T316" s="76"/>
      <c r="U316" s="76"/>
      <c r="V316" s="76"/>
      <c r="AG316" s="69"/>
    </row>
    <row r="317" spans="2:33" ht="25" outlineLevel="1" thickBot="1">
      <c r="C317" s="90" t="s">
        <v>23</v>
      </c>
      <c r="D317" s="383">
        <v>0.52083333333333337</v>
      </c>
      <c r="E317" s="384"/>
      <c r="F317" s="385"/>
      <c r="G317" s="373"/>
      <c r="H317" s="374"/>
      <c r="I317" s="375"/>
      <c r="J317" s="15">
        <f>ec!F17</f>
        <v>0.76041666666666663</v>
      </c>
      <c r="K317" s="80">
        <f>MOD(J317-TIME(2,30,0),1)</f>
        <v>0.65625</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73"/>
      <c r="H318" s="374"/>
      <c r="I318" s="375"/>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73"/>
      <c r="H319" s="374"/>
      <c r="I319" s="375"/>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73"/>
      <c r="H320" s="374"/>
      <c r="I320" s="375"/>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73"/>
      <c r="H321" s="374"/>
      <c r="I321" s="375"/>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73"/>
      <c r="H322" s="374"/>
      <c r="I322" s="375"/>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73"/>
      <c r="H323" s="374"/>
      <c r="I323" s="375"/>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76"/>
      <c r="H324" s="377"/>
      <c r="I324" s="378"/>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86" t="str">
        <f>ec!I18</f>
        <v>South Korea - Memorial Day</v>
      </c>
      <c r="E325" s="387"/>
      <c r="F325" s="388"/>
      <c r="G325" s="392" t="s">
        <v>30</v>
      </c>
      <c r="H325" s="393"/>
      <c r="I325" s="394"/>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70"/>
      <c r="E326" s="371"/>
      <c r="F326" s="372"/>
      <c r="G326" s="373" t="str">
        <f>ec!M18</f>
        <v>[]
Learn More: Legacy Reference</v>
      </c>
      <c r="H326" s="374"/>
      <c r="I326" s="375"/>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89">
        <f>ec!K18</f>
        <v>0</v>
      </c>
      <c r="E327" s="390"/>
      <c r="F327" s="391"/>
      <c r="G327" s="373"/>
      <c r="H327" s="374"/>
      <c r="I327" s="375"/>
      <c r="J327" s="14"/>
      <c r="K327" s="79"/>
      <c r="L327" s="77"/>
      <c r="M327" s="76"/>
      <c r="N327" s="76"/>
      <c r="O327" s="76"/>
      <c r="P327" s="76"/>
      <c r="Q327" s="76"/>
      <c r="R327" s="76"/>
      <c r="S327" s="76"/>
      <c r="T327" s="76"/>
      <c r="U327" s="76"/>
      <c r="V327" s="76"/>
    </row>
    <row r="328" spans="2:33" ht="25" outlineLevel="1" thickBot="1">
      <c r="C328" s="89" t="s">
        <v>21</v>
      </c>
      <c r="D328" s="389">
        <f>ec!L18</f>
        <v>0</v>
      </c>
      <c r="E328" s="390"/>
      <c r="F328" s="391"/>
      <c r="G328" s="373"/>
      <c r="H328" s="374"/>
      <c r="I328" s="375"/>
      <c r="J328" s="14"/>
      <c r="K328" s="79"/>
      <c r="L328" s="77"/>
      <c r="M328" s="76"/>
      <c r="N328" s="76"/>
      <c r="O328" s="76"/>
      <c r="P328" s="76"/>
      <c r="Q328" s="76"/>
      <c r="R328" s="76"/>
      <c r="S328" s="76"/>
      <c r="T328" s="76"/>
      <c r="U328" s="76"/>
      <c r="V328" s="76"/>
      <c r="AG328" s="69"/>
    </row>
    <row r="329" spans="2:33" ht="25" outlineLevel="1" thickBot="1">
      <c r="C329" s="90" t="s">
        <v>23</v>
      </c>
      <c r="D329" s="383" t="e">
        <f>MOD(J329-TIME(5,30,0),1)</f>
        <v>#VALUE!</v>
      </c>
      <c r="E329" s="384"/>
      <c r="F329" s="385"/>
      <c r="G329" s="373"/>
      <c r="H329" s="374"/>
      <c r="I329" s="375"/>
      <c r="J329" s="15" t="str">
        <f>ec!F18</f>
        <v>All Day</v>
      </c>
      <c r="K329" s="80" t="e">
        <f>MOD(J329-TIME(2,30,0),1)</f>
        <v>#VALUE!</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73"/>
      <c r="H330" s="374"/>
      <c r="I330" s="375"/>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73"/>
      <c r="H331" s="374"/>
      <c r="I331" s="375"/>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73"/>
      <c r="H332" s="374"/>
      <c r="I332" s="375"/>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73"/>
      <c r="H333" s="374"/>
      <c r="I333" s="375"/>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73"/>
      <c r="H334" s="374"/>
      <c r="I334" s="375"/>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73"/>
      <c r="H335" s="374"/>
      <c r="I335" s="375"/>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76"/>
      <c r="H336" s="377"/>
      <c r="I336" s="378"/>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86" t="str">
        <f>ec!I19</f>
        <v>Singapore - Eid al-Adha</v>
      </c>
      <c r="E337" s="387"/>
      <c r="F337" s="388"/>
      <c r="G337" s="392" t="s">
        <v>30</v>
      </c>
      <c r="H337" s="393"/>
      <c r="I337" s="394"/>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70"/>
      <c r="E338" s="371"/>
      <c r="F338" s="372"/>
      <c r="G338" s="373" t="str">
        <f>ec!M19</f>
        <v>[]
Learn More: Legacy Reference</v>
      </c>
      <c r="H338" s="374"/>
      <c r="I338" s="375"/>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79">
        <f>ec!K19</f>
        <v>0</v>
      </c>
      <c r="E339" s="380"/>
      <c r="F339" s="381"/>
      <c r="G339" s="373"/>
      <c r="H339" s="374"/>
      <c r="I339" s="375"/>
      <c r="J339" s="14"/>
      <c r="K339" s="79"/>
      <c r="L339" s="77"/>
      <c r="M339" s="76"/>
      <c r="N339" s="76"/>
      <c r="O339" s="76"/>
      <c r="P339" s="76"/>
      <c r="Q339" s="76"/>
      <c r="R339" s="76"/>
      <c r="S339" s="76"/>
      <c r="T339" s="76"/>
      <c r="U339" s="76"/>
      <c r="V339" s="76"/>
    </row>
    <row r="340" spans="2:33" ht="25" outlineLevel="1" thickBot="1">
      <c r="C340" s="89" t="s">
        <v>21</v>
      </c>
      <c r="D340" s="382">
        <f>ec!L19</f>
        <v>0</v>
      </c>
      <c r="E340" s="380"/>
      <c r="F340" s="381"/>
      <c r="G340" s="373"/>
      <c r="H340" s="374"/>
      <c r="I340" s="375"/>
      <c r="J340" s="14"/>
      <c r="K340" s="79"/>
      <c r="L340" s="77"/>
      <c r="M340" s="76"/>
      <c r="N340" s="76"/>
      <c r="O340" s="76"/>
      <c r="P340" s="76"/>
      <c r="Q340" s="76"/>
      <c r="R340" s="76"/>
      <c r="S340" s="76"/>
      <c r="T340" s="76"/>
      <c r="U340" s="76"/>
      <c r="V340" s="76"/>
      <c r="AG340" s="69"/>
    </row>
    <row r="341" spans="2:33" ht="25" outlineLevel="1" thickBot="1">
      <c r="C341" s="90" t="s">
        <v>23</v>
      </c>
      <c r="D341" s="383" t="e">
        <f>MOD(J341-TIME(5,30,0),1)</f>
        <v>#VALUE!</v>
      </c>
      <c r="E341" s="384"/>
      <c r="F341" s="385"/>
      <c r="G341" s="373"/>
      <c r="H341" s="374"/>
      <c r="I341" s="375"/>
      <c r="J341" s="15" t="str">
        <f>ec!F19</f>
        <v>All Day</v>
      </c>
      <c r="K341" s="80" t="e">
        <f>MOD(J341-TIME(2,30,0),1)</f>
        <v>#VALUE!</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73"/>
      <c r="H342" s="374"/>
      <c r="I342" s="375"/>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73"/>
      <c r="H343" s="374"/>
      <c r="I343" s="375"/>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73"/>
      <c r="H344" s="374"/>
      <c r="I344" s="375"/>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73"/>
      <c r="H345" s="374"/>
      <c r="I345" s="375"/>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73"/>
      <c r="H346" s="374"/>
      <c r="I346" s="375"/>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73"/>
      <c r="H347" s="374"/>
      <c r="I347" s="375"/>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76"/>
      <c r="H348" s="377"/>
      <c r="I348" s="378"/>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86" t="str">
        <f>ec!I20</f>
        <v>USD - Average Hourly Earnings (MoM) (May)</v>
      </c>
      <c r="E349" s="387"/>
      <c r="F349" s="388"/>
      <c r="G349" s="392" t="s">
        <v>30</v>
      </c>
      <c r="H349" s="393"/>
      <c r="I349" s="394"/>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70"/>
      <c r="E350" s="371"/>
      <c r="F350" s="372"/>
      <c r="G350" s="373" t="str">
        <f>ec!M20</f>
        <v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v>
      </c>
      <c r="H350" s="374"/>
      <c r="I350" s="375"/>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79">
        <f>ec!K20</f>
        <v>3.0000000000000001E-3</v>
      </c>
      <c r="E351" s="380"/>
      <c r="F351" s="381"/>
      <c r="G351" s="373"/>
      <c r="H351" s="374"/>
      <c r="I351" s="375"/>
      <c r="J351" s="14"/>
      <c r="K351" s="79"/>
      <c r="L351" s="77"/>
      <c r="M351" s="76"/>
      <c r="N351" s="76"/>
      <c r="O351" s="76"/>
      <c r="P351" s="76"/>
      <c r="Q351" s="76"/>
      <c r="R351" s="76"/>
      <c r="S351" s="76"/>
      <c r="T351" s="76"/>
      <c r="U351" s="76"/>
      <c r="V351" s="76"/>
    </row>
    <row r="352" spans="2:33" ht="25" outlineLevel="1" thickBot="1">
      <c r="C352" s="89" t="s">
        <v>21</v>
      </c>
      <c r="D352" s="389">
        <f>ec!L20</f>
        <v>2E-3</v>
      </c>
      <c r="E352" s="390"/>
      <c r="F352" s="391"/>
      <c r="G352" s="373"/>
      <c r="H352" s="374"/>
      <c r="I352" s="375"/>
      <c r="J352" s="14"/>
      <c r="K352" s="79"/>
      <c r="L352" s="77"/>
      <c r="M352" s="76"/>
      <c r="N352" s="76"/>
      <c r="O352" s="76"/>
      <c r="P352" s="76"/>
      <c r="Q352" s="76"/>
      <c r="R352" s="76"/>
      <c r="S352" s="76"/>
      <c r="T352" s="76"/>
      <c r="U352" s="76"/>
      <c r="V352" s="76"/>
      <c r="AG352" s="69"/>
    </row>
    <row r="353" spans="2:33" ht="25" outlineLevel="1" thickBot="1">
      <c r="C353" s="90" t="s">
        <v>23</v>
      </c>
      <c r="D353" s="383">
        <f>MOD(J353-TIME(5,30,0),1)</f>
        <v>0.52083333333333337</v>
      </c>
      <c r="E353" s="384"/>
      <c r="F353" s="385"/>
      <c r="G353" s="373"/>
      <c r="H353" s="374"/>
      <c r="I353" s="375"/>
      <c r="J353" s="15">
        <f>ec!F20</f>
        <v>0.75</v>
      </c>
      <c r="K353" s="80">
        <f>MOD(J353-TIME(2,30,0),1)</f>
        <v>0.64583333333333337</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73"/>
      <c r="H354" s="374"/>
      <c r="I354" s="375"/>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73"/>
      <c r="H355" s="374"/>
      <c r="I355" s="375"/>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73"/>
      <c r="H356" s="374"/>
      <c r="I356" s="375"/>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73"/>
      <c r="H357" s="374"/>
      <c r="I357" s="375"/>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73"/>
      <c r="H358" s="374"/>
      <c r="I358" s="375"/>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73"/>
      <c r="H359" s="374"/>
      <c r="I359" s="375"/>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76"/>
      <c r="H360" s="377"/>
      <c r="I360" s="378"/>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12" t="str">
        <f>ec!I21</f>
        <v>USD - Nonfarm Payrolls (May)</v>
      </c>
      <c r="E361" s="413"/>
      <c r="F361" s="414"/>
      <c r="G361" s="396" t="s">
        <v>30</v>
      </c>
      <c r="H361" s="397"/>
      <c r="I361" s="398"/>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5"/>
      <c r="E362" s="416"/>
      <c r="F362" s="417"/>
      <c r="G362" s="418" t="str">
        <f>ec!M21</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v>
      </c>
      <c r="H362" s="419"/>
      <c r="I362" s="420"/>
      <c r="J362" s="205"/>
      <c r="K362" s="206"/>
      <c r="L362" s="77"/>
      <c r="M362" s="76"/>
      <c r="N362" s="76"/>
      <c r="O362" s="76"/>
      <c r="P362" s="76"/>
      <c r="Q362" s="76"/>
      <c r="R362" s="76"/>
      <c r="S362" s="76"/>
      <c r="T362" s="76"/>
      <c r="U362" s="76"/>
      <c r="V362" s="76"/>
    </row>
    <row r="363" spans="2:33" ht="24" outlineLevel="1">
      <c r="C363" s="207" t="s">
        <v>20</v>
      </c>
      <c r="D363" s="424"/>
      <c r="E363" s="425"/>
      <c r="F363" s="426"/>
      <c r="G363" s="418"/>
      <c r="H363" s="419"/>
      <c r="I363" s="420"/>
      <c r="J363" s="205"/>
      <c r="K363" s="206"/>
      <c r="L363" s="77"/>
      <c r="M363" s="76"/>
      <c r="N363" s="76"/>
      <c r="O363" s="76"/>
      <c r="P363" s="76"/>
      <c r="Q363" s="76"/>
      <c r="R363" s="76"/>
      <c r="S363" s="76"/>
      <c r="T363" s="76"/>
      <c r="U363" s="76"/>
      <c r="V363" s="76"/>
    </row>
    <row r="364" spans="2:33" ht="25" outlineLevel="1" thickBot="1">
      <c r="C364" s="207" t="s">
        <v>21</v>
      </c>
      <c r="D364" s="433"/>
      <c r="E364" s="434"/>
      <c r="F364" s="435"/>
      <c r="G364" s="418"/>
      <c r="H364" s="419"/>
      <c r="I364" s="420"/>
      <c r="J364" s="205"/>
      <c r="K364" s="206"/>
      <c r="L364" s="77"/>
      <c r="M364" s="76"/>
      <c r="N364" s="76"/>
      <c r="O364" s="76"/>
      <c r="P364" s="76"/>
      <c r="Q364" s="76"/>
      <c r="R364" s="76"/>
      <c r="S364" s="76"/>
      <c r="T364" s="76"/>
      <c r="U364" s="76"/>
      <c r="V364" s="76"/>
    </row>
    <row r="365" spans="2:33" ht="25" outlineLevel="1" thickBot="1">
      <c r="C365" s="208" t="s">
        <v>23</v>
      </c>
      <c r="D365" s="430">
        <f>MOD(J365-TIME(5,30,0),1)</f>
        <v>0.52083333333333337</v>
      </c>
      <c r="E365" s="431"/>
      <c r="F365" s="432"/>
      <c r="G365" s="418"/>
      <c r="H365" s="419"/>
      <c r="I365" s="420"/>
      <c r="J365" s="209">
        <f>ec!F21</f>
        <v>0.75</v>
      </c>
      <c r="K365" s="210">
        <f>MOD(J365-TIME(2,30,0),1)</f>
        <v>0.64583333333333337</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8"/>
      <c r="H366" s="419"/>
      <c r="I366" s="420"/>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8"/>
      <c r="H367" s="419"/>
      <c r="I367" s="420"/>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8"/>
      <c r="H368" s="419"/>
      <c r="I368" s="420"/>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8"/>
      <c r="H369" s="419"/>
      <c r="I369" s="420"/>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8"/>
      <c r="H370" s="419"/>
      <c r="I370" s="420"/>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8"/>
      <c r="H371" s="419"/>
      <c r="I371" s="420"/>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21"/>
      <c r="H372" s="422"/>
      <c r="I372" s="423"/>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12" t="str">
        <f>ec!I22</f>
        <v>USD - Unemployment Rate (May)</v>
      </c>
      <c r="E373" s="413"/>
      <c r="F373" s="414"/>
      <c r="G373" s="396" t="s">
        <v>30</v>
      </c>
      <c r="H373" s="397"/>
      <c r="I373" s="398"/>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5"/>
      <c r="E374" s="416"/>
      <c r="F374" s="417"/>
      <c r="G374" s="418" t="str">
        <f>ec!M22</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v>
      </c>
      <c r="H374" s="419"/>
      <c r="I374" s="420"/>
      <c r="J374" s="205"/>
      <c r="K374" s="206"/>
      <c r="L374" s="77"/>
      <c r="M374" s="76"/>
      <c r="N374" s="76"/>
      <c r="O374" s="76"/>
      <c r="P374" s="76"/>
      <c r="Q374" s="76"/>
      <c r="R374" s="76"/>
      <c r="S374" s="76"/>
      <c r="T374" s="76"/>
      <c r="U374" s="76"/>
      <c r="V374" s="76"/>
    </row>
    <row r="375" spans="2:33" ht="24" outlineLevel="1">
      <c r="C375" s="207" t="s">
        <v>20</v>
      </c>
      <c r="D375" s="424"/>
      <c r="E375" s="425"/>
      <c r="F375" s="426"/>
      <c r="G375" s="418"/>
      <c r="H375" s="419"/>
      <c r="I375" s="420"/>
      <c r="J375" s="205"/>
      <c r="K375" s="206"/>
      <c r="L375" s="77"/>
      <c r="M375" s="76"/>
      <c r="N375" s="76"/>
      <c r="O375" s="76"/>
      <c r="P375" s="76"/>
      <c r="Q375" s="76"/>
      <c r="R375" s="76"/>
      <c r="S375" s="76"/>
      <c r="T375" s="76"/>
      <c r="U375" s="76"/>
      <c r="V375" s="76"/>
    </row>
    <row r="376" spans="2:33" ht="25" outlineLevel="1" thickBot="1">
      <c r="C376" s="207" t="s">
        <v>21</v>
      </c>
      <c r="D376" s="433">
        <f>ec!L22</f>
        <v>4.2000000000000003E-2</v>
      </c>
      <c r="E376" s="434"/>
      <c r="F376" s="435"/>
      <c r="G376" s="418"/>
      <c r="H376" s="419"/>
      <c r="I376" s="420"/>
      <c r="J376" s="205"/>
      <c r="K376" s="206"/>
      <c r="L376" s="77"/>
      <c r="M376" s="76"/>
      <c r="N376" s="76"/>
      <c r="O376" s="76"/>
      <c r="P376" s="76"/>
      <c r="Q376" s="76"/>
      <c r="R376" s="76"/>
      <c r="S376" s="76"/>
      <c r="T376" s="76"/>
      <c r="U376" s="76"/>
      <c r="V376" s="76"/>
    </row>
    <row r="377" spans="2:33" ht="25" outlineLevel="1" thickBot="1">
      <c r="C377" s="208" t="s">
        <v>23</v>
      </c>
      <c r="D377" s="430">
        <f>MOD(J377-TIME(5,30,0),1)</f>
        <v>0.52083333333333337</v>
      </c>
      <c r="E377" s="431"/>
      <c r="F377" s="432"/>
      <c r="G377" s="418"/>
      <c r="H377" s="419"/>
      <c r="I377" s="420"/>
      <c r="J377" s="209">
        <f>ec!F22</f>
        <v>0.75</v>
      </c>
      <c r="K377" s="210">
        <f>MOD(J377-TIME(2,30,0),1)</f>
        <v>0.64583333333333337</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8"/>
      <c r="H378" s="419"/>
      <c r="I378" s="420"/>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8"/>
      <c r="H379" s="419"/>
      <c r="I379" s="420"/>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8"/>
      <c r="H380" s="419"/>
      <c r="I380" s="420"/>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8"/>
      <c r="H381" s="419"/>
      <c r="I381" s="420"/>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8"/>
      <c r="H382" s="419"/>
      <c r="I382" s="420"/>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8"/>
      <c r="H383" s="419"/>
      <c r="I383" s="420"/>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21"/>
      <c r="H384" s="422"/>
      <c r="I384" s="423"/>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12" t="str">
        <f>ec!I23</f>
        <v>USD - Fed Chair Powell Speaks</v>
      </c>
      <c r="E385" s="413"/>
      <c r="F385" s="414"/>
      <c r="G385" s="396" t="s">
        <v>30</v>
      </c>
      <c r="H385" s="397"/>
      <c r="I385" s="398"/>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5"/>
      <c r="E386" s="416"/>
      <c r="F386" s="417"/>
      <c r="G386" s="418" t="str">
        <f>ec!M23</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386" s="419"/>
      <c r="I386" s="420"/>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24">
        <f>ec!K23</f>
        <v>0</v>
      </c>
      <c r="E387" s="425"/>
      <c r="F387" s="426"/>
      <c r="G387" s="418"/>
      <c r="H387" s="419"/>
      <c r="I387" s="420"/>
      <c r="J387" s="205"/>
      <c r="K387" s="206"/>
      <c r="L387" s="197"/>
      <c r="M387" s="198"/>
      <c r="N387" s="198"/>
      <c r="O387" s="198"/>
      <c r="P387" s="198"/>
      <c r="Q387" s="198"/>
      <c r="R387" s="198"/>
      <c r="S387" s="198"/>
      <c r="T387" s="198"/>
      <c r="U387" s="198"/>
      <c r="V387" s="198"/>
    </row>
    <row r="388" spans="2:33" s="193" customFormat="1" ht="25" outlineLevel="1" thickBot="1">
      <c r="C388" s="207" t="s">
        <v>21</v>
      </c>
      <c r="D388" s="436">
        <f>ec!L23</f>
        <v>0</v>
      </c>
      <c r="E388" s="428"/>
      <c r="F388" s="429"/>
      <c r="G388" s="418"/>
      <c r="H388" s="419"/>
      <c r="I388" s="420"/>
      <c r="J388" s="205"/>
      <c r="K388" s="206"/>
      <c r="L388" s="197"/>
      <c r="M388" s="198"/>
      <c r="N388" s="198"/>
      <c r="O388" s="198"/>
      <c r="P388" s="198"/>
      <c r="Q388" s="198"/>
      <c r="R388" s="198"/>
      <c r="S388" s="198"/>
      <c r="T388" s="198"/>
      <c r="U388" s="198"/>
      <c r="V388" s="198"/>
    </row>
    <row r="389" spans="2:33" s="193" customFormat="1" ht="25" outlineLevel="1" thickBot="1">
      <c r="C389" s="208" t="s">
        <v>23</v>
      </c>
      <c r="D389" s="430">
        <f>MOD(J389-TIME(5,30,0),1)</f>
        <v>0.52777777777777779</v>
      </c>
      <c r="E389" s="431"/>
      <c r="F389" s="432"/>
      <c r="G389" s="418"/>
      <c r="H389" s="419"/>
      <c r="I389" s="420"/>
      <c r="J389" s="209">
        <f>ec!F23</f>
        <v>0.75694444444444442</v>
      </c>
      <c r="K389" s="210">
        <f>MOD(J389-TIME(2,30,0),1)</f>
        <v>0.65277777777777779</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8"/>
      <c r="H390" s="419"/>
      <c r="I390" s="420"/>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8"/>
      <c r="H391" s="419"/>
      <c r="I391" s="420"/>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8"/>
      <c r="H392" s="419"/>
      <c r="I392" s="420"/>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8"/>
      <c r="H393" s="419"/>
      <c r="I393" s="420"/>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8"/>
      <c r="H394" s="419"/>
      <c r="I394" s="420"/>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8"/>
      <c r="H395" s="419"/>
      <c r="I395" s="420"/>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21"/>
      <c r="H396" s="422"/>
      <c r="I396" s="423"/>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12" t="str">
        <f>ec!I24</f>
        <v>JPY - GDP (QoQ) (Q1) P</v>
      </c>
      <c r="E397" s="413"/>
      <c r="F397" s="414"/>
      <c r="G397" s="396" t="s">
        <v>30</v>
      </c>
      <c r="H397" s="397"/>
      <c r="I397" s="398"/>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5"/>
      <c r="E398" s="416"/>
      <c r="F398" s="417"/>
      <c r="G398" s="418" t="str">
        <f>ec!M24</f>
        <v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v>
      </c>
      <c r="H398" s="419"/>
      <c r="I398" s="420"/>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24"/>
      <c r="E399" s="425"/>
      <c r="F399" s="426"/>
      <c r="G399" s="418"/>
      <c r="H399" s="419"/>
      <c r="I399" s="420"/>
      <c r="J399" s="205"/>
      <c r="K399" s="206"/>
      <c r="L399" s="77"/>
      <c r="M399" s="76"/>
      <c r="N399" s="76"/>
      <c r="O399" s="76"/>
      <c r="P399" s="76"/>
      <c r="Q399" s="76"/>
      <c r="R399" s="76"/>
      <c r="S399" s="76"/>
      <c r="T399" s="76"/>
      <c r="U399" s="76"/>
      <c r="V399" s="76"/>
    </row>
    <row r="400" spans="2:33" ht="25" outlineLevel="1" thickBot="1">
      <c r="C400" s="207" t="s">
        <v>21</v>
      </c>
      <c r="D400" s="436"/>
      <c r="E400" s="428"/>
      <c r="F400" s="429"/>
      <c r="G400" s="418"/>
      <c r="H400" s="419"/>
      <c r="I400" s="420"/>
      <c r="J400" s="205"/>
      <c r="K400" s="206"/>
      <c r="L400" s="77"/>
      <c r="M400" s="76"/>
      <c r="N400" s="76"/>
      <c r="O400" s="76"/>
      <c r="P400" s="76"/>
      <c r="Q400" s="76"/>
      <c r="R400" s="76"/>
      <c r="S400" s="76"/>
      <c r="T400" s="76"/>
      <c r="U400" s="76"/>
      <c r="V400" s="76"/>
    </row>
    <row r="401" spans="2:33" ht="25" outlineLevel="1" thickBot="1">
      <c r="C401" s="208" t="s">
        <v>23</v>
      </c>
      <c r="D401" s="430">
        <f>MOD(J401-TIME(5,30,0),1)</f>
        <v>0.99305555555555558</v>
      </c>
      <c r="E401" s="431"/>
      <c r="F401" s="432"/>
      <c r="G401" s="418"/>
      <c r="H401" s="419"/>
      <c r="I401" s="420"/>
      <c r="J401" s="209">
        <f>ec!F24</f>
        <v>0.22222222222222221</v>
      </c>
      <c r="K401" s="210">
        <f>MOD(J401-TIME(2,30,0),1)</f>
        <v>0.11805555555555554</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8"/>
      <c r="H402" s="419"/>
      <c r="I402" s="420"/>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8"/>
      <c r="H403" s="419"/>
      <c r="I403" s="420"/>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8"/>
      <c r="H404" s="419"/>
      <c r="I404" s="420"/>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8"/>
      <c r="H405" s="419"/>
      <c r="I405" s="420"/>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8"/>
      <c r="H406" s="419"/>
      <c r="I406" s="420"/>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8"/>
      <c r="H407" s="419"/>
      <c r="I407" s="420"/>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21"/>
      <c r="H408" s="422"/>
      <c r="I408" s="423"/>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12">
        <f>ec!I25</f>
        <v>0</v>
      </c>
      <c r="E409" s="413"/>
      <c r="F409" s="414"/>
      <c r="G409" s="396" t="s">
        <v>30</v>
      </c>
      <c r="H409" s="397"/>
      <c r="I409" s="398"/>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5"/>
      <c r="E410" s="416"/>
      <c r="F410" s="417"/>
      <c r="G410" s="418">
        <f>ec!M25</f>
        <v>0</v>
      </c>
      <c r="H410" s="419"/>
      <c r="I410" s="420"/>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36"/>
      <c r="E411" s="428"/>
      <c r="F411" s="429"/>
      <c r="G411" s="418"/>
      <c r="H411" s="419"/>
      <c r="I411" s="420"/>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36">
        <f>ec!L25</f>
        <v>0</v>
      </c>
      <c r="E412" s="428"/>
      <c r="F412" s="429"/>
      <c r="G412" s="418"/>
      <c r="H412" s="419"/>
      <c r="I412" s="420"/>
      <c r="J412" s="205"/>
      <c r="K412" s="206"/>
      <c r="L412" s="77"/>
      <c r="M412" s="76"/>
      <c r="N412" s="76"/>
      <c r="O412" s="76"/>
      <c r="P412" s="76"/>
      <c r="Q412" s="76"/>
      <c r="R412" s="76"/>
      <c r="S412" s="76"/>
      <c r="T412" s="76"/>
      <c r="U412" s="76"/>
      <c r="V412" s="76"/>
    </row>
    <row r="413" spans="2:33" ht="25" outlineLevel="1" thickBot="1">
      <c r="C413" s="208" t="s">
        <v>23</v>
      </c>
      <c r="D413" s="430">
        <f>J413-TIME(5,30,0)</f>
        <v>-0.22916666666666666</v>
      </c>
      <c r="E413" s="431"/>
      <c r="F413" s="432"/>
      <c r="G413" s="418"/>
      <c r="H413" s="419"/>
      <c r="I413" s="420"/>
      <c r="J413" s="209">
        <f>ec!F25</f>
        <v>0</v>
      </c>
      <c r="K413" s="210">
        <f>MOD(J413-TIME(2,30,0),1)</f>
        <v>0.89583333333333337</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8"/>
      <c r="H414" s="419"/>
      <c r="I414" s="420"/>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8"/>
      <c r="H415" s="419"/>
      <c r="I415" s="420"/>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8"/>
      <c r="H416" s="419"/>
      <c r="I416" s="420"/>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8"/>
      <c r="H417" s="419"/>
      <c r="I417" s="420"/>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8"/>
      <c r="H418" s="419"/>
      <c r="I418" s="420"/>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8"/>
      <c r="H419" s="419"/>
      <c r="I419" s="420"/>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21"/>
      <c r="H420" s="422"/>
      <c r="I420" s="423"/>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12">
        <f>ec!I26</f>
        <v>0</v>
      </c>
      <c r="E421" s="413"/>
      <c r="F421" s="414"/>
      <c r="G421" s="396" t="s">
        <v>30</v>
      </c>
      <c r="H421" s="397"/>
      <c r="I421" s="398"/>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5"/>
      <c r="E422" s="416"/>
      <c r="F422" s="417"/>
      <c r="G422" s="418">
        <f>ec!M26</f>
        <v>0</v>
      </c>
      <c r="H422" s="419"/>
      <c r="I422" s="420"/>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36"/>
      <c r="E423" s="428"/>
      <c r="F423" s="429"/>
      <c r="G423" s="418"/>
      <c r="H423" s="419"/>
      <c r="I423" s="420"/>
      <c r="J423" s="205"/>
      <c r="K423" s="206"/>
      <c r="L423" s="197"/>
      <c r="M423" s="198"/>
      <c r="N423" s="198"/>
      <c r="O423" s="198"/>
      <c r="P423" s="198"/>
      <c r="Q423" s="198"/>
      <c r="R423" s="198"/>
      <c r="S423" s="198"/>
      <c r="T423" s="198"/>
      <c r="U423" s="198"/>
      <c r="V423" s="198"/>
    </row>
    <row r="424" spans="2:33" s="193" customFormat="1" ht="25" outlineLevel="1" thickBot="1">
      <c r="C424" s="207" t="s">
        <v>21</v>
      </c>
      <c r="D424" s="436"/>
      <c r="E424" s="428"/>
      <c r="F424" s="429"/>
      <c r="G424" s="418"/>
      <c r="H424" s="419"/>
      <c r="I424" s="420"/>
      <c r="J424" s="205"/>
      <c r="K424" s="206"/>
      <c r="L424" s="197"/>
      <c r="M424" s="198"/>
      <c r="N424" s="198"/>
      <c r="O424" s="198"/>
      <c r="P424" s="198"/>
      <c r="Q424" s="198"/>
      <c r="R424" s="198"/>
      <c r="S424" s="198"/>
      <c r="T424" s="198"/>
      <c r="U424" s="198"/>
      <c r="V424" s="198"/>
    </row>
    <row r="425" spans="2:33" s="193" customFormat="1" ht="25" outlineLevel="1" thickBot="1">
      <c r="C425" s="208" t="s">
        <v>23</v>
      </c>
      <c r="D425" s="430">
        <f>J425-TIME(5,30,0)</f>
        <v>-0.22916666666666666</v>
      </c>
      <c r="E425" s="431"/>
      <c r="F425" s="432"/>
      <c r="G425" s="418"/>
      <c r="H425" s="419"/>
      <c r="I425" s="420"/>
      <c r="J425" s="209">
        <f>ec!F26</f>
        <v>0</v>
      </c>
      <c r="K425" s="210">
        <f>MOD(J425-TIME(2,30,0),1)</f>
        <v>0.89583333333333337</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8"/>
      <c r="H426" s="419"/>
      <c r="I426" s="420"/>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8"/>
      <c r="H427" s="419"/>
      <c r="I427" s="420"/>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8"/>
      <c r="H428" s="419"/>
      <c r="I428" s="420"/>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8"/>
      <c r="H429" s="419"/>
      <c r="I429" s="420"/>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8"/>
      <c r="H430" s="419"/>
      <c r="I430" s="420"/>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8"/>
      <c r="H431" s="419"/>
      <c r="I431" s="420"/>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21"/>
      <c r="H432" s="422"/>
      <c r="I432" s="423"/>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12">
        <f>ec!I27</f>
        <v>0</v>
      </c>
      <c r="E433" s="413"/>
      <c r="F433" s="414"/>
      <c r="G433" s="396" t="s">
        <v>30</v>
      </c>
      <c r="H433" s="397"/>
      <c r="I433" s="398"/>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5"/>
      <c r="E434" s="416"/>
      <c r="F434" s="417"/>
      <c r="G434" s="418">
        <f>ec!M27</f>
        <v>0</v>
      </c>
      <c r="H434" s="419"/>
      <c r="I434" s="420"/>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36"/>
      <c r="E435" s="428"/>
      <c r="F435" s="429"/>
      <c r="G435" s="418"/>
      <c r="H435" s="419"/>
      <c r="I435" s="420"/>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33">
        <f>ec!L27</f>
        <v>0</v>
      </c>
      <c r="E436" s="434"/>
      <c r="F436" s="435"/>
      <c r="G436" s="418"/>
      <c r="H436" s="419"/>
      <c r="I436" s="420"/>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30">
        <f>J437-TIME(5,30,0)</f>
        <v>-0.22916666666666666</v>
      </c>
      <c r="E437" s="431"/>
      <c r="F437" s="432"/>
      <c r="G437" s="418"/>
      <c r="H437" s="419"/>
      <c r="I437" s="420"/>
      <c r="J437" s="209">
        <f>ec!F27</f>
        <v>0</v>
      </c>
      <c r="K437" s="210">
        <f>MOD(J437-TIME(2,30,0),1)</f>
        <v>0.89583333333333337</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8"/>
      <c r="H438" s="419"/>
      <c r="I438" s="420"/>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8"/>
      <c r="H439" s="419"/>
      <c r="I439" s="420"/>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8"/>
      <c r="H440" s="419"/>
      <c r="I440" s="420"/>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8"/>
      <c r="H441" s="419"/>
      <c r="I441" s="420"/>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8"/>
      <c r="H442" s="419"/>
      <c r="I442" s="420"/>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8"/>
      <c r="H443" s="419"/>
      <c r="I443" s="420"/>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21"/>
      <c r="H444" s="422"/>
      <c r="I444" s="423"/>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12">
        <f>ec!I28</f>
        <v>0</v>
      </c>
      <c r="E445" s="413"/>
      <c r="F445" s="414"/>
      <c r="G445" s="396" t="s">
        <v>30</v>
      </c>
      <c r="H445" s="397"/>
      <c r="I445" s="398"/>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5"/>
      <c r="E446" s="416"/>
      <c r="F446" s="417"/>
      <c r="G446" s="418">
        <f>ec!M28</f>
        <v>0</v>
      </c>
      <c r="H446" s="419"/>
      <c r="I446" s="420"/>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36"/>
      <c r="E447" s="428"/>
      <c r="F447" s="429"/>
      <c r="G447" s="418"/>
      <c r="H447" s="419"/>
      <c r="I447" s="420"/>
      <c r="J447" s="205"/>
      <c r="K447" s="206"/>
      <c r="L447" s="77"/>
      <c r="M447" s="76"/>
      <c r="N447" s="76"/>
      <c r="O447" s="76"/>
      <c r="P447" s="76"/>
      <c r="Q447" s="76"/>
      <c r="R447" s="76"/>
      <c r="S447" s="76"/>
      <c r="T447" s="76"/>
      <c r="U447" s="76"/>
      <c r="V447" s="76"/>
    </row>
    <row r="448" spans="2:33" ht="25" outlineLevel="1" thickBot="1">
      <c r="C448" s="207" t="s">
        <v>21</v>
      </c>
      <c r="D448" s="427">
        <f>ec!L28</f>
        <v>0</v>
      </c>
      <c r="E448" s="428"/>
      <c r="F448" s="429"/>
      <c r="G448" s="418"/>
      <c r="H448" s="419"/>
      <c r="I448" s="420"/>
      <c r="J448" s="205"/>
      <c r="K448" s="206"/>
      <c r="L448" s="77"/>
      <c r="M448" s="76"/>
      <c r="N448" s="76"/>
      <c r="O448" s="76"/>
      <c r="P448" s="76"/>
      <c r="Q448" s="76"/>
      <c r="R448" s="76"/>
      <c r="S448" s="76"/>
      <c r="T448" s="76"/>
      <c r="U448" s="76"/>
      <c r="V448" s="76"/>
    </row>
    <row r="449" spans="2:40" ht="25" outlineLevel="1" thickBot="1">
      <c r="C449" s="208" t="s">
        <v>23</v>
      </c>
      <c r="D449" s="430">
        <f>MOD(J449-TIME(5,30,0),1)</f>
        <v>0.77083333333333337</v>
      </c>
      <c r="E449" s="431"/>
      <c r="F449" s="432"/>
      <c r="G449" s="418"/>
      <c r="H449" s="419"/>
      <c r="I449" s="420"/>
      <c r="J449" s="209">
        <f>ec!F28</f>
        <v>0</v>
      </c>
      <c r="K449" s="210">
        <f>MOD(J449-TIME(2,30,0),1)</f>
        <v>0.89583333333333337</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8"/>
      <c r="H450" s="419"/>
      <c r="I450" s="420"/>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8"/>
      <c r="H451" s="419"/>
      <c r="I451" s="420"/>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8"/>
      <c r="H452" s="419"/>
      <c r="I452" s="420"/>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8"/>
      <c r="H453" s="419"/>
      <c r="I453" s="420"/>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8"/>
      <c r="H454" s="419"/>
      <c r="I454" s="420"/>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8"/>
      <c r="H455" s="419"/>
      <c r="I455" s="420"/>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21"/>
      <c r="H456" s="422"/>
      <c r="I456" s="423"/>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12">
        <f>ec!I29</f>
        <v>0</v>
      </c>
      <c r="E457" s="413"/>
      <c r="F457" s="414"/>
      <c r="G457" s="396" t="s">
        <v>30</v>
      </c>
      <c r="H457" s="397"/>
      <c r="I457" s="398"/>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5"/>
      <c r="E458" s="416"/>
      <c r="F458" s="417"/>
      <c r="G458" s="418">
        <f>ec!M29</f>
        <v>0</v>
      </c>
      <c r="H458" s="419"/>
      <c r="I458" s="420"/>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36"/>
      <c r="E459" s="428"/>
      <c r="F459" s="429"/>
      <c r="G459" s="418"/>
      <c r="H459" s="419"/>
      <c r="I459" s="420"/>
      <c r="J459" s="205"/>
      <c r="K459" s="206"/>
      <c r="L459" s="77"/>
      <c r="M459" s="76"/>
      <c r="N459" s="76"/>
      <c r="O459" s="76"/>
      <c r="P459" s="76"/>
      <c r="Q459" s="76"/>
      <c r="R459" s="76"/>
      <c r="S459" s="76"/>
      <c r="T459" s="76"/>
      <c r="U459" s="76"/>
      <c r="V459" s="76"/>
    </row>
    <row r="460" spans="2:40" ht="25" outlineLevel="1" thickBot="1">
      <c r="C460" s="207" t="s">
        <v>21</v>
      </c>
      <c r="D460" s="427">
        <f>ec!K29</f>
        <v>0</v>
      </c>
      <c r="E460" s="428"/>
      <c r="F460" s="429"/>
      <c r="G460" s="418"/>
      <c r="H460" s="419"/>
      <c r="I460" s="420"/>
      <c r="J460" s="205"/>
      <c r="K460" s="206"/>
      <c r="L460" s="77"/>
      <c r="M460" s="76"/>
      <c r="N460" s="76"/>
      <c r="O460" s="76"/>
      <c r="P460" s="76"/>
      <c r="Q460" s="76"/>
      <c r="R460" s="76"/>
      <c r="S460" s="76"/>
      <c r="T460" s="76"/>
      <c r="U460" s="76"/>
      <c r="V460" s="76"/>
    </row>
    <row r="461" spans="2:40" ht="25" outlineLevel="1" thickBot="1">
      <c r="C461" s="208" t="s">
        <v>23</v>
      </c>
      <c r="D461" s="430">
        <f>MOD(J461-TIME(5,30,0),1)</f>
        <v>0.77083333333333337</v>
      </c>
      <c r="E461" s="431"/>
      <c r="F461" s="432"/>
      <c r="G461" s="418"/>
      <c r="H461" s="419"/>
      <c r="I461" s="420"/>
      <c r="J461" s="209">
        <f>ec!F29</f>
        <v>0</v>
      </c>
      <c r="K461" s="210">
        <f>MOD(J461-TIME(2,30,0),1)</f>
        <v>0.89583333333333337</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8"/>
      <c r="H462" s="419"/>
      <c r="I462" s="420"/>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8"/>
      <c r="H463" s="419"/>
      <c r="I463" s="420"/>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8"/>
      <c r="H464" s="419"/>
      <c r="I464" s="420"/>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8"/>
      <c r="H465" s="419"/>
      <c r="I465" s="420"/>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8"/>
      <c r="H466" s="419"/>
      <c r="I466" s="420"/>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8"/>
      <c r="H467" s="419"/>
      <c r="I467" s="420"/>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21"/>
      <c r="H468" s="422"/>
      <c r="I468" s="423"/>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12">
        <f>ec!I30</f>
        <v>0</v>
      </c>
      <c r="E469" s="413"/>
      <c r="F469" s="414"/>
      <c r="G469" s="396" t="s">
        <v>30</v>
      </c>
      <c r="H469" s="397"/>
      <c r="I469" s="398"/>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5"/>
      <c r="E470" s="416"/>
      <c r="F470" s="417"/>
      <c r="G470" s="418">
        <f>ec!M30</f>
        <v>0</v>
      </c>
      <c r="H470" s="419"/>
      <c r="I470" s="420"/>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36"/>
      <c r="E471" s="428"/>
      <c r="F471" s="429"/>
      <c r="G471" s="418"/>
      <c r="H471" s="419"/>
      <c r="I471" s="420"/>
      <c r="J471" s="205"/>
      <c r="K471" s="206"/>
      <c r="L471" s="77"/>
      <c r="M471" s="76"/>
      <c r="N471" s="76"/>
      <c r="O471" s="76"/>
      <c r="P471" s="76"/>
      <c r="Q471" s="76"/>
      <c r="R471" s="76"/>
      <c r="S471" s="76"/>
      <c r="T471" s="76"/>
      <c r="U471" s="76"/>
      <c r="V471" s="76"/>
    </row>
    <row r="472" spans="2:40" ht="25" outlineLevel="1" thickBot="1">
      <c r="C472" s="207" t="s">
        <v>21</v>
      </c>
      <c r="D472" s="427">
        <f>ec!K30</f>
        <v>0</v>
      </c>
      <c r="E472" s="428"/>
      <c r="F472" s="429"/>
      <c r="G472" s="418"/>
      <c r="H472" s="419"/>
      <c r="I472" s="420"/>
      <c r="J472" s="205"/>
      <c r="K472" s="206"/>
      <c r="L472" s="77"/>
      <c r="M472" s="76"/>
      <c r="N472" s="76"/>
      <c r="O472" s="76"/>
      <c r="P472" s="76"/>
      <c r="Q472" s="76"/>
      <c r="R472" s="76"/>
      <c r="S472" s="76"/>
      <c r="T472" s="76"/>
      <c r="U472" s="76"/>
      <c r="V472" s="76"/>
    </row>
    <row r="473" spans="2:40" ht="25" outlineLevel="1" thickBot="1">
      <c r="C473" s="208" t="s">
        <v>23</v>
      </c>
      <c r="D473" s="430">
        <f>MOD(J473-TIME(5,30,0),1)</f>
        <v>0.77083333333333337</v>
      </c>
      <c r="E473" s="431"/>
      <c r="F473" s="432"/>
      <c r="G473" s="418"/>
      <c r="H473" s="419"/>
      <c r="I473" s="420"/>
      <c r="J473" s="209">
        <f>ec!F30</f>
        <v>0</v>
      </c>
      <c r="K473" s="210">
        <f>MOD(J473-TIME(2,30,0),1)</f>
        <v>0.89583333333333337</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8"/>
      <c r="H474" s="419"/>
      <c r="I474" s="420"/>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8"/>
      <c r="H475" s="419"/>
      <c r="I475" s="420"/>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8"/>
      <c r="H476" s="419"/>
      <c r="I476" s="420"/>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8"/>
      <c r="H477" s="419"/>
      <c r="I477" s="420"/>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8"/>
      <c r="H478" s="419"/>
      <c r="I478" s="420"/>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8"/>
      <c r="H479" s="419"/>
      <c r="I479" s="420"/>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21"/>
      <c r="H480" s="422"/>
      <c r="I480" s="423"/>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12">
        <f>ec!I32</f>
        <v>0</v>
      </c>
      <c r="E481" s="413"/>
      <c r="F481" s="414"/>
      <c r="G481" s="396" t="s">
        <v>30</v>
      </c>
      <c r="H481" s="397"/>
      <c r="I481" s="398"/>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5"/>
      <c r="E482" s="416"/>
      <c r="F482" s="417"/>
      <c r="G482" s="418">
        <f>ec!M32</f>
        <v>0</v>
      </c>
      <c r="H482" s="419"/>
      <c r="I482" s="420"/>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36"/>
      <c r="E483" s="428"/>
      <c r="F483" s="429"/>
      <c r="G483" s="418"/>
      <c r="H483" s="419"/>
      <c r="I483" s="420"/>
      <c r="J483" s="205"/>
      <c r="K483" s="206"/>
      <c r="L483" s="77"/>
      <c r="M483" s="76"/>
      <c r="N483" s="76"/>
      <c r="O483" s="76"/>
      <c r="P483" s="76"/>
      <c r="Q483" s="76"/>
      <c r="R483" s="76"/>
      <c r="S483" s="76"/>
      <c r="T483" s="76"/>
      <c r="U483" s="76"/>
      <c r="V483" s="76"/>
    </row>
    <row r="484" spans="2:40" ht="25" outlineLevel="1" thickBot="1">
      <c r="C484" s="207" t="s">
        <v>21</v>
      </c>
      <c r="D484" s="436">
        <f>ec!L32</f>
        <v>0</v>
      </c>
      <c r="E484" s="428"/>
      <c r="F484" s="429"/>
      <c r="G484" s="418"/>
      <c r="H484" s="419"/>
      <c r="I484" s="420"/>
      <c r="J484" s="205"/>
      <c r="K484" s="206"/>
      <c r="L484" s="77"/>
      <c r="M484" s="76"/>
      <c r="N484" s="76"/>
      <c r="O484" s="76"/>
      <c r="P484" s="76"/>
      <c r="Q484" s="76"/>
      <c r="R484" s="76"/>
      <c r="S484" s="76"/>
      <c r="T484" s="76"/>
      <c r="U484" s="76"/>
      <c r="V484" s="76"/>
    </row>
    <row r="485" spans="2:40" ht="25" outlineLevel="1" thickBot="1">
      <c r="C485" s="208" t="s">
        <v>23</v>
      </c>
      <c r="D485" s="430">
        <f>J485-TIME(5,30,0)</f>
        <v>-0.22916666666666666</v>
      </c>
      <c r="E485" s="431"/>
      <c r="F485" s="432"/>
      <c r="G485" s="418"/>
      <c r="H485" s="419"/>
      <c r="I485" s="420"/>
      <c r="J485" s="209">
        <f>ec!F32</f>
        <v>0</v>
      </c>
      <c r="K485" s="210">
        <f>MOD(J485-TIME(2,30,0),1)</f>
        <v>0.89583333333333337</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8"/>
      <c r="H486" s="419"/>
      <c r="I486" s="420"/>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8"/>
      <c r="H487" s="419"/>
      <c r="I487" s="420"/>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8"/>
      <c r="H488" s="419"/>
      <c r="I488" s="420"/>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8"/>
      <c r="H489" s="419"/>
      <c r="I489" s="420"/>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8"/>
      <c r="H490" s="419"/>
      <c r="I490" s="420"/>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8"/>
      <c r="H491" s="419"/>
      <c r="I491" s="420"/>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21"/>
      <c r="H492" s="422"/>
      <c r="I492" s="423"/>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12">
        <f>ec!I33</f>
        <v>0</v>
      </c>
      <c r="E493" s="413"/>
      <c r="F493" s="414"/>
      <c r="G493" s="396" t="s">
        <v>30</v>
      </c>
      <c r="H493" s="397"/>
      <c r="I493" s="398"/>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5"/>
      <c r="E494" s="416"/>
      <c r="F494" s="417"/>
      <c r="G494" s="418">
        <f>ec!M33</f>
        <v>0</v>
      </c>
      <c r="H494" s="419"/>
      <c r="I494" s="420"/>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36"/>
      <c r="E495" s="428"/>
      <c r="F495" s="429"/>
      <c r="G495" s="418"/>
      <c r="H495" s="419"/>
      <c r="I495" s="420"/>
      <c r="J495" s="205"/>
      <c r="K495" s="206"/>
      <c r="L495" s="77"/>
      <c r="M495" s="76"/>
      <c r="N495" s="76"/>
      <c r="O495" s="76"/>
      <c r="P495" s="76"/>
      <c r="Q495" s="76"/>
      <c r="R495" s="76"/>
      <c r="S495" s="76"/>
      <c r="T495" s="76"/>
      <c r="U495" s="76"/>
      <c r="V495" s="76"/>
    </row>
    <row r="496" spans="2:40" ht="25" outlineLevel="1" thickBot="1">
      <c r="C496" s="207" t="s">
        <v>21</v>
      </c>
      <c r="D496" s="436"/>
      <c r="E496" s="428"/>
      <c r="F496" s="429"/>
      <c r="G496" s="418"/>
      <c r="H496" s="419"/>
      <c r="I496" s="420"/>
      <c r="J496" s="205"/>
      <c r="K496" s="206"/>
      <c r="L496" s="77"/>
      <c r="M496" s="76"/>
      <c r="N496" s="76"/>
      <c r="O496" s="76"/>
      <c r="P496" s="76"/>
      <c r="Q496" s="76"/>
      <c r="R496" s="76"/>
      <c r="S496" s="76"/>
      <c r="T496" s="76"/>
      <c r="U496" s="76"/>
      <c r="V496" s="76"/>
    </row>
    <row r="497" spans="2:33" ht="25" outlineLevel="1" thickBot="1">
      <c r="C497" s="208" t="s">
        <v>23</v>
      </c>
      <c r="D497" s="430">
        <f>J497-TIME(5,30,0)</f>
        <v>-0.22916666666666666</v>
      </c>
      <c r="E497" s="431"/>
      <c r="F497" s="432"/>
      <c r="G497" s="418"/>
      <c r="H497" s="419"/>
      <c r="I497" s="420"/>
      <c r="J497" s="209">
        <f>ec!F33</f>
        <v>0</v>
      </c>
      <c r="K497" s="210">
        <f>MOD(J497-TIME(2,30,0),1)</f>
        <v>0.89583333333333337</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8"/>
      <c r="H498" s="419"/>
      <c r="I498" s="420"/>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8"/>
      <c r="H499" s="419"/>
      <c r="I499" s="420"/>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8"/>
      <c r="H500" s="419"/>
      <c r="I500" s="420"/>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8"/>
      <c r="H501" s="419"/>
      <c r="I501" s="420"/>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8"/>
      <c r="H502" s="419"/>
      <c r="I502" s="420"/>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8"/>
      <c r="H503" s="419"/>
      <c r="I503" s="420"/>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21"/>
      <c r="H504" s="422"/>
      <c r="I504" s="423"/>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12">
        <f>ec!I34</f>
        <v>0</v>
      </c>
      <c r="E505" s="413"/>
      <c r="F505" s="414"/>
      <c r="G505" s="396" t="s">
        <v>30</v>
      </c>
      <c r="H505" s="397"/>
      <c r="I505" s="398"/>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5"/>
      <c r="E506" s="416"/>
      <c r="F506" s="417"/>
      <c r="G506" s="418">
        <f>ec!M34</f>
        <v>0</v>
      </c>
      <c r="H506" s="419"/>
      <c r="I506" s="420"/>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36"/>
      <c r="E507" s="428"/>
      <c r="F507" s="429"/>
      <c r="G507" s="418"/>
      <c r="H507" s="419"/>
      <c r="I507" s="420"/>
      <c r="J507" s="205"/>
      <c r="K507" s="206"/>
      <c r="L507" s="77"/>
      <c r="M507" s="76"/>
      <c r="N507" s="76"/>
      <c r="O507" s="76"/>
      <c r="P507" s="76"/>
      <c r="Q507" s="76"/>
      <c r="R507" s="76"/>
      <c r="S507" s="76"/>
      <c r="T507" s="76"/>
      <c r="U507" s="76"/>
      <c r="V507" s="76"/>
    </row>
    <row r="508" spans="2:33" ht="25" outlineLevel="1" thickBot="1">
      <c r="C508" s="207" t="s">
        <v>21</v>
      </c>
      <c r="D508" s="427">
        <f>ec!L34</f>
        <v>0</v>
      </c>
      <c r="E508" s="428"/>
      <c r="F508" s="429"/>
      <c r="G508" s="418"/>
      <c r="H508" s="419"/>
      <c r="I508" s="420"/>
      <c r="J508" s="205"/>
      <c r="K508" s="206"/>
      <c r="L508" s="77"/>
      <c r="M508" s="76"/>
      <c r="N508" s="76"/>
      <c r="O508" s="76"/>
      <c r="P508" s="76"/>
      <c r="Q508" s="76"/>
      <c r="R508" s="76"/>
      <c r="S508" s="76"/>
      <c r="T508" s="76"/>
      <c r="U508" s="76"/>
      <c r="V508" s="76"/>
    </row>
    <row r="509" spans="2:33" ht="25" outlineLevel="1" thickBot="1">
      <c r="C509" s="208" t="s">
        <v>23</v>
      </c>
      <c r="D509" s="430">
        <f>J509-TIME(5,30,0)</f>
        <v>-0.22916666666666666</v>
      </c>
      <c r="E509" s="431"/>
      <c r="F509" s="432"/>
      <c r="G509" s="418"/>
      <c r="H509" s="419"/>
      <c r="I509" s="420"/>
      <c r="J509" s="209">
        <f>ec!F34</f>
        <v>0</v>
      </c>
      <c r="K509" s="210">
        <f>MOD(J509-TIME(2,30,0),1)</f>
        <v>0.89583333333333337</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8"/>
      <c r="H510" s="419"/>
      <c r="I510" s="420"/>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8"/>
      <c r="H511" s="419"/>
      <c r="I511" s="420"/>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8"/>
      <c r="H512" s="419"/>
      <c r="I512" s="420"/>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8"/>
      <c r="H513" s="419"/>
      <c r="I513" s="420"/>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8"/>
      <c r="H514" s="419"/>
      <c r="I514" s="420"/>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8"/>
      <c r="H515" s="419"/>
      <c r="I515" s="420"/>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21"/>
      <c r="H516" s="422"/>
      <c r="I516" s="423"/>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12">
        <f>ec!I35</f>
        <v>0</v>
      </c>
      <c r="E517" s="413"/>
      <c r="F517" s="414"/>
      <c r="G517" s="396" t="s">
        <v>30</v>
      </c>
      <c r="H517" s="397"/>
      <c r="I517" s="398"/>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5"/>
      <c r="E518" s="416"/>
      <c r="F518" s="417"/>
      <c r="G518" s="418">
        <f>ec!M35</f>
        <v>0</v>
      </c>
      <c r="H518" s="419"/>
      <c r="I518" s="420"/>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36"/>
      <c r="E519" s="428"/>
      <c r="F519" s="429"/>
      <c r="G519" s="418"/>
      <c r="H519" s="419"/>
      <c r="I519" s="420"/>
      <c r="J519" s="205"/>
      <c r="K519" s="206"/>
      <c r="L519" s="77"/>
      <c r="M519" s="76"/>
      <c r="N519" s="76"/>
      <c r="O519" s="76"/>
      <c r="P519" s="76"/>
      <c r="Q519" s="76"/>
      <c r="R519" s="76"/>
      <c r="S519" s="76"/>
      <c r="T519" s="76"/>
      <c r="U519" s="76"/>
      <c r="V519" s="76"/>
    </row>
    <row r="520" spans="2:33" ht="25" outlineLevel="1" thickBot="1">
      <c r="C520" s="207" t="s">
        <v>21</v>
      </c>
      <c r="D520" s="427">
        <f>ec!L35</f>
        <v>0</v>
      </c>
      <c r="E520" s="428"/>
      <c r="F520" s="429"/>
      <c r="G520" s="418"/>
      <c r="H520" s="419"/>
      <c r="I520" s="420"/>
      <c r="J520" s="205"/>
      <c r="K520" s="206"/>
      <c r="L520" s="77"/>
      <c r="M520" s="76"/>
      <c r="N520" s="76"/>
      <c r="O520" s="76"/>
      <c r="P520" s="76"/>
      <c r="Q520" s="76"/>
      <c r="R520" s="76"/>
      <c r="S520" s="76"/>
      <c r="T520" s="76"/>
      <c r="U520" s="76"/>
      <c r="V520" s="76"/>
    </row>
    <row r="521" spans="2:33" ht="25" outlineLevel="1" thickBot="1">
      <c r="C521" s="208" t="s">
        <v>23</v>
      </c>
      <c r="D521" s="430">
        <f>J521-TIME(5,30,0)</f>
        <v>-0.22916666666666666</v>
      </c>
      <c r="E521" s="431"/>
      <c r="F521" s="432"/>
      <c r="G521" s="418"/>
      <c r="H521" s="419"/>
      <c r="I521" s="420"/>
      <c r="J521" s="209">
        <f>ec!F35</f>
        <v>0</v>
      </c>
      <c r="K521" s="210">
        <f>MOD(J521-TIME(2,30,0),1)</f>
        <v>0.89583333333333337</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8"/>
      <c r="H522" s="419"/>
      <c r="I522" s="420"/>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8"/>
      <c r="H523" s="419"/>
      <c r="I523" s="420"/>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8"/>
      <c r="H524" s="419"/>
      <c r="I524" s="420"/>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8"/>
      <c r="H525" s="419"/>
      <c r="I525" s="420"/>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8"/>
      <c r="H526" s="419"/>
      <c r="I526" s="420"/>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8"/>
      <c r="H527" s="419"/>
      <c r="I527" s="420"/>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21"/>
      <c r="H528" s="422"/>
      <c r="I528" s="423"/>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12">
        <f>ec!I37</f>
        <v>0</v>
      </c>
      <c r="E529" s="413"/>
      <c r="F529" s="414"/>
      <c r="G529" s="396" t="s">
        <v>30</v>
      </c>
      <c r="H529" s="397"/>
      <c r="I529" s="398"/>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5"/>
      <c r="E530" s="416"/>
      <c r="F530" s="417"/>
      <c r="G530" s="418">
        <f>ec!M37</f>
        <v>0</v>
      </c>
      <c r="H530" s="419"/>
      <c r="I530" s="420"/>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36"/>
      <c r="E531" s="428"/>
      <c r="F531" s="429"/>
      <c r="G531" s="418"/>
      <c r="H531" s="419"/>
      <c r="I531" s="420"/>
      <c r="J531" s="205"/>
      <c r="K531" s="206"/>
      <c r="L531" s="77"/>
      <c r="M531" s="76"/>
      <c r="N531" s="76"/>
      <c r="O531" s="76"/>
      <c r="P531" s="76"/>
      <c r="Q531" s="76"/>
      <c r="R531" s="76"/>
      <c r="S531" s="76"/>
      <c r="T531" s="76"/>
      <c r="U531" s="76"/>
      <c r="V531" s="76"/>
    </row>
    <row r="532" spans="2:40" ht="25" outlineLevel="1" thickBot="1">
      <c r="C532" s="207" t="s">
        <v>21</v>
      </c>
      <c r="D532" s="427">
        <f>ec!L37</f>
        <v>0</v>
      </c>
      <c r="E532" s="428"/>
      <c r="F532" s="429"/>
      <c r="G532" s="418"/>
      <c r="H532" s="419"/>
      <c r="I532" s="420"/>
      <c r="J532" s="205"/>
      <c r="K532" s="206"/>
      <c r="L532" s="77"/>
      <c r="M532" s="76"/>
      <c r="N532" s="76"/>
      <c r="O532" s="76"/>
      <c r="P532" s="76"/>
      <c r="Q532" s="76"/>
      <c r="R532" s="76"/>
      <c r="S532" s="76"/>
      <c r="T532" s="76"/>
      <c r="U532" s="76"/>
      <c r="V532" s="76"/>
    </row>
    <row r="533" spans="2:40" ht="25" outlineLevel="1" thickBot="1">
      <c r="C533" s="208" t="s">
        <v>23</v>
      </c>
      <c r="D533" s="430">
        <f>MOD(J533-TIME(5,30,0),1)</f>
        <v>0.77083333333333337</v>
      </c>
      <c r="E533" s="431"/>
      <c r="F533" s="432"/>
      <c r="G533" s="418"/>
      <c r="H533" s="419"/>
      <c r="I533" s="420"/>
      <c r="J533" s="209">
        <f>ec!F37</f>
        <v>0</v>
      </c>
      <c r="K533" s="210">
        <f>MOD(J533-TIME(2,30,0),1)</f>
        <v>0.89583333333333337</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8"/>
      <c r="H534" s="419"/>
      <c r="I534" s="420"/>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8"/>
      <c r="H535" s="419"/>
      <c r="I535" s="420"/>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8"/>
      <c r="H536" s="419"/>
      <c r="I536" s="420"/>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8"/>
      <c r="H537" s="419"/>
      <c r="I537" s="420"/>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8"/>
      <c r="H538" s="419"/>
      <c r="I538" s="420"/>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8"/>
      <c r="H539" s="419"/>
      <c r="I539" s="420"/>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21"/>
      <c r="H540" s="422"/>
      <c r="I540" s="423"/>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12">
        <f>ec!I38</f>
        <v>0</v>
      </c>
      <c r="E541" s="413"/>
      <c r="F541" s="414"/>
      <c r="G541" s="396" t="s">
        <v>30</v>
      </c>
      <c r="H541" s="397"/>
      <c r="I541" s="398"/>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5"/>
      <c r="E542" s="416"/>
      <c r="F542" s="417"/>
      <c r="G542" s="418">
        <f>ec!M38</f>
        <v>0</v>
      </c>
      <c r="H542" s="419"/>
      <c r="I542" s="420"/>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36"/>
      <c r="E543" s="428"/>
      <c r="F543" s="429"/>
      <c r="G543" s="418"/>
      <c r="H543" s="419"/>
      <c r="I543" s="420"/>
      <c r="J543" s="205"/>
      <c r="K543" s="206"/>
      <c r="L543" s="77"/>
      <c r="M543" s="76"/>
      <c r="N543" s="76"/>
      <c r="O543" s="76"/>
      <c r="P543" s="76"/>
      <c r="Q543" s="76"/>
      <c r="R543" s="76"/>
      <c r="S543" s="76"/>
      <c r="T543" s="76"/>
      <c r="U543" s="76"/>
      <c r="V543" s="76"/>
    </row>
    <row r="544" spans="2:40" ht="25" outlineLevel="1" thickBot="1">
      <c r="C544" s="207" t="s">
        <v>21</v>
      </c>
      <c r="D544" s="436">
        <f>ec!L48</f>
        <v>0</v>
      </c>
      <c r="E544" s="428"/>
      <c r="F544" s="429"/>
      <c r="G544" s="418"/>
      <c r="H544" s="419"/>
      <c r="I544" s="420"/>
      <c r="J544" s="205"/>
      <c r="K544" s="206"/>
      <c r="L544" s="77"/>
      <c r="M544" s="76"/>
      <c r="N544" s="76"/>
      <c r="O544" s="76"/>
      <c r="P544" s="76"/>
      <c r="Q544" s="76"/>
      <c r="R544" s="76"/>
      <c r="S544" s="76"/>
      <c r="T544" s="76"/>
      <c r="U544" s="76"/>
      <c r="V544" s="76"/>
    </row>
    <row r="545" spans="2:33" ht="25" outlineLevel="1" thickBot="1">
      <c r="C545" s="208" t="s">
        <v>23</v>
      </c>
      <c r="D545" s="430">
        <f>J545-TIME(5,30,0)</f>
        <v>-0.22916666666666666</v>
      </c>
      <c r="E545" s="431"/>
      <c r="F545" s="432"/>
      <c r="G545" s="418"/>
      <c r="H545" s="419"/>
      <c r="I545" s="420"/>
      <c r="J545" s="209">
        <f>ec!F38</f>
        <v>0</v>
      </c>
      <c r="K545" s="210">
        <f>MOD(J545-TIME(2,30,0),1)</f>
        <v>0.89583333333333337</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8"/>
      <c r="H546" s="419"/>
      <c r="I546" s="420"/>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8"/>
      <c r="H547" s="419"/>
      <c r="I547" s="420"/>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8"/>
      <c r="H548" s="419"/>
      <c r="I548" s="420"/>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8"/>
      <c r="H549" s="419"/>
      <c r="I549" s="420"/>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8"/>
      <c r="H550" s="419"/>
      <c r="I550" s="420"/>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8"/>
      <c r="H551" s="419"/>
      <c r="I551" s="420"/>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21"/>
      <c r="H552" s="422"/>
      <c r="I552" s="423"/>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12">
        <f>ec!I39</f>
        <v>0</v>
      </c>
      <c r="E553" s="413"/>
      <c r="F553" s="414"/>
      <c r="G553" s="396" t="s">
        <v>30</v>
      </c>
      <c r="H553" s="397"/>
      <c r="I553" s="398"/>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5"/>
      <c r="E554" s="416"/>
      <c r="F554" s="417"/>
      <c r="G554" s="418">
        <f>ec!M39</f>
        <v>0</v>
      </c>
      <c r="H554" s="419"/>
      <c r="I554" s="420"/>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36"/>
      <c r="E555" s="428"/>
      <c r="F555" s="429"/>
      <c r="G555" s="418"/>
      <c r="H555" s="419"/>
      <c r="I555" s="420"/>
      <c r="J555" s="205"/>
      <c r="K555" s="206"/>
      <c r="L555" s="77"/>
      <c r="M555" s="76"/>
      <c r="N555" s="76"/>
      <c r="O555" s="76"/>
      <c r="P555" s="76"/>
      <c r="Q555" s="76"/>
      <c r="R555" s="76"/>
      <c r="S555" s="76"/>
      <c r="T555" s="76"/>
      <c r="U555" s="76"/>
      <c r="V555" s="76"/>
    </row>
    <row r="556" spans="2:33" ht="25" outlineLevel="1" thickBot="1">
      <c r="C556" s="207" t="s">
        <v>21</v>
      </c>
      <c r="D556" s="436">
        <f>ec!L39</f>
        <v>0</v>
      </c>
      <c r="E556" s="428"/>
      <c r="F556" s="429"/>
      <c r="G556" s="418"/>
      <c r="H556" s="419"/>
      <c r="I556" s="420"/>
      <c r="J556" s="205"/>
      <c r="K556" s="206"/>
      <c r="L556" s="77"/>
      <c r="M556" s="76"/>
      <c r="N556" s="76"/>
      <c r="O556" s="76"/>
      <c r="P556" s="76"/>
      <c r="Q556" s="76"/>
      <c r="R556" s="76"/>
      <c r="S556" s="76"/>
      <c r="T556" s="76"/>
      <c r="U556" s="76"/>
      <c r="V556" s="76"/>
    </row>
    <row r="557" spans="2:33" ht="25" outlineLevel="1" thickBot="1">
      <c r="C557" s="208" t="s">
        <v>23</v>
      </c>
      <c r="D557" s="430">
        <f>J557-TIME(5,30,0)</f>
        <v>-0.22916666666666666</v>
      </c>
      <c r="E557" s="431"/>
      <c r="F557" s="432"/>
      <c r="G557" s="418"/>
      <c r="H557" s="419"/>
      <c r="I557" s="420"/>
      <c r="J557" s="209">
        <f>ec!F39</f>
        <v>0</v>
      </c>
      <c r="K557" s="210">
        <f>MOD(J557-TIME(2,30,0),1)</f>
        <v>0.89583333333333337</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8"/>
      <c r="H558" s="419"/>
      <c r="I558" s="420"/>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8"/>
      <c r="H559" s="419"/>
      <c r="I559" s="420"/>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8"/>
      <c r="H560" s="419"/>
      <c r="I560" s="420"/>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8"/>
      <c r="H561" s="419"/>
      <c r="I561" s="420"/>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8"/>
      <c r="H562" s="419"/>
      <c r="I562" s="420"/>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8"/>
      <c r="H563" s="419"/>
      <c r="I563" s="420"/>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21"/>
      <c r="H564" s="422"/>
      <c r="I564" s="423"/>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12">
        <f>ec!I40</f>
        <v>0</v>
      </c>
      <c r="E565" s="413"/>
      <c r="F565" s="414"/>
      <c r="G565" s="396" t="s">
        <v>30</v>
      </c>
      <c r="H565" s="397"/>
      <c r="I565" s="398"/>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5"/>
      <c r="E566" s="416"/>
      <c r="F566" s="417"/>
      <c r="G566" s="418">
        <f>ec!M40</f>
        <v>0</v>
      </c>
      <c r="H566" s="419"/>
      <c r="I566" s="420"/>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36"/>
      <c r="E567" s="428"/>
      <c r="F567" s="429"/>
      <c r="G567" s="418"/>
      <c r="H567" s="419"/>
      <c r="I567" s="420"/>
      <c r="J567" s="205"/>
      <c r="K567" s="206"/>
      <c r="L567" s="77"/>
      <c r="M567" s="76"/>
      <c r="N567" s="76"/>
      <c r="O567" s="76"/>
      <c r="P567" s="76"/>
      <c r="Q567" s="76"/>
      <c r="R567" s="76"/>
      <c r="S567" s="76"/>
      <c r="T567" s="76"/>
      <c r="U567" s="76"/>
      <c r="V567" s="76"/>
    </row>
    <row r="568" spans="2:33" ht="25" outlineLevel="1" thickBot="1">
      <c r="C568" s="207" t="s">
        <v>21</v>
      </c>
      <c r="D568" s="427">
        <f>ec!L40</f>
        <v>0</v>
      </c>
      <c r="E568" s="428"/>
      <c r="F568" s="429"/>
      <c r="G568" s="418"/>
      <c r="H568" s="419"/>
      <c r="I568" s="420"/>
      <c r="J568" s="205"/>
      <c r="K568" s="206"/>
      <c r="L568" s="77"/>
      <c r="M568" s="76"/>
      <c r="N568" s="76"/>
      <c r="O568" s="76"/>
      <c r="P568" s="76"/>
      <c r="Q568" s="76"/>
      <c r="R568" s="76"/>
      <c r="S568" s="76"/>
      <c r="T568" s="76"/>
      <c r="U568" s="76"/>
      <c r="V568" s="76"/>
    </row>
    <row r="569" spans="2:33" ht="25" outlineLevel="1" thickBot="1">
      <c r="C569" s="208" t="s">
        <v>23</v>
      </c>
      <c r="D569" s="430">
        <f>J569-TIME(5,30,0)</f>
        <v>-0.22916666666666666</v>
      </c>
      <c r="E569" s="431"/>
      <c r="F569" s="432"/>
      <c r="G569" s="418"/>
      <c r="H569" s="419"/>
      <c r="I569" s="420"/>
      <c r="J569" s="209">
        <f>ec!F40</f>
        <v>0</v>
      </c>
      <c r="K569" s="210">
        <f>MOD(J569-TIME(2,30,0),1)</f>
        <v>0.89583333333333337</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8"/>
      <c r="H570" s="419"/>
      <c r="I570" s="420"/>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8"/>
      <c r="H571" s="419"/>
      <c r="I571" s="420"/>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8"/>
      <c r="H572" s="419"/>
      <c r="I572" s="420"/>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8"/>
      <c r="H573" s="419"/>
      <c r="I573" s="420"/>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8"/>
      <c r="H574" s="419"/>
      <c r="I574" s="420"/>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8"/>
      <c r="H575" s="419"/>
      <c r="I575" s="420"/>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21"/>
      <c r="H576" s="422"/>
      <c r="I576" s="423"/>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12">
        <f>ec!I41</f>
        <v>0</v>
      </c>
      <c r="E577" s="413"/>
      <c r="F577" s="414"/>
      <c r="G577" s="396" t="s">
        <v>30</v>
      </c>
      <c r="H577" s="397"/>
      <c r="I577" s="398"/>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5"/>
      <c r="E578" s="416"/>
      <c r="F578" s="417"/>
      <c r="G578" s="418">
        <f>ec!M41</f>
        <v>0</v>
      </c>
      <c r="H578" s="419"/>
      <c r="I578" s="420"/>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36"/>
      <c r="E579" s="428"/>
      <c r="F579" s="429"/>
      <c r="G579" s="418"/>
      <c r="H579" s="419"/>
      <c r="I579" s="420"/>
      <c r="J579" s="205"/>
      <c r="K579" s="206"/>
      <c r="L579" s="77"/>
      <c r="M579" s="76"/>
      <c r="N579" s="76"/>
      <c r="O579" s="76"/>
      <c r="P579" s="76"/>
      <c r="Q579" s="76"/>
      <c r="R579" s="76"/>
      <c r="S579" s="76"/>
      <c r="T579" s="76"/>
      <c r="U579" s="76"/>
      <c r="V579" s="76"/>
    </row>
    <row r="580" spans="1:33" ht="25" outlineLevel="1" thickBot="1">
      <c r="C580" s="207" t="s">
        <v>21</v>
      </c>
      <c r="D580" s="436">
        <f>ec!L41</f>
        <v>0</v>
      </c>
      <c r="E580" s="428"/>
      <c r="F580" s="429"/>
      <c r="G580" s="418"/>
      <c r="H580" s="419"/>
      <c r="I580" s="420"/>
      <c r="J580" s="205"/>
      <c r="K580" s="206"/>
      <c r="L580" s="77"/>
      <c r="M580" s="76"/>
      <c r="N580" s="76"/>
      <c r="O580" s="76"/>
      <c r="P580" s="76"/>
      <c r="Q580" s="76"/>
      <c r="R580" s="76"/>
      <c r="S580" s="76"/>
      <c r="T580" s="76"/>
      <c r="U580" s="76"/>
      <c r="V580" s="76"/>
    </row>
    <row r="581" spans="1:33" ht="25" outlineLevel="1" thickBot="1">
      <c r="C581" s="208" t="s">
        <v>23</v>
      </c>
      <c r="D581" s="430">
        <f>J581-TIME(5,30,0)</f>
        <v>-0.22916666666666666</v>
      </c>
      <c r="E581" s="431"/>
      <c r="F581" s="432"/>
      <c r="G581" s="418"/>
      <c r="H581" s="419"/>
      <c r="I581" s="420"/>
      <c r="J581" s="209">
        <f>ec!F41</f>
        <v>0</v>
      </c>
      <c r="K581" s="210">
        <f>MOD(J581-TIME(2,30,0),1)</f>
        <v>0.89583333333333337</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8"/>
      <c r="H582" s="419"/>
      <c r="I582" s="420"/>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8"/>
      <c r="H583" s="419"/>
      <c r="I583" s="420"/>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8"/>
      <c r="H584" s="419"/>
      <c r="I584" s="420"/>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8"/>
      <c r="H585" s="419"/>
      <c r="I585" s="420"/>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8"/>
      <c r="H586" s="419"/>
      <c r="I586" s="420"/>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8"/>
      <c r="H587" s="419"/>
      <c r="I587" s="420"/>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21"/>
      <c r="H588" s="422"/>
      <c r="I588" s="423"/>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542:F542"/>
    <mergeCell ref="G542:I552"/>
    <mergeCell ref="D543:F543"/>
    <mergeCell ref="D544:F544"/>
    <mergeCell ref="D545:F545"/>
    <mergeCell ref="D553:F553"/>
    <mergeCell ref="G553:I553"/>
    <mergeCell ref="D577:F577"/>
    <mergeCell ref="G577:I577"/>
    <mergeCell ref="D541:F541"/>
    <mergeCell ref="G541:I541"/>
    <mergeCell ref="D529:F529"/>
    <mergeCell ref="G529:I529"/>
    <mergeCell ref="D530:F530"/>
    <mergeCell ref="G530:I540"/>
    <mergeCell ref="D531:F531"/>
    <mergeCell ref="D532:F532"/>
    <mergeCell ref="D533:F533"/>
    <mergeCell ref="D506:F506"/>
    <mergeCell ref="G506:I516"/>
    <mergeCell ref="D507:F507"/>
    <mergeCell ref="D508:F508"/>
    <mergeCell ref="D509:F509"/>
    <mergeCell ref="D517:F517"/>
    <mergeCell ref="G517:I517"/>
    <mergeCell ref="D518:F518"/>
    <mergeCell ref="G518:I528"/>
    <mergeCell ref="D519:F519"/>
    <mergeCell ref="D520:F520"/>
    <mergeCell ref="D521:F521"/>
    <mergeCell ref="D493:F493"/>
    <mergeCell ref="G493:I493"/>
    <mergeCell ref="D494:F494"/>
    <mergeCell ref="G494:I504"/>
    <mergeCell ref="D495:F495"/>
    <mergeCell ref="D496:F496"/>
    <mergeCell ref="D497:F497"/>
    <mergeCell ref="D505:F505"/>
    <mergeCell ref="G505:I50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showWhiteSpace="0" topLeftCell="A145" zoomScale="75" zoomScaleNormal="70" workbookViewId="0">
      <selection activeCell="K176" sqref="K176"/>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490" t="str">
        <f>'History '!D1</f>
        <v>CNY - GDP (YoY) (Q2)</v>
      </c>
      <c r="E1" s="491"/>
      <c r="F1" s="492"/>
      <c r="G1" s="274" t="s">
        <v>38</v>
      </c>
      <c r="H1" s="453" t="str">
        <f>'History '!G1</f>
        <v>Description</v>
      </c>
      <c r="I1" s="453"/>
      <c r="J1" s="454"/>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55"/>
      <c r="E2" s="456"/>
      <c r="F2" s="457"/>
      <c r="G2" s="279" t="s">
        <v>798</v>
      </c>
      <c r="H2" s="458" t="str">
        <f>'History '!G2</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v>
      </c>
      <c r="I2" s="458"/>
      <c r="J2" s="459"/>
      <c r="K2" s="280"/>
      <c r="L2" s="281" t="str">
        <f>D1</f>
        <v>CNY - GDP (YoY) (Q2)</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493"/>
      <c r="E3" s="494"/>
      <c r="F3" s="495"/>
      <c r="G3" s="283" t="s">
        <v>799</v>
      </c>
      <c r="H3" s="460"/>
      <c r="I3" s="460"/>
      <c r="J3" s="461"/>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496">
        <f>'History '!D4</f>
        <v>5.3999999999999999E-2</v>
      </c>
      <c r="E4" s="497"/>
      <c r="F4" s="498"/>
      <c r="G4" s="283"/>
      <c r="H4" s="460"/>
      <c r="I4" s="460"/>
      <c r="J4" s="461"/>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68">
        <f>'History '!D5</f>
        <v>8.3333333333333343E-2</v>
      </c>
      <c r="E5" s="469"/>
      <c r="F5" s="470"/>
      <c r="G5" s="286"/>
      <c r="H5" s="460"/>
      <c r="I5" s="460"/>
      <c r="J5" s="461"/>
      <c r="K5" s="287">
        <f>'History '!J5</f>
        <v>0.3125</v>
      </c>
      <c r="L5" s="288">
        <f>'History '!K5</f>
        <v>0.20833333333333331</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60"/>
      <c r="I6" s="460"/>
      <c r="J6" s="461"/>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60"/>
      <c r="I7" s="460"/>
      <c r="J7" s="461"/>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60"/>
      <c r="I8" s="460"/>
      <c r="J8" s="461"/>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60"/>
      <c r="I9" s="460"/>
      <c r="J9" s="461"/>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60"/>
      <c r="I10" s="460"/>
      <c r="J10" s="461"/>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60"/>
      <c r="I11" s="460"/>
      <c r="J11" s="461"/>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62"/>
      <c r="I12" s="462"/>
      <c r="J12" s="463"/>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490" t="str">
        <f>'History '!D13</f>
        <v>USD - CPI (MoM) (Jun)</v>
      </c>
      <c r="E13" s="491"/>
      <c r="F13" s="492"/>
      <c r="G13" s="274" t="s">
        <v>38</v>
      </c>
      <c r="H13" s="453" t="str">
        <f>'History '!G13</f>
        <v>Description</v>
      </c>
      <c r="I13" s="453"/>
      <c r="J13" s="454"/>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55"/>
      <c r="E14" s="456"/>
      <c r="F14" s="457"/>
      <c r="G14" s="279" t="s">
        <v>360</v>
      </c>
      <c r="H14" s="458" t="str">
        <f>'History '!G14</f>
        <v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v>
      </c>
      <c r="I14" s="458"/>
      <c r="J14" s="459"/>
      <c r="K14" s="280"/>
      <c r="L14" s="281" t="str">
        <f>D13</f>
        <v>USD - CPI (MoM) (Jun)</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493"/>
      <c r="E15" s="494"/>
      <c r="F15" s="495"/>
      <c r="G15" s="283" t="s">
        <v>361</v>
      </c>
      <c r="H15" s="460"/>
      <c r="I15" s="460"/>
      <c r="J15" s="461"/>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499">
        <f>'History '!D16</f>
        <v>1E-3</v>
      </c>
      <c r="E16" s="497"/>
      <c r="F16" s="498"/>
      <c r="G16" s="283"/>
      <c r="H16" s="460"/>
      <c r="I16" s="460"/>
      <c r="J16" s="461"/>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68">
        <f>'History '!D17</f>
        <v>0.52083333333333337</v>
      </c>
      <c r="E17" s="469"/>
      <c r="F17" s="470"/>
      <c r="G17" s="286"/>
      <c r="H17" s="460"/>
      <c r="I17" s="460"/>
      <c r="J17" s="461"/>
      <c r="K17" s="287">
        <f>'History '!J17</f>
        <v>0.75</v>
      </c>
      <c r="L17" s="288">
        <f>'History '!K17</f>
        <v>0.64583333333333337</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60"/>
      <c r="I18" s="460"/>
      <c r="J18" s="461"/>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60"/>
      <c r="I19" s="460"/>
      <c r="J19" s="461"/>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60"/>
      <c r="I20" s="460"/>
      <c r="J20" s="461"/>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60"/>
      <c r="I21" s="460"/>
      <c r="J21" s="461"/>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60"/>
      <c r="I22" s="460"/>
      <c r="J22" s="461"/>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60"/>
      <c r="I23" s="460"/>
      <c r="J23" s="461"/>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62"/>
      <c r="I24" s="462"/>
      <c r="J24" s="463"/>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490" t="str">
        <f>'History '!D25</f>
        <v>USD - Core CPI (MoM) (Jun)</v>
      </c>
      <c r="E25" s="491"/>
      <c r="F25" s="492"/>
      <c r="G25" s="274" t="s">
        <v>38</v>
      </c>
      <c r="H25" s="453" t="str">
        <f>'History '!G25</f>
        <v>Description</v>
      </c>
      <c r="I25" s="453"/>
      <c r="J25" s="454"/>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55"/>
      <c r="E26" s="456"/>
      <c r="F26" s="457"/>
      <c r="G26" s="279" t="s">
        <v>360</v>
      </c>
      <c r="H26" s="458" t="str">
        <f>'History '!G26</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v>
      </c>
      <c r="I26" s="458"/>
      <c r="J26" s="459"/>
      <c r="K26" s="280"/>
      <c r="L26" s="281" t="str">
        <f>D25</f>
        <v>USD - Core CPI (MoM) (Jun)</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493"/>
      <c r="E27" s="494"/>
      <c r="F27" s="495"/>
      <c r="G27" s="283" t="s">
        <v>361</v>
      </c>
      <c r="H27" s="460"/>
      <c r="I27" s="460"/>
      <c r="J27" s="461"/>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496">
        <f>'History '!D28</f>
        <v>1E-3</v>
      </c>
      <c r="E28" s="497"/>
      <c r="F28" s="498"/>
      <c r="G28" s="283"/>
      <c r="H28" s="460"/>
      <c r="I28" s="460"/>
      <c r="J28" s="461"/>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68">
        <f>'History '!D29</f>
        <v>0.52083333333333337</v>
      </c>
      <c r="E29" s="469"/>
      <c r="F29" s="470"/>
      <c r="G29" s="286"/>
      <c r="H29" s="460"/>
      <c r="I29" s="460"/>
      <c r="J29" s="461"/>
      <c r="K29" s="287">
        <f>'History '!J29</f>
        <v>0.75</v>
      </c>
      <c r="L29" s="288">
        <f>'History '!K29</f>
        <v>0.64583333333333337</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60"/>
      <c r="I30" s="460"/>
      <c r="J30" s="461"/>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3">
        <f>'History '!D31</f>
        <v>7.0000000000000001E-3</v>
      </c>
      <c r="E31" s="353">
        <f>'History '!E31</f>
        <v>6.0000000000000001E-3</v>
      </c>
      <c r="F31" s="353">
        <f>'History '!F31</f>
        <v>1E-3</v>
      </c>
      <c r="G31" s="296">
        <f>MOD(K31-TIME(5,30,0),1)</f>
        <v>0.29166666666666674</v>
      </c>
      <c r="H31" s="460"/>
      <c r="I31" s="460"/>
      <c r="J31" s="461"/>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3">
        <f>'History '!D32</f>
        <v>1E-3</v>
      </c>
      <c r="E32" s="353">
        <f>'History '!E32</f>
        <v>1E-3</v>
      </c>
      <c r="F32" s="353">
        <f>'History '!F32</f>
        <v>0</v>
      </c>
      <c r="G32" s="296">
        <f t="shared" ref="G32:G36" si="2">MOD(K32-TIME(5,30,0),1)</f>
        <v>0.29166666666666674</v>
      </c>
      <c r="H32" s="460"/>
      <c r="I32" s="460"/>
      <c r="J32" s="461"/>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3">
        <f>'History '!D33</f>
        <v>1E-3</v>
      </c>
      <c r="E33" s="353">
        <f>'History '!E33</f>
        <v>-1E-3</v>
      </c>
      <c r="F33" s="353">
        <f>'History '!F33</f>
        <v>0</v>
      </c>
      <c r="G33" s="296">
        <f t="shared" si="2"/>
        <v>0.29166666666666674</v>
      </c>
      <c r="H33" s="460"/>
      <c r="I33" s="460"/>
      <c r="J33" s="461"/>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3">
        <f>'History '!D34</f>
        <v>0</v>
      </c>
      <c r="E34" s="353">
        <f>'History '!E34</f>
        <v>1E-3</v>
      </c>
      <c r="F34" s="353">
        <f>'History '!F34</f>
        <v>4.0000000000000001E-3</v>
      </c>
      <c r="G34" s="296">
        <f t="shared" si="2"/>
        <v>0.29166666666666674</v>
      </c>
      <c r="H34" s="460"/>
      <c r="I34" s="460"/>
      <c r="J34" s="461"/>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3">
        <f>'History '!D35</f>
        <v>1E-3</v>
      </c>
      <c r="E35" s="353">
        <f>'History '!E35</f>
        <v>2E-3</v>
      </c>
      <c r="F35" s="353">
        <f>'History '!F35</f>
        <v>5.0000000000000001E-3</v>
      </c>
      <c r="G35" s="296">
        <f t="shared" si="2"/>
        <v>0.25</v>
      </c>
      <c r="H35" s="460"/>
      <c r="I35" s="460"/>
      <c r="J35" s="461"/>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3">
        <f>'History '!D36</f>
        <v>5.0000000000000001E-3</v>
      </c>
      <c r="E36" s="353">
        <f>'History '!E36</f>
        <v>6.0000000000000001E-3</v>
      </c>
      <c r="F36" s="353">
        <f>'History '!F36</f>
        <v>7.0000000000000001E-3</v>
      </c>
      <c r="G36" s="296">
        <f t="shared" si="2"/>
        <v>0.25</v>
      </c>
      <c r="H36" s="462"/>
      <c r="I36" s="462"/>
      <c r="J36" s="463"/>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490" t="str">
        <f>'History '!D37</f>
        <v>USD - CPI (YoY) (Jun)</v>
      </c>
      <c r="E37" s="491"/>
      <c r="F37" s="492"/>
      <c r="G37" s="274" t="s">
        <v>38</v>
      </c>
      <c r="H37" s="453" t="str">
        <f>'History '!G37</f>
        <v>Description</v>
      </c>
      <c r="I37" s="453"/>
      <c r="J37" s="454"/>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55"/>
      <c r="E38" s="456"/>
      <c r="F38" s="457"/>
      <c r="G38" s="279" t="s">
        <v>800</v>
      </c>
      <c r="H38" s="458" t="str">
        <f>'History '!G38</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v>
      </c>
      <c r="I38" s="458"/>
      <c r="J38" s="459"/>
      <c r="K38" s="280"/>
      <c r="L38" s="281" t="str">
        <f>D37</f>
        <v>USD - CPI (YoY) (Jun)</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493"/>
      <c r="E39" s="494"/>
      <c r="F39" s="495"/>
      <c r="G39" s="283" t="s">
        <v>801</v>
      </c>
      <c r="H39" s="460"/>
      <c r="I39" s="460"/>
      <c r="J39" s="461"/>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496">
        <f>'History '!D40</f>
        <v>2.4E-2</v>
      </c>
      <c r="E40" s="497"/>
      <c r="F40" s="498"/>
      <c r="G40" s="283"/>
      <c r="H40" s="460"/>
      <c r="I40" s="460"/>
      <c r="J40" s="461"/>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68">
        <f>'History '!D41</f>
        <v>0.52083333333333337</v>
      </c>
      <c r="E41" s="469"/>
      <c r="F41" s="470"/>
      <c r="G41" s="286"/>
      <c r="H41" s="460"/>
      <c r="I41" s="460"/>
      <c r="J41" s="461"/>
      <c r="K41" s="287">
        <f>'History '!J41</f>
        <v>0.75</v>
      </c>
      <c r="L41" s="288">
        <f>'History '!K41</f>
        <v>0.64583333333333337</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60"/>
      <c r="I42" s="460"/>
      <c r="J42" s="461"/>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60"/>
      <c r="I43" s="460"/>
      <c r="J43" s="461"/>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60"/>
      <c r="I44" s="460"/>
      <c r="J44" s="461"/>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60"/>
      <c r="I45" s="460"/>
      <c r="J45" s="461"/>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60"/>
      <c r="I46" s="460"/>
      <c r="J46" s="461"/>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60"/>
      <c r="I47" s="460"/>
      <c r="J47" s="461"/>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62"/>
      <c r="I48" s="462"/>
      <c r="J48" s="463"/>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490" t="str">
        <f>'History '!D49</f>
        <v>GBP - CPI (YoY) (Jun)</v>
      </c>
      <c r="E49" s="491"/>
      <c r="F49" s="492"/>
      <c r="G49" s="274" t="s">
        <v>38</v>
      </c>
      <c r="H49" s="453" t="str">
        <f>'History '!G49</f>
        <v>Description</v>
      </c>
      <c r="I49" s="453"/>
      <c r="J49" s="454"/>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55"/>
      <c r="E50" s="456"/>
      <c r="F50" s="457"/>
      <c r="G50" s="279" t="s">
        <v>69</v>
      </c>
      <c r="H50" s="458" t="str">
        <f>'History '!G50</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v>
      </c>
      <c r="I50" s="458"/>
      <c r="J50" s="459"/>
      <c r="K50" s="280"/>
      <c r="L50" s="281" t="str">
        <f>D49</f>
        <v>GBP - CPI (YoY) (Jun)</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493"/>
      <c r="E51" s="494"/>
      <c r="F51" s="495"/>
      <c r="G51" s="283" t="s">
        <v>68</v>
      </c>
      <c r="H51" s="460"/>
      <c r="I51" s="460"/>
      <c r="J51" s="461"/>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496">
        <f>'History '!D52</f>
        <v>0</v>
      </c>
      <c r="E52" s="497"/>
      <c r="F52" s="498"/>
      <c r="G52" s="283"/>
      <c r="H52" s="460"/>
      <c r="I52" s="460"/>
      <c r="J52" s="461"/>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68">
        <f>'History '!D53</f>
        <v>0.25</v>
      </c>
      <c r="E53" s="469"/>
      <c r="F53" s="470"/>
      <c r="G53" s="286"/>
      <c r="H53" s="460"/>
      <c r="I53" s="460"/>
      <c r="J53" s="461"/>
      <c r="K53" s="287">
        <f>'History '!J53</f>
        <v>0.47916666666666669</v>
      </c>
      <c r="L53" s="288">
        <f>'History '!K53</f>
        <v>0.375</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60"/>
      <c r="I54" s="460"/>
      <c r="J54" s="461"/>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60"/>
      <c r="I55" s="460"/>
      <c r="J55" s="461"/>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60"/>
      <c r="I56" s="460"/>
      <c r="J56" s="461"/>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60"/>
      <c r="I57" s="460"/>
      <c r="J57" s="461"/>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60"/>
      <c r="I58" s="460"/>
      <c r="J58" s="461"/>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60"/>
      <c r="I59" s="460"/>
      <c r="J59" s="461"/>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62"/>
      <c r="I60" s="462"/>
      <c r="J60" s="463"/>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1" t="str">
        <f>'History '!D61</f>
        <v>USD - PPI (MoM) (Jun)</v>
      </c>
      <c r="E61" s="482"/>
      <c r="F61" s="483"/>
      <c r="G61" s="274" t="s">
        <v>38</v>
      </c>
      <c r="H61" s="453" t="str">
        <f>'History '!G61</f>
        <v>Description</v>
      </c>
      <c r="I61" s="453"/>
      <c r="J61" s="454"/>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84"/>
      <c r="E62" s="485"/>
      <c r="F62" s="486"/>
      <c r="G62" s="279" t="s">
        <v>69</v>
      </c>
      <c r="H62" s="458" t="str">
        <f>'History '!G62</f>
        <v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v>
      </c>
      <c r="I62" s="458"/>
      <c r="J62" s="459"/>
      <c r="K62" s="280"/>
      <c r="L62" s="281" t="str">
        <f>D61</f>
        <v>USD - PPI (MoM) (Jun)</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87"/>
      <c r="E63" s="488"/>
      <c r="F63" s="489"/>
      <c r="G63" s="283" t="s">
        <v>68</v>
      </c>
      <c r="H63" s="460"/>
      <c r="I63" s="460"/>
      <c r="J63" s="461"/>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509">
        <f>'History '!D64</f>
        <v>0</v>
      </c>
      <c r="E64" s="510"/>
      <c r="F64" s="511"/>
      <c r="G64" s="283"/>
      <c r="H64" s="460"/>
      <c r="I64" s="460"/>
      <c r="J64" s="461"/>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512">
        <f>'History '!D65</f>
        <v>0.52083333333333337</v>
      </c>
      <c r="E65" s="513"/>
      <c r="F65" s="514"/>
      <c r="G65" s="286"/>
      <c r="H65" s="460"/>
      <c r="I65" s="460"/>
      <c r="J65" s="461"/>
      <c r="K65" s="287">
        <f>'History '!J65</f>
        <v>0.75</v>
      </c>
      <c r="L65" s="288">
        <f>'History '!K65</f>
        <v>0.64583333333333337</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60"/>
      <c r="I66" s="460"/>
      <c r="J66" s="461"/>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4">
        <f>'History '!D67</f>
        <v>0</v>
      </c>
      <c r="E67" s="354">
        <f>'History '!E67</f>
        <v>0</v>
      </c>
      <c r="F67" s="354">
        <f>'History '!F67</f>
        <v>0</v>
      </c>
      <c r="G67" s="296">
        <f>MOD(K67-TIME(5,30,0),1)</f>
        <v>0.70833333333333337</v>
      </c>
      <c r="H67" s="460"/>
      <c r="I67" s="460"/>
      <c r="J67" s="461"/>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4">
        <f>'History '!D68</f>
        <v>0</v>
      </c>
      <c r="E68" s="354">
        <f>'History '!E68</f>
        <v>0</v>
      </c>
      <c r="F68" s="354">
        <f>'History '!F68</f>
        <v>0</v>
      </c>
      <c r="G68" s="296">
        <f t="shared" ref="G68:G72" si="5">MOD(K68-TIME(5,30,0),1)</f>
        <v>0.77777777777777779</v>
      </c>
      <c r="H68" s="460"/>
      <c r="I68" s="460"/>
      <c r="J68" s="461"/>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4">
        <f>'History '!D69</f>
        <v>0</v>
      </c>
      <c r="E69" s="354">
        <f>'History '!E69</f>
        <v>0</v>
      </c>
      <c r="F69" s="354">
        <f>'History '!F69</f>
        <v>0</v>
      </c>
      <c r="G69" s="296">
        <f t="shared" si="5"/>
        <v>0.52777777777777779</v>
      </c>
      <c r="H69" s="460"/>
      <c r="I69" s="460"/>
      <c r="J69" s="461"/>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4">
        <f>'History '!D70</f>
        <v>0</v>
      </c>
      <c r="E70" s="354">
        <f>'History '!E70</f>
        <v>0</v>
      </c>
      <c r="F70" s="354">
        <f>'History '!F70</f>
        <v>0</v>
      </c>
      <c r="G70" s="296">
        <f t="shared" si="5"/>
        <v>0.72916666666666674</v>
      </c>
      <c r="H70" s="460"/>
      <c r="I70" s="460"/>
      <c r="J70" s="461"/>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4">
        <f>'History '!D71</f>
        <v>0</v>
      </c>
      <c r="E71" s="354">
        <f>'History '!E71</f>
        <v>0</v>
      </c>
      <c r="F71" s="354">
        <f>'History '!F71</f>
        <v>0</v>
      </c>
      <c r="G71" s="296">
        <f t="shared" si="5"/>
        <v>0.64236111111111116</v>
      </c>
      <c r="H71" s="460"/>
      <c r="I71" s="460"/>
      <c r="J71" s="461"/>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4">
        <f>'History '!D72</f>
        <v>0</v>
      </c>
      <c r="E72" s="354">
        <f>'History '!E72</f>
        <v>0</v>
      </c>
      <c r="F72" s="354">
        <f>'History '!F72</f>
        <v>0</v>
      </c>
      <c r="G72" s="296">
        <f t="shared" si="5"/>
        <v>0.72916666666666674</v>
      </c>
      <c r="H72" s="462"/>
      <c r="I72" s="462"/>
      <c r="J72" s="463"/>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1" t="str">
        <f>'History '!D73</f>
        <v>USD - Crude Oil Inventories</v>
      </c>
      <c r="E73" s="482"/>
      <c r="F73" s="483"/>
      <c r="G73" s="274" t="s">
        <v>38</v>
      </c>
      <c r="H73" s="453" t="str">
        <f>'History '!G73</f>
        <v>Description</v>
      </c>
      <c r="I73" s="453"/>
      <c r="J73" s="454"/>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84"/>
      <c r="E74" s="485"/>
      <c r="F74" s="486"/>
      <c r="G74" s="279" t="s">
        <v>69</v>
      </c>
      <c r="H74" s="458" t="str">
        <f>'History '!G74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v>
      </c>
      <c r="I74" s="458"/>
      <c r="J74" s="459"/>
      <c r="K74" s="280"/>
      <c r="L74" s="281" t="str">
        <f>D73</f>
        <v>USD - Crude Oil Inventories</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87"/>
      <c r="E75" s="488"/>
      <c r="F75" s="489"/>
      <c r="G75" s="283" t="s">
        <v>68</v>
      </c>
      <c r="H75" s="460"/>
      <c r="I75" s="460"/>
      <c r="J75" s="461"/>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509" t="str">
        <f>'History '!D76</f>
        <v>7.070M</v>
      </c>
      <c r="E76" s="510"/>
      <c r="F76" s="511"/>
      <c r="G76" s="283"/>
      <c r="H76" s="460"/>
      <c r="I76" s="460"/>
      <c r="J76" s="461"/>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512">
        <f>'History '!D77</f>
        <v>0.60416666666666674</v>
      </c>
      <c r="E77" s="513"/>
      <c r="F77" s="514"/>
      <c r="G77" s="286"/>
      <c r="H77" s="460"/>
      <c r="I77" s="460"/>
      <c r="J77" s="461"/>
      <c r="K77" s="287">
        <f>'History '!J77</f>
        <v>0.83333333333333337</v>
      </c>
      <c r="L77" s="288">
        <f>'History '!K77</f>
        <v>0.72916666666666674</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60"/>
      <c r="I78" s="460"/>
      <c r="J78" s="461"/>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4" t="str">
        <f>'History '!D79</f>
        <v>743</v>
      </c>
      <c r="E79" s="354" t="str">
        <f>'History '!E79</f>
        <v>694</v>
      </c>
      <c r="F79" s="354" t="str">
        <f>'History '!F79</f>
        <v>670</v>
      </c>
      <c r="G79" s="296">
        <f>MOD(K79-TIME(5,30,0),1)</f>
        <v>0.58333333333333337</v>
      </c>
      <c r="H79" s="460"/>
      <c r="I79" s="460"/>
      <c r="J79" s="461"/>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4" t="str">
        <f>'History '!D80</f>
        <v>724</v>
      </c>
      <c r="E80" s="354" t="str">
        <f>'History '!E80</f>
        <v>684</v>
      </c>
      <c r="F80" s="354" t="str">
        <f>'History '!F80</f>
        <v>674</v>
      </c>
      <c r="G80" s="296">
        <f t="shared" ref="G80:G84" si="6">MOD(K80-TIME(5,30,0),1)</f>
        <v>0.58333333333333337</v>
      </c>
      <c r="H80" s="460"/>
      <c r="I80" s="460"/>
      <c r="J80" s="461"/>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4" t="str">
        <f>'History '!D81</f>
        <v>676</v>
      </c>
      <c r="E81" s="354" t="str">
        <f>'History '!E81</f>
        <v>682</v>
      </c>
      <c r="F81" s="354" t="str">
        <f>'History '!F81</f>
        <v>664</v>
      </c>
      <c r="G81" s="296">
        <f t="shared" si="6"/>
        <v>0.625</v>
      </c>
      <c r="H81" s="460"/>
      <c r="I81" s="460"/>
      <c r="J81" s="461"/>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4" t="str">
        <f>'History '!D82</f>
        <v>657</v>
      </c>
      <c r="E82" s="354" t="str">
        <f>'History '!E82</f>
        <v>679</v>
      </c>
      <c r="F82" s="354" t="str">
        <f>'History '!F82</f>
        <v>734</v>
      </c>
      <c r="G82" s="296">
        <f t="shared" si="6"/>
        <v>0.625</v>
      </c>
      <c r="H82" s="460"/>
      <c r="I82" s="460"/>
      <c r="J82" s="461"/>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4" t="str">
        <f>'History '!D83</f>
        <v>698</v>
      </c>
      <c r="E83" s="354" t="str">
        <f>'History '!E83</f>
        <v>669</v>
      </c>
      <c r="F83" s="354" t="str">
        <f>'History '!F83</f>
        <v>674</v>
      </c>
      <c r="G83" s="296">
        <f t="shared" si="6"/>
        <v>0.625</v>
      </c>
      <c r="H83" s="460"/>
      <c r="I83" s="460"/>
      <c r="J83" s="461"/>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4" t="str">
        <f>'History '!D84</f>
        <v>664</v>
      </c>
      <c r="E84" s="354" t="str">
        <f>'History '!E84</f>
        <v>666</v>
      </c>
      <c r="F84" s="354" t="str">
        <f>'History '!F84</f>
        <v>627</v>
      </c>
      <c r="G84" s="296">
        <f t="shared" si="6"/>
        <v>0.72916666666666674</v>
      </c>
      <c r="H84" s="462"/>
      <c r="I84" s="462"/>
      <c r="J84" s="463"/>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50" t="str">
        <f>'History '!D85</f>
        <v>EUR - CPI (YoY) (Jun)</v>
      </c>
      <c r="E85" s="451"/>
      <c r="F85" s="452"/>
      <c r="G85" s="274" t="s">
        <v>38</v>
      </c>
      <c r="H85" s="453" t="str">
        <f>'History '!G85</f>
        <v>Description</v>
      </c>
      <c r="I85" s="453"/>
      <c r="J85" s="454"/>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55"/>
      <c r="E86" s="456"/>
      <c r="F86" s="457"/>
      <c r="G86" s="279" t="s">
        <v>800</v>
      </c>
      <c r="H86" s="458" t="str">
        <f>'History '!G86</f>
        <v>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I86" s="458"/>
      <c r="J86" s="459"/>
      <c r="K86" s="280"/>
      <c r="L86" s="281" t="str">
        <f>D85</f>
        <v>EUR - CPI (YoY) (Jun)</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64"/>
      <c r="E87" s="465"/>
      <c r="F87" s="466"/>
      <c r="G87" s="279" t="s">
        <v>801</v>
      </c>
      <c r="H87" s="460"/>
      <c r="I87" s="460"/>
      <c r="J87" s="461"/>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15">
        <f>'History '!D88</f>
        <v>0.02</v>
      </c>
      <c r="E88" s="516"/>
      <c r="F88" s="517"/>
      <c r="G88" s="283"/>
      <c r="H88" s="460"/>
      <c r="I88" s="460"/>
      <c r="J88" s="461"/>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68">
        <f>'History '!D89</f>
        <v>0.375</v>
      </c>
      <c r="E89" s="469"/>
      <c r="F89" s="470"/>
      <c r="G89" s="286"/>
      <c r="H89" s="460"/>
      <c r="I89" s="460"/>
      <c r="J89" s="461"/>
      <c r="K89" s="287">
        <f>'History '!J89</f>
        <v>0.60416666666666663</v>
      </c>
      <c r="L89" s="288">
        <f>'History '!K89</f>
        <v>0.49999999999999994</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60"/>
      <c r="I90" s="460"/>
      <c r="J90" s="461"/>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60"/>
      <c r="I91" s="460"/>
      <c r="J91" s="461"/>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60"/>
      <c r="I92" s="460"/>
      <c r="J92" s="461"/>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60"/>
      <c r="I93" s="460"/>
      <c r="J93" s="461"/>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60"/>
      <c r="I94" s="460"/>
      <c r="J94" s="461"/>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60"/>
      <c r="I95" s="460"/>
      <c r="J95" s="461"/>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62"/>
      <c r="I96" s="462"/>
      <c r="J96" s="463"/>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50" t="str">
        <f>'History '!D97</f>
        <v>USD - Core Retail Sales (MoM) (Jun)</v>
      </c>
      <c r="E97" s="451"/>
      <c r="F97" s="452"/>
      <c r="G97" s="274" t="s">
        <v>38</v>
      </c>
      <c r="H97" s="453" t="str">
        <f>'History '!G97</f>
        <v>Description</v>
      </c>
      <c r="I97" s="453"/>
      <c r="J97" s="454"/>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55"/>
      <c r="E98" s="456"/>
      <c r="F98" s="457"/>
      <c r="G98" s="279" t="s">
        <v>69</v>
      </c>
      <c r="H98" s="458" t="str">
        <f>'History '!G98</f>
        <v>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v>
      </c>
      <c r="I98" s="458"/>
      <c r="J98" s="459"/>
      <c r="K98" s="280"/>
      <c r="L98" s="281" t="str">
        <f>D97</f>
        <v>USD - Core Retail Sales (MoM) (Jun)</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64"/>
      <c r="E99" s="465"/>
      <c r="F99" s="466"/>
      <c r="G99" s="283" t="s">
        <v>68</v>
      </c>
      <c r="H99" s="460"/>
      <c r="I99" s="460"/>
      <c r="J99" s="461"/>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71"/>
      <c r="E100" s="472"/>
      <c r="F100" s="473"/>
      <c r="G100" s="283"/>
      <c r="H100" s="460"/>
      <c r="I100" s="460"/>
      <c r="J100" s="461"/>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68">
        <f>'History '!D101</f>
        <v>0.52083333333333337</v>
      </c>
      <c r="E101" s="469"/>
      <c r="F101" s="470"/>
      <c r="G101" s="286"/>
      <c r="H101" s="460"/>
      <c r="I101" s="460"/>
      <c r="J101" s="461"/>
      <c r="K101" s="287">
        <f>'History '!J101</f>
        <v>0.75</v>
      </c>
      <c r="L101" s="288">
        <f>'History '!K101</f>
        <v>0.64583333333333337</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60"/>
      <c r="I102" s="460"/>
      <c r="J102" s="461"/>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60"/>
      <c r="I103" s="460"/>
      <c r="J103" s="461"/>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5">
        <f>'History '!C104</f>
        <v>45802</v>
      </c>
      <c r="D104" s="270"/>
      <c r="E104" s="270"/>
      <c r="F104" s="270"/>
      <c r="G104" s="296">
        <f t="shared" ref="G104:G108" si="8">MOD(K104-TIME(5,30,0),1)</f>
        <v>0.52777777777777779</v>
      </c>
      <c r="H104" s="460"/>
      <c r="I104" s="460"/>
      <c r="J104" s="461"/>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60"/>
      <c r="I105" s="460"/>
      <c r="J105" s="461"/>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60"/>
      <c r="I106" s="460"/>
      <c r="J106" s="461"/>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60"/>
      <c r="I107" s="460"/>
      <c r="J107" s="461"/>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62"/>
      <c r="I108" s="462"/>
      <c r="J108" s="463"/>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50" t="str">
        <f>'History '!D109</f>
        <v>USD - Initial Jobless Claims</v>
      </c>
      <c r="E109" s="451"/>
      <c r="F109" s="452"/>
      <c r="G109" s="274" t="s">
        <v>38</v>
      </c>
      <c r="H109" s="453" t="str">
        <f>'History '!G109</f>
        <v>Description</v>
      </c>
      <c r="I109" s="453"/>
      <c r="J109" s="454"/>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55"/>
      <c r="E110" s="456"/>
      <c r="F110" s="457"/>
      <c r="G110" s="279" t="s">
        <v>69</v>
      </c>
      <c r="H110" s="458" t="str">
        <f>'History '!G110</f>
        <v>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I110" s="458"/>
      <c r="J110" s="459"/>
      <c r="K110" s="280"/>
      <c r="L110" s="281" t="str">
        <f>D109</f>
        <v>USD - Initial Jobless Claims</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64"/>
      <c r="E111" s="465"/>
      <c r="F111" s="466"/>
      <c r="G111" s="283" t="s">
        <v>68</v>
      </c>
      <c r="H111" s="460"/>
      <c r="I111" s="460"/>
      <c r="J111" s="461"/>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467" t="str">
        <f>'History '!D112</f>
        <v>227K</v>
      </c>
      <c r="E112" s="465"/>
      <c r="F112" s="466"/>
      <c r="G112" s="283"/>
      <c r="H112" s="460"/>
      <c r="I112" s="460"/>
      <c r="J112" s="461"/>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68">
        <f>'History '!D113</f>
        <v>0.52083333333333337</v>
      </c>
      <c r="E113" s="469"/>
      <c r="F113" s="470"/>
      <c r="G113" s="286"/>
      <c r="H113" s="460"/>
      <c r="I113" s="460"/>
      <c r="J113" s="461"/>
      <c r="K113" s="287">
        <f>'History '!J113</f>
        <v>0.75</v>
      </c>
      <c r="L113" s="288">
        <f>'History '!K113</f>
        <v>0.64583333333333337</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60"/>
      <c r="I114" s="460"/>
      <c r="J114" s="461"/>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60"/>
      <c r="I115" s="460"/>
      <c r="J115" s="461"/>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60"/>
      <c r="I116" s="460"/>
      <c r="J116" s="461"/>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60"/>
      <c r="I117" s="460"/>
      <c r="J117" s="461"/>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60"/>
      <c r="I118" s="460"/>
      <c r="J118" s="461"/>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60"/>
      <c r="I119" s="460"/>
      <c r="J119" s="461"/>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62"/>
      <c r="I120" s="462"/>
      <c r="J120" s="463"/>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50" t="str">
        <f>'History '!D121</f>
        <v>USD - Philadelphia Fed Manufacturing Index (Jul)</v>
      </c>
      <c r="E121" s="451"/>
      <c r="F121" s="452"/>
      <c r="G121" s="274" t="s">
        <v>38</v>
      </c>
      <c r="H121" s="453" t="str">
        <f>'History '!G121</f>
        <v>Description</v>
      </c>
      <c r="I121" s="453"/>
      <c r="J121" s="454"/>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55"/>
      <c r="E122" s="456"/>
      <c r="F122" s="457"/>
      <c r="G122" s="279" t="s">
        <v>69</v>
      </c>
      <c r="H122" s="458" t="str">
        <f>'History '!G122</f>
        <v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v>
      </c>
      <c r="I122" s="458"/>
      <c r="J122" s="459"/>
      <c r="K122" s="280"/>
      <c r="L122" s="281" t="str">
        <f>D121</f>
        <v>USD - Philadelphia Fed Manufacturing Index (Jul)</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64"/>
      <c r="E123" s="465"/>
      <c r="F123" s="466"/>
      <c r="G123" s="283" t="s">
        <v>68</v>
      </c>
      <c r="H123" s="460"/>
      <c r="I123" s="460"/>
      <c r="J123" s="461"/>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467">
        <f>'History '!D124</f>
        <v>-4</v>
      </c>
      <c r="E124" s="465"/>
      <c r="F124" s="466"/>
      <c r="G124" s="283"/>
      <c r="H124" s="460"/>
      <c r="I124" s="460"/>
      <c r="J124" s="461"/>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68">
        <f>'History '!D125</f>
        <v>0.52083333333333337</v>
      </c>
      <c r="E125" s="469"/>
      <c r="F125" s="470"/>
      <c r="G125" s="286"/>
      <c r="H125" s="460"/>
      <c r="I125" s="460"/>
      <c r="J125" s="461"/>
      <c r="K125" s="287">
        <f>'History '!J125</f>
        <v>0.75</v>
      </c>
      <c r="L125" s="288">
        <f>'History '!K125</f>
        <v>0.64583333333333337</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60"/>
      <c r="I126" s="460"/>
      <c r="J126" s="461"/>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60"/>
      <c r="I127" s="460"/>
      <c r="J127" s="461"/>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60"/>
      <c r="I128" s="460"/>
      <c r="J128" s="461"/>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60"/>
      <c r="I129" s="460"/>
      <c r="J129" s="461"/>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60"/>
      <c r="I130" s="460"/>
      <c r="J130" s="461"/>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60"/>
      <c r="I131" s="460"/>
      <c r="J131" s="461"/>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62"/>
      <c r="I132" s="462"/>
      <c r="J132" s="463"/>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50" t="str">
        <f>'History '!D133</f>
        <v>USD - Retail Sales (MoM) (Jun)</v>
      </c>
      <c r="E133" s="451"/>
      <c r="F133" s="452"/>
      <c r="G133" s="274" t="s">
        <v>38</v>
      </c>
      <c r="H133" s="453" t="str">
        <f>'History '!G133</f>
        <v>Description</v>
      </c>
      <c r="I133" s="453"/>
      <c r="J133" s="454"/>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55"/>
      <c r="E134" s="456"/>
      <c r="F134" s="457"/>
      <c r="G134" s="279" t="s">
        <v>69</v>
      </c>
      <c r="H134" s="458" t="str">
        <f>'History '!G134</f>
        <v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v>
      </c>
      <c r="I134" s="458"/>
      <c r="J134" s="459"/>
      <c r="K134" s="280"/>
      <c r="L134" s="281" t="str">
        <f>D133</f>
        <v>USD - Retail Sales (MoM) (Jun)</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64"/>
      <c r="E135" s="465"/>
      <c r="F135" s="466"/>
      <c r="G135" s="283" t="s">
        <v>68</v>
      </c>
      <c r="H135" s="460"/>
      <c r="I135" s="460"/>
      <c r="J135" s="461"/>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467">
        <f>'History '!D136</f>
        <v>-8.9999999999999993E-3</v>
      </c>
      <c r="E136" s="465"/>
      <c r="F136" s="466"/>
      <c r="G136" s="283"/>
      <c r="H136" s="460"/>
      <c r="I136" s="460"/>
      <c r="J136" s="461"/>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68">
        <f>'History '!D137</f>
        <v>0.52083333333333337</v>
      </c>
      <c r="E137" s="469"/>
      <c r="F137" s="470"/>
      <c r="G137" s="286"/>
      <c r="H137" s="460"/>
      <c r="I137" s="460"/>
      <c r="J137" s="461"/>
      <c r="K137" s="287">
        <f>'History '!J137</f>
        <v>0.75</v>
      </c>
      <c r="L137" s="288">
        <f>'History '!K137</f>
        <v>0.64583333333333337</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60"/>
      <c r="I138" s="460"/>
      <c r="J138" s="461"/>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60"/>
      <c r="I139" s="460"/>
      <c r="J139" s="461"/>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60"/>
      <c r="I140" s="460"/>
      <c r="J140" s="461"/>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60"/>
      <c r="I141" s="460"/>
      <c r="J141" s="461"/>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60"/>
      <c r="I142" s="460"/>
      <c r="J142" s="461"/>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60"/>
      <c r="I143" s="460"/>
      <c r="J143" s="461"/>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62"/>
      <c r="I144" s="462"/>
      <c r="J144" s="463"/>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50" t="e">
        <f>'History '!D145</f>
        <v>#REF!</v>
      </c>
      <c r="E145" s="451"/>
      <c r="F145" s="452"/>
      <c r="G145" s="274" t="s">
        <v>38</v>
      </c>
      <c r="H145" s="453" t="str">
        <f>'History '!G145</f>
        <v>Description</v>
      </c>
      <c r="I145" s="453"/>
      <c r="J145" s="454"/>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55"/>
      <c r="E146" s="456"/>
      <c r="F146" s="457"/>
      <c r="G146" s="279" t="s">
        <v>69</v>
      </c>
      <c r="H146" s="458" t="e">
        <f>'History '!G146</f>
        <v>#REF!</v>
      </c>
      <c r="I146" s="458"/>
      <c r="J146" s="459"/>
      <c r="K146" s="280"/>
      <c r="L146" s="281" t="e">
        <f>D145</f>
        <v>#REF!</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64"/>
      <c r="E147" s="465"/>
      <c r="F147" s="466"/>
      <c r="G147" s="283" t="s">
        <v>68</v>
      </c>
      <c r="H147" s="460"/>
      <c r="I147" s="460"/>
      <c r="J147" s="461"/>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71" t="e">
        <f>'History '!D148</f>
        <v>#REF!</v>
      </c>
      <c r="E148" s="472"/>
      <c r="F148" s="473"/>
      <c r="G148" s="283"/>
      <c r="H148" s="460"/>
      <c r="I148" s="460"/>
      <c r="J148" s="461"/>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68" t="e">
        <f>'History '!D149</f>
        <v>#REF!</v>
      </c>
      <c r="E149" s="469"/>
      <c r="F149" s="470"/>
      <c r="G149" s="286"/>
      <c r="H149" s="460"/>
      <c r="I149" s="460"/>
      <c r="J149" s="461"/>
      <c r="K149" s="287" t="e">
        <f>'History '!J149</f>
        <v>#REF!</v>
      </c>
      <c r="L149" s="288" t="e">
        <f>'History '!K149</f>
        <v>#REF!</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60"/>
      <c r="I150" s="460"/>
      <c r="J150" s="461"/>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60"/>
      <c r="I151" s="460"/>
      <c r="J151" s="461"/>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60"/>
      <c r="I152" s="460"/>
      <c r="J152" s="461"/>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60"/>
      <c r="I153" s="460"/>
      <c r="J153" s="461"/>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60"/>
      <c r="I154" s="460"/>
      <c r="J154" s="461"/>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60"/>
      <c r="I155" s="460"/>
      <c r="J155" s="461"/>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62"/>
      <c r="I156" s="462"/>
      <c r="J156" s="463"/>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50" t="e">
        <f>'History '!D157</f>
        <v>#REF!</v>
      </c>
      <c r="E157" s="451"/>
      <c r="F157" s="452"/>
      <c r="G157" s="274" t="s">
        <v>38</v>
      </c>
      <c r="H157" s="453" t="str">
        <f>'History '!G157</f>
        <v>Description</v>
      </c>
      <c r="I157" s="453"/>
      <c r="J157" s="454"/>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55"/>
      <c r="E158" s="456"/>
      <c r="F158" s="457"/>
      <c r="G158" s="279" t="s">
        <v>69</v>
      </c>
      <c r="H158" s="458" t="e">
        <f>'History '!G158</f>
        <v>#REF!</v>
      </c>
      <c r="I158" s="458"/>
      <c r="J158" s="459"/>
      <c r="K158" s="280"/>
      <c r="L158" s="281" t="e">
        <f>D157</f>
        <v>#REF!</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64"/>
      <c r="E159" s="465"/>
      <c r="F159" s="466"/>
      <c r="G159" s="283" t="s">
        <v>68</v>
      </c>
      <c r="H159" s="460"/>
      <c r="I159" s="460"/>
      <c r="J159" s="461"/>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71" t="e">
        <f>'History '!D160</f>
        <v>#REF!</v>
      </c>
      <c r="E160" s="472"/>
      <c r="F160" s="473"/>
      <c r="G160" s="283"/>
      <c r="H160" s="460"/>
      <c r="I160" s="460"/>
      <c r="J160" s="461"/>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68" t="e">
        <f>'History '!D161</f>
        <v>#REF!</v>
      </c>
      <c r="E161" s="469"/>
      <c r="F161" s="470"/>
      <c r="G161" s="286"/>
      <c r="H161" s="460"/>
      <c r="I161" s="460"/>
      <c r="J161" s="461"/>
      <c r="K161" s="287" t="e">
        <f>'History '!J161</f>
        <v>#REF!</v>
      </c>
      <c r="L161" s="288" t="e">
        <f>'History '!K161</f>
        <v>#REF!</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60"/>
      <c r="I162" s="460"/>
      <c r="J162" s="461"/>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60"/>
      <c r="I163" s="460"/>
      <c r="J163" s="461"/>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60"/>
      <c r="I164" s="460"/>
      <c r="J164" s="461"/>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60"/>
      <c r="I165" s="460"/>
      <c r="J165" s="461"/>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60"/>
      <c r="I166" s="460"/>
      <c r="J166" s="461"/>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60"/>
      <c r="I167" s="460"/>
      <c r="J167" s="461"/>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62"/>
      <c r="I168" s="462"/>
      <c r="J168" s="463"/>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50" t="e">
        <f>'History '!D169</f>
        <v>#REF!</v>
      </c>
      <c r="E169" s="451"/>
      <c r="F169" s="452"/>
      <c r="G169" s="274" t="s">
        <v>38</v>
      </c>
      <c r="H169" s="453" t="str">
        <f>'History '!G169</f>
        <v>Description</v>
      </c>
      <c r="I169" s="453"/>
      <c r="J169" s="454"/>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55"/>
      <c r="E170" s="456"/>
      <c r="F170" s="457"/>
      <c r="G170" s="279" t="s">
        <v>145</v>
      </c>
      <c r="H170" s="458" t="e">
        <f>'History '!G170</f>
        <v>#REF!</v>
      </c>
      <c r="I170" s="458"/>
      <c r="J170" s="459"/>
      <c r="K170" s="280"/>
      <c r="L170" s="281" t="e">
        <f>D169</f>
        <v>#REF!</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64"/>
      <c r="E171" s="465"/>
      <c r="F171" s="466"/>
      <c r="G171" s="279" t="s">
        <v>145</v>
      </c>
      <c r="H171" s="460"/>
      <c r="I171" s="460"/>
      <c r="J171" s="461"/>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71" t="e">
        <f>'History '!D172</f>
        <v>#REF!</v>
      </c>
      <c r="E172" s="472"/>
      <c r="F172" s="473"/>
      <c r="G172" s="283"/>
      <c r="H172" s="460"/>
      <c r="I172" s="460"/>
      <c r="J172" s="461"/>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68" t="e">
        <f>'History '!D173</f>
        <v>#REF!</v>
      </c>
      <c r="E173" s="469"/>
      <c r="F173" s="470"/>
      <c r="G173" s="286"/>
      <c r="H173" s="460"/>
      <c r="I173" s="460"/>
      <c r="J173" s="461"/>
      <c r="K173" s="287" t="e">
        <f>'History '!J173</f>
        <v>#REF!</v>
      </c>
      <c r="L173" s="288" t="e">
        <f>'History '!K173</f>
        <v>#REF!</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60"/>
      <c r="I174" s="460"/>
      <c r="J174" s="461"/>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368">
        <f>MOD(K175-TIME(2,30,0),1)</f>
        <v>0.72916666666666674</v>
      </c>
      <c r="H175" s="460"/>
      <c r="I175" s="460"/>
      <c r="J175" s="461"/>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369">
        <f t="shared" ref="G176:G180" si="14">MOD(K176-TIME(2,30,0),1)</f>
        <v>0.72916666666666674</v>
      </c>
      <c r="H176" s="460"/>
      <c r="I176" s="460"/>
      <c r="J176" s="461"/>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369">
        <f t="shared" si="14"/>
        <v>0.72916666666666674</v>
      </c>
      <c r="H177" s="460"/>
      <c r="I177" s="460"/>
      <c r="J177" s="461"/>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369">
        <f t="shared" si="14"/>
        <v>0.79166666666666674</v>
      </c>
      <c r="H178" s="460"/>
      <c r="I178" s="460"/>
      <c r="J178" s="461"/>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369">
        <f t="shared" si="14"/>
        <v>0.72916666666666674</v>
      </c>
      <c r="H179" s="460"/>
      <c r="I179" s="460"/>
      <c r="J179" s="461"/>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369">
        <f t="shared" si="14"/>
        <v>0.75</v>
      </c>
      <c r="H180" s="462"/>
      <c r="I180" s="462"/>
      <c r="J180" s="463"/>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50" t="e">
        <f>'History '!D181</f>
        <v>#REF!</v>
      </c>
      <c r="E181" s="451"/>
      <c r="F181" s="452"/>
      <c r="G181" s="367" t="s">
        <v>38</v>
      </c>
      <c r="H181" s="453" t="str">
        <f>'History '!G181</f>
        <v>Description</v>
      </c>
      <c r="I181" s="453"/>
      <c r="J181" s="454"/>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55"/>
      <c r="E182" s="456"/>
      <c r="F182" s="457"/>
      <c r="G182" s="279" t="s">
        <v>145</v>
      </c>
      <c r="H182" s="458" t="e">
        <f>'History '!G182</f>
        <v>#REF!</v>
      </c>
      <c r="I182" s="458"/>
      <c r="J182" s="459"/>
      <c r="K182" s="280"/>
      <c r="L182" s="281" t="e">
        <f>D181</f>
        <v>#REF!</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64"/>
      <c r="E183" s="465"/>
      <c r="F183" s="466"/>
      <c r="G183" s="279" t="s">
        <v>145</v>
      </c>
      <c r="H183" s="460"/>
      <c r="I183" s="460"/>
      <c r="J183" s="461"/>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71" t="e">
        <f>'History '!D184</f>
        <v>#REF!</v>
      </c>
      <c r="E184" s="472"/>
      <c r="F184" s="473"/>
      <c r="G184" s="283"/>
      <c r="H184" s="460"/>
      <c r="I184" s="460"/>
      <c r="J184" s="461"/>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68" t="e">
        <f>'History '!D185</f>
        <v>#REF!</v>
      </c>
      <c r="E185" s="469"/>
      <c r="F185" s="470"/>
      <c r="G185" s="286"/>
      <c r="H185" s="460"/>
      <c r="I185" s="460"/>
      <c r="J185" s="461"/>
      <c r="K185" s="287" t="e">
        <f>'History '!J185</f>
        <v>#REF!</v>
      </c>
      <c r="L185" s="288" t="e">
        <f>'History '!K185</f>
        <v>#REF!</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60"/>
      <c r="I186" s="460"/>
      <c r="J186" s="461"/>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60"/>
      <c r="I187" s="460"/>
      <c r="J187" s="461"/>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60"/>
      <c r="I188" s="460"/>
      <c r="J188" s="461"/>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60"/>
      <c r="I189" s="460"/>
      <c r="J189" s="461"/>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60"/>
      <c r="I190" s="460"/>
      <c r="J190" s="461"/>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60"/>
      <c r="I191" s="460"/>
      <c r="J191" s="461"/>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62"/>
      <c r="I192" s="462"/>
      <c r="J192" s="463"/>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50" t="e">
        <f>'History '!D193</f>
        <v>#REF!</v>
      </c>
      <c r="E193" s="451"/>
      <c r="F193" s="452"/>
      <c r="G193" s="274" t="s">
        <v>38</v>
      </c>
      <c r="H193" s="453" t="str">
        <f>'History '!G193</f>
        <v>Description</v>
      </c>
      <c r="I193" s="453"/>
      <c r="J193" s="454"/>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55"/>
      <c r="E194" s="456"/>
      <c r="F194" s="457"/>
      <c r="G194" s="279" t="s">
        <v>69</v>
      </c>
      <c r="H194" s="458" t="e">
        <f>'History '!G194</f>
        <v>#REF!</v>
      </c>
      <c r="I194" s="458"/>
      <c r="J194" s="459"/>
      <c r="K194" s="280"/>
      <c r="L194" s="281" t="e">
        <f>D193</f>
        <v>#REF!</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64"/>
      <c r="E195" s="465"/>
      <c r="F195" s="466"/>
      <c r="G195" s="283" t="s">
        <v>68</v>
      </c>
      <c r="H195" s="460"/>
      <c r="I195" s="460"/>
      <c r="J195" s="461"/>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71" t="e">
        <f>'History '!D196</f>
        <v>#REF!</v>
      </c>
      <c r="E196" s="472"/>
      <c r="F196" s="473"/>
      <c r="G196" s="283"/>
      <c r="H196" s="460"/>
      <c r="I196" s="460"/>
      <c r="J196" s="461"/>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68" t="e">
        <f>'History '!D197</f>
        <v>#REF!</v>
      </c>
      <c r="E197" s="469"/>
      <c r="F197" s="470"/>
      <c r="G197" s="286"/>
      <c r="H197" s="460"/>
      <c r="I197" s="460"/>
      <c r="J197" s="461"/>
      <c r="K197" s="287" t="e">
        <f>'History '!J197</f>
        <v>#REF!</v>
      </c>
      <c r="L197" s="288" t="e">
        <f>'History '!K197</f>
        <v>#REF!</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60"/>
      <c r="I198" s="460"/>
      <c r="J198" s="461"/>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60"/>
      <c r="I199" s="460"/>
      <c r="J199" s="461"/>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60"/>
      <c r="I200" s="460"/>
      <c r="J200" s="461"/>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60"/>
      <c r="I201" s="460"/>
      <c r="J201" s="461"/>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60"/>
      <c r="I202" s="460"/>
      <c r="J202" s="461"/>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60"/>
      <c r="I203" s="460"/>
      <c r="J203" s="461"/>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62"/>
      <c r="I204" s="462"/>
      <c r="J204" s="463"/>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50" t="e">
        <f>'History '!D205</f>
        <v>#REF!</v>
      </c>
      <c r="E205" s="451"/>
      <c r="F205" s="452"/>
      <c r="G205" s="274" t="s">
        <v>38</v>
      </c>
      <c r="H205" s="453" t="str">
        <f>'History '!G205</f>
        <v>Description</v>
      </c>
      <c r="I205" s="453"/>
      <c r="J205" s="454"/>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55"/>
      <c r="E206" s="456"/>
      <c r="F206" s="457"/>
      <c r="G206" s="279" t="s">
        <v>69</v>
      </c>
      <c r="H206" s="458" t="e">
        <f>'History '!G206</f>
        <v>#REF!</v>
      </c>
      <c r="I206" s="458"/>
      <c r="J206" s="459"/>
      <c r="K206" s="280"/>
      <c r="L206" s="281" t="e">
        <f>D205</f>
        <v>#REF!</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64"/>
      <c r="E207" s="465"/>
      <c r="F207" s="466"/>
      <c r="G207" s="283" t="s">
        <v>68</v>
      </c>
      <c r="H207" s="460"/>
      <c r="I207" s="460"/>
      <c r="J207" s="461"/>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71" t="e">
        <f>'History '!D208</f>
        <v>#REF!</v>
      </c>
      <c r="E208" s="472"/>
      <c r="F208" s="473"/>
      <c r="G208" s="283"/>
      <c r="H208" s="460"/>
      <c r="I208" s="460"/>
      <c r="J208" s="461"/>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68" t="e">
        <f>'History '!D209</f>
        <v>#REF!</v>
      </c>
      <c r="E209" s="469"/>
      <c r="F209" s="470"/>
      <c r="G209" s="286"/>
      <c r="H209" s="460"/>
      <c r="I209" s="460"/>
      <c r="J209" s="461"/>
      <c r="K209" s="287" t="e">
        <f>'History '!J209</f>
        <v>#REF!</v>
      </c>
      <c r="L209" s="288" t="e">
        <f>'History '!K209</f>
        <v>#REF!</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60"/>
      <c r="I210" s="460"/>
      <c r="J210" s="461"/>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60"/>
      <c r="I211" s="460"/>
      <c r="J211" s="461"/>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60"/>
      <c r="I212" s="460"/>
      <c r="J212" s="461"/>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60"/>
      <c r="I213" s="460"/>
      <c r="J213" s="461"/>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60"/>
      <c r="I214" s="460"/>
      <c r="J214" s="461"/>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60"/>
      <c r="I215" s="460"/>
      <c r="J215" s="461"/>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62"/>
      <c r="I216" s="462"/>
      <c r="J216" s="463"/>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50" t="e">
        <f>'History '!D217</f>
        <v>#REF!</v>
      </c>
      <c r="E217" s="451"/>
      <c r="F217" s="452"/>
      <c r="G217" s="274" t="s">
        <v>38</v>
      </c>
      <c r="H217" s="453" t="str">
        <f>'History '!G217</f>
        <v>Description</v>
      </c>
      <c r="I217" s="453"/>
      <c r="J217" s="454"/>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55"/>
      <c r="E218" s="456"/>
      <c r="F218" s="457"/>
      <c r="G218" s="279" t="s">
        <v>145</v>
      </c>
      <c r="H218" s="458" t="e">
        <f>'History '!G218</f>
        <v>#REF!</v>
      </c>
      <c r="I218" s="458"/>
      <c r="J218" s="459"/>
      <c r="K218" s="280"/>
      <c r="L218" s="281" t="e">
        <f>D217</f>
        <v>#REF!</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64"/>
      <c r="E219" s="465"/>
      <c r="F219" s="466"/>
      <c r="G219" s="279" t="s">
        <v>145</v>
      </c>
      <c r="H219" s="460"/>
      <c r="I219" s="460"/>
      <c r="J219" s="461"/>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71" t="e">
        <f>'History '!D220</f>
        <v>#REF!</v>
      </c>
      <c r="E220" s="472"/>
      <c r="F220" s="473"/>
      <c r="G220" s="283"/>
      <c r="H220" s="460"/>
      <c r="I220" s="460"/>
      <c r="J220" s="461"/>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68" t="e">
        <f>'History '!D221</f>
        <v>#REF!</v>
      </c>
      <c r="E221" s="469"/>
      <c r="F221" s="470"/>
      <c r="G221" s="286"/>
      <c r="H221" s="460"/>
      <c r="I221" s="460"/>
      <c r="J221" s="461"/>
      <c r="K221" s="287" t="e">
        <f>'History '!J221</f>
        <v>#REF!</v>
      </c>
      <c r="L221" s="288" t="e">
        <f>'History '!K221</f>
        <v>#REF!</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60"/>
      <c r="I222" s="460"/>
      <c r="J222" s="461"/>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60"/>
      <c r="I223" s="460"/>
      <c r="J223" s="461"/>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60"/>
      <c r="I224" s="460"/>
      <c r="J224" s="461"/>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60"/>
      <c r="I225" s="460"/>
      <c r="J225" s="461"/>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60"/>
      <c r="I226" s="460"/>
      <c r="J226" s="461"/>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60"/>
      <c r="I227" s="460"/>
      <c r="J227" s="461"/>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62"/>
      <c r="I228" s="462"/>
      <c r="J228" s="463"/>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50" t="e">
        <f>'History '!D229</f>
        <v>#REF!</v>
      </c>
      <c r="E229" s="451"/>
      <c r="F229" s="452"/>
      <c r="G229" s="274" t="s">
        <v>38</v>
      </c>
      <c r="H229" s="453" t="str">
        <f>'History '!G229</f>
        <v>Description</v>
      </c>
      <c r="I229" s="453"/>
      <c r="J229" s="454"/>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55"/>
      <c r="E230" s="456"/>
      <c r="F230" s="457"/>
      <c r="G230" s="279" t="s">
        <v>145</v>
      </c>
      <c r="H230" s="458" t="e">
        <f>'History '!G230</f>
        <v>#REF!</v>
      </c>
      <c r="I230" s="458"/>
      <c r="J230" s="459"/>
      <c r="K230" s="280"/>
      <c r="L230" s="281" t="e">
        <f>D229</f>
        <v>#REF!</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64"/>
      <c r="E231" s="465"/>
      <c r="F231" s="466"/>
      <c r="G231" s="279" t="s">
        <v>145</v>
      </c>
      <c r="H231" s="460"/>
      <c r="I231" s="460"/>
      <c r="J231" s="461"/>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71" t="e">
        <f>'History '!D232</f>
        <v>#REF!</v>
      </c>
      <c r="E232" s="472"/>
      <c r="F232" s="473"/>
      <c r="G232" s="283"/>
      <c r="H232" s="460"/>
      <c r="I232" s="460"/>
      <c r="J232" s="461"/>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68" t="e">
        <f>'History '!D233</f>
        <v>#REF!</v>
      </c>
      <c r="E233" s="469"/>
      <c r="F233" s="470"/>
      <c r="G233" s="286"/>
      <c r="H233" s="460"/>
      <c r="I233" s="460"/>
      <c r="J233" s="461"/>
      <c r="K233" s="287" t="e">
        <f>'History '!J233</f>
        <v>#REF!</v>
      </c>
      <c r="L233" s="288" t="e">
        <f>'History '!K233</f>
        <v>#REF!</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60"/>
      <c r="I234" s="460"/>
      <c r="J234" s="461"/>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60"/>
      <c r="I235" s="460"/>
      <c r="J235" s="461"/>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60"/>
      <c r="I236" s="460"/>
      <c r="J236" s="461"/>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60"/>
      <c r="I237" s="460"/>
      <c r="J237" s="461"/>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60"/>
      <c r="I238" s="460"/>
      <c r="J238" s="461"/>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60"/>
      <c r="I239" s="460"/>
      <c r="J239" s="461"/>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62"/>
      <c r="I240" s="462"/>
      <c r="J240" s="463"/>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50" t="e">
        <f>'History '!D241</f>
        <v>#REF!</v>
      </c>
      <c r="E241" s="451"/>
      <c r="F241" s="452"/>
      <c r="G241" s="274" t="s">
        <v>38</v>
      </c>
      <c r="H241" s="453" t="str">
        <f>'History '!G241</f>
        <v>Description</v>
      </c>
      <c r="I241" s="453"/>
      <c r="J241" s="454"/>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55"/>
      <c r="E242" s="456"/>
      <c r="F242" s="457"/>
      <c r="G242" s="279" t="s">
        <v>69</v>
      </c>
      <c r="H242" s="458" t="e">
        <f>'History '!G242</f>
        <v>#REF!</v>
      </c>
      <c r="I242" s="458"/>
      <c r="J242" s="459"/>
      <c r="K242" s="280"/>
      <c r="L242" s="281" t="e">
        <f>D241</f>
        <v>#REF!</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64"/>
      <c r="E243" s="465"/>
      <c r="F243" s="466"/>
      <c r="G243" s="283" t="s">
        <v>68</v>
      </c>
      <c r="H243" s="460"/>
      <c r="I243" s="460"/>
      <c r="J243" s="461"/>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71" t="e">
        <f>'History '!D244</f>
        <v>#REF!</v>
      </c>
      <c r="E244" s="472"/>
      <c r="F244" s="473"/>
      <c r="G244" s="283"/>
      <c r="H244" s="460"/>
      <c r="I244" s="460"/>
      <c r="J244" s="461"/>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68" t="e">
        <f>'History '!D245</f>
        <v>#REF!</v>
      </c>
      <c r="E245" s="469"/>
      <c r="F245" s="470"/>
      <c r="G245" s="286"/>
      <c r="H245" s="460"/>
      <c r="I245" s="460"/>
      <c r="J245" s="461"/>
      <c r="K245" s="287" t="e">
        <f>'History '!J245</f>
        <v>#REF!</v>
      </c>
      <c r="L245" s="288" t="e">
        <f>'History '!K245</f>
        <v>#REF!</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60"/>
      <c r="I246" s="460"/>
      <c r="J246" s="461"/>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60"/>
      <c r="I247" s="460"/>
      <c r="J247" s="461"/>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60"/>
      <c r="I248" s="460"/>
      <c r="J248" s="461"/>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60"/>
      <c r="I249" s="460"/>
      <c r="J249" s="461"/>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60"/>
      <c r="I250" s="460"/>
      <c r="J250" s="461"/>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60"/>
      <c r="I251" s="460"/>
      <c r="J251" s="461"/>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62"/>
      <c r="I252" s="462"/>
      <c r="J252" s="463"/>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50" t="e">
        <f>'History '!D253</f>
        <v>#REF!</v>
      </c>
      <c r="E253" s="451"/>
      <c r="F253" s="452"/>
      <c r="G253" s="274" t="s">
        <v>38</v>
      </c>
      <c r="H253" s="474" t="str">
        <f>'History '!G253</f>
        <v>Description</v>
      </c>
      <c r="I253" s="453"/>
      <c r="J253" s="454"/>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478"/>
      <c r="E254" s="479"/>
      <c r="F254" s="480"/>
      <c r="G254" s="279" t="s">
        <v>69</v>
      </c>
      <c r="H254" s="475" t="e">
        <f>'History '!G254</f>
        <v>#REF!</v>
      </c>
      <c r="I254" s="458"/>
      <c r="J254" s="459"/>
      <c r="K254" s="280"/>
      <c r="L254" s="281" t="e">
        <f>D253</f>
        <v>#REF!</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467" t="e">
        <f>'History '!D255</f>
        <v>#REF!</v>
      </c>
      <c r="E255" s="465"/>
      <c r="F255" s="466"/>
      <c r="G255" s="283" t="s">
        <v>68</v>
      </c>
      <c r="H255" s="476"/>
      <c r="I255" s="460"/>
      <c r="J255" s="461"/>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467" t="e">
        <f>'History '!D256</f>
        <v>#REF!</v>
      </c>
      <c r="E256" s="465"/>
      <c r="F256" s="466"/>
      <c r="G256" s="283"/>
      <c r="H256" s="476"/>
      <c r="I256" s="460"/>
      <c r="J256" s="461"/>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68" t="e">
        <f>'History '!D257</f>
        <v>#REF!</v>
      </c>
      <c r="E257" s="469"/>
      <c r="F257" s="470"/>
      <c r="G257" s="286"/>
      <c r="H257" s="476"/>
      <c r="I257" s="460"/>
      <c r="J257" s="461"/>
      <c r="K257" s="287" t="e">
        <f>'History '!J257</f>
        <v>#REF!</v>
      </c>
      <c r="L257" s="288" t="e">
        <f>'History '!K257</f>
        <v>#REF!</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476"/>
      <c r="I258" s="460"/>
      <c r="J258" s="461"/>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476"/>
      <c r="I259" s="460"/>
      <c r="J259" s="461"/>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476"/>
      <c r="I260" s="460"/>
      <c r="J260" s="461"/>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476"/>
      <c r="I261" s="460"/>
      <c r="J261" s="461"/>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476"/>
      <c r="I262" s="460"/>
      <c r="J262" s="461"/>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476"/>
      <c r="I263" s="460"/>
      <c r="J263" s="461"/>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477"/>
      <c r="I264" s="462"/>
      <c r="J264" s="463"/>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50" t="e">
        <f>'History '!D265</f>
        <v>#REF!</v>
      </c>
      <c r="E265" s="451"/>
      <c r="F265" s="452"/>
      <c r="G265" s="274" t="s">
        <v>38</v>
      </c>
      <c r="H265" s="474" t="str">
        <f>'History '!G265</f>
        <v>Description</v>
      </c>
      <c r="I265" s="453"/>
      <c r="J265" s="454"/>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478"/>
      <c r="E266" s="479"/>
      <c r="F266" s="480"/>
      <c r="G266" s="279" t="s">
        <v>69</v>
      </c>
      <c r="H266" s="475" t="e">
        <f>'History '!G266</f>
        <v>#REF!</v>
      </c>
      <c r="I266" s="458"/>
      <c r="J266" s="459"/>
      <c r="K266" s="280"/>
      <c r="L266" s="281" t="e">
        <f>D265</f>
        <v>#REF!</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467" t="e">
        <f>'History '!D267</f>
        <v>#REF!</v>
      </c>
      <c r="E267" s="465"/>
      <c r="F267" s="466"/>
      <c r="G267" s="283" t="s">
        <v>68</v>
      </c>
      <c r="H267" s="476"/>
      <c r="I267" s="460"/>
      <c r="J267" s="461"/>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467" t="e">
        <f>'History '!D268</f>
        <v>#REF!</v>
      </c>
      <c r="E268" s="465"/>
      <c r="F268" s="466"/>
      <c r="G268" s="283"/>
      <c r="H268" s="476"/>
      <c r="I268" s="460"/>
      <c r="J268" s="461"/>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68" t="e">
        <f>'History '!D269</f>
        <v>#REF!</v>
      </c>
      <c r="E269" s="469"/>
      <c r="F269" s="470"/>
      <c r="G269" s="286"/>
      <c r="H269" s="476"/>
      <c r="I269" s="460"/>
      <c r="J269" s="461"/>
      <c r="K269" s="287" t="e">
        <f>'History '!J269</f>
        <v>#REF!</v>
      </c>
      <c r="L269" s="288" t="e">
        <f>'History '!K269</f>
        <v>#REF!</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476"/>
      <c r="I270" s="460"/>
      <c r="J270" s="461"/>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476"/>
      <c r="I271" s="460"/>
      <c r="J271" s="461"/>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476"/>
      <c r="I272" s="460"/>
      <c r="J272" s="461"/>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476"/>
      <c r="I273" s="460"/>
      <c r="J273" s="461"/>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476"/>
      <c r="I274" s="460"/>
      <c r="J274" s="461"/>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476"/>
      <c r="I275" s="460"/>
      <c r="J275" s="461"/>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477"/>
      <c r="I276" s="462"/>
      <c r="J276" s="463"/>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8"/>
      <c r="D277" s="500"/>
      <c r="E277" s="501"/>
      <c r="F277" s="502"/>
    </row>
    <row r="278" spans="1:39" ht="22" thickBot="1">
      <c r="C278" s="359"/>
      <c r="D278" s="503"/>
      <c r="E278" s="504"/>
      <c r="F278" s="505"/>
    </row>
    <row r="279" spans="1:39" ht="22" thickBot="1">
      <c r="C279" s="356"/>
      <c r="D279" s="360"/>
      <c r="E279" s="360"/>
      <c r="F279" s="361"/>
    </row>
    <row r="280" spans="1:39">
      <c r="C280" s="362"/>
      <c r="D280" s="365"/>
      <c r="E280" s="365"/>
      <c r="F280" s="365"/>
    </row>
    <row r="281" spans="1:39">
      <c r="C281" s="362"/>
      <c r="D281" s="365"/>
      <c r="E281" s="365"/>
      <c r="F281" s="365"/>
    </row>
    <row r="282" spans="1:39">
      <c r="C282" s="362"/>
      <c r="D282" s="365"/>
      <c r="E282" s="365"/>
      <c r="F282" s="365"/>
    </row>
    <row r="283" spans="1:39">
      <c r="C283" s="362"/>
      <c r="D283" s="365"/>
      <c r="E283" s="365"/>
      <c r="F283" s="365"/>
    </row>
    <row r="284" spans="1:39">
      <c r="C284" s="362"/>
      <c r="D284" s="365"/>
      <c r="E284" s="365"/>
      <c r="F284" s="365"/>
    </row>
    <row r="285" spans="1:39" ht="22" thickBot="1">
      <c r="C285" s="362"/>
      <c r="D285" s="365"/>
      <c r="E285" s="365"/>
      <c r="F285" s="365"/>
    </row>
    <row r="286" spans="1:39" ht="22" thickBot="1">
      <c r="C286" s="356"/>
      <c r="D286" s="506"/>
      <c r="E286" s="507"/>
      <c r="F286" s="508"/>
    </row>
    <row r="287" spans="1:39">
      <c r="C287" s="357"/>
      <c r="D287" s="518"/>
      <c r="E287" s="519"/>
      <c r="F287" s="520"/>
    </row>
    <row r="288" spans="1:39">
      <c r="C288" s="358"/>
      <c r="D288" s="521"/>
      <c r="E288" s="522"/>
      <c r="F288" s="523"/>
    </row>
    <row r="289" spans="3:6">
      <c r="C289" s="358"/>
      <c r="D289" s="524"/>
      <c r="E289" s="522"/>
      <c r="F289" s="523"/>
    </row>
    <row r="290" spans="3:6" ht="22" thickBot="1">
      <c r="C290" s="359"/>
      <c r="D290" s="503"/>
      <c r="E290" s="504"/>
      <c r="F290" s="505"/>
    </row>
    <row r="291" spans="3:6" ht="22" thickBot="1">
      <c r="C291" s="356"/>
      <c r="D291" s="360"/>
      <c r="E291" s="360"/>
      <c r="F291" s="361"/>
    </row>
    <row r="292" spans="3:6">
      <c r="C292" s="366"/>
      <c r="D292" s="363"/>
      <c r="E292" s="363"/>
      <c r="F292" s="363"/>
    </row>
    <row r="293" spans="3:6">
      <c r="C293" s="366"/>
      <c r="D293" s="363"/>
      <c r="E293" s="363"/>
      <c r="F293" s="363"/>
    </row>
    <row r="294" spans="3:6">
      <c r="C294" s="366"/>
      <c r="D294" s="363"/>
      <c r="E294" s="363"/>
      <c r="F294" s="363"/>
    </row>
    <row r="295" spans="3:6">
      <c r="C295" s="366"/>
      <c r="D295" s="363"/>
      <c r="E295" s="363"/>
      <c r="F295" s="363"/>
    </row>
    <row r="296" spans="3:6">
      <c r="C296" s="366"/>
      <c r="D296" s="363"/>
      <c r="E296" s="363"/>
      <c r="F296" s="363"/>
    </row>
    <row r="297" spans="3:6" ht="22" thickBot="1">
      <c r="C297" s="366"/>
      <c r="D297" s="363"/>
      <c r="E297" s="363"/>
      <c r="F297" s="363"/>
    </row>
    <row r="298" spans="3:6" ht="22" thickBot="1">
      <c r="C298" s="356"/>
      <c r="D298" s="506"/>
      <c r="E298" s="507"/>
      <c r="F298" s="508"/>
    </row>
    <row r="299" spans="3:6">
      <c r="C299" s="357"/>
      <c r="D299" s="518"/>
      <c r="E299" s="519"/>
      <c r="F299" s="520"/>
    </row>
    <row r="300" spans="3:6">
      <c r="C300" s="358"/>
      <c r="D300" s="521"/>
      <c r="E300" s="522"/>
      <c r="F300" s="523"/>
    </row>
    <row r="301" spans="3:6">
      <c r="C301" s="358"/>
      <c r="D301" s="524"/>
      <c r="E301" s="522"/>
      <c r="F301" s="523"/>
    </row>
    <row r="302" spans="3:6" ht="22" thickBot="1">
      <c r="C302" s="359"/>
      <c r="D302" s="503"/>
      <c r="E302" s="504"/>
      <c r="F302" s="505"/>
    </row>
    <row r="303" spans="3:6" ht="22" thickBot="1">
      <c r="C303" s="356"/>
      <c r="D303" s="360"/>
      <c r="E303" s="360"/>
      <c r="F303" s="361"/>
    </row>
    <row r="304" spans="3:6">
      <c r="C304" s="366"/>
      <c r="D304" s="363"/>
      <c r="E304" s="363"/>
      <c r="F304" s="363"/>
    </row>
    <row r="305" spans="3:6">
      <c r="C305" s="366"/>
      <c r="D305" s="363"/>
      <c r="E305" s="363"/>
      <c r="F305" s="363"/>
    </row>
    <row r="306" spans="3:6">
      <c r="C306" s="366"/>
      <c r="D306" s="363"/>
      <c r="E306" s="363"/>
      <c r="F306" s="363"/>
    </row>
    <row r="307" spans="3:6">
      <c r="C307" s="366"/>
      <c r="D307" s="363"/>
      <c r="E307" s="363"/>
      <c r="F307" s="363"/>
    </row>
    <row r="308" spans="3:6">
      <c r="C308" s="366"/>
      <c r="D308" s="363"/>
      <c r="E308" s="363"/>
      <c r="F308" s="363"/>
    </row>
    <row r="309" spans="3:6" ht="22" thickBot="1">
      <c r="C309" s="366"/>
      <c r="D309" s="363"/>
      <c r="E309" s="363"/>
      <c r="F309" s="363"/>
    </row>
    <row r="310" spans="3:6" ht="22" thickBot="1">
      <c r="C310" s="356"/>
      <c r="D310" s="506"/>
      <c r="E310" s="507"/>
      <c r="F310" s="508"/>
    </row>
    <row r="311" spans="3:6">
      <c r="C311" s="357"/>
      <c r="D311" s="518"/>
      <c r="E311" s="519"/>
      <c r="F311" s="520"/>
    </row>
    <row r="312" spans="3:6">
      <c r="C312" s="358"/>
      <c r="D312" s="521"/>
      <c r="E312" s="522"/>
      <c r="F312" s="523"/>
    </row>
    <row r="313" spans="3:6">
      <c r="C313" s="358"/>
      <c r="D313" s="524"/>
      <c r="E313" s="522"/>
      <c r="F313" s="523"/>
    </row>
    <row r="314" spans="3:6" ht="22" thickBot="1">
      <c r="C314" s="359"/>
      <c r="D314" s="503"/>
      <c r="E314" s="504"/>
      <c r="F314" s="505"/>
    </row>
    <row r="315" spans="3:6" ht="22" thickBot="1">
      <c r="C315" s="356"/>
      <c r="D315" s="360"/>
      <c r="E315" s="360"/>
      <c r="F315" s="361"/>
    </row>
    <row r="316" spans="3:6">
      <c r="C316" s="366"/>
      <c r="D316" s="363"/>
      <c r="E316" s="363"/>
      <c r="F316" s="363"/>
    </row>
    <row r="317" spans="3:6">
      <c r="C317" s="366"/>
      <c r="D317" s="363"/>
      <c r="E317" s="363"/>
      <c r="F317" s="363"/>
    </row>
    <row r="318" spans="3:6">
      <c r="C318" s="366"/>
      <c r="D318" s="363"/>
      <c r="E318" s="363"/>
      <c r="F318" s="363"/>
    </row>
    <row r="319" spans="3:6">
      <c r="C319" s="366"/>
      <c r="D319" s="363"/>
      <c r="E319" s="363"/>
      <c r="F319" s="363"/>
    </row>
    <row r="320" spans="3:6">
      <c r="C320" s="366"/>
      <c r="D320" s="363"/>
      <c r="E320" s="363"/>
      <c r="F320" s="363"/>
    </row>
    <row r="321" spans="3:6" ht="22" thickBot="1">
      <c r="C321" s="366"/>
      <c r="D321" s="363"/>
      <c r="E321" s="363"/>
      <c r="F321" s="363"/>
    </row>
    <row r="322" spans="3:6" ht="22" thickBot="1">
      <c r="C322" s="356"/>
      <c r="D322" s="506"/>
      <c r="E322" s="507"/>
      <c r="F322" s="508"/>
    </row>
    <row r="323" spans="3:6">
      <c r="C323" s="357"/>
      <c r="D323" s="518"/>
      <c r="E323" s="519"/>
      <c r="F323" s="520"/>
    </row>
    <row r="324" spans="3:6">
      <c r="C324" s="358"/>
      <c r="D324" s="521"/>
      <c r="E324" s="522"/>
      <c r="F324" s="523"/>
    </row>
    <row r="325" spans="3:6">
      <c r="C325" s="358"/>
      <c r="D325" s="521"/>
      <c r="E325" s="522"/>
      <c r="F325" s="523"/>
    </row>
    <row r="326" spans="3:6" ht="22" thickBot="1">
      <c r="C326" s="359"/>
      <c r="D326" s="503"/>
      <c r="E326" s="504"/>
      <c r="F326" s="505"/>
    </row>
    <row r="327" spans="3:6" ht="22" thickBot="1">
      <c r="C327" s="356"/>
      <c r="D327" s="360"/>
      <c r="E327" s="360"/>
      <c r="F327" s="361"/>
    </row>
    <row r="328" spans="3:6">
      <c r="C328" s="362"/>
      <c r="D328" s="364"/>
      <c r="E328" s="364"/>
      <c r="F328" s="364"/>
    </row>
    <row r="329" spans="3:6">
      <c r="C329" s="362"/>
      <c r="D329" s="364"/>
      <c r="E329" s="364"/>
      <c r="F329" s="364"/>
    </row>
    <row r="330" spans="3:6">
      <c r="C330" s="362"/>
      <c r="D330" s="364"/>
      <c r="E330" s="364"/>
      <c r="F330" s="364"/>
    </row>
    <row r="331" spans="3:6">
      <c r="C331" s="362"/>
      <c r="D331" s="364"/>
      <c r="E331" s="364"/>
      <c r="F331" s="364"/>
    </row>
    <row r="332" spans="3:6">
      <c r="C332" s="362"/>
      <c r="D332" s="364"/>
      <c r="E332" s="364"/>
      <c r="F332" s="364"/>
    </row>
    <row r="333" spans="3:6" ht="22" thickBot="1">
      <c r="C333" s="362"/>
      <c r="D333" s="364"/>
      <c r="E333" s="364"/>
      <c r="F333" s="364"/>
    </row>
    <row r="334" spans="3:6" ht="22" thickBot="1">
      <c r="C334" s="356"/>
      <c r="D334" s="506"/>
      <c r="E334" s="507"/>
      <c r="F334" s="508"/>
    </row>
    <row r="335" spans="3:6">
      <c r="C335" s="357"/>
      <c r="D335" s="518"/>
      <c r="E335" s="519"/>
      <c r="F335" s="520"/>
    </row>
    <row r="336" spans="3:6">
      <c r="C336" s="358"/>
      <c r="D336" s="521"/>
      <c r="E336" s="522"/>
      <c r="F336" s="523"/>
    </row>
    <row r="337" spans="3:6">
      <c r="C337" s="358"/>
      <c r="D337" s="521"/>
      <c r="E337" s="522"/>
      <c r="F337" s="523"/>
    </row>
    <row r="338" spans="3:6" ht="22" thickBot="1">
      <c r="C338" s="359"/>
      <c r="D338" s="503"/>
      <c r="E338" s="504"/>
      <c r="F338" s="505"/>
    </row>
    <row r="339" spans="3:6" ht="22" thickBot="1">
      <c r="C339" s="356"/>
      <c r="D339" s="360"/>
      <c r="E339" s="360"/>
      <c r="F339" s="361"/>
    </row>
    <row r="340" spans="3:6">
      <c r="C340" s="362"/>
      <c r="D340" s="364"/>
      <c r="E340" s="364"/>
      <c r="F340" s="364"/>
    </row>
    <row r="341" spans="3:6">
      <c r="C341" s="362"/>
      <c r="D341" s="364"/>
      <c r="E341" s="364"/>
      <c r="F341" s="364"/>
    </row>
    <row r="342" spans="3:6">
      <c r="C342" s="362"/>
      <c r="D342" s="364"/>
      <c r="E342" s="364"/>
      <c r="F342" s="364"/>
    </row>
    <row r="343" spans="3:6">
      <c r="C343" s="362"/>
      <c r="D343" s="364"/>
      <c r="E343" s="364"/>
      <c r="F343" s="364"/>
    </row>
    <row r="344" spans="3:6">
      <c r="C344" s="362"/>
      <c r="D344" s="364"/>
      <c r="E344" s="364"/>
      <c r="F344" s="364"/>
    </row>
    <row r="345" spans="3:6" ht="22" thickBot="1">
      <c r="C345" s="362"/>
      <c r="D345" s="364"/>
      <c r="E345" s="364"/>
      <c r="F345" s="364"/>
    </row>
    <row r="346" spans="3:6" ht="22" thickBot="1">
      <c r="C346" s="356"/>
      <c r="D346" s="506"/>
      <c r="E346" s="507"/>
      <c r="F346" s="508"/>
    </row>
    <row r="347" spans="3:6">
      <c r="C347" s="357"/>
      <c r="D347" s="518"/>
      <c r="E347" s="519"/>
      <c r="F347" s="520"/>
    </row>
    <row r="348" spans="3:6">
      <c r="C348" s="358"/>
      <c r="D348" s="521"/>
      <c r="E348" s="522"/>
      <c r="F348" s="523"/>
    </row>
    <row r="349" spans="3:6">
      <c r="C349" s="358"/>
      <c r="D349" s="524"/>
      <c r="E349" s="522"/>
      <c r="F349" s="523"/>
    </row>
    <row r="350" spans="3:6" ht="22" thickBot="1">
      <c r="C350" s="359"/>
      <c r="D350" s="503"/>
      <c r="E350" s="504"/>
      <c r="F350" s="505"/>
    </row>
    <row r="351" spans="3:6" ht="22" thickBot="1">
      <c r="C351" s="356"/>
      <c r="D351" s="360"/>
      <c r="E351" s="360"/>
      <c r="F351" s="361"/>
    </row>
    <row r="352" spans="3:6">
      <c r="C352" s="362"/>
      <c r="D352" s="363"/>
      <c r="E352" s="363"/>
      <c r="F352" s="363"/>
    </row>
    <row r="353" spans="3:6">
      <c r="C353" s="362"/>
      <c r="D353" s="363"/>
      <c r="E353" s="363"/>
      <c r="F353" s="363"/>
    </row>
    <row r="354" spans="3:6">
      <c r="C354" s="362"/>
      <c r="D354" s="363"/>
      <c r="E354" s="363"/>
      <c r="F354" s="363"/>
    </row>
    <row r="355" spans="3:6">
      <c r="C355" s="362"/>
      <c r="D355" s="363"/>
      <c r="E355" s="363"/>
      <c r="F355" s="363"/>
    </row>
    <row r="356" spans="3:6">
      <c r="C356" s="362"/>
      <c r="D356" s="363"/>
      <c r="E356" s="363"/>
      <c r="F356" s="363"/>
    </row>
    <row r="357" spans="3:6" ht="22" thickBot="1">
      <c r="C357" s="362"/>
      <c r="D357" s="363"/>
      <c r="E357" s="363"/>
      <c r="F357" s="363"/>
    </row>
    <row r="358" spans="3:6" ht="22" thickBot="1">
      <c r="C358" s="356"/>
      <c r="D358" s="506"/>
      <c r="E358" s="507"/>
      <c r="F358" s="508"/>
    </row>
    <row r="359" spans="3:6">
      <c r="C359" s="357"/>
      <c r="D359" s="518"/>
      <c r="E359" s="519"/>
      <c r="F359" s="520"/>
    </row>
    <row r="360" spans="3:6">
      <c r="C360" s="358"/>
      <c r="D360" s="521"/>
      <c r="E360" s="522"/>
      <c r="F360" s="523"/>
    </row>
    <row r="361" spans="3:6">
      <c r="C361" s="358"/>
      <c r="D361" s="524"/>
      <c r="E361" s="522"/>
      <c r="F361" s="523"/>
    </row>
    <row r="362" spans="3:6" ht="22" thickBot="1">
      <c r="C362" s="359"/>
      <c r="D362" s="503"/>
      <c r="E362" s="504"/>
      <c r="F362" s="505"/>
    </row>
    <row r="363" spans="3:6" ht="22" thickBot="1">
      <c r="C363" s="356"/>
      <c r="D363" s="360"/>
      <c r="E363" s="360"/>
      <c r="F363" s="361"/>
    </row>
    <row r="364" spans="3:6">
      <c r="C364" s="362"/>
      <c r="D364" s="363"/>
      <c r="E364" s="363"/>
      <c r="F364" s="363"/>
    </row>
    <row r="365" spans="3:6">
      <c r="C365" s="362"/>
      <c r="D365" s="363"/>
      <c r="E365" s="363"/>
      <c r="F365" s="363"/>
    </row>
    <row r="366" spans="3:6">
      <c r="C366" s="362"/>
      <c r="D366" s="363"/>
      <c r="E366" s="363"/>
      <c r="F366" s="363"/>
    </row>
    <row r="367" spans="3:6">
      <c r="C367" s="362"/>
      <c r="D367" s="363"/>
      <c r="E367" s="363"/>
      <c r="F367" s="363"/>
    </row>
    <row r="368" spans="3:6">
      <c r="C368" s="362"/>
      <c r="D368" s="363"/>
      <c r="E368" s="363"/>
      <c r="F368" s="363"/>
    </row>
    <row r="369" spans="3:6" ht="22" thickBot="1">
      <c r="C369" s="362"/>
      <c r="D369" s="363"/>
      <c r="E369" s="363"/>
      <c r="F369" s="363"/>
    </row>
    <row r="370" spans="3:6" ht="22" thickBot="1">
      <c r="C370" s="356"/>
      <c r="D370" s="506"/>
      <c r="E370" s="507"/>
      <c r="F370" s="508"/>
    </row>
    <row r="371" spans="3:6">
      <c r="C371" s="357"/>
      <c r="D371" s="518"/>
      <c r="E371" s="519"/>
      <c r="F371" s="520"/>
    </row>
    <row r="372" spans="3:6">
      <c r="C372" s="358"/>
      <c r="D372" s="521"/>
      <c r="E372" s="522"/>
      <c r="F372" s="523"/>
    </row>
    <row r="373" spans="3:6">
      <c r="C373" s="358"/>
      <c r="D373" s="524"/>
      <c r="E373" s="522"/>
      <c r="F373" s="523"/>
    </row>
    <row r="374" spans="3:6" ht="22" thickBot="1">
      <c r="C374" s="359"/>
      <c r="D374" s="503"/>
      <c r="E374" s="504"/>
      <c r="F374" s="505"/>
    </row>
    <row r="375" spans="3:6" ht="22" thickBot="1">
      <c r="C375" s="356"/>
      <c r="D375" s="360"/>
      <c r="E375" s="360"/>
      <c r="F375" s="361"/>
    </row>
    <row r="376" spans="3:6">
      <c r="C376" s="366"/>
      <c r="D376" s="363"/>
      <c r="E376" s="363"/>
      <c r="F376" s="363"/>
    </row>
    <row r="377" spans="3:6">
      <c r="C377" s="366"/>
      <c r="D377" s="363"/>
      <c r="E377" s="363"/>
      <c r="F377" s="363"/>
    </row>
    <row r="378" spans="3:6">
      <c r="C378" s="366"/>
      <c r="D378" s="363"/>
      <c r="E378" s="363"/>
      <c r="F378" s="363"/>
    </row>
    <row r="379" spans="3:6">
      <c r="C379" s="366"/>
      <c r="D379" s="363"/>
      <c r="E379" s="363"/>
      <c r="F379" s="363"/>
    </row>
    <row r="380" spans="3:6">
      <c r="C380" s="366"/>
      <c r="D380" s="363"/>
      <c r="E380" s="363"/>
      <c r="F380" s="363"/>
    </row>
    <row r="381" spans="3:6" ht="22" thickBot="1">
      <c r="C381" s="366"/>
      <c r="D381" s="363"/>
      <c r="E381" s="363"/>
      <c r="F381" s="363"/>
    </row>
    <row r="382" spans="3:6" ht="22" thickBot="1">
      <c r="C382" s="356"/>
      <c r="D382" s="506"/>
      <c r="E382" s="507"/>
      <c r="F382" s="508"/>
    </row>
    <row r="383" spans="3:6">
      <c r="C383" s="357"/>
      <c r="D383" s="518"/>
      <c r="E383" s="519"/>
      <c r="F383" s="520"/>
    </row>
    <row r="384" spans="3:6">
      <c r="C384" s="358"/>
      <c r="D384" s="521"/>
      <c r="E384" s="522"/>
      <c r="F384" s="523"/>
    </row>
    <row r="385" spans="3:6">
      <c r="C385" s="358"/>
      <c r="D385" s="521"/>
      <c r="E385" s="522"/>
      <c r="F385" s="523"/>
    </row>
    <row r="386" spans="3:6" ht="22" thickBot="1">
      <c r="C386" s="359"/>
      <c r="D386" s="503"/>
      <c r="E386" s="504"/>
      <c r="F386" s="505"/>
    </row>
    <row r="387" spans="3:6" ht="22" thickBot="1">
      <c r="C387" s="356"/>
      <c r="D387" s="360"/>
      <c r="E387" s="360"/>
      <c r="F387" s="361"/>
    </row>
    <row r="388" spans="3:6">
      <c r="C388" s="362"/>
      <c r="D388" s="364"/>
      <c r="E388" s="364"/>
      <c r="F388" s="364"/>
    </row>
    <row r="389" spans="3:6">
      <c r="C389" s="362"/>
      <c r="D389" s="364"/>
      <c r="E389" s="364"/>
      <c r="F389" s="364"/>
    </row>
    <row r="390" spans="3:6">
      <c r="C390" s="362"/>
      <c r="D390" s="364"/>
      <c r="E390" s="364"/>
      <c r="F390" s="364"/>
    </row>
    <row r="391" spans="3:6">
      <c r="C391" s="362"/>
      <c r="D391" s="364"/>
      <c r="E391" s="364"/>
      <c r="F391" s="364"/>
    </row>
    <row r="392" spans="3:6">
      <c r="C392" s="362"/>
      <c r="D392" s="364"/>
      <c r="E392" s="364"/>
      <c r="F392" s="364"/>
    </row>
    <row r="393" spans="3:6" ht="22" thickBot="1">
      <c r="C393" s="362"/>
      <c r="D393" s="364"/>
      <c r="E393" s="364"/>
      <c r="F393" s="364"/>
    </row>
    <row r="394" spans="3:6" ht="22" thickBot="1">
      <c r="C394" s="356"/>
      <c r="D394" s="506"/>
      <c r="E394" s="507"/>
      <c r="F394" s="508"/>
    </row>
    <row r="395" spans="3:6">
      <c r="C395" s="357"/>
      <c r="D395" s="518"/>
      <c r="E395" s="519"/>
      <c r="F395" s="520"/>
    </row>
    <row r="396" spans="3:6">
      <c r="C396" s="358"/>
      <c r="D396" s="521"/>
      <c r="E396" s="522"/>
      <c r="F396" s="523"/>
    </row>
    <row r="397" spans="3:6">
      <c r="C397" s="358"/>
      <c r="D397" s="521"/>
      <c r="E397" s="522"/>
      <c r="F397" s="523"/>
    </row>
    <row r="398" spans="3:6" ht="22" thickBot="1">
      <c r="C398" s="359"/>
      <c r="D398" s="503"/>
      <c r="E398" s="504"/>
      <c r="F398" s="505"/>
    </row>
    <row r="399" spans="3:6" ht="22" thickBot="1">
      <c r="C399" s="356"/>
      <c r="D399" s="360"/>
      <c r="E399" s="360"/>
      <c r="F399" s="361"/>
    </row>
    <row r="400" spans="3:6">
      <c r="C400" s="362"/>
      <c r="D400" s="364"/>
      <c r="E400" s="364"/>
      <c r="F400" s="364"/>
    </row>
    <row r="401" spans="3:6">
      <c r="C401" s="362"/>
      <c r="D401" s="364"/>
      <c r="E401" s="364"/>
      <c r="F401" s="364"/>
    </row>
    <row r="402" spans="3:6">
      <c r="C402" s="362"/>
      <c r="D402" s="364"/>
      <c r="E402" s="364"/>
      <c r="F402" s="364"/>
    </row>
    <row r="403" spans="3:6">
      <c r="C403" s="362"/>
      <c r="D403" s="364"/>
      <c r="E403" s="364"/>
      <c r="F403" s="364"/>
    </row>
    <row r="404" spans="3:6">
      <c r="C404" s="362"/>
      <c r="D404" s="364"/>
      <c r="E404" s="364"/>
      <c r="F404" s="364"/>
    </row>
    <row r="405" spans="3:6" ht="22" thickBot="1">
      <c r="C405" s="362"/>
      <c r="D405" s="364"/>
      <c r="E405" s="364"/>
      <c r="F405" s="364"/>
    </row>
    <row r="406" spans="3:6" ht="22" thickBot="1">
      <c r="C406" s="356"/>
      <c r="D406" s="506"/>
      <c r="E406" s="507"/>
      <c r="F406" s="508"/>
    </row>
    <row r="407" spans="3:6">
      <c r="C407" s="357"/>
      <c r="D407" s="518"/>
      <c r="E407" s="519"/>
      <c r="F407" s="520"/>
    </row>
    <row r="408" spans="3:6">
      <c r="C408" s="358"/>
      <c r="D408" s="521"/>
      <c r="E408" s="522"/>
      <c r="F408" s="523"/>
    </row>
    <row r="409" spans="3:6">
      <c r="C409" s="358"/>
      <c r="D409" s="524"/>
      <c r="E409" s="522"/>
      <c r="F409" s="523"/>
    </row>
    <row r="410" spans="3:6" ht="22" thickBot="1">
      <c r="C410" s="359"/>
      <c r="D410" s="503"/>
      <c r="E410" s="504"/>
      <c r="F410" s="505"/>
    </row>
    <row r="411" spans="3:6" ht="22" thickBot="1">
      <c r="C411" s="356"/>
      <c r="D411" s="360"/>
      <c r="E411" s="360"/>
      <c r="F411" s="361"/>
    </row>
    <row r="412" spans="3:6">
      <c r="C412" s="362"/>
      <c r="D412" s="364"/>
      <c r="E412" s="364"/>
      <c r="F412" s="364"/>
    </row>
    <row r="413" spans="3:6">
      <c r="C413" s="362"/>
      <c r="D413" s="364"/>
      <c r="E413" s="364"/>
      <c r="F413" s="364"/>
    </row>
    <row r="414" spans="3:6">
      <c r="C414" s="362"/>
      <c r="D414" s="364"/>
      <c r="E414" s="364"/>
      <c r="F414" s="364"/>
    </row>
    <row r="415" spans="3:6">
      <c r="C415" s="362"/>
      <c r="D415" s="364"/>
      <c r="E415" s="364"/>
      <c r="F415" s="364"/>
    </row>
    <row r="416" spans="3:6">
      <c r="C416" s="362"/>
      <c r="D416" s="364"/>
      <c r="E416" s="364"/>
      <c r="F416" s="364"/>
    </row>
    <row r="417" spans="3:6" ht="22" thickBot="1">
      <c r="C417" s="362"/>
      <c r="D417" s="364"/>
      <c r="E417" s="364"/>
      <c r="F417" s="364"/>
    </row>
    <row r="418" spans="3:6" ht="22" thickBot="1">
      <c r="C418" s="356"/>
      <c r="D418" s="506"/>
      <c r="E418" s="507"/>
      <c r="F418" s="508"/>
    </row>
    <row r="419" spans="3:6">
      <c r="C419" s="357"/>
      <c r="D419" s="518"/>
      <c r="E419" s="519"/>
      <c r="F419" s="520"/>
    </row>
    <row r="420" spans="3:6">
      <c r="C420" s="358"/>
      <c r="D420" s="521"/>
      <c r="E420" s="522"/>
      <c r="F420" s="523"/>
    </row>
    <row r="421" spans="3:6">
      <c r="C421" s="358"/>
      <c r="D421" s="521"/>
      <c r="E421" s="522"/>
      <c r="F421" s="523"/>
    </row>
    <row r="422" spans="3:6" ht="22" thickBot="1">
      <c r="C422" s="359"/>
      <c r="D422" s="503"/>
      <c r="E422" s="504"/>
      <c r="F422" s="505"/>
    </row>
    <row r="423" spans="3:6" ht="22" thickBot="1">
      <c r="C423" s="356"/>
      <c r="D423" s="360"/>
      <c r="E423" s="360"/>
      <c r="F423" s="361"/>
    </row>
    <row r="424" spans="3:6">
      <c r="C424" s="362"/>
      <c r="D424" s="364"/>
      <c r="E424" s="364"/>
      <c r="F424" s="364"/>
    </row>
    <row r="425" spans="3:6">
      <c r="C425" s="362"/>
      <c r="D425" s="364"/>
      <c r="E425" s="364"/>
      <c r="F425" s="364"/>
    </row>
    <row r="426" spans="3:6">
      <c r="C426" s="362"/>
      <c r="D426" s="364"/>
      <c r="E426" s="364"/>
      <c r="F426" s="364"/>
    </row>
    <row r="427" spans="3:6">
      <c r="C427" s="362"/>
      <c r="D427" s="364"/>
      <c r="E427" s="364"/>
      <c r="F427" s="364"/>
    </row>
    <row r="428" spans="3:6">
      <c r="C428" s="362"/>
      <c r="D428" s="364"/>
      <c r="E428" s="364"/>
      <c r="F428" s="364"/>
    </row>
    <row r="429" spans="3:6">
      <c r="C429" s="362"/>
      <c r="D429" s="364"/>
      <c r="E429" s="364"/>
      <c r="F429" s="364"/>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D394:F394"/>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 ref="D386:F386"/>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11:F311"/>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72:F372"/>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H254:J264"/>
    <mergeCell ref="D28:F28"/>
    <mergeCell ref="D29:F29"/>
    <mergeCell ref="H50:J60"/>
    <mergeCell ref="D37:F37"/>
    <mergeCell ref="H37:J37"/>
    <mergeCell ref="D38:F38"/>
    <mergeCell ref="H38:J48"/>
    <mergeCell ref="D39:F39"/>
    <mergeCell ref="D40:F40"/>
    <mergeCell ref="D41:F41"/>
    <mergeCell ref="D53:F53"/>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D61:F61"/>
    <mergeCell ref="H61:J61"/>
    <mergeCell ref="D62:F62"/>
    <mergeCell ref="D205:F205"/>
    <mergeCell ref="H205:J205"/>
    <mergeCell ref="D206:F206"/>
    <mergeCell ref="H206:J216"/>
    <mergeCell ref="D207:F207"/>
    <mergeCell ref="D208:F208"/>
    <mergeCell ref="D63:F63"/>
    <mergeCell ref="D109:F109"/>
    <mergeCell ref="H109:J109"/>
    <mergeCell ref="D110:F110"/>
    <mergeCell ref="H110:J120"/>
    <mergeCell ref="D111:F111"/>
    <mergeCell ref="D184:F184"/>
    <mergeCell ref="D185:F185"/>
    <mergeCell ref="H85:J85"/>
    <mergeCell ref="D86:F86"/>
    <mergeCell ref="D181:F181"/>
    <mergeCell ref="H181:J181"/>
    <mergeCell ref="D182:F182"/>
    <mergeCell ref="H182:J192"/>
    <mergeCell ref="D193:F193"/>
    <mergeCell ref="D232:F232"/>
    <mergeCell ref="D233:F233"/>
    <mergeCell ref="D229:F229"/>
    <mergeCell ref="H229:J229"/>
    <mergeCell ref="D241:F241"/>
    <mergeCell ref="H241:J241"/>
    <mergeCell ref="D266:F266"/>
    <mergeCell ref="D265:F265"/>
    <mergeCell ref="H265:J265"/>
    <mergeCell ref="D245:F245"/>
    <mergeCell ref="D194:F194"/>
    <mergeCell ref="H194:J204"/>
    <mergeCell ref="D230:F230"/>
    <mergeCell ref="D253:F253"/>
    <mergeCell ref="H253:J253"/>
    <mergeCell ref="H230:J240"/>
    <mergeCell ref="D231:F231"/>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 ref="H158:J168"/>
    <mergeCell ref="D159:F159"/>
    <mergeCell ref="D160:F160"/>
    <mergeCell ref="D161:F161"/>
    <mergeCell ref="D112:F112"/>
    <mergeCell ref="D113:F113"/>
    <mergeCell ref="D147:F147"/>
    <mergeCell ref="D148:F148"/>
    <mergeCell ref="H193:J193"/>
    <mergeCell ref="D97:F97"/>
    <mergeCell ref="H97:J97"/>
    <mergeCell ref="D98:F98"/>
    <mergeCell ref="H98:J108"/>
    <mergeCell ref="D183:F183"/>
    <mergeCell ref="D145:F145"/>
    <mergeCell ref="H145:J145"/>
    <mergeCell ref="D135:F135"/>
    <mergeCell ref="D136:F136"/>
    <mergeCell ref="D137:F137"/>
    <mergeCell ref="D121:F121"/>
    <mergeCell ref="H121:J121"/>
    <mergeCell ref="D122:F122"/>
    <mergeCell ref="H122:J132"/>
    <mergeCell ref="D123:F123"/>
    <mergeCell ref="D146:F146"/>
    <mergeCell ref="H146:J156"/>
    <mergeCell ref="D99:F99"/>
    <mergeCell ref="D100:F100"/>
    <mergeCell ref="D101:F101"/>
    <mergeCell ref="D149:F149"/>
    <mergeCell ref="D157:F157"/>
    <mergeCell ref="H157:J157"/>
    <mergeCell ref="D158:F158"/>
  </mergeCells>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490" t="s">
        <v>711</v>
      </c>
      <c r="E1" s="491"/>
      <c r="F1" s="492"/>
      <c r="G1" s="274" t="s">
        <v>38</v>
      </c>
    </row>
    <row r="2" spans="1:7">
      <c r="B2" s="272"/>
      <c r="C2" s="278" t="s">
        <v>19</v>
      </c>
      <c r="D2" s="455"/>
      <c r="E2" s="456"/>
      <c r="F2" s="457"/>
      <c r="G2" s="279" t="s">
        <v>798</v>
      </c>
    </row>
    <row r="3" spans="1:7">
      <c r="B3" s="272"/>
      <c r="C3" s="282" t="s">
        <v>20</v>
      </c>
      <c r="D3" s="493"/>
      <c r="E3" s="494"/>
      <c r="F3" s="495"/>
      <c r="G3" s="283" t="s">
        <v>799</v>
      </c>
    </row>
    <row r="4" spans="1:7">
      <c r="B4" s="272"/>
      <c r="C4" s="282" t="s">
        <v>21</v>
      </c>
      <c r="D4" s="496">
        <v>49.5</v>
      </c>
      <c r="E4" s="497"/>
      <c r="F4" s="498"/>
      <c r="G4" s="283"/>
    </row>
    <row r="5" spans="1:7" ht="29" thickBot="1">
      <c r="B5" s="272"/>
      <c r="C5" s="285" t="s">
        <v>23</v>
      </c>
      <c r="D5" s="468">
        <v>6.2500000000000028E-2</v>
      </c>
      <c r="E5" s="469"/>
      <c r="F5" s="470"/>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490" t="s">
        <v>667</v>
      </c>
      <c r="E13" s="491"/>
      <c r="F13" s="492"/>
      <c r="G13" s="274" t="s">
        <v>38</v>
      </c>
    </row>
    <row r="14" spans="1:7">
      <c r="B14" s="272"/>
      <c r="C14" s="278" t="s">
        <v>19</v>
      </c>
      <c r="D14" s="455"/>
      <c r="E14" s="456"/>
      <c r="F14" s="457"/>
      <c r="G14" s="279" t="s">
        <v>360</v>
      </c>
    </row>
    <row r="15" spans="1:7">
      <c r="B15" s="272"/>
      <c r="C15" s="282" t="s">
        <v>20</v>
      </c>
      <c r="D15" s="493"/>
      <c r="E15" s="494"/>
      <c r="F15" s="495"/>
      <c r="G15" s="283" t="s">
        <v>361</v>
      </c>
    </row>
    <row r="16" spans="1:7">
      <c r="B16" s="272"/>
      <c r="C16" s="282" t="s">
        <v>21</v>
      </c>
      <c r="D16" s="499">
        <v>7.0000000000000001E-3</v>
      </c>
      <c r="E16" s="497"/>
      <c r="F16" s="498"/>
      <c r="G16" s="283"/>
    </row>
    <row r="17" spans="2:7" ht="29" thickBot="1">
      <c r="B17" s="272"/>
      <c r="C17" s="285" t="s">
        <v>23</v>
      </c>
      <c r="D17" s="468">
        <v>0.25</v>
      </c>
      <c r="E17" s="469"/>
      <c r="F17" s="470"/>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490" t="s">
        <v>670</v>
      </c>
      <c r="E25" s="491"/>
      <c r="F25" s="492"/>
      <c r="G25" s="274" t="s">
        <v>38</v>
      </c>
    </row>
    <row r="26" spans="2:7">
      <c r="B26" s="272"/>
      <c r="C26" s="278" t="s">
        <v>19</v>
      </c>
      <c r="D26" s="455"/>
      <c r="E26" s="456"/>
      <c r="F26" s="457"/>
      <c r="G26" s="279" t="s">
        <v>360</v>
      </c>
    </row>
    <row r="27" spans="2:7">
      <c r="B27" s="272"/>
      <c r="C27" s="282" t="s">
        <v>20</v>
      </c>
      <c r="D27" s="493"/>
      <c r="E27" s="494"/>
      <c r="F27" s="495"/>
      <c r="G27" s="283" t="s">
        <v>361</v>
      </c>
    </row>
    <row r="28" spans="2:7">
      <c r="B28" s="272"/>
      <c r="C28" s="282" t="s">
        <v>21</v>
      </c>
      <c r="D28" s="496">
        <v>1.2999999999999999E-2</v>
      </c>
      <c r="E28" s="497"/>
      <c r="F28" s="498"/>
      <c r="G28" s="283"/>
    </row>
    <row r="29" spans="2:7" ht="29" thickBot="1">
      <c r="B29" s="272"/>
      <c r="C29" s="285" t="s">
        <v>23</v>
      </c>
      <c r="D29" s="468">
        <v>0.25</v>
      </c>
      <c r="E29" s="469"/>
      <c r="F29" s="470"/>
      <c r="G29" s="286"/>
    </row>
    <row r="30" spans="2:7" ht="29" thickBot="1">
      <c r="B30" s="272"/>
      <c r="C30" s="289" t="s">
        <v>22</v>
      </c>
      <c r="D30" s="290" t="s">
        <v>6</v>
      </c>
      <c r="E30" s="290" t="s">
        <v>7</v>
      </c>
      <c r="F30" s="291" t="s">
        <v>8</v>
      </c>
      <c r="G30" s="274" t="s">
        <v>67</v>
      </c>
    </row>
    <row r="31" spans="2:7">
      <c r="B31" s="272"/>
      <c r="C31" s="294">
        <v>45792</v>
      </c>
      <c r="D31" s="353">
        <v>7.0000000000000001E-3</v>
      </c>
      <c r="E31" s="353">
        <v>6.0000000000000001E-3</v>
      </c>
      <c r="F31" s="353">
        <v>1E-3</v>
      </c>
      <c r="G31" s="296">
        <v>0.29166666666666674</v>
      </c>
    </row>
    <row r="32" spans="2:7">
      <c r="B32" s="272"/>
      <c r="C32" s="294">
        <v>45744</v>
      </c>
      <c r="D32" s="353">
        <v>1E-3</v>
      </c>
      <c r="E32" s="353">
        <v>1E-3</v>
      </c>
      <c r="F32" s="353">
        <v>0</v>
      </c>
      <c r="G32" s="296">
        <v>0.29166666666666674</v>
      </c>
    </row>
    <row r="33" spans="2:7">
      <c r="B33" s="272"/>
      <c r="C33" s="294">
        <v>45701</v>
      </c>
      <c r="D33" s="353">
        <v>1E-3</v>
      </c>
      <c r="E33" s="353">
        <v>-1E-3</v>
      </c>
      <c r="F33" s="353">
        <v>0</v>
      </c>
      <c r="G33" s="296">
        <v>0.29166666666666674</v>
      </c>
    </row>
    <row r="34" spans="2:7">
      <c r="B34" s="272"/>
      <c r="C34" s="294">
        <v>45649</v>
      </c>
      <c r="D34" s="353">
        <v>0</v>
      </c>
      <c r="E34" s="353">
        <v>1E-3</v>
      </c>
      <c r="F34" s="353">
        <v>4.0000000000000001E-3</v>
      </c>
      <c r="G34" s="296">
        <v>0.29166666666666674</v>
      </c>
    </row>
    <row r="35" spans="2:7">
      <c r="B35" s="272"/>
      <c r="C35" s="294">
        <v>45611</v>
      </c>
      <c r="D35" s="353">
        <v>1E-3</v>
      </c>
      <c r="E35" s="353">
        <v>2E-3</v>
      </c>
      <c r="F35" s="353">
        <v>5.0000000000000001E-3</v>
      </c>
      <c r="G35" s="296">
        <v>0.25</v>
      </c>
    </row>
    <row r="36" spans="2:7" ht="22" thickBot="1">
      <c r="B36" s="272"/>
      <c r="C36" s="294">
        <v>45565</v>
      </c>
      <c r="D36" s="353">
        <v>5.0000000000000001E-3</v>
      </c>
      <c r="E36" s="353">
        <v>6.0000000000000001E-3</v>
      </c>
      <c r="F36" s="353">
        <v>7.0000000000000001E-3</v>
      </c>
      <c r="G36" s="296">
        <v>0.25</v>
      </c>
    </row>
    <row r="37" spans="2:7" ht="22" thickBot="1">
      <c r="B37" s="272">
        <v>1</v>
      </c>
      <c r="C37" s="273" t="s">
        <v>5</v>
      </c>
      <c r="D37" s="490" t="s">
        <v>712</v>
      </c>
      <c r="E37" s="491"/>
      <c r="F37" s="492"/>
      <c r="G37" s="274" t="s">
        <v>38</v>
      </c>
    </row>
    <row r="38" spans="2:7">
      <c r="B38" s="272"/>
      <c r="C38" s="278" t="s">
        <v>19</v>
      </c>
      <c r="D38" s="455"/>
      <c r="E38" s="456"/>
      <c r="F38" s="457"/>
      <c r="G38" s="279" t="s">
        <v>800</v>
      </c>
    </row>
    <row r="39" spans="2:7">
      <c r="B39" s="272"/>
      <c r="C39" s="282" t="s">
        <v>20</v>
      </c>
      <c r="D39" s="493"/>
      <c r="E39" s="494"/>
      <c r="F39" s="495"/>
      <c r="G39" s="283" t="s">
        <v>801</v>
      </c>
    </row>
    <row r="40" spans="2:7">
      <c r="B40" s="272"/>
      <c r="C40" s="282" t="s">
        <v>21</v>
      </c>
      <c r="D40" s="496">
        <v>1E-3</v>
      </c>
      <c r="E40" s="497"/>
      <c r="F40" s="498"/>
      <c r="G40" s="283"/>
    </row>
    <row r="41" spans="2:7" ht="29" thickBot="1">
      <c r="B41" s="272"/>
      <c r="C41" s="285" t="s">
        <v>23</v>
      </c>
      <c r="D41" s="468">
        <v>0.5</v>
      </c>
      <c r="E41" s="469"/>
      <c r="F41" s="470"/>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490" t="s">
        <v>713</v>
      </c>
      <c r="E49" s="491"/>
      <c r="F49" s="492"/>
      <c r="G49" s="274" t="s">
        <v>38</v>
      </c>
    </row>
    <row r="50" spans="2:7">
      <c r="B50" s="272"/>
      <c r="C50" s="278" t="s">
        <v>19</v>
      </c>
      <c r="D50" s="455"/>
      <c r="E50" s="456"/>
      <c r="F50" s="457"/>
      <c r="G50" s="279" t="s">
        <v>69</v>
      </c>
    </row>
    <row r="51" spans="2:7">
      <c r="B51" s="272"/>
      <c r="C51" s="282" t="s">
        <v>20</v>
      </c>
      <c r="D51" s="493"/>
      <c r="E51" s="494"/>
      <c r="F51" s="495"/>
      <c r="G51" s="283" t="s">
        <v>68</v>
      </c>
    </row>
    <row r="52" spans="2:7">
      <c r="B52" s="272"/>
      <c r="C52" s="282" t="s">
        <v>21</v>
      </c>
      <c r="D52" s="496">
        <v>0</v>
      </c>
      <c r="E52" s="497"/>
      <c r="F52" s="498"/>
      <c r="G52" s="283"/>
    </row>
    <row r="53" spans="2:7" ht="29" thickBot="1">
      <c r="B53" s="272"/>
      <c r="C53" s="285" t="s">
        <v>23</v>
      </c>
      <c r="D53" s="468">
        <v>0.57291666666666674</v>
      </c>
      <c r="E53" s="469"/>
      <c r="F53" s="470"/>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50" t="s">
        <v>714</v>
      </c>
      <c r="E61" s="451"/>
      <c r="F61" s="452"/>
      <c r="G61" s="274" t="s">
        <v>38</v>
      </c>
    </row>
    <row r="62" spans="2:7">
      <c r="B62" s="272"/>
      <c r="C62" s="278" t="s">
        <v>19</v>
      </c>
      <c r="D62" s="455"/>
      <c r="E62" s="456"/>
      <c r="F62" s="457"/>
      <c r="G62" s="279" t="s">
        <v>800</v>
      </c>
    </row>
    <row r="63" spans="2:7">
      <c r="B63" s="272"/>
      <c r="C63" s="282" t="s">
        <v>20</v>
      </c>
      <c r="D63" s="464"/>
      <c r="E63" s="465"/>
      <c r="F63" s="466"/>
      <c r="G63" s="279" t="s">
        <v>801</v>
      </c>
    </row>
    <row r="64" spans="2:7">
      <c r="B64" s="272"/>
      <c r="C64" s="282" t="s">
        <v>21</v>
      </c>
      <c r="D64" s="515">
        <v>1.9E-2</v>
      </c>
      <c r="E64" s="516"/>
      <c r="F64" s="517"/>
      <c r="G64" s="283"/>
    </row>
    <row r="65" spans="2:7" ht="29" thickBot="1">
      <c r="B65" s="272"/>
      <c r="C65" s="285" t="s">
        <v>23</v>
      </c>
      <c r="D65" s="468">
        <v>0.375</v>
      </c>
      <c r="E65" s="469"/>
      <c r="F65" s="470"/>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50" t="s">
        <v>282</v>
      </c>
      <c r="E73" s="451"/>
      <c r="F73" s="452"/>
      <c r="G73" s="274" t="s">
        <v>38</v>
      </c>
    </row>
    <row r="74" spans="2:7">
      <c r="B74" s="272"/>
      <c r="C74" s="278" t="s">
        <v>19</v>
      </c>
      <c r="D74" s="455"/>
      <c r="E74" s="456"/>
      <c r="F74" s="457"/>
      <c r="G74" s="279" t="s">
        <v>69</v>
      </c>
    </row>
    <row r="75" spans="2:7">
      <c r="B75" s="272"/>
      <c r="C75" s="282" t="s">
        <v>20</v>
      </c>
      <c r="D75" s="464"/>
      <c r="E75" s="465"/>
      <c r="F75" s="466"/>
      <c r="G75" s="283" t="s">
        <v>68</v>
      </c>
    </row>
    <row r="76" spans="2:7">
      <c r="B76" s="272"/>
      <c r="C76" s="282" t="s">
        <v>21</v>
      </c>
      <c r="D76" s="471"/>
      <c r="E76" s="472"/>
      <c r="F76" s="473"/>
      <c r="G76" s="283"/>
    </row>
    <row r="77" spans="2:7" ht="29" thickBot="1">
      <c r="B77" s="272"/>
      <c r="C77" s="285" t="s">
        <v>23</v>
      </c>
      <c r="D77" s="468">
        <v>0.5625</v>
      </c>
      <c r="E77" s="469"/>
      <c r="F77" s="470"/>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5">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50" t="s">
        <v>715</v>
      </c>
      <c r="E85" s="451"/>
      <c r="F85" s="452"/>
      <c r="G85" s="274" t="s">
        <v>38</v>
      </c>
    </row>
    <row r="86" spans="2:7">
      <c r="B86" s="272"/>
      <c r="C86" s="278" t="s">
        <v>19</v>
      </c>
      <c r="D86" s="455"/>
      <c r="E86" s="456"/>
      <c r="F86" s="457"/>
      <c r="G86" s="279" t="s">
        <v>69</v>
      </c>
    </row>
    <row r="87" spans="2:7">
      <c r="B87" s="272"/>
      <c r="C87" s="282" t="s">
        <v>20</v>
      </c>
      <c r="D87" s="464"/>
      <c r="E87" s="465"/>
      <c r="F87" s="466"/>
      <c r="G87" s="283" t="s">
        <v>68</v>
      </c>
    </row>
    <row r="88" spans="2:7">
      <c r="B88" s="272"/>
      <c r="C88" s="282" t="s">
        <v>21</v>
      </c>
      <c r="D88" s="467">
        <v>52</v>
      </c>
      <c r="E88" s="465"/>
      <c r="F88" s="466"/>
      <c r="G88" s="283"/>
    </row>
    <row r="89" spans="2:7" ht="29" thickBot="1">
      <c r="B89" s="272"/>
      <c r="C89" s="285" t="s">
        <v>23</v>
      </c>
      <c r="D89" s="468">
        <v>0.57291666666666674</v>
      </c>
      <c r="E89" s="469"/>
      <c r="F89" s="470"/>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50" t="s">
        <v>716</v>
      </c>
      <c r="E97" s="451"/>
      <c r="F97" s="452"/>
      <c r="G97" s="274" t="s">
        <v>38</v>
      </c>
    </row>
    <row r="98" spans="2:7">
      <c r="B98" s="272"/>
      <c r="C98" s="278" t="s">
        <v>19</v>
      </c>
      <c r="D98" s="455"/>
      <c r="E98" s="456"/>
      <c r="F98" s="457"/>
      <c r="G98" s="279" t="s">
        <v>69</v>
      </c>
    </row>
    <row r="99" spans="2:7">
      <c r="B99" s="272"/>
      <c r="C99" s="282" t="s">
        <v>20</v>
      </c>
      <c r="D99" s="464"/>
      <c r="E99" s="465"/>
      <c r="F99" s="466"/>
      <c r="G99" s="283" t="s">
        <v>68</v>
      </c>
    </row>
    <row r="100" spans="2:7">
      <c r="B100" s="272"/>
      <c r="C100" s="282" t="s">
        <v>21</v>
      </c>
      <c r="D100" s="467">
        <v>48.5</v>
      </c>
      <c r="E100" s="465"/>
      <c r="F100" s="466"/>
      <c r="G100" s="283"/>
    </row>
    <row r="101" spans="2:7" ht="29" thickBot="1">
      <c r="B101" s="272"/>
      <c r="C101" s="285" t="s">
        <v>23</v>
      </c>
      <c r="D101" s="468">
        <v>0.58333333333333337</v>
      </c>
      <c r="E101" s="469"/>
      <c r="F101" s="470"/>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50" t="s">
        <v>717</v>
      </c>
      <c r="E109" s="451"/>
      <c r="F109" s="452"/>
      <c r="G109" s="274" t="s">
        <v>38</v>
      </c>
    </row>
    <row r="110" spans="2:7">
      <c r="B110" s="272"/>
      <c r="C110" s="278" t="s">
        <v>19</v>
      </c>
      <c r="D110" s="455"/>
      <c r="E110" s="456"/>
      <c r="F110" s="457"/>
      <c r="G110" s="279" t="s">
        <v>69</v>
      </c>
    </row>
    <row r="111" spans="2:7">
      <c r="B111" s="272"/>
      <c r="C111" s="282" t="s">
        <v>20</v>
      </c>
      <c r="D111" s="464"/>
      <c r="E111" s="465"/>
      <c r="F111" s="466"/>
      <c r="G111" s="283" t="s">
        <v>68</v>
      </c>
    </row>
    <row r="112" spans="2:7">
      <c r="B112" s="272"/>
      <c r="C112" s="282" t="s">
        <v>21</v>
      </c>
      <c r="D112" s="467">
        <v>69.400000000000006</v>
      </c>
      <c r="E112" s="465"/>
      <c r="F112" s="466"/>
      <c r="G112" s="283"/>
    </row>
    <row r="113" spans="2:7" ht="29" thickBot="1">
      <c r="B113" s="272"/>
      <c r="C113" s="285" t="s">
        <v>23</v>
      </c>
      <c r="D113" s="468">
        <v>0.58333333333333337</v>
      </c>
      <c r="E113" s="469"/>
      <c r="F113" s="470"/>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50" t="s">
        <v>718</v>
      </c>
      <c r="E121" s="451"/>
      <c r="F121" s="452"/>
      <c r="G121" s="274" t="s">
        <v>38</v>
      </c>
    </row>
    <row r="122" spans="2:7">
      <c r="B122" s="272"/>
      <c r="C122" s="278" t="s">
        <v>19</v>
      </c>
      <c r="D122" s="455"/>
      <c r="E122" s="456"/>
      <c r="F122" s="457"/>
      <c r="G122" s="279" t="s">
        <v>69</v>
      </c>
    </row>
    <row r="123" spans="2:7">
      <c r="B123" s="272"/>
      <c r="C123" s="282" t="s">
        <v>20</v>
      </c>
      <c r="D123" s="464"/>
      <c r="E123" s="465"/>
      <c r="F123" s="466"/>
      <c r="G123" s="283" t="s">
        <v>68</v>
      </c>
    </row>
    <row r="124" spans="2:7">
      <c r="B124" s="272"/>
      <c r="C124" s="282" t="s">
        <v>21</v>
      </c>
      <c r="D124" s="471" t="s">
        <v>719</v>
      </c>
      <c r="E124" s="472"/>
      <c r="F124" s="473"/>
      <c r="G124" s="283"/>
    </row>
    <row r="125" spans="2:7" ht="29" thickBot="1">
      <c r="B125" s="272"/>
      <c r="C125" s="285" t="s">
        <v>23</v>
      </c>
      <c r="D125" s="468">
        <v>0.58333333333333337</v>
      </c>
      <c r="E125" s="469"/>
      <c r="F125" s="470"/>
      <c r="G125" s="286"/>
    </row>
    <row r="126" spans="2:7" ht="29" thickBot="1">
      <c r="B126" s="272"/>
      <c r="C126" s="289" t="s">
        <v>22</v>
      </c>
      <c r="D126" s="290" t="s">
        <v>6</v>
      </c>
      <c r="E126" s="290" t="s">
        <v>7</v>
      </c>
      <c r="F126" s="291" t="s">
        <v>8</v>
      </c>
      <c r="G126" s="274" t="s">
        <v>67</v>
      </c>
    </row>
    <row r="127" spans="2:7">
      <c r="B127" s="272"/>
      <c r="C127" s="294">
        <v>45811</v>
      </c>
      <c r="D127" s="270" t="s">
        <v>802</v>
      </c>
      <c r="E127" s="270" t="s">
        <v>803</v>
      </c>
      <c r="F127" s="270" t="s">
        <v>804</v>
      </c>
      <c r="G127" s="296">
        <v>0.58333333333333337</v>
      </c>
    </row>
    <row r="128" spans="2:7">
      <c r="B128" s="272"/>
      <c r="C128" s="294">
        <v>45776</v>
      </c>
      <c r="D128" s="270" t="s">
        <v>805</v>
      </c>
      <c r="E128" s="270" t="s">
        <v>806</v>
      </c>
      <c r="F128" s="270" t="s">
        <v>807</v>
      </c>
      <c r="G128" s="296">
        <v>0.58333333333333337</v>
      </c>
    </row>
    <row r="129" spans="2:7">
      <c r="B129" s="272"/>
      <c r="C129" s="294">
        <v>45748</v>
      </c>
      <c r="D129" s="270" t="s">
        <v>808</v>
      </c>
      <c r="E129" s="270" t="s">
        <v>809</v>
      </c>
      <c r="F129" s="270" t="s">
        <v>810</v>
      </c>
      <c r="G129" s="296">
        <v>0.58333333333333337</v>
      </c>
    </row>
    <row r="130" spans="2:7">
      <c r="B130" s="272"/>
      <c r="C130" s="294">
        <v>45727</v>
      </c>
      <c r="D130" s="270" t="s">
        <v>811</v>
      </c>
      <c r="E130" s="270" t="s">
        <v>812</v>
      </c>
      <c r="F130" s="270" t="s">
        <v>813</v>
      </c>
      <c r="G130" s="296">
        <v>0.625</v>
      </c>
    </row>
    <row r="131" spans="2:7">
      <c r="B131" s="272"/>
      <c r="C131" s="294">
        <v>45692</v>
      </c>
      <c r="D131" s="270" t="s">
        <v>814</v>
      </c>
      <c r="E131" s="270" t="s">
        <v>815</v>
      </c>
      <c r="F131" s="270" t="s">
        <v>816</v>
      </c>
      <c r="G131" s="296">
        <v>0.625</v>
      </c>
    </row>
    <row r="132" spans="2:7" ht="22" thickBot="1">
      <c r="B132" s="272"/>
      <c r="C132" s="294">
        <v>45664</v>
      </c>
      <c r="D132" s="270" t="s">
        <v>817</v>
      </c>
      <c r="E132" s="270" t="s">
        <v>818</v>
      </c>
      <c r="F132" s="270" t="s">
        <v>819</v>
      </c>
      <c r="G132" s="296">
        <v>0.625</v>
      </c>
    </row>
    <row r="133" spans="2:7" ht="22" thickBot="1">
      <c r="B133" s="272">
        <v>1</v>
      </c>
      <c r="C133" s="289" t="s">
        <v>5</v>
      </c>
      <c r="D133" s="450" t="s">
        <v>720</v>
      </c>
      <c r="E133" s="451"/>
      <c r="F133" s="452"/>
      <c r="G133" s="274" t="s">
        <v>38</v>
      </c>
    </row>
    <row r="134" spans="2:7">
      <c r="B134" s="272"/>
      <c r="C134" s="278" t="s">
        <v>19</v>
      </c>
      <c r="D134" s="455"/>
      <c r="E134" s="456"/>
      <c r="F134" s="457"/>
      <c r="G134" s="279" t="s">
        <v>69</v>
      </c>
    </row>
    <row r="135" spans="2:7">
      <c r="B135" s="272"/>
      <c r="C135" s="282" t="s">
        <v>20</v>
      </c>
      <c r="D135" s="464"/>
      <c r="E135" s="465"/>
      <c r="F135" s="466"/>
      <c r="G135" s="283" t="s">
        <v>68</v>
      </c>
    </row>
    <row r="136" spans="2:7">
      <c r="B136" s="272"/>
      <c r="C136" s="282" t="s">
        <v>21</v>
      </c>
      <c r="D136" s="471" t="s">
        <v>721</v>
      </c>
      <c r="E136" s="472"/>
      <c r="F136" s="473"/>
      <c r="G136" s="283"/>
    </row>
    <row r="137" spans="2:7" ht="29" thickBot="1">
      <c r="B137" s="272"/>
      <c r="C137" s="285" t="s">
        <v>23</v>
      </c>
      <c r="D137" s="468">
        <v>0.51041666666666674</v>
      </c>
      <c r="E137" s="469"/>
      <c r="F137" s="470"/>
      <c r="G137" s="286"/>
    </row>
    <row r="138" spans="2:7" ht="29" thickBot="1">
      <c r="B138" s="272"/>
      <c r="C138" s="289" t="s">
        <v>22</v>
      </c>
      <c r="D138" s="290" t="s">
        <v>6</v>
      </c>
      <c r="E138" s="290" t="s">
        <v>7</v>
      </c>
      <c r="F138" s="291" t="s">
        <v>8</v>
      </c>
      <c r="G138" s="274" t="s">
        <v>67</v>
      </c>
    </row>
    <row r="139" spans="2:7">
      <c r="B139" s="272"/>
      <c r="C139" s="294">
        <v>45812</v>
      </c>
      <c r="D139" s="270" t="s">
        <v>820</v>
      </c>
      <c r="E139" s="270" t="s">
        <v>821</v>
      </c>
      <c r="F139" s="270" t="s">
        <v>482</v>
      </c>
      <c r="G139" s="296">
        <v>0.51041666666666674</v>
      </c>
    </row>
    <row r="140" spans="2:7">
      <c r="B140" s="272"/>
      <c r="C140" s="294">
        <v>45777</v>
      </c>
      <c r="D140" s="270" t="s">
        <v>822</v>
      </c>
      <c r="E140" s="270" t="s">
        <v>823</v>
      </c>
      <c r="F140" s="270" t="s">
        <v>824</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50" t="s">
        <v>233</v>
      </c>
      <c r="E145" s="451"/>
      <c r="F145" s="452"/>
      <c r="G145" s="274" t="s">
        <v>38</v>
      </c>
    </row>
    <row r="146" spans="2:7">
      <c r="B146" s="272"/>
      <c r="C146" s="278" t="s">
        <v>19</v>
      </c>
      <c r="D146" s="455"/>
      <c r="E146" s="456"/>
      <c r="F146" s="457"/>
      <c r="G146" s="279" t="s">
        <v>145</v>
      </c>
    </row>
    <row r="147" spans="2:7">
      <c r="B147" s="272"/>
      <c r="C147" s="282" t="s">
        <v>20</v>
      </c>
      <c r="D147" s="464"/>
      <c r="E147" s="465"/>
      <c r="F147" s="466"/>
      <c r="G147" s="279" t="s">
        <v>145</v>
      </c>
    </row>
    <row r="148" spans="2:7">
      <c r="B148" s="272"/>
      <c r="C148" s="282" t="s">
        <v>21</v>
      </c>
      <c r="D148" s="471" t="s">
        <v>772</v>
      </c>
      <c r="E148" s="472"/>
      <c r="F148" s="473"/>
      <c r="G148" s="283"/>
    </row>
    <row r="149" spans="2:7" ht="29" thickBot="1">
      <c r="B149" s="272"/>
      <c r="C149" s="285" t="s">
        <v>23</v>
      </c>
      <c r="D149" s="468">
        <v>0.60416666666666674</v>
      </c>
      <c r="E149" s="469"/>
      <c r="F149" s="470"/>
      <c r="G149" s="286"/>
    </row>
    <row r="150" spans="2:7" ht="29" thickBot="1">
      <c r="B150" s="272"/>
      <c r="C150" s="289" t="s">
        <v>22</v>
      </c>
      <c r="D150" s="290" t="s">
        <v>6</v>
      </c>
      <c r="E150" s="290" t="s">
        <v>7</v>
      </c>
      <c r="F150" s="291" t="s">
        <v>8</v>
      </c>
      <c r="G150" s="274" t="s">
        <v>67</v>
      </c>
    </row>
    <row r="151" spans="2:7">
      <c r="B151" s="272"/>
      <c r="C151" s="294">
        <v>45833</v>
      </c>
      <c r="D151" s="270" t="s">
        <v>825</v>
      </c>
      <c r="E151" s="270" t="s">
        <v>826</v>
      </c>
      <c r="F151" s="270" t="s">
        <v>827</v>
      </c>
      <c r="G151" s="296">
        <v>0.60416666666666674</v>
      </c>
    </row>
    <row r="152" spans="2:7">
      <c r="B152" s="272"/>
      <c r="C152" s="294">
        <v>45826</v>
      </c>
      <c r="D152" s="270" t="s">
        <v>827</v>
      </c>
      <c r="E152" s="270" t="s">
        <v>828</v>
      </c>
      <c r="F152" s="270" t="s">
        <v>829</v>
      </c>
      <c r="G152" s="296">
        <v>0.60416666666666674</v>
      </c>
    </row>
    <row r="153" spans="2:7">
      <c r="B153" s="272"/>
      <c r="C153" s="294">
        <v>45819</v>
      </c>
      <c r="D153" s="270" t="s">
        <v>829</v>
      </c>
      <c r="E153" s="270" t="s">
        <v>830</v>
      </c>
      <c r="F153" s="270" t="s">
        <v>831</v>
      </c>
      <c r="G153" s="296">
        <v>0.60416666666666674</v>
      </c>
    </row>
    <row r="154" spans="2:7">
      <c r="B154" s="272"/>
      <c r="C154" s="294">
        <v>45812</v>
      </c>
      <c r="D154" s="270" t="s">
        <v>831</v>
      </c>
      <c r="E154" s="270" t="s">
        <v>832</v>
      </c>
      <c r="F154" s="270" t="s">
        <v>833</v>
      </c>
      <c r="G154" s="296">
        <v>0.66666666666666674</v>
      </c>
    </row>
    <row r="155" spans="2:7">
      <c r="B155" s="272"/>
      <c r="C155" s="294">
        <v>45806</v>
      </c>
      <c r="D155" s="270" t="s">
        <v>833</v>
      </c>
      <c r="E155" s="270" t="s">
        <v>834</v>
      </c>
      <c r="F155" s="270" t="s">
        <v>835</v>
      </c>
      <c r="G155" s="296">
        <v>0.60416666666666674</v>
      </c>
    </row>
    <row r="156" spans="2:7" ht="22" thickBot="1">
      <c r="B156" s="272"/>
      <c r="C156" s="294">
        <v>45798</v>
      </c>
      <c r="D156" s="270" t="s">
        <v>835</v>
      </c>
      <c r="E156" s="270" t="s">
        <v>836</v>
      </c>
      <c r="F156" s="270" t="s">
        <v>837</v>
      </c>
      <c r="G156" s="296">
        <v>0.625</v>
      </c>
    </row>
    <row r="157" spans="2:7" ht="22" thickBot="1">
      <c r="B157" s="272">
        <v>1</v>
      </c>
      <c r="C157" s="289" t="s">
        <v>5</v>
      </c>
      <c r="D157" s="450" t="s">
        <v>722</v>
      </c>
      <c r="E157" s="451"/>
      <c r="F157" s="452"/>
      <c r="G157" s="274" t="s">
        <v>38</v>
      </c>
    </row>
    <row r="158" spans="2:7">
      <c r="B158" s="272"/>
      <c r="C158" s="278" t="s">
        <v>19</v>
      </c>
      <c r="D158" s="455"/>
      <c r="E158" s="456"/>
      <c r="F158" s="457"/>
      <c r="G158" s="279" t="s">
        <v>145</v>
      </c>
    </row>
    <row r="159" spans="2:7">
      <c r="B159" s="272"/>
      <c r="C159" s="282" t="s">
        <v>20</v>
      </c>
      <c r="D159" s="464"/>
      <c r="E159" s="465"/>
      <c r="F159" s="466"/>
      <c r="G159" s="279" t="s">
        <v>145</v>
      </c>
    </row>
    <row r="160" spans="2:7">
      <c r="B160" s="272"/>
      <c r="C160" s="282" t="s">
        <v>21</v>
      </c>
      <c r="D160" s="471">
        <v>0</v>
      </c>
      <c r="E160" s="472"/>
      <c r="F160" s="473"/>
      <c r="G160" s="283"/>
    </row>
    <row r="161" spans="2:7" ht="29" thickBot="1">
      <c r="B161" s="272"/>
      <c r="C161" s="285" t="s">
        <v>23</v>
      </c>
      <c r="D161" s="468" t="e">
        <v>#VALUE!</v>
      </c>
      <c r="E161" s="469"/>
      <c r="F161" s="470"/>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50" t="s">
        <v>573</v>
      </c>
      <c r="E169" s="451"/>
      <c r="F169" s="452"/>
      <c r="G169" s="274" t="s">
        <v>38</v>
      </c>
    </row>
    <row r="170" spans="2:7">
      <c r="B170" s="272"/>
      <c r="C170" s="278" t="s">
        <v>19</v>
      </c>
      <c r="D170" s="455"/>
      <c r="E170" s="456"/>
      <c r="F170" s="457"/>
      <c r="G170" s="279" t="s">
        <v>69</v>
      </c>
    </row>
    <row r="171" spans="2:7">
      <c r="B171" s="272"/>
      <c r="C171" s="282" t="s">
        <v>20</v>
      </c>
      <c r="D171" s="464"/>
      <c r="E171" s="465"/>
      <c r="F171" s="466"/>
      <c r="G171" s="283" t="s">
        <v>68</v>
      </c>
    </row>
    <row r="172" spans="2:7">
      <c r="B172" s="272"/>
      <c r="C172" s="282" t="s">
        <v>21</v>
      </c>
      <c r="D172" s="471">
        <v>4.0000000000000001E-3</v>
      </c>
      <c r="E172" s="472"/>
      <c r="F172" s="473"/>
      <c r="G172" s="283"/>
    </row>
    <row r="173" spans="2:7" ht="29" thickBot="1">
      <c r="B173" s="272"/>
      <c r="C173" s="285" t="s">
        <v>23</v>
      </c>
      <c r="D173" s="468">
        <v>0.52083333333333337</v>
      </c>
      <c r="E173" s="469"/>
      <c r="F173" s="470"/>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50" t="s">
        <v>182</v>
      </c>
      <c r="E181" s="451"/>
      <c r="F181" s="452"/>
      <c r="G181" s="274" t="s">
        <v>38</v>
      </c>
    </row>
    <row r="182" spans="2:7">
      <c r="B182" s="272"/>
      <c r="C182" s="278" t="s">
        <v>19</v>
      </c>
      <c r="D182" s="455"/>
      <c r="E182" s="456"/>
      <c r="F182" s="457"/>
      <c r="G182" s="279" t="s">
        <v>69</v>
      </c>
    </row>
    <row r="183" spans="2:7">
      <c r="B183" s="272"/>
      <c r="C183" s="282" t="s">
        <v>20</v>
      </c>
      <c r="D183" s="464"/>
      <c r="E183" s="465"/>
      <c r="F183" s="466"/>
      <c r="G183" s="283" t="s">
        <v>68</v>
      </c>
    </row>
    <row r="184" spans="2:7">
      <c r="B184" s="272"/>
      <c r="C184" s="282" t="s">
        <v>21</v>
      </c>
      <c r="D184" s="471" t="s">
        <v>784</v>
      </c>
      <c r="E184" s="472"/>
      <c r="F184" s="473"/>
      <c r="G184" s="283"/>
    </row>
    <row r="185" spans="2:7" ht="29" thickBot="1">
      <c r="B185" s="272"/>
      <c r="C185" s="285" t="s">
        <v>23</v>
      </c>
      <c r="D185" s="468">
        <v>0.52083333333333337</v>
      </c>
      <c r="E185" s="469"/>
      <c r="F185" s="470"/>
      <c r="G185" s="286"/>
    </row>
    <row r="186" spans="2:7" ht="29" thickBot="1">
      <c r="B186" s="272"/>
      <c r="C186" s="289" t="s">
        <v>22</v>
      </c>
      <c r="D186" s="290" t="s">
        <v>6</v>
      </c>
      <c r="E186" s="290" t="s">
        <v>7</v>
      </c>
      <c r="F186" s="291" t="s">
        <v>8</v>
      </c>
      <c r="G186" s="274" t="s">
        <v>67</v>
      </c>
    </row>
    <row r="187" spans="2:7">
      <c r="B187" s="272"/>
      <c r="C187" s="294">
        <v>45834</v>
      </c>
      <c r="D187" s="270" t="s">
        <v>683</v>
      </c>
      <c r="E187" s="270" t="s">
        <v>838</v>
      </c>
      <c r="F187" s="270" t="s">
        <v>678</v>
      </c>
      <c r="G187" s="296">
        <v>0.52083333333333337</v>
      </c>
    </row>
    <row r="188" spans="2:7">
      <c r="B188" s="272"/>
      <c r="C188" s="294">
        <v>45826</v>
      </c>
      <c r="D188" s="270" t="s">
        <v>677</v>
      </c>
      <c r="E188" s="270" t="s">
        <v>678</v>
      </c>
      <c r="F188" s="270" t="s">
        <v>679</v>
      </c>
      <c r="G188" s="296">
        <v>0.52083333333333337</v>
      </c>
    </row>
    <row r="189" spans="2:7">
      <c r="B189" s="272"/>
      <c r="C189" s="294">
        <v>45820</v>
      </c>
      <c r="D189" s="270" t="s">
        <v>680</v>
      </c>
      <c r="E189" s="270" t="s">
        <v>681</v>
      </c>
      <c r="F189" s="270" t="s">
        <v>680</v>
      </c>
      <c r="G189" s="296">
        <v>0.52083333333333337</v>
      </c>
    </row>
    <row r="190" spans="2:7">
      <c r="B190" s="272"/>
      <c r="C190" s="294">
        <v>45813</v>
      </c>
      <c r="D190" s="270" t="s">
        <v>682</v>
      </c>
      <c r="E190" s="270" t="s">
        <v>683</v>
      </c>
      <c r="F190" s="270" t="s">
        <v>684</v>
      </c>
      <c r="G190" s="296">
        <v>0.52083333333333337</v>
      </c>
    </row>
    <row r="191" spans="2:7">
      <c r="B191" s="272"/>
      <c r="C191" s="294">
        <v>45806</v>
      </c>
      <c r="D191" s="270" t="s">
        <v>685</v>
      </c>
      <c r="E191" s="270" t="s">
        <v>686</v>
      </c>
      <c r="F191" s="270" t="s">
        <v>687</v>
      </c>
      <c r="G191" s="296">
        <v>0.52083333333333337</v>
      </c>
    </row>
    <row r="192" spans="2:7" ht="22" thickBot="1">
      <c r="B192" s="272"/>
      <c r="C192" s="294">
        <v>45799</v>
      </c>
      <c r="D192" s="270" t="s">
        <v>688</v>
      </c>
      <c r="E192" s="270" t="s">
        <v>689</v>
      </c>
      <c r="F192" s="270" t="s">
        <v>686</v>
      </c>
      <c r="G192" s="296">
        <v>0.5625</v>
      </c>
    </row>
    <row r="193" spans="2:7" ht="22" thickBot="1">
      <c r="B193" s="272">
        <v>1</v>
      </c>
      <c r="C193" s="289" t="s">
        <v>5</v>
      </c>
      <c r="D193" s="450" t="s">
        <v>575</v>
      </c>
      <c r="E193" s="451"/>
      <c r="F193" s="452"/>
      <c r="G193" s="274" t="s">
        <v>38</v>
      </c>
    </row>
    <row r="194" spans="2:7">
      <c r="B194" s="272"/>
      <c r="C194" s="278" t="s">
        <v>19</v>
      </c>
      <c r="D194" s="455"/>
      <c r="E194" s="456"/>
      <c r="F194" s="457"/>
      <c r="G194" s="279" t="s">
        <v>69</v>
      </c>
    </row>
    <row r="195" spans="2:7">
      <c r="B195" s="272"/>
      <c r="C195" s="282" t="s">
        <v>20</v>
      </c>
      <c r="D195" s="464"/>
      <c r="E195" s="465"/>
      <c r="F195" s="466"/>
      <c r="G195" s="283" t="s">
        <v>68</v>
      </c>
    </row>
    <row r="196" spans="2:7">
      <c r="B196" s="272"/>
      <c r="C196" s="282" t="s">
        <v>21</v>
      </c>
      <c r="D196" s="471" t="s">
        <v>440</v>
      </c>
      <c r="E196" s="472"/>
      <c r="F196" s="473"/>
      <c r="G196" s="283"/>
    </row>
    <row r="197" spans="2:7" ht="29" thickBot="1">
      <c r="B197" s="272"/>
      <c r="C197" s="285" t="s">
        <v>23</v>
      </c>
      <c r="D197" s="468">
        <v>0.52083333333333337</v>
      </c>
      <c r="E197" s="469"/>
      <c r="F197" s="470"/>
      <c r="G197" s="286"/>
    </row>
    <row r="198" spans="2:7" ht="29" thickBot="1">
      <c r="B198" s="272"/>
      <c r="C198" s="289" t="s">
        <v>22</v>
      </c>
      <c r="D198" s="290" t="s">
        <v>6</v>
      </c>
      <c r="E198" s="290" t="s">
        <v>7</v>
      </c>
      <c r="F198" s="291" t="s">
        <v>8</v>
      </c>
      <c r="G198" s="274" t="s">
        <v>67</v>
      </c>
    </row>
    <row r="199" spans="2:7">
      <c r="B199" s="272"/>
      <c r="C199" s="294">
        <v>45814</v>
      </c>
      <c r="D199" s="270" t="s">
        <v>501</v>
      </c>
      <c r="E199" s="270" t="s">
        <v>839</v>
      </c>
      <c r="F199" s="270" t="s">
        <v>824</v>
      </c>
      <c r="G199" s="296">
        <v>0.52083333333333337</v>
      </c>
    </row>
    <row r="200" spans="2:7">
      <c r="B200" s="272"/>
      <c r="C200" s="294">
        <v>45779</v>
      </c>
      <c r="D200" s="270" t="s">
        <v>840</v>
      </c>
      <c r="E200" s="270" t="s">
        <v>841</v>
      </c>
      <c r="F200" s="270" t="s">
        <v>842</v>
      </c>
      <c r="G200" s="296">
        <v>0.52083333333333337</v>
      </c>
    </row>
    <row r="201" spans="2:7">
      <c r="B201" s="272"/>
      <c r="C201" s="294">
        <v>45751</v>
      </c>
      <c r="D201" s="270" t="s">
        <v>843</v>
      </c>
      <c r="E201" s="270" t="s">
        <v>844</v>
      </c>
      <c r="F201" s="270" t="s">
        <v>845</v>
      </c>
      <c r="G201" s="296">
        <v>0.5625</v>
      </c>
    </row>
    <row r="202" spans="2:7">
      <c r="B202" s="272"/>
      <c r="C202" s="294">
        <v>45723</v>
      </c>
      <c r="D202" s="270" t="s">
        <v>846</v>
      </c>
      <c r="E202" s="270" t="s">
        <v>508</v>
      </c>
      <c r="F202" s="270" t="s">
        <v>847</v>
      </c>
      <c r="G202" s="296">
        <v>0.5625</v>
      </c>
    </row>
    <row r="203" spans="2:7">
      <c r="B203" s="272"/>
      <c r="C203" s="294">
        <v>45695</v>
      </c>
      <c r="D203" s="270" t="s">
        <v>848</v>
      </c>
      <c r="E203" s="270" t="s">
        <v>849</v>
      </c>
      <c r="F203" s="270" t="s">
        <v>850</v>
      </c>
      <c r="G203" s="296">
        <v>0.5625</v>
      </c>
    </row>
    <row r="204" spans="2:7" ht="22" thickBot="1">
      <c r="B204" s="272"/>
      <c r="C204" s="294">
        <v>45667</v>
      </c>
      <c r="D204" s="270" t="s">
        <v>851</v>
      </c>
      <c r="E204" s="270" t="s">
        <v>852</v>
      </c>
      <c r="F204" s="270" t="s">
        <v>853</v>
      </c>
      <c r="G204" s="296">
        <v>0.5625</v>
      </c>
    </row>
    <row r="205" spans="2:7" ht="22" thickBot="1">
      <c r="B205" s="272">
        <v>1</v>
      </c>
      <c r="C205" s="289" t="s">
        <v>5</v>
      </c>
      <c r="D205" s="450" t="s">
        <v>723</v>
      </c>
      <c r="E205" s="451"/>
      <c r="F205" s="452"/>
      <c r="G205" s="274" t="s">
        <v>38</v>
      </c>
    </row>
    <row r="206" spans="2:7">
      <c r="B206" s="272"/>
      <c r="C206" s="278" t="s">
        <v>19</v>
      </c>
      <c r="D206" s="455"/>
      <c r="E206" s="456"/>
      <c r="F206" s="457"/>
      <c r="G206" s="279" t="s">
        <v>69</v>
      </c>
    </row>
    <row r="207" spans="2:7">
      <c r="B207" s="272"/>
      <c r="C207" s="282" t="s">
        <v>20</v>
      </c>
      <c r="D207" s="464"/>
      <c r="E207" s="465"/>
      <c r="F207" s="466"/>
      <c r="G207" s="283" t="s">
        <v>68</v>
      </c>
    </row>
    <row r="208" spans="2:7">
      <c r="B208" s="272"/>
      <c r="C208" s="282" t="s">
        <v>21</v>
      </c>
      <c r="D208" s="471">
        <v>4.2000000000000003E-2</v>
      </c>
      <c r="E208" s="472"/>
      <c r="F208" s="473"/>
      <c r="G208" s="283"/>
    </row>
    <row r="209" spans="2:7" ht="29" thickBot="1">
      <c r="B209" s="272"/>
      <c r="C209" s="285" t="s">
        <v>23</v>
      </c>
      <c r="D209" s="468">
        <v>0.52083333333333337</v>
      </c>
      <c r="E209" s="469"/>
      <c r="F209" s="470"/>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50" t="s">
        <v>724</v>
      </c>
      <c r="E217" s="451"/>
      <c r="F217" s="452"/>
      <c r="G217" s="274" t="s">
        <v>38</v>
      </c>
    </row>
    <row r="218" spans="2:7">
      <c r="B218" s="272"/>
      <c r="C218" s="278" t="s">
        <v>19</v>
      </c>
      <c r="D218" s="455"/>
      <c r="E218" s="456"/>
      <c r="F218" s="457"/>
      <c r="G218" s="279" t="s">
        <v>69</v>
      </c>
    </row>
    <row r="219" spans="2:7">
      <c r="B219" s="272"/>
      <c r="C219" s="282" t="s">
        <v>20</v>
      </c>
      <c r="D219" s="464"/>
      <c r="E219" s="465"/>
      <c r="F219" s="466"/>
      <c r="G219" s="283" t="s">
        <v>68</v>
      </c>
    </row>
    <row r="220" spans="2:7">
      <c r="B220" s="272"/>
      <c r="C220" s="282" t="s">
        <v>21</v>
      </c>
      <c r="D220" s="471">
        <v>53.1</v>
      </c>
      <c r="E220" s="472"/>
      <c r="F220" s="473"/>
      <c r="G220" s="283"/>
    </row>
    <row r="221" spans="2:7" ht="29" thickBot="1">
      <c r="B221" s="272"/>
      <c r="C221" s="285" t="s">
        <v>23</v>
      </c>
      <c r="D221" s="468">
        <v>0.57291666666666674</v>
      </c>
      <c r="E221" s="469"/>
      <c r="F221" s="470"/>
      <c r="G221" s="286"/>
    </row>
    <row r="222" spans="2:7" ht="29" thickBot="1">
      <c r="B222" s="272"/>
      <c r="C222" s="289" t="s">
        <v>22</v>
      </c>
      <c r="D222" s="290" t="s">
        <v>6</v>
      </c>
      <c r="E222" s="290" t="s">
        <v>7</v>
      </c>
      <c r="F222" s="291" t="s">
        <v>8</v>
      </c>
      <c r="G222" s="274" t="s">
        <v>67</v>
      </c>
    </row>
    <row r="223" spans="2:7">
      <c r="B223" s="272"/>
      <c r="C223" s="294">
        <v>45831</v>
      </c>
      <c r="D223" s="270" t="s">
        <v>854</v>
      </c>
      <c r="E223" s="270" t="s">
        <v>855</v>
      </c>
      <c r="F223" s="270" t="s">
        <v>856</v>
      </c>
      <c r="G223" s="296">
        <v>0.57291666666666674</v>
      </c>
    </row>
    <row r="224" spans="2:7">
      <c r="B224" s="272"/>
      <c r="C224" s="294">
        <v>45812</v>
      </c>
      <c r="D224" s="270" t="s">
        <v>856</v>
      </c>
      <c r="E224" s="270" t="s">
        <v>857</v>
      </c>
      <c r="F224" s="270" t="s">
        <v>463</v>
      </c>
      <c r="G224" s="296">
        <v>0.57291666666666674</v>
      </c>
    </row>
    <row r="225" spans="2:7">
      <c r="B225" s="272"/>
      <c r="C225" s="294">
        <v>45799</v>
      </c>
      <c r="D225" s="270" t="s">
        <v>857</v>
      </c>
      <c r="E225" s="270" t="s">
        <v>461</v>
      </c>
      <c r="F225" s="270" t="s">
        <v>463</v>
      </c>
      <c r="G225" s="296">
        <v>0.57291666666666674</v>
      </c>
    </row>
    <row r="226" spans="2:7">
      <c r="B226" s="272"/>
      <c r="C226" s="294">
        <v>45841</v>
      </c>
      <c r="D226" s="270" t="s">
        <v>483</v>
      </c>
      <c r="E226" s="270" t="s">
        <v>854</v>
      </c>
      <c r="F226" s="270" t="s">
        <v>854</v>
      </c>
      <c r="G226" s="296">
        <v>0.57291666666666674</v>
      </c>
    </row>
    <row r="227" spans="2:7">
      <c r="B227" s="272"/>
      <c r="C227" s="294">
        <v>45831</v>
      </c>
      <c r="D227" s="270" t="s">
        <v>854</v>
      </c>
      <c r="E227" s="270" t="s">
        <v>855</v>
      </c>
      <c r="F227" s="270" t="s">
        <v>856</v>
      </c>
      <c r="G227" s="296">
        <v>0.57291666666666674</v>
      </c>
    </row>
    <row r="228" spans="2:7" ht="22" thickBot="1">
      <c r="B228" s="272"/>
      <c r="C228" s="294">
        <v>45812</v>
      </c>
      <c r="D228" s="270" t="s">
        <v>856</v>
      </c>
      <c r="E228" s="270" t="s">
        <v>857</v>
      </c>
      <c r="F228" s="270" t="s">
        <v>463</v>
      </c>
      <c r="G228" s="296">
        <v>0.57291666666666674</v>
      </c>
    </row>
    <row r="229" spans="2:7" ht="22" thickBot="1">
      <c r="B229" s="272">
        <v>1</v>
      </c>
      <c r="C229" s="289" t="s">
        <v>5</v>
      </c>
      <c r="D229" s="450" t="s">
        <v>726</v>
      </c>
      <c r="E229" s="451"/>
      <c r="F229" s="452"/>
      <c r="G229" s="274" t="s">
        <v>38</v>
      </c>
    </row>
    <row r="230" spans="2:7">
      <c r="B230" s="272"/>
      <c r="C230" s="278" t="s">
        <v>19</v>
      </c>
      <c r="D230" s="478"/>
      <c r="E230" s="479"/>
      <c r="F230" s="480"/>
      <c r="G230" s="279" t="s">
        <v>69</v>
      </c>
    </row>
    <row r="231" spans="2:7">
      <c r="B231" s="272"/>
      <c r="C231" s="282" t="s">
        <v>20</v>
      </c>
      <c r="D231" s="467">
        <v>50.8</v>
      </c>
      <c r="E231" s="465"/>
      <c r="F231" s="466"/>
      <c r="G231" s="283" t="s">
        <v>68</v>
      </c>
    </row>
    <row r="232" spans="2:7">
      <c r="B232" s="272"/>
      <c r="C232" s="282" t="s">
        <v>21</v>
      </c>
      <c r="D232" s="467">
        <v>49.9</v>
      </c>
      <c r="E232" s="465"/>
      <c r="F232" s="466"/>
      <c r="G232" s="283"/>
    </row>
    <row r="233" spans="2:7" ht="29" thickBot="1">
      <c r="B233" s="272"/>
      <c r="C233" s="285" t="s">
        <v>23</v>
      </c>
      <c r="D233" s="468">
        <v>0.58333333333333337</v>
      </c>
      <c r="E233" s="469"/>
      <c r="F233" s="470"/>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50" t="s">
        <v>725</v>
      </c>
      <c r="E241" s="451"/>
      <c r="F241" s="452"/>
      <c r="G241" s="274" t="s">
        <v>38</v>
      </c>
    </row>
    <row r="242" spans="1:7">
      <c r="B242" s="272"/>
      <c r="C242" s="278" t="s">
        <v>19</v>
      </c>
      <c r="D242" s="478"/>
      <c r="E242" s="479"/>
      <c r="F242" s="480"/>
      <c r="G242" s="279" t="s">
        <v>69</v>
      </c>
    </row>
    <row r="243" spans="1:7">
      <c r="B243" s="272"/>
      <c r="C243" s="282" t="s">
        <v>20</v>
      </c>
      <c r="D243" s="467">
        <v>0</v>
      </c>
      <c r="E243" s="465"/>
      <c r="F243" s="466"/>
      <c r="G243" s="283" t="s">
        <v>68</v>
      </c>
    </row>
    <row r="244" spans="1:7">
      <c r="B244" s="272"/>
      <c r="C244" s="282" t="s">
        <v>21</v>
      </c>
      <c r="D244" s="467">
        <v>68.7</v>
      </c>
      <c r="E244" s="465"/>
      <c r="F244" s="466"/>
      <c r="G244" s="283"/>
    </row>
    <row r="245" spans="1:7" ht="29" thickBot="1">
      <c r="B245" s="272"/>
      <c r="C245" s="285" t="s">
        <v>23</v>
      </c>
      <c r="D245" s="468">
        <v>0.58333333333333337</v>
      </c>
      <c r="E245" s="469"/>
      <c r="F245" s="470"/>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490" t="s">
        <v>861</v>
      </c>
      <c r="E253" s="491"/>
      <c r="F253" s="492"/>
      <c r="G253" s="274" t="s">
        <v>38</v>
      </c>
    </row>
    <row r="254" spans="1:7">
      <c r="B254" s="272"/>
      <c r="C254" s="278" t="s">
        <v>19</v>
      </c>
      <c r="D254" s="455"/>
      <c r="E254" s="456"/>
      <c r="F254" s="457"/>
      <c r="G254" s="279" t="s">
        <v>796</v>
      </c>
    </row>
    <row r="255" spans="1:7">
      <c r="B255" s="272"/>
      <c r="C255" s="282" t="s">
        <v>20</v>
      </c>
      <c r="D255" s="493"/>
      <c r="E255" s="494"/>
      <c r="F255" s="495"/>
      <c r="G255" s="283" t="s">
        <v>797</v>
      </c>
    </row>
    <row r="256" spans="1:7">
      <c r="B256" s="272"/>
      <c r="C256" s="282" t="s">
        <v>21</v>
      </c>
      <c r="D256" s="496">
        <v>49.5</v>
      </c>
      <c r="E256" s="497"/>
      <c r="F256" s="498"/>
      <c r="G256" s="283"/>
    </row>
    <row r="257" spans="2:7" ht="29" thickBot="1">
      <c r="B257" s="272"/>
      <c r="C257" s="285" t="s">
        <v>23</v>
      </c>
      <c r="D257" s="468">
        <v>6.2500000000000028E-2</v>
      </c>
      <c r="E257" s="469"/>
      <c r="F257" s="470"/>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490" t="s">
        <v>694</v>
      </c>
      <c r="E265" s="491"/>
      <c r="F265" s="492"/>
      <c r="G265" s="274" t="s">
        <v>38</v>
      </c>
    </row>
    <row r="266" spans="2:7">
      <c r="B266" s="272"/>
      <c r="C266" s="278" t="s">
        <v>19</v>
      </c>
      <c r="D266" s="455"/>
      <c r="E266" s="456"/>
      <c r="F266" s="457"/>
      <c r="G266" s="279" t="s">
        <v>690</v>
      </c>
    </row>
    <row r="267" spans="2:7">
      <c r="B267" s="272"/>
      <c r="C267" s="282" t="s">
        <v>20</v>
      </c>
      <c r="D267" s="493"/>
      <c r="E267" s="494"/>
      <c r="F267" s="495"/>
      <c r="G267" s="283" t="s">
        <v>691</v>
      </c>
    </row>
    <row r="268" spans="2:7">
      <c r="B268" s="272"/>
      <c r="C268" s="282" t="s">
        <v>21</v>
      </c>
      <c r="D268" s="499">
        <v>7.0000000000000001E-3</v>
      </c>
      <c r="E268" s="497"/>
      <c r="F268" s="498"/>
      <c r="G268" s="283"/>
    </row>
    <row r="269" spans="2:7" ht="29" thickBot="1">
      <c r="B269" s="272"/>
      <c r="C269" s="285" t="s">
        <v>23</v>
      </c>
      <c r="D269" s="468">
        <v>0.25</v>
      </c>
      <c r="E269" s="469"/>
      <c r="F269" s="470"/>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490" t="s">
        <v>695</v>
      </c>
      <c r="E277" s="491"/>
      <c r="F277" s="492"/>
      <c r="G277" s="274" t="s">
        <v>38</v>
      </c>
    </row>
    <row r="278" spans="2:7">
      <c r="B278" s="272"/>
      <c r="C278" s="278" t="s">
        <v>19</v>
      </c>
      <c r="D278" s="455"/>
      <c r="E278" s="456"/>
      <c r="F278" s="457"/>
      <c r="G278" s="279" t="s">
        <v>690</v>
      </c>
    </row>
    <row r="279" spans="2:7">
      <c r="B279" s="272"/>
      <c r="C279" s="282" t="s">
        <v>20</v>
      </c>
      <c r="D279" s="493"/>
      <c r="E279" s="494"/>
      <c r="F279" s="495"/>
      <c r="G279" s="283" t="s">
        <v>691</v>
      </c>
    </row>
    <row r="280" spans="2:7">
      <c r="B280" s="272"/>
      <c r="C280" s="282" t="s">
        <v>21</v>
      </c>
      <c r="D280" s="496">
        <v>1.2999999999999999E-2</v>
      </c>
      <c r="E280" s="497"/>
      <c r="F280" s="498"/>
      <c r="G280" s="283"/>
    </row>
    <row r="281" spans="2:7" ht="29" thickBot="1">
      <c r="B281" s="272"/>
      <c r="C281" s="285" t="s">
        <v>23</v>
      </c>
      <c r="D281" s="468">
        <v>0.25</v>
      </c>
      <c r="E281" s="469"/>
      <c r="F281" s="470"/>
      <c r="G281" s="286"/>
    </row>
    <row r="282" spans="2:7" ht="29" thickBot="1">
      <c r="B282" s="272"/>
      <c r="C282" s="289" t="s">
        <v>22</v>
      </c>
      <c r="D282" s="290" t="s">
        <v>6</v>
      </c>
      <c r="E282" s="290" t="s">
        <v>7</v>
      </c>
      <c r="F282" s="291" t="s">
        <v>8</v>
      </c>
      <c r="G282" s="274" t="s">
        <v>67</v>
      </c>
    </row>
    <row r="283" spans="2:7">
      <c r="B283" s="272"/>
      <c r="C283" s="294">
        <v>45792</v>
      </c>
      <c r="D283" s="353">
        <v>7.0000000000000001E-3</v>
      </c>
      <c r="E283" s="353">
        <v>6.0000000000000001E-3</v>
      </c>
      <c r="F283" s="353">
        <v>1E-3</v>
      </c>
      <c r="G283" s="296">
        <v>0.29166666666666674</v>
      </c>
    </row>
    <row r="284" spans="2:7">
      <c r="B284" s="272"/>
      <c r="C284" s="294">
        <v>45744</v>
      </c>
      <c r="D284" s="353">
        <v>1E-3</v>
      </c>
      <c r="E284" s="353">
        <v>1E-3</v>
      </c>
      <c r="F284" s="353">
        <v>0</v>
      </c>
      <c r="G284" s="296">
        <v>0.29166666666666674</v>
      </c>
    </row>
    <row r="285" spans="2:7">
      <c r="B285" s="272"/>
      <c r="C285" s="294">
        <v>45701</v>
      </c>
      <c r="D285" s="353">
        <v>1E-3</v>
      </c>
      <c r="E285" s="353">
        <v>-1E-3</v>
      </c>
      <c r="F285" s="353">
        <v>0</v>
      </c>
      <c r="G285" s="296">
        <v>0.29166666666666674</v>
      </c>
    </row>
    <row r="286" spans="2:7">
      <c r="B286" s="272"/>
      <c r="C286" s="294">
        <v>45649</v>
      </c>
      <c r="D286" s="353">
        <v>0</v>
      </c>
      <c r="E286" s="353">
        <v>1E-3</v>
      </c>
      <c r="F286" s="353">
        <v>4.0000000000000001E-3</v>
      </c>
      <c r="G286" s="296">
        <v>0.29166666666666674</v>
      </c>
    </row>
    <row r="287" spans="2:7">
      <c r="B287" s="272"/>
      <c r="C287" s="294">
        <v>45611</v>
      </c>
      <c r="D287" s="353">
        <v>1E-3</v>
      </c>
      <c r="E287" s="353">
        <v>2E-3</v>
      </c>
      <c r="F287" s="353">
        <v>5.0000000000000001E-3</v>
      </c>
      <c r="G287" s="296">
        <v>0.25</v>
      </c>
    </row>
    <row r="288" spans="2:7" ht="22" thickBot="1">
      <c r="B288" s="272"/>
      <c r="C288" s="294">
        <v>45565</v>
      </c>
      <c r="D288" s="353">
        <v>5.0000000000000001E-3</v>
      </c>
      <c r="E288" s="353">
        <v>6.0000000000000001E-3</v>
      </c>
      <c r="F288" s="353">
        <v>7.0000000000000001E-3</v>
      </c>
      <c r="G288" s="296">
        <v>0.25</v>
      </c>
    </row>
    <row r="289" spans="2:7" ht="22" thickBot="1">
      <c r="B289" s="272">
        <v>1</v>
      </c>
      <c r="C289" s="273" t="s">
        <v>5</v>
      </c>
      <c r="D289" s="490" t="s">
        <v>860</v>
      </c>
      <c r="E289" s="491"/>
      <c r="F289" s="492"/>
      <c r="G289" s="274" t="s">
        <v>38</v>
      </c>
    </row>
    <row r="290" spans="2:7">
      <c r="B290" s="272"/>
      <c r="C290" s="278" t="s">
        <v>19</v>
      </c>
      <c r="D290" s="455"/>
      <c r="E290" s="456"/>
      <c r="F290" s="457"/>
      <c r="G290" s="279" t="s">
        <v>362</v>
      </c>
    </row>
    <row r="291" spans="2:7">
      <c r="B291" s="272"/>
      <c r="C291" s="282" t="s">
        <v>20</v>
      </c>
      <c r="D291" s="493"/>
      <c r="E291" s="494"/>
      <c r="F291" s="495"/>
      <c r="G291" s="283" t="s">
        <v>363</v>
      </c>
    </row>
    <row r="292" spans="2:7">
      <c r="B292" s="272"/>
      <c r="C292" s="282" t="s">
        <v>21</v>
      </c>
      <c r="D292" s="496">
        <v>1E-3</v>
      </c>
      <c r="E292" s="497"/>
      <c r="F292" s="498"/>
      <c r="G292" s="283"/>
    </row>
    <row r="293" spans="2:7" ht="29" thickBot="1">
      <c r="B293" s="272"/>
      <c r="C293" s="285" t="s">
        <v>23</v>
      </c>
      <c r="D293" s="468">
        <v>0.5</v>
      </c>
      <c r="E293" s="469"/>
      <c r="F293" s="470"/>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490" t="s">
        <v>859</v>
      </c>
      <c r="E301" s="491"/>
      <c r="F301" s="492"/>
      <c r="G301" s="274" t="s">
        <v>38</v>
      </c>
    </row>
    <row r="302" spans="2:7">
      <c r="B302" s="272"/>
      <c r="C302" s="278" t="s">
        <v>19</v>
      </c>
      <c r="D302" s="455"/>
      <c r="E302" s="456"/>
      <c r="F302" s="457"/>
      <c r="G302" s="279" t="s">
        <v>362</v>
      </c>
    </row>
    <row r="303" spans="2:7">
      <c r="B303" s="272"/>
      <c r="C303" s="282" t="s">
        <v>20</v>
      </c>
      <c r="D303" s="493"/>
      <c r="E303" s="494"/>
      <c r="F303" s="495"/>
      <c r="G303" s="283" t="s">
        <v>363</v>
      </c>
    </row>
    <row r="304" spans="2:7">
      <c r="B304" s="272"/>
      <c r="C304" s="282" t="s">
        <v>21</v>
      </c>
      <c r="D304" s="496">
        <v>0</v>
      </c>
      <c r="E304" s="497"/>
      <c r="F304" s="498"/>
      <c r="G304" s="283"/>
    </row>
    <row r="305" spans="2:7" ht="29" thickBot="1">
      <c r="B305" s="272"/>
      <c r="C305" s="285" t="s">
        <v>23</v>
      </c>
      <c r="D305" s="468">
        <v>0.57291666666666674</v>
      </c>
      <c r="E305" s="469"/>
      <c r="F305" s="470"/>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50" t="s">
        <v>858</v>
      </c>
      <c r="E313" s="451"/>
      <c r="F313" s="452"/>
      <c r="G313" s="274" t="s">
        <v>38</v>
      </c>
    </row>
    <row r="314" spans="2:7">
      <c r="B314" s="272"/>
      <c r="C314" s="278" t="s">
        <v>19</v>
      </c>
      <c r="D314" s="455"/>
      <c r="E314" s="456"/>
      <c r="F314" s="457"/>
      <c r="G314" s="279" t="s">
        <v>362</v>
      </c>
    </row>
    <row r="315" spans="2:7">
      <c r="B315" s="272"/>
      <c r="C315" s="282" t="s">
        <v>20</v>
      </c>
      <c r="D315" s="464"/>
      <c r="E315" s="465"/>
      <c r="F315" s="466"/>
      <c r="G315" s="283" t="s">
        <v>363</v>
      </c>
    </row>
    <row r="316" spans="2:7">
      <c r="B316" s="272"/>
      <c r="C316" s="282" t="s">
        <v>21</v>
      </c>
      <c r="D316" s="515">
        <v>1.9E-2</v>
      </c>
      <c r="E316" s="516"/>
      <c r="F316" s="517"/>
      <c r="G316" s="283"/>
    </row>
    <row r="317" spans="2:7" ht="29" thickBot="1">
      <c r="B317" s="272"/>
      <c r="C317" s="285" t="s">
        <v>23</v>
      </c>
      <c r="D317" s="468">
        <v>0.375</v>
      </c>
      <c r="E317" s="469"/>
      <c r="F317" s="470"/>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50" t="s">
        <v>692</v>
      </c>
      <c r="E325" s="451"/>
      <c r="F325" s="452"/>
      <c r="G325" s="274" t="s">
        <v>38</v>
      </c>
    </row>
    <row r="326" spans="2:7">
      <c r="B326" s="272"/>
      <c r="C326" s="278" t="s">
        <v>19</v>
      </c>
      <c r="D326" s="455"/>
      <c r="E326" s="456"/>
      <c r="F326" s="457"/>
      <c r="G326" s="279" t="s">
        <v>362</v>
      </c>
    </row>
    <row r="327" spans="2:7">
      <c r="B327" s="272"/>
      <c r="C327" s="282" t="s">
        <v>20</v>
      </c>
      <c r="D327" s="464"/>
      <c r="E327" s="465"/>
      <c r="F327" s="466"/>
      <c r="G327" s="283" t="s">
        <v>363</v>
      </c>
    </row>
    <row r="328" spans="2:7">
      <c r="B328" s="272"/>
      <c r="C328" s="282" t="s">
        <v>21</v>
      </c>
      <c r="D328" s="471"/>
      <c r="E328" s="472"/>
      <c r="F328" s="473"/>
      <c r="G328" s="283"/>
    </row>
    <row r="329" spans="2:7" ht="29" thickBot="1">
      <c r="B329" s="272"/>
      <c r="C329" s="285" t="s">
        <v>23</v>
      </c>
      <c r="D329" s="468">
        <v>0.5625</v>
      </c>
      <c r="E329" s="469"/>
      <c r="F329" s="470"/>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5">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50" t="s">
        <v>862</v>
      </c>
      <c r="E337" s="451"/>
      <c r="F337" s="452"/>
      <c r="G337" s="274" t="s">
        <v>38</v>
      </c>
    </row>
    <row r="338" spans="2:7">
      <c r="B338" s="272"/>
      <c r="C338" s="278" t="s">
        <v>19</v>
      </c>
      <c r="D338" s="455"/>
      <c r="E338" s="456"/>
      <c r="F338" s="457"/>
      <c r="G338" s="279" t="s">
        <v>362</v>
      </c>
    </row>
    <row r="339" spans="2:7">
      <c r="B339" s="272"/>
      <c r="C339" s="282" t="s">
        <v>20</v>
      </c>
      <c r="D339" s="464"/>
      <c r="E339" s="465"/>
      <c r="F339" s="466"/>
      <c r="G339" s="283" t="s">
        <v>363</v>
      </c>
    </row>
    <row r="340" spans="2:7">
      <c r="B340" s="272"/>
      <c r="C340" s="282" t="s">
        <v>21</v>
      </c>
      <c r="D340" s="467">
        <v>52</v>
      </c>
      <c r="E340" s="465"/>
      <c r="F340" s="466"/>
      <c r="G340" s="283"/>
    </row>
    <row r="341" spans="2:7" ht="29" thickBot="1">
      <c r="B341" s="272"/>
      <c r="C341" s="285" t="s">
        <v>23</v>
      </c>
      <c r="D341" s="468">
        <v>0.57291666666666674</v>
      </c>
      <c r="E341" s="469"/>
      <c r="F341" s="470"/>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50" t="s">
        <v>863</v>
      </c>
      <c r="E349" s="451"/>
      <c r="F349" s="452"/>
      <c r="G349" s="274" t="s">
        <v>38</v>
      </c>
    </row>
    <row r="350" spans="2:7">
      <c r="B350" s="272"/>
      <c r="C350" s="278" t="s">
        <v>19</v>
      </c>
      <c r="D350" s="455"/>
      <c r="E350" s="456"/>
      <c r="F350" s="457"/>
      <c r="G350" s="279" t="s">
        <v>362</v>
      </c>
    </row>
    <row r="351" spans="2:7">
      <c r="B351" s="272"/>
      <c r="C351" s="282" t="s">
        <v>20</v>
      </c>
      <c r="D351" s="464"/>
      <c r="E351" s="465"/>
      <c r="F351" s="466"/>
      <c r="G351" s="283" t="s">
        <v>363</v>
      </c>
    </row>
    <row r="352" spans="2:7">
      <c r="B352" s="272"/>
      <c r="C352" s="282" t="s">
        <v>21</v>
      </c>
      <c r="D352" s="467">
        <v>48.5</v>
      </c>
      <c r="E352" s="465"/>
      <c r="F352" s="466"/>
      <c r="G352" s="283"/>
    </row>
    <row r="353" spans="2:7" ht="29" thickBot="1">
      <c r="B353" s="272"/>
      <c r="C353" s="285" t="s">
        <v>23</v>
      </c>
      <c r="D353" s="468">
        <v>0.58333333333333337</v>
      </c>
      <c r="E353" s="469"/>
      <c r="F353" s="470"/>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50" t="s">
        <v>864</v>
      </c>
      <c r="E361" s="451"/>
      <c r="F361" s="452"/>
      <c r="G361" s="274" t="s">
        <v>38</v>
      </c>
    </row>
    <row r="362" spans="2:7">
      <c r="B362" s="272"/>
      <c r="C362" s="278" t="s">
        <v>19</v>
      </c>
      <c r="D362" s="455"/>
      <c r="E362" s="456"/>
      <c r="F362" s="457"/>
      <c r="G362" s="308" t="s">
        <v>362</v>
      </c>
    </row>
    <row r="363" spans="2:7">
      <c r="B363" s="272"/>
      <c r="C363" s="282" t="s">
        <v>20</v>
      </c>
      <c r="D363" s="464"/>
      <c r="E363" s="465"/>
      <c r="F363" s="466"/>
      <c r="G363" s="308" t="s">
        <v>363</v>
      </c>
    </row>
    <row r="364" spans="2:7">
      <c r="B364" s="272"/>
      <c r="C364" s="282" t="s">
        <v>21</v>
      </c>
      <c r="D364" s="467">
        <v>69.400000000000006</v>
      </c>
      <c r="E364" s="465"/>
      <c r="F364" s="466"/>
      <c r="G364" s="283"/>
    </row>
    <row r="365" spans="2:7" ht="29" thickBot="1">
      <c r="B365" s="272"/>
      <c r="C365" s="285" t="s">
        <v>23</v>
      </c>
      <c r="D365" s="468">
        <v>0.58333333333333337</v>
      </c>
      <c r="E365" s="469"/>
      <c r="F365" s="470"/>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50" t="s">
        <v>865</v>
      </c>
      <c r="E373" s="451"/>
      <c r="F373" s="452"/>
      <c r="G373" s="274" t="s">
        <v>38</v>
      </c>
    </row>
    <row r="374" spans="2:7">
      <c r="B374" s="272"/>
      <c r="C374" s="278" t="s">
        <v>19</v>
      </c>
      <c r="D374" s="455"/>
      <c r="E374" s="456"/>
      <c r="F374" s="457"/>
      <c r="G374" s="308" t="s">
        <v>362</v>
      </c>
    </row>
    <row r="375" spans="2:7">
      <c r="B375" s="272"/>
      <c r="C375" s="282" t="s">
        <v>20</v>
      </c>
      <c r="D375" s="464"/>
      <c r="E375" s="465"/>
      <c r="F375" s="466"/>
      <c r="G375" s="308" t="s">
        <v>363</v>
      </c>
    </row>
    <row r="376" spans="2:7">
      <c r="B376" s="272"/>
      <c r="C376" s="282" t="s">
        <v>21</v>
      </c>
      <c r="D376" s="471" t="s">
        <v>719</v>
      </c>
      <c r="E376" s="472"/>
      <c r="F376" s="473"/>
      <c r="G376" s="283"/>
    </row>
    <row r="377" spans="2:7" ht="29" thickBot="1">
      <c r="B377" s="272"/>
      <c r="C377" s="285" t="s">
        <v>23</v>
      </c>
      <c r="D377" s="468">
        <v>0.58333333333333337</v>
      </c>
      <c r="E377" s="469"/>
      <c r="F377" s="470"/>
      <c r="G377" s="286"/>
    </row>
    <row r="378" spans="2:7" ht="29" thickBot="1">
      <c r="B378" s="272"/>
      <c r="C378" s="289" t="s">
        <v>22</v>
      </c>
      <c r="D378" s="290" t="s">
        <v>6</v>
      </c>
      <c r="E378" s="290" t="s">
        <v>7</v>
      </c>
      <c r="F378" s="291" t="s">
        <v>8</v>
      </c>
      <c r="G378" s="274" t="s">
        <v>67</v>
      </c>
    </row>
    <row r="379" spans="2:7">
      <c r="B379" s="272"/>
      <c r="C379" s="294">
        <v>45811</v>
      </c>
      <c r="D379" s="270" t="s">
        <v>802</v>
      </c>
      <c r="E379" s="270" t="s">
        <v>803</v>
      </c>
      <c r="F379" s="270" t="s">
        <v>804</v>
      </c>
      <c r="G379" s="296">
        <v>0.58333333333333337</v>
      </c>
    </row>
    <row r="380" spans="2:7">
      <c r="B380" s="272"/>
      <c r="C380" s="294">
        <v>45776</v>
      </c>
      <c r="D380" s="270" t="s">
        <v>805</v>
      </c>
      <c r="E380" s="270" t="s">
        <v>806</v>
      </c>
      <c r="F380" s="270" t="s">
        <v>807</v>
      </c>
      <c r="G380" s="296">
        <v>0.58333333333333337</v>
      </c>
    </row>
    <row r="381" spans="2:7">
      <c r="B381" s="272"/>
      <c r="C381" s="294">
        <v>45748</v>
      </c>
      <c r="D381" s="270" t="s">
        <v>808</v>
      </c>
      <c r="E381" s="270" t="s">
        <v>809</v>
      </c>
      <c r="F381" s="270" t="s">
        <v>810</v>
      </c>
      <c r="G381" s="296">
        <v>0.58333333333333337</v>
      </c>
    </row>
    <row r="382" spans="2:7">
      <c r="B382" s="272"/>
      <c r="C382" s="294">
        <v>45727</v>
      </c>
      <c r="D382" s="270" t="s">
        <v>811</v>
      </c>
      <c r="E382" s="270" t="s">
        <v>812</v>
      </c>
      <c r="F382" s="270" t="s">
        <v>813</v>
      </c>
      <c r="G382" s="296">
        <v>0.625</v>
      </c>
    </row>
    <row r="383" spans="2:7">
      <c r="B383" s="272"/>
      <c r="C383" s="294">
        <v>45692</v>
      </c>
      <c r="D383" s="270" t="s">
        <v>814</v>
      </c>
      <c r="E383" s="270" t="s">
        <v>815</v>
      </c>
      <c r="F383" s="270" t="s">
        <v>816</v>
      </c>
      <c r="G383" s="296">
        <v>0.625</v>
      </c>
    </row>
    <row r="384" spans="2:7" ht="22" thickBot="1">
      <c r="B384" s="272"/>
      <c r="C384" s="294">
        <v>45664</v>
      </c>
      <c r="D384" s="270" t="s">
        <v>817</v>
      </c>
      <c r="E384" s="270" t="s">
        <v>818</v>
      </c>
      <c r="F384" s="270" t="s">
        <v>819</v>
      </c>
      <c r="G384" s="296">
        <v>0.625</v>
      </c>
    </row>
    <row r="385" spans="2:7" ht="22" thickBot="1">
      <c r="B385" s="272">
        <v>1</v>
      </c>
      <c r="C385" s="289" t="s">
        <v>5</v>
      </c>
      <c r="D385" s="450" t="s">
        <v>866</v>
      </c>
      <c r="E385" s="451"/>
      <c r="F385" s="452"/>
      <c r="G385" s="274" t="s">
        <v>38</v>
      </c>
    </row>
    <row r="386" spans="2:7">
      <c r="B386" s="272"/>
      <c r="C386" s="278" t="s">
        <v>19</v>
      </c>
      <c r="D386" s="455"/>
      <c r="E386" s="456"/>
      <c r="F386" s="457"/>
      <c r="G386" s="308" t="s">
        <v>362</v>
      </c>
    </row>
    <row r="387" spans="2:7">
      <c r="B387" s="272"/>
      <c r="C387" s="282" t="s">
        <v>20</v>
      </c>
      <c r="D387" s="464"/>
      <c r="E387" s="465"/>
      <c r="F387" s="466"/>
      <c r="G387" s="308" t="s">
        <v>363</v>
      </c>
    </row>
    <row r="388" spans="2:7">
      <c r="B388" s="272"/>
      <c r="C388" s="282" t="s">
        <v>21</v>
      </c>
      <c r="D388" s="471" t="s">
        <v>721</v>
      </c>
      <c r="E388" s="472"/>
      <c r="F388" s="473"/>
      <c r="G388" s="283"/>
    </row>
    <row r="389" spans="2:7" ht="29" thickBot="1">
      <c r="B389" s="272"/>
      <c r="C389" s="285" t="s">
        <v>23</v>
      </c>
      <c r="D389" s="468">
        <v>0.51041666666666674</v>
      </c>
      <c r="E389" s="469"/>
      <c r="F389" s="470"/>
      <c r="G389" s="286"/>
    </row>
    <row r="390" spans="2:7" ht="29" thickBot="1">
      <c r="B390" s="272"/>
      <c r="C390" s="289" t="s">
        <v>22</v>
      </c>
      <c r="D390" s="290" t="s">
        <v>6</v>
      </c>
      <c r="E390" s="290" t="s">
        <v>7</v>
      </c>
      <c r="F390" s="291" t="s">
        <v>8</v>
      </c>
      <c r="G390" s="274" t="s">
        <v>67</v>
      </c>
    </row>
    <row r="391" spans="2:7">
      <c r="B391" s="272"/>
      <c r="C391" s="294">
        <v>45812</v>
      </c>
      <c r="D391" s="270" t="s">
        <v>820</v>
      </c>
      <c r="E391" s="270" t="s">
        <v>821</v>
      </c>
      <c r="F391" s="270" t="s">
        <v>482</v>
      </c>
      <c r="G391" s="296">
        <v>0.51041666666666674</v>
      </c>
    </row>
    <row r="392" spans="2:7">
      <c r="B392" s="272"/>
      <c r="C392" s="294">
        <v>45777</v>
      </c>
      <c r="D392" s="270" t="s">
        <v>822</v>
      </c>
      <c r="E392" s="270" t="s">
        <v>823</v>
      </c>
      <c r="F392" s="270" t="s">
        <v>824</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50" t="s">
        <v>233</v>
      </c>
      <c r="E397" s="451"/>
      <c r="F397" s="452"/>
      <c r="G397" s="274" t="s">
        <v>38</v>
      </c>
    </row>
    <row r="398" spans="2:7">
      <c r="B398" s="272"/>
      <c r="C398" s="278" t="s">
        <v>19</v>
      </c>
      <c r="D398" s="455"/>
      <c r="E398" s="456"/>
      <c r="F398" s="457"/>
      <c r="G398" s="279" t="s">
        <v>145</v>
      </c>
    </row>
    <row r="399" spans="2:7">
      <c r="B399" s="272"/>
      <c r="C399" s="282" t="s">
        <v>20</v>
      </c>
      <c r="D399" s="464"/>
      <c r="E399" s="465"/>
      <c r="F399" s="466"/>
      <c r="G399" s="279" t="s">
        <v>145</v>
      </c>
    </row>
    <row r="400" spans="2:7">
      <c r="B400" s="272"/>
      <c r="C400" s="282" t="s">
        <v>21</v>
      </c>
      <c r="D400" s="471" t="s">
        <v>772</v>
      </c>
      <c r="E400" s="472"/>
      <c r="F400" s="473"/>
      <c r="G400" s="283"/>
    </row>
    <row r="401" spans="2:7" ht="29" thickBot="1">
      <c r="B401" s="272"/>
      <c r="C401" s="285" t="s">
        <v>23</v>
      </c>
      <c r="D401" s="468">
        <v>0.60416666666666674</v>
      </c>
      <c r="E401" s="469"/>
      <c r="F401" s="470"/>
      <c r="G401" s="286"/>
    </row>
    <row r="402" spans="2:7" ht="29" thickBot="1">
      <c r="B402" s="272"/>
      <c r="C402" s="289" t="s">
        <v>22</v>
      </c>
      <c r="D402" s="290" t="s">
        <v>6</v>
      </c>
      <c r="E402" s="290" t="s">
        <v>7</v>
      </c>
      <c r="F402" s="291" t="s">
        <v>8</v>
      </c>
      <c r="G402" s="274" t="s">
        <v>67</v>
      </c>
    </row>
    <row r="403" spans="2:7">
      <c r="B403" s="272"/>
      <c r="C403" s="294">
        <v>45833</v>
      </c>
      <c r="D403" s="270" t="s">
        <v>825</v>
      </c>
      <c r="E403" s="270" t="s">
        <v>826</v>
      </c>
      <c r="F403" s="270" t="s">
        <v>827</v>
      </c>
      <c r="G403" s="296">
        <v>0.60416666666666674</v>
      </c>
    </row>
    <row r="404" spans="2:7">
      <c r="B404" s="272"/>
      <c r="C404" s="294">
        <v>45826</v>
      </c>
      <c r="D404" s="270" t="s">
        <v>827</v>
      </c>
      <c r="E404" s="270" t="s">
        <v>828</v>
      </c>
      <c r="F404" s="270" t="s">
        <v>829</v>
      </c>
      <c r="G404" s="296">
        <v>0.60416666666666674</v>
      </c>
    </row>
    <row r="405" spans="2:7">
      <c r="B405" s="272"/>
      <c r="C405" s="294">
        <v>45819</v>
      </c>
      <c r="D405" s="270" t="s">
        <v>829</v>
      </c>
      <c r="E405" s="270" t="s">
        <v>830</v>
      </c>
      <c r="F405" s="270" t="s">
        <v>831</v>
      </c>
      <c r="G405" s="296">
        <v>0.60416666666666674</v>
      </c>
    </row>
    <row r="406" spans="2:7">
      <c r="B406" s="272"/>
      <c r="C406" s="294">
        <v>45812</v>
      </c>
      <c r="D406" s="270" t="s">
        <v>831</v>
      </c>
      <c r="E406" s="270" t="s">
        <v>832</v>
      </c>
      <c r="F406" s="270" t="s">
        <v>833</v>
      </c>
      <c r="G406" s="296">
        <v>0.66666666666666674</v>
      </c>
    </row>
    <row r="407" spans="2:7">
      <c r="B407" s="272"/>
      <c r="C407" s="294">
        <v>45806</v>
      </c>
      <c r="D407" s="270" t="s">
        <v>833</v>
      </c>
      <c r="E407" s="270" t="s">
        <v>834</v>
      </c>
      <c r="F407" s="270" t="s">
        <v>835</v>
      </c>
      <c r="G407" s="296">
        <v>0.60416666666666674</v>
      </c>
    </row>
    <row r="408" spans="2:7" ht="22" thickBot="1">
      <c r="B408" s="272"/>
      <c r="C408" s="294">
        <v>45798</v>
      </c>
      <c r="D408" s="270" t="s">
        <v>835</v>
      </c>
      <c r="E408" s="270" t="s">
        <v>836</v>
      </c>
      <c r="F408" s="270" t="s">
        <v>837</v>
      </c>
      <c r="G408" s="296">
        <v>0.625</v>
      </c>
    </row>
    <row r="409" spans="2:7" ht="22" thickBot="1">
      <c r="B409" s="272">
        <v>1</v>
      </c>
      <c r="C409" s="289" t="s">
        <v>5</v>
      </c>
      <c r="D409" s="450" t="s">
        <v>867</v>
      </c>
      <c r="E409" s="451"/>
      <c r="F409" s="452"/>
      <c r="G409" s="274" t="s">
        <v>38</v>
      </c>
    </row>
    <row r="410" spans="2:7">
      <c r="B410" s="272"/>
      <c r="C410" s="278" t="s">
        <v>19</v>
      </c>
      <c r="D410" s="455"/>
      <c r="E410" s="456"/>
      <c r="F410" s="457"/>
      <c r="G410" s="308" t="s">
        <v>362</v>
      </c>
    </row>
    <row r="411" spans="2:7">
      <c r="B411" s="272"/>
      <c r="C411" s="282" t="s">
        <v>20</v>
      </c>
      <c r="D411" s="464"/>
      <c r="E411" s="465"/>
      <c r="F411" s="466"/>
      <c r="G411" s="308" t="s">
        <v>363</v>
      </c>
    </row>
    <row r="412" spans="2:7">
      <c r="B412" s="272"/>
      <c r="C412" s="282" t="s">
        <v>21</v>
      </c>
      <c r="D412" s="471">
        <v>4.0000000000000001E-3</v>
      </c>
      <c r="E412" s="472"/>
      <c r="F412" s="473"/>
      <c r="G412" s="283"/>
    </row>
    <row r="413" spans="2:7" ht="29" thickBot="1">
      <c r="B413" s="272"/>
      <c r="C413" s="285" t="s">
        <v>23</v>
      </c>
      <c r="D413" s="468">
        <v>0.52083333333333337</v>
      </c>
      <c r="E413" s="469"/>
      <c r="F413" s="470"/>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50" t="s">
        <v>693</v>
      </c>
      <c r="E421" s="451"/>
      <c r="F421" s="452"/>
      <c r="G421" s="274" t="s">
        <v>38</v>
      </c>
    </row>
    <row r="422" spans="2:7">
      <c r="B422" s="272"/>
      <c r="C422" s="278" t="s">
        <v>19</v>
      </c>
      <c r="D422" s="455"/>
      <c r="E422" s="456"/>
      <c r="F422" s="457"/>
      <c r="G422" s="308" t="s">
        <v>362</v>
      </c>
    </row>
    <row r="423" spans="2:7">
      <c r="B423" s="272"/>
      <c r="C423" s="282" t="s">
        <v>20</v>
      </c>
      <c r="D423" s="464"/>
      <c r="E423" s="465"/>
      <c r="F423" s="466"/>
      <c r="G423" s="308" t="s">
        <v>363</v>
      </c>
    </row>
    <row r="424" spans="2:7">
      <c r="B424" s="272"/>
      <c r="C424" s="282" t="s">
        <v>21</v>
      </c>
      <c r="D424" s="471" t="s">
        <v>784</v>
      </c>
      <c r="E424" s="472"/>
      <c r="F424" s="473"/>
      <c r="G424" s="283"/>
    </row>
    <row r="425" spans="2:7" ht="29" thickBot="1">
      <c r="B425" s="272"/>
      <c r="C425" s="285" t="s">
        <v>23</v>
      </c>
      <c r="D425" s="468">
        <v>0.52083333333333337</v>
      </c>
      <c r="E425" s="469"/>
      <c r="F425" s="470"/>
      <c r="G425" s="286"/>
    </row>
    <row r="426" spans="2:7" ht="29" thickBot="1">
      <c r="B426" s="272"/>
      <c r="C426" s="289" t="s">
        <v>22</v>
      </c>
      <c r="D426" s="290" t="s">
        <v>6</v>
      </c>
      <c r="E426" s="290" t="s">
        <v>7</v>
      </c>
      <c r="F426" s="291" t="s">
        <v>8</v>
      </c>
      <c r="G426" s="274" t="s">
        <v>67</v>
      </c>
    </row>
    <row r="427" spans="2:7">
      <c r="B427" s="272"/>
      <c r="C427" s="294">
        <v>45834</v>
      </c>
      <c r="D427" s="270" t="s">
        <v>683</v>
      </c>
      <c r="E427" s="270" t="s">
        <v>838</v>
      </c>
      <c r="F427" s="270" t="s">
        <v>678</v>
      </c>
      <c r="G427" s="296">
        <v>0.52083333333333337</v>
      </c>
    </row>
    <row r="428" spans="2:7">
      <c r="B428" s="272"/>
      <c r="C428" s="294">
        <v>45826</v>
      </c>
      <c r="D428" s="270" t="s">
        <v>677</v>
      </c>
      <c r="E428" s="270" t="s">
        <v>678</v>
      </c>
      <c r="F428" s="270" t="s">
        <v>679</v>
      </c>
      <c r="G428" s="296">
        <v>0.52083333333333337</v>
      </c>
    </row>
    <row r="429" spans="2:7">
      <c r="B429" s="272"/>
      <c r="C429" s="294">
        <v>45820</v>
      </c>
      <c r="D429" s="270" t="s">
        <v>680</v>
      </c>
      <c r="E429" s="270" t="s">
        <v>681</v>
      </c>
      <c r="F429" s="270" t="s">
        <v>680</v>
      </c>
      <c r="G429" s="296">
        <v>0.52083333333333337</v>
      </c>
    </row>
    <row r="430" spans="2:7">
      <c r="B430" s="272"/>
      <c r="C430" s="294">
        <v>45813</v>
      </c>
      <c r="D430" s="270" t="s">
        <v>682</v>
      </c>
      <c r="E430" s="270" t="s">
        <v>683</v>
      </c>
      <c r="F430" s="270" t="s">
        <v>684</v>
      </c>
      <c r="G430" s="296">
        <v>0.52083333333333337</v>
      </c>
    </row>
    <row r="431" spans="2:7">
      <c r="B431" s="272"/>
      <c r="C431" s="294">
        <v>45806</v>
      </c>
      <c r="D431" s="270" t="s">
        <v>685</v>
      </c>
      <c r="E431" s="270" t="s">
        <v>686</v>
      </c>
      <c r="F431" s="270" t="s">
        <v>687</v>
      </c>
      <c r="G431" s="296">
        <v>0.52083333333333337</v>
      </c>
    </row>
    <row r="432" spans="2:7" ht="22" thickBot="1">
      <c r="B432" s="272"/>
      <c r="C432" s="294">
        <v>45799</v>
      </c>
      <c r="D432" s="270" t="s">
        <v>688</v>
      </c>
      <c r="E432" s="270" t="s">
        <v>689</v>
      </c>
      <c r="F432" s="270" t="s">
        <v>686</v>
      </c>
      <c r="G432" s="296">
        <v>0.5625</v>
      </c>
    </row>
    <row r="433" spans="2:7" ht="22" thickBot="1">
      <c r="B433" s="272">
        <v>1</v>
      </c>
      <c r="C433" s="289" t="s">
        <v>5</v>
      </c>
      <c r="D433" s="450" t="s">
        <v>868</v>
      </c>
      <c r="E433" s="451"/>
      <c r="F433" s="452"/>
      <c r="G433" s="274" t="s">
        <v>38</v>
      </c>
    </row>
    <row r="434" spans="2:7">
      <c r="B434" s="272"/>
      <c r="C434" s="278" t="s">
        <v>19</v>
      </c>
      <c r="D434" s="455"/>
      <c r="E434" s="456"/>
      <c r="F434" s="457"/>
      <c r="G434" s="308" t="s">
        <v>362</v>
      </c>
    </row>
    <row r="435" spans="2:7">
      <c r="B435" s="272"/>
      <c r="C435" s="282" t="s">
        <v>20</v>
      </c>
      <c r="D435" s="464"/>
      <c r="E435" s="465"/>
      <c r="F435" s="466"/>
      <c r="G435" s="308" t="s">
        <v>363</v>
      </c>
    </row>
    <row r="436" spans="2:7">
      <c r="B436" s="272"/>
      <c r="C436" s="282" t="s">
        <v>21</v>
      </c>
      <c r="D436" s="471" t="s">
        <v>440</v>
      </c>
      <c r="E436" s="472"/>
      <c r="F436" s="473"/>
      <c r="G436" s="283"/>
    </row>
    <row r="437" spans="2:7" ht="29" thickBot="1">
      <c r="B437" s="272"/>
      <c r="C437" s="285" t="s">
        <v>23</v>
      </c>
      <c r="D437" s="468">
        <v>0.52083333333333337</v>
      </c>
      <c r="E437" s="469"/>
      <c r="F437" s="470"/>
      <c r="G437" s="286"/>
    </row>
    <row r="438" spans="2:7" ht="29" thickBot="1">
      <c r="B438" s="272"/>
      <c r="C438" s="289" t="s">
        <v>22</v>
      </c>
      <c r="D438" s="290" t="s">
        <v>6</v>
      </c>
      <c r="E438" s="290" t="s">
        <v>7</v>
      </c>
      <c r="F438" s="291" t="s">
        <v>8</v>
      </c>
      <c r="G438" s="274" t="s">
        <v>67</v>
      </c>
    </row>
    <row r="439" spans="2:7">
      <c r="B439" s="272"/>
      <c r="C439" s="294">
        <v>45814</v>
      </c>
      <c r="D439" s="270" t="s">
        <v>501</v>
      </c>
      <c r="E439" s="270" t="s">
        <v>839</v>
      </c>
      <c r="F439" s="270" t="s">
        <v>824</v>
      </c>
      <c r="G439" s="296">
        <v>0.52083333333333337</v>
      </c>
    </row>
    <row r="440" spans="2:7">
      <c r="B440" s="272"/>
      <c r="C440" s="294">
        <v>45779</v>
      </c>
      <c r="D440" s="270" t="s">
        <v>840</v>
      </c>
      <c r="E440" s="270" t="s">
        <v>841</v>
      </c>
      <c r="F440" s="270" t="s">
        <v>842</v>
      </c>
      <c r="G440" s="296">
        <v>0.52083333333333337</v>
      </c>
    </row>
    <row r="441" spans="2:7">
      <c r="B441" s="272"/>
      <c r="C441" s="294">
        <v>45751</v>
      </c>
      <c r="D441" s="270" t="s">
        <v>843</v>
      </c>
      <c r="E441" s="270" t="s">
        <v>844</v>
      </c>
      <c r="F441" s="270" t="s">
        <v>845</v>
      </c>
      <c r="G441" s="296">
        <v>0.5625</v>
      </c>
    </row>
    <row r="442" spans="2:7">
      <c r="B442" s="272"/>
      <c r="C442" s="294">
        <v>45723</v>
      </c>
      <c r="D442" s="270" t="s">
        <v>846</v>
      </c>
      <c r="E442" s="270" t="s">
        <v>508</v>
      </c>
      <c r="F442" s="270" t="s">
        <v>847</v>
      </c>
      <c r="G442" s="296">
        <v>0.5625</v>
      </c>
    </row>
    <row r="443" spans="2:7">
      <c r="B443" s="272"/>
      <c r="C443" s="294">
        <v>45695</v>
      </c>
      <c r="D443" s="270" t="s">
        <v>848</v>
      </c>
      <c r="E443" s="270" t="s">
        <v>849</v>
      </c>
      <c r="F443" s="270" t="s">
        <v>850</v>
      </c>
      <c r="G443" s="296">
        <v>0.5625</v>
      </c>
    </row>
    <row r="444" spans="2:7" ht="22" thickBot="1">
      <c r="B444" s="272"/>
      <c r="C444" s="294">
        <v>45667</v>
      </c>
      <c r="D444" s="270" t="s">
        <v>851</v>
      </c>
      <c r="E444" s="270" t="s">
        <v>852</v>
      </c>
      <c r="F444" s="270" t="s">
        <v>853</v>
      </c>
      <c r="G444" s="296">
        <v>0.5625</v>
      </c>
    </row>
    <row r="445" spans="2:7" ht="22" thickBot="1">
      <c r="B445" s="272">
        <v>1</v>
      </c>
      <c r="C445" s="289" t="s">
        <v>5</v>
      </c>
      <c r="D445" s="450" t="s">
        <v>869</v>
      </c>
      <c r="E445" s="451"/>
      <c r="F445" s="452"/>
      <c r="G445" s="274" t="s">
        <v>38</v>
      </c>
    </row>
    <row r="446" spans="2:7">
      <c r="B446" s="272"/>
      <c r="C446" s="278" t="s">
        <v>19</v>
      </c>
      <c r="D446" s="455"/>
      <c r="E446" s="456"/>
      <c r="F446" s="457"/>
      <c r="G446" s="308" t="s">
        <v>362</v>
      </c>
    </row>
    <row r="447" spans="2:7">
      <c r="B447" s="272"/>
      <c r="C447" s="282" t="s">
        <v>20</v>
      </c>
      <c r="D447" s="464"/>
      <c r="E447" s="465"/>
      <c r="F447" s="466"/>
      <c r="G447" s="308" t="s">
        <v>363</v>
      </c>
    </row>
    <row r="448" spans="2:7">
      <c r="B448" s="272"/>
      <c r="C448" s="282" t="s">
        <v>21</v>
      </c>
      <c r="D448" s="471">
        <v>4.2000000000000003E-2</v>
      </c>
      <c r="E448" s="472"/>
      <c r="F448" s="473"/>
      <c r="G448" s="283"/>
    </row>
    <row r="449" spans="2:7" ht="29" thickBot="1">
      <c r="B449" s="272"/>
      <c r="C449" s="285" t="s">
        <v>23</v>
      </c>
      <c r="D449" s="468">
        <v>0.52083333333333337</v>
      </c>
      <c r="E449" s="469"/>
      <c r="F449" s="470"/>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50" t="s">
        <v>870</v>
      </c>
      <c r="E457" s="451"/>
      <c r="F457" s="452"/>
      <c r="G457" s="274" t="s">
        <v>38</v>
      </c>
    </row>
    <row r="458" spans="2:7">
      <c r="B458" s="272"/>
      <c r="C458" s="278" t="s">
        <v>19</v>
      </c>
      <c r="D458" s="455"/>
      <c r="E458" s="456"/>
      <c r="F458" s="457"/>
      <c r="G458" s="308" t="s">
        <v>362</v>
      </c>
    </row>
    <row r="459" spans="2:7">
      <c r="B459" s="272"/>
      <c r="C459" s="282" t="s">
        <v>20</v>
      </c>
      <c r="D459" s="464"/>
      <c r="E459" s="465"/>
      <c r="F459" s="466"/>
      <c r="G459" s="308" t="s">
        <v>363</v>
      </c>
    </row>
    <row r="460" spans="2:7">
      <c r="B460" s="272"/>
      <c r="C460" s="282" t="s">
        <v>21</v>
      </c>
      <c r="D460" s="471">
        <v>53.1</v>
      </c>
      <c r="E460" s="472"/>
      <c r="F460" s="473"/>
      <c r="G460" s="283"/>
    </row>
    <row r="461" spans="2:7" ht="29" thickBot="1">
      <c r="B461" s="272"/>
      <c r="C461" s="285" t="s">
        <v>23</v>
      </c>
      <c r="D461" s="468">
        <v>0.57291666666666674</v>
      </c>
      <c r="E461" s="469"/>
      <c r="F461" s="470"/>
      <c r="G461" s="286"/>
    </row>
    <row r="462" spans="2:7" ht="29" thickBot="1">
      <c r="B462" s="272"/>
      <c r="C462" s="289" t="s">
        <v>22</v>
      </c>
      <c r="D462" s="290" t="s">
        <v>6</v>
      </c>
      <c r="E462" s="290" t="s">
        <v>7</v>
      </c>
      <c r="F462" s="291" t="s">
        <v>8</v>
      </c>
      <c r="G462" s="274" t="s">
        <v>67</v>
      </c>
    </row>
    <row r="463" spans="2:7">
      <c r="B463" s="272"/>
      <c r="C463" s="294">
        <v>45831</v>
      </c>
      <c r="D463" s="270" t="s">
        <v>854</v>
      </c>
      <c r="E463" s="270" t="s">
        <v>855</v>
      </c>
      <c r="F463" s="270" t="s">
        <v>856</v>
      </c>
      <c r="G463" s="296">
        <v>0.57291666666666674</v>
      </c>
    </row>
    <row r="464" spans="2:7">
      <c r="B464" s="272"/>
      <c r="C464" s="294">
        <v>45812</v>
      </c>
      <c r="D464" s="270" t="s">
        <v>856</v>
      </c>
      <c r="E464" s="270" t="s">
        <v>857</v>
      </c>
      <c r="F464" s="270" t="s">
        <v>463</v>
      </c>
      <c r="G464" s="296">
        <v>0.57291666666666674</v>
      </c>
    </row>
    <row r="465" spans="2:7">
      <c r="B465" s="272"/>
      <c r="C465" s="294">
        <v>45799</v>
      </c>
      <c r="D465" s="270" t="s">
        <v>857</v>
      </c>
      <c r="E465" s="270" t="s">
        <v>461</v>
      </c>
      <c r="F465" s="270" t="s">
        <v>463</v>
      </c>
      <c r="G465" s="296">
        <v>0.57291666666666674</v>
      </c>
    </row>
    <row r="466" spans="2:7">
      <c r="B466" s="272"/>
      <c r="C466" s="294">
        <v>45841</v>
      </c>
      <c r="D466" s="270" t="s">
        <v>483</v>
      </c>
      <c r="E466" s="270" t="s">
        <v>854</v>
      </c>
      <c r="F466" s="270" t="s">
        <v>854</v>
      </c>
      <c r="G466" s="296">
        <v>0.57291666666666674</v>
      </c>
    </row>
    <row r="467" spans="2:7">
      <c r="B467" s="272"/>
      <c r="C467" s="294">
        <v>45831</v>
      </c>
      <c r="D467" s="270" t="s">
        <v>854</v>
      </c>
      <c r="E467" s="270" t="s">
        <v>855</v>
      </c>
      <c r="F467" s="270" t="s">
        <v>856</v>
      </c>
      <c r="G467" s="296">
        <v>0.57291666666666674</v>
      </c>
    </row>
    <row r="468" spans="2:7" ht="22" thickBot="1">
      <c r="B468" s="272"/>
      <c r="C468" s="294">
        <v>45812</v>
      </c>
      <c r="D468" s="270" t="s">
        <v>856</v>
      </c>
      <c r="E468" s="270" t="s">
        <v>857</v>
      </c>
      <c r="F468" s="270" t="s">
        <v>463</v>
      </c>
      <c r="G468" s="296">
        <v>0.57291666666666674</v>
      </c>
    </row>
    <row r="469" spans="2:7" ht="22" thickBot="1">
      <c r="B469" s="272">
        <v>1</v>
      </c>
      <c r="C469" s="289" t="s">
        <v>5</v>
      </c>
      <c r="D469" s="450" t="s">
        <v>871</v>
      </c>
      <c r="E469" s="451"/>
      <c r="F469" s="452"/>
      <c r="G469" s="274" t="s">
        <v>38</v>
      </c>
    </row>
    <row r="470" spans="2:7">
      <c r="B470" s="272"/>
      <c r="C470" s="278" t="s">
        <v>19</v>
      </c>
      <c r="D470" s="478"/>
      <c r="E470" s="479"/>
      <c r="F470" s="480"/>
      <c r="G470" s="308" t="s">
        <v>362</v>
      </c>
    </row>
    <row r="471" spans="2:7">
      <c r="B471" s="272"/>
      <c r="C471" s="282" t="s">
        <v>20</v>
      </c>
      <c r="D471" s="467">
        <v>50.8</v>
      </c>
      <c r="E471" s="465"/>
      <c r="F471" s="466"/>
      <c r="G471" s="308" t="s">
        <v>363</v>
      </c>
    </row>
    <row r="472" spans="2:7">
      <c r="B472" s="272"/>
      <c r="C472" s="282" t="s">
        <v>21</v>
      </c>
      <c r="D472" s="467">
        <v>49.9</v>
      </c>
      <c r="E472" s="465"/>
      <c r="F472" s="466"/>
      <c r="G472" s="283"/>
    </row>
    <row r="473" spans="2:7" ht="29" thickBot="1">
      <c r="B473" s="272"/>
      <c r="C473" s="285" t="s">
        <v>23</v>
      </c>
      <c r="D473" s="468">
        <v>0.58333333333333337</v>
      </c>
      <c r="E473" s="469"/>
      <c r="F473" s="470"/>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50" t="s">
        <v>872</v>
      </c>
      <c r="E481" s="451"/>
      <c r="F481" s="452"/>
      <c r="G481" s="274" t="s">
        <v>38</v>
      </c>
    </row>
    <row r="482" spans="2:7">
      <c r="B482" s="272"/>
      <c r="C482" s="278" t="s">
        <v>19</v>
      </c>
      <c r="D482" s="478"/>
      <c r="E482" s="479"/>
      <c r="F482" s="480"/>
      <c r="G482" s="308" t="s">
        <v>362</v>
      </c>
    </row>
    <row r="483" spans="2:7">
      <c r="B483" s="272"/>
      <c r="C483" s="282" t="s">
        <v>20</v>
      </c>
      <c r="D483" s="467">
        <v>0</v>
      </c>
      <c r="E483" s="465"/>
      <c r="F483" s="466"/>
      <c r="G483" s="308" t="s">
        <v>363</v>
      </c>
    </row>
    <row r="484" spans="2:7">
      <c r="B484" s="272"/>
      <c r="C484" s="282" t="s">
        <v>21</v>
      </c>
      <c r="D484" s="467">
        <v>68.7</v>
      </c>
      <c r="E484" s="465"/>
      <c r="F484" s="466"/>
      <c r="G484" s="283"/>
    </row>
    <row r="485" spans="2:7" ht="29" thickBot="1">
      <c r="B485" s="272"/>
      <c r="C485" s="285" t="s">
        <v>23</v>
      </c>
      <c r="D485" s="468">
        <v>0.58333333333333337</v>
      </c>
      <c r="E485" s="469"/>
      <c r="F485" s="470"/>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485:F485"/>
    <mergeCell ref="D469:F469"/>
    <mergeCell ref="D470:F470"/>
    <mergeCell ref="D471:F471"/>
    <mergeCell ref="D472:F472"/>
    <mergeCell ref="D473:F473"/>
    <mergeCell ref="D481:F481"/>
    <mergeCell ref="D482:F482"/>
    <mergeCell ref="D483:F483"/>
    <mergeCell ref="D484:F484"/>
    <mergeCell ref="D446:F446"/>
    <mergeCell ref="D447:F447"/>
    <mergeCell ref="D448:F448"/>
    <mergeCell ref="D449:F449"/>
    <mergeCell ref="D457:F457"/>
    <mergeCell ref="D458:F458"/>
    <mergeCell ref="D459:F459"/>
    <mergeCell ref="D460:F460"/>
    <mergeCell ref="D461:F461"/>
    <mergeCell ref="D423:F423"/>
    <mergeCell ref="D424:F424"/>
    <mergeCell ref="D425:F425"/>
    <mergeCell ref="D433:F433"/>
    <mergeCell ref="D434:F434"/>
    <mergeCell ref="D435:F435"/>
    <mergeCell ref="D436:F436"/>
    <mergeCell ref="D437:F437"/>
    <mergeCell ref="D445:F445"/>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373:F373"/>
    <mergeCell ref="D374:F374"/>
    <mergeCell ref="D375:F375"/>
    <mergeCell ref="D376:F376"/>
    <mergeCell ref="D377:F377"/>
    <mergeCell ref="D385:F385"/>
    <mergeCell ref="D386:F386"/>
    <mergeCell ref="D387:F387"/>
    <mergeCell ref="D388:F388"/>
    <mergeCell ref="D350:F350"/>
    <mergeCell ref="D351:F351"/>
    <mergeCell ref="D352:F352"/>
    <mergeCell ref="D353:F353"/>
    <mergeCell ref="D361:F361"/>
    <mergeCell ref="D362:F362"/>
    <mergeCell ref="D363:F363"/>
    <mergeCell ref="D364:F364"/>
    <mergeCell ref="D365:F365"/>
    <mergeCell ref="D327:F327"/>
    <mergeCell ref="D328:F328"/>
    <mergeCell ref="D329:F329"/>
    <mergeCell ref="D337:F337"/>
    <mergeCell ref="D338:F338"/>
    <mergeCell ref="D339:F339"/>
    <mergeCell ref="D340:F340"/>
    <mergeCell ref="D341:F341"/>
    <mergeCell ref="D349:F349"/>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265:F265"/>
    <mergeCell ref="D266:F266"/>
    <mergeCell ref="D267:F267"/>
    <mergeCell ref="D268:F268"/>
    <mergeCell ref="D269:F269"/>
    <mergeCell ref="D277:F277"/>
    <mergeCell ref="D278:F278"/>
    <mergeCell ref="D279:F279"/>
    <mergeCell ref="D280:F280"/>
    <mergeCell ref="D253:F253"/>
    <mergeCell ref="D254:F254"/>
    <mergeCell ref="D255:F255"/>
    <mergeCell ref="D256:F256"/>
    <mergeCell ref="D257:F257"/>
    <mergeCell ref="D241:F241"/>
    <mergeCell ref="D242:F242"/>
    <mergeCell ref="D243:F243"/>
    <mergeCell ref="D244:F244"/>
    <mergeCell ref="D245:F245"/>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699</v>
      </c>
    </row>
    <row r="3" spans="1:6">
      <c r="A3" s="227">
        <v>45831</v>
      </c>
      <c r="B3" s="258" t="s">
        <v>65</v>
      </c>
      <c r="C3" s="228">
        <v>0.80208333333333337</v>
      </c>
      <c r="D3" s="229" t="s">
        <v>9</v>
      </c>
      <c r="E3" s="230">
        <v>3</v>
      </c>
      <c r="F3" s="229" t="s">
        <v>700</v>
      </c>
    </row>
    <row r="4" spans="1:6">
      <c r="A4" s="227">
        <v>45831</v>
      </c>
      <c r="B4" s="258" t="s">
        <v>65</v>
      </c>
      <c r="C4" s="228">
        <v>0.8125</v>
      </c>
      <c r="D4" s="229" t="s">
        <v>9</v>
      </c>
      <c r="E4" s="230">
        <v>3</v>
      </c>
      <c r="F4" s="229" t="s">
        <v>701</v>
      </c>
    </row>
    <row r="5" spans="1:6">
      <c r="A5" s="227">
        <f>A4+1</f>
        <v>45832</v>
      </c>
      <c r="B5" s="258" t="s">
        <v>13</v>
      </c>
      <c r="C5" s="228">
        <v>0.8125</v>
      </c>
      <c r="D5" s="229" t="s">
        <v>9</v>
      </c>
      <c r="E5" s="230">
        <v>3</v>
      </c>
      <c r="F5" s="229" t="s">
        <v>702</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703</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704</v>
      </c>
    </row>
    <row r="11" spans="1:6">
      <c r="A11" s="227">
        <f>A10</f>
        <v>45834</v>
      </c>
      <c r="B11" s="258" t="s">
        <v>173</v>
      </c>
      <c r="C11" s="228">
        <v>0.75</v>
      </c>
      <c r="D11" s="229" t="s">
        <v>9</v>
      </c>
      <c r="E11" s="230">
        <v>3</v>
      </c>
      <c r="F11" s="229" t="s">
        <v>705</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706</v>
      </c>
    </row>
    <row r="14" spans="1:6">
      <c r="A14" s="227">
        <f>A13</f>
        <v>45835</v>
      </c>
      <c r="B14" s="258" t="s">
        <v>16</v>
      </c>
      <c r="C14" s="228">
        <v>0.47916666666666669</v>
      </c>
      <c r="D14" s="229" t="s">
        <v>617</v>
      </c>
      <c r="E14" s="230">
        <v>3</v>
      </c>
      <c r="F14" s="229" t="s">
        <v>705</v>
      </c>
    </row>
    <row r="15" spans="1:6">
      <c r="A15" s="227">
        <f>A13</f>
        <v>45835</v>
      </c>
      <c r="B15" s="258" t="s">
        <v>16</v>
      </c>
      <c r="C15" s="228">
        <v>0.75</v>
      </c>
      <c r="D15" s="229" t="s">
        <v>9</v>
      </c>
      <c r="E15" s="230">
        <v>3</v>
      </c>
      <c r="F15" s="229" t="s">
        <v>707</v>
      </c>
    </row>
    <row r="16" spans="1:6">
      <c r="A16" s="227">
        <f>A14+1</f>
        <v>45836</v>
      </c>
      <c r="B16" s="258" t="s">
        <v>16</v>
      </c>
      <c r="C16" s="228">
        <v>0.75</v>
      </c>
      <c r="D16" s="229" t="s">
        <v>9</v>
      </c>
      <c r="E16" s="230">
        <v>3</v>
      </c>
      <c r="F16" s="229" t="s">
        <v>708</v>
      </c>
    </row>
    <row r="17" spans="1:6">
      <c r="A17" s="248">
        <f>A16</f>
        <v>45836</v>
      </c>
      <c r="B17" s="259" t="s">
        <v>173</v>
      </c>
      <c r="C17" s="249">
        <v>0.6875</v>
      </c>
      <c r="D17" s="250" t="s">
        <v>617</v>
      </c>
      <c r="E17" s="251">
        <v>3</v>
      </c>
      <c r="F17" s="250" t="s">
        <v>709</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710</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7" t="s">
        <v>90</v>
      </c>
      <c r="F4" s="527"/>
      <c r="G4" s="527"/>
      <c r="H4" s="122" t="s">
        <v>38</v>
      </c>
      <c r="I4" s="122" t="s">
        <v>25</v>
      </c>
      <c r="J4" s="123" t="s">
        <v>26</v>
      </c>
      <c r="K4" s="110"/>
      <c r="N4" s="131">
        <v>45609</v>
      </c>
      <c r="O4" s="99">
        <f>IF(WEEKDAY(N4,2)&lt;6,1,0)</f>
        <v>1</v>
      </c>
    </row>
    <row r="5" spans="3:15">
      <c r="D5" s="101" t="s">
        <v>19</v>
      </c>
      <c r="E5" s="528"/>
      <c r="F5" s="528"/>
      <c r="G5" s="528"/>
      <c r="H5" s="120" t="s">
        <v>89</v>
      </c>
      <c r="I5" s="121"/>
      <c r="J5" s="108"/>
      <c r="K5" s="111"/>
      <c r="N5" s="131">
        <v>45608</v>
      </c>
      <c r="O5" s="99">
        <f>IF(WEEKDAY(N5,2)&lt;6,1,0)</f>
        <v>1</v>
      </c>
    </row>
    <row r="6" spans="3:15">
      <c r="D6" s="104" t="s">
        <v>20</v>
      </c>
      <c r="E6" s="525"/>
      <c r="F6" s="525"/>
      <c r="G6" s="525"/>
      <c r="H6" s="114" t="s">
        <v>89</v>
      </c>
      <c r="I6" s="102"/>
      <c r="J6" s="103"/>
      <c r="K6" s="111"/>
      <c r="N6" s="131">
        <v>45607</v>
      </c>
      <c r="O6" s="99">
        <f>IF(WEEKDAY(N6,2)&lt;6,1,0)</f>
        <v>1</v>
      </c>
    </row>
    <row r="7" spans="3:15">
      <c r="D7" s="104" t="s">
        <v>21</v>
      </c>
      <c r="E7" s="525"/>
      <c r="F7" s="525"/>
      <c r="G7" s="525"/>
      <c r="H7" s="114"/>
      <c r="I7" s="102"/>
      <c r="J7" s="103"/>
      <c r="K7" s="111"/>
      <c r="N7" s="131">
        <v>45604</v>
      </c>
      <c r="O7" s="99">
        <f t="shared" ref="O7:O32" si="0">IF(WEEKDAY(N7,2)&lt;6,1,0)</f>
        <v>1</v>
      </c>
    </row>
    <row r="8" spans="3:15" ht="17" thickBot="1">
      <c r="D8" s="105" t="s">
        <v>23</v>
      </c>
      <c r="E8" s="526">
        <f>I8-TIME(5,30,0)</f>
        <v>0.33333333333333337</v>
      </c>
      <c r="F8" s="526"/>
      <c r="G8" s="526"/>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f>WEEKDAY(ec!D103,1)</f>
        <v>7</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ec</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2025-07-12T09:27:41Z</dcterms:modified>
  <cp:category/>
</cp:coreProperties>
</file>